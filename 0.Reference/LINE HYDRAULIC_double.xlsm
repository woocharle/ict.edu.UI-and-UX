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filterPrivacy="1" codeName="ThisWorkbook" defaultThemeVersion="124226"/>
  <xr:revisionPtr revIDLastSave="0" documentId="13_ncr:1_{F944A30D-3DEB-4A6E-99EA-5DC5B730CD1B}" xr6:coauthVersionLast="41" xr6:coauthVersionMax="41" xr10:uidLastSave="{00000000-0000-0000-0000-000000000000}"/>
  <bookViews>
    <workbookView xWindow="-120" yWindow="-120" windowWidth="29040" windowHeight="15840" activeTab="2" xr2:uid="{00000000-000D-0000-FFFF-FFFF00000000}"/>
  </bookViews>
  <sheets>
    <sheet name="Cover" sheetId="7" r:id="rId1"/>
    <sheet name="SUMMARY" sheetId="6" r:id="rId2"/>
    <sheet name="CAL.C" sheetId="5" r:id="rId3"/>
    <sheet name="piping" sheetId="4" r:id="rId4"/>
    <sheet name="Sketch" sheetId="8" r:id="rId5"/>
  </sheets>
  <functionGroups builtInGroupCount="19"/>
  <externalReferences>
    <externalReference r:id="rId6"/>
  </externalReferences>
  <definedNames>
    <definedName name="C.F">piping!$X$24:$X$31</definedName>
    <definedName name="CF" localSheetId="2">piping!$I$57:$I$65</definedName>
    <definedName name="DRIVER">piping!$I$52:$I$53</definedName>
    <definedName name="NT">piping!$X$20:$X$21</definedName>
    <definedName name="PIPE">piping!$A$4:$V$48</definedName>
    <definedName name="PIPE1">piping!$A$4:$A$48</definedName>
    <definedName name="_xlnm.Print_Area" localSheetId="2">'CAL.C'!$E$1:$S$101</definedName>
    <definedName name="_xlnm.Print_Area" localSheetId="0">Cover!$A$1:$AA$41</definedName>
    <definedName name="_xlnm.Print_Area" localSheetId="4">Sketch!$A$1:$X$48</definedName>
    <definedName name="_xlnm.Print_Area" localSheetId="1">SUMMARY!$A$1:$CU$63</definedName>
    <definedName name="PTYPE">piping!$X$37:$X$39</definedName>
    <definedName name="SCH">piping!$A$4:$V$4</definedName>
    <definedName name="SCH_1">piping!$B$53:$C$72</definedName>
    <definedName name="SCH_2">piping!$B$50:$C$72</definedName>
    <definedName name="TWOPH">piping!$X$33:$X$35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 i="5" l="1"/>
  <c r="J23" i="5"/>
  <c r="K155" i="5" l="1"/>
  <c r="L155" i="5"/>
  <c r="M155" i="5"/>
  <c r="N155" i="5"/>
  <c r="O155" i="5"/>
  <c r="P155" i="5"/>
  <c r="Q155" i="5"/>
  <c r="R155" i="5"/>
  <c r="S155" i="5"/>
  <c r="K156" i="5"/>
  <c r="L156" i="5"/>
  <c r="M156" i="5"/>
  <c r="N156" i="5"/>
  <c r="O156" i="5"/>
  <c r="P156" i="5"/>
  <c r="Q156" i="5"/>
  <c r="R156" i="5"/>
  <c r="S156" i="5"/>
  <c r="J156" i="5"/>
  <c r="J155" i="5"/>
  <c r="R31" i="5"/>
  <c r="S31" i="5"/>
  <c r="S167" i="5"/>
  <c r="R167" i="5"/>
  <c r="K38" i="5" l="1"/>
  <c r="L38" i="5"/>
  <c r="M38" i="5"/>
  <c r="N38" i="5"/>
  <c r="O38" i="5"/>
  <c r="P38" i="5"/>
  <c r="R32" i="5" l="1"/>
  <c r="S32" i="5"/>
  <c r="R33" i="5"/>
  <c r="S33" i="5"/>
  <c r="R34" i="5"/>
  <c r="S34" i="5"/>
  <c r="R35" i="5"/>
  <c r="S35" i="5"/>
  <c r="R36" i="5"/>
  <c r="S36" i="5"/>
  <c r="R37" i="5"/>
  <c r="S37" i="5"/>
  <c r="R38" i="5"/>
  <c r="S38" i="5"/>
  <c r="R39" i="5"/>
  <c r="S39" i="5"/>
  <c r="R161" i="5"/>
  <c r="S161" i="5"/>
  <c r="S40" i="5" l="1"/>
  <c r="R40" i="5"/>
  <c r="S162" i="5" l="1"/>
  <c r="R162" i="5"/>
  <c r="K28" i="5"/>
  <c r="L28" i="5"/>
  <c r="M28" i="5"/>
  <c r="N28" i="5"/>
  <c r="O28" i="5"/>
  <c r="P28" i="5"/>
  <c r="Q28" i="5"/>
  <c r="R28" i="5"/>
  <c r="S28" i="5"/>
  <c r="Q38" i="5"/>
  <c r="S168" i="5" l="1"/>
  <c r="R168" i="5"/>
  <c r="Q189" i="5"/>
  <c r="Q182" i="5"/>
  <c r="Q178" i="5"/>
  <c r="Q183" i="5"/>
  <c r="Q180" i="5"/>
  <c r="Q177" i="5"/>
  <c r="M178" i="5"/>
  <c r="M183" i="5"/>
  <c r="M180" i="5"/>
  <c r="M177" i="5"/>
  <c r="M189" i="5"/>
  <c r="M182" i="5"/>
  <c r="N189" i="5"/>
  <c r="N182" i="5"/>
  <c r="N178" i="5"/>
  <c r="N183" i="5"/>
  <c r="N177" i="5"/>
  <c r="N180" i="5"/>
  <c r="S166" i="5"/>
  <c r="S189" i="5"/>
  <c r="S182" i="5"/>
  <c r="S178" i="5"/>
  <c r="S183" i="5"/>
  <c r="S180" i="5"/>
  <c r="S177" i="5"/>
  <c r="O183" i="5"/>
  <c r="O180" i="5"/>
  <c r="O177" i="5"/>
  <c r="O189" i="5"/>
  <c r="O182" i="5"/>
  <c r="O178" i="5"/>
  <c r="K189" i="5"/>
  <c r="K182" i="5"/>
  <c r="K178" i="5"/>
  <c r="K183" i="5"/>
  <c r="K180" i="5"/>
  <c r="K177" i="5"/>
  <c r="R166" i="5"/>
  <c r="R189" i="5"/>
  <c r="R182" i="5"/>
  <c r="R178" i="5"/>
  <c r="R180" i="5"/>
  <c r="R183" i="5"/>
  <c r="R177" i="5"/>
  <c r="P183" i="5"/>
  <c r="P180" i="5"/>
  <c r="P177" i="5"/>
  <c r="P178" i="5"/>
  <c r="P189" i="5"/>
  <c r="P182" i="5"/>
  <c r="L183" i="5"/>
  <c r="L180" i="5"/>
  <c r="L177" i="5"/>
  <c r="L189" i="5"/>
  <c r="L182" i="5"/>
  <c r="L178" i="5"/>
  <c r="S163" i="5"/>
  <c r="S164" i="5" s="1"/>
  <c r="S169" i="5"/>
  <c r="R163" i="5"/>
  <c r="R164" i="5" s="1"/>
  <c r="R169" i="5"/>
  <c r="S165" i="5"/>
  <c r="R165" i="5"/>
  <c r="S171" i="5" l="1"/>
  <c r="S170" i="5"/>
  <c r="R170" i="5"/>
  <c r="R171" i="5"/>
  <c r="A83" i="5"/>
  <c r="A82" i="5"/>
  <c r="A81" i="5"/>
  <c r="A80" i="5"/>
  <c r="A79" i="5"/>
  <c r="A78" i="5"/>
  <c r="A77" i="5"/>
  <c r="A76" i="5"/>
  <c r="A75" i="5"/>
  <c r="C87" i="5"/>
  <c r="B87" i="5"/>
  <c r="R95" i="5" l="1"/>
  <c r="S95" i="5"/>
  <c r="R96" i="5"/>
  <c r="S96" i="5"/>
  <c r="R139" i="5"/>
  <c r="S138" i="5"/>
  <c r="R136" i="5" l="1"/>
  <c r="S139" i="5"/>
  <c r="S136" i="5"/>
  <c r="R137" i="5"/>
  <c r="R138" i="5"/>
  <c r="S137" i="5"/>
  <c r="R153" i="5"/>
  <c r="R157" i="5" s="1"/>
  <c r="S153" i="5"/>
  <c r="S157" i="5" s="1"/>
  <c r="K24" i="5"/>
  <c r="K29" i="5" s="1"/>
  <c r="K161" i="5" s="1"/>
  <c r="L24" i="5"/>
  <c r="L29" i="5" s="1"/>
  <c r="L161" i="5" s="1"/>
  <c r="M24" i="5"/>
  <c r="M29" i="5" s="1"/>
  <c r="M161" i="5" s="1"/>
  <c r="N24" i="5"/>
  <c r="N29" i="5" s="1"/>
  <c r="N161" i="5" s="1"/>
  <c r="O24" i="5"/>
  <c r="O29" i="5" s="1"/>
  <c r="O161" i="5" s="1"/>
  <c r="P24" i="5"/>
  <c r="P29" i="5" s="1"/>
  <c r="P161" i="5" s="1"/>
  <c r="Q24" i="5"/>
  <c r="Q29" i="5" s="1"/>
  <c r="R24" i="5"/>
  <c r="R29" i="5" s="1"/>
  <c r="S24" i="5"/>
  <c r="S29" i="5" s="1"/>
  <c r="R49" i="5"/>
  <c r="S49" i="5"/>
  <c r="O49" i="5"/>
  <c r="M49" i="5"/>
  <c r="N49" i="5"/>
  <c r="L49" i="5"/>
  <c r="K49" i="5"/>
  <c r="M95" i="5"/>
  <c r="N95" i="5"/>
  <c r="O95" i="5"/>
  <c r="L95" i="5"/>
  <c r="K95" i="5"/>
  <c r="K162" i="5" l="1"/>
  <c r="K163" i="5"/>
  <c r="K164" i="5" s="1"/>
  <c r="S196" i="5"/>
  <c r="S200" i="5"/>
  <c r="R200" i="5"/>
  <c r="R196" i="5"/>
  <c r="O200" i="5"/>
  <c r="O196" i="5"/>
  <c r="N200" i="5"/>
  <c r="N196" i="5"/>
  <c r="M196" i="5"/>
  <c r="M200" i="5"/>
  <c r="L200" i="5"/>
  <c r="L196" i="5"/>
  <c r="K200" i="5"/>
  <c r="K196" i="5"/>
  <c r="Q200" i="5"/>
  <c r="Q196" i="5"/>
  <c r="P196" i="5"/>
  <c r="P200" i="5"/>
  <c r="Q190" i="5"/>
  <c r="Q184" i="5"/>
  <c r="Q186" i="5"/>
  <c r="Q179" i="5"/>
  <c r="Q185" i="5"/>
  <c r="M190" i="5"/>
  <c r="M184" i="5"/>
  <c r="M186" i="5"/>
  <c r="M179" i="5"/>
  <c r="M185" i="5"/>
  <c r="P185" i="5"/>
  <c r="P190" i="5"/>
  <c r="P184" i="5"/>
  <c r="P186" i="5"/>
  <c r="P179" i="5"/>
  <c r="R184" i="5"/>
  <c r="R186" i="5"/>
  <c r="R179" i="5"/>
  <c r="R185" i="5"/>
  <c r="R190" i="5"/>
  <c r="N184" i="5"/>
  <c r="N186" i="5"/>
  <c r="N179" i="5"/>
  <c r="N185" i="5"/>
  <c r="N190" i="5"/>
  <c r="L185" i="5"/>
  <c r="L190" i="5"/>
  <c r="L184" i="5"/>
  <c r="L186" i="5"/>
  <c r="L179" i="5"/>
  <c r="S186" i="5"/>
  <c r="S179" i="5"/>
  <c r="S185" i="5"/>
  <c r="S190" i="5"/>
  <c r="S184" i="5"/>
  <c r="O186" i="5"/>
  <c r="O179" i="5"/>
  <c r="O185" i="5"/>
  <c r="O190" i="5"/>
  <c r="O184" i="5"/>
  <c r="K186" i="5"/>
  <c r="K179" i="5"/>
  <c r="K185" i="5"/>
  <c r="K190" i="5"/>
  <c r="K184" i="5"/>
  <c r="P45" i="5"/>
  <c r="Q45" i="5"/>
  <c r="R45" i="5"/>
  <c r="S45" i="5"/>
  <c r="K45" i="5"/>
  <c r="L45" i="5"/>
  <c r="M45" i="5"/>
  <c r="N45" i="5"/>
  <c r="O45" i="5"/>
  <c r="K31" i="5"/>
  <c r="K165" i="5"/>
  <c r="K166" i="5"/>
  <c r="K167" i="5" s="1"/>
  <c r="Q95" i="5"/>
  <c r="P95" i="5"/>
  <c r="K168" i="5" l="1"/>
  <c r="K169" i="5" s="1"/>
  <c r="K37" i="5"/>
  <c r="R130" i="5"/>
  <c r="R127" i="5"/>
  <c r="R133" i="5"/>
  <c r="R129" i="5"/>
  <c r="R134" i="5"/>
  <c r="R126" i="5"/>
  <c r="R131" i="5"/>
  <c r="R132" i="5"/>
  <c r="R128" i="5"/>
  <c r="S132" i="5"/>
  <c r="S128" i="5"/>
  <c r="S133" i="5"/>
  <c r="S130" i="5"/>
  <c r="S131" i="5"/>
  <c r="S127" i="5"/>
  <c r="S129" i="5"/>
  <c r="S134" i="5"/>
  <c r="S126" i="5"/>
  <c r="R125" i="5"/>
  <c r="S125" i="5"/>
  <c r="R154" i="5"/>
  <c r="S154" i="5"/>
  <c r="K170" i="5" l="1"/>
  <c r="K171" i="5"/>
  <c r="J38" i="5"/>
  <c r="J28" i="5"/>
  <c r="O154" i="5"/>
  <c r="K154" i="5"/>
  <c r="K32" i="5" s="1"/>
  <c r="L154" i="5"/>
  <c r="Q154" i="5"/>
  <c r="Q161" i="5"/>
  <c r="Q153" i="5"/>
  <c r="P154" i="5"/>
  <c r="P153" i="5"/>
  <c r="P157" i="5" s="1"/>
  <c r="N153" i="5"/>
  <c r="L153" i="5"/>
  <c r="M153" i="5"/>
  <c r="O153" i="5"/>
  <c r="K153" i="5"/>
  <c r="M154" i="5"/>
  <c r="N154" i="5"/>
  <c r="J24" i="5"/>
  <c r="J29" i="5" s="1"/>
  <c r="J161" i="5" s="1"/>
  <c r="Q31" i="5"/>
  <c r="Q157" i="5"/>
  <c r="J167" i="5"/>
  <c r="N157" i="5"/>
  <c r="K157" i="5"/>
  <c r="M157" i="5"/>
  <c r="O157" i="5"/>
  <c r="L157" i="5"/>
  <c r="J162" i="5" l="1"/>
  <c r="J183" i="5"/>
  <c r="J180" i="5"/>
  <c r="J177" i="5"/>
  <c r="J189" i="5"/>
  <c r="J182" i="5"/>
  <c r="J178" i="5"/>
  <c r="P41" i="5"/>
  <c r="Q162" i="5"/>
  <c r="J37" i="5"/>
  <c r="K35" i="5"/>
  <c r="K96" i="5"/>
  <c r="P31" i="5"/>
  <c r="J168" i="5" l="1"/>
  <c r="J169" i="5" s="1"/>
  <c r="J163" i="5"/>
  <c r="J164" i="5" s="1"/>
  <c r="Q37" i="5"/>
  <c r="P162" i="5"/>
  <c r="Q163" i="5"/>
  <c r="Q164" i="5" s="1"/>
  <c r="K138" i="5"/>
  <c r="K127" i="5"/>
  <c r="K131" i="5"/>
  <c r="K137" i="5"/>
  <c r="K126" i="5"/>
  <c r="K130" i="5"/>
  <c r="K134" i="5"/>
  <c r="K136" i="5"/>
  <c r="K129" i="5"/>
  <c r="K133" i="5"/>
  <c r="K139" i="5"/>
  <c r="K128" i="5"/>
  <c r="K132" i="5"/>
  <c r="K125" i="5"/>
  <c r="R111" i="5"/>
  <c r="R110" i="5"/>
  <c r="R120" i="5"/>
  <c r="R123" i="5"/>
  <c r="R105" i="5"/>
  <c r="R109" i="5"/>
  <c r="R106" i="5"/>
  <c r="R122" i="5"/>
  <c r="R121" i="5"/>
  <c r="R104" i="5"/>
  <c r="R119" i="5"/>
  <c r="R112" i="5"/>
  <c r="R118" i="5"/>
  <c r="R107" i="5"/>
  <c r="R108" i="5"/>
  <c r="R115" i="5"/>
  <c r="R114" i="5"/>
  <c r="R113" i="5"/>
  <c r="R117" i="5"/>
  <c r="K109" i="5"/>
  <c r="K123" i="5"/>
  <c r="K115" i="5"/>
  <c r="K112" i="5"/>
  <c r="K120" i="5"/>
  <c r="K107" i="5"/>
  <c r="K121" i="5"/>
  <c r="K113" i="5"/>
  <c r="K122" i="5"/>
  <c r="K104" i="5"/>
  <c r="K114" i="5"/>
  <c r="K119" i="5"/>
  <c r="K111" i="5"/>
  <c r="K118" i="5"/>
  <c r="K117" i="5"/>
  <c r="K110" i="5"/>
  <c r="K106" i="5"/>
  <c r="K105" i="5"/>
  <c r="K108" i="5"/>
  <c r="J45" i="5"/>
  <c r="J31" i="5"/>
  <c r="J165" i="5"/>
  <c r="J166" i="5" s="1"/>
  <c r="Q165" i="5"/>
  <c r="J171" i="5" l="1"/>
  <c r="J170" i="5"/>
  <c r="P37" i="5"/>
  <c r="P163" i="5"/>
  <c r="P164" i="5" s="1"/>
  <c r="Q35" i="5"/>
  <c r="Q32" i="5"/>
  <c r="Q96" i="5" s="1"/>
  <c r="CF38" i="6"/>
  <c r="BU38" i="6"/>
  <c r="BJ38" i="6"/>
  <c r="AO38" i="6" s="1"/>
  <c r="T38" i="6"/>
  <c r="CF37" i="6"/>
  <c r="BU37" i="6"/>
  <c r="BJ37" i="6"/>
  <c r="AO37" i="6" s="1"/>
  <c r="T37" i="6"/>
  <c r="FX36" i="6"/>
  <c r="FM36" i="6"/>
  <c r="FB36" i="6"/>
  <c r="EG36" i="6"/>
  <c r="DL36" i="6"/>
  <c r="CF36" i="6"/>
  <c r="BU36" i="6"/>
  <c r="BJ36" i="6"/>
  <c r="AO36" i="6" s="1"/>
  <c r="T36" i="6"/>
  <c r="FX35" i="6"/>
  <c r="FM35" i="6"/>
  <c r="FB35" i="6"/>
  <c r="EG35" i="6"/>
  <c r="DL35" i="6"/>
  <c r="FX34" i="6"/>
  <c r="FM34" i="6"/>
  <c r="FB34" i="6"/>
  <c r="EG34" i="6"/>
  <c r="DL34" i="6"/>
  <c r="X27" i="6"/>
  <c r="X24" i="6"/>
  <c r="BG21" i="6"/>
  <c r="X21" i="6"/>
  <c r="BG20" i="6"/>
  <c r="X20" i="6"/>
  <c r="CG8" i="6"/>
  <c r="BG8" i="6"/>
  <c r="BG7" i="6"/>
  <c r="BG5" i="6"/>
  <c r="BG4" i="6"/>
  <c r="Q166" i="5"/>
  <c r="P165" i="5"/>
  <c r="P166" i="5" s="1"/>
  <c r="P35" i="5" l="1"/>
  <c r="P32" i="5"/>
  <c r="P96" i="5" s="1"/>
  <c r="Q134" i="5"/>
  <c r="Q130" i="5"/>
  <c r="Q126" i="5"/>
  <c r="Q136" i="5"/>
  <c r="Q128" i="5"/>
  <c r="Q139" i="5"/>
  <c r="Q133" i="5"/>
  <c r="Q138" i="5"/>
  <c r="Q127" i="5"/>
  <c r="Q125" i="5"/>
  <c r="Q131" i="5"/>
  <c r="Q129" i="5"/>
  <c r="Q137" i="5"/>
  <c r="Q132" i="5"/>
  <c r="S149" i="5"/>
  <c r="R149" i="5"/>
  <c r="P149" i="5"/>
  <c r="O149" i="5"/>
  <c r="N149" i="5"/>
  <c r="M149" i="5"/>
  <c r="L149" i="5"/>
  <c r="K149" i="5"/>
  <c r="S148" i="5"/>
  <c r="R148" i="5"/>
  <c r="P148" i="5"/>
  <c r="O148" i="5"/>
  <c r="N148" i="5"/>
  <c r="M148" i="5"/>
  <c r="L148" i="5"/>
  <c r="K148" i="5"/>
  <c r="S147" i="5"/>
  <c r="R147" i="5"/>
  <c r="P147" i="5"/>
  <c r="O147" i="5"/>
  <c r="N147" i="5"/>
  <c r="M147" i="5"/>
  <c r="L147" i="5"/>
  <c r="K147" i="5"/>
  <c r="S146" i="5"/>
  <c r="R146" i="5"/>
  <c r="Q146" i="5"/>
  <c r="P146" i="5"/>
  <c r="O146" i="5"/>
  <c r="N146" i="5"/>
  <c r="M146" i="5"/>
  <c r="L146" i="5"/>
  <c r="K146" i="5"/>
  <c r="J146" i="5"/>
  <c r="S145" i="5"/>
  <c r="R145" i="5"/>
  <c r="Q145" i="5"/>
  <c r="Q148" i="5" s="1"/>
  <c r="P145" i="5"/>
  <c r="O145" i="5"/>
  <c r="N145" i="5"/>
  <c r="M145" i="5"/>
  <c r="L145" i="5"/>
  <c r="K145" i="5"/>
  <c r="J145" i="5"/>
  <c r="S144" i="5"/>
  <c r="R144" i="5"/>
  <c r="P144" i="5"/>
  <c r="O144" i="5"/>
  <c r="N144" i="5"/>
  <c r="M144" i="5"/>
  <c r="L144" i="5"/>
  <c r="K144" i="5"/>
  <c r="S143" i="5"/>
  <c r="R143" i="5"/>
  <c r="P143" i="5"/>
  <c r="O143" i="5"/>
  <c r="N143" i="5"/>
  <c r="M143" i="5"/>
  <c r="L143" i="5"/>
  <c r="K143" i="5"/>
  <c r="S142" i="5"/>
  <c r="R142" i="5"/>
  <c r="P142" i="5"/>
  <c r="O142" i="5"/>
  <c r="N142" i="5"/>
  <c r="M142" i="5"/>
  <c r="L142" i="5"/>
  <c r="K142" i="5"/>
  <c r="S141" i="5"/>
  <c r="R141" i="5"/>
  <c r="Q141" i="5"/>
  <c r="P141" i="5"/>
  <c r="O141" i="5"/>
  <c r="N141" i="5"/>
  <c r="M141" i="5"/>
  <c r="L141" i="5"/>
  <c r="K141" i="5"/>
  <c r="J141" i="5"/>
  <c r="S140" i="5"/>
  <c r="R140" i="5"/>
  <c r="Q140" i="5"/>
  <c r="Q143" i="5" s="1"/>
  <c r="P140" i="5"/>
  <c r="O140" i="5"/>
  <c r="N140" i="5"/>
  <c r="M140" i="5"/>
  <c r="L140" i="5"/>
  <c r="K140" i="5"/>
  <c r="J140" i="5"/>
  <c r="B45" i="4"/>
  <c r="V44" i="4"/>
  <c r="T41" i="4"/>
  <c r="S41" i="4"/>
  <c r="L35" i="4"/>
  <c r="K35" i="4"/>
  <c r="J35" i="4"/>
  <c r="I35" i="4"/>
  <c r="F32" i="4"/>
  <c r="E32" i="4"/>
  <c r="L31" i="4"/>
  <c r="L30" i="4"/>
  <c r="F30" i="4"/>
  <c r="E30" i="4"/>
  <c r="R29" i="4"/>
  <c r="Q29" i="4"/>
  <c r="P29" i="4"/>
  <c r="O29" i="4"/>
  <c r="N29" i="4"/>
  <c r="M29" i="4"/>
  <c r="L29" i="4"/>
  <c r="K29" i="4"/>
  <c r="F29" i="4"/>
  <c r="E29" i="4"/>
  <c r="L27" i="4"/>
  <c r="D27" i="4"/>
  <c r="C27" i="4"/>
  <c r="U23" i="4"/>
  <c r="H23" i="4"/>
  <c r="G23" i="4"/>
  <c r="I22" i="4"/>
  <c r="M21" i="4"/>
  <c r="O19" i="4"/>
  <c r="M19" i="4"/>
  <c r="K19" i="4"/>
  <c r="J19" i="4"/>
  <c r="U18" i="4"/>
  <c r="T18" i="4"/>
  <c r="S18" i="4"/>
  <c r="P18" i="4"/>
  <c r="N18" i="4"/>
  <c r="L18" i="4"/>
  <c r="H18" i="4"/>
  <c r="G18" i="4"/>
  <c r="F18" i="4"/>
  <c r="U16" i="4"/>
  <c r="T16" i="4"/>
  <c r="S16" i="4"/>
  <c r="P16" i="4"/>
  <c r="N16" i="4"/>
  <c r="L16" i="4"/>
  <c r="H16" i="4"/>
  <c r="G16" i="4"/>
  <c r="F16" i="4"/>
  <c r="E16" i="4"/>
  <c r="U11" i="4"/>
  <c r="T11" i="4"/>
  <c r="S11" i="4"/>
  <c r="R11" i="4"/>
  <c r="N11" i="4"/>
  <c r="L11" i="4"/>
  <c r="H11" i="4"/>
  <c r="G11" i="4"/>
  <c r="F11" i="4"/>
  <c r="E11" i="4"/>
  <c r="V7" i="4"/>
  <c r="U7" i="4"/>
  <c r="R7" i="4"/>
  <c r="Q142" i="5"/>
  <c r="Q147" i="5"/>
  <c r="J147" i="5"/>
  <c r="J95" i="5"/>
  <c r="P136" i="5" l="1"/>
  <c r="P130" i="5"/>
  <c r="P125" i="5"/>
  <c r="P126" i="5"/>
  <c r="P119" i="5"/>
  <c r="P114" i="5"/>
  <c r="P115" i="5"/>
  <c r="P118" i="5"/>
  <c r="P110" i="5"/>
  <c r="P137" i="5"/>
  <c r="P128" i="5"/>
  <c r="P132" i="5"/>
  <c r="P131" i="5"/>
  <c r="P109" i="5"/>
  <c r="P104" i="5"/>
  <c r="P108" i="5"/>
  <c r="P117" i="5"/>
  <c r="P105" i="5"/>
  <c r="P138" i="5"/>
  <c r="P127" i="5"/>
  <c r="P129" i="5"/>
  <c r="P121" i="5"/>
  <c r="P111" i="5"/>
  <c r="P106" i="5"/>
  <c r="P123" i="5"/>
  <c r="P139" i="5"/>
  <c r="P133" i="5"/>
  <c r="P134" i="5"/>
  <c r="P112" i="5"/>
  <c r="P120" i="5"/>
  <c r="P107" i="5"/>
  <c r="P113" i="5"/>
  <c r="P122" i="5"/>
  <c r="J200" i="5"/>
  <c r="J196" i="5"/>
  <c r="J202" i="5"/>
  <c r="Q149" i="5"/>
  <c r="Q144" i="5"/>
  <c r="J185" i="5"/>
  <c r="J190" i="5"/>
  <c r="J184" i="5"/>
  <c r="J186" i="5"/>
  <c r="J179" i="5"/>
  <c r="J143" i="5"/>
  <c r="J148" i="5"/>
  <c r="J149" i="5" s="1"/>
  <c r="K212" i="5"/>
  <c r="K208" i="5"/>
  <c r="K202" i="5"/>
  <c r="K198" i="5"/>
  <c r="K194" i="5"/>
  <c r="K209" i="5"/>
  <c r="K205" i="5"/>
  <c r="K199" i="5"/>
  <c r="K195" i="5"/>
  <c r="K191" i="5"/>
  <c r="K176" i="5"/>
  <c r="K210" i="5"/>
  <c r="K206" i="5"/>
  <c r="K192" i="5"/>
  <c r="K181" i="5"/>
  <c r="K211" i="5"/>
  <c r="K207" i="5"/>
  <c r="K201" i="5"/>
  <c r="K197" i="5"/>
  <c r="K193" i="5"/>
  <c r="O212" i="5"/>
  <c r="O208" i="5"/>
  <c r="O202" i="5"/>
  <c r="O198" i="5"/>
  <c r="O194" i="5"/>
  <c r="O209" i="5"/>
  <c r="O205" i="5"/>
  <c r="O199" i="5"/>
  <c r="O195" i="5"/>
  <c r="O191" i="5"/>
  <c r="O176" i="5"/>
  <c r="O210" i="5"/>
  <c r="O206" i="5"/>
  <c r="O192" i="5"/>
  <c r="O181" i="5"/>
  <c r="O211" i="5"/>
  <c r="O207" i="5"/>
  <c r="O201" i="5"/>
  <c r="O197" i="5"/>
  <c r="O193" i="5"/>
  <c r="N209" i="5"/>
  <c r="N205" i="5"/>
  <c r="N199" i="5"/>
  <c r="N195" i="5"/>
  <c r="N191" i="5"/>
  <c r="N176" i="5"/>
  <c r="N210" i="5"/>
  <c r="N206" i="5"/>
  <c r="N192" i="5"/>
  <c r="N181" i="5"/>
  <c r="N211" i="5"/>
  <c r="N207" i="5"/>
  <c r="N201" i="5"/>
  <c r="N197" i="5"/>
  <c r="N193" i="5"/>
  <c r="N212" i="5"/>
  <c r="N208" i="5"/>
  <c r="N202" i="5"/>
  <c r="N198" i="5"/>
  <c r="N194" i="5"/>
  <c r="R209" i="5"/>
  <c r="R205" i="5"/>
  <c r="R199" i="5"/>
  <c r="R195" i="5"/>
  <c r="R191" i="5"/>
  <c r="R176" i="5"/>
  <c r="R210" i="5"/>
  <c r="R206" i="5"/>
  <c r="R192" i="5"/>
  <c r="R181" i="5"/>
  <c r="R211" i="5"/>
  <c r="R207" i="5"/>
  <c r="R201" i="5"/>
  <c r="R197" i="5"/>
  <c r="R193" i="5"/>
  <c r="R212" i="5"/>
  <c r="R208" i="5"/>
  <c r="R202" i="5"/>
  <c r="R198" i="5"/>
  <c r="R194" i="5"/>
  <c r="R158" i="5"/>
  <c r="R159" i="5" s="1"/>
  <c r="M210" i="5"/>
  <c r="M206" i="5"/>
  <c r="M192" i="5"/>
  <c r="M181" i="5"/>
  <c r="M211" i="5"/>
  <c r="M207" i="5"/>
  <c r="M201" i="5"/>
  <c r="M197" i="5"/>
  <c r="M193" i="5"/>
  <c r="M212" i="5"/>
  <c r="M208" i="5"/>
  <c r="M202" i="5"/>
  <c r="M198" i="5"/>
  <c r="M194" i="5"/>
  <c r="M209" i="5"/>
  <c r="M205" i="5"/>
  <c r="M199" i="5"/>
  <c r="M195" i="5"/>
  <c r="M191" i="5"/>
  <c r="M176" i="5"/>
  <c r="Q176" i="5"/>
  <c r="L211" i="5"/>
  <c r="L207" i="5"/>
  <c r="L201" i="5"/>
  <c r="L197" i="5"/>
  <c r="L193" i="5"/>
  <c r="L212" i="5"/>
  <c r="L208" i="5"/>
  <c r="L202" i="5"/>
  <c r="L198" i="5"/>
  <c r="L194" i="5"/>
  <c r="L209" i="5"/>
  <c r="L205" i="5"/>
  <c r="L199" i="5"/>
  <c r="L195" i="5"/>
  <c r="L191" i="5"/>
  <c r="L176" i="5"/>
  <c r="L210" i="5"/>
  <c r="L206" i="5"/>
  <c r="L192" i="5"/>
  <c r="L181" i="5"/>
  <c r="P211" i="5"/>
  <c r="P207" i="5"/>
  <c r="P201" i="5"/>
  <c r="P197" i="5"/>
  <c r="P193" i="5"/>
  <c r="P212" i="5"/>
  <c r="P208" i="5"/>
  <c r="P202" i="5"/>
  <c r="P198" i="5"/>
  <c r="P194" i="5"/>
  <c r="P209" i="5"/>
  <c r="P205" i="5"/>
  <c r="P199" i="5"/>
  <c r="P195" i="5"/>
  <c r="P191" i="5"/>
  <c r="P176" i="5"/>
  <c r="P210" i="5"/>
  <c r="P206" i="5"/>
  <c r="P192" i="5"/>
  <c r="P181" i="5"/>
  <c r="P158" i="5"/>
  <c r="J142" i="5"/>
  <c r="K158" i="5"/>
  <c r="L158" i="5"/>
  <c r="K159" i="5" l="1"/>
  <c r="K36" i="5" s="1"/>
  <c r="L159" i="5"/>
  <c r="J154" i="5"/>
  <c r="J32" i="5" s="1"/>
  <c r="J153" i="5"/>
  <c r="J144" i="5"/>
  <c r="J176" i="5"/>
  <c r="J181" i="5" s="1"/>
  <c r="S176" i="5"/>
  <c r="S158" i="5"/>
  <c r="S159" i="5" s="1"/>
  <c r="Q158" i="5"/>
  <c r="M158" i="5"/>
  <c r="O158" i="5"/>
  <c r="J157" i="5"/>
  <c r="J35" i="5" l="1"/>
  <c r="K40" i="5"/>
  <c r="K39" i="5"/>
  <c r="J96" i="5"/>
  <c r="M159" i="5"/>
  <c r="O159" i="5"/>
  <c r="Q119" i="5"/>
  <c r="Q123" i="5"/>
  <c r="Q117" i="5"/>
  <c r="Q108" i="5"/>
  <c r="Q112" i="5"/>
  <c r="Q105" i="5"/>
  <c r="Q121" i="5"/>
  <c r="Q114" i="5"/>
  <c r="Q107" i="5"/>
  <c r="Q118" i="5"/>
  <c r="Q122" i="5"/>
  <c r="Q111" i="5"/>
  <c r="Q115" i="5"/>
  <c r="Q110" i="5"/>
  <c r="Q120" i="5"/>
  <c r="Q109" i="5"/>
  <c r="Q113" i="5"/>
  <c r="Q106" i="5"/>
  <c r="Q104" i="5"/>
  <c r="S121" i="5"/>
  <c r="S110" i="5"/>
  <c r="S114" i="5"/>
  <c r="S107" i="5"/>
  <c r="S104" i="5"/>
  <c r="S117" i="5"/>
  <c r="S112" i="5"/>
  <c r="S105" i="5"/>
  <c r="S120" i="5"/>
  <c r="S109" i="5"/>
  <c r="S113" i="5"/>
  <c r="S106" i="5"/>
  <c r="S123" i="5"/>
  <c r="S108" i="5"/>
  <c r="S118" i="5"/>
  <c r="S122" i="5"/>
  <c r="S111" i="5"/>
  <c r="S115" i="5"/>
  <c r="S119" i="5"/>
  <c r="R150" i="5"/>
  <c r="K150" i="5"/>
  <c r="P150" i="5"/>
  <c r="S193" i="5"/>
  <c r="S211" i="5"/>
  <c r="S192" i="5"/>
  <c r="S197" i="5"/>
  <c r="S199" i="5"/>
  <c r="S202" i="5"/>
  <c r="S210" i="5"/>
  <c r="S208" i="5"/>
  <c r="S198" i="5"/>
  <c r="J199" i="5"/>
  <c r="J198" i="5"/>
  <c r="J192" i="5"/>
  <c r="J211" i="5"/>
  <c r="J193" i="5"/>
  <c r="J210" i="5"/>
  <c r="J197" i="5"/>
  <c r="J191" i="5"/>
  <c r="J194" i="5"/>
  <c r="J212" i="5"/>
  <c r="J195" i="5"/>
  <c r="S195" i="5"/>
  <c r="S191" i="5"/>
  <c r="S194" i="5"/>
  <c r="S212" i="5"/>
  <c r="P49" i="5"/>
  <c r="J158" i="5"/>
  <c r="P167" i="5"/>
  <c r="N158" i="5"/>
  <c r="K33" i="5" l="1"/>
  <c r="K34" i="5" s="1"/>
  <c r="L30" i="5"/>
  <c r="P168" i="5"/>
  <c r="P159" i="5"/>
  <c r="P36" i="5" s="1"/>
  <c r="N159" i="5"/>
  <c r="J138" i="5"/>
  <c r="J127" i="5"/>
  <c r="J129" i="5"/>
  <c r="J131" i="5"/>
  <c r="J133" i="5"/>
  <c r="J137" i="5"/>
  <c r="J139" i="5"/>
  <c r="J126" i="5"/>
  <c r="J128" i="5"/>
  <c r="J130" i="5"/>
  <c r="J132" i="5"/>
  <c r="J134" i="5"/>
  <c r="J136" i="5"/>
  <c r="J125" i="5"/>
  <c r="J121" i="5"/>
  <c r="J110" i="5"/>
  <c r="J114" i="5"/>
  <c r="J107" i="5"/>
  <c r="J119" i="5"/>
  <c r="J108" i="5"/>
  <c r="J120" i="5"/>
  <c r="J117" i="5"/>
  <c r="J109" i="5"/>
  <c r="J113" i="5"/>
  <c r="J106" i="5"/>
  <c r="J112" i="5"/>
  <c r="J123" i="5"/>
  <c r="J118" i="5"/>
  <c r="J122" i="5"/>
  <c r="J111" i="5"/>
  <c r="J115" i="5"/>
  <c r="J104" i="5"/>
  <c r="J105" i="5"/>
  <c r="S206" i="5"/>
  <c r="J206" i="5"/>
  <c r="J208" i="5"/>
  <c r="S181" i="5"/>
  <c r="P39" i="5" l="1"/>
  <c r="P40" i="5"/>
  <c r="P169" i="5"/>
  <c r="P170" i="5"/>
  <c r="J150" i="5"/>
  <c r="L31" i="5"/>
  <c r="L167" i="5"/>
  <c r="J49" i="5"/>
  <c r="L36" i="5" l="1"/>
  <c r="L39" i="5" s="1"/>
  <c r="L162" i="5"/>
  <c r="L168" i="5" s="1"/>
  <c r="L169" i="5" s="1"/>
  <c r="P33" i="5"/>
  <c r="P34" i="5" s="1"/>
  <c r="P171" i="5"/>
  <c r="J159" i="5"/>
  <c r="J36" i="5" s="1"/>
  <c r="L37" i="5" l="1"/>
  <c r="L40" i="5" s="1"/>
  <c r="L163" i="5"/>
  <c r="L164" i="5" s="1"/>
  <c r="J39" i="5"/>
  <c r="J40" i="5"/>
  <c r="J33" i="5" s="1"/>
  <c r="J34" i="5" s="1"/>
  <c r="J201" i="5"/>
  <c r="J205" i="5"/>
  <c r="J207" i="5"/>
  <c r="S150" i="5"/>
  <c r="J209" i="5"/>
  <c r="L165" i="5"/>
  <c r="L166" i="5"/>
  <c r="M162" i="5" l="1"/>
  <c r="L35" i="5"/>
  <c r="M30" i="5"/>
  <c r="L33" i="5"/>
  <c r="L171" i="5"/>
  <c r="L170" i="5"/>
  <c r="L32" i="5"/>
  <c r="L96" i="5" s="1"/>
  <c r="S207" i="5"/>
  <c r="M31" i="5"/>
  <c r="M167" i="5"/>
  <c r="M36" i="5" l="1"/>
  <c r="M39" i="5" s="1"/>
  <c r="M168" i="5"/>
  <c r="M169" i="5" s="1"/>
  <c r="M37" i="5"/>
  <c r="M163" i="5"/>
  <c r="M164" i="5" s="1"/>
  <c r="L130" i="5"/>
  <c r="L133" i="5"/>
  <c r="L138" i="5"/>
  <c r="L114" i="5"/>
  <c r="L110" i="5"/>
  <c r="L106" i="5"/>
  <c r="L122" i="5"/>
  <c r="L107" i="5"/>
  <c r="L129" i="5"/>
  <c r="L120" i="5"/>
  <c r="L111" i="5"/>
  <c r="L126" i="5"/>
  <c r="L132" i="5"/>
  <c r="L121" i="5"/>
  <c r="L137" i="5"/>
  <c r="L136" i="5"/>
  <c r="L128" i="5"/>
  <c r="L131" i="5"/>
  <c r="L123" i="5"/>
  <c r="L119" i="5"/>
  <c r="L117" i="5"/>
  <c r="L113" i="5"/>
  <c r="L118" i="5"/>
  <c r="L134" i="5"/>
  <c r="L139" i="5"/>
  <c r="L127" i="5"/>
  <c r="L125" i="5"/>
  <c r="L104" i="5"/>
  <c r="L115" i="5"/>
  <c r="L109" i="5"/>
  <c r="L112" i="5"/>
  <c r="L108" i="5"/>
  <c r="L105" i="5"/>
  <c r="L34" i="5"/>
  <c r="Q210" i="5"/>
  <c r="Q198" i="5"/>
  <c r="Q197" i="5"/>
  <c r="Q199" i="5"/>
  <c r="Q193" i="5"/>
  <c r="Q208" i="5"/>
  <c r="Q191" i="5"/>
  <c r="Q181" i="5"/>
  <c r="Q205" i="5"/>
  <c r="Q201" i="5"/>
  <c r="Q207" i="5"/>
  <c r="Q211" i="5"/>
  <c r="Q212" i="5"/>
  <c r="Q192" i="5"/>
  <c r="Q194" i="5"/>
  <c r="Q206" i="5"/>
  <c r="Q209" i="5"/>
  <c r="Q202" i="5"/>
  <c r="Q195" i="5"/>
  <c r="M165" i="5"/>
  <c r="M166" i="5"/>
  <c r="N167" i="5"/>
  <c r="M40" i="5" l="1"/>
  <c r="N30" i="5" s="1"/>
  <c r="L150" i="5"/>
  <c r="N36" i="5"/>
  <c r="N39" i="5" s="1"/>
  <c r="N162" i="5"/>
  <c r="N168" i="5" s="1"/>
  <c r="N169" i="5" s="1"/>
  <c r="M35" i="5"/>
  <c r="M33" i="5"/>
  <c r="M170" i="5"/>
  <c r="M171" i="5"/>
  <c r="M32" i="5"/>
  <c r="M96" i="5" s="1"/>
  <c r="S201" i="5"/>
  <c r="S205" i="5"/>
  <c r="S209" i="5"/>
  <c r="N31" i="5"/>
  <c r="N37" i="5" l="1"/>
  <c r="N40" i="5" s="1"/>
  <c r="N163" i="5"/>
  <c r="N164" i="5" s="1"/>
  <c r="M139" i="5"/>
  <c r="M133" i="5"/>
  <c r="M138" i="5"/>
  <c r="M126" i="5"/>
  <c r="M128" i="5"/>
  <c r="M134" i="5"/>
  <c r="M127" i="5"/>
  <c r="M129" i="5"/>
  <c r="M132" i="5"/>
  <c r="M137" i="5"/>
  <c r="M125" i="5"/>
  <c r="M136" i="5"/>
  <c r="M131" i="5"/>
  <c r="M130" i="5"/>
  <c r="M122" i="5"/>
  <c r="M108" i="5"/>
  <c r="M105" i="5"/>
  <c r="M119" i="5"/>
  <c r="M113" i="5"/>
  <c r="M114" i="5"/>
  <c r="M109" i="5"/>
  <c r="M106" i="5"/>
  <c r="M111" i="5"/>
  <c r="M120" i="5"/>
  <c r="M117" i="5"/>
  <c r="M115" i="5"/>
  <c r="M118" i="5"/>
  <c r="M104" i="5"/>
  <c r="M110" i="5"/>
  <c r="M107" i="5"/>
  <c r="M121" i="5"/>
  <c r="M112" i="5"/>
  <c r="M123" i="5"/>
  <c r="M34" i="5"/>
  <c r="N165" i="5"/>
  <c r="N166" i="5"/>
  <c r="O167" i="5"/>
  <c r="M150" i="5" l="1"/>
  <c r="O36" i="5"/>
  <c r="O39" i="5" s="1"/>
  <c r="O162" i="5"/>
  <c r="O168" i="5" s="1"/>
  <c r="O169" i="5" s="1"/>
  <c r="N35" i="5"/>
  <c r="O30" i="5"/>
  <c r="N33" i="5"/>
  <c r="N170" i="5"/>
  <c r="N171" i="5"/>
  <c r="N32" i="5"/>
  <c r="N96" i="5" s="1"/>
  <c r="O31" i="5"/>
  <c r="O37" i="5" l="1"/>
  <c r="O40" i="5" s="1"/>
  <c r="O33" i="5" s="1"/>
  <c r="O163" i="5"/>
  <c r="O164" i="5" s="1"/>
  <c r="N132" i="5"/>
  <c r="N136" i="5"/>
  <c r="N128" i="5"/>
  <c r="N131" i="5"/>
  <c r="N134" i="5"/>
  <c r="N139" i="5"/>
  <c r="N127" i="5"/>
  <c r="N130" i="5"/>
  <c r="N133" i="5"/>
  <c r="N138" i="5"/>
  <c r="N126" i="5"/>
  <c r="N129" i="5"/>
  <c r="N125" i="5"/>
  <c r="N137" i="5"/>
  <c r="N122" i="5"/>
  <c r="N118" i="5"/>
  <c r="N106" i="5"/>
  <c r="N120" i="5"/>
  <c r="N117" i="5"/>
  <c r="N104" i="5"/>
  <c r="N109" i="5"/>
  <c r="N119" i="5"/>
  <c r="N105" i="5"/>
  <c r="N108" i="5"/>
  <c r="N112" i="5"/>
  <c r="N113" i="5"/>
  <c r="N121" i="5"/>
  <c r="N123" i="5"/>
  <c r="N107" i="5"/>
  <c r="N115" i="5"/>
  <c r="N114" i="5"/>
  <c r="N111" i="5"/>
  <c r="N110" i="5"/>
  <c r="N34" i="5"/>
  <c r="Q150" i="5"/>
  <c r="Q49" i="5"/>
  <c r="O165" i="5"/>
  <c r="O166" i="5"/>
  <c r="Q167" i="5"/>
  <c r="N150" i="5" l="1"/>
  <c r="O35" i="5"/>
  <c r="O171" i="5"/>
  <c r="O170" i="5"/>
  <c r="O32" i="5"/>
  <c r="O96" i="5" s="1"/>
  <c r="Q159" i="5"/>
  <c r="Q36" i="5" s="1"/>
  <c r="Q40" i="5" s="1"/>
  <c r="O34" i="5" l="1"/>
  <c r="O131" i="5"/>
  <c r="O134" i="5"/>
  <c r="O139" i="5"/>
  <c r="O127" i="5"/>
  <c r="O130" i="5"/>
  <c r="O133" i="5"/>
  <c r="O138" i="5"/>
  <c r="O126" i="5"/>
  <c r="O129" i="5"/>
  <c r="O132" i="5"/>
  <c r="O137" i="5"/>
  <c r="O136" i="5"/>
  <c r="O128" i="5"/>
  <c r="O125" i="5"/>
  <c r="O112" i="5"/>
  <c r="O110" i="5"/>
  <c r="O120" i="5"/>
  <c r="O118" i="5"/>
  <c r="O106" i="5"/>
  <c r="O108" i="5"/>
  <c r="O115" i="5"/>
  <c r="O104" i="5"/>
  <c r="O117" i="5"/>
  <c r="O113" i="5"/>
  <c r="O121" i="5"/>
  <c r="O111" i="5"/>
  <c r="O107" i="5"/>
  <c r="O123" i="5"/>
  <c r="O109" i="5"/>
  <c r="O105" i="5"/>
  <c r="O119" i="5"/>
  <c r="O122" i="5"/>
  <c r="O114" i="5"/>
  <c r="Q39" i="5"/>
  <c r="Q33" i="5"/>
  <c r="Q34" i="5" s="1"/>
  <c r="Q168" i="5"/>
  <c r="Q169" i="5" s="1"/>
  <c r="O150" i="5" l="1"/>
  <c r="Q170" i="5"/>
  <c r="Q17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만든 이</author>
  </authors>
  <commentList>
    <comment ref="I48" authorId="0" shapeId="0" xr:uid="{00000000-0006-0000-0200-000001000000}">
      <text>
        <r>
          <rPr>
            <b/>
            <sz val="12"/>
            <color indexed="81"/>
            <rFont val="Arial"/>
            <family val="2"/>
          </rPr>
          <t xml:space="preserve">- Copper, Brass, Glass &amp; Plastic Pipe </t>
        </r>
        <r>
          <rPr>
            <sz val="12"/>
            <color indexed="81"/>
            <rFont val="Arial"/>
            <family val="2"/>
          </rPr>
          <t xml:space="preserve">
   New ans Very Smooth:  </t>
        </r>
        <r>
          <rPr>
            <b/>
            <sz val="12"/>
            <color indexed="10"/>
            <rFont val="Arial"/>
            <family val="2"/>
          </rPr>
          <t>0.0016 mm</t>
        </r>
        <r>
          <rPr>
            <sz val="12"/>
            <color indexed="81"/>
            <rFont val="Arial"/>
            <family val="2"/>
          </rPr>
          <t xml:space="preserve">
</t>
        </r>
        <r>
          <rPr>
            <b/>
            <sz val="12"/>
            <color indexed="81"/>
            <rFont val="Arial"/>
            <family val="2"/>
          </rPr>
          <t>- Seamless Steel Pipe</t>
        </r>
        <r>
          <rPr>
            <sz val="12"/>
            <color indexed="81"/>
            <rFont val="Arial"/>
            <family val="2"/>
          </rPr>
          <t xml:space="preserve">
   New : </t>
        </r>
        <r>
          <rPr>
            <b/>
            <sz val="12"/>
            <color indexed="10"/>
            <rFont val="Arial"/>
            <family val="2"/>
          </rPr>
          <t>0.02 - 0.06 mm</t>
        </r>
        <r>
          <rPr>
            <sz val="12"/>
            <color indexed="81"/>
            <rFont val="Arial"/>
            <family val="2"/>
          </rPr>
          <t xml:space="preserve">
   Slightly rusted :</t>
        </r>
        <r>
          <rPr>
            <b/>
            <sz val="12"/>
            <color indexed="10"/>
            <rFont val="Arial"/>
            <family val="2"/>
          </rPr>
          <t xml:space="preserve"> 0.15 - 0.4 mm</t>
        </r>
        <r>
          <rPr>
            <sz val="12"/>
            <color indexed="81"/>
            <rFont val="Arial"/>
            <family val="2"/>
          </rPr>
          <t xml:space="preserve">
   Severely rusted :</t>
        </r>
        <r>
          <rPr>
            <b/>
            <sz val="12"/>
            <color indexed="10"/>
            <rFont val="Arial"/>
            <family val="2"/>
          </rPr>
          <t xml:space="preserve"> 2 - 4 mm</t>
        </r>
        <r>
          <rPr>
            <sz val="12"/>
            <color indexed="81"/>
            <rFont val="Arial"/>
            <family val="2"/>
          </rPr>
          <t xml:space="preserve">
   Mechanically Cleaned after long use :</t>
        </r>
        <r>
          <rPr>
            <b/>
            <sz val="12"/>
            <color indexed="10"/>
            <rFont val="Arial"/>
            <family val="2"/>
          </rPr>
          <t xml:space="preserve"> 0.15 - 0.4 mm</t>
        </r>
        <r>
          <rPr>
            <sz val="12"/>
            <color indexed="81"/>
            <rFont val="Arial"/>
            <family val="2"/>
          </rPr>
          <t xml:space="preserve">
   Galvanized :</t>
        </r>
        <r>
          <rPr>
            <b/>
            <sz val="12"/>
            <color indexed="10"/>
            <rFont val="Arial"/>
            <family val="2"/>
          </rPr>
          <t xml:space="preserve"> 0.1 - 0.16 mm</t>
        </r>
        <r>
          <rPr>
            <sz val="12"/>
            <color indexed="81"/>
            <rFont val="Arial"/>
            <family val="2"/>
          </rPr>
          <t xml:space="preserve">
</t>
        </r>
        <r>
          <rPr>
            <b/>
            <sz val="12"/>
            <color indexed="81"/>
            <rFont val="Arial"/>
            <family val="2"/>
          </rPr>
          <t>- Cast Iron Pipe</t>
        </r>
        <r>
          <rPr>
            <sz val="12"/>
            <color indexed="81"/>
            <rFont val="Arial"/>
            <family val="2"/>
          </rPr>
          <t xml:space="preserve">
   New :</t>
        </r>
        <r>
          <rPr>
            <b/>
            <sz val="12"/>
            <color indexed="10"/>
            <rFont val="Arial"/>
            <family val="2"/>
          </rPr>
          <t xml:space="preserve"> 0.2 - 0.6 mm</t>
        </r>
        <r>
          <rPr>
            <sz val="12"/>
            <color indexed="81"/>
            <rFont val="Arial"/>
            <family val="2"/>
          </rPr>
          <t xml:space="preserve">
   Slightly rusted : </t>
        </r>
        <r>
          <rPr>
            <b/>
            <sz val="12"/>
            <color indexed="10"/>
            <rFont val="Arial"/>
            <family val="2"/>
          </rPr>
          <t>1 - 1.5 mm</t>
        </r>
        <r>
          <rPr>
            <sz val="12"/>
            <color indexed="81"/>
            <rFont val="Arial"/>
            <family val="2"/>
          </rPr>
          <t xml:space="preserve">
   Mechanically Cleaned after long use :</t>
        </r>
        <r>
          <rPr>
            <b/>
            <sz val="12"/>
            <color indexed="10"/>
            <rFont val="Arial"/>
            <family val="2"/>
          </rPr>
          <t xml:space="preserve"> 0.3 - 1.5 mm</t>
        </r>
        <r>
          <rPr>
            <sz val="12"/>
            <color indexed="81"/>
            <rFont val="Arial"/>
            <family val="2"/>
          </rPr>
          <t xml:space="preserve">
</t>
        </r>
        <r>
          <rPr>
            <b/>
            <sz val="12"/>
            <color indexed="81"/>
            <rFont val="Arial"/>
            <family val="2"/>
          </rPr>
          <t>- Concrete Pipe</t>
        </r>
        <r>
          <rPr>
            <sz val="12"/>
            <color indexed="81"/>
            <rFont val="Arial"/>
            <family val="2"/>
          </rPr>
          <t xml:space="preserve">
   New, Smooth finish : </t>
        </r>
        <r>
          <rPr>
            <b/>
            <sz val="12"/>
            <color indexed="10"/>
            <rFont val="Arial"/>
            <family val="2"/>
          </rPr>
          <t>0.3 - 0.8 mm</t>
        </r>
        <r>
          <rPr>
            <sz val="12"/>
            <color indexed="81"/>
            <rFont val="Arial"/>
            <family val="2"/>
          </rPr>
          <t xml:space="preserve">
   New, Medium finish :</t>
        </r>
        <r>
          <rPr>
            <b/>
            <sz val="12"/>
            <color indexed="81"/>
            <rFont val="Arial"/>
            <family val="2"/>
          </rPr>
          <t xml:space="preserve"> </t>
        </r>
        <r>
          <rPr>
            <b/>
            <sz val="12"/>
            <color indexed="10"/>
            <rFont val="Arial"/>
            <family val="2"/>
          </rPr>
          <t>1 - 2 mm</t>
        </r>
        <r>
          <rPr>
            <sz val="12"/>
            <color indexed="81"/>
            <rFont val="Arial"/>
            <family val="2"/>
          </rPr>
          <t xml:space="preserve">
   RC or PC, Smooth finish : </t>
        </r>
        <r>
          <rPr>
            <b/>
            <sz val="12"/>
            <color indexed="10"/>
            <rFont val="Arial"/>
            <family val="2"/>
          </rPr>
          <t>0.2 - 0.8 mm</t>
        </r>
        <r>
          <rPr>
            <sz val="12"/>
            <color indexed="81"/>
            <rFont val="Arial"/>
            <family val="2"/>
          </rPr>
          <t xml:space="preserve">
</t>
        </r>
        <r>
          <rPr>
            <b/>
            <sz val="12"/>
            <color indexed="81"/>
            <rFont val="Arial"/>
            <family val="2"/>
          </rPr>
          <t>- Ceramic Pipe</t>
        </r>
        <r>
          <rPr>
            <sz val="12"/>
            <color indexed="81"/>
            <rFont val="Arial"/>
            <family val="2"/>
          </rPr>
          <t xml:space="preserve">
   Porcelain :</t>
        </r>
        <r>
          <rPr>
            <b/>
            <sz val="12"/>
            <color indexed="81"/>
            <rFont val="Arial"/>
            <family val="2"/>
          </rPr>
          <t xml:space="preserve"> </t>
        </r>
        <r>
          <rPr>
            <b/>
            <sz val="12"/>
            <color indexed="10"/>
            <rFont val="Arial"/>
            <family val="2"/>
          </rPr>
          <t>0.3 - 0.8 mm</t>
        </r>
        <r>
          <rPr>
            <sz val="12"/>
            <color indexed="81"/>
            <rFont val="Arial"/>
            <family val="2"/>
          </rPr>
          <t xml:space="preserve">
   New, Medium finish : </t>
        </r>
        <r>
          <rPr>
            <b/>
            <sz val="12"/>
            <color indexed="10"/>
            <rFont val="Arial"/>
            <family val="2"/>
          </rPr>
          <t>1 - 2 mm</t>
        </r>
        <r>
          <rPr>
            <sz val="12"/>
            <color indexed="81"/>
            <rFont val="Arial"/>
            <family val="2"/>
          </rPr>
          <t xml:space="preserve">
   RC or PC, Smooth finish : </t>
        </r>
        <r>
          <rPr>
            <b/>
            <sz val="12"/>
            <color indexed="10"/>
            <rFont val="Arial"/>
            <family val="2"/>
          </rPr>
          <t>0.2 - 0.8 mm</t>
        </r>
        <r>
          <rPr>
            <b/>
            <sz val="9"/>
            <color indexed="81"/>
            <rFont val="돋움"/>
            <family val="3"/>
            <charset val="129"/>
          </rPr>
          <t xml:space="preserve">
</t>
        </r>
        <r>
          <rPr>
            <sz val="9"/>
            <color indexed="81"/>
            <rFont val="Tahoma"/>
            <family val="2"/>
          </rPr>
          <t xml:space="preserve">
</t>
        </r>
      </text>
    </comment>
    <comment ref="I183" authorId="0" shapeId="0" xr:uid="{00000000-0006-0000-0200-000002000000}">
      <text>
        <r>
          <rPr>
            <b/>
            <sz val="9"/>
            <color indexed="81"/>
            <rFont val="Tahoma"/>
            <family val="2"/>
          </rPr>
          <t>HTFS</t>
        </r>
        <r>
          <rPr>
            <b/>
            <sz val="9"/>
            <color indexed="81"/>
            <rFont val="돋움"/>
            <family val="3"/>
            <charset val="129"/>
          </rPr>
          <t>를</t>
        </r>
        <r>
          <rPr>
            <b/>
            <sz val="9"/>
            <color indexed="81"/>
            <rFont val="Tahoma"/>
            <family val="2"/>
          </rPr>
          <t xml:space="preserve"> </t>
        </r>
        <r>
          <rPr>
            <b/>
            <sz val="9"/>
            <color indexed="81"/>
            <rFont val="돋움"/>
            <family val="3"/>
            <charset val="129"/>
          </rPr>
          <t>선택할</t>
        </r>
        <r>
          <rPr>
            <b/>
            <sz val="9"/>
            <color indexed="81"/>
            <rFont val="Tahoma"/>
            <family val="2"/>
          </rPr>
          <t xml:space="preserve"> </t>
        </r>
        <r>
          <rPr>
            <b/>
            <sz val="9"/>
            <color indexed="81"/>
            <rFont val="돋움"/>
            <family val="3"/>
            <charset val="129"/>
          </rPr>
          <t xml:space="preserve">때
</t>
        </r>
        <r>
          <rPr>
            <b/>
            <sz val="9"/>
            <color indexed="81"/>
            <rFont val="Tahoma"/>
            <family val="2"/>
          </rPr>
          <t xml:space="preserve">Mach No. </t>
        </r>
        <r>
          <rPr>
            <b/>
            <sz val="9"/>
            <color indexed="81"/>
            <rFont val="돋움"/>
            <family val="3"/>
            <charset val="129"/>
          </rPr>
          <t xml:space="preserve">적용
</t>
        </r>
      </text>
    </comment>
    <comment ref="I184" authorId="0" shapeId="0" xr:uid="{00000000-0006-0000-0200-000003000000}">
      <text>
        <r>
          <rPr>
            <b/>
            <sz val="9"/>
            <color indexed="81"/>
            <rFont val="Tahoma"/>
            <family val="2"/>
          </rPr>
          <t>HTFS</t>
        </r>
        <r>
          <rPr>
            <b/>
            <sz val="9"/>
            <color indexed="81"/>
            <rFont val="돋움"/>
            <family val="3"/>
            <charset val="129"/>
          </rPr>
          <t>를</t>
        </r>
        <r>
          <rPr>
            <b/>
            <sz val="9"/>
            <color indexed="81"/>
            <rFont val="Tahoma"/>
            <family val="2"/>
          </rPr>
          <t xml:space="preserve"> </t>
        </r>
        <r>
          <rPr>
            <b/>
            <sz val="9"/>
            <color indexed="81"/>
            <rFont val="돋움"/>
            <family val="3"/>
            <charset val="129"/>
          </rPr>
          <t>선택할</t>
        </r>
        <r>
          <rPr>
            <b/>
            <sz val="9"/>
            <color indexed="81"/>
            <rFont val="Tahoma"/>
            <family val="2"/>
          </rPr>
          <t xml:space="preserve"> </t>
        </r>
        <r>
          <rPr>
            <b/>
            <sz val="9"/>
            <color indexed="81"/>
            <rFont val="돋움"/>
            <family val="3"/>
            <charset val="129"/>
          </rPr>
          <t xml:space="preserve">때
</t>
        </r>
        <r>
          <rPr>
            <b/>
            <sz val="9"/>
            <color indexed="81"/>
            <rFont val="Tahoma"/>
            <family val="2"/>
          </rPr>
          <t xml:space="preserve">Mach No. </t>
        </r>
        <r>
          <rPr>
            <b/>
            <sz val="9"/>
            <color indexed="81"/>
            <rFont val="돋움"/>
            <family val="3"/>
            <charset val="129"/>
          </rPr>
          <t xml:space="preserve">적용
</t>
        </r>
      </text>
    </comment>
    <comment ref="I185" authorId="0" shapeId="0" xr:uid="{00000000-0006-0000-0200-000004000000}">
      <text>
        <r>
          <rPr>
            <b/>
            <sz val="9"/>
            <color indexed="81"/>
            <rFont val="Tahoma"/>
            <family val="2"/>
          </rPr>
          <t>HTFS</t>
        </r>
        <r>
          <rPr>
            <b/>
            <sz val="9"/>
            <color indexed="81"/>
            <rFont val="돋움"/>
            <family val="3"/>
            <charset val="129"/>
          </rPr>
          <t>를</t>
        </r>
        <r>
          <rPr>
            <b/>
            <sz val="9"/>
            <color indexed="81"/>
            <rFont val="Tahoma"/>
            <family val="2"/>
          </rPr>
          <t xml:space="preserve"> </t>
        </r>
        <r>
          <rPr>
            <b/>
            <sz val="9"/>
            <color indexed="81"/>
            <rFont val="돋움"/>
            <family val="3"/>
            <charset val="129"/>
          </rPr>
          <t>선택할</t>
        </r>
        <r>
          <rPr>
            <b/>
            <sz val="9"/>
            <color indexed="81"/>
            <rFont val="Tahoma"/>
            <family val="2"/>
          </rPr>
          <t xml:space="preserve"> </t>
        </r>
        <r>
          <rPr>
            <b/>
            <sz val="9"/>
            <color indexed="81"/>
            <rFont val="돋움"/>
            <family val="3"/>
            <charset val="129"/>
          </rPr>
          <t>때
위에서</t>
        </r>
        <r>
          <rPr>
            <b/>
            <sz val="9"/>
            <color indexed="81"/>
            <rFont val="Tahoma"/>
            <family val="2"/>
          </rPr>
          <t xml:space="preserve"> </t>
        </r>
        <r>
          <rPr>
            <b/>
            <sz val="9"/>
            <color indexed="81"/>
            <rFont val="돋움"/>
            <family val="3"/>
            <charset val="129"/>
          </rPr>
          <t>정리할</t>
        </r>
        <r>
          <rPr>
            <b/>
            <sz val="9"/>
            <color indexed="81"/>
            <rFont val="Tahoma"/>
            <family val="2"/>
          </rPr>
          <t xml:space="preserve"> </t>
        </r>
        <r>
          <rPr>
            <b/>
            <sz val="9"/>
            <color indexed="81"/>
            <rFont val="돋움"/>
            <family val="3"/>
            <charset val="129"/>
          </rPr>
          <t>때는</t>
        </r>
        <r>
          <rPr>
            <b/>
            <sz val="9"/>
            <color indexed="81"/>
            <rFont val="Tahoma"/>
            <family val="2"/>
          </rPr>
          <t xml:space="preserve"> 
friction </t>
        </r>
        <r>
          <rPr>
            <b/>
            <sz val="9"/>
            <color indexed="81"/>
            <rFont val="맑은 고딕"/>
            <family val="3"/>
            <charset val="129"/>
          </rPr>
          <t>Δ</t>
        </r>
        <r>
          <rPr>
            <b/>
            <sz val="7.65"/>
            <color indexed="81"/>
            <rFont val="Tahoma"/>
            <family val="2"/>
          </rPr>
          <t>P</t>
        </r>
        <r>
          <rPr>
            <b/>
            <sz val="7.65"/>
            <color indexed="81"/>
            <rFont val="맑은 고딕"/>
            <family val="3"/>
            <charset val="129"/>
          </rPr>
          <t>과</t>
        </r>
        <r>
          <rPr>
            <b/>
            <sz val="7.65"/>
            <color indexed="81"/>
            <rFont val="Tahoma"/>
            <family val="2"/>
          </rPr>
          <t xml:space="preserve"> Acceleration </t>
        </r>
        <r>
          <rPr>
            <b/>
            <sz val="7.65"/>
            <color indexed="81"/>
            <rFont val="맑은 고딕"/>
            <family val="3"/>
            <charset val="129"/>
          </rPr>
          <t>Δ</t>
        </r>
        <r>
          <rPr>
            <b/>
            <sz val="7.65"/>
            <color indexed="81"/>
            <rFont val="Tahoma"/>
            <family val="2"/>
          </rPr>
          <t>P</t>
        </r>
        <r>
          <rPr>
            <b/>
            <sz val="7.65"/>
            <color indexed="81"/>
            <rFont val="맑은 고딕"/>
            <family val="3"/>
            <charset val="129"/>
          </rPr>
          <t>과</t>
        </r>
        <r>
          <rPr>
            <b/>
            <sz val="7.65"/>
            <color indexed="81"/>
            <rFont val="Tahoma"/>
            <family val="2"/>
          </rPr>
          <t xml:space="preserve"> </t>
        </r>
        <r>
          <rPr>
            <b/>
            <sz val="7.65"/>
            <color indexed="81"/>
            <rFont val="맑은 고딕"/>
            <family val="3"/>
            <charset val="129"/>
          </rPr>
          <t xml:space="preserve">합침
</t>
        </r>
      </text>
    </comment>
  </commentList>
</comments>
</file>

<file path=xl/sharedStrings.xml><?xml version="1.0" encoding="utf-8"?>
<sst xmlns="http://schemas.openxmlformats.org/spreadsheetml/2006/main" count="485" uniqueCount="336">
  <si>
    <t>PIPING  SPEC.</t>
    <phoneticPr fontId="4" type="noConversion"/>
  </si>
  <si>
    <t>5S</t>
  </si>
  <si>
    <t>10S</t>
  </si>
  <si>
    <t>40S</t>
  </si>
  <si>
    <t>80S</t>
  </si>
  <si>
    <t>STD</t>
  </si>
  <si>
    <t>XS</t>
  </si>
  <si>
    <t>XXS</t>
  </si>
  <si>
    <t>ANSI</t>
  </si>
  <si>
    <t>NA</t>
  </si>
  <si>
    <t xml:space="preserve">         </t>
  </si>
  <si>
    <t>NEWTONIAN</t>
    <phoneticPr fontId="4" type="noConversion"/>
  </si>
  <si>
    <t>NON-NEWTONIAN</t>
    <phoneticPr fontId="4" type="noConversion"/>
  </si>
  <si>
    <t>Com.factor</t>
    <phoneticPr fontId="4" type="noConversion"/>
  </si>
  <si>
    <t>HTFS</t>
    <phoneticPr fontId="4" type="noConversion"/>
  </si>
  <si>
    <t>Homogeneous</t>
    <phoneticPr fontId="4" type="noConversion"/>
  </si>
  <si>
    <t>DuklerII</t>
    <phoneticPr fontId="4" type="noConversion"/>
  </si>
  <si>
    <t>CENTRIFUGAL</t>
    <phoneticPr fontId="4" type="noConversion"/>
  </si>
  <si>
    <t>RECIPROCATING</t>
    <phoneticPr fontId="4" type="noConversion"/>
  </si>
  <si>
    <t>Fitting</t>
    <phoneticPr fontId="4" type="noConversion"/>
  </si>
  <si>
    <t>ROTARY</t>
    <phoneticPr fontId="4" type="noConversion"/>
  </si>
  <si>
    <t>SERVICE</t>
  </si>
  <si>
    <t>STREAM   ID</t>
  </si>
  <si>
    <t>Fitting</t>
  </si>
  <si>
    <t xml:space="preserve">    90 deg        </t>
    <phoneticPr fontId="4" type="noConversion"/>
  </si>
  <si>
    <t xml:space="preserve">Std (R/D=1), screwed  </t>
    <phoneticPr fontId="4" type="noConversion"/>
  </si>
  <si>
    <t xml:space="preserve">                        </t>
    <phoneticPr fontId="4" type="noConversion"/>
  </si>
  <si>
    <t>Std (R/D=1), flg/wld</t>
    <phoneticPr fontId="4" type="noConversion"/>
  </si>
  <si>
    <t>LR (R/D=1.5), screwed</t>
    <phoneticPr fontId="4" type="noConversion"/>
  </si>
  <si>
    <t xml:space="preserve">                      </t>
    <phoneticPr fontId="4" type="noConversion"/>
  </si>
  <si>
    <t>LR (R/D=1.5), flg/wld</t>
    <phoneticPr fontId="4" type="noConversion"/>
  </si>
  <si>
    <t xml:space="preserve">    45 deg        </t>
    <phoneticPr fontId="4" type="noConversion"/>
  </si>
  <si>
    <t xml:space="preserve">Std (R/D=1), screwed  </t>
  </si>
  <si>
    <t xml:space="preserve">                       </t>
    <phoneticPr fontId="4" type="noConversion"/>
  </si>
  <si>
    <t xml:space="preserve">    180 deg      </t>
    <phoneticPr fontId="4" type="noConversion"/>
  </si>
  <si>
    <t xml:space="preserve">    As Elbow      </t>
    <phoneticPr fontId="4" type="noConversion"/>
  </si>
  <si>
    <t xml:space="preserve">Std, screwed  </t>
    <phoneticPr fontId="4" type="noConversion"/>
  </si>
  <si>
    <t xml:space="preserve">                           </t>
    <phoneticPr fontId="4" type="noConversion"/>
  </si>
  <si>
    <t>LR, screwed</t>
    <phoneticPr fontId="4" type="noConversion"/>
  </si>
  <si>
    <t>Std, flg/wld</t>
    <phoneticPr fontId="4" type="noConversion"/>
  </si>
  <si>
    <t>Stub-in-type branch</t>
    <phoneticPr fontId="4" type="noConversion"/>
  </si>
  <si>
    <t xml:space="preserve">    Run through</t>
    <phoneticPr fontId="4" type="noConversion"/>
  </si>
  <si>
    <t xml:space="preserve">Screwed  </t>
    <phoneticPr fontId="4" type="noConversion"/>
  </si>
  <si>
    <t>Flanged or welded</t>
    <phoneticPr fontId="4" type="noConversion"/>
  </si>
  <si>
    <t xml:space="preserve">   VALVES (FULL OPEN)</t>
    <phoneticPr fontId="4" type="noConversion"/>
  </si>
  <si>
    <t xml:space="preserve">    Gate    </t>
    <phoneticPr fontId="4" type="noConversion"/>
  </si>
  <si>
    <t>Full line size, B=1</t>
    <phoneticPr fontId="4" type="noConversion"/>
  </si>
  <si>
    <t xml:space="preserve">    Ball                       </t>
    <phoneticPr fontId="4" type="noConversion"/>
  </si>
  <si>
    <t>Reduced trim, B=0.9</t>
    <phoneticPr fontId="4" type="noConversion"/>
  </si>
  <si>
    <t xml:space="preserve">    Plug                       </t>
    <phoneticPr fontId="4" type="noConversion"/>
  </si>
  <si>
    <t>Reduced trim, B=0.8</t>
    <phoneticPr fontId="4" type="noConversion"/>
  </si>
  <si>
    <t xml:space="preserve">    Others        </t>
    <phoneticPr fontId="4" type="noConversion"/>
  </si>
  <si>
    <t>Globe, standard</t>
    <phoneticPr fontId="4" type="noConversion"/>
  </si>
  <si>
    <t>Globe, angle or Y</t>
    <phoneticPr fontId="4" type="noConversion"/>
  </si>
  <si>
    <t>Diaphragm, dam type</t>
    <phoneticPr fontId="4" type="noConversion"/>
  </si>
  <si>
    <t>Butterfly</t>
    <phoneticPr fontId="4" type="noConversion"/>
  </si>
  <si>
    <t xml:space="preserve">    Check</t>
    <phoneticPr fontId="4" type="noConversion"/>
  </si>
  <si>
    <t>Lift</t>
    <phoneticPr fontId="4" type="noConversion"/>
  </si>
  <si>
    <t>Swing</t>
    <phoneticPr fontId="4" type="noConversion"/>
  </si>
  <si>
    <t>Tilting-disk</t>
    <phoneticPr fontId="4" type="noConversion"/>
  </si>
  <si>
    <t xml:space="preserve">   ETC</t>
    <phoneticPr fontId="4" type="noConversion"/>
  </si>
  <si>
    <t xml:space="preserve">    Entrance   </t>
    <phoneticPr fontId="4" type="noConversion"/>
  </si>
  <si>
    <t>Sharp-edged</t>
    <phoneticPr fontId="4" type="noConversion"/>
  </si>
  <si>
    <t>Inward projecting (Borda)</t>
    <phoneticPr fontId="4" type="noConversion"/>
  </si>
  <si>
    <t>Rounded</t>
    <phoneticPr fontId="4" type="noConversion"/>
  </si>
  <si>
    <t xml:space="preserve">    Exit                       </t>
    <phoneticPr fontId="4" type="noConversion"/>
  </si>
  <si>
    <t>all types</t>
    <phoneticPr fontId="4" type="noConversion"/>
  </si>
  <si>
    <t>Down Stream Pipe Dia</t>
    <phoneticPr fontId="4" type="noConversion"/>
  </si>
  <si>
    <t>Angle of dia change, degrees</t>
    <phoneticPr fontId="4" type="noConversion"/>
  </si>
  <si>
    <t>No. of reducer</t>
    <phoneticPr fontId="4" type="noConversion"/>
  </si>
  <si>
    <t>No. of enlarger</t>
    <phoneticPr fontId="4" type="noConversion"/>
  </si>
  <si>
    <t xml:space="preserve">   K Value</t>
    <phoneticPr fontId="4" type="noConversion"/>
  </si>
  <si>
    <t xml:space="preserve">   Elbow</t>
    <phoneticPr fontId="4" type="noConversion"/>
  </si>
  <si>
    <t xml:space="preserve">   Tee</t>
    <phoneticPr fontId="4" type="noConversion"/>
  </si>
  <si>
    <t xml:space="preserve">    Reducer       </t>
    <phoneticPr fontId="4" type="noConversion"/>
  </si>
  <si>
    <t>Angles of dia change, degree</t>
    <phoneticPr fontId="4" type="noConversion"/>
  </si>
  <si>
    <t>Kvalue of friction</t>
    <phoneticPr fontId="4" type="noConversion"/>
  </si>
  <si>
    <t>Kvalue of Velocity Head (L.D)</t>
    <phoneticPr fontId="4" type="noConversion"/>
  </si>
  <si>
    <t>Total Value</t>
    <phoneticPr fontId="4" type="noConversion"/>
  </si>
  <si>
    <t xml:space="preserve">    Enlarger</t>
    <phoneticPr fontId="4" type="noConversion"/>
  </si>
  <si>
    <t xml:space="preserve">    Total</t>
    <phoneticPr fontId="4" type="noConversion"/>
  </si>
  <si>
    <t>Resistence coefficients</t>
    <phoneticPr fontId="4" type="noConversion"/>
  </si>
  <si>
    <t xml:space="preserve">  LIQUID PHASE CAL.C</t>
    <phoneticPr fontId="28" type="noConversion"/>
  </si>
  <si>
    <t xml:space="preserve">   Flow rate (Liquild)</t>
    <phoneticPr fontId="4" type="noConversion"/>
  </si>
  <si>
    <r>
      <t>V</t>
    </r>
    <r>
      <rPr>
        <sz val="11"/>
        <color theme="1"/>
        <rFont val="맑은 고딕"/>
        <family val="2"/>
        <charset val="129"/>
        <scheme val="minor"/>
      </rPr>
      <t>elocity</t>
    </r>
    <phoneticPr fontId="28" type="noConversion"/>
  </si>
  <si>
    <t>K</t>
    <phoneticPr fontId="4" type="noConversion"/>
  </si>
  <si>
    <t>n</t>
    <phoneticPr fontId="4" type="noConversion"/>
  </si>
  <si>
    <t xml:space="preserve">   Reynolds No.</t>
    <phoneticPr fontId="4" type="noConversion"/>
  </si>
  <si>
    <t xml:space="preserve">   Friction Factor</t>
    <phoneticPr fontId="4" type="noConversion"/>
  </si>
  <si>
    <t xml:space="preserve">  VAPOR PHASE CAL.C</t>
    <phoneticPr fontId="28" type="noConversion"/>
  </si>
  <si>
    <t xml:space="preserve">   Flow rate (Vapor)</t>
    <phoneticPr fontId="4" type="noConversion"/>
  </si>
  <si>
    <t xml:space="preserve">   Gas Density @ in</t>
    <phoneticPr fontId="4" type="noConversion"/>
  </si>
  <si>
    <t xml:space="preserve">   Vol.Flow @ in</t>
    <phoneticPr fontId="4" type="noConversion"/>
  </si>
  <si>
    <t xml:space="preserve">   Velocity @ in</t>
    <phoneticPr fontId="4" type="noConversion"/>
  </si>
  <si>
    <t xml:space="preserve">   Reynolds No</t>
    <phoneticPr fontId="4" type="noConversion"/>
  </si>
  <si>
    <t xml:space="preserve">   Press. Drop by Friction</t>
    <phoneticPr fontId="4" type="noConversion"/>
  </si>
  <si>
    <r>
      <t xml:space="preserve">   Pressure</t>
    </r>
    <r>
      <rPr>
        <sz val="10"/>
        <rFont val="Arial"/>
        <family val="2"/>
      </rPr>
      <t xml:space="preserve"> @</t>
    </r>
    <r>
      <rPr>
        <sz val="11"/>
        <color theme="1"/>
        <rFont val="맑은 고딕"/>
        <family val="2"/>
        <charset val="129"/>
        <scheme val="minor"/>
      </rPr>
      <t>Out</t>
    </r>
    <phoneticPr fontId="4" type="noConversion"/>
  </si>
  <si>
    <t xml:space="preserve">   Gas Density @ Out</t>
    <phoneticPr fontId="4" type="noConversion"/>
  </si>
  <si>
    <t xml:space="preserve">   Velocity @ Out</t>
    <phoneticPr fontId="4" type="noConversion"/>
  </si>
  <si>
    <t xml:space="preserve">   Mach no. @Out</t>
    <phoneticPr fontId="4" type="noConversion"/>
  </si>
  <si>
    <t xml:space="preserve">  TWO-PHASE CAL.C</t>
    <phoneticPr fontId="4" type="noConversion"/>
  </si>
  <si>
    <t xml:space="preserve">   METHOD SELECTION</t>
    <phoneticPr fontId="4" type="noConversion"/>
  </si>
  <si>
    <t xml:space="preserve">   Upward Angle</t>
    <phoneticPr fontId="4" type="noConversion"/>
  </si>
  <si>
    <t xml:space="preserve">   Vapor Flow rate @ outlet</t>
    <phoneticPr fontId="4" type="noConversion"/>
  </si>
  <si>
    <t xml:space="preserve">   C factor</t>
    <phoneticPr fontId="4" type="noConversion"/>
  </si>
  <si>
    <t xml:space="preserve">   Density</t>
    <phoneticPr fontId="4" type="noConversion"/>
  </si>
  <si>
    <t xml:space="preserve">   Bulk Density</t>
    <phoneticPr fontId="4" type="noConversion"/>
  </si>
  <si>
    <t xml:space="preserve">   Bulk Viscosity</t>
    <phoneticPr fontId="4" type="noConversion"/>
  </si>
  <si>
    <t xml:space="preserve">   Velocity</t>
    <phoneticPr fontId="4" type="noConversion"/>
  </si>
  <si>
    <t xml:space="preserve">   Reynolds number</t>
    <phoneticPr fontId="4" type="noConversion"/>
  </si>
  <si>
    <t xml:space="preserve">   Press. Drop by friction</t>
    <phoneticPr fontId="4" type="noConversion"/>
  </si>
  <si>
    <t xml:space="preserve">   Press. Drop by gravity</t>
    <phoneticPr fontId="4" type="noConversion"/>
  </si>
  <si>
    <t xml:space="preserve">   Press. Drop by Acceleration</t>
    <phoneticPr fontId="4" type="noConversion"/>
  </si>
  <si>
    <t xml:space="preserve">   MachNo</t>
    <phoneticPr fontId="4" type="noConversion"/>
  </si>
  <si>
    <t xml:space="preserve">  FLOW REGIME FOR VERTICAL</t>
    <phoneticPr fontId="4" type="noConversion"/>
  </si>
  <si>
    <t xml:space="preserve">   Simpson</t>
    <phoneticPr fontId="4" type="noConversion"/>
  </si>
  <si>
    <t xml:space="preserve">   Griffith and Wallies</t>
    <phoneticPr fontId="4" type="noConversion"/>
  </si>
  <si>
    <t xml:space="preserve">   Taitel and Dukler</t>
    <phoneticPr fontId="4" type="noConversion"/>
  </si>
  <si>
    <t xml:space="preserve">   (1) Bubble-Slug</t>
    <phoneticPr fontId="4" type="noConversion"/>
  </si>
  <si>
    <t xml:space="preserve">        Annular-trans</t>
    <phoneticPr fontId="4" type="noConversion"/>
  </si>
  <si>
    <t xml:space="preserve">   (2) Slug-Chum</t>
    <phoneticPr fontId="4" type="noConversion"/>
  </si>
  <si>
    <t xml:space="preserve">        Transition</t>
    <phoneticPr fontId="4" type="noConversion"/>
  </si>
  <si>
    <t xml:space="preserve">   (3) Annular - Churn</t>
    <phoneticPr fontId="4" type="noConversion"/>
  </si>
  <si>
    <t xml:space="preserve">        Slug Trans</t>
    <phoneticPr fontId="4" type="noConversion"/>
  </si>
  <si>
    <t xml:space="preserve">  FLOW REGIME FOR HORZONTAL</t>
    <phoneticPr fontId="4" type="noConversion"/>
  </si>
  <si>
    <t xml:space="preserve">   Baker</t>
    <phoneticPr fontId="4" type="noConversion"/>
  </si>
  <si>
    <t xml:space="preserve">   Press drop by friction</t>
    <phoneticPr fontId="4" type="noConversion"/>
  </si>
  <si>
    <t>Equipment Pres. Drop</t>
    <phoneticPr fontId="28" type="noConversion"/>
  </si>
  <si>
    <t xml:space="preserve">               This data sheet and the design it covers are the property of GLOTEC ENGINEERING. They are merely loaned and shall not be disclosed to others or reproduced in any manner without permission of GLOTEC.</t>
  </si>
  <si>
    <t xml:space="preserve">PAGE </t>
  </si>
  <si>
    <t>OF</t>
  </si>
  <si>
    <t>PROJECT NO.</t>
  </si>
  <si>
    <t>PROJECT NAME</t>
  </si>
  <si>
    <t>ITEM NO.</t>
  </si>
  <si>
    <t>Q'TY</t>
  </si>
  <si>
    <t>HYDRAULIC CALCULATION</t>
    <phoneticPr fontId="53" type="noConversion"/>
  </si>
  <si>
    <t>DOC. NO.</t>
  </si>
  <si>
    <t>REV.</t>
  </si>
  <si>
    <t xml:space="preserve">1. INTRODUCTION </t>
    <phoneticPr fontId="1" type="noConversion"/>
  </si>
  <si>
    <t xml:space="preserve">THIS REPORT IS THE HYDRAULIC CALCULATION FOR UNLOADING GASOLINE FROM A TANKER TO TANK.  </t>
    <phoneticPr fontId="1" type="noConversion"/>
  </si>
  <si>
    <t xml:space="preserve">TANK IS LOCATED IN MAP TA PHUT, RAYONG, THAILAND. </t>
    <phoneticPr fontId="1" type="noConversion"/>
  </si>
  <si>
    <t>2.CALCULATION BASIS</t>
    <phoneticPr fontId="1" type="noConversion"/>
  </si>
  <si>
    <t xml:space="preserve">PROPERTY IS REFERRED BY ITB. LINE LENGTH IS REFERRED BY NFC OVERALL MASTER PLAN. THEY ARE  </t>
    <phoneticPr fontId="1" type="noConversion"/>
  </si>
  <si>
    <t>PROVIDED AS BELOW.</t>
    <phoneticPr fontId="1" type="noConversion"/>
  </si>
  <si>
    <t>2.1 PROPERTY</t>
    <phoneticPr fontId="1" type="noConversion"/>
  </si>
  <si>
    <t>MAX FLOW RATE</t>
    <phoneticPr fontId="1" type="noConversion"/>
  </si>
  <si>
    <t>kg/hr</t>
    <phoneticPr fontId="1" type="noConversion"/>
  </si>
  <si>
    <t>DENSITY</t>
    <phoneticPr fontId="1" type="noConversion"/>
  </si>
  <si>
    <t>kg/m3</t>
    <phoneticPr fontId="1" type="noConversion"/>
  </si>
  <si>
    <t>m3/hr</t>
    <phoneticPr fontId="1" type="noConversion"/>
  </si>
  <si>
    <t>VISCOSITY</t>
    <phoneticPr fontId="1" type="noConversion"/>
  </si>
  <si>
    <t>cP</t>
    <phoneticPr fontId="1" type="noConversion"/>
  </si>
  <si>
    <t>2.2 LINE LENGTH &amp; TANK LAYOUT</t>
    <phoneticPr fontId="1" type="noConversion"/>
  </si>
  <si>
    <t xml:space="preserve">TOTAL LENGTH </t>
    <phoneticPr fontId="1" type="noConversion"/>
  </si>
  <si>
    <t>m</t>
    <phoneticPr fontId="1" type="noConversion"/>
  </si>
  <si>
    <t>(REFERENCE:PLOT PLAN)</t>
    <phoneticPr fontId="1" type="noConversion"/>
  </si>
  <si>
    <t xml:space="preserve">TANK </t>
    <phoneticPr fontId="1" type="noConversion"/>
  </si>
  <si>
    <t>OP.PRESS</t>
    <phoneticPr fontId="1" type="noConversion"/>
  </si>
  <si>
    <t>kg/cm2G</t>
    <phoneticPr fontId="1" type="noConversion"/>
  </si>
  <si>
    <t>HEIGHT</t>
    <phoneticPr fontId="1" type="noConversion"/>
  </si>
  <si>
    <t>m</t>
    <phoneticPr fontId="1" type="noConversion"/>
  </si>
  <si>
    <t>3.CALCULATION RESULT</t>
    <phoneticPr fontId="1" type="noConversion"/>
  </si>
  <si>
    <t xml:space="preserve">WE CALCULATED THIS LINE HYDRUALIC BY 3 CASES. THERE ARE SECOND LINE'S DIAMETER ASSUMED </t>
    <phoneticPr fontId="1" type="noConversion"/>
  </si>
  <si>
    <t xml:space="preserve"> PIPE LINE IS INVESTIGATED 3 DIFFERENT PIPE LINE SIZES AND PUMP STATION CONFIGURATIONS AS PART</t>
    <phoneticPr fontId="53" type="noConversion"/>
  </si>
  <si>
    <t>14", 16", 18". THE SUMMARY OF CALCULATION FOR 3 CASE IS PROVIDED AS BELOW.</t>
    <phoneticPr fontId="1" type="noConversion"/>
  </si>
  <si>
    <t xml:space="preserve"> OF THE MULTI-PRODUCT PIPELINE SIZING STUDY. THERE ARE SECOND LINE'S DIAMETER ASSUMED </t>
    <phoneticPr fontId="1" type="noConversion"/>
  </si>
  <si>
    <t>REQUIRED
INLET PRESSURE</t>
    <phoneticPr fontId="1" type="noConversion"/>
  </si>
  <si>
    <t>Pressure Drop 
by Friction</t>
  </si>
  <si>
    <t>Equivalent
Length</t>
    <phoneticPr fontId="1" type="noConversion"/>
  </si>
  <si>
    <t>TOTAL
HEAD LOSS</t>
    <phoneticPr fontId="1" type="noConversion"/>
  </si>
  <si>
    <t>Velocity</t>
    <phoneticPr fontId="1" type="noConversion"/>
  </si>
  <si>
    <t>Pressure Drop 
/ 100 m</t>
    <phoneticPr fontId="53" type="noConversion"/>
  </si>
  <si>
    <t>CASE1 (16")</t>
    <phoneticPr fontId="1" type="noConversion"/>
  </si>
  <si>
    <t>kg/cm2</t>
    <phoneticPr fontId="1" type="noConversion"/>
  </si>
  <si>
    <t>m/s</t>
    <phoneticPr fontId="1" type="noConversion"/>
  </si>
  <si>
    <t>CASE2 (14")</t>
    <phoneticPr fontId="1" type="noConversion"/>
  </si>
  <si>
    <t>CASE3 (18")</t>
    <phoneticPr fontId="1" type="noConversion"/>
  </si>
  <si>
    <t>4.CONCLUSION</t>
    <phoneticPr fontId="1" type="noConversion"/>
  </si>
  <si>
    <t>THIS STUDY FIND OUT THAT CASE1 IS THE MOST ADEQUATE FROM THE 3 CASES.</t>
    <phoneticPr fontId="1" type="noConversion"/>
  </si>
  <si>
    <t>1. THIS STUDY FIND OUT THAT CASE1 IS THE MOST ADEQUATE FROM THE 3 CASES.</t>
    <phoneticPr fontId="53" type="noConversion"/>
  </si>
  <si>
    <t>1. MAXIMUM ALLOWABLE PRESSURE DROP AT PUMP DISCHARGE IS 1.5 psi / 100ft, 0.35 kg/cm2G / 100m.</t>
    <phoneticPr fontId="53" type="noConversion"/>
  </si>
  <si>
    <t>2. IT IS RECOMMENDED TO INSTALL A 16" PIPELINE AT MR TERMINAL AND THE MAXIMUM FLOW RATE</t>
    <phoneticPr fontId="53" type="noConversion"/>
  </si>
  <si>
    <t>2. THE PRELIMINARY SKETCH OF ISOMETRIC FOR TRANSFER PIPING IS USED FOR LINE SIZING ESTIMATION.</t>
    <phoneticPr fontId="53" type="noConversion"/>
  </si>
  <si>
    <t>IS 1,500 m3/hr.</t>
    <phoneticPr fontId="53" type="noConversion"/>
  </si>
  <si>
    <t>3. THE LIQUID LEVEL IN STORAGE TANK IS CONSIDERED HIGH LIQUID LEVEL AT TANK.</t>
    <phoneticPr fontId="53" type="noConversion"/>
  </si>
  <si>
    <t>3. MAXIMUM ALLOWABLE PRESSURE DROP AT PUMP DISCHARGE IS 1.5 psi / 100ft, 0.35 kg/cm2G / 100m.</t>
    <phoneticPr fontId="53" type="noConversion"/>
  </si>
  <si>
    <t>4. FOR 14" PIPELINE THE VELOCITY IS OVER THAN NORMAL VELOCITY IN CASE OF HIGH EROSION AND</t>
    <phoneticPr fontId="53" type="noConversion"/>
  </si>
  <si>
    <t>THE LIFE TIME OF PIPELINE LESS THAN 40 YEARS.</t>
    <phoneticPr fontId="53" type="noConversion"/>
  </si>
  <si>
    <t>5. THE PRELIMINARY SKETCH OF ISOMETRIC FOR TRANSFER PIPING IS USED FOR LINE SIZING ESTIMATION.</t>
    <phoneticPr fontId="53" type="noConversion"/>
  </si>
  <si>
    <t>6. THE LIQUID LEVEL IN STORAGE TANK IS CONSIDERED HIGH LIQUID LEVEL AT TANK.</t>
    <phoneticPr fontId="53" type="noConversion"/>
  </si>
  <si>
    <t>CALCULATION SHEET</t>
    <phoneticPr fontId="1" type="noConversion"/>
  </si>
  <si>
    <t>PAGE</t>
  </si>
  <si>
    <t>HYDRAULIC CALCULATION</t>
    <phoneticPr fontId="135" type="noConversion"/>
  </si>
  <si>
    <t>A</t>
    <phoneticPr fontId="136" type="noConversion"/>
  </si>
  <si>
    <t>HYDRAULIC CALCULATION</t>
    <phoneticPr fontId="1" type="noConversion"/>
  </si>
  <si>
    <t>SERVICE</t>
    <phoneticPr fontId="136" type="noConversion"/>
  </si>
  <si>
    <t>:</t>
    <phoneticPr fontId="136" type="noConversion"/>
  </si>
  <si>
    <t>Unloading Line to Tank</t>
    <phoneticPr fontId="136" type="noConversion"/>
  </si>
  <si>
    <t>PROJECT NO.</t>
    <phoneticPr fontId="136" type="noConversion"/>
  </si>
  <si>
    <t>3080</t>
    <phoneticPr fontId="136" type="noConversion"/>
  </si>
  <si>
    <t>PROJECT NAME.</t>
    <phoneticPr fontId="136" type="noConversion"/>
  </si>
  <si>
    <t xml:space="preserve">NFC MR TERMINAL PROJECT </t>
    <phoneticPr fontId="136" type="noConversion"/>
  </si>
  <si>
    <t>(FEED CONSULTANCY SERVICES)</t>
    <phoneticPr fontId="4" type="noConversion"/>
  </si>
  <si>
    <t>DOCUMENT NO.</t>
    <phoneticPr fontId="136" type="noConversion"/>
  </si>
  <si>
    <t>3080-PE-RP-003</t>
    <phoneticPr fontId="136" type="noConversion"/>
  </si>
  <si>
    <t>LOCATION</t>
    <phoneticPr fontId="136" type="noConversion"/>
  </si>
  <si>
    <t>MAP TA PHUT, RAYONG, THAILAND</t>
    <phoneticPr fontId="136" type="noConversion"/>
  </si>
  <si>
    <t>A</t>
    <phoneticPr fontId="4" type="noConversion"/>
  </si>
  <si>
    <t>NOV.13.'18</t>
    <phoneticPr fontId="4" type="noConversion"/>
  </si>
  <si>
    <t>PRELIMINARY</t>
    <phoneticPr fontId="4" type="noConversion"/>
  </si>
  <si>
    <t>S.W.C</t>
    <phoneticPr fontId="4" type="noConversion"/>
  </si>
  <si>
    <t>S.R.L</t>
    <phoneticPr fontId="4" type="noConversion"/>
  </si>
  <si>
    <t>H.K.Y</t>
    <phoneticPr fontId="4" type="noConversion"/>
  </si>
  <si>
    <t xml:space="preserve"> REV.</t>
  </si>
  <si>
    <t>DATE.</t>
    <phoneticPr fontId="136" type="noConversion"/>
  </si>
  <si>
    <t>DESCRIPTION</t>
    <phoneticPr fontId="136" type="noConversion"/>
  </si>
  <si>
    <t>PRE'D BY</t>
    <phoneticPr fontId="136" type="noConversion"/>
  </si>
  <si>
    <t>APP'D BY</t>
    <phoneticPr fontId="136" type="noConversion"/>
  </si>
  <si>
    <t>CLIENT</t>
    <phoneticPr fontId="136" type="noConversion"/>
  </si>
  <si>
    <t>DAEWOO TECH - GLOTEC CONSORTIUM</t>
  </si>
  <si>
    <t xml:space="preserve"> </t>
    <phoneticPr fontId="28" type="noConversion"/>
  </si>
  <si>
    <t>유량 (kg/h)</t>
  </si>
  <si>
    <t>INLET.PRESS (kg/cm2G)</t>
  </si>
  <si>
    <t>△P (kg/cm2)</t>
  </si>
  <si>
    <t>OUT.PRESS  (kg/cm2G)</t>
  </si>
  <si>
    <t>MACH.NO</t>
  </si>
  <si>
    <t>CALCULATION DIAGRAM</t>
    <phoneticPr fontId="1" type="noConversion"/>
  </si>
  <si>
    <t>첨부</t>
    <phoneticPr fontId="1" type="noConversion"/>
  </si>
  <si>
    <t>PSV UPSTREAM PRESSURE DROP - SHEET</t>
    <phoneticPr fontId="1" type="noConversion"/>
  </si>
  <si>
    <t xml:space="preserve">FLUID TYPE: </t>
    <phoneticPr fontId="1" type="noConversion"/>
  </si>
  <si>
    <t xml:space="preserve">FOCUS OF CALCULATION: </t>
    <phoneticPr fontId="1" type="noConversion"/>
  </si>
  <si>
    <t>LIQUID</t>
    <phoneticPr fontId="1" type="noConversion"/>
  </si>
  <si>
    <t>VAPOR(IN)</t>
    <phoneticPr fontId="1" type="noConversion"/>
  </si>
  <si>
    <t>VAPOR(OUT)</t>
    <phoneticPr fontId="1" type="noConversion"/>
  </si>
  <si>
    <t>Fluid</t>
    <phoneticPr fontId="1" type="noConversion"/>
  </si>
  <si>
    <t>Line.No</t>
    <phoneticPr fontId="1" type="noConversion"/>
  </si>
  <si>
    <t>From</t>
    <phoneticPr fontId="1" type="noConversion"/>
  </si>
  <si>
    <t>To</t>
    <phoneticPr fontId="1" type="noConversion"/>
  </si>
  <si>
    <r>
      <t>L</t>
    </r>
    <r>
      <rPr>
        <sz val="12"/>
        <color theme="1"/>
        <rFont val="Arial"/>
        <family val="2"/>
      </rPr>
      <t>ine</t>
    </r>
    <r>
      <rPr>
        <sz val="12"/>
        <rFont val="Arial"/>
        <family val="2"/>
      </rPr>
      <t xml:space="preserve"> S</t>
    </r>
    <r>
      <rPr>
        <sz val="12"/>
        <color theme="1"/>
        <rFont val="Arial"/>
        <family val="2"/>
      </rPr>
      <t>ize</t>
    </r>
    <phoneticPr fontId="28" type="noConversion"/>
  </si>
  <si>
    <r>
      <t>N</t>
    </r>
    <r>
      <rPr>
        <sz val="12"/>
        <color theme="1"/>
        <rFont val="Arial"/>
        <family val="2"/>
      </rPr>
      <t>ormal</t>
    </r>
    <r>
      <rPr>
        <sz val="12"/>
        <rFont val="Arial"/>
        <family val="2"/>
      </rPr>
      <t xml:space="preserve"> F</t>
    </r>
    <r>
      <rPr>
        <sz val="12"/>
        <color theme="1"/>
        <rFont val="Arial"/>
        <family val="2"/>
      </rPr>
      <t>low</t>
    </r>
    <r>
      <rPr>
        <sz val="12"/>
        <rFont val="Arial"/>
        <family val="2"/>
      </rPr>
      <t xml:space="preserve"> R</t>
    </r>
    <r>
      <rPr>
        <sz val="12"/>
        <color theme="1"/>
        <rFont val="Arial"/>
        <family val="2"/>
      </rPr>
      <t>ate</t>
    </r>
    <phoneticPr fontId="28" type="noConversion"/>
  </si>
  <si>
    <r>
      <t>O</t>
    </r>
    <r>
      <rPr>
        <sz val="12"/>
        <color theme="1"/>
        <rFont val="Arial"/>
        <family val="2"/>
      </rPr>
      <t>ver</t>
    </r>
    <r>
      <rPr>
        <sz val="12"/>
        <rFont val="Arial"/>
        <family val="2"/>
      </rPr>
      <t xml:space="preserve"> D</t>
    </r>
    <r>
      <rPr>
        <sz val="12"/>
        <color theme="1"/>
        <rFont val="Arial"/>
        <family val="2"/>
      </rPr>
      <t>esign</t>
    </r>
    <phoneticPr fontId="28" type="noConversion"/>
  </si>
  <si>
    <t>Pipe inside Dia</t>
    <phoneticPr fontId="28" type="noConversion"/>
  </si>
  <si>
    <t>Schedule or Class</t>
    <phoneticPr fontId="28" type="noConversion"/>
  </si>
  <si>
    <t>Line length, straight</t>
    <phoneticPr fontId="28" type="noConversion"/>
  </si>
  <si>
    <t xml:space="preserve">Complex factor </t>
    <phoneticPr fontId="28" type="noConversion"/>
  </si>
  <si>
    <t>Wall Roughness</t>
    <phoneticPr fontId="28" type="noConversion"/>
  </si>
  <si>
    <t>STD</t>
    <phoneticPr fontId="1" type="noConversion"/>
  </si>
  <si>
    <t>2PH Calculation Method</t>
    <phoneticPr fontId="28" type="noConversion"/>
  </si>
  <si>
    <t>kg/hr</t>
    <phoneticPr fontId="28" type="noConversion"/>
  </si>
  <si>
    <r>
      <t>V</t>
    </r>
    <r>
      <rPr>
        <sz val="12"/>
        <color theme="1"/>
        <rFont val="Arial"/>
        <family val="2"/>
      </rPr>
      <t>apor</t>
    </r>
    <r>
      <rPr>
        <sz val="12"/>
        <rFont val="Arial"/>
        <family val="2"/>
      </rPr>
      <t xml:space="preserve"> F</t>
    </r>
    <r>
      <rPr>
        <sz val="12"/>
        <color theme="1"/>
        <rFont val="Arial"/>
        <family val="2"/>
      </rPr>
      <t>raction</t>
    </r>
    <phoneticPr fontId="28" type="noConversion"/>
  </si>
  <si>
    <r>
      <t>P</t>
    </r>
    <r>
      <rPr>
        <sz val="12"/>
        <color theme="1"/>
        <rFont val="Arial"/>
        <family val="2"/>
      </rPr>
      <t>hase</t>
    </r>
    <phoneticPr fontId="28" type="noConversion"/>
  </si>
  <si>
    <r>
      <t>R</t>
    </r>
    <r>
      <rPr>
        <sz val="12"/>
        <color theme="1"/>
        <rFont val="Arial"/>
        <family val="2"/>
      </rPr>
      <t>ated</t>
    </r>
    <r>
      <rPr>
        <sz val="12"/>
        <rFont val="Arial"/>
        <family val="2"/>
      </rPr>
      <t xml:space="preserve"> F</t>
    </r>
    <r>
      <rPr>
        <sz val="12"/>
        <color theme="1"/>
        <rFont val="Arial"/>
        <family val="2"/>
      </rPr>
      <t>low</t>
    </r>
    <r>
      <rPr>
        <sz val="12"/>
        <rFont val="Arial"/>
        <family val="2"/>
      </rPr>
      <t xml:space="preserve"> R</t>
    </r>
    <r>
      <rPr>
        <sz val="12"/>
        <color theme="1"/>
        <rFont val="Arial"/>
        <family val="2"/>
      </rPr>
      <t>ate</t>
    </r>
    <phoneticPr fontId="28" type="noConversion"/>
  </si>
  <si>
    <t xml:space="preserve">Density </t>
    <phoneticPr fontId="28" type="noConversion"/>
  </si>
  <si>
    <t>Viscosity</t>
    <phoneticPr fontId="28" type="noConversion"/>
  </si>
  <si>
    <r>
      <t>Inlet P</t>
    </r>
    <r>
      <rPr>
        <sz val="12"/>
        <color theme="1"/>
        <rFont val="Arial"/>
        <family val="2"/>
      </rPr>
      <t>ress. (Input)</t>
    </r>
    <phoneticPr fontId="28" type="noConversion"/>
  </si>
  <si>
    <r>
      <t>Inlet P</t>
    </r>
    <r>
      <rPr>
        <sz val="12"/>
        <color theme="1"/>
        <rFont val="Arial"/>
        <family val="2"/>
      </rPr>
      <t xml:space="preserve">ress. (Calculated)    </t>
    </r>
    <phoneticPr fontId="28" type="noConversion"/>
  </si>
  <si>
    <r>
      <t>V</t>
    </r>
    <r>
      <rPr>
        <sz val="12"/>
        <color theme="1"/>
        <rFont val="Arial"/>
        <family val="2"/>
      </rPr>
      <t>elocity</t>
    </r>
    <phoneticPr fontId="28" type="noConversion"/>
  </si>
  <si>
    <r>
      <t>R</t>
    </r>
    <r>
      <rPr>
        <sz val="12"/>
        <color theme="1"/>
        <rFont val="Arial"/>
        <family val="2"/>
      </rPr>
      <t>eynolds.No</t>
    </r>
    <phoneticPr fontId="28" type="noConversion"/>
  </si>
  <si>
    <t>(Liquid)</t>
    <phoneticPr fontId="28" type="noConversion"/>
  </si>
  <si>
    <t>(Vapor)</t>
    <phoneticPr fontId="28" type="noConversion"/>
  </si>
  <si>
    <t>%</t>
    <phoneticPr fontId="28" type="noConversion"/>
  </si>
  <si>
    <t>kg/m3</t>
    <phoneticPr fontId="28" type="noConversion"/>
  </si>
  <si>
    <t>cP</t>
    <phoneticPr fontId="28" type="noConversion"/>
  </si>
  <si>
    <r>
      <rPr>
        <sz val="12"/>
        <rFont val="돋움"/>
        <family val="3"/>
        <charset val="129"/>
      </rPr>
      <t>˚</t>
    </r>
    <r>
      <rPr>
        <sz val="12"/>
        <rFont val="Arial"/>
        <family val="2"/>
      </rPr>
      <t>C</t>
    </r>
    <phoneticPr fontId="28" type="noConversion"/>
  </si>
  <si>
    <t>Molecular</t>
    <phoneticPr fontId="28" type="noConversion"/>
  </si>
  <si>
    <t>Compress. Fact.</t>
    <phoneticPr fontId="28" type="noConversion"/>
  </si>
  <si>
    <t>Cp / Cv</t>
    <phoneticPr fontId="28" type="noConversion"/>
  </si>
  <si>
    <t>kg/cm2G</t>
    <phoneticPr fontId="28" type="noConversion"/>
  </si>
  <si>
    <t>m/s</t>
    <phoneticPr fontId="28" type="noConversion"/>
  </si>
  <si>
    <t>PROCESS INFORMATION</t>
    <phoneticPr fontId="28" type="noConversion"/>
  </si>
  <si>
    <t>PIPING INFORMATION</t>
    <phoneticPr fontId="28" type="noConversion"/>
  </si>
  <si>
    <r>
      <t>Outlet P</t>
    </r>
    <r>
      <rPr>
        <sz val="12"/>
        <color theme="1"/>
        <rFont val="Arial"/>
        <family val="2"/>
      </rPr>
      <t xml:space="preserve">ress. (Calculated)    </t>
    </r>
    <phoneticPr fontId="28" type="noConversion"/>
  </si>
  <si>
    <r>
      <t>Outlet P</t>
    </r>
    <r>
      <rPr>
        <sz val="12"/>
        <color theme="1"/>
        <rFont val="Arial"/>
        <family val="2"/>
      </rPr>
      <t>ress. (Input)</t>
    </r>
    <phoneticPr fontId="28" type="noConversion"/>
  </si>
  <si>
    <t>Equivalent Length</t>
    <phoneticPr fontId="28" type="noConversion"/>
  </si>
  <si>
    <t>Elevation change</t>
    <phoneticPr fontId="28" type="noConversion"/>
  </si>
  <si>
    <t>m</t>
    <phoneticPr fontId="28" type="noConversion"/>
  </si>
  <si>
    <r>
      <t>Sonic V</t>
    </r>
    <r>
      <rPr>
        <sz val="12"/>
        <color theme="1"/>
        <rFont val="Arial"/>
        <family val="2"/>
      </rPr>
      <t>elocity</t>
    </r>
    <phoneticPr fontId="28" type="noConversion"/>
  </si>
  <si>
    <t>Mach.NO</t>
    <phoneticPr fontId="28" type="noConversion"/>
  </si>
  <si>
    <r>
      <t>P</t>
    </r>
    <r>
      <rPr>
        <sz val="12"/>
        <color theme="1"/>
        <rFont val="Arial"/>
        <family val="2"/>
      </rPr>
      <t>ress.</t>
    </r>
    <r>
      <rPr>
        <sz val="12"/>
        <rFont val="Arial"/>
        <family val="2"/>
      </rPr>
      <t xml:space="preserve"> D</t>
    </r>
    <r>
      <rPr>
        <sz val="12"/>
        <color theme="1"/>
        <rFont val="Arial"/>
        <family val="2"/>
      </rPr>
      <t>rop by Friction</t>
    </r>
    <phoneticPr fontId="28" type="noConversion"/>
  </si>
  <si>
    <r>
      <t>P</t>
    </r>
    <r>
      <rPr>
        <sz val="12"/>
        <color theme="1"/>
        <rFont val="Arial"/>
        <family val="2"/>
      </rPr>
      <t>ress.</t>
    </r>
    <r>
      <rPr>
        <sz val="12"/>
        <rFont val="Arial"/>
        <family val="2"/>
      </rPr>
      <t xml:space="preserve"> D</t>
    </r>
    <r>
      <rPr>
        <sz val="12"/>
        <color theme="1"/>
        <rFont val="Arial"/>
        <family val="2"/>
      </rPr>
      <t>rop by Gravity</t>
    </r>
    <phoneticPr fontId="28" type="noConversion"/>
  </si>
  <si>
    <r>
      <t>P</t>
    </r>
    <r>
      <rPr>
        <sz val="12"/>
        <color theme="1"/>
        <rFont val="Arial"/>
        <family val="2"/>
      </rPr>
      <t>ress.</t>
    </r>
    <r>
      <rPr>
        <sz val="12"/>
        <rFont val="Arial"/>
        <family val="2"/>
      </rPr>
      <t xml:space="preserve"> D</t>
    </r>
    <r>
      <rPr>
        <sz val="12"/>
        <color theme="1"/>
        <rFont val="Arial"/>
        <family val="2"/>
      </rPr>
      <t>rop</t>
    </r>
    <r>
      <rPr>
        <sz val="12"/>
        <rFont val="Arial"/>
        <family val="2"/>
      </rPr>
      <t xml:space="preserve"> / 100 M</t>
    </r>
    <phoneticPr fontId="28" type="noConversion"/>
  </si>
  <si>
    <t xml:space="preserve">Fitting &amp; Equipment </t>
    <phoneticPr fontId="28" type="noConversion"/>
  </si>
  <si>
    <t>Std (R/D=1), flg/wld</t>
    <phoneticPr fontId="4" type="noConversion"/>
  </si>
  <si>
    <t>Temperature</t>
  </si>
  <si>
    <t>kg/cm2</t>
    <phoneticPr fontId="28" type="noConversion"/>
  </si>
  <si>
    <r>
      <t xml:space="preserve"> 90</t>
    </r>
    <r>
      <rPr>
        <sz val="12"/>
        <rFont val="돋움"/>
        <family val="3"/>
        <charset val="129"/>
      </rPr>
      <t>˚</t>
    </r>
    <r>
      <rPr>
        <sz val="12"/>
        <rFont val="Arial"/>
        <family val="2"/>
      </rPr>
      <t xml:space="preserve"> Elbow</t>
    </r>
    <phoneticPr fontId="28" type="noConversion"/>
  </si>
  <si>
    <r>
      <t xml:space="preserve"> 180</t>
    </r>
    <r>
      <rPr>
        <sz val="12"/>
        <rFont val="돋움"/>
        <family val="3"/>
        <charset val="129"/>
      </rPr>
      <t>˚</t>
    </r>
    <r>
      <rPr>
        <sz val="12"/>
        <rFont val="Arial"/>
        <family val="2"/>
      </rPr>
      <t xml:space="preserve"> Elbow</t>
    </r>
    <phoneticPr fontId="28" type="noConversion"/>
  </si>
  <si>
    <t>k1</t>
  </si>
  <si>
    <t>kinf</t>
  </si>
  <si>
    <r>
      <t xml:space="preserve"> 45</t>
    </r>
    <r>
      <rPr>
        <sz val="12"/>
        <rFont val="돋움"/>
        <family val="3"/>
        <charset val="129"/>
      </rPr>
      <t>˚</t>
    </r>
    <r>
      <rPr>
        <sz val="12"/>
        <rFont val="Arial"/>
        <family val="2"/>
      </rPr>
      <t xml:space="preserve"> Elbow</t>
    </r>
    <phoneticPr fontId="28" type="noConversion"/>
  </si>
  <si>
    <t xml:space="preserve"> TEE</t>
    <phoneticPr fontId="28" type="noConversion"/>
  </si>
  <si>
    <t xml:space="preserve">   (As Elbow)</t>
    <phoneticPr fontId="28" type="noConversion"/>
  </si>
  <si>
    <t xml:space="preserve">   (Run Through)</t>
    <phoneticPr fontId="28" type="noConversion"/>
  </si>
  <si>
    <t xml:space="preserve"> Gate Valve</t>
    <phoneticPr fontId="28" type="noConversion"/>
  </si>
  <si>
    <t xml:space="preserve"> Ball Valve</t>
    <phoneticPr fontId="28" type="noConversion"/>
  </si>
  <si>
    <t xml:space="preserve"> Plug Valve</t>
    <phoneticPr fontId="28" type="noConversion"/>
  </si>
  <si>
    <t xml:space="preserve"> Check Valve</t>
    <phoneticPr fontId="28" type="noConversion"/>
  </si>
  <si>
    <t xml:space="preserve"> Others</t>
    <phoneticPr fontId="28" type="noConversion"/>
  </si>
  <si>
    <t xml:space="preserve"> Entrance</t>
    <phoneticPr fontId="28" type="noConversion"/>
  </si>
  <si>
    <t>Sharp-edged</t>
  </si>
  <si>
    <t>Inward projecting (Borda)</t>
  </si>
  <si>
    <t>Rounded</t>
  </si>
  <si>
    <t>all types</t>
  </si>
  <si>
    <t xml:space="preserve"> Exit</t>
    <phoneticPr fontId="28" type="noConversion"/>
  </si>
  <si>
    <t>CV PRESSURE DROP</t>
    <phoneticPr fontId="28" type="noConversion"/>
  </si>
  <si>
    <r>
      <t>P</t>
    </r>
    <r>
      <rPr>
        <sz val="12"/>
        <color theme="1"/>
        <rFont val="Arial"/>
        <family val="2"/>
      </rPr>
      <t>ress.</t>
    </r>
    <r>
      <rPr>
        <sz val="12"/>
        <rFont val="Arial"/>
        <family val="2"/>
      </rPr>
      <t xml:space="preserve"> D</t>
    </r>
    <r>
      <rPr>
        <sz val="12"/>
        <color theme="1"/>
        <rFont val="Arial"/>
        <family val="2"/>
      </rPr>
      <t>rop by Equip &amp; Control Valve</t>
    </r>
    <phoneticPr fontId="28" type="noConversion"/>
  </si>
  <si>
    <t xml:space="preserve"> Reducer</t>
    <phoneticPr fontId="28" type="noConversion"/>
  </si>
  <si>
    <t xml:space="preserve"> Enlarger</t>
    <phoneticPr fontId="28" type="noConversion"/>
  </si>
  <si>
    <t>Remarks</t>
    <phoneticPr fontId="28" type="noConversion"/>
  </si>
  <si>
    <t>Criteria</t>
    <phoneticPr fontId="28" type="noConversion"/>
  </si>
  <si>
    <t>kg/hr</t>
  </si>
  <si>
    <t xml:space="preserve">  K</t>
    <phoneticPr fontId="28" type="noConversion"/>
  </si>
  <si>
    <t xml:space="preserve">  n</t>
    <phoneticPr fontId="28" type="noConversion"/>
  </si>
  <si>
    <t>Velocity</t>
    <phoneticPr fontId="28" type="noConversion"/>
  </si>
  <si>
    <t>Press. Drop / 100 M</t>
  </si>
  <si>
    <t>STEAM</t>
    <phoneticPr fontId="28" type="noConversion"/>
  </si>
  <si>
    <t>LINE SYTLE</t>
    <phoneticPr fontId="28" type="noConversion"/>
  </si>
  <si>
    <t>HEADER</t>
  </si>
  <si>
    <t>Steam</t>
    <phoneticPr fontId="4" type="noConversion"/>
  </si>
  <si>
    <t>Header</t>
    <phoneticPr fontId="4" type="noConversion"/>
  </si>
  <si>
    <t>Branch</t>
    <phoneticPr fontId="4" type="noConversion"/>
  </si>
  <si>
    <t>Condensate</t>
    <phoneticPr fontId="4" type="noConversion"/>
  </si>
  <si>
    <t>cooling water</t>
    <phoneticPr fontId="4" type="noConversion"/>
  </si>
  <si>
    <t>WATER</t>
    <phoneticPr fontId="4" type="noConversion"/>
  </si>
  <si>
    <t>SEA WATER</t>
    <phoneticPr fontId="4" type="noConversion"/>
  </si>
  <si>
    <t>AIR</t>
    <phoneticPr fontId="4" type="noConversion"/>
  </si>
  <si>
    <t>NIROGEN</t>
    <phoneticPr fontId="4" type="noConversion"/>
  </si>
  <si>
    <t>N2</t>
    <phoneticPr fontId="4" type="noConversion"/>
  </si>
  <si>
    <t>FUEL GAS</t>
    <phoneticPr fontId="4" type="noConversion"/>
  </si>
  <si>
    <t>FUEL OIL</t>
    <phoneticPr fontId="4" type="noConversion"/>
  </si>
  <si>
    <t>FUEL GAS</t>
    <phoneticPr fontId="28" type="noConversion"/>
  </si>
  <si>
    <t>Surface Tension</t>
    <phoneticPr fontId="28" type="noConversion"/>
  </si>
  <si>
    <t>STD</t>
    <phoneticPr fontId="28" type="noConversion"/>
  </si>
  <si>
    <t>LIQUID</t>
  </si>
  <si>
    <t xml:space="preserve">K </t>
    <phoneticPr fontId="1" type="noConversion"/>
  </si>
  <si>
    <t>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</si>
</sst>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1">
    <numFmt numFmtId="6" formatCode="&quot;₩&quot;#,##0;[Red]\-&quot;₩&quot;#,##0"/>
    <numFmt numFmtId="8" formatCode="&quot;₩&quot;#,##0.00;[Red]\-&quot;₩&quot;#,##0.00"/>
    <numFmt numFmtId="42" formatCode="_-&quot;₩&quot;* #,##0_-;\-&quot;₩&quot;* #,##0_-;_-&quot;₩&quot;* &quot;-&quot;_-;_-@_-"/>
    <numFmt numFmtId="41" formatCode="_-* #,##0_-;\-* #,##0_-;_-* &quot;-&quot;_-;_-@_-"/>
    <numFmt numFmtId="43" formatCode="_-* #,##0.00_-;\-* #,##0.00_-;_-* &quot;-&quot;??_-;_-@_-"/>
    <numFmt numFmtId="176" formatCode="_(* #,##0.00_);_(* \(#,##0.00\);_(* &quot;-&quot;??_);_(@_)"/>
    <numFmt numFmtId="177" formatCode="#,##0."/>
    <numFmt numFmtId="178" formatCode="\$#.00"/>
    <numFmt numFmtId="179" formatCode="_-&quot;£&quot;* #,##0.00_-;\-&quot;£&quot;* #,##0.00_-;_-&quot;£&quot;* &quot;-&quot;??_-;_-@_-"/>
    <numFmt numFmtId="180" formatCode="\$#."/>
    <numFmt numFmtId="181" formatCode="#.00"/>
    <numFmt numFmtId="182" formatCode="#."/>
    <numFmt numFmtId="183" formatCode="_(&quot;$&quot;* #,##0_);_(&quot;$&quot;* \(#,##0\);_(&quot;$&quot;* &quot;-&quot;_);_(@_)"/>
    <numFmt numFmtId="184" formatCode="_(&quot;$&quot;* #,##0.00_);_(&quot;$&quot;* \(#,##0.00\);_(&quot;$&quot;* &quot;-&quot;??_);_(@_)"/>
    <numFmt numFmtId="185" formatCode="&quot;?#,##0;[Red]\-&quot;&quot;?&quot;#,##0"/>
    <numFmt numFmtId="186" formatCode="_ * #,##0.00_ ;_ * &quot;₩&quot;&quot;₩&quot;&quot;₩&quot;\-#,##0.00_ ;_ * &quot;-&quot;??_ ;_ @_ "/>
    <numFmt numFmtId="187" formatCode="%#.00"/>
    <numFmt numFmtId="188" formatCode="_ * #,##0.00_ ;_ * \-#,##0.00_ ;_ * &quot;-&quot;??_ ;_ @_ "/>
    <numFmt numFmtId="189" formatCode="0.0"/>
    <numFmt numFmtId="190" formatCode="0.0_ "/>
    <numFmt numFmtId="191" formatCode="0.00_ "/>
    <numFmt numFmtId="192" formatCode="0.000"/>
    <numFmt numFmtId="193" formatCode="0.000_ "/>
    <numFmt numFmtId="194" formatCode="0;_耀"/>
    <numFmt numFmtId="195" formatCode="#,##0.0"/>
    <numFmt numFmtId="196" formatCode="0.00_)"/>
    <numFmt numFmtId="197" formatCode="0.00;_耀"/>
    <numFmt numFmtId="198" formatCode="0.00000_ "/>
    <numFmt numFmtId="199" formatCode="0.0;_耀"/>
    <numFmt numFmtId="200" formatCode="0.000000;_耀"/>
    <numFmt numFmtId="201" formatCode="0.0000_ "/>
    <numFmt numFmtId="202" formatCode="0_);[Red]\(0\)"/>
    <numFmt numFmtId="203" formatCode="General_)"/>
    <numFmt numFmtId="204" formatCode="_-[$€-2]* #,##0.00_-;\-[$€-2]* #,##0.00_-;_-[$€-2]* &quot;-&quot;??_-"/>
    <numFmt numFmtId="205" formatCode="&quot;₩&quot;\!\(#\!\,##0&quot;₩&quot;\!\)"/>
    <numFmt numFmtId="206" formatCode="_ &quot;₩&quot;* #,##0.00_ ;_ &quot;₩&quot;* \-#,##0.00_ ;_ &quot;₩&quot;* &quot;-&quot;??_ ;_ @_ "/>
    <numFmt numFmtId="207" formatCode="_ &quot;₩&quot;* #,##0_ ;_ &quot;₩&quot;* \-#,##0_ ;_ &quot;₩&quot;* &quot;-&quot;_ ;_ @_ "/>
    <numFmt numFmtId="208" formatCode="_*\ #,##0\ &quot;월&quot;\ ;_*\ \-#,##0\ &quot;월&quot;\ ;_ * &quot;-&quot;_ ;_ @_ "/>
    <numFmt numFmtId="209" formatCode="0.E+00"/>
    <numFmt numFmtId="210" formatCode="_____________@"/>
    <numFmt numFmtId="211" formatCode="0.0%"/>
    <numFmt numFmtId="212" formatCode="_ * #,##0.\ \)\ ;_ * \-#,##0.\ \)\ ;_ * &quot;-&quot;_ ;_ @_ "/>
    <numFmt numFmtId="213" formatCode="&quot;$&quot;#,##0.00_);\(&quot;$&quot;#,##0.00\)"/>
    <numFmt numFmtId="214" formatCode="_ &quot;₩&quot;* #,##0.00_ ;_ &quot;₩&quot;* &quot;₩&quot;&quot;₩&quot;&quot;₩&quot;&quot;₩&quot;&quot;₩&quot;&quot;₩&quot;&quot;₩&quot;\-#,##0.00_ ;_ &quot;₩&quot;* &quot;-&quot;??_ ;_ @_ "/>
    <numFmt numFmtId="215" formatCode="&quot;₩&quot;#,##0;&quot;₩&quot;&quot;₩&quot;&quot;₩&quot;&quot;₩&quot;&quot;₩&quot;&quot;₩&quot;&quot;₩&quot;&quot;₩&quot;&quot;₩&quot;\-#,##0"/>
    <numFmt numFmtId="216" formatCode="_ * #,##0.00_ ;_ * &quot;₩&quot;&quot;₩&quot;&quot;₩&quot;&quot;₩&quot;&quot;₩&quot;&quot;₩&quot;&quot;₩&quot;\-#,##0.00_ ;_ * &quot;-&quot;??_ ;_ @_ "/>
    <numFmt numFmtId="217" formatCode="&quot;₩&quot;#,##0;[Red]&quot;₩&quot;&quot;₩&quot;&quot;₩&quot;&quot;₩&quot;&quot;₩&quot;&quot;₩&quot;&quot;₩&quot;&quot;₩&quot;&quot;₩&quot;\-#,##0"/>
    <numFmt numFmtId="218" formatCode="&quot;$&quot;#.00"/>
    <numFmt numFmtId="219" formatCode="&quot;$&quot;#."/>
    <numFmt numFmtId="220" formatCode="_(* #,##0_);_(* \(#,##0\);_(* &quot;-&quot;_);_(@_)"/>
    <numFmt numFmtId="221" formatCode="&quot;@&quot;\ \ &quot;@&quot;"/>
    <numFmt numFmtId="222" formatCode="&quot;$&quot;#,##0.00;[Red]\-&quot;$&quot;#,##0.00"/>
    <numFmt numFmtId="223" formatCode="&quot;$&quot;#,##0;[Red]\-&quot;$&quot;#,##0"/>
    <numFmt numFmtId="224" formatCode="&quot;₩&quot;#,##0;&quot;₩&quot;\-#,##0"/>
    <numFmt numFmtId="225" formatCode="_ * #,##0_ ;_ * &quot;₩&quot;&quot;₩&quot;&quot;₩&quot;&quot;₩&quot;&quot;₩&quot;&quot;₩&quot;&quot;₩&quot;&quot;₩&quot;\-#,##0_ ;_ * &quot;-&quot;_ ;_ @_ "/>
    <numFmt numFmtId="226" formatCode="\$#,##0.0_);[Red]\(\$#,##0.0\)"/>
    <numFmt numFmtId="227" formatCode="&quot;₩&quot;#,##0;&quot;₩&quot;&quot;₩&quot;&quot;₩&quot;&quot;₩&quot;\-#,##0"/>
    <numFmt numFmtId="228" formatCode="&quot;₩&quot;#,##0;\!\-&quot;₩&quot;#,##0"/>
    <numFmt numFmtId="229" formatCode="#,##0;[Red]&quot;-&quot;#,##0"/>
    <numFmt numFmtId="230" formatCode="0.0000000000000"/>
    <numFmt numFmtId="231" formatCode="&quot;₩&quot;#,##0;[Red]&quot;₩&quot;&quot;₩&quot;&quot;₩&quot;&quot;₩&quot;\-#,##0"/>
    <numFmt numFmtId="232" formatCode="&quot;₩&quot;#,##0;[Red]\!\-&quot;₩&quot;#,##0"/>
    <numFmt numFmtId="233" formatCode="_-* #,##0.00_-;&quot;₩&quot;&quot;₩&quot;\-* #,##0.00_-;_-* &quot;-&quot;??_-;_-@_-"/>
    <numFmt numFmtId="234" formatCode="_-&quot;₩&quot;* #,##0.00_-;&quot;₩&quot;&quot;₩&quot;\-&quot;₩&quot;* #,##0.00_-;_-&quot;₩&quot;* &quot;-&quot;??_-;_-@_-"/>
    <numFmt numFmtId="235" formatCode="_ * #,##0.0000_ ;_ * \-#,##0.0000_ ;_ * &quot;-&quot;_ ;_ @_ "/>
    <numFmt numFmtId="236" formatCode="&quot;₩&quot;#,##0.00;&quot;₩&quot;&quot;₩&quot;&quot;₩&quot;&quot;₩&quot;\-#,##0.00"/>
    <numFmt numFmtId="237" formatCode="&quot;₩&quot;#,##0.00;\!\-&quot;₩&quot;#,##0.00"/>
    <numFmt numFmtId="238" formatCode="&quot;    &quot;@"/>
    <numFmt numFmtId="239" formatCode="&quot;  &quot;@"/>
    <numFmt numFmtId="240" formatCode="0.0000;_耀"/>
    <numFmt numFmtId="241" formatCode="#,##0.0000"/>
  </numFmts>
  <fonts count="157">
    <font>
      <sz val="11"/>
      <color theme="1"/>
      <name val="맑은 고딕"/>
      <family val="2"/>
      <charset val="129"/>
      <scheme val="minor"/>
    </font>
    <font>
      <sz val="8"/>
      <name val="맑은 고딕"/>
      <family val="2"/>
      <charset val="129"/>
      <scheme val="minor"/>
    </font>
    <font>
      <sz val="10"/>
      <name val="Arial"/>
      <family val="2"/>
    </font>
    <font>
      <b/>
      <sz val="20"/>
      <color indexed="8"/>
      <name val="Helv"/>
      <family val="2"/>
    </font>
    <font>
      <sz val="8"/>
      <name val="돋움"/>
      <family val="3"/>
      <charset val="129"/>
    </font>
    <font>
      <sz val="20"/>
      <color indexed="8"/>
      <name val="Helv"/>
      <family val="2"/>
    </font>
    <font>
      <sz val="12"/>
      <color indexed="8"/>
      <name val="Helv"/>
      <family val="2"/>
    </font>
    <font>
      <sz val="12"/>
      <color indexed="8"/>
      <name val="Arial"/>
      <family val="2"/>
    </font>
    <font>
      <b/>
      <sz val="10"/>
      <name val="Arial"/>
      <family val="2"/>
    </font>
    <font>
      <sz val="11"/>
      <color rgb="FF9C0006"/>
      <name val="맑은 고딕"/>
      <family val="3"/>
      <charset val="129"/>
      <scheme val="minor"/>
    </font>
    <font>
      <sz val="1"/>
      <color indexed="8"/>
      <name val="Courier"/>
      <family val="3"/>
    </font>
    <font>
      <sz val="11"/>
      <color indexed="8"/>
      <name val="맑은 고딕"/>
      <family val="3"/>
      <charset val="129"/>
    </font>
    <font>
      <sz val="10"/>
      <name val="Times New Roman"/>
      <family val="1"/>
    </font>
    <font>
      <sz val="11"/>
      <color rgb="FF006100"/>
      <name val="맑은 고딕"/>
      <family val="3"/>
      <charset val="129"/>
      <scheme val="minor"/>
    </font>
    <font>
      <sz val="8"/>
      <name val="Arial"/>
      <family val="2"/>
    </font>
    <font>
      <b/>
      <sz val="12"/>
      <name val="Arial"/>
      <family val="2"/>
    </font>
    <font>
      <b/>
      <sz val="1"/>
      <color indexed="8"/>
      <name val="Courier"/>
      <family val="3"/>
    </font>
    <font>
      <sz val="11"/>
      <color indexed="19"/>
      <name val="맑은 고딕"/>
      <family val="3"/>
      <charset val="129"/>
      <scheme val="minor"/>
    </font>
    <font>
      <sz val="11"/>
      <name val="돋움"/>
      <family val="3"/>
      <charset val="129"/>
    </font>
    <font>
      <sz val="12"/>
      <name val="굴림체"/>
      <family val="3"/>
      <charset val="129"/>
    </font>
    <font>
      <sz val="11"/>
      <color theme="1"/>
      <name val="맑은 고딕"/>
      <family val="3"/>
      <charset val="129"/>
      <scheme val="minor"/>
    </font>
    <font>
      <sz val="12"/>
      <name val="바탕체"/>
      <family val="1"/>
      <charset val="129"/>
    </font>
    <font>
      <sz val="12"/>
      <name val="뼻뮝"/>
      <family val="1"/>
      <charset val="129"/>
    </font>
    <font>
      <sz val="11"/>
      <name val="ＭＳ Ｐゴシック"/>
      <family val="2"/>
    </font>
    <font>
      <b/>
      <sz val="9.4"/>
      <name val="Arial"/>
      <family val="2"/>
    </font>
    <font>
      <sz val="10"/>
      <name val="Courier New"/>
      <family val="3"/>
    </font>
    <font>
      <sz val="9"/>
      <name val="ＭＳ Ｐゴシック"/>
      <family val="2"/>
    </font>
    <font>
      <sz val="11"/>
      <color theme="1"/>
      <name val="LG스마트체 Regular"/>
      <family val="3"/>
      <charset val="129"/>
    </font>
    <font>
      <b/>
      <u/>
      <sz val="20"/>
      <color indexed="8"/>
      <name val="Arial"/>
      <family val="2"/>
    </font>
    <font>
      <b/>
      <i/>
      <sz val="10"/>
      <name val="Arial"/>
      <family val="2"/>
    </font>
    <font>
      <sz val="10"/>
      <color indexed="12"/>
      <name val="Arial"/>
      <family val="2"/>
    </font>
    <font>
      <sz val="10"/>
      <color indexed="10"/>
      <name val="Arial"/>
      <family val="2"/>
    </font>
    <font>
      <sz val="9"/>
      <name val="Arial"/>
      <family val="2"/>
    </font>
    <font>
      <b/>
      <sz val="9"/>
      <color indexed="10"/>
      <name val="Arial"/>
      <family val="2"/>
    </font>
    <font>
      <sz val="9"/>
      <name val="돋움"/>
      <family val="3"/>
      <charset val="129"/>
    </font>
    <font>
      <sz val="14"/>
      <name val="Arial"/>
      <family val="2"/>
    </font>
    <font>
      <b/>
      <sz val="8"/>
      <name val="Arial"/>
      <family val="2"/>
    </font>
    <font>
      <b/>
      <sz val="9"/>
      <color indexed="81"/>
      <name val="Tahoma"/>
      <family val="2"/>
    </font>
    <font>
      <b/>
      <sz val="9"/>
      <color indexed="81"/>
      <name val="돋움"/>
      <family val="3"/>
      <charset val="129"/>
    </font>
    <font>
      <b/>
      <sz val="9"/>
      <color indexed="81"/>
      <name val="맑은 고딕"/>
      <family val="3"/>
      <charset val="129"/>
    </font>
    <font>
      <b/>
      <sz val="7.65"/>
      <color indexed="81"/>
      <name val="Tahoma"/>
      <family val="2"/>
    </font>
    <font>
      <b/>
      <sz val="7.65"/>
      <color indexed="81"/>
      <name val="맑은 고딕"/>
      <family val="3"/>
      <charset val="129"/>
    </font>
    <font>
      <sz val="11"/>
      <color theme="1"/>
      <name val="Arial"/>
      <family val="2"/>
    </font>
    <font>
      <sz val="10"/>
      <color theme="1"/>
      <name val="Arial"/>
      <family val="2"/>
    </font>
    <font>
      <sz val="11"/>
      <color rgb="FF9C6500"/>
      <name val="맑은 고딕"/>
      <family val="3"/>
      <charset val="129"/>
      <scheme val="minor"/>
    </font>
    <font>
      <b/>
      <sz val="10"/>
      <color rgb="FFFF0000"/>
      <name val="Arial"/>
      <family val="2"/>
    </font>
    <font>
      <sz val="11"/>
      <color theme="1"/>
      <name val="맑은 고딕"/>
      <family val="2"/>
      <charset val="129"/>
      <scheme val="minor"/>
    </font>
    <font>
      <sz val="10"/>
      <color rgb="FFFF0000"/>
      <name val="Arial"/>
      <family val="2"/>
    </font>
    <font>
      <sz val="12"/>
      <name val="Arial"/>
      <family val="2"/>
    </font>
    <font>
      <b/>
      <sz val="20"/>
      <name val="Arial"/>
      <family val="2"/>
    </font>
    <font>
      <sz val="7"/>
      <name val="Arial"/>
      <family val="2"/>
    </font>
    <font>
      <sz val="8"/>
      <color indexed="62"/>
      <name val="Arial"/>
      <family val="2"/>
    </font>
    <font>
      <b/>
      <sz val="12"/>
      <name val="Courier New"/>
      <family val="3"/>
    </font>
    <font>
      <sz val="8"/>
      <name val="바탕체"/>
      <family val="1"/>
      <charset val="129"/>
    </font>
    <font>
      <sz val="10"/>
      <name val="바탕체"/>
      <family val="1"/>
      <charset val="129"/>
    </font>
    <font>
      <sz val="9"/>
      <color theme="1"/>
      <name val="Arial"/>
      <family val="2"/>
    </font>
    <font>
      <sz val="9"/>
      <name val="맑은 고딕"/>
      <family val="2"/>
      <charset val="129"/>
      <scheme val="minor"/>
    </font>
    <font>
      <sz val="9"/>
      <color indexed="62"/>
      <name val="Arial"/>
      <family val="2"/>
    </font>
    <font>
      <sz val="9"/>
      <color theme="1"/>
      <name val="Arial Unicode MS"/>
      <family val="3"/>
      <charset val="129"/>
    </font>
    <font>
      <sz val="14"/>
      <name val="#?%"/>
      <family val="1"/>
    </font>
    <font>
      <sz val="12"/>
      <name val="???"/>
      <family val="1"/>
    </font>
    <font>
      <sz val="10"/>
      <name val="MS Sans Serif"/>
      <family val="2"/>
    </font>
    <font>
      <sz val="11"/>
      <name val="굴림체"/>
      <family val="3"/>
      <charset val="129"/>
    </font>
    <font>
      <sz val="10"/>
      <color indexed="8"/>
      <name val="돋움"/>
      <family val="3"/>
      <charset val="129"/>
    </font>
    <font>
      <sz val="10"/>
      <color indexed="9"/>
      <name val="돋움"/>
      <family val="3"/>
      <charset val="129"/>
    </font>
    <font>
      <sz val="11"/>
      <color indexed="9"/>
      <name val="맑은 고딕"/>
      <family val="3"/>
      <charset val="129"/>
    </font>
    <font>
      <sz val="12"/>
      <name val="ⓒoUAAA¨u"/>
      <family val="1"/>
      <charset val="129"/>
    </font>
    <font>
      <sz val="12"/>
      <name val="¹UAAA¼"/>
      <family val="1"/>
      <charset val="129"/>
    </font>
    <font>
      <sz val="12"/>
      <name val="¹ÙÅÁÃ¼"/>
      <family val="1"/>
      <charset val="129"/>
    </font>
    <font>
      <sz val="11"/>
      <name val="µ¸¿ò"/>
      <family val="3"/>
      <charset val="129"/>
    </font>
    <font>
      <sz val="11"/>
      <name val="μ¸¿o"/>
      <family val="1"/>
      <charset val="129"/>
    </font>
    <font>
      <sz val="12"/>
      <name val="¹UAAA¼"/>
      <family val="3"/>
      <charset val="129"/>
    </font>
    <font>
      <sz val="10"/>
      <color indexed="20"/>
      <name val="돋움"/>
      <family val="3"/>
      <charset val="129"/>
    </font>
    <font>
      <sz val="11"/>
      <color indexed="20"/>
      <name val="맑은 고딕"/>
      <family val="3"/>
      <charset val="129"/>
    </font>
    <font>
      <sz val="12"/>
      <name val="System"/>
      <family val="2"/>
      <charset val="129"/>
    </font>
    <font>
      <sz val="10"/>
      <name val="±¼¸²A¼"/>
      <family val="3"/>
      <charset val="129"/>
    </font>
    <font>
      <sz val="12"/>
      <name val="¹ÙÅÁÃ¼"/>
      <family val="3"/>
      <charset val="129"/>
    </font>
    <font>
      <sz val="10"/>
      <name val="±¼¸²Ã¼"/>
      <family val="3"/>
      <charset val="129"/>
    </font>
    <font>
      <b/>
      <sz val="10"/>
      <color indexed="52"/>
      <name val="돋움"/>
      <family val="3"/>
      <charset val="129"/>
    </font>
    <font>
      <b/>
      <sz val="11"/>
      <color indexed="52"/>
      <name val="맑은 고딕"/>
      <family val="3"/>
      <charset val="129"/>
    </font>
    <font>
      <b/>
      <sz val="10"/>
      <name val="Helv"/>
      <family val="2"/>
    </font>
    <font>
      <b/>
      <sz val="10"/>
      <color indexed="9"/>
      <name val="돋움"/>
      <family val="3"/>
      <charset val="129"/>
    </font>
    <font>
      <b/>
      <sz val="11"/>
      <color indexed="9"/>
      <name val="맑은 고딕"/>
      <family val="3"/>
      <charset val="129"/>
    </font>
    <font>
      <i/>
      <sz val="10"/>
      <color indexed="23"/>
      <name val="돋움"/>
      <family val="3"/>
      <charset val="129"/>
    </font>
    <font>
      <i/>
      <sz val="11"/>
      <color indexed="23"/>
      <name val="맑은 고딕"/>
      <family val="3"/>
      <charset val="129"/>
    </font>
    <font>
      <sz val="6"/>
      <color indexed="24"/>
      <name val="Arial"/>
      <family val="2"/>
    </font>
    <font>
      <u/>
      <sz val="8"/>
      <color indexed="24"/>
      <name val="Arial"/>
      <family val="2"/>
    </font>
    <font>
      <i/>
      <sz val="1"/>
      <color indexed="8"/>
      <name val="Courier"/>
      <family val="3"/>
    </font>
    <font>
      <b/>
      <sz val="8"/>
      <color indexed="24"/>
      <name val="Arial"/>
      <family val="2"/>
    </font>
    <font>
      <b/>
      <u/>
      <sz val="10"/>
      <color indexed="24"/>
      <name val="Arial"/>
      <family val="2"/>
    </font>
    <font>
      <sz val="10"/>
      <color indexed="17"/>
      <name val="돋움"/>
      <family val="3"/>
      <charset val="129"/>
    </font>
    <font>
      <sz val="11"/>
      <color indexed="17"/>
      <name val="맑은 고딕"/>
      <family val="3"/>
      <charset val="129"/>
    </font>
    <font>
      <b/>
      <sz val="12"/>
      <name val="Helv"/>
      <family val="2"/>
    </font>
    <font>
      <b/>
      <i/>
      <sz val="8"/>
      <name val="Helv"/>
      <family val="2"/>
    </font>
    <font>
      <b/>
      <sz val="15"/>
      <color indexed="56"/>
      <name val="맑은 고딕"/>
      <family val="3"/>
      <charset val="129"/>
    </font>
    <font>
      <b/>
      <sz val="13"/>
      <color indexed="56"/>
      <name val="맑은 고딕"/>
      <family val="3"/>
      <charset val="129"/>
    </font>
    <font>
      <b/>
      <sz val="11"/>
      <color indexed="56"/>
      <name val="돋움"/>
      <family val="3"/>
      <charset val="129"/>
    </font>
    <font>
      <b/>
      <sz val="11"/>
      <color indexed="56"/>
      <name val="맑은 고딕"/>
      <family val="3"/>
      <charset val="129"/>
    </font>
    <font>
      <b/>
      <sz val="18"/>
      <name val="Arial"/>
      <family val="2"/>
    </font>
    <font>
      <sz val="10"/>
      <name val="Univers (WN)"/>
      <family val="2"/>
    </font>
    <font>
      <sz val="10"/>
      <color indexed="62"/>
      <name val="돋움"/>
      <family val="3"/>
      <charset val="129"/>
    </font>
    <font>
      <sz val="11"/>
      <color indexed="62"/>
      <name val="맑은 고딕"/>
      <family val="3"/>
      <charset val="129"/>
    </font>
    <font>
      <sz val="10"/>
      <color indexed="52"/>
      <name val="돋움"/>
      <family val="3"/>
      <charset val="129"/>
    </font>
    <font>
      <sz val="11"/>
      <color indexed="52"/>
      <name val="맑은 고딕"/>
      <family val="3"/>
      <charset val="129"/>
    </font>
    <font>
      <sz val="12"/>
      <name val="Times New Roman"/>
      <family val="1"/>
    </font>
    <font>
      <b/>
      <sz val="11"/>
      <name val="Helv"/>
      <family val="2"/>
    </font>
    <font>
      <sz val="10"/>
      <color indexed="60"/>
      <name val="돋움"/>
      <family val="3"/>
      <charset val="129"/>
    </font>
    <font>
      <sz val="11"/>
      <color indexed="60"/>
      <name val="맑은 고딕"/>
      <family val="3"/>
      <charset val="129"/>
    </font>
    <font>
      <sz val="7"/>
      <name val="Small Fonts"/>
      <family val="2"/>
    </font>
    <font>
      <b/>
      <sz val="10"/>
      <color indexed="63"/>
      <name val="돋움"/>
      <family val="3"/>
      <charset val="129"/>
    </font>
    <font>
      <b/>
      <sz val="11"/>
      <color indexed="63"/>
      <name val="맑은 고딕"/>
      <family val="3"/>
      <charset val="129"/>
    </font>
    <font>
      <sz val="6"/>
      <name val="Arial"/>
      <family val="2"/>
    </font>
    <font>
      <b/>
      <sz val="18"/>
      <color indexed="56"/>
      <name val="맑은 고딕"/>
      <family val="3"/>
    </font>
    <font>
      <b/>
      <sz val="18"/>
      <color indexed="56"/>
      <name val="맑은 고딕"/>
      <family val="3"/>
      <charset val="129"/>
    </font>
    <font>
      <b/>
      <sz val="11"/>
      <color indexed="8"/>
      <name val="맑은 고딕"/>
      <family val="3"/>
      <charset val="129"/>
    </font>
    <font>
      <sz val="10"/>
      <color indexed="10"/>
      <name val="돋움"/>
      <family val="3"/>
      <charset val="129"/>
    </font>
    <font>
      <sz val="11"/>
      <color indexed="10"/>
      <name val="맑은 고딕"/>
      <family val="3"/>
      <charset val="129"/>
    </font>
    <font>
      <b/>
      <sz val="11"/>
      <color indexed="10"/>
      <name val="맑은 고딕"/>
      <family val="3"/>
      <charset val="129"/>
    </font>
    <font>
      <u/>
      <sz val="11"/>
      <color indexed="36"/>
      <name val="돋움"/>
      <family val="3"/>
      <charset val="129"/>
    </font>
    <font>
      <sz val="14"/>
      <name val="뼻뮝"/>
      <family val="3"/>
      <charset val="129"/>
    </font>
    <font>
      <sz val="9"/>
      <name val="굴림체"/>
      <family val="3"/>
      <charset val="129"/>
    </font>
    <font>
      <sz val="11"/>
      <color indexed="19"/>
      <name val="맑은 고딕"/>
      <family val="3"/>
      <charset val="129"/>
    </font>
    <font>
      <b/>
      <sz val="12"/>
      <color indexed="16"/>
      <name val="굴림체"/>
      <family val="3"/>
      <charset val="129"/>
    </font>
    <font>
      <sz val="11"/>
      <name val="Arial"/>
      <family val="2"/>
    </font>
    <font>
      <u/>
      <sz val="10"/>
      <color indexed="36"/>
      <name val="Arial"/>
      <family val="2"/>
    </font>
    <font>
      <b/>
      <sz val="15"/>
      <color indexed="62"/>
      <name val="맑은 고딕"/>
      <family val="3"/>
      <charset val="129"/>
    </font>
    <font>
      <b/>
      <sz val="18"/>
      <color indexed="62"/>
      <name val="맑은 고딕"/>
      <family val="3"/>
      <charset val="129"/>
    </font>
    <font>
      <b/>
      <sz val="13"/>
      <color indexed="62"/>
      <name val="맑은 고딕"/>
      <family val="3"/>
      <charset val="129"/>
    </font>
    <font>
      <b/>
      <sz val="11"/>
      <color indexed="62"/>
      <name val="맑은 고딕"/>
      <family val="3"/>
      <charset val="129"/>
    </font>
    <font>
      <sz val="11"/>
      <name val="ＭＳ 明朝"/>
      <family val="3"/>
      <charset val="129"/>
    </font>
    <font>
      <sz val="12"/>
      <color indexed="8"/>
      <name val="맑은 고딕"/>
      <family val="3"/>
      <charset val="129"/>
    </font>
    <font>
      <sz val="10"/>
      <name val="Times New Roman"/>
      <family val="1"/>
      <charset val="204"/>
    </font>
    <font>
      <sz val="10"/>
      <color theme="1"/>
      <name val="맑은 고딕"/>
      <family val="3"/>
      <scheme val="minor"/>
    </font>
    <font>
      <b/>
      <i/>
      <sz val="12"/>
      <name val="Arial"/>
      <family val="2"/>
    </font>
    <font>
      <b/>
      <sz val="15"/>
      <name val="Arial"/>
      <family val="2"/>
    </font>
    <font>
      <sz val="8"/>
      <name val="맑은 고딕"/>
      <family val="3"/>
      <charset val="129"/>
    </font>
    <font>
      <sz val="8"/>
      <name val="바탕"/>
      <family val="1"/>
      <charset val="129"/>
    </font>
    <font>
      <b/>
      <i/>
      <sz val="11"/>
      <name val="Arial"/>
      <family val="2"/>
    </font>
    <font>
      <sz val="25"/>
      <name val="Arial"/>
      <family val="2"/>
    </font>
    <font>
      <sz val="20"/>
      <name val="Arial"/>
      <family val="2"/>
    </font>
    <font>
      <sz val="15"/>
      <name val="Arial"/>
      <family val="2"/>
    </font>
    <font>
      <sz val="8"/>
      <color theme="1"/>
      <name val="Arial Unicode MS"/>
      <family val="3"/>
      <charset val="129"/>
    </font>
    <font>
      <sz val="11"/>
      <color theme="1"/>
      <name val="맑은 고딕"/>
      <family val="3"/>
      <charset val="129"/>
      <scheme val="major"/>
    </font>
    <font>
      <sz val="11"/>
      <name val="맑은 고딕"/>
      <family val="3"/>
      <charset val="129"/>
      <scheme val="major"/>
    </font>
    <font>
      <i/>
      <sz val="10"/>
      <name val="Arial"/>
      <family val="2"/>
    </font>
    <font>
      <sz val="12"/>
      <color theme="1"/>
      <name val="맑은 고딕"/>
      <family val="3"/>
      <charset val="129"/>
      <scheme val="minor"/>
    </font>
    <font>
      <sz val="12"/>
      <color theme="1"/>
      <name val="맑은 고딕"/>
      <family val="2"/>
      <charset val="129"/>
      <scheme val="minor"/>
    </font>
    <font>
      <b/>
      <sz val="18"/>
      <color theme="1"/>
      <name val="맑은 고딕"/>
      <family val="3"/>
      <charset val="129"/>
      <scheme val="minor"/>
    </font>
    <font>
      <sz val="12"/>
      <color theme="1"/>
      <name val="Arial"/>
      <family val="2"/>
    </font>
    <font>
      <sz val="12"/>
      <color indexed="12"/>
      <name val="Arial"/>
      <family val="2"/>
    </font>
    <font>
      <sz val="12"/>
      <color indexed="10"/>
      <name val="Arial"/>
      <family val="2"/>
    </font>
    <font>
      <sz val="12"/>
      <name val="돋움"/>
      <family val="3"/>
      <charset val="129"/>
    </font>
    <font>
      <sz val="15"/>
      <color rgb="FF000000"/>
      <name val="맑은 고딕"/>
      <family val="3"/>
      <charset val="129"/>
      <scheme val="minor"/>
    </font>
    <font>
      <sz val="9"/>
      <color indexed="81"/>
      <name val="Tahoma"/>
      <family val="2"/>
    </font>
    <font>
      <b/>
      <sz val="12"/>
      <color indexed="81"/>
      <name val="Arial"/>
      <family val="2"/>
    </font>
    <font>
      <sz val="12"/>
      <color indexed="81"/>
      <name val="Arial"/>
      <family val="2"/>
    </font>
    <font>
      <b/>
      <sz val="12"/>
      <color indexed="10"/>
      <name val="Arial"/>
      <family val="2"/>
    </font>
  </fonts>
  <fills count="44">
    <fill>
      <patternFill patternType="none"/>
    </fill>
    <fill>
      <patternFill patternType="gray125"/>
    </fill>
    <fill>
      <patternFill patternType="solid">
        <fgColor rgb="FFFFEB9C"/>
      </patternFill>
    </fill>
    <fill>
      <patternFill patternType="solid">
        <fgColor indexed="13"/>
        <bgColor indexed="64"/>
      </patternFill>
    </fill>
    <fill>
      <patternFill patternType="solid">
        <fgColor indexed="46"/>
      </patternFill>
    </fill>
    <fill>
      <patternFill patternType="solid">
        <fgColor indexed="27"/>
      </patternFill>
    </fill>
    <fill>
      <patternFill patternType="solid">
        <fgColor indexed="22"/>
        <bgColor indexed="64"/>
      </patternFill>
    </fill>
    <fill>
      <patternFill patternType="gray125">
        <fgColor indexed="26"/>
        <bgColor indexed="9"/>
      </patternFill>
    </fill>
    <fill>
      <patternFill patternType="solid">
        <fgColor indexed="26"/>
        <bgColor indexed="64"/>
      </patternFill>
    </fill>
    <fill>
      <patternFill patternType="solid">
        <fgColor indexed="42"/>
        <bgColor indexed="64"/>
      </patternFill>
    </fill>
    <fill>
      <patternFill patternType="solid">
        <fgColor indexed="43"/>
        <bgColor indexed="64"/>
      </patternFill>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
      <patternFill patternType="solid">
        <fgColor indexed="9"/>
      </patternFill>
    </fill>
    <fill>
      <patternFill patternType="solid">
        <fgColor indexed="31"/>
      </patternFill>
    </fill>
    <fill>
      <patternFill patternType="solid">
        <fgColor indexed="45"/>
      </patternFill>
    </fill>
    <fill>
      <patternFill patternType="solid">
        <fgColor indexed="42"/>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9"/>
        <bgColor indexed="64"/>
      </patternFill>
    </fill>
    <fill>
      <patternFill patternType="solid">
        <fgColor indexed="56"/>
      </patternFill>
    </fill>
    <fill>
      <patternFill patternType="solid">
        <fgColor indexed="54"/>
      </patternFill>
    </fill>
    <fill>
      <patternFill patternType="solid">
        <fgColor rgb="FFFFC000"/>
        <bgColor indexed="64"/>
      </patternFill>
    </fill>
    <fill>
      <patternFill patternType="solid">
        <fgColor rgb="FF00FFFF"/>
        <bgColor indexed="64"/>
      </patternFill>
    </fill>
    <fill>
      <patternFill patternType="solid">
        <fgColor rgb="FFDDDDDD"/>
        <bgColor indexed="64"/>
      </patternFill>
    </fill>
  </fills>
  <borders count="146">
    <border>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right/>
      <top style="double">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double">
        <color indexed="64"/>
      </top>
      <bottom style="medium">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8"/>
      </left>
      <right style="thin">
        <color indexed="8"/>
      </right>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right style="medium">
        <color indexed="64"/>
      </right>
      <top/>
      <bottom style="thin">
        <color indexed="64"/>
      </bottom>
      <diagonal/>
    </border>
    <border>
      <left style="medium">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medium">
        <color indexed="64"/>
      </left>
      <right/>
      <top style="medium">
        <color indexed="64"/>
      </top>
      <bottom style="medium">
        <color indexed="64"/>
      </bottom>
      <diagonal/>
    </border>
    <border>
      <left style="double">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top/>
      <bottom style="thin">
        <color auto="1"/>
      </bottom>
      <diagonal/>
    </border>
    <border>
      <left style="medium">
        <color indexed="64"/>
      </left>
      <right style="medium">
        <color indexed="64"/>
      </right>
      <top style="thin">
        <color indexed="64"/>
      </top>
      <bottom style="thin">
        <color indexed="64"/>
      </bottom>
      <diagonal/>
    </border>
    <border>
      <left/>
      <right style="thin">
        <color auto="1"/>
      </right>
      <top/>
      <bottom style="thin">
        <color auto="1"/>
      </bottom>
      <diagonal/>
    </border>
    <border>
      <left style="medium">
        <color indexed="64"/>
      </left>
      <right style="medium">
        <color indexed="64"/>
      </right>
      <top style="thin">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double">
        <color indexed="8"/>
      </left>
      <right style="double">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2"/>
      </top>
      <bottom style="double">
        <color indexed="62"/>
      </bottom>
      <diagonal/>
    </border>
    <border>
      <left/>
      <right/>
      <top/>
      <bottom style="double">
        <color indexed="10"/>
      </bottom>
      <diagonal/>
    </border>
    <border>
      <left/>
      <right/>
      <top style="thin">
        <color indexed="56"/>
      </top>
      <bottom style="double">
        <color indexed="56"/>
      </bottom>
      <diagonal/>
    </border>
    <border>
      <left/>
      <right/>
      <top/>
      <bottom style="thick">
        <color indexed="56"/>
      </bottom>
      <diagonal/>
    </border>
    <border>
      <left/>
      <right/>
      <top/>
      <bottom style="thick">
        <color indexed="27"/>
      </bottom>
      <diagonal/>
    </border>
    <border>
      <left/>
      <right/>
      <top/>
      <bottom style="medium">
        <color indexed="27"/>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double">
        <color indexed="64"/>
      </top>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medium">
        <color indexed="64"/>
      </bottom>
      <diagonal/>
    </border>
    <border>
      <left/>
      <right/>
      <top style="double">
        <color indexed="64"/>
      </top>
      <bottom style="medium">
        <color indexed="64"/>
      </bottom>
      <diagonal/>
    </border>
    <border>
      <left/>
      <right style="medium">
        <color indexed="64"/>
      </right>
      <top style="double">
        <color indexed="64"/>
      </top>
      <bottom style="medium">
        <color indexed="64"/>
      </bottom>
      <diagonal/>
    </border>
    <border>
      <left style="double">
        <color indexed="64"/>
      </left>
      <right/>
      <top/>
      <bottom/>
      <diagonal/>
    </border>
    <border>
      <left/>
      <right/>
      <top style="double">
        <color indexed="64"/>
      </top>
      <bottom style="double">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right style="double">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medium">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style="thin">
        <color indexed="8"/>
      </left>
      <right style="thin">
        <color indexed="8"/>
      </right>
      <top style="thin">
        <color indexed="8"/>
      </top>
      <bottom/>
      <diagonal/>
    </border>
    <border>
      <left style="thin">
        <color indexed="8"/>
      </left>
      <right style="thin">
        <color indexed="64"/>
      </right>
      <top style="thin">
        <color indexed="8"/>
      </top>
      <bottom/>
      <diagonal/>
    </border>
    <border>
      <left/>
      <right style="thin">
        <color auto="1"/>
      </right>
      <top style="thin">
        <color auto="1"/>
      </top>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right style="thin">
        <color auto="1"/>
      </right>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double">
        <color indexed="64"/>
      </top>
      <bottom/>
      <diagonal/>
    </border>
    <border>
      <left style="thin">
        <color indexed="64"/>
      </left>
      <right style="double">
        <color indexed="64"/>
      </right>
      <top style="double">
        <color indexed="64"/>
      </top>
      <bottom/>
      <diagonal/>
    </border>
    <border>
      <left style="thin">
        <color indexed="64"/>
      </left>
      <right/>
      <top style="double">
        <color indexed="64"/>
      </top>
      <bottom style="double">
        <color indexed="64"/>
      </bottom>
      <diagonal/>
    </border>
  </borders>
  <cellStyleXfs count="52823">
    <xf numFmtId="0" fontId="0" fillId="0" borderId="0">
      <alignment vertical="center"/>
    </xf>
    <xf numFmtId="0" fontId="2" fillId="0" borderId="0" applyProtection="0"/>
    <xf numFmtId="0" fontId="6" fillId="0" borderId="0"/>
    <xf numFmtId="42" fontId="6" fillId="0" borderId="0" applyFont="0" applyFill="0" applyBorder="0" applyAlignment="0" applyProtection="0"/>
    <xf numFmtId="0" fontId="6" fillId="0" borderId="0" applyFont="0" applyFill="0" applyBorder="0" applyAlignment="0" applyProtection="0"/>
    <xf numFmtId="0" fontId="8" fillId="0" borderId="0">
      <alignment horizontal="left"/>
    </xf>
    <xf numFmtId="41" fontId="6" fillId="0" borderId="0" applyFont="0" applyFill="0" applyBorder="0" applyAlignment="0" applyProtection="0"/>
    <xf numFmtId="0" fontId="6" fillId="0" borderId="0" applyFont="0" applyFill="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4" fontId="10" fillId="0" borderId="0">
      <protection locked="0"/>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 fillId="0" borderId="0" applyFont="0" applyFill="0" applyBorder="0" applyAlignment="0" applyProtection="0"/>
    <xf numFmtId="176" fontId="2" fillId="0" borderId="0" applyFont="0" applyFill="0" applyBorder="0" applyAlignment="0" applyProtection="0"/>
    <xf numFmtId="177" fontId="10" fillId="0" borderId="0">
      <protection locked="0"/>
    </xf>
    <xf numFmtId="178" fontId="10" fillId="0" borderId="0">
      <protection locked="0"/>
    </xf>
    <xf numFmtId="0" fontId="2" fillId="0" borderId="0" applyFont="0" applyFill="0" applyBorder="0" applyAlignment="0" applyProtection="0"/>
    <xf numFmtId="179" fontId="2" fillId="0" borderId="0" applyFont="0" applyFill="0" applyBorder="0" applyAlignment="0" applyProtection="0"/>
    <xf numFmtId="180" fontId="10" fillId="0" borderId="0">
      <protection locked="0"/>
    </xf>
    <xf numFmtId="0" fontId="10" fillId="0" borderId="0">
      <protection locked="0"/>
    </xf>
    <xf numFmtId="181" fontId="10" fillId="0" borderId="0">
      <protection locked="0"/>
    </xf>
    <xf numFmtId="0" fontId="12" fillId="0" borderId="24" applyNumberFormat="0" applyBorder="0" applyAlignment="0" applyProtection="0">
      <protection locked="0"/>
    </xf>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38" fontId="14" fillId="6" borderId="0" applyNumberFormat="0" applyBorder="0" applyAlignment="0" applyProtection="0"/>
    <xf numFmtId="0" fontId="15" fillId="0" borderId="25" applyNumberFormat="0" applyAlignment="0" applyProtection="0">
      <alignment horizontal="left" vertical="center"/>
    </xf>
    <xf numFmtId="0" fontId="15" fillId="0" borderId="26">
      <alignment horizontal="left" vertical="center"/>
    </xf>
    <xf numFmtId="0" fontId="10" fillId="0" borderId="0">
      <protection locked="0"/>
    </xf>
    <xf numFmtId="0" fontId="10" fillId="0" borderId="0">
      <protection locked="0"/>
    </xf>
    <xf numFmtId="182" fontId="16" fillId="0" borderId="0">
      <protection locked="0"/>
    </xf>
    <xf numFmtId="182" fontId="16" fillId="0" borderId="0">
      <protection locked="0"/>
    </xf>
    <xf numFmtId="0" fontId="2" fillId="7" borderId="6" applyNumberFormat="0" applyFont="0" applyAlignment="0">
      <protection locked="0"/>
    </xf>
    <xf numFmtId="10" fontId="14" fillId="8" borderId="6" applyNumberFormat="0" applyBorder="0" applyAlignment="0" applyProtection="0"/>
    <xf numFmtId="183" fontId="2" fillId="0" borderId="0" applyFont="0" applyFill="0" applyBorder="0" applyAlignment="0" applyProtection="0"/>
    <xf numFmtId="184" fontId="2" fillId="0" borderId="0" applyFont="0" applyFill="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185" fontId="18" fillId="0" borderId="0"/>
    <xf numFmtId="186" fontId="19" fillId="0" borderId="0"/>
    <xf numFmtId="186" fontId="19" fillId="0" borderId="0"/>
    <xf numFmtId="0" fontId="2" fillId="0" borderId="0"/>
    <xf numFmtId="0" fontId="20" fillId="0" borderId="0">
      <alignment vertical="center"/>
    </xf>
    <xf numFmtId="0" fontId="2" fillId="0" borderId="0"/>
    <xf numFmtId="0" fontId="2" fillId="0" borderId="0"/>
    <xf numFmtId="0" fontId="2" fillId="0" borderId="0" applyFont="0">
      <alignment horizontal="left" vertical="top" wrapText="1"/>
      <protection locked="0"/>
    </xf>
    <xf numFmtId="187" fontId="10" fillId="0" borderId="0">
      <protection locked="0"/>
    </xf>
    <xf numFmtId="10" fontId="2" fillId="0" borderId="0" applyFont="0" applyFill="0" applyBorder="0" applyAlignment="0" applyProtection="0"/>
    <xf numFmtId="9" fontId="2" fillId="0" borderId="0" applyFont="0" applyFill="0" applyBorder="0" applyAlignment="0" applyProtection="0"/>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2" fontId="2" fillId="0" borderId="6" applyNumberFormat="0" applyFont="0" applyAlignment="0"/>
    <xf numFmtId="41" fontId="2" fillId="0" borderId="0" applyFont="0" applyFill="0" applyBorder="0" applyAlignment="0" applyProtection="0"/>
    <xf numFmtId="43" fontId="2" fillId="0" borderId="0" applyFont="0" applyFill="0" applyBorder="0" applyAlignment="0" applyProtection="0"/>
    <xf numFmtId="0" fontId="10" fillId="0" borderId="27">
      <protection locked="0"/>
    </xf>
    <xf numFmtId="9" fontId="21" fillId="0" borderId="0" applyFont="0" applyFill="0" applyBorder="0" applyAlignment="0" applyProtection="0"/>
    <xf numFmtId="9" fontId="14" fillId="0" borderId="0" applyFont="0" applyFill="0" applyBorder="0" applyAlignment="0" applyProtection="0"/>
    <xf numFmtId="9" fontId="21" fillId="0" borderId="0" applyFont="0" applyFill="0" applyBorder="0" applyAlignment="0" applyProtection="0"/>
    <xf numFmtId="0" fontId="22" fillId="0" borderId="0"/>
    <xf numFmtId="41" fontId="2" fillId="0" borderId="0" applyFont="0" applyFill="0" applyBorder="0" applyAlignment="0" applyProtection="0"/>
    <xf numFmtId="41" fontId="18" fillId="0" borderId="0" applyFont="0" applyFill="0" applyBorder="0" applyAlignment="0" applyProtection="0"/>
    <xf numFmtId="41" fontId="14" fillId="0" borderId="0" applyFont="0" applyFill="0" applyBorder="0" applyAlignment="0" applyProtection="0"/>
    <xf numFmtId="42" fontId="18" fillId="0" borderId="0" applyFont="0" applyFill="0" applyBorder="0" applyAlignment="0" applyProtection="0">
      <alignment vertical="center"/>
    </xf>
    <xf numFmtId="0" fontId="23" fillId="0" borderId="0">
      <alignment vertical="center"/>
    </xf>
    <xf numFmtId="0" fontId="18" fillId="0" borderId="0"/>
    <xf numFmtId="0" fontId="1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1"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4"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1" fillId="0" borderId="0">
      <alignment vertical="center"/>
    </xf>
    <xf numFmtId="0" fontId="20" fillId="0" borderId="0">
      <alignment vertical="center"/>
    </xf>
    <xf numFmtId="0" fontId="18" fillId="0" borderId="0"/>
    <xf numFmtId="0" fontId="1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5" fillId="0" borderId="0"/>
    <xf numFmtId="0" fontId="18" fillId="0" borderId="0"/>
    <xf numFmtId="0" fontId="1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18" fillId="0" borderId="0"/>
    <xf numFmtId="0" fontId="1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8" fillId="0" borderId="0"/>
    <xf numFmtId="0" fontId="24" fillId="0" borderId="0"/>
    <xf numFmtId="0" fontId="24" fillId="0" borderId="0"/>
    <xf numFmtId="0" fontId="18" fillId="0" borderId="0"/>
    <xf numFmtId="0" fontId="18" fillId="0" borderId="0"/>
    <xf numFmtId="0" fontId="18" fillId="0" borderId="0"/>
    <xf numFmtId="0" fontId="27" fillId="0" borderId="0">
      <alignment vertical="center"/>
    </xf>
    <xf numFmtId="0" fontId="27" fillId="0" borderId="0">
      <alignment vertical="center"/>
    </xf>
    <xf numFmtId="0" fontId="2" fillId="0" borderId="0" applyProtection="0"/>
    <xf numFmtId="0" fontId="20" fillId="0" borderId="0">
      <alignment vertical="center"/>
    </xf>
    <xf numFmtId="0" fontId="18" fillId="0" borderId="0">
      <alignment vertical="center"/>
    </xf>
    <xf numFmtId="0" fontId="18" fillId="0" borderId="0">
      <alignment vertical="center"/>
    </xf>
    <xf numFmtId="0" fontId="20" fillId="0" borderId="0">
      <alignment vertical="center"/>
    </xf>
    <xf numFmtId="0" fontId="14" fillId="0" borderId="0"/>
    <xf numFmtId="0" fontId="14" fillId="0" borderId="0"/>
    <xf numFmtId="0" fontId="14" fillId="0" borderId="0"/>
    <xf numFmtId="0" fontId="14" fillId="0" borderId="0"/>
    <xf numFmtId="0" fontId="14" fillId="0" borderId="0"/>
    <xf numFmtId="0" fontId="2" fillId="0" borderId="0">
      <alignment vertical="center"/>
    </xf>
    <xf numFmtId="0" fontId="2" fillId="0" borderId="0" applyFont="0" applyFill="0" applyBorder="0" applyAlignment="0" applyProtection="0"/>
    <xf numFmtId="9" fontId="2" fillId="0" borderId="0" applyFont="0" applyFill="0" applyBorder="0" applyAlignment="0" applyProtection="0"/>
    <xf numFmtId="0" fontId="2" fillId="0" borderId="0" applyProtection="0"/>
    <xf numFmtId="0" fontId="9" fillId="13" borderId="0" applyNumberFormat="0" applyBorder="0" applyAlignment="0" applyProtection="0"/>
    <xf numFmtId="41" fontId="20" fillId="0" borderId="0" applyFont="0" applyFill="0" applyBorder="0" applyAlignment="0" applyProtection="0">
      <alignment vertical="center"/>
    </xf>
    <xf numFmtId="0" fontId="13" fillId="12" borderId="0" applyNumberFormat="0" applyBorder="0" applyAlignment="0" applyProtection="0"/>
    <xf numFmtId="0" fontId="44" fillId="2" borderId="0" applyNumberFormat="0" applyBorder="0" applyAlignment="0" applyProtection="0"/>
    <xf numFmtId="9" fontId="20" fillId="0" borderId="0" applyFont="0" applyFill="0" applyBorder="0" applyAlignment="0" applyProtection="0">
      <alignment vertical="center"/>
    </xf>
    <xf numFmtId="0" fontId="20" fillId="0" borderId="0">
      <alignment vertical="center"/>
    </xf>
    <xf numFmtId="41" fontId="46" fillId="0" borderId="0" applyFont="0" applyFill="0" applyBorder="0" applyAlignment="0" applyProtection="0">
      <alignment vertical="center"/>
    </xf>
    <xf numFmtId="0" fontId="21" fillId="0" borderId="0"/>
    <xf numFmtId="0" fontId="21" fillId="0" borderId="0"/>
    <xf numFmtId="180" fontId="54" fillId="0" borderId="0"/>
    <xf numFmtId="0"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204" fontId="18" fillId="0" borderId="0" applyFont="0" applyFill="0" applyBorder="0" applyAlignment="0" applyProtection="0"/>
    <xf numFmtId="0" fontId="59" fillId="17" borderId="0"/>
    <xf numFmtId="204" fontId="59" fillId="17" borderId="0"/>
    <xf numFmtId="205" fontId="12" fillId="0" borderId="0">
      <protection locked="0"/>
    </xf>
    <xf numFmtId="0"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206" fontId="60" fillId="0" borderId="0" applyFont="0" applyFill="0" applyBorder="0" applyAlignment="0" applyProtection="0"/>
    <xf numFmtId="207" fontId="60" fillId="0" borderId="0" applyFont="0" applyFill="0" applyBorder="0" applyAlignment="0" applyProtection="0"/>
    <xf numFmtId="0" fontId="21" fillId="0" borderId="0"/>
    <xf numFmtId="204" fontId="21" fillId="0" borderId="0"/>
    <xf numFmtId="0" fontId="21" fillId="0" borderId="0"/>
    <xf numFmtId="204" fontId="21" fillId="0" borderId="0"/>
    <xf numFmtId="9" fontId="60" fillId="0" borderId="0" applyFont="0" applyFill="0" applyBorder="0" applyAlignment="0" applyProtection="0"/>
    <xf numFmtId="0" fontId="60" fillId="0" borderId="0"/>
    <xf numFmtId="0" fontId="12" fillId="0" borderId="0"/>
    <xf numFmtId="204" fontId="12" fillId="0" borderId="0"/>
    <xf numFmtId="0" fontId="2" fillId="0" borderId="0"/>
    <xf numFmtId="204" fontId="2" fillId="0" borderId="0"/>
    <xf numFmtId="0" fontId="61" fillId="0" borderId="0"/>
    <xf numFmtId="204" fontId="61" fillId="0" borderId="0"/>
    <xf numFmtId="0" fontId="61" fillId="0" borderId="0"/>
    <xf numFmtId="204" fontId="61" fillId="0" borderId="0"/>
    <xf numFmtId="0" fontId="12" fillId="0" borderId="0"/>
    <xf numFmtId="204" fontId="12" fillId="0" borderId="0"/>
    <xf numFmtId="0" fontId="12" fillId="0" borderId="0"/>
    <xf numFmtId="204" fontId="12" fillId="0" borderId="0"/>
    <xf numFmtId="0" fontId="12" fillId="0" borderId="0"/>
    <xf numFmtId="204" fontId="12" fillId="0" borderId="0"/>
    <xf numFmtId="0" fontId="2" fillId="0" borderId="0"/>
    <xf numFmtId="204" fontId="2" fillId="0" borderId="0"/>
    <xf numFmtId="0" fontId="61" fillId="0" borderId="0"/>
    <xf numFmtId="204" fontId="61" fillId="0" borderId="0"/>
    <xf numFmtId="0" fontId="61" fillId="0" borderId="0"/>
    <xf numFmtId="204" fontId="61" fillId="0" borderId="0"/>
    <xf numFmtId="0" fontId="2" fillId="0" borderId="0"/>
    <xf numFmtId="204" fontId="2" fillId="0" borderId="0"/>
    <xf numFmtId="40" fontId="61" fillId="0" borderId="0" applyFont="0" applyFill="0" applyBorder="0" applyAlignment="0" applyProtection="0"/>
    <xf numFmtId="208" fontId="62" fillId="0" borderId="0" applyFont="0" applyFill="0" applyBorder="0" applyAlignment="0" applyProtection="0"/>
    <xf numFmtId="209" fontId="62" fillId="0" borderId="0" applyFont="0" applyFill="0" applyBorder="0" applyAlignment="0" applyProtection="0"/>
    <xf numFmtId="210" fontId="62" fillId="0" borderId="0" applyFont="0" applyFill="0" applyBorder="0" applyAlignment="0" applyProtection="0"/>
    <xf numFmtId="0" fontId="2" fillId="0" borderId="0" applyFont="0" applyFill="0" applyBorder="0" applyAlignment="0" applyProtection="0"/>
    <xf numFmtId="204" fontId="2" fillId="0" borderId="0" applyFont="0" applyFill="0" applyBorder="0" applyAlignment="0" applyProtection="0"/>
    <xf numFmtId="188" fontId="2" fillId="0" borderId="0" applyFont="0" applyFill="0" applyBorder="0" applyAlignment="0" applyProtection="0"/>
    <xf numFmtId="211" fontId="62" fillId="0" borderId="0" applyFont="0" applyFill="0" applyBorder="0" applyAlignment="0" applyProtection="0"/>
    <xf numFmtId="212" fontId="62" fillId="0" borderId="0" applyFont="0" applyFill="0" applyBorder="0" applyAlignment="0" applyProtection="0"/>
    <xf numFmtId="213" fontId="62" fillId="0" borderId="0" applyFont="0" applyFill="0" applyBorder="0" applyAlignment="0" applyProtection="0"/>
    <xf numFmtId="0" fontId="2" fillId="0" borderId="0" applyFont="0" applyFill="0" applyBorder="0" applyAlignment="0" applyProtection="0"/>
    <xf numFmtId="204" fontId="2" fillId="0" borderId="0" applyFont="0" applyFill="0" applyBorder="0" applyAlignment="0" applyProtection="0"/>
    <xf numFmtId="208" fontId="62" fillId="0" borderId="0" applyFont="0" applyFill="0" applyBorder="0" applyAlignment="0" applyProtection="0"/>
    <xf numFmtId="211" fontId="62" fillId="0" borderId="0" applyFont="0" applyFill="0" applyBorder="0" applyAlignment="0" applyProtection="0"/>
    <xf numFmtId="40" fontId="61" fillId="0" borderId="0" applyFont="0" applyFill="0" applyBorder="0" applyAlignment="0" applyProtection="0"/>
    <xf numFmtId="213" fontId="62" fillId="0" borderId="0" applyFont="0" applyFill="0" applyBorder="0" applyAlignment="0" applyProtection="0"/>
    <xf numFmtId="212" fontId="62" fillId="0" borderId="0" applyFont="0" applyFill="0" applyBorder="0" applyAlignment="0" applyProtection="0"/>
    <xf numFmtId="188" fontId="2" fillId="0" borderId="0" applyFont="0" applyFill="0" applyBorder="0" applyAlignment="0" applyProtection="0"/>
    <xf numFmtId="209" fontId="62" fillId="0" borderId="0" applyFont="0" applyFill="0" applyBorder="0" applyAlignment="0" applyProtection="0"/>
    <xf numFmtId="210" fontId="62" fillId="0" borderId="0" applyFont="0" applyFill="0" applyBorder="0" applyAlignment="0" applyProtection="0"/>
    <xf numFmtId="0" fontId="61" fillId="0" borderId="0"/>
    <xf numFmtId="204" fontId="61" fillId="0" borderId="0"/>
    <xf numFmtId="0" fontId="2" fillId="0" borderId="0"/>
    <xf numFmtId="204" fontId="2" fillId="0" borderId="0"/>
    <xf numFmtId="0" fontId="2" fillId="0" borderId="0"/>
    <xf numFmtId="204" fontId="2" fillId="0" borderId="0"/>
    <xf numFmtId="0" fontId="61" fillId="0" borderId="0"/>
    <xf numFmtId="204" fontId="61" fillId="0" borderId="0"/>
    <xf numFmtId="0" fontId="12" fillId="0" borderId="0"/>
    <xf numFmtId="204" fontId="12" fillId="0" borderId="0"/>
    <xf numFmtId="0" fontId="2" fillId="0" borderId="0"/>
    <xf numFmtId="204" fontId="2" fillId="0" borderId="0"/>
    <xf numFmtId="0" fontId="61" fillId="0" borderId="0"/>
    <xf numFmtId="204" fontId="61" fillId="0" borderId="0"/>
    <xf numFmtId="0" fontId="2" fillId="0" borderId="0"/>
    <xf numFmtId="204" fontId="2" fillId="0" borderId="0"/>
    <xf numFmtId="0" fontId="61" fillId="0" borderId="0"/>
    <xf numFmtId="204" fontId="61" fillId="0" borderId="0"/>
    <xf numFmtId="0" fontId="12" fillId="0" borderId="0"/>
    <xf numFmtId="204" fontId="12" fillId="0" borderId="0"/>
    <xf numFmtId="0" fontId="61" fillId="0" borderId="0"/>
    <xf numFmtId="204" fontId="61" fillId="0" borderId="0"/>
    <xf numFmtId="0" fontId="2" fillId="0" borderId="0"/>
    <xf numFmtId="204" fontId="2" fillId="0" borderId="0"/>
    <xf numFmtId="0" fontId="2" fillId="0" borderId="0"/>
    <xf numFmtId="204" fontId="2" fillId="0" borderId="0"/>
    <xf numFmtId="0" fontId="2" fillId="0" borderId="0"/>
    <xf numFmtId="204" fontId="2" fillId="0" borderId="0"/>
    <xf numFmtId="0" fontId="61" fillId="0" borderId="0"/>
    <xf numFmtId="204" fontId="61" fillId="0" borderId="0"/>
    <xf numFmtId="0" fontId="61" fillId="0" borderId="0"/>
    <xf numFmtId="204" fontId="61" fillId="0" borderId="0"/>
    <xf numFmtId="0" fontId="2" fillId="0" borderId="0"/>
    <xf numFmtId="204" fontId="2" fillId="0" borderId="0"/>
    <xf numFmtId="0" fontId="61" fillId="0" borderId="0"/>
    <xf numFmtId="204" fontId="61" fillId="0" borderId="0"/>
    <xf numFmtId="0" fontId="2" fillId="0" borderId="0"/>
    <xf numFmtId="204" fontId="2" fillId="0" borderId="0"/>
    <xf numFmtId="0" fontId="61" fillId="0" borderId="0"/>
    <xf numFmtId="204" fontId="61" fillId="0" borderId="0"/>
    <xf numFmtId="0" fontId="2" fillId="0" borderId="0"/>
    <xf numFmtId="204" fontId="2" fillId="0" borderId="0"/>
    <xf numFmtId="0" fontId="61" fillId="0" borderId="0"/>
    <xf numFmtId="204" fontId="61" fillId="0" borderId="0"/>
    <xf numFmtId="0" fontId="12" fillId="0" borderId="0"/>
    <xf numFmtId="204" fontId="12" fillId="0" borderId="0"/>
    <xf numFmtId="0" fontId="2" fillId="0" borderId="0"/>
    <xf numFmtId="204" fontId="2" fillId="0" borderId="0"/>
    <xf numFmtId="0" fontId="2" fillId="0" borderId="0"/>
    <xf numFmtId="204" fontId="2" fillId="0" borderId="0"/>
    <xf numFmtId="0" fontId="61" fillId="0" borderId="0"/>
    <xf numFmtId="204" fontId="61" fillId="0" borderId="0"/>
    <xf numFmtId="0" fontId="18" fillId="0" borderId="0"/>
    <xf numFmtId="204" fontId="18" fillId="0" borderId="0"/>
    <xf numFmtId="0" fontId="63" fillId="18" borderId="0" applyNumberFormat="0" applyBorder="0" applyAlignment="0" applyProtection="0">
      <alignment vertical="center"/>
    </xf>
    <xf numFmtId="204" fontId="11" fillId="18" borderId="0" applyNumberFormat="0" applyBorder="0" applyAlignment="0" applyProtection="0">
      <alignment vertical="center"/>
    </xf>
    <xf numFmtId="204" fontId="11" fillId="18" borderId="0" applyNumberFormat="0" applyBorder="0" applyAlignment="0" applyProtection="0">
      <alignment vertical="center"/>
    </xf>
    <xf numFmtId="0" fontId="11" fillId="18" borderId="0" applyNumberFormat="0" applyBorder="0" applyAlignment="0" applyProtection="0">
      <alignment vertical="center"/>
    </xf>
    <xf numFmtId="0" fontId="63" fillId="19" borderId="0" applyNumberFormat="0" applyBorder="0" applyAlignment="0" applyProtection="0">
      <alignment vertical="center"/>
    </xf>
    <xf numFmtId="204" fontId="11" fillId="19" borderId="0" applyNumberFormat="0" applyBorder="0" applyAlignment="0" applyProtection="0">
      <alignment vertical="center"/>
    </xf>
    <xf numFmtId="204" fontId="11" fillId="19" borderId="0" applyNumberFormat="0" applyBorder="0" applyAlignment="0" applyProtection="0">
      <alignment vertical="center"/>
    </xf>
    <xf numFmtId="0" fontId="11" fillId="19" borderId="0" applyNumberFormat="0" applyBorder="0" applyAlignment="0" applyProtection="0">
      <alignment vertical="center"/>
    </xf>
    <xf numFmtId="0" fontId="63" fillId="20" borderId="0" applyNumberFormat="0" applyBorder="0" applyAlignment="0" applyProtection="0">
      <alignment vertical="center"/>
    </xf>
    <xf numFmtId="204" fontId="11" fillId="20" borderId="0" applyNumberFormat="0" applyBorder="0" applyAlignment="0" applyProtection="0">
      <alignment vertical="center"/>
    </xf>
    <xf numFmtId="204" fontId="11" fillId="20" borderId="0" applyNumberFormat="0" applyBorder="0" applyAlignment="0" applyProtection="0">
      <alignment vertical="center"/>
    </xf>
    <xf numFmtId="0" fontId="11" fillId="20" borderId="0" applyNumberFormat="0" applyBorder="0" applyAlignment="0" applyProtection="0">
      <alignment vertical="center"/>
    </xf>
    <xf numFmtId="0" fontId="63"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0" fontId="11" fillId="4" borderId="0" applyNumberFormat="0" applyBorder="0" applyAlignment="0" applyProtection="0">
      <alignment vertical="center"/>
    </xf>
    <xf numFmtId="0" fontId="63" fillId="5" borderId="0" applyNumberFormat="0" applyBorder="0" applyAlignment="0" applyProtection="0">
      <alignment vertical="center"/>
    </xf>
    <xf numFmtId="204" fontId="11" fillId="5" borderId="0" applyNumberFormat="0" applyBorder="0" applyAlignment="0" applyProtection="0">
      <alignment vertical="center"/>
    </xf>
    <xf numFmtId="204" fontId="11" fillId="5" borderId="0" applyNumberFormat="0" applyBorder="0" applyAlignment="0" applyProtection="0">
      <alignment vertical="center"/>
    </xf>
    <xf numFmtId="0" fontId="11" fillId="5" borderId="0" applyNumberFormat="0" applyBorder="0" applyAlignment="0" applyProtection="0">
      <alignment vertical="center"/>
    </xf>
    <xf numFmtId="0" fontId="63" fillId="21" borderId="0" applyNumberFormat="0" applyBorder="0" applyAlignment="0" applyProtection="0">
      <alignment vertical="center"/>
    </xf>
    <xf numFmtId="204" fontId="11" fillId="21" borderId="0" applyNumberFormat="0" applyBorder="0" applyAlignment="0" applyProtection="0">
      <alignment vertical="center"/>
    </xf>
    <xf numFmtId="204"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204" fontId="11" fillId="18" borderId="0" applyNumberFormat="0" applyBorder="0" applyAlignment="0" applyProtection="0">
      <alignment vertical="center"/>
    </xf>
    <xf numFmtId="204" fontId="11" fillId="18" borderId="0" applyNumberFormat="0" applyBorder="0" applyAlignment="0" applyProtection="0">
      <alignment vertical="center"/>
    </xf>
    <xf numFmtId="204" fontId="11" fillId="18" borderId="0" applyNumberFormat="0" applyBorder="0" applyAlignment="0" applyProtection="0">
      <alignment vertical="center"/>
    </xf>
    <xf numFmtId="204" fontId="11" fillId="18" borderId="0" applyNumberFormat="0" applyBorder="0" applyAlignment="0" applyProtection="0">
      <alignment vertical="center"/>
    </xf>
    <xf numFmtId="204" fontId="11" fillId="18" borderId="0" applyNumberFormat="0" applyBorder="0" applyAlignment="0" applyProtection="0">
      <alignment vertical="center"/>
    </xf>
    <xf numFmtId="0" fontId="11" fillId="18"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204" fontId="11" fillId="19" borderId="0" applyNumberFormat="0" applyBorder="0" applyAlignment="0" applyProtection="0">
      <alignment vertical="center"/>
    </xf>
    <xf numFmtId="204" fontId="11" fillId="19" borderId="0" applyNumberFormat="0" applyBorder="0" applyAlignment="0" applyProtection="0">
      <alignment vertical="center"/>
    </xf>
    <xf numFmtId="204" fontId="11" fillId="19" borderId="0" applyNumberFormat="0" applyBorder="0" applyAlignment="0" applyProtection="0">
      <alignment vertical="center"/>
    </xf>
    <xf numFmtId="204" fontId="11" fillId="19" borderId="0" applyNumberFormat="0" applyBorder="0" applyAlignment="0" applyProtection="0">
      <alignment vertical="center"/>
    </xf>
    <xf numFmtId="204"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204" fontId="11" fillId="20" borderId="0" applyNumberFormat="0" applyBorder="0" applyAlignment="0" applyProtection="0">
      <alignment vertical="center"/>
    </xf>
    <xf numFmtId="204" fontId="11" fillId="20" borderId="0" applyNumberFormat="0" applyBorder="0" applyAlignment="0" applyProtection="0">
      <alignment vertical="center"/>
    </xf>
    <xf numFmtId="204" fontId="11" fillId="20" borderId="0" applyNumberFormat="0" applyBorder="0" applyAlignment="0" applyProtection="0">
      <alignment vertical="center"/>
    </xf>
    <xf numFmtId="204" fontId="11" fillId="20" borderId="0" applyNumberFormat="0" applyBorder="0" applyAlignment="0" applyProtection="0">
      <alignment vertical="center"/>
    </xf>
    <xf numFmtId="204" fontId="11" fillId="20" borderId="0" applyNumberFormat="0" applyBorder="0" applyAlignment="0" applyProtection="0">
      <alignment vertical="center"/>
    </xf>
    <xf numFmtId="0" fontId="11" fillId="20"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0" fontId="11" fillId="4"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204" fontId="11" fillId="5" borderId="0" applyNumberFormat="0" applyBorder="0" applyAlignment="0" applyProtection="0">
      <alignment vertical="center"/>
    </xf>
    <xf numFmtId="204" fontId="11" fillId="5" borderId="0" applyNumberFormat="0" applyBorder="0" applyAlignment="0" applyProtection="0">
      <alignment vertical="center"/>
    </xf>
    <xf numFmtId="204" fontId="11" fillId="5" borderId="0" applyNumberFormat="0" applyBorder="0" applyAlignment="0" applyProtection="0">
      <alignment vertical="center"/>
    </xf>
    <xf numFmtId="204" fontId="11" fillId="5" borderId="0" applyNumberFormat="0" applyBorder="0" applyAlignment="0" applyProtection="0">
      <alignment vertical="center"/>
    </xf>
    <xf numFmtId="204"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204" fontId="11" fillId="21" borderId="0" applyNumberFormat="0" applyBorder="0" applyAlignment="0" applyProtection="0">
      <alignment vertical="center"/>
    </xf>
    <xf numFmtId="204" fontId="11" fillId="21" borderId="0" applyNumberFormat="0" applyBorder="0" applyAlignment="0" applyProtection="0">
      <alignment vertical="center"/>
    </xf>
    <xf numFmtId="204" fontId="11" fillId="21" borderId="0" applyNumberFormat="0" applyBorder="0" applyAlignment="0" applyProtection="0">
      <alignment vertical="center"/>
    </xf>
    <xf numFmtId="204" fontId="11" fillId="21" borderId="0" applyNumberFormat="0" applyBorder="0" applyAlignment="0" applyProtection="0">
      <alignment vertical="center"/>
    </xf>
    <xf numFmtId="204" fontId="11" fillId="21" borderId="0" applyNumberFormat="0" applyBorder="0" applyAlignment="0" applyProtection="0">
      <alignment vertical="center"/>
    </xf>
    <xf numFmtId="0" fontId="11" fillId="21"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63"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0" fontId="11" fillId="22" borderId="0" applyNumberFormat="0" applyBorder="0" applyAlignment="0" applyProtection="0">
      <alignment vertical="center"/>
    </xf>
    <xf numFmtId="0" fontId="63" fillId="23" borderId="0" applyNumberFormat="0" applyBorder="0" applyAlignment="0" applyProtection="0">
      <alignment vertical="center"/>
    </xf>
    <xf numFmtId="204" fontId="11" fillId="23" borderId="0" applyNumberFormat="0" applyBorder="0" applyAlignment="0" applyProtection="0">
      <alignment vertical="center"/>
    </xf>
    <xf numFmtId="204" fontId="11" fillId="23" borderId="0" applyNumberFormat="0" applyBorder="0" applyAlignment="0" applyProtection="0">
      <alignment vertical="center"/>
    </xf>
    <xf numFmtId="0" fontId="11" fillId="23" borderId="0" applyNumberFormat="0" applyBorder="0" applyAlignment="0" applyProtection="0">
      <alignment vertical="center"/>
    </xf>
    <xf numFmtId="0" fontId="63" fillId="25" borderId="0" applyNumberFormat="0" applyBorder="0" applyAlignment="0" applyProtection="0">
      <alignment vertical="center"/>
    </xf>
    <xf numFmtId="204" fontId="11" fillId="25" borderId="0" applyNumberFormat="0" applyBorder="0" applyAlignment="0" applyProtection="0">
      <alignment vertical="center"/>
    </xf>
    <xf numFmtId="204" fontId="11" fillId="25" borderId="0" applyNumberFormat="0" applyBorder="0" applyAlignment="0" applyProtection="0">
      <alignment vertical="center"/>
    </xf>
    <xf numFmtId="0" fontId="11" fillId="25" borderId="0" applyNumberFormat="0" applyBorder="0" applyAlignment="0" applyProtection="0">
      <alignment vertical="center"/>
    </xf>
    <xf numFmtId="0" fontId="63"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0" fontId="11" fillId="4" borderId="0" applyNumberFormat="0" applyBorder="0" applyAlignment="0" applyProtection="0">
      <alignment vertical="center"/>
    </xf>
    <xf numFmtId="0" fontId="63"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0" fontId="11" fillId="22" borderId="0" applyNumberFormat="0" applyBorder="0" applyAlignment="0" applyProtection="0">
      <alignment vertical="center"/>
    </xf>
    <xf numFmtId="0" fontId="63" fillId="26" borderId="0" applyNumberFormat="0" applyBorder="0" applyAlignment="0" applyProtection="0">
      <alignment vertical="center"/>
    </xf>
    <xf numFmtId="204" fontId="11" fillId="26" borderId="0" applyNumberFormat="0" applyBorder="0" applyAlignment="0" applyProtection="0">
      <alignment vertical="center"/>
    </xf>
    <xf numFmtId="204" fontId="11" fillId="26" borderId="0" applyNumberFormat="0" applyBorder="0" applyAlignment="0" applyProtection="0">
      <alignment vertical="center"/>
    </xf>
    <xf numFmtId="0" fontId="11" fillId="26"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204" fontId="11" fillId="23" borderId="0" applyNumberFormat="0" applyBorder="0" applyAlignment="0" applyProtection="0">
      <alignment vertical="center"/>
    </xf>
    <xf numFmtId="204" fontId="11" fillId="23" borderId="0" applyNumberFormat="0" applyBorder="0" applyAlignment="0" applyProtection="0">
      <alignment vertical="center"/>
    </xf>
    <xf numFmtId="204" fontId="11" fillId="23" borderId="0" applyNumberFormat="0" applyBorder="0" applyAlignment="0" applyProtection="0">
      <alignment vertical="center"/>
    </xf>
    <xf numFmtId="204" fontId="11" fillId="23" borderId="0" applyNumberFormat="0" applyBorder="0" applyAlignment="0" applyProtection="0">
      <alignment vertical="center"/>
    </xf>
    <xf numFmtId="204"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3"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204" fontId="11" fillId="25" borderId="0" applyNumberFormat="0" applyBorder="0" applyAlignment="0" applyProtection="0">
      <alignment vertical="center"/>
    </xf>
    <xf numFmtId="204" fontId="11" fillId="25" borderId="0" applyNumberFormat="0" applyBorder="0" applyAlignment="0" applyProtection="0">
      <alignment vertical="center"/>
    </xf>
    <xf numFmtId="204" fontId="11" fillId="25" borderId="0" applyNumberFormat="0" applyBorder="0" applyAlignment="0" applyProtection="0">
      <alignment vertical="center"/>
    </xf>
    <xf numFmtId="204" fontId="11" fillId="25" borderId="0" applyNumberFormat="0" applyBorder="0" applyAlignment="0" applyProtection="0">
      <alignment vertical="center"/>
    </xf>
    <xf numFmtId="204" fontId="11" fillId="25" borderId="0" applyNumberFormat="0" applyBorder="0" applyAlignment="0" applyProtection="0">
      <alignment vertical="center"/>
    </xf>
    <xf numFmtId="0" fontId="11" fillId="25"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204" fontId="11" fillId="4" borderId="0" applyNumberFormat="0" applyBorder="0" applyAlignment="0" applyProtection="0">
      <alignment vertical="center"/>
    </xf>
    <xf numFmtId="0" fontId="11" fillId="4"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19"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204" fontId="11" fillId="22" borderId="0" applyNumberFormat="0" applyBorder="0" applyAlignment="0" applyProtection="0">
      <alignment vertical="center"/>
    </xf>
    <xf numFmtId="0" fontId="11" fillId="22"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5"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204" fontId="11" fillId="26" borderId="0" applyNumberFormat="0" applyBorder="0" applyAlignment="0" applyProtection="0">
      <alignment vertical="center"/>
    </xf>
    <xf numFmtId="204" fontId="11" fillId="26" borderId="0" applyNumberFormat="0" applyBorder="0" applyAlignment="0" applyProtection="0">
      <alignment vertical="center"/>
    </xf>
    <xf numFmtId="204" fontId="11" fillId="26" borderId="0" applyNumberFormat="0" applyBorder="0" applyAlignment="0" applyProtection="0">
      <alignment vertical="center"/>
    </xf>
    <xf numFmtId="204" fontId="11" fillId="26" borderId="0" applyNumberFormat="0" applyBorder="0" applyAlignment="0" applyProtection="0">
      <alignment vertical="center"/>
    </xf>
    <xf numFmtId="204" fontId="11" fillId="26" borderId="0" applyNumberFormat="0" applyBorder="0" applyAlignment="0" applyProtection="0">
      <alignment vertical="center"/>
    </xf>
    <xf numFmtId="0" fontId="11" fillId="26"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11" fillId="24" borderId="0" applyNumberFormat="0" applyBorder="0" applyAlignment="0" applyProtection="0">
      <alignment vertical="center"/>
    </xf>
    <xf numFmtId="0" fontId="64" fillId="28" borderId="0" applyNumberFormat="0" applyBorder="0" applyAlignment="0" applyProtection="0">
      <alignment vertical="center"/>
    </xf>
    <xf numFmtId="204" fontId="65" fillId="28" borderId="0" applyNumberFormat="0" applyBorder="0" applyAlignment="0" applyProtection="0">
      <alignment vertical="center"/>
    </xf>
    <xf numFmtId="0" fontId="64" fillId="23" borderId="0" applyNumberFormat="0" applyBorder="0" applyAlignment="0" applyProtection="0">
      <alignment vertical="center"/>
    </xf>
    <xf numFmtId="204" fontId="65" fillId="23" borderId="0" applyNumberFormat="0" applyBorder="0" applyAlignment="0" applyProtection="0">
      <alignment vertical="center"/>
    </xf>
    <xf numFmtId="0" fontId="64" fillId="25" borderId="0" applyNumberFormat="0" applyBorder="0" applyAlignment="0" applyProtection="0">
      <alignment vertical="center"/>
    </xf>
    <xf numFmtId="204" fontId="65" fillId="25" borderId="0" applyNumberFormat="0" applyBorder="0" applyAlignment="0" applyProtection="0">
      <alignment vertical="center"/>
    </xf>
    <xf numFmtId="0" fontId="64" fillId="29" borderId="0" applyNumberFormat="0" applyBorder="0" applyAlignment="0" applyProtection="0">
      <alignment vertical="center"/>
    </xf>
    <xf numFmtId="204" fontId="65" fillId="29" borderId="0" applyNumberFormat="0" applyBorder="0" applyAlignment="0" applyProtection="0">
      <alignment vertical="center"/>
    </xf>
    <xf numFmtId="0" fontId="64" fillId="30" borderId="0" applyNumberFormat="0" applyBorder="0" applyAlignment="0" applyProtection="0">
      <alignment vertical="center"/>
    </xf>
    <xf numFmtId="204" fontId="65" fillId="30" borderId="0" applyNumberFormat="0" applyBorder="0" applyAlignment="0" applyProtection="0">
      <alignment vertical="center"/>
    </xf>
    <xf numFmtId="0" fontId="64" fillId="31" borderId="0" applyNumberFormat="0" applyBorder="0" applyAlignment="0" applyProtection="0">
      <alignment vertical="center"/>
    </xf>
    <xf numFmtId="204" fontId="65" fillId="31"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204" fontId="65" fillId="28" borderId="0" applyNumberFormat="0" applyBorder="0" applyAlignment="0" applyProtection="0">
      <alignment vertical="center"/>
    </xf>
    <xf numFmtId="204" fontId="65" fillId="28" borderId="0" applyNumberFormat="0" applyBorder="0" applyAlignment="0" applyProtection="0">
      <alignment vertical="center"/>
    </xf>
    <xf numFmtId="204" fontId="65" fillId="28" borderId="0" applyNumberFormat="0" applyBorder="0" applyAlignment="0" applyProtection="0">
      <alignment vertical="center"/>
    </xf>
    <xf numFmtId="204" fontId="65" fillId="28" borderId="0" applyNumberFormat="0" applyBorder="0" applyAlignment="0" applyProtection="0">
      <alignment vertical="center"/>
    </xf>
    <xf numFmtId="204" fontId="65" fillId="28"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204" fontId="65" fillId="23" borderId="0" applyNumberFormat="0" applyBorder="0" applyAlignment="0" applyProtection="0">
      <alignment vertical="center"/>
    </xf>
    <xf numFmtId="204" fontId="65" fillId="23" borderId="0" applyNumberFormat="0" applyBorder="0" applyAlignment="0" applyProtection="0">
      <alignment vertical="center"/>
    </xf>
    <xf numFmtId="204" fontId="65" fillId="23" borderId="0" applyNumberFormat="0" applyBorder="0" applyAlignment="0" applyProtection="0">
      <alignment vertical="center"/>
    </xf>
    <xf numFmtId="204" fontId="65" fillId="23" borderId="0" applyNumberFormat="0" applyBorder="0" applyAlignment="0" applyProtection="0">
      <alignment vertical="center"/>
    </xf>
    <xf numFmtId="204" fontId="65" fillId="23"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204" fontId="65" fillId="25" borderId="0" applyNumberFormat="0" applyBorder="0" applyAlignment="0" applyProtection="0">
      <alignment vertical="center"/>
    </xf>
    <xf numFmtId="204" fontId="65" fillId="25" borderId="0" applyNumberFormat="0" applyBorder="0" applyAlignment="0" applyProtection="0">
      <alignment vertical="center"/>
    </xf>
    <xf numFmtId="204" fontId="65" fillId="25" borderId="0" applyNumberFormat="0" applyBorder="0" applyAlignment="0" applyProtection="0">
      <alignment vertical="center"/>
    </xf>
    <xf numFmtId="204" fontId="65" fillId="25" borderId="0" applyNumberFormat="0" applyBorder="0" applyAlignment="0" applyProtection="0">
      <alignment vertical="center"/>
    </xf>
    <xf numFmtId="204" fontId="65" fillId="25"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0" fontId="65" fillId="19"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5"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204" fontId="65" fillId="31" borderId="0" applyNumberFormat="0" applyBorder="0" applyAlignment="0" applyProtection="0">
      <alignment vertical="center"/>
    </xf>
    <xf numFmtId="204" fontId="65" fillId="31" borderId="0" applyNumberFormat="0" applyBorder="0" applyAlignment="0" applyProtection="0">
      <alignment vertical="center"/>
    </xf>
    <xf numFmtId="204" fontId="65" fillId="31" borderId="0" applyNumberFormat="0" applyBorder="0" applyAlignment="0" applyProtection="0">
      <alignment vertical="center"/>
    </xf>
    <xf numFmtId="204" fontId="65" fillId="31" borderId="0" applyNumberFormat="0" applyBorder="0" applyAlignment="0" applyProtection="0">
      <alignment vertical="center"/>
    </xf>
    <xf numFmtId="204" fontId="65" fillId="31"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0" fontId="65" fillId="23" borderId="0" applyNumberFormat="0" applyBorder="0" applyAlignment="0" applyProtection="0">
      <alignment vertical="center"/>
    </xf>
    <xf numFmtId="188" fontId="2"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0" fontId="64" fillId="33" borderId="0" applyNumberFormat="0" applyBorder="0" applyAlignment="0" applyProtection="0">
      <alignment vertical="center"/>
    </xf>
    <xf numFmtId="204" fontId="65" fillId="33" borderId="0" applyNumberFormat="0" applyBorder="0" applyAlignment="0" applyProtection="0">
      <alignment vertical="center"/>
    </xf>
    <xf numFmtId="0" fontId="64" fillId="34" borderId="0" applyNumberFormat="0" applyBorder="0" applyAlignment="0" applyProtection="0">
      <alignment vertical="center"/>
    </xf>
    <xf numFmtId="204" fontId="65" fillId="34" borderId="0" applyNumberFormat="0" applyBorder="0" applyAlignment="0" applyProtection="0">
      <alignment vertical="center"/>
    </xf>
    <xf numFmtId="0" fontId="64" fillId="35" borderId="0" applyNumberFormat="0" applyBorder="0" applyAlignment="0" applyProtection="0">
      <alignment vertical="center"/>
    </xf>
    <xf numFmtId="204" fontId="65" fillId="35" borderId="0" applyNumberFormat="0" applyBorder="0" applyAlignment="0" applyProtection="0">
      <alignment vertical="center"/>
    </xf>
    <xf numFmtId="0" fontId="64" fillId="29" borderId="0" applyNumberFormat="0" applyBorder="0" applyAlignment="0" applyProtection="0">
      <alignment vertical="center"/>
    </xf>
    <xf numFmtId="204" fontId="65" fillId="29" borderId="0" applyNumberFormat="0" applyBorder="0" applyAlignment="0" applyProtection="0">
      <alignment vertical="center"/>
    </xf>
    <xf numFmtId="0" fontId="64" fillId="30" borderId="0" applyNumberFormat="0" applyBorder="0" applyAlignment="0" applyProtection="0">
      <alignment vertical="center"/>
    </xf>
    <xf numFmtId="204" fontId="65" fillId="30" borderId="0" applyNumberFormat="0" applyBorder="0" applyAlignment="0" applyProtection="0">
      <alignment vertical="center"/>
    </xf>
    <xf numFmtId="0" fontId="64" fillId="32" borderId="0" applyNumberFormat="0" applyBorder="0" applyAlignment="0" applyProtection="0">
      <alignment vertical="center"/>
    </xf>
    <xf numFmtId="204" fontId="65" fillId="32" borderId="0" applyNumberFormat="0" applyBorder="0" applyAlignment="0" applyProtection="0">
      <alignment vertical="center"/>
    </xf>
    <xf numFmtId="214" fontId="67" fillId="0" borderId="0" applyFont="0" applyFill="0" applyBorder="0" applyAlignment="0" applyProtection="0"/>
    <xf numFmtId="0" fontId="68" fillId="0" borderId="0" applyFont="0" applyFill="0" applyBorder="0" applyAlignment="0" applyProtection="0"/>
    <xf numFmtId="0" fontId="2" fillId="0" borderId="0" applyFont="0" applyFill="0" applyBorder="0" applyAlignment="0" applyProtection="0"/>
    <xf numFmtId="0" fontId="69" fillId="0" borderId="0" applyFont="0" applyFill="0" applyBorder="0" applyAlignment="0" applyProtection="0"/>
    <xf numFmtId="0" fontId="70" fillId="0" borderId="0" applyFont="0" applyFill="0" applyBorder="0" applyAlignment="0" applyProtection="0"/>
    <xf numFmtId="0" fontId="71" fillId="0" borderId="0" applyFont="0" applyFill="0" applyBorder="0" applyAlignment="0" applyProtection="0"/>
    <xf numFmtId="215" fontId="67" fillId="0" borderId="0" applyFont="0" applyFill="0" applyBorder="0" applyAlignment="0" applyProtection="0"/>
    <xf numFmtId="0" fontId="68" fillId="0" borderId="0" applyFont="0" applyFill="0" applyBorder="0" applyAlignment="0" applyProtection="0"/>
    <xf numFmtId="0" fontId="70" fillId="0" borderId="0" applyFont="0" applyFill="0" applyBorder="0" applyAlignment="0" applyProtection="0"/>
    <xf numFmtId="0" fontId="71"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216" fontId="67" fillId="0" borderId="0" applyFont="0" applyFill="0" applyBorder="0" applyAlignment="0" applyProtection="0"/>
    <xf numFmtId="0" fontId="68" fillId="0" borderId="0" applyFont="0" applyFill="0" applyBorder="0" applyAlignment="0" applyProtection="0"/>
    <xf numFmtId="0" fontId="70" fillId="0" borderId="0" applyFont="0" applyFill="0" applyBorder="0" applyAlignment="0" applyProtection="0"/>
    <xf numFmtId="0" fontId="2" fillId="0" borderId="0" applyFont="0" applyFill="0" applyBorder="0" applyAlignment="0" applyProtection="0"/>
    <xf numFmtId="217" fontId="67" fillId="0" borderId="0" applyFont="0" applyFill="0" applyBorder="0" applyAlignment="0" applyProtection="0"/>
    <xf numFmtId="0" fontId="68" fillId="0" borderId="0" applyFont="0" applyFill="0" applyBorder="0" applyAlignment="0" applyProtection="0"/>
    <xf numFmtId="0" fontId="70" fillId="0" borderId="0" applyFont="0" applyFill="0" applyBorder="0" applyAlignment="0" applyProtection="0"/>
    <xf numFmtId="0" fontId="2"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2" fillId="0" borderId="0" applyFont="0" applyFill="0" applyBorder="0" applyAlignment="0" applyProtection="0"/>
    <xf numFmtId="204" fontId="2"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2" fillId="0" borderId="0" applyFont="0" applyFill="0" applyBorder="0" applyAlignment="0" applyProtection="0"/>
    <xf numFmtId="204" fontId="2"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2" fillId="0" borderId="0" applyFont="0" applyFill="0" applyBorder="0" applyAlignment="0" applyProtection="0"/>
    <xf numFmtId="204" fontId="2" fillId="0" borderId="0" applyFont="0" applyFill="0" applyBorder="0" applyAlignment="0" applyProtection="0"/>
    <xf numFmtId="0" fontId="72"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0" fontId="74" fillId="0" borderId="0"/>
    <xf numFmtId="0" fontId="75" fillId="0" borderId="0"/>
    <xf numFmtId="0" fontId="68" fillId="0" borderId="0"/>
    <xf numFmtId="0" fontId="71" fillId="0" borderId="0"/>
    <xf numFmtId="0" fontId="74" fillId="0" borderId="0"/>
    <xf numFmtId="0" fontId="74" fillId="0" borderId="0"/>
    <xf numFmtId="0" fontId="76" fillId="0" borderId="0"/>
    <xf numFmtId="0" fontId="71" fillId="0" borderId="0"/>
    <xf numFmtId="0" fontId="76" fillId="0" borderId="0"/>
    <xf numFmtId="204" fontId="67" fillId="0" borderId="0"/>
    <xf numFmtId="204" fontId="68" fillId="0" borderId="0"/>
    <xf numFmtId="204" fontId="67" fillId="0" borderId="0"/>
    <xf numFmtId="0" fontId="76" fillId="0" borderId="0"/>
    <xf numFmtId="204" fontId="67" fillId="0" borderId="0"/>
    <xf numFmtId="0" fontId="76" fillId="0" borderId="0"/>
    <xf numFmtId="204" fontId="67" fillId="0" borderId="0"/>
    <xf numFmtId="0" fontId="76" fillId="0" borderId="0"/>
    <xf numFmtId="204" fontId="67" fillId="0" borderId="0"/>
    <xf numFmtId="204" fontId="68" fillId="0" borderId="0"/>
    <xf numFmtId="204" fontId="67" fillId="0" borderId="0"/>
    <xf numFmtId="204" fontId="68" fillId="0" borderId="0"/>
    <xf numFmtId="204" fontId="67" fillId="0" borderId="0"/>
    <xf numFmtId="204" fontId="68" fillId="0" borderId="0"/>
    <xf numFmtId="204" fontId="67" fillId="0" borderId="0"/>
    <xf numFmtId="0" fontId="76" fillId="0" borderId="0"/>
    <xf numFmtId="0" fontId="71" fillId="0" borderId="0"/>
    <xf numFmtId="204" fontId="67" fillId="0" borderId="0"/>
    <xf numFmtId="204" fontId="68" fillId="0" borderId="0"/>
    <xf numFmtId="204" fontId="67" fillId="0" borderId="0"/>
    <xf numFmtId="0" fontId="76" fillId="0" borderId="0"/>
    <xf numFmtId="204" fontId="67" fillId="0" borderId="0"/>
    <xf numFmtId="0" fontId="76" fillId="0" borderId="0"/>
    <xf numFmtId="204" fontId="67" fillId="0" borderId="0"/>
    <xf numFmtId="0" fontId="76" fillId="0" borderId="0"/>
    <xf numFmtId="204" fontId="67" fillId="0" borderId="0"/>
    <xf numFmtId="204" fontId="68" fillId="0" borderId="0"/>
    <xf numFmtId="204" fontId="67" fillId="0" borderId="0"/>
    <xf numFmtId="204" fontId="68" fillId="0" borderId="0"/>
    <xf numFmtId="204" fontId="67" fillId="0" borderId="0"/>
    <xf numFmtId="204" fontId="68" fillId="0" borderId="0"/>
    <xf numFmtId="204" fontId="67" fillId="0" borderId="0"/>
    <xf numFmtId="0" fontId="76" fillId="0" borderId="0"/>
    <xf numFmtId="0" fontId="71" fillId="0" borderId="0"/>
    <xf numFmtId="0" fontId="68" fillId="0" borderId="0"/>
    <xf numFmtId="0" fontId="75" fillId="0" borderId="0"/>
    <xf numFmtId="0" fontId="77" fillId="0" borderId="0"/>
    <xf numFmtId="0" fontId="75" fillId="0" borderId="0"/>
    <xf numFmtId="0" fontId="77" fillId="0" borderId="0"/>
    <xf numFmtId="204" fontId="75" fillId="0" borderId="0"/>
    <xf numFmtId="204" fontId="77" fillId="0" borderId="0"/>
    <xf numFmtId="204" fontId="75" fillId="0" borderId="0"/>
    <xf numFmtId="204" fontId="77" fillId="0" borderId="0"/>
    <xf numFmtId="204" fontId="75" fillId="0" borderId="0"/>
    <xf numFmtId="204" fontId="77" fillId="0" borderId="0"/>
    <xf numFmtId="0" fontId="78" fillId="36" borderId="82" applyNumberFormat="0" applyAlignment="0" applyProtection="0">
      <alignment vertical="center"/>
    </xf>
    <xf numFmtId="0" fontId="78" fillId="36" borderId="82" applyNumberFormat="0" applyAlignment="0" applyProtection="0">
      <alignment vertical="center"/>
    </xf>
    <xf numFmtId="0" fontId="78" fillId="36" borderId="82" applyNumberFormat="0" applyAlignment="0" applyProtection="0">
      <alignment vertical="center"/>
    </xf>
    <xf numFmtId="0" fontId="78" fillId="36" borderId="82" applyNumberFormat="0" applyAlignment="0" applyProtection="0">
      <alignment vertical="center"/>
    </xf>
    <xf numFmtId="0" fontId="78" fillId="36" borderId="82" applyNumberFormat="0" applyAlignment="0" applyProtection="0">
      <alignment vertical="center"/>
    </xf>
    <xf numFmtId="0" fontId="78"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204" fontId="78" fillId="36" borderId="82" applyNumberFormat="0" applyAlignment="0" applyProtection="0">
      <alignment vertical="center"/>
    </xf>
    <xf numFmtId="0" fontId="78" fillId="36" borderId="82" applyNumberFormat="0" applyAlignment="0" applyProtection="0">
      <alignment vertical="center"/>
    </xf>
    <xf numFmtId="0" fontId="78" fillId="36" borderId="82" applyNumberFormat="0" applyAlignment="0" applyProtection="0">
      <alignment vertical="center"/>
    </xf>
    <xf numFmtId="0" fontId="80" fillId="0" borderId="0"/>
    <xf numFmtId="204" fontId="80" fillId="0" borderId="0"/>
    <xf numFmtId="0" fontId="81" fillId="37" borderId="83" applyNumberFormat="0" applyAlignment="0" applyProtection="0">
      <alignment vertical="center"/>
    </xf>
    <xf numFmtId="204" fontId="82" fillId="37" borderId="83" applyNumberFormat="0" applyAlignment="0" applyProtection="0">
      <alignment vertical="center"/>
    </xf>
    <xf numFmtId="38" fontId="61" fillId="0" borderId="0" applyFont="0" applyFill="0" applyBorder="0" applyAlignment="0" applyProtection="0"/>
    <xf numFmtId="38" fontId="61" fillId="0" borderId="0" applyFont="0" applyFill="0" applyBorder="0" applyAlignment="0" applyProtection="0"/>
    <xf numFmtId="203" fontId="18" fillId="0" borderId="0"/>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0" fontId="10" fillId="0" borderId="0">
      <protection locked="0"/>
    </xf>
    <xf numFmtId="0"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177" fontId="10" fillId="0" borderId="0">
      <protection locked="0"/>
    </xf>
    <xf numFmtId="0" fontId="10" fillId="0" borderId="0">
      <protection locked="0"/>
    </xf>
    <xf numFmtId="0" fontId="70" fillId="0" borderId="0" applyFont="0" applyFill="0" applyBorder="0" applyAlignment="0" applyProtection="0"/>
    <xf numFmtId="0" fontId="70" fillId="0" borderId="0" applyFont="0" applyFill="0" applyBorder="0" applyAlignment="0" applyProtection="0"/>
    <xf numFmtId="204" fontId="70" fillId="0" borderId="0" applyFont="0" applyFill="0" applyBorder="0" applyAlignment="0" applyProtection="0"/>
    <xf numFmtId="204" fontId="70" fillId="0" borderId="0" applyFont="0" applyFill="0" applyBorder="0" applyAlignment="0" applyProtection="0"/>
    <xf numFmtId="0" fontId="61" fillId="0" borderId="0" applyFont="0" applyFill="0" applyBorder="0" applyAlignment="0" applyProtection="0"/>
    <xf numFmtId="204" fontId="61" fillId="0" borderId="0" applyFont="0" applyFill="0" applyBorder="0" applyAlignment="0" applyProtection="0"/>
    <xf numFmtId="218" fontId="10" fillId="0" borderId="0">
      <protection locked="0"/>
    </xf>
    <xf numFmtId="178" fontId="10" fillId="0" borderId="0">
      <protection locked="0"/>
    </xf>
    <xf numFmtId="178" fontId="10" fillId="0" borderId="0">
      <protection locked="0"/>
    </xf>
    <xf numFmtId="178" fontId="10" fillId="0" borderId="0">
      <protection locked="0"/>
    </xf>
    <xf numFmtId="178" fontId="10" fillId="0" borderId="0">
      <protection locked="0"/>
    </xf>
    <xf numFmtId="178" fontId="10" fillId="0" borderId="0">
      <protection locked="0"/>
    </xf>
    <xf numFmtId="178" fontId="10" fillId="0" borderId="0">
      <protection locked="0"/>
    </xf>
    <xf numFmtId="218" fontId="10" fillId="0" borderId="0">
      <protection locked="0"/>
    </xf>
    <xf numFmtId="178" fontId="10" fillId="0" borderId="0">
      <protection locked="0"/>
    </xf>
    <xf numFmtId="178" fontId="10" fillId="0" borderId="0">
      <protection locked="0"/>
    </xf>
    <xf numFmtId="178" fontId="10" fillId="0" borderId="0">
      <protection locked="0"/>
    </xf>
    <xf numFmtId="218" fontId="10" fillId="0" borderId="0">
      <protection locked="0"/>
    </xf>
    <xf numFmtId="218" fontId="10" fillId="0" borderId="0">
      <protection locked="0"/>
    </xf>
    <xf numFmtId="218" fontId="10" fillId="0" borderId="0">
      <protection locked="0"/>
    </xf>
    <xf numFmtId="218" fontId="10" fillId="0" borderId="0">
      <protection locked="0"/>
    </xf>
    <xf numFmtId="180" fontId="10" fillId="0" borderId="0">
      <protection locked="0"/>
    </xf>
    <xf numFmtId="180" fontId="10" fillId="0" borderId="0">
      <protection locked="0"/>
    </xf>
    <xf numFmtId="219" fontId="10" fillId="0" borderId="0">
      <protection locked="0"/>
    </xf>
    <xf numFmtId="219" fontId="10" fillId="0" borderId="0">
      <protection locked="0"/>
    </xf>
    <xf numFmtId="219" fontId="10" fillId="0" borderId="0">
      <protection locked="0"/>
    </xf>
    <xf numFmtId="219" fontId="10" fillId="0" borderId="0">
      <protection locked="0"/>
    </xf>
    <xf numFmtId="219" fontId="10" fillId="0" borderId="0">
      <protection locked="0"/>
    </xf>
    <xf numFmtId="180" fontId="10" fillId="0" borderId="0">
      <protection locked="0"/>
    </xf>
    <xf numFmtId="180" fontId="10" fillId="0" borderId="0">
      <protection locked="0"/>
    </xf>
    <xf numFmtId="180" fontId="10" fillId="0" borderId="0">
      <protection locked="0"/>
    </xf>
    <xf numFmtId="0" fontId="10" fillId="0" borderId="0">
      <protection locked="0"/>
    </xf>
    <xf numFmtId="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180" fontId="10" fillId="0" borderId="0">
      <protection locked="0"/>
    </xf>
    <xf numFmtId="0" fontId="10" fillId="0" borderId="0">
      <protection locked="0"/>
    </xf>
    <xf numFmtId="0" fontId="21" fillId="0" borderId="0"/>
    <xf numFmtId="204" fontId="21" fillId="0" borderId="0"/>
    <xf numFmtId="204" fontId="48" fillId="0" borderId="0" applyFill="0" applyBorder="0" applyAlignment="0" applyProtection="0"/>
    <xf numFmtId="220" fontId="2" fillId="0" borderId="0" applyFont="0" applyFill="0" applyBorder="0" applyAlignment="0" applyProtection="0"/>
    <xf numFmtId="176" fontId="2" fillId="0" borderId="0" applyFont="0" applyFill="0" applyBorder="0" applyAlignment="0" applyProtection="0"/>
    <xf numFmtId="221" fontId="18" fillId="0" borderId="0"/>
    <xf numFmtId="222" fontId="2" fillId="0" borderId="0" applyFill="0" applyBorder="0" applyAlignment="0" applyProtection="0"/>
    <xf numFmtId="223" fontId="2" fillId="0" borderId="0" applyFill="0" applyBorder="0" applyAlignment="0" applyProtection="0"/>
    <xf numFmtId="222" fontId="2" fillId="0" borderId="0" applyFill="0" applyBorder="0" applyAlignment="0" applyProtection="0"/>
    <xf numFmtId="204" fontId="18" fillId="0" borderId="0" applyFont="0" applyFill="0" applyBorder="0" applyAlignment="0" applyProtection="0"/>
    <xf numFmtId="0" fontId="83"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0" fontId="61" fillId="0" borderId="0" applyFont="0" applyFill="0" applyBorder="0" applyAlignment="0" applyProtection="0"/>
    <xf numFmtId="204" fontId="61" fillId="0" borderId="0" applyFont="0" applyFill="0" applyBorder="0" applyAlignment="0" applyProtection="0"/>
    <xf numFmtId="0" fontId="85" fillId="0" borderId="0" applyProtection="0"/>
    <xf numFmtId="204" fontId="10" fillId="0" borderId="0">
      <protection locked="0"/>
    </xf>
    <xf numFmtId="0" fontId="86" fillId="0" borderId="0" applyProtection="0"/>
    <xf numFmtId="204" fontId="10" fillId="0" borderId="0">
      <protection locked="0"/>
    </xf>
    <xf numFmtId="0" fontId="14" fillId="0" borderId="0" applyNumberFormat="0" applyFont="0" applyFill="0" applyBorder="0" applyAlignment="0" applyProtection="0"/>
    <xf numFmtId="204" fontId="87" fillId="0" borderId="0">
      <protection locked="0"/>
    </xf>
    <xf numFmtId="0" fontId="85" fillId="0" borderId="0" applyProtection="0"/>
    <xf numFmtId="204" fontId="10" fillId="0" borderId="0">
      <protection locked="0"/>
    </xf>
    <xf numFmtId="0" fontId="88" fillId="0" borderId="0" applyProtection="0"/>
    <xf numFmtId="204" fontId="10" fillId="0" borderId="0">
      <protection locked="0"/>
    </xf>
    <xf numFmtId="0" fontId="14" fillId="0" borderId="0" applyNumberFormat="0" applyFont="0" applyFill="0" applyBorder="0" applyAlignment="0" applyProtection="0"/>
    <xf numFmtId="204" fontId="10" fillId="0" borderId="0">
      <protection locked="0"/>
    </xf>
    <xf numFmtId="0" fontId="89" fillId="0" borderId="0" applyProtection="0"/>
    <xf numFmtId="204" fontId="87"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0" fontId="10" fillId="0" borderId="0">
      <protection locked="0"/>
    </xf>
    <xf numFmtId="0"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181" fontId="10" fillId="0" borderId="0">
      <protection locked="0"/>
    </xf>
    <xf numFmtId="0" fontId="10" fillId="0" borderId="0">
      <protection locked="0"/>
    </xf>
    <xf numFmtId="0" fontId="90"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38" fontId="14" fillId="38" borderId="0" applyNumberFormat="0" applyBorder="0" applyAlignment="0" applyProtection="0"/>
    <xf numFmtId="38" fontId="14" fillId="38" borderId="0" applyNumberFormat="0" applyBorder="0" applyAlignment="0" applyProtection="0"/>
    <xf numFmtId="38" fontId="14" fillId="38" borderId="0" applyNumberFormat="0" applyBorder="0" applyAlignment="0" applyProtection="0"/>
    <xf numFmtId="38" fontId="14" fillId="38" borderId="0" applyNumberFormat="0" applyBorder="0" applyAlignment="0" applyProtection="0"/>
    <xf numFmtId="38" fontId="14" fillId="38" borderId="0" applyNumberFormat="0" applyBorder="0" applyAlignment="0" applyProtection="0"/>
    <xf numFmtId="0" fontId="92" fillId="0" borderId="0">
      <alignment horizontal="left"/>
    </xf>
    <xf numFmtId="204" fontId="92" fillId="0" borderId="0">
      <alignment horizontal="left"/>
    </xf>
    <xf numFmtId="0" fontId="61" fillId="0" borderId="0"/>
    <xf numFmtId="204" fontId="15" fillId="0" borderId="25" applyNumberFormat="0" applyAlignment="0" applyProtection="0">
      <alignment horizontal="left" vertical="center"/>
    </xf>
    <xf numFmtId="204" fontId="15" fillId="0" borderId="25" applyNumberFormat="0" applyAlignment="0" applyProtection="0">
      <alignment horizontal="left" vertical="center"/>
    </xf>
    <xf numFmtId="204" fontId="15" fillId="0" borderId="25" applyNumberFormat="0" applyAlignment="0" applyProtection="0">
      <alignment horizontal="left" vertical="center"/>
    </xf>
    <xf numFmtId="204" fontId="15" fillId="0" borderId="25" applyNumberFormat="0" applyAlignment="0" applyProtection="0">
      <alignment horizontal="left" vertical="center"/>
    </xf>
    <xf numFmtId="204" fontId="15" fillId="0" borderId="25" applyNumberFormat="0" applyAlignment="0" applyProtection="0">
      <alignment horizontal="left" vertical="center"/>
    </xf>
    <xf numFmtId="0" fontId="61" fillId="0" borderId="0"/>
    <xf numFmtId="0" fontId="61" fillId="0" borderId="0"/>
    <xf numFmtId="0" fontId="61" fillId="0" borderId="0"/>
    <xf numFmtId="0" fontId="61" fillId="0" borderId="0"/>
    <xf numFmtId="0" fontId="61" fillId="0" borderId="0"/>
    <xf numFmtId="0"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204" fontId="15" fillId="0" borderId="26">
      <alignment horizontal="left" vertical="center"/>
    </xf>
    <xf numFmtId="0" fontId="15" fillId="0" borderId="26">
      <alignment horizontal="left" vertical="center"/>
    </xf>
    <xf numFmtId="0" fontId="15" fillId="0" borderId="26">
      <alignment horizontal="left" vertical="center"/>
    </xf>
    <xf numFmtId="0" fontId="15" fillId="0" borderId="26">
      <alignment horizontal="left" vertical="center"/>
    </xf>
    <xf numFmtId="0" fontId="15" fillId="0" borderId="26">
      <alignment horizontal="left" vertical="center"/>
    </xf>
    <xf numFmtId="0" fontId="61" fillId="0" borderId="0"/>
    <xf numFmtId="0" fontId="15" fillId="0" borderId="26">
      <alignment horizontal="left" vertical="center"/>
    </xf>
    <xf numFmtId="0" fontId="61" fillId="0" borderId="0"/>
    <xf numFmtId="0" fontId="61" fillId="0" borderId="0"/>
    <xf numFmtId="0" fontId="61" fillId="0" borderId="0"/>
    <xf numFmtId="0" fontId="15" fillId="0" borderId="26">
      <alignment horizontal="left" vertical="center"/>
    </xf>
    <xf numFmtId="0" fontId="15" fillId="0" borderId="0"/>
    <xf numFmtId="204" fontId="15" fillId="0" borderId="0"/>
    <xf numFmtId="0" fontId="93" fillId="0" borderId="78">
      <alignment horizontal="center"/>
    </xf>
    <xf numFmtId="0" fontId="10" fillId="0" borderId="0">
      <protection locked="0"/>
    </xf>
    <xf numFmtId="0" fontId="10" fillId="0" borderId="0">
      <protection locked="0"/>
    </xf>
    <xf numFmtId="0" fontId="10" fillId="0" borderId="0">
      <protection locked="0"/>
    </xf>
    <xf numFmtId="204" fontId="94" fillId="0" borderId="84" applyNumberFormat="0" applyFill="0" applyAlignment="0" applyProtection="0">
      <alignment vertical="center"/>
    </xf>
    <xf numFmtId="0" fontId="10" fillId="0" borderId="0">
      <protection locked="0"/>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0" fontId="10" fillId="0" borderId="0">
      <protection locked="0"/>
    </xf>
    <xf numFmtId="0" fontId="16" fillId="0" borderId="0">
      <protection locked="0"/>
    </xf>
    <xf numFmtId="0" fontId="16" fillId="0" borderId="0">
      <protection locked="0"/>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6" fillId="0" borderId="0">
      <protection locked="0"/>
    </xf>
    <xf numFmtId="0" fontId="10" fillId="0" borderId="0">
      <protection locked="0"/>
    </xf>
    <xf numFmtId="0" fontId="10" fillId="0" borderId="0">
      <protection locked="0"/>
    </xf>
    <xf numFmtId="0" fontId="10" fillId="0" borderId="0">
      <protection locked="0"/>
    </xf>
    <xf numFmtId="204" fontId="95" fillId="0" borderId="85" applyNumberFormat="0" applyFill="0" applyAlignment="0" applyProtection="0">
      <alignment vertical="center"/>
    </xf>
    <xf numFmtId="0" fontId="10" fillId="0" borderId="0">
      <protection locked="0"/>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0" fontId="10" fillId="0" borderId="0">
      <protection locked="0"/>
    </xf>
    <xf numFmtId="0" fontId="16" fillId="0" borderId="0">
      <protection locked="0"/>
    </xf>
    <xf numFmtId="0" fontId="16" fillId="0" borderId="0">
      <protection locked="0"/>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6" fillId="0" borderId="0">
      <protection locked="0"/>
    </xf>
    <xf numFmtId="0" fontId="96"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0" fontId="96" fillId="0" borderId="86" applyNumberFormat="0" applyFill="0" applyAlignment="0" applyProtection="0">
      <alignment vertical="center"/>
    </xf>
    <xf numFmtId="0" fontId="96" fillId="0" borderId="86" applyNumberFormat="0" applyFill="0" applyAlignment="0" applyProtection="0">
      <alignment vertical="center"/>
    </xf>
    <xf numFmtId="0" fontId="96" fillId="0" borderId="86" applyNumberFormat="0" applyFill="0" applyAlignment="0" applyProtection="0">
      <alignment vertical="center"/>
    </xf>
    <xf numFmtId="0" fontId="96" fillId="0" borderId="86" applyNumberFormat="0" applyFill="0" applyAlignment="0" applyProtection="0">
      <alignment vertical="center"/>
    </xf>
    <xf numFmtId="0" fontId="96"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3" fillId="0" borderId="78">
      <alignment horizontal="center"/>
    </xf>
    <xf numFmtId="204" fontId="93" fillId="0" borderId="78">
      <alignment horizontal="center"/>
    </xf>
    <xf numFmtId="204" fontId="93" fillId="0" borderId="78">
      <alignment horizontal="center"/>
    </xf>
    <xf numFmtId="0" fontId="98" fillId="0" borderId="0" applyNumberFormat="0" applyFill="0" applyBorder="0" applyAlignment="0" applyProtection="0"/>
    <xf numFmtId="204" fontId="98" fillId="0" borderId="0" applyNumberFormat="0" applyFill="0" applyBorder="0" applyAlignment="0" applyProtection="0"/>
    <xf numFmtId="204" fontId="98" fillId="0" borderId="0" applyNumberFormat="0" applyFill="0" applyBorder="0" applyAlignment="0" applyProtection="0"/>
    <xf numFmtId="204" fontId="98" fillId="0" borderId="0" applyNumberFormat="0" applyFill="0" applyBorder="0" applyAlignment="0" applyProtection="0"/>
    <xf numFmtId="204" fontId="98" fillId="0" borderId="0" applyNumberFormat="0" applyFill="0" applyBorder="0" applyAlignment="0" applyProtection="0"/>
    <xf numFmtId="204"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5" fillId="0" borderId="0" applyNumberFormat="0" applyFill="0" applyBorder="0" applyAlignment="0" applyProtection="0"/>
    <xf numFmtId="204" fontId="15" fillId="0" borderId="0" applyNumberFormat="0" applyFill="0" applyBorder="0" applyAlignment="0" applyProtection="0"/>
    <xf numFmtId="204" fontId="15" fillId="0" borderId="0" applyNumberFormat="0" applyFill="0" applyBorder="0" applyAlignment="0" applyProtection="0"/>
    <xf numFmtId="204" fontId="15" fillId="0" borderId="0" applyNumberFormat="0" applyFill="0" applyBorder="0" applyAlignment="0" applyProtection="0"/>
    <xf numFmtId="204" fontId="15" fillId="0" borderId="0" applyNumberFormat="0" applyFill="0" applyBorder="0" applyAlignment="0" applyProtection="0"/>
    <xf numFmtId="204"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99" fillId="0" borderId="0" applyNumberFormat="0" applyFill="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10" fontId="14" fillId="38" borderId="6" applyNumberFormat="0" applyBorder="0" applyAlignment="0" applyProtection="0"/>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0" fontId="100" fillId="21" borderId="82" applyNumberFormat="0" applyAlignment="0" applyProtection="0">
      <alignment vertical="center"/>
    </xf>
    <xf numFmtId="204" fontId="101" fillId="21" borderId="82" applyNumberFormat="0" applyAlignment="0" applyProtection="0">
      <alignment vertical="center"/>
    </xf>
    <xf numFmtId="0" fontId="100"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0" fontId="100" fillId="21" borderId="82" applyNumberFormat="0" applyAlignment="0" applyProtection="0">
      <alignment vertical="center"/>
    </xf>
    <xf numFmtId="204" fontId="101" fillId="21" borderId="82" applyNumberFormat="0" applyAlignment="0" applyProtection="0">
      <alignment vertical="center"/>
    </xf>
    <xf numFmtId="0"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0" fontId="100" fillId="21" borderId="82" applyNumberFormat="0" applyAlignment="0" applyProtection="0">
      <alignment vertical="center"/>
    </xf>
    <xf numFmtId="0" fontId="2" fillId="7" borderId="6" applyNumberFormat="0" applyFont="0" applyAlignment="0">
      <protection locked="0"/>
    </xf>
    <xf numFmtId="0" fontId="100" fillId="21" borderId="82" applyNumberFormat="0" applyAlignment="0" applyProtection="0">
      <alignment vertical="center"/>
    </xf>
    <xf numFmtId="0" fontId="100" fillId="21" borderId="82" applyNumberFormat="0" applyAlignment="0" applyProtection="0">
      <alignment vertical="center"/>
    </xf>
    <xf numFmtId="0"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204" fontId="100" fillId="21" borderId="82" applyNumberFormat="0" applyAlignment="0" applyProtection="0">
      <alignment vertical="center"/>
    </xf>
    <xf numFmtId="0" fontId="101" fillId="27" borderId="82" applyNumberFormat="0" applyAlignment="0" applyProtection="0">
      <alignment vertical="center"/>
    </xf>
    <xf numFmtId="0" fontId="102"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0" fontId="102" fillId="0" borderId="87" applyNumberFormat="0" applyFill="0" applyAlignment="0" applyProtection="0">
      <alignment vertical="center"/>
    </xf>
    <xf numFmtId="0" fontId="102" fillId="0" borderId="87" applyNumberFormat="0" applyFill="0" applyAlignment="0" applyProtection="0">
      <alignment vertical="center"/>
    </xf>
    <xf numFmtId="0" fontId="102" fillId="0" borderId="87" applyNumberFormat="0" applyFill="0" applyAlignment="0" applyProtection="0">
      <alignment vertical="center"/>
    </xf>
    <xf numFmtId="0" fontId="102" fillId="0" borderId="87" applyNumberFormat="0" applyFill="0" applyAlignment="0" applyProtection="0">
      <alignment vertical="center"/>
    </xf>
    <xf numFmtId="224" fontId="104" fillId="0" borderId="0"/>
    <xf numFmtId="224" fontId="104" fillId="0" borderId="0"/>
    <xf numFmtId="224" fontId="104" fillId="0" borderId="0"/>
    <xf numFmtId="224" fontId="104" fillId="0" borderId="0"/>
    <xf numFmtId="224" fontId="104" fillId="0" borderId="0"/>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41" fontId="2" fillId="0" borderId="0" applyFont="0" applyFill="0" applyBorder="0" applyAlignment="0" applyProtection="0"/>
    <xf numFmtId="43" fontId="2" fillId="0" borderId="0" applyFont="0" applyFill="0" applyBorder="0" applyAlignment="0" applyProtection="0"/>
    <xf numFmtId="0" fontId="105" fillId="0" borderId="53"/>
    <xf numFmtId="204" fontId="105" fillId="0" borderId="53"/>
    <xf numFmtId="204" fontId="105" fillId="0" borderId="53"/>
    <xf numFmtId="204" fontId="105" fillId="0" borderId="53"/>
    <xf numFmtId="204" fontId="105" fillId="0" borderId="53"/>
    <xf numFmtId="204" fontId="105" fillId="0" borderId="53"/>
    <xf numFmtId="204" fontId="105" fillId="0" borderId="53"/>
    <xf numFmtId="0" fontId="105" fillId="0" borderId="53"/>
    <xf numFmtId="0" fontId="105" fillId="0" borderId="53"/>
    <xf numFmtId="0" fontId="105" fillId="0" borderId="53"/>
    <xf numFmtId="0" fontId="105" fillId="0" borderId="53"/>
    <xf numFmtId="0" fontId="105" fillId="0" borderId="53"/>
    <xf numFmtId="0" fontId="2" fillId="0" borderId="0" applyFont="0" applyFill="0" applyBorder="0" applyAlignment="0" applyProtection="0"/>
    <xf numFmtId="0" fontId="2" fillId="0" borderId="0" applyFont="0" applyFill="0" applyBorder="0" applyAlignment="0" applyProtection="0"/>
    <xf numFmtId="0" fontId="106"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0" fontId="106" fillId="27" borderId="0" applyNumberFormat="0" applyBorder="0" applyAlignment="0" applyProtection="0">
      <alignment vertical="center"/>
    </xf>
    <xf numFmtId="0" fontId="106" fillId="27" borderId="0" applyNumberFormat="0" applyBorder="0" applyAlignment="0" applyProtection="0">
      <alignment vertical="center"/>
    </xf>
    <xf numFmtId="0" fontId="106" fillId="27" borderId="0" applyNumberFormat="0" applyBorder="0" applyAlignment="0" applyProtection="0">
      <alignment vertical="center"/>
    </xf>
    <xf numFmtId="0" fontId="106" fillId="27" borderId="0" applyNumberFormat="0" applyBorder="0" applyAlignment="0" applyProtection="0">
      <alignment vertical="center"/>
    </xf>
    <xf numFmtId="37" fontId="108" fillId="0" borderId="0"/>
    <xf numFmtId="37" fontId="108" fillId="0" borderId="0"/>
    <xf numFmtId="37" fontId="108" fillId="0" borderId="0"/>
    <xf numFmtId="37" fontId="108" fillId="0" borderId="0"/>
    <xf numFmtId="37" fontId="108" fillId="0" borderId="0"/>
    <xf numFmtId="225" fontId="18" fillId="0" borderId="0"/>
    <xf numFmtId="225" fontId="18" fillId="0" borderId="0"/>
    <xf numFmtId="225" fontId="18" fillId="0" borderId="0"/>
    <xf numFmtId="225" fontId="18" fillId="0" borderId="0"/>
    <xf numFmtId="225" fontId="18" fillId="0" borderId="0"/>
    <xf numFmtId="204" fontId="2" fillId="0" borderId="0"/>
    <xf numFmtId="204" fontId="2" fillId="0" borderId="0"/>
    <xf numFmtId="204" fontId="2" fillId="0" borderId="0"/>
    <xf numFmtId="204" fontId="2" fillId="0" borderId="0"/>
    <xf numFmtId="204" fontId="2" fillId="0" borderId="0"/>
    <xf numFmtId="0" fontId="2" fillId="0" borderId="0"/>
    <xf numFmtId="0" fontId="2" fillId="0" borderId="0"/>
    <xf numFmtId="0" fontId="2" fillId="0" borderId="0"/>
    <xf numFmtId="0" fontId="2" fillId="0" borderId="0"/>
    <xf numFmtId="0" fontId="25" fillId="0" borderId="0" applyNumberFormat="0" applyFont="0" applyFill="0" applyBorder="0" applyAlignment="0" applyProtection="0">
      <alignment vertical="center"/>
    </xf>
    <xf numFmtId="0" fontId="63" fillId="24" borderId="88" applyNumberFormat="0" applyFont="0" applyAlignment="0" applyProtection="0">
      <alignment vertical="center"/>
    </xf>
    <xf numFmtId="0" fontId="63" fillId="24" borderId="88" applyNumberFormat="0" applyFont="0" applyAlignment="0" applyProtection="0">
      <alignment vertical="center"/>
    </xf>
    <xf numFmtId="0" fontId="63" fillId="24" borderId="88" applyNumberFormat="0" applyFont="0" applyAlignment="0" applyProtection="0">
      <alignment vertical="center"/>
    </xf>
    <xf numFmtId="0" fontId="63"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204" fontId="63" fillId="24" borderId="88" applyNumberFormat="0" applyFont="0" applyAlignment="0" applyProtection="0">
      <alignment vertical="center"/>
    </xf>
    <xf numFmtId="0" fontId="63" fillId="24" borderId="88" applyNumberFormat="0" applyFont="0" applyAlignment="0" applyProtection="0">
      <alignment vertical="center"/>
    </xf>
    <xf numFmtId="0" fontId="63" fillId="24" borderId="88" applyNumberFormat="0" applyFont="0" applyAlignment="0" applyProtection="0">
      <alignment vertical="center"/>
    </xf>
    <xf numFmtId="0" fontId="63" fillId="24" borderId="88" applyNumberFormat="0" applyFont="0" applyAlignment="0" applyProtection="0">
      <alignment vertical="center"/>
    </xf>
    <xf numFmtId="0" fontId="63" fillId="24" borderId="88" applyNumberFormat="0" applyFont="0" applyAlignment="0" applyProtection="0">
      <alignment vertical="center"/>
    </xf>
    <xf numFmtId="0" fontId="2" fillId="0" borderId="0" applyFont="0">
      <alignment horizontal="left" vertical="top" wrapText="1"/>
      <protection locked="0"/>
    </xf>
    <xf numFmtId="0" fontId="2" fillId="0" borderId="0" applyFont="0">
      <alignment horizontal="left" vertical="top" wrapText="1"/>
      <protection locked="0"/>
    </xf>
    <xf numFmtId="0" fontId="2" fillId="0" borderId="0" applyFont="0">
      <alignment horizontal="left" vertical="top" wrapText="1"/>
      <protection locked="0"/>
    </xf>
    <xf numFmtId="0" fontId="109" fillId="36" borderId="89" applyNumberFormat="0" applyAlignment="0" applyProtection="0">
      <alignment vertical="center"/>
    </xf>
    <xf numFmtId="0" fontId="109" fillId="36" borderId="89" applyNumberFormat="0" applyAlignment="0" applyProtection="0">
      <alignment vertical="center"/>
    </xf>
    <xf numFmtId="0" fontId="109" fillId="36" borderId="89" applyNumberFormat="0" applyAlignment="0" applyProtection="0">
      <alignment vertical="center"/>
    </xf>
    <xf numFmtId="0" fontId="109"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204" fontId="109" fillId="36" borderId="89" applyNumberFormat="0" applyAlignment="0" applyProtection="0">
      <alignment vertical="center"/>
    </xf>
    <xf numFmtId="0" fontId="109" fillId="36" borderId="89" applyNumberFormat="0" applyAlignment="0" applyProtection="0">
      <alignment vertical="center"/>
    </xf>
    <xf numFmtId="0" fontId="109" fillId="36" borderId="89" applyNumberFormat="0" applyAlignment="0" applyProtection="0">
      <alignment vertical="center"/>
    </xf>
    <xf numFmtId="0" fontId="109" fillId="36" borderId="89" applyNumberFormat="0" applyAlignment="0" applyProtection="0">
      <alignment vertical="center"/>
    </xf>
    <xf numFmtId="0" fontId="109" fillId="36" borderId="89" applyNumberFormat="0" applyAlignment="0" applyProtection="0">
      <alignment vertical="center"/>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187" fontId="10" fillId="0" borderId="0">
      <protection locked="0"/>
    </xf>
    <xf numFmtId="187" fontId="10" fillId="0" borderId="0">
      <protection locked="0"/>
    </xf>
    <xf numFmtId="187" fontId="10" fillId="0" borderId="0">
      <protection locked="0"/>
    </xf>
    <xf numFmtId="187" fontId="10" fillId="0" borderId="0">
      <protection locked="0"/>
    </xf>
    <xf numFmtId="9" fontId="18" fillId="0" borderId="0" applyFont="0" applyFill="0" applyBorder="0" applyAlignment="0" applyProtection="0">
      <alignment vertical="center"/>
    </xf>
    <xf numFmtId="0" fontId="111" fillId="6" borderId="90" applyFill="0" applyAlignment="0"/>
    <xf numFmtId="0"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204" fontId="111" fillId="6" borderId="90" applyFill="0" applyAlignment="0"/>
    <xf numFmtId="0" fontId="111" fillId="6" borderId="90" applyFill="0" applyAlignment="0"/>
    <xf numFmtId="0" fontId="111" fillId="6" borderId="90" applyFill="0" applyAlignment="0"/>
    <xf numFmtId="0" fontId="111" fillId="6" borderId="90" applyFill="0" applyAlignment="0"/>
    <xf numFmtId="0" fontId="111" fillId="6" borderId="90" applyFill="0" applyAlignment="0"/>
    <xf numFmtId="0" fontId="111" fillId="6" borderId="90" applyFill="0" applyAlignment="0"/>
    <xf numFmtId="2" fontId="2" fillId="0" borderId="91" applyNumberFormat="0" applyFont="0" applyAlignment="0"/>
    <xf numFmtId="2" fontId="2" fillId="0" borderId="91" applyNumberFormat="0" applyFont="0" applyAlignment="0"/>
    <xf numFmtId="2" fontId="2" fillId="0" borderId="91" applyNumberFormat="0" applyFont="0" applyAlignment="0"/>
    <xf numFmtId="2" fontId="2" fillId="0" borderId="91" applyNumberFormat="0" applyFont="0" applyAlignment="0"/>
    <xf numFmtId="2" fontId="2" fillId="0" borderId="91" applyNumberFormat="0" applyFont="0" applyAlignment="0"/>
    <xf numFmtId="2" fontId="2" fillId="0" borderId="91" applyNumberFormat="0" applyFont="0" applyAlignment="0"/>
    <xf numFmtId="0" fontId="25" fillId="0" borderId="0" applyNumberFormat="0" applyFont="0" applyFill="0" applyBorder="0" applyAlignment="0" applyProtection="0">
      <alignment vertical="center"/>
    </xf>
    <xf numFmtId="0" fontId="105" fillId="0" borderId="0"/>
    <xf numFmtId="204" fontId="105" fillId="0" borderId="0"/>
    <xf numFmtId="204" fontId="105" fillId="0" borderId="0"/>
    <xf numFmtId="204" fontId="105" fillId="0" borderId="0"/>
    <xf numFmtId="204" fontId="105" fillId="0" borderId="0"/>
    <xf numFmtId="204" fontId="105" fillId="0" borderId="0"/>
    <xf numFmtId="0" fontId="105" fillId="0" borderId="0"/>
    <xf numFmtId="0" fontId="105" fillId="0" borderId="0"/>
    <xf numFmtId="0" fontId="105" fillId="0" borderId="0"/>
    <xf numFmtId="0" fontId="105" fillId="0" borderId="0"/>
    <xf numFmtId="0" fontId="112"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2" fillId="0" borderId="0" applyNumberFormat="0" applyFill="0" applyBorder="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0" fontId="10" fillId="0" borderId="27">
      <protection locked="0"/>
    </xf>
    <xf numFmtId="0" fontId="10" fillId="0" borderId="27">
      <protection locked="0"/>
    </xf>
    <xf numFmtId="0" fontId="10" fillId="0" borderId="27">
      <protection locked="0"/>
    </xf>
    <xf numFmtId="0" fontId="10" fillId="0" borderId="27">
      <protection locked="0"/>
    </xf>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226" fontId="18" fillId="0" borderId="0" applyFont="0" applyFill="0" applyBorder="0" applyAlignment="0" applyProtection="0"/>
    <xf numFmtId="0" fontId="62" fillId="0" borderId="0" applyFont="0" applyFill="0" applyBorder="0" applyAlignment="0" applyProtection="0"/>
    <xf numFmtId="0" fontId="25" fillId="0" borderId="0" applyNumberFormat="0" applyFont="0" applyFill="0" applyBorder="0" applyAlignment="0" applyProtection="0">
      <alignment vertical="center"/>
    </xf>
    <xf numFmtId="0" fontId="25" fillId="0" borderId="0" applyNumberFormat="0" applyFont="0" applyFill="0" applyBorder="0" applyAlignment="0" applyProtection="0">
      <alignment vertical="center"/>
    </xf>
    <xf numFmtId="0" fontId="115"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204" fontId="65" fillId="33"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9"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204" fontId="65" fillId="34"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204" fontId="65" fillId="35"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26"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204" fontId="65" fillId="29"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4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204"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0"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204" fontId="65" fillId="32"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65" fillId="34" borderId="0" applyNumberFormat="0" applyBorder="0" applyAlignment="0" applyProtection="0">
      <alignment vertical="center"/>
    </xf>
    <xf numFmtId="0"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204"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6" fillId="0" borderId="0" applyNumberFormat="0" applyFill="0" applyBorder="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204" fontId="79" fillId="36" borderId="82" applyNumberFormat="0" applyAlignment="0" applyProtection="0">
      <alignment vertical="center"/>
    </xf>
    <xf numFmtId="0" fontId="117" fillId="17" borderId="82" applyNumberFormat="0" applyAlignment="0" applyProtection="0">
      <alignment vertical="center"/>
    </xf>
    <xf numFmtId="204" fontId="79" fillId="36" borderId="82" applyNumberFormat="0" applyAlignment="0" applyProtection="0">
      <alignment vertical="center"/>
    </xf>
    <xf numFmtId="0" fontId="117" fillId="17" borderId="82" applyNumberFormat="0" applyAlignment="0" applyProtection="0">
      <alignment vertical="center"/>
    </xf>
    <xf numFmtId="204" fontId="79" fillId="36" borderId="82" applyNumberFormat="0" applyAlignment="0" applyProtection="0">
      <alignment vertical="center"/>
    </xf>
    <xf numFmtId="0" fontId="117" fillId="17" borderId="82" applyNumberFormat="0" applyAlignment="0" applyProtection="0">
      <alignment vertical="center"/>
    </xf>
    <xf numFmtId="204" fontId="79" fillId="36"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0" fontId="117" fillId="17" borderId="82" applyNumberFormat="0" applyAlignment="0" applyProtection="0">
      <alignment vertical="center"/>
    </xf>
    <xf numFmtId="227" fontId="21" fillId="0" borderId="0">
      <protection locked="0"/>
    </xf>
    <xf numFmtId="0" fontId="25" fillId="0" borderId="0" applyNumberFormat="0" applyFont="0" applyFill="0" applyBorder="0" applyAlignment="0" applyProtection="0">
      <alignment vertical="center"/>
    </xf>
    <xf numFmtId="227" fontId="21" fillId="0" borderId="0">
      <protection locked="0"/>
    </xf>
    <xf numFmtId="227" fontId="21" fillId="0" borderId="0">
      <protection locked="0"/>
    </xf>
    <xf numFmtId="227" fontId="21" fillId="0" borderId="0">
      <protection locked="0"/>
    </xf>
    <xf numFmtId="228" fontId="54" fillId="0" borderId="0">
      <protection locked="0"/>
    </xf>
    <xf numFmtId="228" fontId="54" fillId="0" borderId="0">
      <protection locked="0"/>
    </xf>
    <xf numFmtId="228" fontId="54" fillId="0" borderId="0">
      <protection locked="0"/>
    </xf>
    <xf numFmtId="227" fontId="21"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16" fillId="0" borderId="0">
      <protection locked="0"/>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204" fontId="73" fillId="19"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0" fillId="0" borderId="0">
      <protection locked="0"/>
    </xf>
    <xf numFmtId="0" fontId="118" fillId="0" borderId="0" applyNumberFormat="0" applyFill="0" applyBorder="0" applyAlignment="0" applyProtection="0">
      <alignment vertical="top"/>
      <protection locked="0"/>
    </xf>
    <xf numFmtId="204" fontId="118" fillId="0" borderId="0" applyNumberFormat="0" applyFill="0" applyBorder="0" applyAlignment="0" applyProtection="0">
      <alignment vertical="top"/>
      <protection locked="0"/>
    </xf>
    <xf numFmtId="204" fontId="118" fillId="0" borderId="0" applyNumberFormat="0" applyFill="0" applyBorder="0" applyAlignment="0" applyProtection="0">
      <alignment vertical="top"/>
      <protection locked="0"/>
    </xf>
    <xf numFmtId="204" fontId="118" fillId="0" borderId="0" applyNumberFormat="0" applyFill="0" applyBorder="0" applyAlignment="0" applyProtection="0">
      <alignment vertical="top"/>
      <protection locked="0"/>
    </xf>
    <xf numFmtId="204" fontId="118" fillId="0" borderId="0" applyNumberFormat="0" applyFill="0" applyBorder="0" applyAlignment="0" applyProtection="0">
      <alignment vertical="top"/>
      <protection locked="0"/>
    </xf>
    <xf numFmtId="204" fontId="118"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40" fontId="119" fillId="0" borderId="0" applyFont="0" applyFill="0" applyBorder="0" applyAlignment="0" applyProtection="0"/>
    <xf numFmtId="38" fontId="119" fillId="0" borderId="0" applyFont="0" applyFill="0" applyBorder="0" applyAlignment="0" applyProtection="0"/>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204" fontId="18" fillId="24" borderId="88" applyNumberFormat="0" applyFont="0" applyAlignment="0" applyProtection="0">
      <alignment vertical="center"/>
    </xf>
    <xf numFmtId="0" fontId="120" fillId="24" borderId="88" applyNumberFormat="0" applyFont="0" applyAlignment="0" applyProtection="0">
      <alignment vertical="center"/>
    </xf>
    <xf numFmtId="204" fontId="18" fillId="24" borderId="88" applyNumberFormat="0" applyFont="0" applyAlignment="0" applyProtection="0">
      <alignment vertical="center"/>
    </xf>
    <xf numFmtId="0" fontId="120" fillId="24" borderId="88" applyNumberFormat="0" applyFont="0" applyAlignment="0" applyProtection="0">
      <alignment vertical="center"/>
    </xf>
    <xf numFmtId="204" fontId="18" fillId="24" borderId="88" applyNumberFormat="0" applyFont="0" applyAlignment="0" applyProtection="0">
      <alignment vertical="center"/>
    </xf>
    <xf numFmtId="0" fontId="120" fillId="24" borderId="88" applyNumberFormat="0" applyFont="0" applyAlignment="0" applyProtection="0">
      <alignment vertical="center"/>
    </xf>
    <xf numFmtId="204" fontId="18"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20" fillId="24" borderId="88" applyNumberFormat="0" applyFont="0" applyAlignment="0" applyProtection="0">
      <alignment vertical="center"/>
    </xf>
    <xf numFmtId="0" fontId="119" fillId="0" borderId="0" applyFont="0" applyFill="0" applyBorder="0" applyAlignment="0" applyProtection="0"/>
    <xf numFmtId="0" fontId="119" fillId="0" borderId="0" applyFont="0" applyFill="0" applyBorder="0" applyAlignment="0" applyProtection="0"/>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18" fillId="0" borderId="0" applyFont="0" applyFill="0" applyBorder="0" applyAlignment="0" applyProtection="0">
      <alignment vertical="center"/>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11" fillId="0" borderId="0" applyFont="0" applyFill="0" applyBorder="0" applyAlignment="0" applyProtection="0">
      <alignment vertical="center"/>
    </xf>
    <xf numFmtId="9" fontId="21" fillId="0" borderId="0" applyFont="0" applyFill="0" applyBorder="0" applyAlignment="0" applyProtection="0"/>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11" fillId="0" borderId="0" applyFont="0" applyFill="0" applyBorder="0" applyAlignment="0" applyProtection="0">
      <alignment vertical="center"/>
    </xf>
    <xf numFmtId="9" fontId="21" fillId="0" borderId="0" applyFont="0" applyFill="0" applyBorder="0" applyAlignment="0" applyProtection="0"/>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204" fontId="107"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21" fillId="27" borderId="0" applyNumberFormat="0" applyBorder="0" applyAlignment="0" applyProtection="0">
      <alignment vertical="center"/>
    </xf>
    <xf numFmtId="0"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204"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204"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0" fontId="82" fillId="37" borderId="83" applyNumberFormat="0" applyAlignment="0" applyProtection="0">
      <alignment vertical="center"/>
    </xf>
    <xf numFmtId="229" fontId="122" fillId="0" borderId="0">
      <alignment vertical="center"/>
    </xf>
    <xf numFmtId="0" fontId="25" fillId="0" borderId="0" applyNumberFormat="0" applyFont="0" applyFill="0" applyBorder="0" applyAlignment="0" applyProtection="0">
      <alignment vertical="center"/>
    </xf>
    <xf numFmtId="229" fontId="122" fillId="0" borderId="0">
      <alignment vertical="center"/>
    </xf>
    <xf numFmtId="229" fontId="122" fillId="0" borderId="0">
      <alignment vertical="center"/>
    </xf>
    <xf numFmtId="229" fontId="122" fillId="0" borderId="0">
      <alignment vertical="center"/>
    </xf>
    <xf numFmtId="230" fontId="54" fillId="0" borderId="0">
      <alignment vertical="center"/>
    </xf>
    <xf numFmtId="230" fontId="54" fillId="0" borderId="0">
      <alignment vertical="center"/>
    </xf>
    <xf numFmtId="230" fontId="54" fillId="0" borderId="0">
      <alignment vertical="center"/>
    </xf>
    <xf numFmtId="229" fontId="122" fillId="0" borderId="0">
      <alignment vertical="center"/>
    </xf>
    <xf numFmtId="41" fontId="123"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41" fontId="18" fillId="0" borderId="0" applyFont="0" applyFill="0" applyBorder="0" applyAlignment="0" applyProtection="0"/>
    <xf numFmtId="0" fontId="2" fillId="0" borderId="0" applyFont="0" applyFill="0" applyBorder="0" applyAlignment="0" applyProtection="0"/>
    <xf numFmtId="41" fontId="2" fillId="0" borderId="0" applyFont="0" applyFill="0" applyBorder="0" applyAlignment="0" applyProtection="0"/>
    <xf numFmtId="41" fontId="14" fillId="0" borderId="0" applyFont="0" applyFill="0" applyBorder="0" applyAlignment="0" applyProtection="0"/>
    <xf numFmtId="41" fontId="14" fillId="0" borderId="0" applyFont="0" applyFill="0" applyBorder="0" applyAlignment="0" applyProtection="0"/>
    <xf numFmtId="41" fontId="14" fillId="0" borderId="0" applyFont="0" applyFill="0" applyBorder="0" applyAlignment="0" applyProtection="0"/>
    <xf numFmtId="41" fontId="14" fillId="0" borderId="0" applyFont="0" applyFill="0" applyBorder="0" applyAlignment="0" applyProtection="0"/>
    <xf numFmtId="41" fontId="14" fillId="0" borderId="0" applyFont="0" applyFill="0" applyBorder="0" applyAlignment="0" applyProtection="0"/>
    <xf numFmtId="41" fontId="123" fillId="0" borderId="0" applyFont="0" applyFill="0" applyBorder="0" applyAlignment="0" applyProtection="0"/>
    <xf numFmtId="41" fontId="123" fillId="0" borderId="0" applyFont="0" applyFill="0" applyBorder="0" applyAlignment="0" applyProtection="0"/>
    <xf numFmtId="41" fontId="123" fillId="0" borderId="0" applyFont="0" applyFill="0" applyBorder="0" applyAlignment="0" applyProtection="0"/>
    <xf numFmtId="41" fontId="123" fillId="0" borderId="0" applyFont="0" applyFill="0" applyBorder="0" applyAlignment="0" applyProtection="0"/>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41" fontId="18" fillId="0" borderId="0" applyFont="0" applyFill="0" applyBorder="0" applyAlignment="0" applyProtection="0">
      <alignment vertical="center"/>
    </xf>
    <xf numFmtId="0"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xf numFmtId="204" fontId="2" fillId="0" borderId="0"/>
    <xf numFmtId="0" fontId="25" fillId="0" borderId="0" applyNumberFormat="0" applyFont="0" applyFill="0" applyBorder="0" applyAlignment="0" applyProtection="0">
      <alignment vertical="center"/>
    </xf>
    <xf numFmtId="204" fontId="2" fillId="0" borderId="0"/>
    <xf numFmtId="204" fontId="2" fillId="0" borderId="0"/>
    <xf numFmtId="204" fontId="2" fillId="0" borderId="0"/>
    <xf numFmtId="0" fontId="18" fillId="0" borderId="0"/>
    <xf numFmtId="0" fontId="18" fillId="0" borderId="0"/>
    <xf numFmtId="0" fontId="18" fillId="0" borderId="0"/>
    <xf numFmtId="204" fontId="2" fillId="0" borderId="0"/>
    <xf numFmtId="0" fontId="35" fillId="0" borderId="0"/>
    <xf numFmtId="0" fontId="35" fillId="0" borderId="0"/>
    <xf numFmtId="0" fontId="35"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04" fontId="12" fillId="0" borderId="0"/>
    <xf numFmtId="0" fontId="25" fillId="0" borderId="0" applyNumberFormat="0" applyFont="0" applyFill="0" applyBorder="0" applyAlignment="0" applyProtection="0">
      <alignment vertical="center"/>
    </xf>
    <xf numFmtId="204" fontId="12" fillId="0" borderId="0"/>
    <xf numFmtId="204" fontId="12" fillId="0" borderId="0"/>
    <xf numFmtId="204" fontId="12" fillId="0" borderId="0"/>
    <xf numFmtId="0" fontId="18" fillId="0" borderId="0"/>
    <xf numFmtId="0" fontId="18" fillId="0" borderId="0"/>
    <xf numFmtId="0" fontId="18" fillId="0" borderId="0"/>
    <xf numFmtId="204" fontId="12" fillId="0" borderId="0"/>
    <xf numFmtId="0" fontId="35" fillId="0" borderId="0"/>
    <xf numFmtId="0" fontId="35" fillId="0" borderId="0"/>
    <xf numFmtId="0" fontId="35" fillId="0" borderId="0"/>
    <xf numFmtId="0" fontId="18" fillId="0" borderId="0"/>
    <xf numFmtId="0" fontId="18" fillId="0" borderId="0"/>
    <xf numFmtId="204" fontId="12" fillId="0" borderId="0"/>
    <xf numFmtId="0" fontId="25" fillId="0" borderId="0" applyNumberFormat="0" applyFont="0" applyFill="0" applyBorder="0" applyAlignment="0" applyProtection="0">
      <alignment vertical="center"/>
    </xf>
    <xf numFmtId="204" fontId="12" fillId="0" borderId="0"/>
    <xf numFmtId="204" fontId="12" fillId="0" borderId="0"/>
    <xf numFmtId="204" fontId="12" fillId="0" borderId="0"/>
    <xf numFmtId="0" fontId="18" fillId="0" borderId="0"/>
    <xf numFmtId="0" fontId="18" fillId="0" borderId="0"/>
    <xf numFmtId="0" fontId="18" fillId="0" borderId="0"/>
    <xf numFmtId="204" fontId="12" fillId="0" borderId="0"/>
    <xf numFmtId="0" fontId="35" fillId="0" borderId="0"/>
    <xf numFmtId="0" fontId="35" fillId="0" borderId="0"/>
    <xf numFmtId="0" fontId="35" fillId="0" borderId="0"/>
    <xf numFmtId="0" fontId="18" fillId="0" borderId="0"/>
    <xf numFmtId="0" fontId="18" fillId="0" borderId="0"/>
    <xf numFmtId="204" fontId="12" fillId="0" borderId="0"/>
    <xf numFmtId="204" fontId="12" fillId="0" borderId="0"/>
    <xf numFmtId="204" fontId="12" fillId="0" borderId="0"/>
    <xf numFmtId="204" fontId="12" fillId="0" borderId="0"/>
    <xf numFmtId="204" fontId="12" fillId="0" borderId="0"/>
    <xf numFmtId="0" fontId="18" fillId="0" borderId="0"/>
    <xf numFmtId="0" fontId="18" fillId="0" borderId="0"/>
    <xf numFmtId="0" fontId="18" fillId="0" borderId="0"/>
    <xf numFmtId="0" fontId="18" fillId="0" borderId="0"/>
    <xf numFmtId="0" fontId="18" fillId="0" borderId="0"/>
    <xf numFmtId="204" fontId="12" fillId="0" borderId="0"/>
    <xf numFmtId="204" fontId="12" fillId="0" borderId="0"/>
    <xf numFmtId="204" fontId="12" fillId="0" borderId="0"/>
    <xf numFmtId="204" fontId="12" fillId="0" borderId="0"/>
    <xf numFmtId="204" fontId="12" fillId="0" borderId="0"/>
    <xf numFmtId="0" fontId="18" fillId="0" borderId="0"/>
    <xf numFmtId="0" fontId="18" fillId="0" borderId="0"/>
    <xf numFmtId="0" fontId="18" fillId="0" borderId="0"/>
    <xf numFmtId="0" fontId="18" fillId="0" borderId="0"/>
    <xf numFmtId="0" fontId="18" fillId="0" borderId="0"/>
    <xf numFmtId="204" fontId="12" fillId="0" borderId="0"/>
    <xf numFmtId="204" fontId="12" fillId="0" borderId="0"/>
    <xf numFmtId="204" fontId="12" fillId="0" borderId="0"/>
    <xf numFmtId="204" fontId="12" fillId="0" borderId="0"/>
    <xf numFmtId="204" fontId="1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88" fontId="2" fillId="0" borderId="0" applyFont="0" applyFill="0" applyBorder="0" applyAlignment="0" applyProtection="0"/>
    <xf numFmtId="188" fontId="2" fillId="0" borderId="0" applyFont="0" applyFill="0" applyBorder="0" applyAlignment="0" applyProtection="0"/>
    <xf numFmtId="188" fontId="2" fillId="0" borderId="0" applyFont="0" applyFill="0" applyBorder="0" applyAlignment="0" applyProtection="0"/>
    <xf numFmtId="188" fontId="2" fillId="0" borderId="0" applyFont="0" applyFill="0" applyBorder="0" applyAlignment="0" applyProtection="0"/>
    <xf numFmtId="188" fontId="2" fillId="0" borderId="0" applyFont="0" applyFill="0" applyBorder="0" applyAlignment="0" applyProtection="0"/>
    <xf numFmtId="0" fontId="116" fillId="0" borderId="93" applyNumberFormat="0" applyFill="0" applyAlignment="0" applyProtection="0">
      <alignment vertical="center"/>
    </xf>
    <xf numFmtId="0" fontId="116" fillId="0" borderId="93"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204" fontId="103" fillId="0" borderId="87"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16" fillId="0" borderId="93" applyNumberFormat="0" applyFill="0" applyAlignment="0" applyProtection="0">
      <alignment vertical="center"/>
    </xf>
    <xf numFmtId="0" fontId="124"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204" fontId="114" fillId="0" borderId="92" applyNumberFormat="0" applyFill="0" applyAlignment="0" applyProtection="0">
      <alignment vertical="center"/>
    </xf>
    <xf numFmtId="0" fontId="114" fillId="0" borderId="94" applyNumberFormat="0" applyFill="0" applyAlignment="0" applyProtection="0">
      <alignment vertical="center"/>
    </xf>
    <xf numFmtId="204" fontId="114" fillId="0" borderId="92" applyNumberFormat="0" applyFill="0" applyAlignment="0" applyProtection="0">
      <alignment vertical="center"/>
    </xf>
    <xf numFmtId="0" fontId="114" fillId="0" borderId="94" applyNumberFormat="0" applyFill="0" applyAlignment="0" applyProtection="0">
      <alignment vertical="center"/>
    </xf>
    <xf numFmtId="204" fontId="114" fillId="0" borderId="92" applyNumberFormat="0" applyFill="0" applyAlignment="0" applyProtection="0">
      <alignment vertical="center"/>
    </xf>
    <xf numFmtId="0" fontId="114" fillId="0" borderId="94" applyNumberFormat="0" applyFill="0" applyAlignment="0" applyProtection="0">
      <alignment vertical="center"/>
    </xf>
    <xf numFmtId="204" fontId="114" fillId="0" borderId="92"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14" fillId="0" borderId="94" applyNumberFormat="0" applyFill="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204" fontId="101" fillId="21" borderId="82" applyNumberFormat="0" applyAlignment="0" applyProtection="0">
      <alignment vertical="center"/>
    </xf>
    <xf numFmtId="0" fontId="101" fillId="27" borderId="82" applyNumberFormat="0" applyAlignment="0" applyProtection="0">
      <alignment vertical="center"/>
    </xf>
    <xf numFmtId="204" fontId="101" fillId="21" borderId="82" applyNumberFormat="0" applyAlignment="0" applyProtection="0">
      <alignment vertical="center"/>
    </xf>
    <xf numFmtId="0" fontId="101" fillId="27" borderId="82" applyNumberFormat="0" applyAlignment="0" applyProtection="0">
      <alignment vertical="center"/>
    </xf>
    <xf numFmtId="204" fontId="101" fillId="21" borderId="82" applyNumberFormat="0" applyAlignment="0" applyProtection="0">
      <alignment vertical="center"/>
    </xf>
    <xf numFmtId="0" fontId="101" fillId="27" borderId="82" applyNumberFormat="0" applyAlignment="0" applyProtection="0">
      <alignment vertical="center"/>
    </xf>
    <xf numFmtId="204" fontId="101" fillId="21"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0" fontId="101" fillId="27" borderId="82" applyNumberFormat="0" applyAlignment="0" applyProtection="0">
      <alignment vertical="center"/>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4" fontId="10" fillId="0" borderId="0">
      <protection locked="0"/>
    </xf>
    <xf numFmtId="231" fontId="21" fillId="0" borderId="0">
      <protection locked="0"/>
    </xf>
    <xf numFmtId="0" fontId="25" fillId="0" borderId="0" applyNumberFormat="0" applyFont="0" applyFill="0" applyBorder="0" applyAlignment="0" applyProtection="0">
      <alignment vertical="center"/>
    </xf>
    <xf numFmtId="231" fontId="21" fillId="0" borderId="0">
      <protection locked="0"/>
    </xf>
    <xf numFmtId="231" fontId="21" fillId="0" borderId="0">
      <protection locked="0"/>
    </xf>
    <xf numFmtId="231" fontId="21" fillId="0" borderId="0">
      <protection locked="0"/>
    </xf>
    <xf numFmtId="232" fontId="54" fillId="0" borderId="0">
      <protection locked="0"/>
    </xf>
    <xf numFmtId="232" fontId="54" fillId="0" borderId="0">
      <protection locked="0"/>
    </xf>
    <xf numFmtId="232" fontId="54" fillId="0" borderId="0">
      <protection locked="0"/>
    </xf>
    <xf numFmtId="231" fontId="21" fillId="0" borderId="0">
      <protection locked="0"/>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204" fontId="94" fillId="0" borderId="84"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5" fillId="0" borderId="95" applyNumberFormat="0" applyFill="0" applyAlignment="0" applyProtection="0">
      <alignment vertical="center"/>
    </xf>
    <xf numFmtId="0" fontId="126" fillId="0" borderId="0" applyNumberFormat="0" applyFill="0" applyBorder="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204" fontId="95" fillId="0" borderId="85"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7" fillId="0" borderId="96"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204" fontId="97" fillId="0" borderId="86"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97" applyNumberFormat="0" applyFill="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204" fontId="97"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26"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204"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126" fillId="0" borderId="0" applyNumberFormat="0" applyFill="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204" fontId="91" fillId="20"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21" fillId="0" borderId="0"/>
    <xf numFmtId="204" fontId="21" fillId="0" borderId="0"/>
    <xf numFmtId="204" fontId="21" fillId="0" borderId="0"/>
    <xf numFmtId="204" fontId="21" fillId="0" borderId="0"/>
    <xf numFmtId="204" fontId="21" fillId="0" borderId="0"/>
    <xf numFmtId="204" fontId="21" fillId="0" borderId="0"/>
    <xf numFmtId="0" fontId="21" fillId="0" borderId="0"/>
    <xf numFmtId="0" fontId="21" fillId="0" borderId="0"/>
    <xf numFmtId="0" fontId="21" fillId="0" borderId="0"/>
    <xf numFmtId="0" fontId="21" fillId="0" borderId="0"/>
    <xf numFmtId="0" fontId="110" fillId="17" borderId="89" applyNumberFormat="0" applyAlignment="0" applyProtection="0">
      <alignment vertical="center"/>
    </xf>
    <xf numFmtId="0" fontId="110" fillId="17"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204" fontId="110" fillId="36" borderId="89" applyNumberFormat="0" applyAlignment="0" applyProtection="0">
      <alignment vertical="center"/>
    </xf>
    <xf numFmtId="0" fontId="110" fillId="17" borderId="89" applyNumberFormat="0" applyAlignment="0" applyProtection="0">
      <alignment vertical="center"/>
    </xf>
    <xf numFmtId="204" fontId="110" fillId="36" borderId="89" applyNumberFormat="0" applyAlignment="0" applyProtection="0">
      <alignment vertical="center"/>
    </xf>
    <xf numFmtId="0" fontId="110" fillId="17" borderId="89" applyNumberFormat="0" applyAlignment="0" applyProtection="0">
      <alignment vertical="center"/>
    </xf>
    <xf numFmtId="204" fontId="110" fillId="36" borderId="89" applyNumberFormat="0" applyAlignment="0" applyProtection="0">
      <alignment vertical="center"/>
    </xf>
    <xf numFmtId="0" fontId="110" fillId="17" borderId="89" applyNumberFormat="0" applyAlignment="0" applyProtection="0">
      <alignment vertical="center"/>
    </xf>
    <xf numFmtId="204" fontId="110" fillId="36"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110" fillId="17" borderId="89" applyNumberFormat="0" applyAlignment="0" applyProtection="0">
      <alignment vertical="center"/>
    </xf>
    <xf numFmtId="0" fontId="21" fillId="0" borderId="0" applyFont="0" applyFill="0" applyBorder="0" applyAlignment="0" applyProtection="0"/>
    <xf numFmtId="0" fontId="21" fillId="0" borderId="0" applyFont="0" applyFill="0" applyBorder="0" applyAlignment="0" applyProtection="0"/>
    <xf numFmtId="8" fontId="129" fillId="0" borderId="0" applyFont="0" applyFill="0" applyBorder="0" applyAlignment="0" applyProtection="0"/>
    <xf numFmtId="6" fontId="129" fillId="0" borderId="0" applyFont="0" applyFill="0" applyBorder="0" applyAlignment="0" applyProtection="0"/>
    <xf numFmtId="233" fontId="21" fillId="0" borderId="0">
      <protection locked="0"/>
    </xf>
    <xf numFmtId="0" fontId="25" fillId="0" borderId="0" applyNumberFormat="0" applyFont="0" applyFill="0" applyBorder="0" applyAlignment="0" applyProtection="0">
      <alignment vertical="center"/>
    </xf>
    <xf numFmtId="233" fontId="21" fillId="0" borderId="0">
      <protection locked="0"/>
    </xf>
    <xf numFmtId="233" fontId="21" fillId="0" borderId="0">
      <protection locked="0"/>
    </xf>
    <xf numFmtId="233" fontId="21" fillId="0" borderId="0">
      <protection locked="0"/>
    </xf>
    <xf numFmtId="228" fontId="54" fillId="0" borderId="0">
      <protection locked="0"/>
    </xf>
    <xf numFmtId="228" fontId="54" fillId="0" borderId="0">
      <protection locked="0"/>
    </xf>
    <xf numFmtId="228" fontId="54" fillId="0" borderId="0">
      <protection locked="0"/>
    </xf>
    <xf numFmtId="233" fontId="21" fillId="0" borderId="0">
      <protection locked="0"/>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3" fontId="54" fillId="0" borderId="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25" fillId="0" borderId="0">
      <alignment vertical="center"/>
    </xf>
    <xf numFmtId="203" fontId="54" fillId="0" borderId="0"/>
    <xf numFmtId="0" fontId="25" fillId="0" borderId="0">
      <alignment vertical="center"/>
    </xf>
    <xf numFmtId="0" fontId="2" fillId="0" borderId="0" applyFill="0" applyProtection="0"/>
    <xf numFmtId="204" fontId="18" fillId="0" borderId="0">
      <alignment vertical="center"/>
    </xf>
    <xf numFmtId="204" fontId="18" fillId="0" borderId="0">
      <alignment vertical="center"/>
    </xf>
    <xf numFmtId="204" fontId="18" fillId="0" borderId="0">
      <alignment vertical="center"/>
    </xf>
    <xf numFmtId="204" fontId="18" fillId="0" borderId="0">
      <alignment vertical="center"/>
    </xf>
    <xf numFmtId="204"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204" fontId="130" fillId="0" borderId="0">
      <alignment vertical="center"/>
    </xf>
    <xf numFmtId="0" fontId="18" fillId="0" borderId="0">
      <alignment vertical="center"/>
    </xf>
    <xf numFmtId="0" fontId="18" fillId="0" borderId="0">
      <alignment vertical="center"/>
    </xf>
    <xf numFmtId="0" fontId="24" fillId="0" borderId="0"/>
    <xf numFmtId="0" fontId="24" fillId="0" borderId="0"/>
    <xf numFmtId="0" fontId="24" fillId="0" borderId="0"/>
    <xf numFmtId="0" fontId="48" fillId="0" borderId="0"/>
    <xf numFmtId="0" fontId="48" fillId="0" borderId="0"/>
    <xf numFmtId="204" fontId="130" fillId="0" borderId="0">
      <alignment vertical="center"/>
    </xf>
    <xf numFmtId="204" fontId="130" fillId="0" borderId="0">
      <alignment vertical="center"/>
    </xf>
    <xf numFmtId="204" fontId="130" fillId="0" borderId="0">
      <alignment vertical="center"/>
    </xf>
    <xf numFmtId="204" fontId="130" fillId="0" borderId="0">
      <alignment vertical="center"/>
    </xf>
    <xf numFmtId="0" fontId="14" fillId="0" borderId="0"/>
    <xf numFmtId="0" fontId="14" fillId="0" borderId="0"/>
    <xf numFmtId="0" fontId="14"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48" fillId="0" borderId="0"/>
    <xf numFmtId="0" fontId="14" fillId="0" borderId="0"/>
    <xf numFmtId="0" fontId="14" fillId="0" borderId="0"/>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1" fillId="0" borderId="0">
      <alignment vertical="center"/>
    </xf>
    <xf numFmtId="0" fontId="11" fillId="0" borderId="0">
      <alignment vertical="center"/>
    </xf>
    <xf numFmtId="0" fontId="2" fillId="0" borderId="0" applyProtection="0"/>
    <xf numFmtId="0" fontId="14" fillId="0" borderId="0"/>
    <xf numFmtId="0" fontId="14" fillId="0" borderId="0"/>
    <xf numFmtId="204" fontId="18" fillId="0" borderId="0">
      <alignment vertical="center"/>
    </xf>
    <xf numFmtId="204" fontId="18" fillId="0" borderId="0">
      <alignment vertical="center"/>
    </xf>
    <xf numFmtId="204" fontId="18" fillId="0" borderId="0">
      <alignment vertical="center"/>
    </xf>
    <xf numFmtId="204" fontId="18" fillId="0" borderId="0">
      <alignment vertical="center"/>
    </xf>
    <xf numFmtId="204" fontId="18" fillId="0" borderId="0">
      <alignment vertical="center"/>
    </xf>
    <xf numFmtId="0" fontId="20" fillId="0" borderId="0">
      <alignment vertical="center"/>
    </xf>
    <xf numFmtId="0" fontId="20" fillId="0" borderId="0">
      <alignment vertical="center"/>
    </xf>
    <xf numFmtId="0" fontId="2" fillId="0" borderId="0" applyProtection="0"/>
    <xf numFmtId="0" fontId="2" fillId="0" borderId="0" applyProtection="0"/>
    <xf numFmtId="0" fontId="14" fillId="0" borderId="0"/>
    <xf numFmtId="0" fontId="14" fillId="0" borderId="0"/>
    <xf numFmtId="0" fontId="14"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8" fillId="0" borderId="0">
      <alignment vertical="center"/>
    </xf>
    <xf numFmtId="0" fontId="18" fillId="0" borderId="0">
      <alignment vertical="center"/>
    </xf>
    <xf numFmtId="0" fontId="18" fillId="0" borderId="0"/>
    <xf numFmtId="0" fontId="18" fillId="0" borderId="0"/>
    <xf numFmtId="0" fontId="25" fillId="0" borderId="0"/>
    <xf numFmtId="0" fontId="25" fillId="0" borderId="0"/>
    <xf numFmtId="0" fontId="25" fillId="0" borderId="0"/>
    <xf numFmtId="0" fontId="14" fillId="0" borderId="0"/>
    <xf numFmtId="0" fontId="14" fillId="0" borderId="0"/>
    <xf numFmtId="0" fontId="18" fillId="0" borderId="0">
      <alignment vertical="center"/>
    </xf>
    <xf numFmtId="0" fontId="18" fillId="0" borderId="0">
      <alignment vertical="center"/>
    </xf>
    <xf numFmtId="0" fontId="18" fillId="0" borderId="0">
      <alignment vertical="center"/>
    </xf>
    <xf numFmtId="0" fontId="18" fillId="0" borderId="0"/>
    <xf numFmtId="0" fontId="18" fillId="0" borderId="0"/>
    <xf numFmtId="0" fontId="26" fillId="0" borderId="0"/>
    <xf numFmtId="0" fontId="26" fillId="0" borderId="0"/>
    <xf numFmtId="0" fontId="26" fillId="0" borderId="0"/>
    <xf numFmtId="0" fontId="14" fillId="0" borderId="0"/>
    <xf numFmtId="0" fontId="14" fillId="0" borderId="0"/>
    <xf numFmtId="0" fontId="2" fillId="0" borderId="0" applyProtection="0"/>
    <xf numFmtId="0" fontId="2" fillId="0" borderId="0" applyProtection="0"/>
    <xf numFmtId="0" fontId="2" fillId="0" borderId="0" applyProtection="0"/>
    <xf numFmtId="0" fontId="2" fillId="0" borderId="0" applyProtection="0"/>
    <xf numFmtId="0" fontId="2" fillId="0" borderId="0" applyProtection="0"/>
    <xf numFmtId="0" fontId="2" fillId="0" borderId="0" applyProtection="0"/>
    <xf numFmtId="0" fontId="2" fillId="0" borderId="0" applyProtection="0"/>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131" fillId="0" borderId="0" applyNumberFormat="0" applyFill="0" applyBorder="0" applyProtection="0">
      <alignment vertical="top" wrapText="1"/>
    </xf>
    <xf numFmtId="0" fontId="2" fillId="0" borderId="0" applyProtection="0"/>
    <xf numFmtId="0" fontId="2" fillId="0" borderId="0"/>
    <xf numFmtId="0" fontId="20" fillId="0" borderId="0">
      <alignment vertical="center"/>
    </xf>
    <xf numFmtId="0" fontId="20"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204" fontId="20" fillId="0" borderId="0">
      <alignment vertical="center"/>
    </xf>
    <xf numFmtId="0" fontId="18" fillId="0" borderId="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204" fontId="20" fillId="0" borderId="0">
      <alignment vertical="center"/>
    </xf>
    <xf numFmtId="204" fontId="20" fillId="0" borderId="0">
      <alignment vertical="center"/>
    </xf>
    <xf numFmtId="204" fontId="20" fillId="0" borderId="0">
      <alignment vertical="center"/>
    </xf>
    <xf numFmtId="0" fontId="18" fillId="0" borderId="0">
      <alignment vertical="center"/>
    </xf>
    <xf numFmtId="0" fontId="20" fillId="0" borderId="0">
      <alignment vertical="center"/>
    </xf>
    <xf numFmtId="0" fontId="20" fillId="0" borderId="0">
      <alignment vertical="center"/>
    </xf>
    <xf numFmtId="204" fontId="20" fillId="0" borderId="0">
      <alignment vertical="center"/>
    </xf>
    <xf numFmtId="204" fontId="20" fillId="0" borderId="0">
      <alignment vertical="center"/>
    </xf>
    <xf numFmtId="204" fontId="20" fillId="0" borderId="0">
      <alignment vertical="center"/>
    </xf>
    <xf numFmtId="204" fontId="20" fillId="0" borderId="0">
      <alignment vertical="center"/>
    </xf>
    <xf numFmtId="0" fontId="2" fillId="0" borderId="0"/>
    <xf numFmtId="0" fontId="2" fillId="0" borderId="0"/>
    <xf numFmtId="0" fontId="2" fillId="0" borderId="0"/>
    <xf numFmtId="0" fontId="20" fillId="0" borderId="0">
      <alignment vertical="center"/>
    </xf>
    <xf numFmtId="0" fontId="2" fillId="0" borderId="0"/>
    <xf numFmtId="0" fontId="2" fillId="0" borderId="0"/>
    <xf numFmtId="0" fontId="11" fillId="0" borderId="0">
      <alignment vertical="center"/>
    </xf>
    <xf numFmtId="0" fontId="11" fillId="0" borderId="0">
      <alignment vertical="center"/>
    </xf>
    <xf numFmtId="0" fontId="11" fillId="0" borderId="0">
      <alignment vertical="center"/>
    </xf>
    <xf numFmtId="204" fontId="18" fillId="0" borderId="0"/>
    <xf numFmtId="0" fontId="20" fillId="0" borderId="0">
      <alignment vertical="center"/>
    </xf>
    <xf numFmtId="204" fontId="18" fillId="0" borderId="0"/>
    <xf numFmtId="204" fontId="18" fillId="0" borderId="0"/>
    <xf numFmtId="204" fontId="18" fillId="0" borderId="0"/>
    <xf numFmtId="0" fontId="20" fillId="0" borderId="0">
      <alignment vertical="center"/>
    </xf>
    <xf numFmtId="0" fontId="2" fillId="0" borderId="0"/>
    <xf numFmtId="0" fontId="2" fillId="0" borderId="0"/>
    <xf numFmtId="204" fontId="18" fillId="0" borderId="0"/>
    <xf numFmtId="204" fontId="18" fillId="0" borderId="0"/>
    <xf numFmtId="204" fontId="18" fillId="0" borderId="0"/>
    <xf numFmtId="204" fontId="18" fillId="0" borderId="0"/>
    <xf numFmtId="0" fontId="2" fillId="0" borderId="0" applyProtection="0"/>
    <xf numFmtId="0" fontId="20" fillId="0" borderId="0">
      <alignment vertical="center"/>
    </xf>
    <xf numFmtId="0" fontId="20" fillId="0" borderId="0">
      <alignment vertical="center"/>
    </xf>
    <xf numFmtId="0" fontId="20" fillId="0" borderId="0">
      <alignment vertical="center"/>
    </xf>
    <xf numFmtId="0" fontId="2" fillId="0" borderId="0" applyProtection="0"/>
    <xf numFmtId="0" fontId="2" fillId="0" borderId="0" applyProtection="0"/>
    <xf numFmtId="0" fontId="2" fillId="0" borderId="0" applyProtection="0"/>
    <xf numFmtId="0" fontId="2" fillId="0" borderId="0" applyProtection="0"/>
    <xf numFmtId="0" fontId="2" fillId="0" borderId="0" applyProtection="0"/>
    <xf numFmtId="0" fontId="21" fillId="0" borderId="0"/>
    <xf numFmtId="0" fontId="21" fillId="0" borderId="0"/>
    <xf numFmtId="0" fontId="21" fillId="0" borderId="0"/>
    <xf numFmtId="0" fontId="21" fillId="0" borderId="0"/>
    <xf numFmtId="0" fontId="21" fillId="0" borderId="0"/>
    <xf numFmtId="203" fontId="54" fillId="0" borderId="0"/>
    <xf numFmtId="0" fontId="14" fillId="0" borderId="0"/>
    <xf numFmtId="0" fontId="14" fillId="0" borderId="0"/>
    <xf numFmtId="0" fontId="2" fillId="0" borderId="0" applyProtection="0"/>
    <xf numFmtId="0" fontId="2" fillId="0" borderId="0" applyProtection="0"/>
    <xf numFmtId="203" fontId="54" fillId="0" borderId="0"/>
    <xf numFmtId="203" fontId="54" fillId="0" borderId="0"/>
    <xf numFmtId="203" fontId="54" fillId="0" borderId="0"/>
    <xf numFmtId="203" fontId="54" fillId="0" borderId="0"/>
    <xf numFmtId="204" fontId="20" fillId="0" borderId="0">
      <alignment vertical="center"/>
    </xf>
    <xf numFmtId="204" fontId="20" fillId="0" borderId="0">
      <alignment vertical="center"/>
    </xf>
    <xf numFmtId="204" fontId="20" fillId="0" borderId="0">
      <alignment vertical="center"/>
    </xf>
    <xf numFmtId="204" fontId="20" fillId="0" borderId="0">
      <alignment vertical="center"/>
    </xf>
    <xf numFmtId="204" fontId="20" fillId="0" borderId="0">
      <alignment vertical="center"/>
    </xf>
    <xf numFmtId="0" fontId="14" fillId="0" borderId="0"/>
    <xf numFmtId="0" fontId="14" fillId="0" borderId="0"/>
    <xf numFmtId="0" fontId="14" fillId="0" borderId="0"/>
    <xf numFmtId="0" fontId="2" fillId="0" borderId="0" applyProtection="0"/>
    <xf numFmtId="0" fontId="14" fillId="0" borderId="0"/>
    <xf numFmtId="0" fontId="14" fillId="0" borderId="0"/>
    <xf numFmtId="0" fontId="14" fillId="0" borderId="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204" fontId="18" fillId="0" borderId="0">
      <alignment vertical="center"/>
    </xf>
    <xf numFmtId="204" fontId="18" fillId="0" borderId="0">
      <alignment vertical="center"/>
    </xf>
    <xf numFmtId="204" fontId="18" fillId="0" borderId="0">
      <alignment vertical="center"/>
    </xf>
    <xf numFmtId="204" fontId="18" fillId="0" borderId="0">
      <alignment vertical="center"/>
    </xf>
    <xf numFmtId="204" fontId="18"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14" fillId="0" borderId="0"/>
    <xf numFmtId="0" fontId="46" fillId="0" borderId="0">
      <alignment vertical="center"/>
    </xf>
    <xf numFmtId="0" fontId="14" fillId="0" borderId="0"/>
    <xf numFmtId="0" fontId="46" fillId="0" borderId="0">
      <alignment vertical="center"/>
    </xf>
    <xf numFmtId="0" fontId="14" fillId="0" borderId="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203" fontId="54" fillId="0" borderId="0"/>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204" fontId="20"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20" fillId="0" borderId="0">
      <alignment vertical="center"/>
    </xf>
    <xf numFmtId="204" fontId="20" fillId="0" borderId="0">
      <alignment vertical="center"/>
    </xf>
    <xf numFmtId="204" fontId="20" fillId="0" borderId="0">
      <alignment vertical="center"/>
    </xf>
    <xf numFmtId="204" fontId="20" fillId="0" borderId="0">
      <alignment vertical="center"/>
    </xf>
    <xf numFmtId="204" fontId="20"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46" fillId="0" borderId="0">
      <alignment vertical="center"/>
    </xf>
    <xf numFmtId="204" fontId="20" fillId="0" borderId="0">
      <alignment vertical="center"/>
    </xf>
    <xf numFmtId="204" fontId="20" fillId="0" borderId="0">
      <alignment vertical="center"/>
    </xf>
    <xf numFmtId="204" fontId="20" fillId="0" borderId="0">
      <alignment vertical="center"/>
    </xf>
    <xf numFmtId="204" fontId="20" fillId="0" borderId="0">
      <alignment vertical="center"/>
    </xf>
    <xf numFmtId="0" fontId="21" fillId="0" borderId="0"/>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1" fillId="0" borderId="0"/>
    <xf numFmtId="0" fontId="21" fillId="0" borderId="0"/>
    <xf numFmtId="0" fontId="21" fillId="0" borderId="0"/>
    <xf numFmtId="0" fontId="21" fillId="0" borderId="0"/>
    <xf numFmtId="0" fontId="129" fillId="0" borderId="0"/>
    <xf numFmtId="0" fontId="19" fillId="0" borderId="0"/>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0" fontId="10" fillId="0" borderId="27">
      <protection locked="0"/>
    </xf>
    <xf numFmtId="40" fontId="129" fillId="0" borderId="0" applyFont="0" applyFill="0" applyBorder="0" applyAlignment="0" applyProtection="0"/>
    <xf numFmtId="38" fontId="129" fillId="0" borderId="0" applyFont="0" applyFill="0" applyBorder="0" applyAlignment="0" applyProtection="0"/>
    <xf numFmtId="234" fontId="21" fillId="0" borderId="0">
      <protection locked="0"/>
    </xf>
    <xf numFmtId="0" fontId="25" fillId="0" borderId="0" applyNumberFormat="0" applyFont="0" applyFill="0" applyBorder="0" applyAlignment="0" applyProtection="0">
      <alignment vertical="center"/>
    </xf>
    <xf numFmtId="234" fontId="21" fillId="0" borderId="0">
      <protection locked="0"/>
    </xf>
    <xf numFmtId="234" fontId="21" fillId="0" borderId="0">
      <protection locked="0"/>
    </xf>
    <xf numFmtId="234" fontId="21" fillId="0" borderId="0">
      <protection locked="0"/>
    </xf>
    <xf numFmtId="235" fontId="54" fillId="0" borderId="0">
      <protection locked="0"/>
    </xf>
    <xf numFmtId="235" fontId="54" fillId="0" borderId="0">
      <protection locked="0"/>
    </xf>
    <xf numFmtId="235" fontId="54" fillId="0" borderId="0">
      <protection locked="0"/>
    </xf>
    <xf numFmtId="234" fontId="21" fillId="0" borderId="0">
      <protection locked="0"/>
    </xf>
    <xf numFmtId="236" fontId="21" fillId="0" borderId="0">
      <protection locked="0"/>
    </xf>
    <xf numFmtId="0" fontId="25" fillId="0" borderId="0" applyNumberFormat="0" applyFont="0" applyFill="0" applyBorder="0" applyAlignment="0" applyProtection="0">
      <alignment vertical="center"/>
    </xf>
    <xf numFmtId="236" fontId="21" fillId="0" borderId="0">
      <protection locked="0"/>
    </xf>
    <xf numFmtId="236" fontId="21" fillId="0" borderId="0">
      <protection locked="0"/>
    </xf>
    <xf numFmtId="236" fontId="21" fillId="0" borderId="0">
      <protection locked="0"/>
    </xf>
    <xf numFmtId="237" fontId="54" fillId="0" borderId="0">
      <protection locked="0"/>
    </xf>
    <xf numFmtId="237" fontId="54" fillId="0" borderId="0">
      <protection locked="0"/>
    </xf>
    <xf numFmtId="237" fontId="54" fillId="0" borderId="0">
      <protection locked="0"/>
    </xf>
    <xf numFmtId="236" fontId="21" fillId="0" borderId="0">
      <protection locked="0"/>
    </xf>
    <xf numFmtId="0"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46" fillId="0" borderId="0"/>
    <xf numFmtId="0" fontId="48" fillId="0" borderId="0"/>
    <xf numFmtId="0" fontId="2" fillId="0" borderId="0" applyFont="0" applyFill="0" applyBorder="0" applyAlignment="0" applyProtection="0"/>
    <xf numFmtId="0" fontId="2" fillId="0" borderId="0"/>
    <xf numFmtId="9" fontId="2" fillId="0" borderId="0" applyFont="0" applyFill="0" applyBorder="0" applyAlignment="0" applyProtection="0"/>
    <xf numFmtId="0" fontId="10" fillId="0" borderId="0">
      <protection locked="0"/>
    </xf>
    <xf numFmtId="0" fontId="10" fillId="0" borderId="0">
      <protection locked="0"/>
    </xf>
    <xf numFmtId="0" fontId="10" fillId="0" borderId="0">
      <protection locked="0"/>
    </xf>
    <xf numFmtId="0" fontId="16" fillId="0" borderId="0">
      <protection locked="0"/>
    </xf>
    <xf numFmtId="0" fontId="16" fillId="0" borderId="0">
      <protection locked="0"/>
    </xf>
    <xf numFmtId="0" fontId="2" fillId="0" borderId="0"/>
    <xf numFmtId="0" fontId="2" fillId="0" borderId="0"/>
    <xf numFmtId="0" fontId="2" fillId="0" borderId="0"/>
  </cellStyleXfs>
  <cellXfs count="823">
    <xf numFmtId="0" fontId="0" fillId="0" borderId="0" xfId="0">
      <alignment vertical="center"/>
    </xf>
    <xf numFmtId="0" fontId="2" fillId="0" borderId="0" xfId="1" applyNumberFormat="1" applyProtection="1">
      <protection locked="0"/>
    </xf>
    <xf numFmtId="0" fontId="2" fillId="0" borderId="0" xfId="1"/>
    <xf numFmtId="0" fontId="3" fillId="0" borderId="0" xfId="1" applyNumberFormat="1" applyFont="1" applyProtection="1">
      <protection locked="0"/>
    </xf>
    <xf numFmtId="0" fontId="5" fillId="0" borderId="0" xfId="1" applyNumberFormat="1" applyFont="1" applyProtection="1">
      <protection locked="0"/>
    </xf>
    <xf numFmtId="0" fontId="6" fillId="3" borderId="1" xfId="1" applyNumberFormat="1" applyFont="1" applyFill="1" applyBorder="1" applyAlignment="1" applyProtection="1">
      <alignment horizontal="center"/>
      <protection locked="0"/>
    </xf>
    <xf numFmtId="0" fontId="6" fillId="3" borderId="2" xfId="1" applyNumberFormat="1" applyFont="1" applyFill="1" applyBorder="1" applyAlignment="1" applyProtection="1">
      <alignment horizontal="center"/>
      <protection locked="0"/>
    </xf>
    <xf numFmtId="0" fontId="6" fillId="3" borderId="3" xfId="1" applyNumberFormat="1" applyFont="1" applyFill="1" applyBorder="1" applyAlignment="1" applyProtection="1">
      <alignment horizontal="center"/>
      <protection locked="0"/>
    </xf>
    <xf numFmtId="0" fontId="2" fillId="0" borderId="4" xfId="1" applyNumberFormat="1" applyFont="1" applyFill="1" applyBorder="1" applyAlignment="1" applyProtection="1">
      <alignment horizontal="center"/>
      <protection locked="0"/>
    </xf>
    <xf numFmtId="0" fontId="2" fillId="0" borderId="0" xfId="1" applyNumberFormat="1" applyFont="1" applyFill="1" applyBorder="1" applyAlignment="1" applyProtection="1">
      <alignment horizontal="center"/>
      <protection locked="0"/>
    </xf>
    <xf numFmtId="0" fontId="6" fillId="3" borderId="5" xfId="1" applyNumberFormat="1" applyFont="1" applyFill="1" applyBorder="1" applyAlignment="1" applyProtection="1">
      <protection locked="0"/>
    </xf>
    <xf numFmtId="0" fontId="6" fillId="0" borderId="6" xfId="1" applyNumberFormat="1" applyFont="1" applyFill="1" applyBorder="1" applyAlignment="1" applyProtection="1">
      <protection locked="0"/>
    </xf>
    <xf numFmtId="0" fontId="6" fillId="0" borderId="7" xfId="1" applyNumberFormat="1" applyFont="1" applyFill="1" applyBorder="1" applyAlignment="1" applyProtection="1">
      <protection locked="0"/>
    </xf>
    <xf numFmtId="0" fontId="2" fillId="0" borderId="4" xfId="1" applyNumberFormat="1" applyFont="1" applyFill="1" applyBorder="1" applyAlignment="1" applyProtection="1">
      <protection locked="0"/>
    </xf>
    <xf numFmtId="0" fontId="2" fillId="0" borderId="0" xfId="1" applyNumberFormat="1" applyFont="1" applyFill="1" applyBorder="1" applyAlignment="1" applyProtection="1">
      <protection locked="0"/>
    </xf>
    <xf numFmtId="0" fontId="6" fillId="3" borderId="8" xfId="1" applyNumberFormat="1" applyFont="1" applyFill="1" applyBorder="1" applyAlignment="1" applyProtection="1">
      <protection locked="0"/>
    </xf>
    <xf numFmtId="0" fontId="6" fillId="0" borderId="9" xfId="1" applyNumberFormat="1" applyFont="1" applyFill="1" applyBorder="1" applyAlignment="1" applyProtection="1">
      <protection locked="0"/>
    </xf>
    <xf numFmtId="0" fontId="6" fillId="0" borderId="10" xfId="1" applyNumberFormat="1" applyFont="1" applyFill="1" applyBorder="1" applyAlignment="1" applyProtection="1">
      <protection locked="0"/>
    </xf>
    <xf numFmtId="0" fontId="2" fillId="0" borderId="13" xfId="1" applyNumberFormat="1" applyBorder="1" applyProtection="1">
      <protection locked="0"/>
    </xf>
    <xf numFmtId="0" fontId="2" fillId="0" borderId="14" xfId="1" applyNumberFormat="1" applyBorder="1" applyProtection="1">
      <protection locked="0"/>
    </xf>
    <xf numFmtId="0" fontId="2" fillId="0" borderId="18" xfId="1" applyNumberFormat="1" applyBorder="1" applyProtection="1">
      <protection locked="0"/>
    </xf>
    <xf numFmtId="0" fontId="2" fillId="0" borderId="19" xfId="1" applyNumberFormat="1" applyBorder="1" applyProtection="1">
      <protection locked="0"/>
    </xf>
    <xf numFmtId="0" fontId="7" fillId="0" borderId="12" xfId="2" applyFont="1" applyBorder="1"/>
    <xf numFmtId="0" fontId="2" fillId="0" borderId="20" xfId="1" applyNumberFormat="1" applyBorder="1" applyProtection="1">
      <protection locked="0"/>
    </xf>
    <xf numFmtId="0" fontId="2" fillId="0" borderId="21" xfId="1" applyNumberFormat="1" applyBorder="1" applyProtection="1">
      <protection locked="0"/>
    </xf>
    <xf numFmtId="0" fontId="7" fillId="0" borderId="16" xfId="2" applyFont="1" applyBorder="1"/>
    <xf numFmtId="0" fontId="2" fillId="0" borderId="22" xfId="1" applyNumberFormat="1" applyBorder="1" applyProtection="1">
      <protection locked="0"/>
    </xf>
    <xf numFmtId="0" fontId="2" fillId="0" borderId="23" xfId="1" applyNumberFormat="1" applyBorder="1" applyProtection="1">
      <protection locked="0"/>
    </xf>
    <xf numFmtId="0" fontId="7" fillId="0" borderId="17" xfId="2" applyFont="1" applyBorder="1" applyAlignment="1">
      <alignment horizontal="right"/>
    </xf>
    <xf numFmtId="0" fontId="8" fillId="0" borderId="0" xfId="1" applyFont="1"/>
    <xf numFmtId="0" fontId="2" fillId="0" borderId="39" xfId="1" applyBorder="1"/>
    <xf numFmtId="0" fontId="2" fillId="0" borderId="0" xfId="1" applyBorder="1"/>
    <xf numFmtId="0" fontId="2" fillId="0" borderId="0" xfId="1" applyFont="1" applyBorder="1"/>
    <xf numFmtId="0" fontId="2" fillId="0" borderId="0" xfId="1" applyBorder="1" applyAlignment="1">
      <alignment horizontal="left"/>
    </xf>
    <xf numFmtId="0" fontId="2" fillId="0" borderId="0" xfId="1" applyBorder="1" applyAlignment="1">
      <alignment horizontal="center"/>
    </xf>
    <xf numFmtId="0" fontId="2" fillId="0" borderId="0" xfId="1" applyBorder="1" applyAlignment="1"/>
    <xf numFmtId="0" fontId="2" fillId="0" borderId="0" xfId="1" applyAlignment="1">
      <alignment horizontal="center"/>
    </xf>
    <xf numFmtId="0" fontId="2" fillId="0" borderId="53" xfId="1" applyBorder="1"/>
    <xf numFmtId="0" fontId="2" fillId="0" borderId="53" xfId="1" applyFill="1" applyBorder="1"/>
    <xf numFmtId="0" fontId="2" fillId="0" borderId="6" xfId="1" applyBorder="1"/>
    <xf numFmtId="0" fontId="8" fillId="0" borderId="0" xfId="1" applyFont="1" applyBorder="1"/>
    <xf numFmtId="0" fontId="14" fillId="0" borderId="0" xfId="1" applyFont="1" applyFill="1" applyBorder="1"/>
    <xf numFmtId="0" fontId="30" fillId="0" borderId="0" xfId="1" applyFont="1" applyBorder="1"/>
    <xf numFmtId="0" fontId="2" fillId="0" borderId="59" xfId="1" applyFont="1" applyBorder="1"/>
    <xf numFmtId="0" fontId="2" fillId="0" borderId="60" xfId="1" applyFont="1" applyBorder="1"/>
    <xf numFmtId="196" fontId="2" fillId="0" borderId="60" xfId="1" applyNumberFormat="1" applyFont="1" applyBorder="1" applyProtection="1"/>
    <xf numFmtId="196" fontId="2" fillId="0" borderId="59" xfId="1" applyNumberFormat="1" applyFont="1" applyBorder="1" applyProtection="1"/>
    <xf numFmtId="0" fontId="2" fillId="0" borderId="64" xfId="1" applyFont="1" applyBorder="1"/>
    <xf numFmtId="196" fontId="2" fillId="0" borderId="64" xfId="1" applyNumberFormat="1" applyFont="1" applyBorder="1" applyProtection="1"/>
    <xf numFmtId="0" fontId="2" fillId="0" borderId="0" xfId="1" applyBorder="1" applyAlignment="1" applyProtection="1">
      <alignment horizontal="center"/>
      <protection locked="0"/>
    </xf>
    <xf numFmtId="0" fontId="2" fillId="0" borderId="66" xfId="1" applyFont="1" applyBorder="1"/>
    <xf numFmtId="196" fontId="2" fillId="0" borderId="66" xfId="1" applyNumberFormat="1" applyFont="1" applyBorder="1" applyProtection="1"/>
    <xf numFmtId="0" fontId="30" fillId="0" borderId="0" xfId="1" applyFont="1" applyBorder="1" applyProtection="1">
      <protection locked="0"/>
    </xf>
    <xf numFmtId="0" fontId="30" fillId="0" borderId="0" xfId="295" applyNumberFormat="1" applyFont="1" applyFill="1" applyBorder="1" applyAlignment="1" applyProtection="1">
      <alignment horizontal="right"/>
      <protection locked="0"/>
    </xf>
    <xf numFmtId="0" fontId="2" fillId="0" borderId="0" xfId="1" applyFont="1" applyBorder="1" applyProtection="1"/>
    <xf numFmtId="0" fontId="2" fillId="0" borderId="0" xfId="1" applyFont="1" applyBorder="1" applyProtection="1">
      <protection locked="0"/>
    </xf>
    <xf numFmtId="0" fontId="2" fillId="0" borderId="53" xfId="1" applyBorder="1" applyProtection="1"/>
    <xf numFmtId="0" fontId="2" fillId="0" borderId="53" xfId="1" applyFont="1" applyBorder="1" applyProtection="1">
      <protection locked="0"/>
    </xf>
    <xf numFmtId="0" fontId="2" fillId="0" borderId="28" xfId="1" applyFont="1" applyBorder="1" applyProtection="1"/>
    <xf numFmtId="0" fontId="2" fillId="0" borderId="57" xfId="1" applyFont="1" applyBorder="1" applyProtection="1"/>
    <xf numFmtId="193" fontId="2" fillId="0" borderId="31" xfId="2" applyNumberFormat="1" applyFont="1" applyFill="1" applyBorder="1" applyAlignment="1" applyProtection="1">
      <alignment horizontal="right"/>
    </xf>
    <xf numFmtId="193" fontId="2" fillId="0" borderId="56" xfId="2" applyNumberFormat="1" applyFont="1" applyFill="1" applyBorder="1" applyAlignment="1" applyProtection="1">
      <alignment horizontal="right"/>
    </xf>
    <xf numFmtId="0" fontId="2" fillId="0" borderId="39" xfId="1" applyFont="1" applyBorder="1" applyProtection="1"/>
    <xf numFmtId="0" fontId="2" fillId="0" borderId="4" xfId="1" applyFont="1" applyBorder="1" applyProtection="1"/>
    <xf numFmtId="0" fontId="2" fillId="0" borderId="40" xfId="1" applyFont="1" applyBorder="1" applyProtection="1"/>
    <xf numFmtId="0" fontId="2" fillId="0" borderId="61" xfId="1" applyFont="1" applyBorder="1" applyProtection="1"/>
    <xf numFmtId="0" fontId="2" fillId="0" borderId="34" xfId="1" applyFont="1" applyBorder="1" applyProtection="1"/>
    <xf numFmtId="0" fontId="2" fillId="0" borderId="35" xfId="1" applyFont="1" applyBorder="1" applyProtection="1"/>
    <xf numFmtId="0" fontId="2" fillId="0" borderId="43" xfId="1" applyFont="1" applyBorder="1" applyProtection="1"/>
    <xf numFmtId="0" fontId="2" fillId="0" borderId="62" xfId="1" applyFont="1" applyBorder="1" applyProtection="1"/>
    <xf numFmtId="0" fontId="2" fillId="0" borderId="53" xfId="295" applyNumberFormat="1" applyFont="1" applyFill="1" applyBorder="1" applyAlignment="1" applyProtection="1">
      <alignment horizontal="right"/>
    </xf>
    <xf numFmtId="0" fontId="2" fillId="0" borderId="31" xfId="1" applyFont="1" applyBorder="1" applyProtection="1"/>
    <xf numFmtId="0" fontId="30" fillId="0" borderId="0" xfId="295" applyNumberFormat="1" applyFont="1" applyFill="1" applyBorder="1" applyAlignment="1" applyProtection="1">
      <alignment horizontal="right"/>
    </xf>
    <xf numFmtId="0" fontId="2" fillId="0" borderId="39" xfId="1" applyFont="1" applyFill="1" applyBorder="1" applyProtection="1"/>
    <xf numFmtId="0" fontId="2" fillId="0" borderId="31" xfId="1" applyFont="1" applyFill="1" applyBorder="1" applyProtection="1"/>
    <xf numFmtId="0" fontId="2" fillId="0" borderId="4" xfId="1" applyFont="1" applyFill="1" applyBorder="1" applyProtection="1"/>
    <xf numFmtId="0" fontId="2" fillId="0" borderId="34" xfId="1" applyFont="1" applyFill="1" applyBorder="1" applyProtection="1"/>
    <xf numFmtId="0" fontId="2" fillId="0" borderId="35" xfId="1" applyFont="1" applyFill="1" applyBorder="1" applyProtection="1"/>
    <xf numFmtId="0" fontId="2" fillId="0" borderId="40" xfId="1" applyFont="1" applyFill="1" applyBorder="1" applyProtection="1"/>
    <xf numFmtId="0" fontId="2" fillId="0" borderId="43" xfId="1" applyFont="1" applyFill="1" applyBorder="1" applyProtection="1"/>
    <xf numFmtId="0" fontId="2" fillId="0" borderId="62" xfId="1" applyFont="1" applyFill="1" applyBorder="1" applyProtection="1"/>
    <xf numFmtId="0" fontId="30" fillId="0" borderId="0" xfId="1" applyFont="1" applyBorder="1" applyProtection="1"/>
    <xf numFmtId="0" fontId="2" fillId="0" borderId="28" xfId="1" applyFont="1" applyFill="1" applyBorder="1" applyProtection="1"/>
    <xf numFmtId="0" fontId="2" fillId="0" borderId="40" xfId="1" applyFill="1" applyBorder="1" applyProtection="1"/>
    <xf numFmtId="0" fontId="2" fillId="0" borderId="61" xfId="1" applyFill="1" applyBorder="1" applyProtection="1"/>
    <xf numFmtId="0" fontId="2" fillId="0" borderId="4" xfId="1" applyBorder="1" applyProtection="1"/>
    <xf numFmtId="0" fontId="2" fillId="0" borderId="35" xfId="1" applyBorder="1" applyProtection="1"/>
    <xf numFmtId="0" fontId="2" fillId="0" borderId="51" xfId="1" applyFill="1" applyBorder="1" applyProtection="1"/>
    <xf numFmtId="0" fontId="2" fillId="0" borderId="55" xfId="1" applyBorder="1" applyProtection="1"/>
    <xf numFmtId="0" fontId="2" fillId="0" borderId="29" xfId="1" applyBorder="1"/>
    <xf numFmtId="0" fontId="2" fillId="0" borderId="56" xfId="1" applyBorder="1"/>
    <xf numFmtId="0" fontId="30" fillId="10" borderId="56" xfId="295" applyNumberFormat="1" applyFont="1" applyFill="1" applyBorder="1" applyAlignment="1" applyProtection="1">
      <protection locked="0"/>
    </xf>
    <xf numFmtId="0" fontId="2" fillId="0" borderId="50" xfId="1" applyBorder="1"/>
    <xf numFmtId="194" fontId="2" fillId="0" borderId="69" xfId="1" applyNumberFormat="1" applyBorder="1" applyAlignment="1"/>
    <xf numFmtId="194" fontId="2" fillId="0" borderId="70" xfId="1" applyNumberFormat="1" applyBorder="1" applyAlignment="1"/>
    <xf numFmtId="0" fontId="2" fillId="0" borderId="39" xfId="1" applyFont="1" applyBorder="1" applyAlignment="1">
      <alignment horizontal="left" indent="1"/>
    </xf>
    <xf numFmtId="0" fontId="2" fillId="0" borderId="48" xfId="1" applyFont="1" applyBorder="1" applyAlignment="1">
      <alignment horizontal="left" indent="1"/>
    </xf>
    <xf numFmtId="0" fontId="2" fillId="0" borderId="39" xfId="1" applyBorder="1" applyAlignment="1">
      <alignment horizontal="left" indent="1"/>
    </xf>
    <xf numFmtId="0" fontId="2" fillId="0" borderId="0" xfId="1" applyBorder="1" applyAlignment="1">
      <alignment horizontal="left" indent="1"/>
    </xf>
    <xf numFmtId="0" fontId="30" fillId="10" borderId="50" xfId="295" applyNumberFormat="1" applyFont="1" applyFill="1" applyBorder="1" applyAlignment="1" applyProtection="1">
      <protection locked="0"/>
    </xf>
    <xf numFmtId="0" fontId="2" fillId="0" borderId="39" xfId="1" applyFill="1" applyBorder="1" applyAlignment="1">
      <alignment vertical="center"/>
    </xf>
    <xf numFmtId="0" fontId="2" fillId="0" borderId="0" xfId="1" applyFill="1" applyBorder="1" applyAlignment="1">
      <alignment vertical="center"/>
    </xf>
    <xf numFmtId="0" fontId="2" fillId="0" borderId="50" xfId="1" applyBorder="1" applyAlignment="1"/>
    <xf numFmtId="0" fontId="2" fillId="0" borderId="68" xfId="1" applyFill="1" applyBorder="1" applyAlignment="1">
      <alignment vertical="center"/>
    </xf>
    <xf numFmtId="0" fontId="2" fillId="0" borderId="27" xfId="1" applyFill="1" applyBorder="1" applyAlignment="1">
      <alignment vertical="center"/>
    </xf>
    <xf numFmtId="193" fontId="2" fillId="0" borderId="4" xfId="1" applyNumberFormat="1" applyBorder="1"/>
    <xf numFmtId="193" fontId="2" fillId="0" borderId="50" xfId="1" applyNumberFormat="1" applyBorder="1"/>
    <xf numFmtId="191" fontId="2" fillId="0" borderId="50" xfId="1" applyNumberFormat="1" applyBorder="1"/>
    <xf numFmtId="0" fontId="2" fillId="0" borderId="43" xfId="1" applyFill="1" applyBorder="1"/>
    <xf numFmtId="0" fontId="2" fillId="0" borderId="63" xfId="1" applyBorder="1"/>
    <xf numFmtId="0" fontId="8" fillId="0" borderId="29" xfId="1" applyFont="1" applyBorder="1"/>
    <xf numFmtId="0" fontId="8" fillId="0" borderId="71" xfId="1" applyFont="1" applyBorder="1"/>
    <xf numFmtId="0" fontId="8" fillId="0" borderId="25" xfId="1" applyFont="1" applyBorder="1"/>
    <xf numFmtId="0" fontId="30" fillId="0" borderId="71" xfId="1" applyFont="1" applyFill="1" applyBorder="1" applyAlignment="1">
      <alignment vertical="center"/>
    </xf>
    <xf numFmtId="0" fontId="30" fillId="0" borderId="25" xfId="1" applyFont="1" applyFill="1" applyBorder="1" applyAlignment="1">
      <alignment vertical="center"/>
    </xf>
    <xf numFmtId="0" fontId="2" fillId="0" borderId="50" xfId="1" applyNumberFormat="1" applyBorder="1"/>
    <xf numFmtId="0" fontId="2" fillId="0" borderId="43" xfId="1" applyBorder="1"/>
    <xf numFmtId="193" fontId="2" fillId="0" borderId="63" xfId="1" applyNumberFormat="1" applyBorder="1"/>
    <xf numFmtId="0" fontId="2" fillId="0" borderId="28" xfId="1" applyFill="1" applyBorder="1" applyAlignment="1">
      <alignment vertical="center"/>
    </xf>
    <xf numFmtId="0" fontId="2" fillId="0" borderId="29" xfId="1" applyFill="1" applyBorder="1" applyAlignment="1">
      <alignment vertical="center"/>
    </xf>
    <xf numFmtId="0" fontId="2" fillId="0" borderId="31" xfId="1" applyBorder="1"/>
    <xf numFmtId="0" fontId="2" fillId="0" borderId="50" xfId="1" applyBorder="1" applyAlignment="1">
      <alignment horizontal="right" vertical="center"/>
    </xf>
    <xf numFmtId="0" fontId="2" fillId="0" borderId="40" xfId="1" applyFill="1" applyBorder="1" applyAlignment="1">
      <alignment vertical="center"/>
    </xf>
    <xf numFmtId="0" fontId="2" fillId="0" borderId="41" xfId="1" applyFill="1" applyBorder="1" applyAlignment="1">
      <alignment vertical="center"/>
    </xf>
    <xf numFmtId="0" fontId="2" fillId="0" borderId="49" xfId="1" applyBorder="1"/>
    <xf numFmtId="0" fontId="2" fillId="0" borderId="41" xfId="1" applyBorder="1"/>
    <xf numFmtId="0" fontId="2" fillId="0" borderId="50" xfId="1" applyBorder="1" applyAlignment="1">
      <alignment horizontal="right"/>
    </xf>
    <xf numFmtId="0" fontId="2" fillId="0" borderId="50" xfId="1" applyBorder="1" applyAlignment="1">
      <alignment horizontal="center" shrinkToFit="1"/>
    </xf>
    <xf numFmtId="0" fontId="2" fillId="0" borderId="36" xfId="1" applyBorder="1"/>
    <xf numFmtId="193" fontId="2" fillId="0" borderId="49" xfId="1" applyNumberFormat="1" applyBorder="1"/>
    <xf numFmtId="0" fontId="2" fillId="0" borderId="43" xfId="1" applyFill="1" applyBorder="1" applyAlignment="1">
      <alignment vertical="center"/>
    </xf>
    <xf numFmtId="0" fontId="2" fillId="0" borderId="62" xfId="1" applyBorder="1"/>
    <xf numFmtId="191" fontId="2" fillId="0" borderId="56" xfId="1" applyNumberFormat="1" applyBorder="1"/>
    <xf numFmtId="191" fontId="2" fillId="0" borderId="31" xfId="1" applyNumberFormat="1" applyBorder="1"/>
    <xf numFmtId="0" fontId="2" fillId="0" borderId="40" xfId="1" applyBorder="1"/>
    <xf numFmtId="193" fontId="42" fillId="0" borderId="65" xfId="295" applyNumberFormat="1" applyFont="1" applyFill="1" applyBorder="1" applyAlignment="1" applyProtection="1">
      <alignment horizontal="right"/>
    </xf>
    <xf numFmtId="193" fontId="43" fillId="0" borderId="49" xfId="295" applyNumberFormat="1" applyFont="1" applyFill="1" applyBorder="1" applyAlignment="1" applyProtection="1">
      <alignment horizontal="right"/>
    </xf>
    <xf numFmtId="193" fontId="43" fillId="0" borderId="50" xfId="295" applyNumberFormat="1" applyFont="1" applyFill="1" applyBorder="1" applyAlignment="1" applyProtection="1">
      <alignment horizontal="right"/>
    </xf>
    <xf numFmtId="193" fontId="43" fillId="0" borderId="55" xfId="295" applyNumberFormat="1" applyFont="1" applyFill="1" applyBorder="1" applyAlignment="1" applyProtection="1">
      <alignment horizontal="right"/>
    </xf>
    <xf numFmtId="193" fontId="43" fillId="0" borderId="45" xfId="295" applyNumberFormat="1" applyFont="1" applyFill="1" applyBorder="1" applyAlignment="1" applyProtection="1">
      <alignment horizontal="right"/>
    </xf>
    <xf numFmtId="0" fontId="30" fillId="10" borderId="73" xfId="295" applyNumberFormat="1" applyFont="1" applyFill="1" applyBorder="1" applyAlignment="1" applyProtection="1">
      <protection locked="0"/>
    </xf>
    <xf numFmtId="0" fontId="2" fillId="0" borderId="39" xfId="1" applyBorder="1" applyAlignment="1">
      <alignment vertical="center"/>
    </xf>
    <xf numFmtId="0" fontId="2" fillId="0" borderId="0" xfId="1" applyBorder="1" applyAlignment="1">
      <alignment vertical="center"/>
    </xf>
    <xf numFmtId="0" fontId="2" fillId="0" borderId="0" xfId="1" applyAlignment="1">
      <alignment vertical="center"/>
    </xf>
    <xf numFmtId="190" fontId="30" fillId="10" borderId="50" xfId="295" applyNumberFormat="1" applyFont="1" applyFill="1" applyBorder="1" applyAlignment="1" applyProtection="1">
      <protection locked="0"/>
    </xf>
    <xf numFmtId="191" fontId="2" fillId="0" borderId="0" xfId="1" applyNumberFormat="1" applyBorder="1"/>
    <xf numFmtId="200" fontId="2" fillId="0" borderId="50" xfId="1" applyNumberFormat="1" applyBorder="1" applyAlignment="1"/>
    <xf numFmtId="199" fontId="2" fillId="0" borderId="50" xfId="1" applyNumberFormat="1" applyFont="1" applyBorder="1" applyAlignment="1"/>
    <xf numFmtId="0" fontId="0" fillId="0" borderId="0" xfId="0" applyBorder="1" applyAlignment="1"/>
    <xf numFmtId="0" fontId="2" fillId="0" borderId="77" xfId="1" applyBorder="1"/>
    <xf numFmtId="201" fontId="2" fillId="0" borderId="63" xfId="1" applyNumberFormat="1" applyBorder="1" applyAlignment="1"/>
    <xf numFmtId="191" fontId="2" fillId="0" borderId="0" xfId="1" applyNumberFormat="1" applyProtection="1">
      <protection locked="0"/>
    </xf>
    <xf numFmtId="0" fontId="2" fillId="0" borderId="0" xfId="1" applyNumberFormat="1" applyBorder="1" applyProtection="1">
      <protection locked="0"/>
    </xf>
    <xf numFmtId="196" fontId="2" fillId="0" borderId="0" xfId="1" applyNumberFormat="1" applyFont="1" applyBorder="1" applyProtection="1"/>
    <xf numFmtId="0" fontId="2" fillId="0" borderId="0" xfId="1" applyBorder="1" applyAlignment="1" applyProtection="1">
      <alignment horizontal="left"/>
      <protection locked="0"/>
    </xf>
    <xf numFmtId="202" fontId="48" fillId="0" borderId="0" xfId="304" applyNumberFormat="1" applyFont="1" applyBorder="1" applyAlignment="1">
      <alignment horizontal="left"/>
    </xf>
    <xf numFmtId="202" fontId="49" fillId="0" borderId="0" xfId="304" applyNumberFormat="1" applyFont="1" applyBorder="1" applyAlignment="1">
      <alignment vertical="center"/>
    </xf>
    <xf numFmtId="202" fontId="14" fillId="0" borderId="0" xfId="304" applyNumberFormat="1" applyFont="1" applyBorder="1" applyAlignment="1"/>
    <xf numFmtId="202" fontId="14" fillId="0" borderId="24" xfId="304" applyNumberFormat="1" applyFont="1" applyBorder="1" applyAlignment="1">
      <alignment horizontal="left" vertical="center"/>
    </xf>
    <xf numFmtId="202" fontId="2" fillId="0" borderId="29" xfId="305" applyNumberFormat="1" applyFont="1" applyFill="1" applyBorder="1" applyAlignment="1">
      <alignment horizontal="left" vertical="top"/>
    </xf>
    <xf numFmtId="202" fontId="2" fillId="0" borderId="29" xfId="305" applyNumberFormat="1" applyFont="1" applyFill="1" applyBorder="1" applyAlignment="1">
      <alignment horizontal="centerContinuous" vertical="top"/>
    </xf>
    <xf numFmtId="202" fontId="48" fillId="0" borderId="29" xfId="304" applyNumberFormat="1" applyFont="1" applyBorder="1"/>
    <xf numFmtId="202" fontId="48" fillId="0" borderId="29" xfId="304" applyNumberFormat="1" applyFont="1" applyFill="1" applyBorder="1"/>
    <xf numFmtId="202" fontId="2" fillId="0" borderId="29" xfId="305" applyNumberFormat="1" applyFont="1" applyFill="1" applyBorder="1" applyAlignment="1">
      <alignment horizontal="right" vertical="top"/>
    </xf>
    <xf numFmtId="202" fontId="2" fillId="0" borderId="29" xfId="305" applyNumberFormat="1" applyFont="1" applyFill="1" applyBorder="1"/>
    <xf numFmtId="0" fontId="0" fillId="0" borderId="33" xfId="0" applyBorder="1">
      <alignment vertical="center"/>
    </xf>
    <xf numFmtId="202" fontId="2" fillId="0" borderId="29" xfId="305" applyNumberFormat="1" applyFont="1" applyFill="1" applyBorder="1" applyAlignment="1">
      <alignment vertical="center"/>
    </xf>
    <xf numFmtId="202" fontId="48" fillId="0" borderId="29" xfId="304" applyNumberFormat="1" applyFont="1" applyFill="1" applyBorder="1" applyAlignment="1">
      <alignment vertical="center"/>
    </xf>
    <xf numFmtId="202" fontId="48" fillId="0" borderId="29" xfId="304" applyNumberFormat="1" applyFont="1" applyBorder="1" applyAlignment="1">
      <alignment vertical="center"/>
    </xf>
    <xf numFmtId="202" fontId="51" fillId="0" borderId="32" xfId="304" applyNumberFormat="1" applyFont="1" applyFill="1" applyBorder="1" applyAlignment="1">
      <alignment vertical="center"/>
    </xf>
    <xf numFmtId="202" fontId="48" fillId="0" borderId="33" xfId="304" applyNumberFormat="1" applyFont="1" applyBorder="1"/>
    <xf numFmtId="202" fontId="15" fillId="0" borderId="0" xfId="304" applyNumberFormat="1" applyFont="1" applyFill="1" applyBorder="1" applyAlignment="1"/>
    <xf numFmtId="0" fontId="52" fillId="0" borderId="0" xfId="0" applyFont="1" applyAlignment="1"/>
    <xf numFmtId="0" fontId="52" fillId="0" borderId="0" xfId="0" applyFont="1" applyBorder="1" applyAlignment="1"/>
    <xf numFmtId="0" fontId="0" fillId="0" borderId="24" xfId="0" applyBorder="1">
      <alignment vertical="center"/>
    </xf>
    <xf numFmtId="202" fontId="48" fillId="0" borderId="0" xfId="304" applyNumberFormat="1" applyFont="1" applyFill="1" applyBorder="1"/>
    <xf numFmtId="202" fontId="14" fillId="0" borderId="0" xfId="304" applyNumberFormat="1" applyFont="1" applyFill="1" applyBorder="1" applyAlignment="1">
      <alignment horizontal="left" vertical="center"/>
    </xf>
    <xf numFmtId="202" fontId="48" fillId="0" borderId="0" xfId="304" applyNumberFormat="1" applyFont="1" applyFill="1" applyBorder="1" applyAlignment="1">
      <alignment vertical="center"/>
    </xf>
    <xf numFmtId="202" fontId="48" fillId="0" borderId="0" xfId="304" applyNumberFormat="1" applyFont="1" applyBorder="1" applyAlignment="1">
      <alignment vertical="center"/>
    </xf>
    <xf numFmtId="202" fontId="51" fillId="0" borderId="0" xfId="304" applyNumberFormat="1" applyFont="1" applyFill="1" applyBorder="1" applyAlignment="1">
      <alignment horizontal="left" vertical="center"/>
    </xf>
    <xf numFmtId="202" fontId="48" fillId="0" borderId="24" xfId="304" applyNumberFormat="1" applyFont="1" applyFill="1" applyBorder="1" applyAlignment="1">
      <alignment horizontal="left"/>
    </xf>
    <xf numFmtId="202" fontId="31" fillId="0" borderId="0" xfId="304" applyNumberFormat="1" applyFont="1" applyFill="1" applyBorder="1" applyAlignment="1">
      <alignment horizontal="center"/>
    </xf>
    <xf numFmtId="0" fontId="15" fillId="0" borderId="0" xfId="0" applyFont="1" applyBorder="1" applyAlignment="1">
      <alignment vertical="center" wrapText="1"/>
    </xf>
    <xf numFmtId="0" fontId="15" fillId="0" borderId="24" xfId="0" applyFont="1" applyBorder="1" applyAlignment="1">
      <alignment vertical="center" wrapText="1"/>
    </xf>
    <xf numFmtId="202" fontId="14" fillId="0" borderId="0" xfId="304" applyNumberFormat="1" applyFont="1" applyFill="1" applyBorder="1" applyAlignment="1">
      <alignment vertical="center"/>
    </xf>
    <xf numFmtId="203" fontId="32" fillId="16" borderId="24" xfId="306" applyNumberFormat="1" applyFont="1" applyFill="1" applyBorder="1" applyAlignment="1" applyProtection="1">
      <alignment horizontal="left" vertical="center"/>
    </xf>
    <xf numFmtId="0" fontId="15" fillId="0" borderId="38" xfId="0" applyFont="1" applyBorder="1" applyAlignment="1">
      <alignment vertical="center" wrapText="1"/>
    </xf>
    <xf numFmtId="0" fontId="15" fillId="0" borderId="26" xfId="0" applyFont="1" applyBorder="1" applyAlignment="1">
      <alignment vertical="center" wrapText="1"/>
    </xf>
    <xf numFmtId="0" fontId="14" fillId="0" borderId="26" xfId="0" applyFont="1" applyBorder="1" applyAlignment="1"/>
    <xf numFmtId="0" fontId="2" fillId="0" borderId="26" xfId="0" applyFont="1" applyBorder="1" applyAlignment="1"/>
    <xf numFmtId="203" fontId="32" fillId="16" borderId="26" xfId="306" applyNumberFormat="1" applyFont="1" applyFill="1" applyBorder="1" applyAlignment="1" applyProtection="1">
      <alignment horizontal="left" vertical="center"/>
    </xf>
    <xf numFmtId="202" fontId="48" fillId="0" borderId="26" xfId="304" applyNumberFormat="1" applyFont="1" applyBorder="1" applyAlignment="1">
      <alignment vertical="center"/>
    </xf>
    <xf numFmtId="202" fontId="51" fillId="0" borderId="26" xfId="304" applyNumberFormat="1" applyFont="1" applyFill="1" applyBorder="1" applyAlignment="1">
      <alignment horizontal="left" vertical="center"/>
    </xf>
    <xf numFmtId="202" fontId="51" fillId="0" borderId="26" xfId="304" applyNumberFormat="1" applyFont="1" applyFill="1" applyBorder="1" applyAlignment="1">
      <alignment vertical="center"/>
    </xf>
    <xf numFmtId="0" fontId="2" fillId="0" borderId="37" xfId="0" applyFont="1" applyBorder="1" applyAlignment="1"/>
    <xf numFmtId="202" fontId="14" fillId="0" borderId="24" xfId="304" applyNumberFormat="1" applyFont="1" applyBorder="1" applyAlignment="1">
      <alignment horizontal="right"/>
    </xf>
    <xf numFmtId="202" fontId="14" fillId="0" borderId="79" xfId="304" applyNumberFormat="1" applyFont="1" applyBorder="1" applyAlignment="1">
      <alignment horizontal="right"/>
    </xf>
    <xf numFmtId="202" fontId="36" fillId="0" borderId="75" xfId="304" applyNumberFormat="1" applyFont="1" applyFill="1" applyBorder="1" applyAlignment="1"/>
    <xf numFmtId="0" fontId="36" fillId="0" borderId="0" xfId="0" applyFont="1" applyFill="1" applyBorder="1" applyAlignment="1"/>
    <xf numFmtId="0" fontId="8" fillId="0" borderId="0" xfId="0" applyFont="1" applyFill="1" applyBorder="1" applyAlignment="1"/>
    <xf numFmtId="49" fontId="51" fillId="0" borderId="0" xfId="0" applyNumberFormat="1" applyFont="1" applyFill="1" applyBorder="1" applyAlignment="1"/>
    <xf numFmtId="0" fontId="14" fillId="0" borderId="0" xfId="0" applyFont="1" applyFill="1" applyBorder="1" applyAlignment="1"/>
    <xf numFmtId="0" fontId="55" fillId="0" borderId="0" xfId="0" applyFont="1">
      <alignment vertical="center"/>
    </xf>
    <xf numFmtId="0" fontId="42" fillId="0" borderId="0" xfId="0" applyFont="1">
      <alignment vertical="center"/>
    </xf>
    <xf numFmtId="0" fontId="51" fillId="0" borderId="0" xfId="0" applyFont="1" applyFill="1" applyBorder="1" applyAlignment="1"/>
    <xf numFmtId="49" fontId="14" fillId="0" borderId="0" xfId="0" applyNumberFormat="1" applyFont="1" applyFill="1" applyBorder="1" applyAlignment="1"/>
    <xf numFmtId="202" fontId="14" fillId="0" borderId="0" xfId="304" applyNumberFormat="1" applyFont="1" applyFill="1" applyBorder="1" applyAlignment="1"/>
    <xf numFmtId="0" fontId="2" fillId="0" borderId="0" xfId="0" applyFont="1" applyFill="1" applyBorder="1" applyAlignment="1">
      <alignment horizontal="left"/>
    </xf>
    <xf numFmtId="0" fontId="32" fillId="0" borderId="0" xfId="0" applyFont="1" applyFill="1" applyBorder="1" applyAlignment="1">
      <alignment horizontal="left"/>
    </xf>
    <xf numFmtId="0" fontId="32" fillId="0" borderId="0" xfId="0" applyFont="1" applyFill="1" applyBorder="1" applyAlignment="1"/>
    <xf numFmtId="0" fontId="56" fillId="0" borderId="0" xfId="0" applyFont="1">
      <alignment vertical="center"/>
    </xf>
    <xf numFmtId="0" fontId="0" fillId="0" borderId="0" xfId="0" applyFill="1" applyAlignment="1">
      <alignment vertical="center"/>
    </xf>
    <xf numFmtId="0" fontId="0" fillId="0" borderId="0" xfId="0" applyBorder="1">
      <alignment vertical="center"/>
    </xf>
    <xf numFmtId="0" fontId="57" fillId="0" borderId="0" xfId="0" applyFont="1" applyFill="1" applyBorder="1" applyAlignment="1"/>
    <xf numFmtId="1" fontId="32" fillId="0" borderId="76" xfId="0" applyNumberFormat="1" applyFont="1" applyFill="1" applyBorder="1" applyAlignment="1">
      <alignment vertical="center"/>
    </xf>
    <xf numFmtId="1" fontId="32" fillId="0" borderId="0" xfId="0" applyNumberFormat="1" applyFont="1" applyFill="1" applyBorder="1" applyAlignment="1"/>
    <xf numFmtId="1" fontId="32" fillId="0" borderId="80" xfId="0" applyNumberFormat="1" applyFont="1" applyFill="1" applyBorder="1" applyAlignment="1">
      <alignment vertical="center"/>
    </xf>
    <xf numFmtId="0" fontId="2" fillId="0" borderId="0" xfId="0" applyFont="1" applyFill="1" applyBorder="1" applyAlignment="1"/>
    <xf numFmtId="0" fontId="32" fillId="0" borderId="26" xfId="0" applyFont="1" applyFill="1" applyBorder="1" applyAlignment="1"/>
    <xf numFmtId="193" fontId="32" fillId="0" borderId="78" xfId="0" applyNumberFormat="1" applyFont="1" applyFill="1" applyBorder="1" applyAlignment="1"/>
    <xf numFmtId="0" fontId="51" fillId="0" borderId="26" xfId="0" applyFont="1" applyFill="1" applyBorder="1" applyAlignment="1"/>
    <xf numFmtId="0" fontId="2" fillId="0" borderId="26" xfId="0" applyFont="1" applyFill="1" applyBorder="1" applyAlignment="1"/>
    <xf numFmtId="1" fontId="32" fillId="0" borderId="42" xfId="0" applyNumberFormat="1" applyFont="1" applyFill="1" applyBorder="1" applyAlignment="1"/>
    <xf numFmtId="1" fontId="32" fillId="0" borderId="26" xfId="0" applyNumberFormat="1" applyFont="1" applyFill="1" applyBorder="1" applyAlignment="1"/>
    <xf numFmtId="193" fontId="32" fillId="0" borderId="26" xfId="0" applyNumberFormat="1" applyFont="1" applyFill="1" applyBorder="1" applyAlignment="1">
      <alignment horizontal="left"/>
    </xf>
    <xf numFmtId="193" fontId="34" fillId="0" borderId="42" xfId="0" applyNumberFormat="1" applyFont="1" applyFill="1" applyBorder="1" applyAlignment="1"/>
    <xf numFmtId="193" fontId="32" fillId="0" borderId="26" xfId="0" applyNumberFormat="1" applyFont="1" applyFill="1" applyBorder="1" applyAlignment="1"/>
    <xf numFmtId="0" fontId="0" fillId="0" borderId="26" xfId="0" applyBorder="1">
      <alignment vertical="center"/>
    </xf>
    <xf numFmtId="0" fontId="51" fillId="0" borderId="42" xfId="0" applyFont="1" applyFill="1" applyBorder="1" applyAlignment="1"/>
    <xf numFmtId="0" fontId="0" fillId="0" borderId="75" xfId="0" applyBorder="1">
      <alignment vertical="center"/>
    </xf>
    <xf numFmtId="202" fontId="32" fillId="0" borderId="0" xfId="304" applyNumberFormat="1" applyFont="1" applyFill="1" applyBorder="1" applyAlignment="1"/>
    <xf numFmtId="0" fontId="58" fillId="0" borderId="0" xfId="0" applyFont="1">
      <alignment vertical="center"/>
    </xf>
    <xf numFmtId="202" fontId="14" fillId="0" borderId="81" xfId="304" applyNumberFormat="1" applyFont="1" applyBorder="1" applyAlignment="1">
      <alignment horizontal="right"/>
    </xf>
    <xf numFmtId="202" fontId="36" fillId="0" borderId="53" xfId="304" applyNumberFormat="1" applyFont="1" applyFill="1" applyBorder="1" applyAlignment="1"/>
    <xf numFmtId="202" fontId="32" fillId="0" borderId="53" xfId="304" applyNumberFormat="1" applyFont="1" applyFill="1" applyBorder="1" applyAlignment="1"/>
    <xf numFmtId="0" fontId="57" fillId="0" borderId="53" xfId="0" applyFont="1" applyFill="1" applyBorder="1" applyAlignment="1"/>
    <xf numFmtId="0" fontId="51" fillId="0" borderId="53" xfId="0" applyFont="1" applyFill="1" applyBorder="1" applyAlignment="1"/>
    <xf numFmtId="202" fontId="50" fillId="0" borderId="0" xfId="304" applyNumberFormat="1" applyFont="1" applyBorder="1" applyAlignment="1">
      <alignment textRotation="90"/>
    </xf>
    <xf numFmtId="0" fontId="2" fillId="0" borderId="0" xfId="50568" applyFont="1">
      <alignment vertical="center"/>
    </xf>
    <xf numFmtId="0" fontId="2" fillId="0" borderId="28" xfId="50568" applyFont="1" applyBorder="1">
      <alignment vertical="center"/>
    </xf>
    <xf numFmtId="0" fontId="2" fillId="0" borderId="29" xfId="50568" applyFont="1" applyBorder="1">
      <alignment vertical="center"/>
    </xf>
    <xf numFmtId="0" fontId="2" fillId="0" borderId="33" xfId="50568" applyFont="1" applyBorder="1">
      <alignment vertical="center"/>
    </xf>
    <xf numFmtId="0" fontId="2" fillId="0" borderId="39" xfId="50568" applyFont="1" applyBorder="1">
      <alignment vertical="center"/>
    </xf>
    <xf numFmtId="0" fontId="2" fillId="0" borderId="0" xfId="50568" applyFont="1" applyBorder="1">
      <alignment vertical="center"/>
    </xf>
    <xf numFmtId="0" fontId="133" fillId="0" borderId="0" xfId="50568" applyFont="1" applyBorder="1" applyAlignment="1">
      <alignment horizontal="center" vertical="center"/>
    </xf>
    <xf numFmtId="0" fontId="15" fillId="0" borderId="0" xfId="50568" applyFont="1" applyBorder="1" applyAlignment="1">
      <alignment horizontal="center" vertical="center"/>
    </xf>
    <xf numFmtId="0" fontId="133" fillId="0" borderId="24" xfId="50568" applyFont="1" applyBorder="1" applyAlignment="1">
      <alignment horizontal="center" vertical="center"/>
    </xf>
    <xf numFmtId="0" fontId="48" fillId="0" borderId="0" xfId="50568" applyFont="1" applyBorder="1">
      <alignment vertical="center"/>
    </xf>
    <xf numFmtId="0" fontId="2" fillId="0" borderId="24" xfId="50568" applyFont="1" applyBorder="1">
      <alignment vertical="center"/>
    </xf>
    <xf numFmtId="0" fontId="2" fillId="0" borderId="99" xfId="50568" applyFont="1" applyBorder="1">
      <alignment vertical="center"/>
    </xf>
    <xf numFmtId="0" fontId="2" fillId="0" borderId="100" xfId="50568" applyFont="1" applyBorder="1">
      <alignment vertical="center"/>
    </xf>
    <xf numFmtId="0" fontId="48" fillId="0" borderId="29" xfId="50568" applyFont="1" applyBorder="1" applyAlignment="1">
      <alignment horizontal="left" vertical="center"/>
    </xf>
    <xf numFmtId="0" fontId="48" fillId="0" borderId="39" xfId="50568" applyFont="1" applyBorder="1" applyAlignment="1">
      <alignment horizontal="left" vertical="center"/>
    </xf>
    <xf numFmtId="0" fontId="48" fillId="0" borderId="0" xfId="50568" applyFont="1" applyBorder="1" applyAlignment="1">
      <alignment horizontal="left" vertical="center"/>
    </xf>
    <xf numFmtId="0" fontId="29" fillId="0" borderId="0" xfId="50568" applyFont="1" applyBorder="1" applyAlignment="1">
      <alignment horizontal="center" vertical="center" wrapText="1"/>
    </xf>
    <xf numFmtId="0" fontId="29" fillId="0" borderId="0" xfId="50568" applyFont="1" applyBorder="1" applyAlignment="1">
      <alignment horizontal="center" vertical="center"/>
    </xf>
    <xf numFmtId="0" fontId="138" fillId="0" borderId="39" xfId="50568" applyFont="1" applyBorder="1" applyAlignment="1">
      <alignment vertical="center"/>
    </xf>
    <xf numFmtId="0" fontId="138" fillId="0" borderId="0" xfId="50568" applyFont="1" applyBorder="1" applyAlignment="1">
      <alignment vertical="center"/>
    </xf>
    <xf numFmtId="0" fontId="138" fillId="0" borderId="24" xfId="50568" applyFont="1" applyBorder="1" applyAlignment="1">
      <alignment vertical="center"/>
    </xf>
    <xf numFmtId="0" fontId="138" fillId="0" borderId="39" xfId="50568" applyFont="1" applyBorder="1" applyAlignment="1">
      <alignment horizontal="center" vertical="center"/>
    </xf>
    <xf numFmtId="0" fontId="138" fillId="0" borderId="0" xfId="50568" applyFont="1" applyBorder="1" applyAlignment="1">
      <alignment horizontal="center" vertical="center"/>
    </xf>
    <xf numFmtId="0" fontId="138" fillId="0" borderId="24" xfId="50568" applyFont="1" applyBorder="1" applyAlignment="1">
      <alignment horizontal="center" vertical="center"/>
    </xf>
    <xf numFmtId="0" fontId="139" fillId="0" borderId="39" xfId="50568" applyFont="1" applyBorder="1" applyAlignment="1">
      <alignment vertical="center"/>
    </xf>
    <xf numFmtId="0" fontId="139" fillId="0" borderId="0" xfId="50568" applyFont="1" applyBorder="1" applyAlignment="1">
      <alignment vertical="center"/>
    </xf>
    <xf numFmtId="0" fontId="139" fillId="0" borderId="0" xfId="50568" applyNumberFormat="1" applyFont="1" applyBorder="1" applyAlignment="1">
      <alignment vertical="center"/>
    </xf>
    <xf numFmtId="0" fontId="139" fillId="0" borderId="0" xfId="50568" applyFont="1" applyBorder="1">
      <alignment vertical="center"/>
    </xf>
    <xf numFmtId="0" fontId="139" fillId="0" borderId="0" xfId="50568" applyNumberFormat="1" applyFont="1" applyBorder="1" applyAlignment="1">
      <alignment horizontal="center" vertical="center"/>
    </xf>
    <xf numFmtId="0" fontId="139" fillId="0" borderId="24" xfId="50568" applyFont="1" applyBorder="1" applyAlignment="1">
      <alignment vertical="center"/>
    </xf>
    <xf numFmtId="0" fontId="139" fillId="0" borderId="39" xfId="50568" applyNumberFormat="1" applyFont="1" applyBorder="1" applyAlignment="1">
      <alignment vertical="center"/>
    </xf>
    <xf numFmtId="0" fontId="139" fillId="0" borderId="24" xfId="50568" applyNumberFormat="1" applyFont="1" applyBorder="1" applyAlignment="1">
      <alignment vertical="center"/>
    </xf>
    <xf numFmtId="0" fontId="48" fillId="0" borderId="39" xfId="50568" applyFont="1" applyBorder="1" applyAlignment="1">
      <alignment vertical="center"/>
    </xf>
    <xf numFmtId="0" fontId="48" fillId="0" borderId="0" xfId="50568" applyFont="1" applyBorder="1" applyAlignment="1">
      <alignment vertical="center"/>
    </xf>
    <xf numFmtId="238" fontId="48" fillId="0" borderId="0" xfId="50568" applyNumberFormat="1" applyFont="1" applyBorder="1" applyAlignment="1">
      <alignment vertical="center"/>
    </xf>
    <xf numFmtId="238" fontId="48" fillId="0" borderId="24" xfId="50568" applyNumberFormat="1" applyFont="1" applyBorder="1" applyAlignment="1">
      <alignment vertical="center"/>
    </xf>
    <xf numFmtId="0" fontId="2" fillId="0" borderId="0" xfId="50568" applyNumberFormat="1" applyFont="1">
      <alignment vertical="center"/>
    </xf>
    <xf numFmtId="0" fontId="48" fillId="0" borderId="39" xfId="50568" applyNumberFormat="1" applyFont="1" applyBorder="1" applyAlignment="1">
      <alignment vertical="center"/>
    </xf>
    <xf numFmtId="0" fontId="48" fillId="0" borderId="0" xfId="50568" applyNumberFormat="1" applyFont="1" applyBorder="1" applyAlignment="1">
      <alignment vertical="center"/>
    </xf>
    <xf numFmtId="0" fontId="48" fillId="0" borderId="24" xfId="50568" applyNumberFormat="1" applyFont="1" applyBorder="1" applyAlignment="1">
      <alignment vertical="center"/>
    </xf>
    <xf numFmtId="0" fontId="2" fillId="0" borderId="39" xfId="50568" applyNumberFormat="1" applyFont="1" applyBorder="1" applyAlignment="1">
      <alignment vertical="center"/>
    </xf>
    <xf numFmtId="0" fontId="2" fillId="0" borderId="0" xfId="50568" applyNumberFormat="1" applyFont="1" applyBorder="1" applyAlignment="1">
      <alignment vertical="center"/>
    </xf>
    <xf numFmtId="0" fontId="2" fillId="0" borderId="24" xfId="50568" applyNumberFormat="1" applyFont="1" applyBorder="1" applyAlignment="1">
      <alignment vertical="center"/>
    </xf>
    <xf numFmtId="0" fontId="2" fillId="0" borderId="39" xfId="50568" applyNumberFormat="1" applyFont="1" applyBorder="1">
      <alignment vertical="center"/>
    </xf>
    <xf numFmtId="0" fontId="2" fillId="0" borderId="0" xfId="50568" applyNumberFormat="1" applyFont="1" applyBorder="1">
      <alignment vertical="center"/>
    </xf>
    <xf numFmtId="0" fontId="2" fillId="0" borderId="24" xfId="50568" applyNumberFormat="1" applyFont="1" applyBorder="1">
      <alignment vertical="center"/>
    </xf>
    <xf numFmtId="0" fontId="35" fillId="0" borderId="0" xfId="50568" applyNumberFormat="1" applyFont="1" applyBorder="1" applyAlignment="1">
      <alignment vertical="center"/>
    </xf>
    <xf numFmtId="0" fontId="140" fillId="0" borderId="0" xfId="50568" applyNumberFormat="1" applyFont="1" applyBorder="1">
      <alignment vertical="center"/>
    </xf>
    <xf numFmtId="0" fontId="140" fillId="0" borderId="0" xfId="50568" applyNumberFormat="1" applyFont="1" applyBorder="1" applyAlignment="1">
      <alignment horizontal="center" vertical="center"/>
    </xf>
    <xf numFmtId="0" fontId="35" fillId="0" borderId="0" xfId="50568" quotePrefix="1" applyNumberFormat="1" applyFont="1" applyBorder="1">
      <alignment vertical="center"/>
    </xf>
    <xf numFmtId="0" fontId="35" fillId="0" borderId="0" xfId="50568" applyNumberFormat="1" applyFont="1" applyBorder="1">
      <alignment vertical="center"/>
    </xf>
    <xf numFmtId="0" fontId="35" fillId="0" borderId="0" xfId="50568" applyFont="1" applyBorder="1">
      <alignment vertical="center"/>
    </xf>
    <xf numFmtId="0" fontId="2" fillId="0" borderId="102" xfId="50568" applyFont="1" applyBorder="1">
      <alignment vertical="center"/>
    </xf>
    <xf numFmtId="0" fontId="2" fillId="0" borderId="103" xfId="50568" applyFont="1" applyBorder="1">
      <alignment vertical="center"/>
    </xf>
    <xf numFmtId="0" fontId="2" fillId="0" borderId="104" xfId="50568" applyFont="1" applyBorder="1">
      <alignment vertical="center"/>
    </xf>
    <xf numFmtId="0" fontId="141" fillId="0" borderId="0" xfId="52748" applyFont="1" applyAlignment="1">
      <alignment horizontal="right"/>
    </xf>
    <xf numFmtId="0" fontId="0" fillId="0" borderId="0" xfId="0" applyAlignment="1"/>
    <xf numFmtId="0" fontId="0" fillId="0" borderId="39" xfId="0" applyBorder="1" applyAlignment="1"/>
    <xf numFmtId="0" fontId="0" fillId="0" borderId="0" xfId="0" applyFont="1" applyBorder="1" applyAlignment="1"/>
    <xf numFmtId="0" fontId="47" fillId="0" borderId="0" xfId="0" quotePrefix="1" applyFont="1" applyFill="1" applyBorder="1" applyAlignment="1" applyProtection="1">
      <protection locked="0"/>
    </xf>
    <xf numFmtId="0" fontId="0" fillId="0" borderId="0" xfId="0" quotePrefix="1" applyFont="1" applyFill="1" applyBorder="1" applyAlignment="1" applyProtection="1">
      <protection locked="0"/>
    </xf>
    <xf numFmtId="0" fontId="144" fillId="0" borderId="0" xfId="0" applyFont="1" applyFill="1" applyBorder="1" applyAlignment="1" applyProtection="1">
      <protection locked="0"/>
    </xf>
    <xf numFmtId="0" fontId="0" fillId="0" borderId="24" xfId="0" applyFont="1" applyBorder="1" applyAlignment="1"/>
    <xf numFmtId="0" fontId="32" fillId="0" borderId="39" xfId="0" applyFont="1" applyBorder="1" applyAlignment="1"/>
    <xf numFmtId="0" fontId="32" fillId="0" borderId="0" xfId="0" applyFont="1" applyBorder="1" applyAlignment="1"/>
    <xf numFmtId="0" fontId="32" fillId="0" borderId="0" xfId="0" applyFont="1" applyBorder="1" applyAlignment="1">
      <alignment horizontal="right"/>
    </xf>
    <xf numFmtId="0" fontId="32" fillId="0" borderId="24" xfId="0" applyFont="1" applyBorder="1" applyAlignment="1"/>
    <xf numFmtId="192" fontId="32" fillId="0" borderId="0" xfId="0" applyNumberFormat="1" applyFont="1" applyBorder="1" applyAlignment="1"/>
    <xf numFmtId="0" fontId="34" fillId="0" borderId="39" xfId="0" applyFont="1" applyBorder="1" applyAlignment="1">
      <alignment horizontal="right"/>
    </xf>
    <xf numFmtId="0" fontId="33" fillId="0" borderId="0" xfId="0" applyFont="1" applyBorder="1" applyAlignment="1"/>
    <xf numFmtId="0" fontId="32" fillId="0" borderId="0" xfId="0" applyFont="1" applyBorder="1" applyAlignment="1">
      <alignment horizontal="center"/>
    </xf>
    <xf numFmtId="0" fontId="32" fillId="0" borderId="39" xfId="0" applyFont="1" applyBorder="1" applyAlignment="1">
      <alignment horizontal="center"/>
    </xf>
    <xf numFmtId="0" fontId="32" fillId="0" borderId="0" xfId="0" applyFont="1" applyBorder="1" applyAlignment="1">
      <alignment horizontal="left" indent="2"/>
    </xf>
    <xf numFmtId="0" fontId="32" fillId="0" borderId="39" xfId="0" applyFont="1" applyBorder="1" applyAlignment="1">
      <alignment horizontal="right"/>
    </xf>
    <xf numFmtId="0" fontId="33" fillId="0" borderId="0" xfId="0" applyFont="1" applyBorder="1" applyAlignment="1">
      <alignment horizontal="right"/>
    </xf>
    <xf numFmtId="0" fontId="33" fillId="0" borderId="0" xfId="0" quotePrefix="1" applyFont="1" applyBorder="1" applyAlignment="1"/>
    <xf numFmtId="0" fontId="32" fillId="0" borderId="0" xfId="0" applyFont="1" applyBorder="1" applyAlignment="1">
      <alignment horizontal="left"/>
    </xf>
    <xf numFmtId="0" fontId="32" fillId="0" borderId="39" xfId="0" quotePrefix="1" applyFont="1" applyBorder="1" applyAlignment="1"/>
    <xf numFmtId="0" fontId="32" fillId="0" borderId="0" xfId="0" quotePrefix="1" applyFont="1" applyBorder="1" applyAlignment="1">
      <alignment horizontal="center"/>
    </xf>
    <xf numFmtId="0" fontId="0" fillId="0" borderId="0" xfId="0" applyBorder="1" applyAlignment="1">
      <alignment horizontal="left" indent="3"/>
    </xf>
    <xf numFmtId="0" fontId="0" fillId="0" borderId="0" xfId="0" applyBorder="1" applyAlignment="1">
      <alignment horizontal="left" indent="2"/>
    </xf>
    <xf numFmtId="0" fontId="0" fillId="0" borderId="0" xfId="0" applyBorder="1" applyAlignment="1">
      <alignment horizontal="center"/>
    </xf>
    <xf numFmtId="0" fontId="0" fillId="0" borderId="0" xfId="0" applyFont="1" applyBorder="1" applyAlignment="1">
      <alignment horizontal="center"/>
    </xf>
    <xf numFmtId="192" fontId="0" fillId="0" borderId="0" xfId="0" applyNumberFormat="1" applyBorder="1" applyAlignment="1"/>
    <xf numFmtId="0" fontId="0" fillId="0" borderId="0" xfId="0" applyFont="1" applyBorder="1" applyAlignment="1">
      <alignment horizontal="left" indent="2"/>
    </xf>
    <xf numFmtId="0" fontId="0" fillId="0" borderId="39" xfId="0" applyBorder="1">
      <alignment vertical="center"/>
    </xf>
    <xf numFmtId="0" fontId="0" fillId="0" borderId="43" xfId="0" applyBorder="1">
      <alignment vertical="center"/>
    </xf>
    <xf numFmtId="0" fontId="0" fillId="0" borderId="53" xfId="0" applyBorder="1">
      <alignment vertical="center"/>
    </xf>
    <xf numFmtId="0" fontId="0" fillId="0" borderId="54" xfId="0" applyBorder="1">
      <alignment vertical="center"/>
    </xf>
    <xf numFmtId="0" fontId="142" fillId="0" borderId="0" xfId="0" quotePrefix="1" applyFont="1" applyFill="1" applyBorder="1" applyAlignment="1" applyProtection="1">
      <protection locked="0"/>
    </xf>
    <xf numFmtId="0" fontId="142" fillId="0" borderId="0" xfId="0" applyFont="1" applyFill="1" applyBorder="1" applyAlignment="1" applyProtection="1">
      <protection locked="0"/>
    </xf>
    <xf numFmtId="0" fontId="142" fillId="0" borderId="24" xfId="0" applyFont="1" applyFill="1" applyBorder="1" applyAlignment="1" applyProtection="1">
      <protection locked="0"/>
    </xf>
    <xf numFmtId="0" fontId="143" fillId="0" borderId="0" xfId="0" quotePrefix="1" applyFont="1" applyFill="1" applyBorder="1" applyAlignment="1" applyProtection="1">
      <protection locked="0"/>
    </xf>
    <xf numFmtId="0" fontId="143" fillId="0" borderId="0" xfId="0" applyFont="1" applyFill="1" applyBorder="1" applyAlignment="1" applyProtection="1">
      <protection locked="0"/>
    </xf>
    <xf numFmtId="0" fontId="143" fillId="0" borderId="24" xfId="0" applyFont="1" applyFill="1" applyBorder="1" applyAlignment="1" applyProtection="1">
      <protection locked="0"/>
    </xf>
    <xf numFmtId="0" fontId="2" fillId="0" borderId="29" xfId="1" applyFont="1" applyBorder="1" applyProtection="1"/>
    <xf numFmtId="0" fontId="2" fillId="0" borderId="99" xfId="1" applyFont="1" applyBorder="1" applyProtection="1"/>
    <xf numFmtId="0" fontId="2" fillId="0" borderId="78" xfId="1" applyFont="1" applyBorder="1" applyProtection="1"/>
    <xf numFmtId="0" fontId="2" fillId="0" borderId="53" xfId="1" applyFont="1" applyBorder="1" applyProtection="1"/>
    <xf numFmtId="0" fontId="2" fillId="0" borderId="0" xfId="1" applyBorder="1" applyProtection="1"/>
    <xf numFmtId="0" fontId="2" fillId="0" borderId="0" xfId="1" applyFont="1" applyFill="1" applyBorder="1" applyProtection="1"/>
    <xf numFmtId="0" fontId="2" fillId="0" borderId="78" xfId="1" applyFont="1" applyFill="1" applyBorder="1" applyProtection="1"/>
    <xf numFmtId="0" fontId="2" fillId="0" borderId="53" xfId="1" applyFont="1" applyFill="1" applyBorder="1" applyProtection="1"/>
    <xf numFmtId="0" fontId="2" fillId="0" borderId="29" xfId="1" applyFont="1" applyFill="1" applyBorder="1" applyProtection="1"/>
    <xf numFmtId="0" fontId="2" fillId="0" borderId="99" xfId="1" applyFill="1" applyBorder="1" applyProtection="1"/>
    <xf numFmtId="0" fontId="2" fillId="0" borderId="101" xfId="1" applyFill="1" applyBorder="1" applyProtection="1"/>
    <xf numFmtId="0" fontId="2" fillId="0" borderId="0" xfId="1" applyFont="1" applyBorder="1" applyAlignment="1">
      <alignment horizontal="left" indent="1"/>
    </xf>
    <xf numFmtId="0" fontId="2" fillId="0" borderId="99" xfId="1" applyFill="1" applyBorder="1" applyAlignment="1">
      <alignment vertical="center"/>
    </xf>
    <xf numFmtId="0" fontId="2" fillId="0" borderId="53" xfId="1" applyFill="1" applyBorder="1" applyAlignment="1">
      <alignment vertical="center"/>
    </xf>
    <xf numFmtId="0" fontId="2" fillId="0" borderId="99" xfId="1" applyBorder="1"/>
    <xf numFmtId="0" fontId="2" fillId="0" borderId="115" xfId="1" applyBorder="1"/>
    <xf numFmtId="0" fontId="2" fillId="0" borderId="103" xfId="1" applyFill="1" applyBorder="1" applyProtection="1">
      <protection locked="0"/>
    </xf>
    <xf numFmtId="0" fontId="2" fillId="0" borderId="0" xfId="1" applyFill="1" applyBorder="1" applyAlignment="1" applyProtection="1">
      <protection locked="0"/>
    </xf>
    <xf numFmtId="0" fontId="2" fillId="0" borderId="110" xfId="1" applyFont="1" applyBorder="1" applyAlignment="1">
      <alignment horizontal="left" indent="1"/>
    </xf>
    <xf numFmtId="0" fontId="2" fillId="0" borderId="106" xfId="1" applyFont="1" applyBorder="1" applyAlignment="1">
      <alignment horizontal="left" vertical="center" indent="1"/>
    </xf>
    <xf numFmtId="193" fontId="2" fillId="0" borderId="77" xfId="2" applyNumberFormat="1" applyFont="1" applyFill="1" applyBorder="1" applyAlignment="1" applyProtection="1">
      <alignment horizontal="right"/>
    </xf>
    <xf numFmtId="193" fontId="2" fillId="0" borderId="98" xfId="2" applyNumberFormat="1" applyFont="1" applyFill="1" applyBorder="1" applyAlignment="1" applyProtection="1">
      <alignment horizontal="right"/>
    </xf>
    <xf numFmtId="193" fontId="2" fillId="0" borderId="35" xfId="2" applyNumberFormat="1" applyFont="1" applyFill="1" applyBorder="1" applyAlignment="1" applyProtection="1">
      <alignment horizontal="right"/>
    </xf>
    <xf numFmtId="193" fontId="2" fillId="0" borderId="62" xfId="2" applyNumberFormat="1" applyFont="1" applyFill="1" applyBorder="1" applyAlignment="1" applyProtection="1">
      <alignment horizontal="right"/>
    </xf>
    <xf numFmtId="193" fontId="43" fillId="0" borderId="98" xfId="295" applyNumberFormat="1" applyFont="1" applyFill="1" applyBorder="1" applyAlignment="1" applyProtection="1">
      <alignment horizontal="right"/>
    </xf>
    <xf numFmtId="193" fontId="43" fillId="0" borderId="77" xfId="295" applyNumberFormat="1" applyFont="1" applyFill="1" applyBorder="1" applyAlignment="1" applyProtection="1">
      <alignment horizontal="right"/>
    </xf>
    <xf numFmtId="193" fontId="42" fillId="0" borderId="35" xfId="295" applyNumberFormat="1" applyFont="1" applyFill="1" applyBorder="1" applyAlignment="1" applyProtection="1">
      <alignment horizontal="right"/>
    </xf>
    <xf numFmtId="0" fontId="2" fillId="0" borderId="77" xfId="1" applyBorder="1" applyAlignment="1"/>
    <xf numFmtId="193" fontId="2" fillId="0" borderId="77" xfId="1" applyNumberFormat="1" applyBorder="1"/>
    <xf numFmtId="0" fontId="30" fillId="10" borderId="121" xfId="295" applyNumberFormat="1" applyFont="1" applyFill="1" applyBorder="1" applyAlignment="1" applyProtection="1">
      <protection locked="0"/>
    </xf>
    <xf numFmtId="0" fontId="2" fillId="0" borderId="77" xfId="1" applyBorder="1" applyAlignment="1">
      <alignment horizontal="right" vertical="center"/>
    </xf>
    <xf numFmtId="0" fontId="2" fillId="0" borderId="98" xfId="1" applyBorder="1"/>
    <xf numFmtId="0" fontId="2" fillId="0" borderId="77" xfId="1" applyBorder="1" applyAlignment="1">
      <alignment horizontal="right"/>
    </xf>
    <xf numFmtId="193" fontId="2" fillId="0" borderId="98" xfId="1" applyNumberFormat="1" applyBorder="1"/>
    <xf numFmtId="0" fontId="2" fillId="0" borderId="62" xfId="295" applyNumberFormat="1" applyFont="1" applyFill="1" applyBorder="1" applyAlignment="1" applyProtection="1">
      <alignment horizontal="right"/>
    </xf>
    <xf numFmtId="0" fontId="30" fillId="0" borderId="77" xfId="295" applyNumberFormat="1" applyFont="1" applyFill="1" applyBorder="1" applyAlignment="1" applyProtection="1">
      <alignment horizontal="right"/>
    </xf>
    <xf numFmtId="0" fontId="2" fillId="0" borderId="0" xfId="1" applyAlignment="1">
      <alignment horizontal="center" vertical="center"/>
    </xf>
    <xf numFmtId="0" fontId="2" fillId="0" borderId="0" xfId="1" applyAlignment="1">
      <alignment horizontal="right"/>
    </xf>
    <xf numFmtId="0" fontId="2" fillId="0" borderId="116" xfId="1" applyBorder="1"/>
    <xf numFmtId="0" fontId="48" fillId="9" borderId="120" xfId="1" applyFont="1" applyFill="1" applyBorder="1" applyAlignment="1" applyProtection="1">
      <alignment horizontal="center"/>
      <protection locked="0"/>
    </xf>
    <xf numFmtId="0" fontId="48" fillId="9" borderId="109" xfId="1" applyFont="1" applyFill="1" applyBorder="1" applyAlignment="1" applyProtection="1">
      <alignment horizontal="center"/>
      <protection locked="0"/>
    </xf>
    <xf numFmtId="0" fontId="48" fillId="9" borderId="120" xfId="1" quotePrefix="1" applyFont="1" applyFill="1" applyBorder="1" applyAlignment="1" applyProtection="1">
      <alignment horizontal="center"/>
      <protection locked="0"/>
    </xf>
    <xf numFmtId="189" fontId="31" fillId="0" borderId="109" xfId="2" applyNumberFormat="1" applyFont="1" applyBorder="1" applyAlignment="1">
      <alignment horizontal="center"/>
    </xf>
    <xf numFmtId="0" fontId="35" fillId="0" borderId="116" xfId="1" applyFont="1" applyBorder="1" applyAlignment="1">
      <alignment horizontal="right" vertical="center"/>
    </xf>
    <xf numFmtId="0" fontId="35" fillId="11" borderId="123" xfId="1" applyFont="1" applyFill="1" applyBorder="1" applyAlignment="1">
      <alignment horizontal="center" vertical="center"/>
    </xf>
    <xf numFmtId="189" fontId="31" fillId="0" borderId="21" xfId="2" applyNumberFormat="1" applyFont="1" applyBorder="1" applyAlignment="1">
      <alignment horizontal="center"/>
    </xf>
    <xf numFmtId="189" fontId="31" fillId="0" borderId="110" xfId="2" applyNumberFormat="1" applyFont="1" applyBorder="1" applyAlignment="1">
      <alignment horizontal="center"/>
    </xf>
    <xf numFmtId="0" fontId="48" fillId="0" borderId="0" xfId="1" applyFont="1" applyBorder="1"/>
    <xf numFmtId="0" fontId="48" fillId="0" borderId="20" xfId="1" applyFont="1" applyBorder="1" applyAlignment="1"/>
    <xf numFmtId="0" fontId="48" fillId="10" borderId="50" xfId="295" applyNumberFormat="1" applyFont="1" applyFill="1" applyBorder="1" applyAlignment="1" applyProtection="1">
      <alignment horizontal="center"/>
      <protection locked="0"/>
    </xf>
    <xf numFmtId="0" fontId="48" fillId="10" borderId="77" xfId="295" applyNumberFormat="1" applyFont="1" applyFill="1" applyBorder="1" applyAlignment="1" applyProtection="1">
      <alignment horizontal="center"/>
      <protection locked="0"/>
    </xf>
    <xf numFmtId="0" fontId="48" fillId="10" borderId="118" xfId="295" applyNumberFormat="1" applyFont="1" applyFill="1" applyBorder="1" applyAlignment="1" applyProtection="1">
      <alignment horizontal="center"/>
      <protection locked="0"/>
    </xf>
    <xf numFmtId="190" fontId="48" fillId="10" borderId="50" xfId="295" applyNumberFormat="1" applyFont="1" applyFill="1" applyBorder="1" applyAlignment="1" applyProtection="1">
      <alignment horizontal="center"/>
      <protection locked="0"/>
    </xf>
    <xf numFmtId="191" fontId="48" fillId="10" borderId="50" xfId="295" applyNumberFormat="1" applyFont="1" applyFill="1" applyBorder="1" applyAlignment="1" applyProtection="1">
      <alignment horizontal="center"/>
      <protection locked="0"/>
    </xf>
    <xf numFmtId="193" fontId="48" fillId="10" borderId="50" xfId="295" applyNumberFormat="1" applyFont="1" applyFill="1" applyBorder="1" applyAlignment="1" applyProtection="1">
      <alignment horizontal="center"/>
      <protection locked="0"/>
    </xf>
    <xf numFmtId="0" fontId="48" fillId="10" borderId="49" xfId="295" applyNumberFormat="1" applyFont="1" applyFill="1" applyBorder="1" applyAlignment="1" applyProtection="1">
      <alignment horizontal="center"/>
      <protection locked="0"/>
    </xf>
    <xf numFmtId="0" fontId="48" fillId="10" borderId="98" xfId="295" applyNumberFormat="1" applyFont="1" applyFill="1" applyBorder="1" applyAlignment="1" applyProtection="1">
      <alignment horizontal="center"/>
      <protection locked="0"/>
    </xf>
    <xf numFmtId="0" fontId="48" fillId="10" borderId="117" xfId="295" applyNumberFormat="1" applyFont="1" applyFill="1" applyBorder="1" applyAlignment="1" applyProtection="1">
      <alignment horizontal="center"/>
      <protection locked="0"/>
    </xf>
    <xf numFmtId="193" fontId="48" fillId="0" borderId="50" xfId="1" applyNumberFormat="1" applyFont="1" applyBorder="1" applyAlignment="1">
      <alignment horizontal="center"/>
    </xf>
    <xf numFmtId="189" fontId="150" fillId="0" borderId="50" xfId="2" applyNumberFormat="1" applyFont="1" applyBorder="1" applyAlignment="1">
      <alignment horizontal="center"/>
    </xf>
    <xf numFmtId="0" fontId="123" fillId="0" borderId="0" xfId="1" applyFont="1" applyBorder="1" applyAlignment="1">
      <alignment horizontal="right" indent="1"/>
    </xf>
    <xf numFmtId="0" fontId="123" fillId="0" borderId="48" xfId="1" applyFont="1" applyBorder="1" applyAlignment="1">
      <alignment horizontal="right" indent="1"/>
    </xf>
    <xf numFmtId="3" fontId="48" fillId="10" borderId="49" xfId="2" applyNumberFormat="1" applyFont="1" applyFill="1" applyBorder="1" applyAlignment="1" applyProtection="1">
      <alignment horizontal="center"/>
      <protection locked="0"/>
    </xf>
    <xf numFmtId="195" fontId="48" fillId="10" borderId="49" xfId="2" applyNumberFormat="1" applyFont="1" applyFill="1" applyBorder="1" applyAlignment="1" applyProtection="1">
      <alignment horizontal="center"/>
      <protection locked="0"/>
    </xf>
    <xf numFmtId="0" fontId="123" fillId="0" borderId="0" xfId="1" applyNumberFormat="1" applyFont="1" applyBorder="1" applyAlignment="1">
      <alignment horizontal="right" vertical="center"/>
    </xf>
    <xf numFmtId="0" fontId="123" fillId="0" borderId="0" xfId="1" quotePrefix="1" applyNumberFormat="1" applyFont="1" applyBorder="1" applyAlignment="1">
      <alignment horizontal="right" vertical="center"/>
    </xf>
    <xf numFmtId="194" fontId="48" fillId="0" borderId="50" xfId="1" applyNumberFormat="1" applyFont="1" applyBorder="1" applyAlignment="1">
      <alignment horizontal="center"/>
    </xf>
    <xf numFmtId="4" fontId="7" fillId="0" borderId="50" xfId="294" applyNumberFormat="1" applyFont="1" applyBorder="1" applyAlignment="1" applyProtection="1">
      <alignment horizontal="center"/>
    </xf>
    <xf numFmtId="0" fontId="48" fillId="0" borderId="0" xfId="1" quotePrefix="1" applyNumberFormat="1" applyFont="1" applyBorder="1" applyAlignment="1">
      <alignment horizontal="right" vertical="center"/>
    </xf>
    <xf numFmtId="0" fontId="48" fillId="0" borderId="48" xfId="1" applyFont="1" applyBorder="1" applyAlignment="1">
      <alignment horizontal="right"/>
    </xf>
    <xf numFmtId="0" fontId="48" fillId="0" borderId="0" xfId="1" applyFont="1" applyBorder="1" applyAlignment="1">
      <alignment horizontal="right"/>
    </xf>
    <xf numFmtId="0" fontId="15" fillId="0" borderId="13" xfId="1" applyFont="1" applyBorder="1" applyAlignment="1"/>
    <xf numFmtId="0" fontId="2" fillId="0" borderId="27" xfId="1" applyFont="1" applyBorder="1" applyAlignment="1">
      <alignment horizontal="left" indent="1"/>
    </xf>
    <xf numFmtId="0" fontId="2" fillId="0" borderId="107" xfId="1" applyFont="1" applyBorder="1" applyAlignment="1">
      <alignment horizontal="left" indent="1"/>
    </xf>
    <xf numFmtId="0" fontId="123" fillId="0" borderId="107" xfId="1" applyFont="1" applyBorder="1" applyAlignment="1">
      <alignment horizontal="right" indent="1"/>
    </xf>
    <xf numFmtId="0" fontId="48" fillId="0" borderId="50" xfId="1" applyNumberFormat="1" applyFont="1" applyBorder="1" applyAlignment="1">
      <alignment horizontal="center" vertical="center"/>
    </xf>
    <xf numFmtId="0" fontId="7" fillId="0" borderId="50" xfId="294" applyNumberFormat="1" applyFont="1" applyBorder="1" applyAlignment="1" applyProtection="1">
      <alignment horizontal="center"/>
    </xf>
    <xf numFmtId="0" fontId="6" fillId="0" borderId="0" xfId="1" applyNumberFormat="1" applyFont="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30" fillId="0" borderId="100" xfId="1" applyFont="1" applyBorder="1"/>
    <xf numFmtId="0" fontId="48" fillId="0" borderId="42" xfId="1" applyFont="1" applyBorder="1" applyAlignment="1">
      <alignment horizontal="right"/>
    </xf>
    <xf numFmtId="239" fontId="48" fillId="0" borderId="72" xfId="1" applyNumberFormat="1" applyFont="1" applyBorder="1" applyAlignment="1">
      <alignment horizontal="left"/>
    </xf>
    <xf numFmtId="239" fontId="48" fillId="0" borderId="115" xfId="1" applyNumberFormat="1" applyFont="1" applyBorder="1" applyAlignment="1">
      <alignment horizontal="left"/>
    </xf>
    <xf numFmtId="0" fontId="123" fillId="0" borderId="48" xfId="1" applyFont="1" applyBorder="1" applyAlignment="1">
      <alignment horizontal="right"/>
    </xf>
    <xf numFmtId="0" fontId="48" fillId="0" borderId="36" xfId="295" applyNumberFormat="1" applyFont="1" applyFill="1" applyBorder="1" applyAlignment="1" applyProtection="1">
      <alignment horizontal="center"/>
      <protection locked="0"/>
    </xf>
    <xf numFmtId="0" fontId="48" fillId="0" borderId="26" xfId="295" applyNumberFormat="1" applyFont="1" applyFill="1" applyBorder="1" applyAlignment="1" applyProtection="1">
      <alignment horizontal="center"/>
      <protection locked="0"/>
    </xf>
    <xf numFmtId="0" fontId="48" fillId="0" borderId="23" xfId="295" applyNumberFormat="1" applyFont="1" applyFill="1" applyBorder="1" applyAlignment="1" applyProtection="1">
      <alignment horizontal="center"/>
      <protection locked="0"/>
    </xf>
    <xf numFmtId="0" fontId="2" fillId="0" borderId="125" xfId="1" applyBorder="1"/>
    <xf numFmtId="239" fontId="48" fillId="0" borderId="22" xfId="1" applyNumberFormat="1" applyFont="1" applyBorder="1" applyAlignment="1">
      <alignment horizontal="left"/>
    </xf>
    <xf numFmtId="0" fontId="2" fillId="0" borderId="103" xfId="1" applyBorder="1"/>
    <xf numFmtId="0" fontId="30" fillId="0" borderId="26" xfId="1" applyFont="1" applyBorder="1" applyProtection="1">
      <protection locked="0"/>
    </xf>
    <xf numFmtId="0" fontId="2" fillId="0" borderId="26" xfId="1" applyBorder="1"/>
    <xf numFmtId="0" fontId="14" fillId="0" borderId="27" xfId="1" applyFont="1" applyFill="1" applyBorder="1" applyAlignment="1">
      <alignment horizontal="center"/>
    </xf>
    <xf numFmtId="0" fontId="14" fillId="0" borderId="14" xfId="1" applyFont="1" applyFill="1" applyBorder="1" applyAlignment="1">
      <alignment horizontal="center"/>
    </xf>
    <xf numFmtId="0" fontId="30" fillId="0" borderId="133" xfId="1" applyFont="1" applyBorder="1"/>
    <xf numFmtId="0" fontId="30" fillId="0" borderId="103" xfId="1" applyFont="1" applyBorder="1"/>
    <xf numFmtId="0" fontId="2" fillId="0" borderId="134" xfId="1" applyBorder="1"/>
    <xf numFmtId="0" fontId="30" fillId="0" borderId="0" xfId="1" applyFont="1" applyBorder="1" applyAlignment="1">
      <alignment horizontal="left" indent="1"/>
    </xf>
    <xf numFmtId="0" fontId="30" fillId="0" borderId="48" xfId="1" applyFont="1" applyBorder="1" applyAlignment="1">
      <alignment horizontal="left" indent="1"/>
    </xf>
    <xf numFmtId="0" fontId="30" fillId="0" borderId="103" xfId="1" applyFont="1" applyBorder="1" applyAlignment="1">
      <alignment horizontal="left" indent="1"/>
    </xf>
    <xf numFmtId="0" fontId="30" fillId="0" borderId="135" xfId="1" applyFont="1" applyBorder="1" applyAlignment="1">
      <alignment horizontal="left" indent="1"/>
    </xf>
    <xf numFmtId="0" fontId="48" fillId="9" borderId="11" xfId="1" applyFont="1" applyFill="1" applyBorder="1" applyAlignment="1" applyProtection="1">
      <alignment horizontal="center"/>
      <protection locked="0"/>
    </xf>
    <xf numFmtId="0" fontId="48" fillId="43" borderId="128" xfId="1" applyFont="1" applyFill="1" applyBorder="1" applyAlignment="1">
      <alignment horizontal="right"/>
    </xf>
    <xf numFmtId="3" fontId="48" fillId="0" borderId="50" xfId="2" applyNumberFormat="1" applyFont="1" applyFill="1" applyBorder="1" applyAlignment="1" applyProtection="1">
      <alignment horizontal="center"/>
      <protection locked="0"/>
    </xf>
    <xf numFmtId="0" fontId="2" fillId="0" borderId="108" xfId="1" applyBorder="1"/>
    <xf numFmtId="0" fontId="2" fillId="0" borderId="44" xfId="1" applyBorder="1"/>
    <xf numFmtId="0" fontId="123" fillId="0" borderId="0" xfId="1" applyFont="1" applyBorder="1" applyAlignment="1">
      <alignment horizontal="right"/>
    </xf>
    <xf numFmtId="0" fontId="30" fillId="0" borderId="129" xfId="1" applyFont="1" applyBorder="1"/>
    <xf numFmtId="0" fontId="30" fillId="0" borderId="75" xfId="1" applyFont="1" applyBorder="1"/>
    <xf numFmtId="0" fontId="2" fillId="0" borderId="0" xfId="1"/>
    <xf numFmtId="0" fontId="2" fillId="0" borderId="0" xfId="1" applyAlignment="1">
      <alignment horizontal="center"/>
    </xf>
    <xf numFmtId="0" fontId="2" fillId="0" borderId="126" xfId="1" applyFont="1" applyBorder="1"/>
    <xf numFmtId="196" fontId="2" fillId="0" borderId="127" xfId="1" applyNumberFormat="1" applyFont="1" applyBorder="1" applyProtection="1"/>
    <xf numFmtId="0" fontId="2" fillId="0" borderId="60" xfId="1" applyFont="1" applyBorder="1"/>
    <xf numFmtId="196" fontId="2" fillId="0" borderId="60" xfId="1" applyNumberFormat="1" applyFont="1" applyBorder="1" applyProtection="1"/>
    <xf numFmtId="196" fontId="2" fillId="0" borderId="126" xfId="1" applyNumberFormat="1" applyFont="1" applyBorder="1" applyProtection="1"/>
    <xf numFmtId="0" fontId="2" fillId="0" borderId="64" xfId="1" applyFont="1" applyBorder="1"/>
    <xf numFmtId="196" fontId="2" fillId="0" borderId="64" xfId="1" applyNumberFormat="1" applyFont="1" applyBorder="1" applyProtection="1"/>
    <xf numFmtId="0" fontId="30" fillId="0" borderId="129" xfId="1" applyFont="1" applyBorder="1" applyProtection="1">
      <protection locked="0"/>
    </xf>
    <xf numFmtId="0" fontId="30" fillId="0" borderId="75" xfId="1" applyFont="1" applyBorder="1" applyProtection="1">
      <protection locked="0"/>
    </xf>
    <xf numFmtId="0" fontId="2" fillId="0" borderId="119" xfId="1" applyBorder="1"/>
    <xf numFmtId="0" fontId="2" fillId="0" borderId="0" xfId="1"/>
    <xf numFmtId="0" fontId="2" fillId="0" borderId="0" xfId="1" applyBorder="1"/>
    <xf numFmtId="0" fontId="2" fillId="0" borderId="0" xfId="1" applyAlignment="1">
      <alignment horizontal="center"/>
    </xf>
    <xf numFmtId="0" fontId="30" fillId="0" borderId="0" xfId="1" applyFont="1" applyFill="1" applyBorder="1" applyAlignment="1">
      <alignment vertical="center"/>
    </xf>
    <xf numFmtId="0" fontId="30" fillId="0" borderId="0" xfId="1" applyFont="1" applyBorder="1"/>
    <xf numFmtId="193" fontId="2" fillId="0" borderId="0" xfId="1" applyNumberFormat="1" applyBorder="1" applyAlignment="1">
      <alignment horizontal="center"/>
    </xf>
    <xf numFmtId="0" fontId="2" fillId="0" borderId="0" xfId="1" applyFont="1" applyBorder="1" applyProtection="1"/>
    <xf numFmtId="193" fontId="2" fillId="0" borderId="56" xfId="2" applyNumberFormat="1" applyFont="1" applyFill="1" applyBorder="1" applyAlignment="1" applyProtection="1">
      <alignment horizontal="right"/>
    </xf>
    <xf numFmtId="193" fontId="2" fillId="0" borderId="50" xfId="2" applyNumberFormat="1" applyFont="1" applyFill="1" applyBorder="1" applyAlignment="1" applyProtection="1">
      <alignment horizontal="right"/>
    </xf>
    <xf numFmtId="193" fontId="2" fillId="0" borderId="49" xfId="2" applyNumberFormat="1" applyFont="1" applyFill="1" applyBorder="1" applyAlignment="1" applyProtection="1">
      <alignment horizontal="right"/>
    </xf>
    <xf numFmtId="193" fontId="2" fillId="0" borderId="65" xfId="2" applyNumberFormat="1" applyFont="1" applyFill="1" applyBorder="1" applyAlignment="1" applyProtection="1">
      <alignment horizontal="right"/>
    </xf>
    <xf numFmtId="193" fontId="2" fillId="0" borderId="63" xfId="2" applyNumberFormat="1" applyFont="1" applyFill="1" applyBorder="1" applyAlignment="1" applyProtection="1">
      <alignment horizontal="right"/>
    </xf>
    <xf numFmtId="0" fontId="2" fillId="0" borderId="29" xfId="1" applyBorder="1"/>
    <xf numFmtId="0" fontId="2" fillId="0" borderId="50" xfId="1" applyBorder="1"/>
    <xf numFmtId="0" fontId="2" fillId="0" borderId="4" xfId="1" applyBorder="1"/>
    <xf numFmtId="193" fontId="2" fillId="0" borderId="50" xfId="1" applyNumberFormat="1" applyBorder="1"/>
    <xf numFmtId="198" fontId="2" fillId="0" borderId="50" xfId="1" applyNumberFormat="1" applyBorder="1"/>
    <xf numFmtId="0" fontId="2" fillId="0" borderId="63" xfId="1" applyBorder="1"/>
    <xf numFmtId="193" fontId="42" fillId="0" borderId="65" xfId="295" applyNumberFormat="1" applyFont="1" applyFill="1" applyBorder="1" applyAlignment="1" applyProtection="1">
      <alignment horizontal="right"/>
    </xf>
    <xf numFmtId="193" fontId="43" fillId="0" borderId="49" xfId="295" applyNumberFormat="1" applyFont="1" applyFill="1" applyBorder="1" applyAlignment="1" applyProtection="1">
      <alignment horizontal="right"/>
    </xf>
    <xf numFmtId="193" fontId="43" fillId="0" borderId="50" xfId="295" applyNumberFormat="1" applyFont="1" applyFill="1" applyBorder="1" applyAlignment="1" applyProtection="1">
      <alignment horizontal="right"/>
    </xf>
    <xf numFmtId="191" fontId="2" fillId="0" borderId="50" xfId="1" applyNumberFormat="1" applyBorder="1" applyAlignment="1">
      <alignment vertical="center"/>
    </xf>
    <xf numFmtId="0" fontId="2" fillId="0" borderId="128" xfId="1" applyBorder="1"/>
    <xf numFmtId="0" fontId="2" fillId="0" borderId="48" xfId="1" applyBorder="1"/>
    <xf numFmtId="0" fontId="2" fillId="0" borderId="130" xfId="1" applyBorder="1"/>
    <xf numFmtId="0" fontId="2" fillId="0" borderId="75" xfId="1" applyFont="1" applyBorder="1" applyAlignment="1">
      <alignment horizontal="left" indent="1"/>
    </xf>
    <xf numFmtId="0" fontId="2" fillId="0" borderId="0" xfId="1" applyFont="1" applyBorder="1" applyAlignment="1">
      <alignment horizontal="left" indent="1"/>
    </xf>
    <xf numFmtId="0" fontId="30" fillId="0" borderId="75" xfId="1" applyFont="1" applyBorder="1" applyAlignment="1">
      <alignment horizontal="left" indent="1"/>
    </xf>
    <xf numFmtId="0" fontId="8" fillId="0" borderId="27" xfId="1" applyFont="1" applyBorder="1"/>
    <xf numFmtId="193" fontId="2" fillId="0" borderId="27" xfId="1" applyNumberFormat="1" applyBorder="1" applyAlignment="1">
      <alignment horizontal="center"/>
    </xf>
    <xf numFmtId="0" fontId="2" fillId="0" borderId="49" xfId="1" applyFont="1" applyFill="1" applyBorder="1" applyAlignment="1">
      <alignment horizontal="center"/>
    </xf>
    <xf numFmtId="2" fontId="2" fillId="0" borderId="49" xfId="1" applyNumberFormat="1" applyFill="1" applyBorder="1" applyAlignment="1" applyProtection="1">
      <alignment horizontal="center"/>
      <protection locked="0"/>
    </xf>
    <xf numFmtId="191" fontId="2" fillId="0" borderId="49" xfId="1" applyNumberFormat="1" applyFill="1" applyBorder="1" applyAlignment="1" applyProtection="1">
      <alignment horizontal="center"/>
      <protection locked="0"/>
    </xf>
    <xf numFmtId="191" fontId="2" fillId="0" borderId="117" xfId="1" applyNumberFormat="1" applyFill="1" applyBorder="1" applyAlignment="1" applyProtection="1">
      <alignment horizontal="center"/>
      <protection locked="0"/>
    </xf>
    <xf numFmtId="0" fontId="2" fillId="0" borderId="50" xfId="1" applyFont="1" applyBorder="1" applyAlignment="1">
      <alignment horizontal="center"/>
    </xf>
    <xf numFmtId="0" fontId="2" fillId="0" borderId="50" xfId="1" quotePrefix="1" applyFont="1" applyFill="1" applyBorder="1" applyAlignment="1" applyProtection="1">
      <alignment horizontal="center"/>
      <protection locked="0"/>
    </xf>
    <xf numFmtId="0" fontId="2" fillId="0" borderId="50" xfId="1" applyFont="1" applyFill="1" applyBorder="1" applyAlignment="1" applyProtection="1">
      <alignment horizontal="center"/>
      <protection locked="0"/>
    </xf>
    <xf numFmtId="0" fontId="45" fillId="0" borderId="50" xfId="1" applyFont="1" applyFill="1" applyBorder="1" applyAlignment="1" applyProtection="1">
      <alignment horizontal="center"/>
      <protection locked="0"/>
    </xf>
    <xf numFmtId="0" fontId="2" fillId="0" borderId="50" xfId="1" applyFill="1" applyBorder="1" applyAlignment="1" applyProtection="1">
      <alignment horizontal="center"/>
      <protection locked="0"/>
    </xf>
    <xf numFmtId="0" fontId="2" fillId="0" borderId="118" xfId="1" applyFont="1" applyFill="1" applyBorder="1" applyAlignment="1" applyProtection="1">
      <alignment horizontal="center"/>
      <protection locked="0"/>
    </xf>
    <xf numFmtId="0" fontId="8" fillId="0" borderId="50" xfId="1" applyFont="1" applyFill="1" applyBorder="1" applyAlignment="1" applyProtection="1">
      <alignment horizontal="center"/>
      <protection locked="0"/>
    </xf>
    <xf numFmtId="0" fontId="2" fillId="0" borderId="50" xfId="1" quotePrefix="1" applyFill="1" applyBorder="1" applyAlignment="1" applyProtection="1">
      <alignment horizontal="center"/>
      <protection locked="0"/>
    </xf>
    <xf numFmtId="0" fontId="2" fillId="0" borderId="131" xfId="1" applyBorder="1" applyAlignment="1">
      <alignment horizontal="center"/>
    </xf>
    <xf numFmtId="0" fontId="2" fillId="0" borderId="131" xfId="1" applyFont="1" applyBorder="1" applyAlignment="1">
      <alignment horizontal="center"/>
    </xf>
    <xf numFmtId="0" fontId="2" fillId="0" borderId="131" xfId="1" quotePrefix="1" applyFont="1" applyFill="1" applyBorder="1" applyAlignment="1">
      <alignment horizontal="center"/>
    </xf>
    <xf numFmtId="0" fontId="2" fillId="0" borderId="131" xfId="1" applyFont="1" applyFill="1" applyBorder="1" applyAlignment="1">
      <alignment horizontal="center"/>
    </xf>
    <xf numFmtId="0" fontId="2" fillId="0" borderId="131" xfId="1" quotePrefix="1" applyFont="1" applyFill="1" applyBorder="1" applyAlignment="1" applyProtection="1">
      <alignment horizontal="center"/>
      <protection locked="0"/>
    </xf>
    <xf numFmtId="0" fontId="2" fillId="0" borderId="131" xfId="1" applyFont="1" applyFill="1" applyBorder="1" applyAlignment="1" applyProtection="1">
      <alignment horizontal="center"/>
      <protection locked="0"/>
    </xf>
    <xf numFmtId="0" fontId="2" fillId="0" borderId="136" xfId="1" applyFont="1" applyFill="1" applyBorder="1" applyAlignment="1" applyProtection="1">
      <alignment horizontal="center"/>
      <protection locked="0"/>
    </xf>
    <xf numFmtId="0" fontId="48" fillId="0" borderId="119" xfId="1" applyFont="1" applyBorder="1"/>
    <xf numFmtId="0" fontId="48" fillId="0" borderId="0" xfId="1" applyFont="1" applyBorder="1" applyAlignment="1">
      <alignment horizontal="center"/>
    </xf>
    <xf numFmtId="0" fontId="48" fillId="0" borderId="119" xfId="1" applyFont="1" applyBorder="1" applyAlignment="1">
      <alignment horizontal="center"/>
    </xf>
    <xf numFmtId="0" fontId="2" fillId="0" borderId="0" xfId="1" quotePrefix="1"/>
    <xf numFmtId="189" fontId="150" fillId="0" borderId="118" xfId="2" applyNumberFormat="1" applyFont="1" applyBorder="1" applyAlignment="1">
      <alignment horizontal="center"/>
    </xf>
    <xf numFmtId="0" fontId="7" fillId="0" borderId="0" xfId="1" applyNumberFormat="1" applyFont="1" applyBorder="1" applyAlignment="1" applyProtection="1">
      <alignment horizontal="center"/>
      <protection locked="0"/>
    </xf>
    <xf numFmtId="0" fontId="2" fillId="0" borderId="0" xfId="1" applyNumberFormat="1" applyFont="1" applyBorder="1" applyProtection="1">
      <protection locked="0"/>
    </xf>
    <xf numFmtId="0" fontId="2" fillId="0" borderId="0" xfId="1" applyFont="1"/>
    <xf numFmtId="0" fontId="2" fillId="0" borderId="0" xfId="1" applyNumberFormat="1" applyFont="1" applyProtection="1">
      <protection locked="0"/>
    </xf>
    <xf numFmtId="0" fontId="2" fillId="0" borderId="0" xfId="1" applyFont="1" applyBorder="1" applyAlignment="1">
      <alignment horizontal="center"/>
    </xf>
    <xf numFmtId="0" fontId="2" fillId="0" borderId="0" xfId="1" applyFont="1" applyBorder="1" applyAlignment="1">
      <alignment horizontal="left"/>
    </xf>
    <xf numFmtId="0" fontId="7" fillId="0" borderId="0" xfId="1" applyNumberFormat="1" applyFont="1" applyFill="1" applyBorder="1" applyAlignment="1" applyProtection="1">
      <alignment horizontal="center"/>
      <protection locked="0"/>
    </xf>
    <xf numFmtId="0" fontId="7" fillId="0" borderId="0" xfId="1" quotePrefix="1" applyNumberFormat="1" applyFont="1" applyBorder="1" applyAlignment="1" applyProtection="1">
      <alignment horizontal="center"/>
      <protection locked="0"/>
    </xf>
    <xf numFmtId="0" fontId="7" fillId="0" borderId="0" xfId="1" applyNumberFormat="1" applyFont="1" applyBorder="1" applyAlignment="1" applyProtection="1">
      <alignment horizontal="right"/>
      <protection locked="0"/>
    </xf>
    <xf numFmtId="0" fontId="7" fillId="0" borderId="0" xfId="1" applyNumberFormat="1" applyFont="1" applyBorder="1" applyAlignment="1" applyProtection="1">
      <alignment horizontal="right" vertical="center"/>
      <protection locked="0"/>
    </xf>
    <xf numFmtId="0" fontId="48" fillId="0" borderId="119" xfId="1" applyFont="1" applyBorder="1" applyAlignment="1">
      <alignment horizontal="center" vertical="center"/>
    </xf>
    <xf numFmtId="0" fontId="2" fillId="0" borderId="118" xfId="1" quotePrefix="1" applyFill="1" applyBorder="1" applyAlignment="1" applyProtection="1">
      <alignment horizontal="center"/>
      <protection locked="0"/>
    </xf>
    <xf numFmtId="195" fontId="48" fillId="10" borderId="117" xfId="2" applyNumberFormat="1" applyFont="1" applyFill="1" applyBorder="1" applyAlignment="1" applyProtection="1">
      <alignment horizontal="center"/>
      <protection locked="0"/>
    </xf>
    <xf numFmtId="0" fontId="48" fillId="10" borderId="119" xfId="295" applyNumberFormat="1" applyFont="1" applyFill="1" applyBorder="1" applyAlignment="1" applyProtection="1">
      <alignment horizontal="center"/>
      <protection locked="0"/>
    </xf>
    <xf numFmtId="190" fontId="48" fillId="10" borderId="118" xfId="295" applyNumberFormat="1" applyFont="1" applyFill="1" applyBorder="1" applyAlignment="1" applyProtection="1">
      <alignment horizontal="center"/>
      <protection locked="0"/>
    </xf>
    <xf numFmtId="193" fontId="48" fillId="10" borderId="118" xfId="295" applyNumberFormat="1" applyFont="1" applyFill="1" applyBorder="1" applyAlignment="1" applyProtection="1">
      <alignment horizontal="center"/>
      <protection locked="0"/>
    </xf>
    <xf numFmtId="193" fontId="2" fillId="0" borderId="57" xfId="2" applyNumberFormat="1" applyFont="1" applyFill="1" applyBorder="1" applyAlignment="1" applyProtection="1">
      <alignment horizontal="right"/>
    </xf>
    <xf numFmtId="193" fontId="2" fillId="0" borderId="137" xfId="2" applyNumberFormat="1" applyFont="1" applyFill="1" applyBorder="1" applyAlignment="1" applyProtection="1">
      <alignment horizontal="right"/>
    </xf>
    <xf numFmtId="193" fontId="2" fillId="0" borderId="138" xfId="2" applyNumberFormat="1" applyFont="1" applyFill="1" applyBorder="1" applyAlignment="1" applyProtection="1">
      <alignment horizontal="right"/>
    </xf>
    <xf numFmtId="193" fontId="2" fillId="0" borderId="139" xfId="2" applyNumberFormat="1" applyFont="1" applyFill="1" applyBorder="1" applyAlignment="1" applyProtection="1">
      <alignment horizontal="right"/>
    </xf>
    <xf numFmtId="193" fontId="2" fillId="0" borderId="140" xfId="2" applyNumberFormat="1" applyFont="1" applyFill="1" applyBorder="1" applyAlignment="1" applyProtection="1">
      <alignment horizontal="right"/>
    </xf>
    <xf numFmtId="193" fontId="43" fillId="0" borderId="138" xfId="295" applyNumberFormat="1" applyFont="1" applyFill="1" applyBorder="1" applyAlignment="1" applyProtection="1">
      <alignment horizontal="right"/>
    </xf>
    <xf numFmtId="193" fontId="43" fillId="0" borderId="137" xfId="295" applyNumberFormat="1" applyFont="1" applyFill="1" applyBorder="1" applyAlignment="1" applyProtection="1">
      <alignment horizontal="right"/>
    </xf>
    <xf numFmtId="193" fontId="42" fillId="0" borderId="139" xfId="295" applyNumberFormat="1" applyFont="1" applyFill="1" applyBorder="1" applyAlignment="1" applyProtection="1">
      <alignment horizontal="right"/>
    </xf>
    <xf numFmtId="193" fontId="43" fillId="0" borderId="142" xfId="295" applyNumberFormat="1" applyFont="1" applyFill="1" applyBorder="1" applyAlignment="1" applyProtection="1">
      <alignment horizontal="right"/>
    </xf>
    <xf numFmtId="0" fontId="30" fillId="10" borderId="57" xfId="295" applyNumberFormat="1" applyFont="1" applyFill="1" applyBorder="1" applyAlignment="1" applyProtection="1">
      <protection locked="0"/>
    </xf>
    <xf numFmtId="0" fontId="30" fillId="10" borderId="137" xfId="295" applyNumberFormat="1" applyFont="1" applyFill="1" applyBorder="1" applyAlignment="1" applyProtection="1">
      <protection locked="0"/>
    </xf>
    <xf numFmtId="190" fontId="30" fillId="10" borderId="137" xfId="295" applyNumberFormat="1" applyFont="1" applyFill="1" applyBorder="1" applyAlignment="1" applyProtection="1">
      <protection locked="0"/>
    </xf>
    <xf numFmtId="0" fontId="2" fillId="0" borderId="137" xfId="1" applyBorder="1"/>
    <xf numFmtId="193" fontId="2" fillId="0" borderId="137" xfId="1" applyNumberFormat="1" applyBorder="1"/>
    <xf numFmtId="191" fontId="2" fillId="0" borderId="137" xfId="1" applyNumberFormat="1" applyBorder="1" applyAlignment="1">
      <alignment vertical="center"/>
    </xf>
    <xf numFmtId="0" fontId="2" fillId="0" borderId="140" xfId="1" applyBorder="1"/>
    <xf numFmtId="0" fontId="2" fillId="0" borderId="137" xfId="1" applyBorder="1" applyAlignment="1">
      <alignment horizontal="center" vertical="center" shrinkToFit="1"/>
    </xf>
    <xf numFmtId="0" fontId="2" fillId="0" borderId="138" xfId="1" applyBorder="1"/>
    <xf numFmtId="0" fontId="2" fillId="0" borderId="137" xfId="1" applyBorder="1" applyAlignment="1">
      <alignment horizontal="center" shrinkToFit="1"/>
    </xf>
    <xf numFmtId="0" fontId="2" fillId="0" borderId="141" xfId="1" applyBorder="1"/>
    <xf numFmtId="193" fontId="2" fillId="0" borderId="138" xfId="1" applyNumberFormat="1" applyBorder="1"/>
    <xf numFmtId="191" fontId="2" fillId="0" borderId="57" xfId="1" applyNumberFormat="1" applyBorder="1"/>
    <xf numFmtId="0" fontId="2" fillId="0" borderId="137" xfId="1" applyBorder="1" applyAlignment="1">
      <alignment horizontal="right"/>
    </xf>
    <xf numFmtId="0" fontId="2" fillId="0" borderId="75" xfId="1" applyFont="1" applyFill="1" applyBorder="1" applyProtection="1"/>
    <xf numFmtId="0" fontId="2" fillId="0" borderId="75" xfId="1" applyFill="1" applyBorder="1" applyProtection="1"/>
    <xf numFmtId="0" fontId="2" fillId="0" borderId="129" xfId="1" applyFont="1" applyBorder="1" applyProtection="1"/>
    <xf numFmtId="0" fontId="2" fillId="0" borderId="48" xfId="1" applyBorder="1" applyAlignment="1">
      <alignment vertical="center"/>
    </xf>
    <xf numFmtId="0" fontId="2" fillId="0" borderId="44" xfId="1" applyFill="1" applyBorder="1"/>
    <xf numFmtId="0" fontId="48" fillId="10" borderId="0" xfId="295" applyNumberFormat="1" applyFont="1" applyFill="1" applyBorder="1" applyAlignment="1" applyProtection="1">
      <alignment horizontal="center"/>
      <protection locked="0"/>
    </xf>
    <xf numFmtId="191" fontId="48" fillId="0" borderId="50" xfId="1" applyNumberFormat="1" applyFont="1" applyBorder="1" applyAlignment="1">
      <alignment horizontal="center" vertical="center"/>
    </xf>
    <xf numFmtId="195" fontId="48" fillId="10" borderId="98" xfId="2" applyNumberFormat="1" applyFont="1" applyFill="1" applyBorder="1" applyAlignment="1" applyProtection="1">
      <alignment horizontal="center"/>
      <protection locked="0"/>
    </xf>
    <xf numFmtId="189" fontId="150" fillId="0" borderId="77" xfId="2" applyNumberFormat="1" applyFont="1" applyBorder="1" applyAlignment="1">
      <alignment horizontal="center"/>
    </xf>
    <xf numFmtId="200" fontId="2" fillId="0" borderId="137" xfId="1" applyNumberFormat="1" applyBorder="1" applyAlignment="1"/>
    <xf numFmtId="199" fontId="2" fillId="0" borderId="137" xfId="1" applyNumberFormat="1" applyFont="1" applyBorder="1" applyAlignment="1"/>
    <xf numFmtId="0" fontId="48" fillId="0" borderId="0" xfId="1" applyFont="1" applyBorder="1" applyAlignment="1">
      <alignment horizontal="center" vertical="center"/>
    </xf>
    <xf numFmtId="0" fontId="2" fillId="10" borderId="50" xfId="295" applyNumberFormat="1" applyFont="1" applyFill="1" applyBorder="1" applyAlignment="1" applyProtection="1">
      <alignment horizontal="right"/>
      <protection locked="0"/>
    </xf>
    <xf numFmtId="0" fontId="2" fillId="10" borderId="118" xfId="295" applyNumberFormat="1" applyFont="1" applyFill="1" applyBorder="1" applyAlignment="1" applyProtection="1">
      <alignment horizontal="right"/>
      <protection locked="0"/>
    </xf>
    <xf numFmtId="0" fontId="2" fillId="10" borderId="49" xfId="295" applyNumberFormat="1" applyFont="1" applyFill="1" applyBorder="1" applyAlignment="1" applyProtection="1">
      <alignment horizontal="right"/>
      <protection locked="0"/>
    </xf>
    <xf numFmtId="0" fontId="2" fillId="10" borderId="98" xfId="295" applyNumberFormat="1" applyFont="1" applyFill="1" applyBorder="1" applyAlignment="1" applyProtection="1">
      <alignment horizontal="right"/>
      <protection locked="0"/>
    </xf>
    <xf numFmtId="0" fontId="2" fillId="10" borderId="117" xfId="295" applyNumberFormat="1" applyFont="1" applyFill="1" applyBorder="1" applyAlignment="1" applyProtection="1">
      <alignment horizontal="right"/>
      <protection locked="0"/>
    </xf>
    <xf numFmtId="0" fontId="2" fillId="10" borderId="65" xfId="295" applyNumberFormat="1" applyFont="1" applyFill="1" applyBorder="1" applyAlignment="1" applyProtection="1">
      <alignment horizontal="right"/>
      <protection locked="0"/>
    </xf>
    <xf numFmtId="0" fontId="2" fillId="10" borderId="35" xfId="295" applyNumberFormat="1" applyFont="1" applyFill="1" applyBorder="1" applyAlignment="1" applyProtection="1">
      <alignment horizontal="right"/>
      <protection locked="0"/>
    </xf>
    <xf numFmtId="0" fontId="2" fillId="10" borderId="124" xfId="295" applyNumberFormat="1" applyFont="1" applyFill="1" applyBorder="1" applyAlignment="1" applyProtection="1">
      <alignment horizontal="right"/>
      <protection locked="0"/>
    </xf>
    <xf numFmtId="0" fontId="2" fillId="10" borderId="77" xfId="295" applyNumberFormat="1" applyFont="1" applyFill="1" applyBorder="1" applyAlignment="1" applyProtection="1">
      <alignment horizontal="right"/>
      <protection locked="0"/>
    </xf>
    <xf numFmtId="0" fontId="2" fillId="10" borderId="6" xfId="295" applyNumberFormat="1" applyFont="1" applyFill="1" applyBorder="1" applyAlignment="1" applyProtection="1">
      <alignment horizontal="right"/>
      <protection locked="0"/>
    </xf>
    <xf numFmtId="0" fontId="2" fillId="10" borderId="36" xfId="295" applyNumberFormat="1" applyFont="1" applyFill="1" applyBorder="1" applyAlignment="1" applyProtection="1">
      <alignment horizontal="right"/>
      <protection locked="0"/>
    </xf>
    <xf numFmtId="0" fontId="2" fillId="10" borderId="15" xfId="295" applyNumberFormat="1" applyFont="1" applyFill="1" applyBorder="1" applyAlignment="1" applyProtection="1">
      <alignment horizontal="right"/>
      <protection locked="0"/>
    </xf>
    <xf numFmtId="0" fontId="2" fillId="10" borderId="131" xfId="295" applyNumberFormat="1" applyFont="1" applyFill="1" applyBorder="1" applyAlignment="1" applyProtection="1">
      <alignment horizontal="right"/>
      <protection locked="0"/>
    </xf>
    <xf numFmtId="0" fontId="2" fillId="10" borderId="132" xfId="295" applyNumberFormat="1" applyFont="1" applyFill="1" applyBorder="1" applyAlignment="1" applyProtection="1">
      <alignment horizontal="right"/>
      <protection locked="0"/>
    </xf>
    <xf numFmtId="0" fontId="2" fillId="10" borderId="136" xfId="295" applyNumberFormat="1" applyFont="1" applyFill="1" applyBorder="1" applyAlignment="1" applyProtection="1">
      <alignment horizontal="right"/>
      <protection locked="0"/>
    </xf>
    <xf numFmtId="0" fontId="2" fillId="10" borderId="49" xfId="2" applyNumberFormat="1" applyFont="1" applyFill="1" applyBorder="1" applyAlignment="1" applyProtection="1">
      <alignment horizontal="right"/>
      <protection locked="0"/>
    </xf>
    <xf numFmtId="0" fontId="2" fillId="0" borderId="77" xfId="1" applyFont="1" applyFill="1" applyBorder="1" applyProtection="1"/>
    <xf numFmtId="0" fontId="2" fillId="0" borderId="98" xfId="1" applyFont="1" applyFill="1" applyBorder="1" applyProtection="1"/>
    <xf numFmtId="0" fontId="2" fillId="0" borderId="128" xfId="1" applyFont="1" applyFill="1" applyBorder="1" applyProtection="1"/>
    <xf numFmtId="0" fontId="2" fillId="0" borderId="129" xfId="1" applyFont="1" applyFill="1" applyBorder="1" applyProtection="1"/>
    <xf numFmtId="0" fontId="2" fillId="0" borderId="28" xfId="1" applyFont="1" applyFill="1" applyBorder="1" applyAlignment="1">
      <alignment vertical="center"/>
    </xf>
    <xf numFmtId="0" fontId="2" fillId="0" borderId="29" xfId="1" applyFont="1" applyFill="1" applyBorder="1" applyAlignment="1">
      <alignment vertical="center"/>
    </xf>
    <xf numFmtId="197" fontId="2" fillId="0" borderId="56" xfId="1" applyNumberFormat="1" applyBorder="1" applyAlignment="1"/>
    <xf numFmtId="197" fontId="2" fillId="0" borderId="57" xfId="1" applyNumberFormat="1" applyBorder="1" applyAlignment="1"/>
    <xf numFmtId="194" fontId="2" fillId="0" borderId="31" xfId="1" applyNumberFormat="1" applyBorder="1" applyAlignment="1"/>
    <xf numFmtId="194" fontId="2" fillId="0" borderId="57" xfId="1" applyNumberFormat="1" applyBorder="1" applyAlignment="1"/>
    <xf numFmtId="190" fontId="48" fillId="0" borderId="50" xfId="1" applyNumberFormat="1" applyFont="1" applyBorder="1" applyAlignment="1">
      <alignment horizontal="center" vertical="center"/>
    </xf>
    <xf numFmtId="0" fontId="2" fillId="0" borderId="44" xfId="1" applyFont="1" applyBorder="1" applyAlignment="1">
      <alignment horizontal="left" indent="1"/>
    </xf>
    <xf numFmtId="0" fontId="2" fillId="0" borderId="139" xfId="1" applyBorder="1"/>
    <xf numFmtId="0" fontId="48" fillId="0" borderId="75" xfId="1" quotePrefix="1" applyNumberFormat="1" applyFont="1" applyBorder="1" applyAlignment="1">
      <alignment horizontal="right" vertical="center"/>
    </xf>
    <xf numFmtId="190" fontId="48" fillId="10" borderId="77" xfId="2" applyNumberFormat="1" applyFont="1" applyFill="1" applyBorder="1" applyAlignment="1" applyProtection="1">
      <alignment horizontal="center" shrinkToFit="1"/>
      <protection locked="0"/>
    </xf>
    <xf numFmtId="190" fontId="48" fillId="10" borderId="50" xfId="2" applyNumberFormat="1" applyFont="1" applyFill="1" applyBorder="1" applyAlignment="1" applyProtection="1">
      <alignment horizontal="center" shrinkToFit="1"/>
      <protection locked="0"/>
    </xf>
    <xf numFmtId="193" fontId="48" fillId="10" borderId="77" xfId="2" applyNumberFormat="1" applyFont="1" applyFill="1" applyBorder="1" applyAlignment="1" applyProtection="1">
      <alignment horizontal="center" shrinkToFit="1"/>
      <protection locked="0"/>
    </xf>
    <xf numFmtId="193" fontId="48" fillId="10" borderId="50" xfId="2" applyNumberFormat="1" applyFont="1" applyFill="1" applyBorder="1" applyAlignment="1" applyProtection="1">
      <alignment horizontal="center" shrinkToFit="1"/>
      <protection locked="0"/>
    </xf>
    <xf numFmtId="240" fontId="48" fillId="0" borderId="50" xfId="1" applyNumberFormat="1" applyFont="1" applyBorder="1" applyAlignment="1">
      <alignment horizontal="center"/>
    </xf>
    <xf numFmtId="240" fontId="48" fillId="0" borderId="49" xfId="1" applyNumberFormat="1" applyFont="1" applyBorder="1" applyAlignment="1">
      <alignment horizontal="center"/>
    </xf>
    <xf numFmtId="201" fontId="43" fillId="0" borderId="55" xfId="295" applyNumberFormat="1" applyFont="1" applyFill="1" applyBorder="1" applyAlignment="1" applyProtection="1">
      <alignment horizontal="right"/>
    </xf>
    <xf numFmtId="0" fontId="2" fillId="10" borderId="49" xfId="2" applyNumberFormat="1" applyFont="1" applyFill="1" applyBorder="1" applyAlignment="1" applyProtection="1">
      <alignment horizontal="center"/>
      <protection locked="0"/>
    </xf>
    <xf numFmtId="0" fontId="2" fillId="10" borderId="98" xfId="2" applyNumberFormat="1" applyFont="1" applyFill="1" applyBorder="1" applyAlignment="1" applyProtection="1">
      <alignment horizontal="center"/>
      <protection locked="0"/>
    </xf>
    <xf numFmtId="0" fontId="2" fillId="10" borderId="117" xfId="2" applyNumberFormat="1" applyFont="1" applyFill="1" applyBorder="1" applyAlignment="1" applyProtection="1">
      <alignment horizontal="center"/>
      <protection locked="0"/>
    </xf>
    <xf numFmtId="0" fontId="2" fillId="10" borderId="98" xfId="2" applyNumberFormat="1" applyFont="1" applyFill="1" applyBorder="1" applyAlignment="1" applyProtection="1">
      <alignment horizontal="right"/>
      <protection locked="0"/>
    </xf>
    <xf numFmtId="0" fontId="2" fillId="10" borderId="117" xfId="2" applyNumberFormat="1" applyFont="1" applyFill="1" applyBorder="1" applyAlignment="1" applyProtection="1">
      <alignment horizontal="right"/>
      <protection locked="0"/>
    </xf>
    <xf numFmtId="201" fontId="30" fillId="0" borderId="0" xfId="295" applyNumberFormat="1" applyFont="1" applyFill="1" applyBorder="1" applyAlignment="1" applyProtection="1">
      <alignment horizontal="right"/>
      <protection locked="0"/>
    </xf>
    <xf numFmtId="3" fontId="7" fillId="0" borderId="50" xfId="2" applyNumberFormat="1" applyFont="1" applyBorder="1" applyAlignment="1">
      <alignment horizontal="center" shrinkToFit="1"/>
    </xf>
    <xf numFmtId="3" fontId="7" fillId="0" borderId="77" xfId="2" applyNumberFormat="1" applyFont="1" applyBorder="1" applyAlignment="1">
      <alignment horizontal="center" shrinkToFit="1"/>
    </xf>
    <xf numFmtId="3" fontId="7" fillId="0" borderId="118" xfId="2" applyNumberFormat="1" applyFont="1" applyBorder="1" applyAlignment="1">
      <alignment horizontal="center" shrinkToFit="1"/>
    </xf>
    <xf numFmtId="239" fontId="48" fillId="0" borderId="13" xfId="1" applyNumberFormat="1" applyFont="1" applyBorder="1" applyAlignment="1">
      <alignment horizontal="left"/>
    </xf>
    <xf numFmtId="0" fontId="123" fillId="0" borderId="27" xfId="1" applyNumberFormat="1" applyFont="1" applyBorder="1" applyAlignment="1">
      <alignment horizontal="right" vertical="center"/>
    </xf>
    <xf numFmtId="0" fontId="48" fillId="0" borderId="107" xfId="1" applyFont="1" applyBorder="1" applyAlignment="1">
      <alignment horizontal="right"/>
    </xf>
    <xf numFmtId="191" fontId="149" fillId="10" borderId="69" xfId="295" applyNumberFormat="1" applyFont="1" applyFill="1" applyBorder="1" applyAlignment="1" applyProtection="1">
      <alignment horizontal="center"/>
      <protection locked="0"/>
    </xf>
    <xf numFmtId="191" fontId="149" fillId="10" borderId="69" xfId="2" applyNumberFormat="1" applyFont="1" applyFill="1" applyBorder="1" applyAlignment="1" applyProtection="1">
      <alignment horizontal="center" shrinkToFit="1"/>
      <protection locked="0"/>
    </xf>
    <xf numFmtId="241" fontId="7" fillId="0" borderId="50" xfId="294" applyNumberFormat="1" applyFont="1" applyBorder="1" applyAlignment="1" applyProtection="1">
      <alignment horizontal="center"/>
    </xf>
    <xf numFmtId="190" fontId="7" fillId="0" borderId="50" xfId="294" applyNumberFormat="1" applyFont="1" applyBorder="1" applyAlignment="1" applyProtection="1">
      <alignment horizontal="center"/>
    </xf>
    <xf numFmtId="195" fontId="7" fillId="0" borderId="50" xfId="294" applyNumberFormat="1" applyFont="1" applyBorder="1" applyAlignment="1" applyProtection="1">
      <alignment horizontal="center"/>
    </xf>
    <xf numFmtId="0" fontId="123" fillId="0" borderId="27" xfId="1" quotePrefix="1" applyNumberFormat="1" applyFont="1" applyBorder="1" applyAlignment="1">
      <alignment horizontal="right" vertical="center"/>
    </xf>
    <xf numFmtId="4" fontId="7" fillId="0" borderId="69" xfId="294" quotePrefix="1" applyNumberFormat="1" applyFont="1" applyBorder="1" applyAlignment="1" applyProtection="1">
      <alignment horizontal="center"/>
    </xf>
    <xf numFmtId="3" fontId="48" fillId="0" borderId="118" xfId="2" applyNumberFormat="1" applyFont="1" applyFill="1" applyBorder="1" applyAlignment="1" applyProtection="1">
      <alignment horizontal="center"/>
      <protection locked="0"/>
    </xf>
    <xf numFmtId="190" fontId="149" fillId="10" borderId="144" xfId="2" applyNumberFormat="1" applyFont="1" applyFill="1" applyBorder="1" applyAlignment="1" applyProtection="1">
      <alignment horizontal="center" shrinkToFit="1"/>
      <protection locked="0"/>
    </xf>
    <xf numFmtId="4" fontId="7" fillId="0" borderId="144" xfId="294" quotePrefix="1" applyNumberFormat="1" applyFont="1" applyBorder="1" applyAlignment="1" applyProtection="1">
      <alignment horizontal="center"/>
    </xf>
    <xf numFmtId="4" fontId="7" fillId="0" borderId="118" xfId="294" applyNumberFormat="1" applyFont="1" applyBorder="1" applyAlignment="1" applyProtection="1">
      <alignment horizontal="center"/>
    </xf>
    <xf numFmtId="0" fontId="7" fillId="0" borderId="118" xfId="294" applyNumberFormat="1" applyFont="1" applyBorder="1" applyAlignment="1" applyProtection="1">
      <alignment horizontal="center"/>
    </xf>
    <xf numFmtId="194" fontId="48" fillId="0" borderId="118" xfId="1" applyNumberFormat="1" applyFont="1" applyBorder="1" applyAlignment="1">
      <alignment horizontal="center"/>
    </xf>
    <xf numFmtId="240" fontId="48" fillId="0" borderId="117" xfId="1" applyNumberFormat="1" applyFont="1" applyBorder="1" applyAlignment="1">
      <alignment horizontal="center"/>
    </xf>
    <xf numFmtId="193" fontId="48" fillId="0" borderId="118" xfId="1" applyNumberFormat="1" applyFont="1" applyBorder="1" applyAlignment="1">
      <alignment horizontal="center"/>
    </xf>
    <xf numFmtId="240" fontId="48" fillId="0" borderId="118" xfId="1" applyNumberFormat="1" applyFont="1" applyBorder="1" applyAlignment="1">
      <alignment horizontal="center"/>
    </xf>
    <xf numFmtId="241" fontId="7" fillId="0" borderId="118" xfId="294" applyNumberFormat="1" applyFont="1" applyBorder="1" applyAlignment="1" applyProtection="1">
      <alignment horizontal="center"/>
    </xf>
    <xf numFmtId="0" fontId="48" fillId="0" borderId="118" xfId="1" applyNumberFormat="1" applyFont="1" applyBorder="1" applyAlignment="1">
      <alignment horizontal="center" vertical="center"/>
    </xf>
    <xf numFmtId="190" fontId="48" fillId="10" borderId="118" xfId="2" applyNumberFormat="1" applyFont="1" applyFill="1" applyBorder="1" applyAlignment="1" applyProtection="1">
      <alignment horizontal="center" shrinkToFit="1"/>
      <protection locked="0"/>
    </xf>
    <xf numFmtId="190" fontId="48" fillId="10" borderId="98" xfId="2" applyNumberFormat="1" applyFont="1" applyFill="1" applyBorder="1" applyAlignment="1" applyProtection="1">
      <alignment horizontal="center" shrinkToFit="1"/>
      <protection locked="0"/>
    </xf>
    <xf numFmtId="190" fontId="48" fillId="10" borderId="49" xfId="2" applyNumberFormat="1" applyFont="1" applyFill="1" applyBorder="1" applyAlignment="1" applyProtection="1">
      <alignment horizontal="center" shrinkToFit="1"/>
      <protection locked="0"/>
    </xf>
    <xf numFmtId="190" fontId="48" fillId="10" borderId="117" xfId="2" applyNumberFormat="1" applyFont="1" applyFill="1" applyBorder="1" applyAlignment="1" applyProtection="1">
      <alignment horizontal="center" shrinkToFit="1"/>
      <protection locked="0"/>
    </xf>
    <xf numFmtId="191" fontId="48" fillId="10" borderId="50" xfId="2" applyNumberFormat="1" applyFont="1" applyFill="1" applyBorder="1" applyAlignment="1" applyProtection="1">
      <alignment horizontal="center" shrinkToFit="1"/>
      <protection locked="0"/>
    </xf>
    <xf numFmtId="201" fontId="48" fillId="10" borderId="50" xfId="2" applyNumberFormat="1" applyFont="1" applyFill="1" applyBorder="1" applyAlignment="1" applyProtection="1">
      <alignment horizontal="center" shrinkToFit="1"/>
      <protection locked="0"/>
    </xf>
    <xf numFmtId="201" fontId="48" fillId="10" borderId="77" xfId="2" applyNumberFormat="1" applyFont="1" applyFill="1" applyBorder="1" applyAlignment="1" applyProtection="1">
      <alignment horizontal="center" shrinkToFit="1"/>
      <protection locked="0"/>
    </xf>
    <xf numFmtId="239" fontId="48" fillId="0" borderId="133" xfId="1" applyNumberFormat="1" applyFont="1" applyBorder="1" applyAlignment="1">
      <alignment horizontal="left"/>
    </xf>
    <xf numFmtId="0" fontId="123" fillId="0" borderId="103" xfId="1" applyNumberFormat="1" applyFont="1" applyBorder="1" applyAlignment="1">
      <alignment horizontal="right" vertical="center"/>
    </xf>
    <xf numFmtId="0" fontId="48" fillId="0" borderId="135" xfId="1" applyFont="1" applyBorder="1" applyAlignment="1">
      <alignment horizontal="right"/>
    </xf>
    <xf numFmtId="191" fontId="149" fillId="10" borderId="131" xfId="295" applyNumberFormat="1" applyFont="1" applyFill="1" applyBorder="1" applyAlignment="1" applyProtection="1">
      <alignment horizontal="center"/>
      <protection locked="0"/>
    </xf>
    <xf numFmtId="0" fontId="149" fillId="10" borderId="131" xfId="295" applyNumberFormat="1" applyFont="1" applyFill="1" applyBorder="1" applyAlignment="1" applyProtection="1">
      <alignment horizontal="center"/>
      <protection locked="0"/>
    </xf>
    <xf numFmtId="190" fontId="149" fillId="10" borderId="131" xfId="2" applyNumberFormat="1" applyFont="1" applyFill="1" applyBorder="1" applyAlignment="1" applyProtection="1">
      <alignment horizontal="center" shrinkToFit="1"/>
      <protection locked="0"/>
    </xf>
    <xf numFmtId="190" fontId="149" fillId="10" borderId="136" xfId="2" applyNumberFormat="1" applyFont="1" applyFill="1" applyBorder="1" applyAlignment="1" applyProtection="1">
      <alignment horizontal="center" shrinkToFit="1"/>
      <protection locked="0"/>
    </xf>
    <xf numFmtId="241" fontId="149" fillId="10" borderId="69" xfId="295" applyNumberFormat="1" applyFont="1" applyFill="1" applyBorder="1" applyAlignment="1" applyProtection="1">
      <alignment horizontal="center"/>
      <protection locked="0"/>
    </xf>
    <xf numFmtId="0" fontId="48" fillId="10" borderId="50" xfId="295" applyNumberFormat="1" applyFont="1" applyFill="1" applyBorder="1" applyAlignment="1" applyProtection="1">
      <alignment horizontal="center" vertical="center"/>
      <protection locked="0"/>
    </xf>
    <xf numFmtId="193" fontId="48" fillId="0" borderId="50" xfId="1" applyNumberFormat="1" applyFont="1" applyBorder="1" applyAlignment="1">
      <alignment horizontal="center" vertical="center"/>
    </xf>
    <xf numFmtId="0" fontId="35" fillId="0" borderId="145" xfId="1" applyFont="1" applyBorder="1" applyAlignment="1">
      <alignment horizontal="right" vertical="center"/>
    </xf>
    <xf numFmtId="0" fontId="35" fillId="0" borderId="122" xfId="1" applyFont="1" applyBorder="1" applyAlignment="1">
      <alignment horizontal="left" vertical="center"/>
    </xf>
    <xf numFmtId="201" fontId="2" fillId="0" borderId="140" xfId="1" applyNumberFormat="1" applyBorder="1" applyAlignment="1"/>
    <xf numFmtId="0" fontId="2" fillId="0" borderId="56" xfId="1" applyBorder="1"/>
    <xf numFmtId="0" fontId="2" fillId="0" borderId="50" xfId="1" applyBorder="1"/>
    <xf numFmtId="0" fontId="30" fillId="10" borderId="50" xfId="295" applyNumberFormat="1" applyFont="1" applyFill="1" applyBorder="1" applyAlignment="1" applyProtection="1">
      <protection locked="0"/>
    </xf>
    <xf numFmtId="0" fontId="2" fillId="0" borderId="137" xfId="1" applyBorder="1" applyAlignment="1"/>
    <xf numFmtId="194" fontId="2" fillId="0" borderId="143" xfId="1" applyNumberFormat="1" applyBorder="1" applyAlignment="1"/>
    <xf numFmtId="0" fontId="2" fillId="0" borderId="137" xfId="1" applyBorder="1"/>
    <xf numFmtId="193" fontId="2" fillId="0" borderId="137" xfId="1" applyNumberFormat="1" applyBorder="1"/>
    <xf numFmtId="198" fontId="2" fillId="0" borderId="50" xfId="1" applyNumberFormat="1" applyBorder="1"/>
    <xf numFmtId="191" fontId="2" fillId="0" borderId="50" xfId="1" applyNumberFormat="1" applyBorder="1"/>
    <xf numFmtId="191" fontId="2" fillId="0" borderId="137" xfId="1" applyNumberFormat="1" applyBorder="1"/>
    <xf numFmtId="193" fontId="2" fillId="0" borderId="140" xfId="1" applyNumberFormat="1" applyBorder="1"/>
    <xf numFmtId="0" fontId="2" fillId="0" borderId="57" xfId="1" applyBorder="1"/>
    <xf numFmtId="0" fontId="2" fillId="0" borderId="137" xfId="1" applyNumberFormat="1" applyBorder="1"/>
    <xf numFmtId="198" fontId="2" fillId="0" borderId="137" xfId="1" applyNumberFormat="1" applyBorder="1"/>
    <xf numFmtId="190" fontId="30" fillId="10" borderId="50" xfId="295" applyNumberFormat="1" applyFont="1" applyFill="1" applyBorder="1" applyAlignment="1" applyProtection="1">
      <protection locked="0"/>
    </xf>
    <xf numFmtId="0" fontId="123" fillId="0" borderId="128" xfId="1" applyFont="1" applyBorder="1" applyAlignment="1">
      <alignment horizontal="right"/>
    </xf>
    <xf numFmtId="0" fontId="123" fillId="0" borderId="128" xfId="1" applyFont="1" applyBorder="1" applyAlignment="1">
      <alignment horizontal="right" indent="1"/>
    </xf>
    <xf numFmtId="0" fontId="48" fillId="0" borderId="128" xfId="1" applyFont="1" applyBorder="1" applyAlignment="1">
      <alignment horizontal="right"/>
    </xf>
    <xf numFmtId="0" fontId="30" fillId="0" borderId="53" xfId="295" applyNumberFormat="1" applyFont="1" applyFill="1" applyBorder="1" applyAlignment="1" applyProtection="1">
      <alignment horizontal="right"/>
      <protection locked="0"/>
    </xf>
    <xf numFmtId="0" fontId="48" fillId="9" borderId="109" xfId="1" applyFont="1" applyFill="1" applyBorder="1" applyAlignment="1" applyProtection="1">
      <alignment horizontal="center" vertical="center"/>
      <protection locked="0"/>
    </xf>
    <xf numFmtId="0" fontId="2" fillId="0" borderId="0" xfId="1" applyBorder="1"/>
    <xf numFmtId="0" fontId="2" fillId="0" borderId="26" xfId="1" applyFont="1" applyBorder="1" applyAlignment="1">
      <alignment horizontal="left" indent="1"/>
    </xf>
    <xf numFmtId="0" fontId="2" fillId="0" borderId="50" xfId="1" applyBorder="1" applyAlignment="1">
      <alignment horizontal="center"/>
    </xf>
    <xf numFmtId="0" fontId="30" fillId="0" borderId="0" xfId="1" applyFont="1" applyBorder="1"/>
    <xf numFmtId="0" fontId="30" fillId="0" borderId="0" xfId="1" applyFont="1" applyBorder="1" applyProtection="1">
      <protection locked="0"/>
    </xf>
    <xf numFmtId="0" fontId="30" fillId="0" borderId="0" xfId="295" applyNumberFormat="1" applyFont="1" applyFill="1" applyBorder="1" applyAlignment="1" applyProtection="1">
      <alignment horizontal="right"/>
      <protection locked="0"/>
    </xf>
    <xf numFmtId="0" fontId="2" fillId="0" borderId="49" xfId="1" applyBorder="1" applyAlignment="1">
      <alignment horizontal="center"/>
    </xf>
    <xf numFmtId="0" fontId="2" fillId="0" borderId="75" xfId="1" applyBorder="1"/>
    <xf numFmtId="0" fontId="2" fillId="0" borderId="50" xfId="1" quotePrefix="1" applyBorder="1" applyAlignment="1">
      <alignment horizontal="center"/>
    </xf>
    <xf numFmtId="0" fontId="2" fillId="0" borderId="128" xfId="1" applyBorder="1"/>
    <xf numFmtId="0" fontId="2" fillId="0" borderId="48" xfId="1" applyBorder="1"/>
    <xf numFmtId="0" fontId="2" fillId="0" borderId="129" xfId="1" applyBorder="1"/>
    <xf numFmtId="0" fontId="2" fillId="0" borderId="130" xfId="1" applyBorder="1"/>
    <xf numFmtId="0" fontId="48" fillId="0" borderId="28" xfId="50568" applyFont="1" applyBorder="1" applyAlignment="1">
      <alignment horizontal="left" vertical="center"/>
    </xf>
    <xf numFmtId="0" fontId="48" fillId="0" borderId="29" xfId="50568" applyFont="1" applyBorder="1" applyAlignment="1">
      <alignment horizontal="left" vertical="center"/>
    </xf>
    <xf numFmtId="0" fontId="133" fillId="0" borderId="29" xfId="50568" applyFont="1" applyBorder="1" applyAlignment="1">
      <alignment horizontal="center" vertical="center"/>
    </xf>
    <xf numFmtId="0" fontId="133" fillId="0" borderId="33" xfId="50568" applyFont="1" applyBorder="1" applyAlignment="1">
      <alignment horizontal="center" vertical="center"/>
    </xf>
    <xf numFmtId="0" fontId="49" fillId="0" borderId="47" xfId="50568" applyFont="1" applyBorder="1" applyAlignment="1">
      <alignment horizontal="center" vertical="center"/>
    </xf>
    <xf numFmtId="0" fontId="49" fillId="0" borderId="32" xfId="50568" applyFont="1" applyBorder="1" applyAlignment="1">
      <alignment horizontal="center" vertical="center"/>
    </xf>
    <xf numFmtId="0" fontId="49" fillId="0" borderId="46" xfId="50568" applyFont="1" applyBorder="1" applyAlignment="1">
      <alignment horizontal="center" vertical="center"/>
    </xf>
    <xf numFmtId="0" fontId="49" fillId="0" borderId="36" xfId="50568" applyFont="1" applyBorder="1" applyAlignment="1">
      <alignment horizontal="center" vertical="center"/>
    </xf>
    <xf numFmtId="0" fontId="49" fillId="0" borderId="26" xfId="50568" applyFont="1" applyBorder="1" applyAlignment="1">
      <alignment horizontal="center" vertical="center"/>
    </xf>
    <xf numFmtId="0" fontId="49" fillId="0" borderId="42" xfId="50568" applyFont="1" applyBorder="1" applyAlignment="1">
      <alignment horizontal="center" vertical="center"/>
    </xf>
    <xf numFmtId="0" fontId="15" fillId="0" borderId="77" xfId="50568" applyFont="1" applyBorder="1" applyAlignment="1">
      <alignment horizontal="center" vertical="center"/>
    </xf>
    <xf numFmtId="0" fontId="15" fillId="0" borderId="0" xfId="50568" applyFont="1" applyBorder="1" applyAlignment="1">
      <alignment horizontal="center" vertical="center"/>
    </xf>
    <xf numFmtId="0" fontId="134" fillId="0" borderId="36" xfId="50568" applyFont="1" applyBorder="1" applyAlignment="1">
      <alignment horizontal="center" vertical="center"/>
    </xf>
    <xf numFmtId="0" fontId="134" fillId="0" borderId="26" xfId="50568" applyFont="1" applyBorder="1" applyAlignment="1">
      <alignment horizontal="center" vertical="center"/>
    </xf>
    <xf numFmtId="0" fontId="134" fillId="0" borderId="42" xfId="50568" applyFont="1" applyBorder="1" applyAlignment="1">
      <alignment horizontal="center" vertical="center"/>
    </xf>
    <xf numFmtId="0" fontId="134" fillId="0" borderId="55" xfId="50568" applyFont="1" applyBorder="1" applyAlignment="1">
      <alignment horizontal="center" vertical="center"/>
    </xf>
    <xf numFmtId="0" fontId="134" fillId="0" borderId="101" xfId="50568" applyFont="1" applyBorder="1" applyAlignment="1">
      <alignment horizontal="center" vertical="center"/>
    </xf>
    <xf numFmtId="0" fontId="134" fillId="0" borderId="52" xfId="50568" applyFont="1" applyBorder="1" applyAlignment="1">
      <alignment horizontal="center" vertical="center"/>
    </xf>
    <xf numFmtId="0" fontId="15" fillId="0" borderId="98" xfId="50568" applyFont="1" applyBorder="1" applyAlignment="1">
      <alignment horizontal="center" vertical="center"/>
    </xf>
    <xf numFmtId="0" fontId="15" fillId="0" borderId="99" xfId="50568" applyFont="1" applyBorder="1" applyAlignment="1">
      <alignment horizontal="center" vertical="center"/>
    </xf>
    <xf numFmtId="0" fontId="15" fillId="0" borderId="62" xfId="50568" applyFont="1" applyBorder="1" applyAlignment="1">
      <alignment horizontal="center" vertical="center"/>
    </xf>
    <xf numFmtId="0" fontId="15" fillId="0" borderId="53" xfId="50568" applyFont="1" applyBorder="1" applyAlignment="1">
      <alignment horizontal="center" vertical="center"/>
    </xf>
    <xf numFmtId="0" fontId="133" fillId="0" borderId="99" xfId="50568" applyFont="1" applyBorder="1" applyAlignment="1">
      <alignment horizontal="center" vertical="center"/>
    </xf>
    <xf numFmtId="0" fontId="133" fillId="0" borderId="53" xfId="50568" applyFont="1" applyBorder="1" applyAlignment="1">
      <alignment horizontal="center" vertical="center"/>
    </xf>
    <xf numFmtId="0" fontId="48" fillId="0" borderId="39" xfId="50568" applyFont="1" applyBorder="1" applyAlignment="1">
      <alignment horizontal="left" vertical="center"/>
    </xf>
    <xf numFmtId="0" fontId="48" fillId="0" borderId="0" xfId="50568" applyFont="1" applyBorder="1" applyAlignment="1">
      <alignment horizontal="left" vertical="center"/>
    </xf>
    <xf numFmtId="0" fontId="29" fillId="0" borderId="0" xfId="50568" applyFont="1" applyBorder="1" applyAlignment="1">
      <alignment horizontal="center" vertical="center" wrapText="1"/>
    </xf>
    <xf numFmtId="0" fontId="29" fillId="0" borderId="0" xfId="50568" applyFont="1" applyBorder="1" applyAlignment="1">
      <alignment horizontal="center" vertical="center"/>
    </xf>
    <xf numFmtId="0" fontId="133" fillId="0" borderId="0" xfId="50568" applyFont="1" applyBorder="1" applyAlignment="1">
      <alignment horizontal="center" vertical="center"/>
    </xf>
    <xf numFmtId="0" fontId="133" fillId="0" borderId="24" xfId="50568" applyFont="1" applyBorder="1" applyAlignment="1">
      <alignment horizontal="center" vertical="center"/>
    </xf>
    <xf numFmtId="0" fontId="137" fillId="0" borderId="0" xfId="50568" applyFont="1" applyBorder="1" applyAlignment="1">
      <alignment horizontal="center" vertical="center"/>
    </xf>
    <xf numFmtId="0" fontId="48" fillId="0" borderId="105" xfId="50568" applyFont="1" applyBorder="1" applyAlignment="1">
      <alignment horizontal="center" vertical="center"/>
    </xf>
    <xf numFmtId="0" fontId="48" fillId="0" borderId="106" xfId="50568" applyFont="1" applyBorder="1" applyAlignment="1">
      <alignment horizontal="center" vertical="center"/>
    </xf>
    <xf numFmtId="0" fontId="48" fillId="0" borderId="70" xfId="50568" applyFont="1" applyBorder="1" applyAlignment="1">
      <alignment horizontal="center" vertical="center"/>
    </xf>
    <xf numFmtId="0" fontId="48" fillId="0" borderId="27" xfId="50568" applyFont="1" applyBorder="1" applyAlignment="1">
      <alignment horizontal="center" vertical="center"/>
    </xf>
    <xf numFmtId="0" fontId="48" fillId="0" borderId="107" xfId="50568" applyFont="1" applyBorder="1" applyAlignment="1">
      <alignment horizontal="center" vertical="center"/>
    </xf>
    <xf numFmtId="0" fontId="48" fillId="0" borderId="98" xfId="50568" applyFont="1" applyBorder="1" applyAlignment="1">
      <alignment horizontal="center" vertical="center"/>
    </xf>
    <xf numFmtId="0" fontId="48" fillId="0" borderId="99" xfId="50568" applyFont="1" applyBorder="1" applyAlignment="1">
      <alignment horizontal="center" vertical="center"/>
    </xf>
    <xf numFmtId="0" fontId="48" fillId="0" borderId="108" xfId="50568" applyFont="1" applyBorder="1" applyAlignment="1">
      <alignment horizontal="center" vertical="center"/>
    </xf>
    <xf numFmtId="0" fontId="48" fillId="0" borderId="109" xfId="50568" applyFont="1" applyBorder="1" applyAlignment="1">
      <alignment horizontal="center" vertical="center"/>
    </xf>
    <xf numFmtId="0" fontId="48" fillId="0" borderId="110" xfId="50568" applyFont="1" applyBorder="1" applyAlignment="1">
      <alignment horizontal="center" vertical="center"/>
    </xf>
    <xf numFmtId="0" fontId="48" fillId="0" borderId="111" xfId="50568" applyFont="1" applyBorder="1" applyAlignment="1">
      <alignment horizontal="center" vertical="center"/>
    </xf>
    <xf numFmtId="0" fontId="48" fillId="0" borderId="36" xfId="50568" applyFont="1" applyBorder="1" applyAlignment="1">
      <alignment horizontal="center" vertical="center"/>
    </xf>
    <xf numFmtId="0" fontId="48" fillId="0" borderId="26" xfId="50568" applyFont="1" applyBorder="1" applyAlignment="1">
      <alignment horizontal="center" vertical="center"/>
    </xf>
    <xf numFmtId="0" fontId="48" fillId="0" borderId="37" xfId="50568" applyFont="1" applyBorder="1" applyAlignment="1">
      <alignment horizontal="center" vertical="center"/>
    </xf>
    <xf numFmtId="0" fontId="48" fillId="0" borderId="38" xfId="50568" applyFont="1" applyBorder="1" applyAlignment="1">
      <alignment horizontal="center" vertical="center"/>
    </xf>
    <xf numFmtId="0" fontId="48" fillId="0" borderId="42" xfId="50568" applyFont="1" applyBorder="1" applyAlignment="1">
      <alignment horizontal="center" vertical="center"/>
    </xf>
    <xf numFmtId="0" fontId="48" fillId="0" borderId="55" xfId="50568" applyFont="1" applyBorder="1" applyAlignment="1">
      <alignment horizontal="center" vertical="center"/>
    </xf>
    <xf numFmtId="0" fontId="48" fillId="0" borderId="101" xfId="50568" applyFont="1" applyBorder="1" applyAlignment="1">
      <alignment horizontal="center" vertical="center"/>
    </xf>
    <xf numFmtId="0" fontId="48" fillId="0" borderId="112" xfId="50568" applyFont="1" applyBorder="1" applyAlignment="1">
      <alignment horizontal="center" vertical="center"/>
    </xf>
    <xf numFmtId="0" fontId="123" fillId="0" borderId="28" xfId="50568" applyFont="1" applyBorder="1" applyAlignment="1">
      <alignment horizontal="center" vertical="center"/>
    </xf>
    <xf numFmtId="0" fontId="123" fillId="0" borderId="30" xfId="50568" applyFont="1" applyBorder="1" applyAlignment="1">
      <alignment horizontal="center" vertical="center"/>
    </xf>
    <xf numFmtId="0" fontId="123" fillId="0" borderId="43" xfId="50568" applyFont="1" applyBorder="1" applyAlignment="1">
      <alignment horizontal="center" vertical="center"/>
    </xf>
    <xf numFmtId="0" fontId="123" fillId="0" borderId="44" xfId="50568" applyFont="1" applyBorder="1" applyAlignment="1">
      <alignment horizontal="center" vertical="center"/>
    </xf>
    <xf numFmtId="0" fontId="123" fillId="0" borderId="31" xfId="50568" applyFont="1" applyBorder="1" applyAlignment="1">
      <alignment horizontal="center" vertical="center"/>
    </xf>
    <xf numFmtId="0" fontId="123" fillId="0" borderId="29" xfId="50568" applyFont="1" applyBorder="1" applyAlignment="1">
      <alignment horizontal="center" vertical="center"/>
    </xf>
    <xf numFmtId="0" fontId="123" fillId="0" borderId="62" xfId="50568" applyFont="1" applyBorder="1" applyAlignment="1">
      <alignment horizontal="center" vertical="center"/>
    </xf>
    <xf numFmtId="0" fontId="123" fillId="0" borderId="53" xfId="50568" applyFont="1" applyBorder="1" applyAlignment="1">
      <alignment horizontal="center" vertical="center"/>
    </xf>
    <xf numFmtId="0" fontId="123" fillId="0" borderId="33" xfId="50568" applyFont="1" applyBorder="1" applyAlignment="1">
      <alignment horizontal="center" vertical="center"/>
    </xf>
    <xf numFmtId="0" fontId="123" fillId="0" borderId="58" xfId="50568" applyFont="1" applyBorder="1" applyAlignment="1">
      <alignment horizontal="center" vertical="center"/>
    </xf>
    <xf numFmtId="0" fontId="123" fillId="0" borderId="113" xfId="50568" applyFont="1" applyBorder="1" applyAlignment="1">
      <alignment horizontal="center" vertical="center"/>
    </xf>
    <xf numFmtId="0" fontId="123" fillId="0" borderId="114" xfId="50568" applyFont="1" applyBorder="1" applyAlignment="1">
      <alignment horizontal="center" vertical="center"/>
    </xf>
    <xf numFmtId="0" fontId="48" fillId="0" borderId="51" xfId="50568" applyFont="1" applyBorder="1" applyAlignment="1">
      <alignment horizontal="center" vertical="center"/>
    </xf>
    <xf numFmtId="0" fontId="48" fillId="0" borderId="52" xfId="50568" applyFont="1" applyBorder="1" applyAlignment="1">
      <alignment horizontal="center" vertical="center"/>
    </xf>
    <xf numFmtId="0" fontId="48" fillId="0" borderId="62" xfId="50568" applyFont="1" applyBorder="1" applyAlignment="1">
      <alignment horizontal="center" vertical="center"/>
    </xf>
    <xf numFmtId="0" fontId="48" fillId="0" borderId="53" xfId="50568" applyFont="1" applyBorder="1" applyAlignment="1">
      <alignment horizontal="center" vertical="center"/>
    </xf>
    <xf numFmtId="0" fontId="48" fillId="0" borderId="44" xfId="50568" applyFont="1" applyBorder="1" applyAlignment="1">
      <alignment horizontal="center" vertical="center"/>
    </xf>
    <xf numFmtId="202" fontId="14" fillId="0" borderId="0" xfId="304" applyNumberFormat="1" applyFont="1" applyBorder="1" applyAlignment="1">
      <alignment horizontal="center"/>
    </xf>
    <xf numFmtId="202" fontId="50" fillId="0" borderId="0" xfId="304" applyNumberFormat="1" applyFont="1" applyBorder="1" applyAlignment="1">
      <alignment horizontal="center" textRotation="90"/>
    </xf>
    <xf numFmtId="202" fontId="14" fillId="0" borderId="32" xfId="304" applyNumberFormat="1" applyFont="1" applyFill="1" applyBorder="1" applyAlignment="1">
      <alignment horizontal="center" vertical="center"/>
    </xf>
    <xf numFmtId="0" fontId="51" fillId="15" borderId="32" xfId="304" applyNumberFormat="1" applyFont="1" applyFill="1" applyBorder="1" applyAlignment="1">
      <alignment horizontal="center" vertical="center"/>
    </xf>
    <xf numFmtId="202" fontId="51" fillId="15" borderId="32" xfId="304" applyNumberFormat="1" applyFont="1" applyFill="1" applyBorder="1" applyAlignment="1">
      <alignment horizontal="center" vertical="center"/>
    </xf>
    <xf numFmtId="202" fontId="51" fillId="15" borderId="78" xfId="304" applyNumberFormat="1" applyFont="1" applyFill="1" applyBorder="1" applyAlignment="1">
      <alignment horizontal="center" vertical="center"/>
    </xf>
    <xf numFmtId="202" fontId="51" fillId="15" borderId="26" xfId="304" applyNumberFormat="1" applyFont="1" applyFill="1" applyBorder="1" applyAlignment="1">
      <alignment horizontal="center" vertical="center"/>
    </xf>
    <xf numFmtId="202" fontId="14" fillId="0" borderId="75" xfId="304" applyNumberFormat="1" applyFont="1" applyFill="1" applyBorder="1" applyAlignment="1">
      <alignment horizontal="center" vertical="center"/>
    </xf>
    <xf numFmtId="0" fontId="15" fillId="0" borderId="0" xfId="0" applyFont="1" applyBorder="1" applyAlignment="1">
      <alignment horizontal="center" vertical="center" wrapText="1"/>
    </xf>
    <xf numFmtId="0" fontId="15" fillId="0" borderId="24" xfId="0" applyFont="1" applyBorder="1" applyAlignment="1">
      <alignment horizontal="center" vertical="center" wrapText="1"/>
    </xf>
    <xf numFmtId="0" fontId="15" fillId="0" borderId="78" xfId="0" applyFont="1" applyBorder="1" applyAlignment="1">
      <alignment horizontal="center" vertical="center" wrapText="1"/>
    </xf>
    <xf numFmtId="0" fontId="15" fillId="0" borderId="67" xfId="0" applyFont="1" applyBorder="1" applyAlignment="1">
      <alignment horizontal="center" vertical="center" wrapText="1"/>
    </xf>
    <xf numFmtId="202" fontId="51" fillId="15" borderId="75" xfId="304" applyNumberFormat="1" applyFont="1" applyFill="1" applyBorder="1" applyAlignment="1">
      <alignment horizontal="center" vertical="center"/>
    </xf>
    <xf numFmtId="41" fontId="32" fillId="0" borderId="78" xfId="303" applyFont="1" applyFill="1" applyBorder="1" applyAlignment="1">
      <alignment horizontal="right"/>
    </xf>
    <xf numFmtId="1" fontId="32" fillId="0" borderId="74" xfId="0" applyNumberFormat="1" applyFont="1" applyFill="1" applyBorder="1" applyAlignment="1">
      <alignment horizontal="center" vertical="center" wrapText="1"/>
    </xf>
    <xf numFmtId="1" fontId="32" fillId="0" borderId="75" xfId="0" applyNumberFormat="1" applyFont="1" applyFill="1" applyBorder="1" applyAlignment="1">
      <alignment horizontal="center" vertical="center" wrapText="1"/>
    </xf>
    <xf numFmtId="1" fontId="32" fillId="0" borderId="76" xfId="0" applyNumberFormat="1" applyFont="1" applyFill="1" applyBorder="1" applyAlignment="1">
      <alignment horizontal="center" vertical="center" wrapText="1"/>
    </xf>
    <xf numFmtId="1" fontId="32" fillId="0" borderId="35" xfId="0" applyNumberFormat="1" applyFont="1" applyFill="1" applyBorder="1" applyAlignment="1">
      <alignment horizontal="center" vertical="center" wrapText="1"/>
    </xf>
    <xf numFmtId="1" fontId="32" fillId="0" borderId="78" xfId="0" applyNumberFormat="1" applyFont="1" applyFill="1" applyBorder="1" applyAlignment="1">
      <alignment horizontal="center" vertical="center" wrapText="1"/>
    </xf>
    <xf numFmtId="1" fontId="32" fillId="0" borderId="80" xfId="0" applyNumberFormat="1" applyFont="1" applyFill="1" applyBorder="1" applyAlignment="1">
      <alignment horizontal="center" vertical="center" wrapText="1"/>
    </xf>
    <xf numFmtId="1" fontId="32" fillId="0" borderId="74" xfId="0" applyNumberFormat="1" applyFont="1" applyFill="1" applyBorder="1" applyAlignment="1">
      <alignment horizontal="center" vertical="center"/>
    </xf>
    <xf numFmtId="1" fontId="32" fillId="0" borderId="75" xfId="0" applyNumberFormat="1" applyFont="1" applyFill="1" applyBorder="1" applyAlignment="1">
      <alignment horizontal="center" vertical="center"/>
    </xf>
    <xf numFmtId="1" fontId="32" fillId="0" borderId="76" xfId="0" applyNumberFormat="1" applyFont="1" applyFill="1" applyBorder="1" applyAlignment="1">
      <alignment horizontal="center" vertical="center"/>
    </xf>
    <xf numFmtId="1" fontId="32" fillId="0" borderId="35" xfId="0" applyNumberFormat="1" applyFont="1" applyFill="1" applyBorder="1" applyAlignment="1">
      <alignment horizontal="center" vertical="center"/>
    </xf>
    <xf numFmtId="1" fontId="32" fillId="0" borderId="78" xfId="0" applyNumberFormat="1" applyFont="1" applyFill="1" applyBorder="1" applyAlignment="1">
      <alignment horizontal="center" vertical="center"/>
    </xf>
    <xf numFmtId="1" fontId="32" fillId="0" borderId="80" xfId="0" applyNumberFormat="1" applyFont="1" applyFill="1" applyBorder="1" applyAlignment="1">
      <alignment horizontal="center" vertical="center"/>
    </xf>
    <xf numFmtId="0" fontId="32" fillId="0" borderId="78" xfId="0" applyFont="1" applyFill="1" applyBorder="1" applyAlignment="1">
      <alignment horizontal="right"/>
    </xf>
    <xf numFmtId="41" fontId="32" fillId="0" borderId="78" xfId="303" applyFont="1" applyFill="1" applyBorder="1" applyAlignment="1">
      <alignment horizontal="center"/>
    </xf>
    <xf numFmtId="1" fontId="32" fillId="0" borderId="0" xfId="0" applyNumberFormat="1" applyFont="1" applyFill="1" applyBorder="1" applyAlignment="1">
      <alignment horizontal="center"/>
    </xf>
    <xf numFmtId="0" fontId="32" fillId="0" borderId="0" xfId="0" applyFont="1" applyFill="1" applyBorder="1" applyAlignment="1">
      <alignment horizontal="center"/>
    </xf>
    <xf numFmtId="2" fontId="32" fillId="0" borderId="78" xfId="0" applyNumberFormat="1" applyFont="1" applyFill="1" applyBorder="1" applyAlignment="1">
      <alignment horizontal="center"/>
    </xf>
    <xf numFmtId="190" fontId="32" fillId="0" borderId="78" xfId="0" applyNumberFormat="1" applyFont="1" applyFill="1" applyBorder="1" applyAlignment="1">
      <alignment horizontal="center"/>
    </xf>
    <xf numFmtId="1" fontId="32" fillId="0" borderId="74" xfId="0" applyNumberFormat="1" applyFont="1" applyFill="1" applyBorder="1" applyAlignment="1">
      <alignment horizontal="center" wrapText="1"/>
    </xf>
    <xf numFmtId="1" fontId="32" fillId="0" borderId="75" xfId="0" applyNumberFormat="1" applyFont="1" applyFill="1" applyBorder="1" applyAlignment="1">
      <alignment horizontal="center" wrapText="1"/>
    </xf>
    <xf numFmtId="1" fontId="32" fillId="0" borderId="76" xfId="0" applyNumberFormat="1" applyFont="1" applyFill="1" applyBorder="1" applyAlignment="1">
      <alignment horizontal="center" wrapText="1"/>
    </xf>
    <xf numFmtId="1" fontId="32" fillId="0" borderId="35" xfId="0" applyNumberFormat="1" applyFont="1" applyFill="1" applyBorder="1" applyAlignment="1">
      <alignment horizontal="center" wrapText="1"/>
    </xf>
    <xf numFmtId="1" fontId="32" fillId="0" borderId="78" xfId="0" applyNumberFormat="1" applyFont="1" applyFill="1" applyBorder="1" applyAlignment="1">
      <alignment horizontal="center" wrapText="1"/>
    </xf>
    <xf numFmtId="1" fontId="32" fillId="0" borderId="80" xfId="0" applyNumberFormat="1" applyFont="1" applyFill="1" applyBorder="1" applyAlignment="1">
      <alignment horizontal="center" wrapText="1"/>
    </xf>
    <xf numFmtId="1" fontId="32" fillId="0" borderId="78" xfId="0" applyNumberFormat="1" applyFont="1" applyFill="1" applyBorder="1" applyAlignment="1">
      <alignment horizontal="right"/>
    </xf>
    <xf numFmtId="0" fontId="0" fillId="0" borderId="75" xfId="0" applyBorder="1">
      <alignment vertical="center"/>
    </xf>
    <xf numFmtId="0" fontId="0" fillId="0" borderId="76" xfId="0" applyBorder="1">
      <alignment vertical="center"/>
    </xf>
    <xf numFmtId="0" fontId="0" fillId="0" borderId="35" xfId="0" applyBorder="1">
      <alignment vertical="center"/>
    </xf>
    <xf numFmtId="0" fontId="0" fillId="0" borderId="78" xfId="0" applyBorder="1">
      <alignment vertical="center"/>
    </xf>
    <xf numFmtId="0" fontId="0" fillId="0" borderId="80" xfId="0" applyBorder="1">
      <alignment vertical="center"/>
    </xf>
    <xf numFmtId="0" fontId="51" fillId="0" borderId="74" xfId="0" applyFont="1" applyFill="1" applyBorder="1" applyAlignment="1">
      <alignment horizontal="center"/>
    </xf>
    <xf numFmtId="0" fontId="51" fillId="0" borderId="75" xfId="0" applyFont="1" applyFill="1" applyBorder="1" applyAlignment="1">
      <alignment horizontal="center"/>
    </xf>
    <xf numFmtId="0" fontId="51" fillId="0" borderId="76" xfId="0" applyFont="1" applyFill="1" applyBorder="1" applyAlignment="1">
      <alignment horizontal="center"/>
    </xf>
    <xf numFmtId="0" fontId="51" fillId="0" borderId="35" xfId="0" applyFont="1" applyFill="1" applyBorder="1" applyAlignment="1">
      <alignment horizontal="center"/>
    </xf>
    <xf numFmtId="0" fontId="51" fillId="0" borderId="78" xfId="0" applyFont="1" applyFill="1" applyBorder="1" applyAlignment="1">
      <alignment horizontal="center"/>
    </xf>
    <xf numFmtId="0" fontId="51" fillId="0" borderId="80" xfId="0" applyFont="1" applyFill="1" applyBorder="1" applyAlignment="1">
      <alignment horizontal="center"/>
    </xf>
    <xf numFmtId="2" fontId="32" fillId="0" borderId="36" xfId="0" applyNumberFormat="1" applyFont="1" applyFill="1" applyBorder="1" applyAlignment="1">
      <alignment horizontal="right"/>
    </xf>
    <xf numFmtId="2" fontId="32" fillId="0" borderId="26" xfId="0" applyNumberFormat="1" applyFont="1" applyFill="1" applyBorder="1" applyAlignment="1">
      <alignment horizontal="right"/>
    </xf>
    <xf numFmtId="1" fontId="32" fillId="0" borderId="36" xfId="0" applyNumberFormat="1" applyFont="1" applyFill="1" applyBorder="1" applyAlignment="1">
      <alignment horizontal="center"/>
    </xf>
    <xf numFmtId="1" fontId="32" fillId="0" borderId="26" xfId="0" applyNumberFormat="1" applyFont="1" applyFill="1" applyBorder="1" applyAlignment="1">
      <alignment horizontal="center"/>
    </xf>
    <xf numFmtId="1" fontId="32" fillId="0" borderId="42" xfId="0" applyNumberFormat="1" applyFont="1" applyFill="1" applyBorder="1" applyAlignment="1">
      <alignment horizontal="center"/>
    </xf>
    <xf numFmtId="41" fontId="32" fillId="0" borderId="36" xfId="303" applyFont="1" applyFill="1" applyBorder="1" applyAlignment="1">
      <alignment horizontal="right"/>
    </xf>
    <xf numFmtId="41" fontId="32" fillId="0" borderId="26" xfId="303" applyFont="1" applyFill="1" applyBorder="1" applyAlignment="1">
      <alignment horizontal="right"/>
    </xf>
    <xf numFmtId="1" fontId="32" fillId="0" borderId="36" xfId="0" applyNumberFormat="1" applyFont="1" applyFill="1" applyBorder="1" applyAlignment="1">
      <alignment horizontal="right"/>
    </xf>
    <xf numFmtId="1" fontId="32" fillId="0" borderId="26" xfId="0" applyNumberFormat="1" applyFont="1" applyFill="1" applyBorder="1" applyAlignment="1">
      <alignment horizontal="right"/>
    </xf>
    <xf numFmtId="0" fontId="0" fillId="0" borderId="26" xfId="0" applyBorder="1">
      <alignment vertical="center"/>
    </xf>
    <xf numFmtId="0" fontId="0" fillId="0" borderId="42" xfId="0" applyBorder="1">
      <alignment vertical="center"/>
    </xf>
    <xf numFmtId="0" fontId="139" fillId="0" borderId="0" xfId="1" applyFont="1" applyAlignment="1">
      <alignment horizontal="center" vertical="center"/>
    </xf>
    <xf numFmtId="0" fontId="35" fillId="9" borderId="116" xfId="1" applyFont="1" applyFill="1" applyBorder="1" applyAlignment="1">
      <alignment horizontal="center" vertical="center"/>
    </xf>
    <xf numFmtId="0" fontId="147" fillId="0" borderId="28" xfId="0" applyFont="1" applyBorder="1" applyAlignment="1">
      <alignment horizontal="center" vertical="center"/>
    </xf>
    <xf numFmtId="0" fontId="147" fillId="0" borderId="29" xfId="0" applyFont="1" applyBorder="1" applyAlignment="1">
      <alignment horizontal="center" vertical="center"/>
    </xf>
    <xf numFmtId="0" fontId="147" fillId="0" borderId="33" xfId="0" applyFont="1" applyBorder="1" applyAlignment="1">
      <alignment horizontal="center" vertical="center"/>
    </xf>
    <xf numFmtId="0" fontId="147" fillId="0" borderId="34" xfId="0" applyFont="1" applyBorder="1" applyAlignment="1">
      <alignment horizontal="center" vertical="center"/>
    </xf>
    <xf numFmtId="0" fontId="147" fillId="0" borderId="78" xfId="0" applyFont="1" applyBorder="1" applyAlignment="1">
      <alignment horizontal="center" vertical="center"/>
    </xf>
    <xf numFmtId="0" fontId="147" fillId="0" borderId="67" xfId="0" applyFont="1" applyBorder="1" applyAlignment="1">
      <alignment horizontal="center" vertical="center"/>
    </xf>
    <xf numFmtId="0" fontId="2" fillId="0" borderId="0" xfId="0" applyFont="1" applyBorder="1" applyAlignment="1">
      <alignment horizontal="center"/>
    </xf>
    <xf numFmtId="0" fontId="0" fillId="0" borderId="0" xfId="0" applyBorder="1" applyAlignment="1">
      <alignment horizontal="center"/>
    </xf>
    <xf numFmtId="0" fontId="145" fillId="42" borderId="0" xfId="52810" applyFont="1" applyFill="1" applyBorder="1" applyAlignment="1">
      <alignment horizontal="center" vertical="center"/>
    </xf>
    <xf numFmtId="190" fontId="146" fillId="41" borderId="0" xfId="52810" applyNumberFormat="1" applyFont="1" applyFill="1" applyBorder="1" applyAlignment="1">
      <alignment horizontal="center" shrinkToFit="1"/>
    </xf>
    <xf numFmtId="190" fontId="145" fillId="41" borderId="0" xfId="52810" applyNumberFormat="1" applyFont="1" applyFill="1" applyBorder="1" applyAlignment="1">
      <alignment horizontal="center" shrinkToFit="1"/>
    </xf>
    <xf numFmtId="0" fontId="145" fillId="16" borderId="0" xfId="52810" applyFont="1" applyFill="1" applyBorder="1" applyAlignment="1">
      <alignment horizontal="center"/>
    </xf>
    <xf numFmtId="0" fontId="145" fillId="15" borderId="0" xfId="52810" applyFont="1" applyFill="1" applyBorder="1" applyAlignment="1">
      <alignment horizontal="center"/>
    </xf>
    <xf numFmtId="193" fontId="145" fillId="14" borderId="0" xfId="52810" applyNumberFormat="1" applyFont="1" applyFill="1" applyBorder="1" applyAlignment="1">
      <alignment horizontal="center" vertical="center"/>
    </xf>
  </cellXfs>
  <cellStyles count="52823">
    <cellStyle name="_x0002_ " xfId="307" xr:uid="{00000000-0005-0000-0000-000000000000}"/>
    <cellStyle name="_x0002_  2" xfId="308" xr:uid="{00000000-0005-0000-0000-000001000000}"/>
    <cellStyle name="_x000c_b" xfId="309" xr:uid="{00000000-0005-0000-0000-000002000000}"/>
    <cellStyle name="_x000c_b 2" xfId="310" xr:uid="{00000000-0005-0000-0000-000003000000}"/>
    <cellStyle name="#??`" xfId="311" xr:uid="{00000000-0005-0000-0000-000004000000}"/>
    <cellStyle name="#??` 2" xfId="312" xr:uid="{00000000-0005-0000-0000-000005000000}"/>
    <cellStyle name="(표준)" xfId="313" xr:uid="{00000000-0005-0000-0000-000006000000}"/>
    <cellStyle name="?" xfId="314" xr:uid="{00000000-0005-0000-0000-000007000000}"/>
    <cellStyle name="? 2" xfId="315" xr:uid="{00000000-0005-0000-0000-000008000000}"/>
    <cellStyle name="? 2 2" xfId="316" xr:uid="{00000000-0005-0000-0000-000009000000}"/>
    <cellStyle name="? 2 3" xfId="317" xr:uid="{00000000-0005-0000-0000-00000A000000}"/>
    <cellStyle name="? 3" xfId="318" xr:uid="{00000000-0005-0000-0000-00000B000000}"/>
    <cellStyle name="??" xfId="319" xr:uid="{00000000-0005-0000-0000-00000C000000}"/>
    <cellStyle name="?? [0]" xfId="320" xr:uid="{00000000-0005-0000-0000-00000D000000}"/>
    <cellStyle name="??&amp;O?&amp;H?_x0008__x000f__x0007_?_x0007__x0001__x0001_" xfId="321" xr:uid="{00000000-0005-0000-0000-00000E000000}"/>
    <cellStyle name="??&amp;O?&amp;H?_x0008__x000f__x0007_?_x0007__x0001__x0001_ 2" xfId="322" xr:uid="{00000000-0005-0000-0000-00000F000000}"/>
    <cellStyle name="??&amp;O?&amp;H?_x0008_??_x0007__x0001__x0001_" xfId="323" xr:uid="{00000000-0005-0000-0000-000010000000}"/>
    <cellStyle name="??&amp;O?&amp;H?_x0008_??_x0007__x0001__x0001_ 2" xfId="324" xr:uid="{00000000-0005-0000-0000-000011000000}"/>
    <cellStyle name="???_??" xfId="325" xr:uid="{00000000-0005-0000-0000-000012000000}"/>
    <cellStyle name="??_?.????" xfId="326" xr:uid="{00000000-0005-0000-0000-000013000000}"/>
    <cellStyle name="_2-4.상반기실적부문별요약" xfId="327" xr:uid="{00000000-0005-0000-0000-000014000000}"/>
    <cellStyle name="_2-4.상반기실적부문별요약 2" xfId="328" xr:uid="{00000000-0005-0000-0000-000015000000}"/>
    <cellStyle name="_2-4.상반기실적부문별요약(표지및목차포함)" xfId="329" xr:uid="{00000000-0005-0000-0000-000016000000}"/>
    <cellStyle name="_2-4.상반기실적부문별요약(표지및목차포함) 2" xfId="330" xr:uid="{00000000-0005-0000-0000-000017000000}"/>
    <cellStyle name="_2-4.상반기실적부문별요약(표지및목차포함)_1" xfId="331" xr:uid="{00000000-0005-0000-0000-000018000000}"/>
    <cellStyle name="_2-4.상반기실적부문별요약(표지및목차포함)_1 2" xfId="332" xr:uid="{00000000-0005-0000-0000-000019000000}"/>
    <cellStyle name="_2-4.상반기실적부문별요약_1" xfId="333" xr:uid="{00000000-0005-0000-0000-00001A000000}"/>
    <cellStyle name="_2-4.상반기실적부문별요약_1 2" xfId="334" xr:uid="{00000000-0005-0000-0000-00001B000000}"/>
    <cellStyle name="_'99상반기경영개선활동결과(게시용)" xfId="335" xr:uid="{00000000-0005-0000-0000-00001C000000}"/>
    <cellStyle name="_'99상반기경영개선활동결과(게시용) 2" xfId="336" xr:uid="{00000000-0005-0000-0000-00001D000000}"/>
    <cellStyle name="_Extruder_price &amp; comm" xfId="337" xr:uid="{00000000-0005-0000-0000-00001E000000}"/>
    <cellStyle name="_Extruder_price &amp; comm 2" xfId="338" xr:uid="{00000000-0005-0000-0000-00001F000000}"/>
    <cellStyle name="_경영개선활동상반기실적(990708)" xfId="339" xr:uid="{00000000-0005-0000-0000-000020000000}"/>
    <cellStyle name="_경영개선활동상반기실적(990708) 2" xfId="340" xr:uid="{00000000-0005-0000-0000-000021000000}"/>
    <cellStyle name="_경영개선활동상반기실적(990708)_1" xfId="341" xr:uid="{00000000-0005-0000-0000-000022000000}"/>
    <cellStyle name="_경영개선활동상반기실적(990708)_1 2" xfId="342" xr:uid="{00000000-0005-0000-0000-000023000000}"/>
    <cellStyle name="_경영개선활동상반기실적(990708)_2" xfId="343" xr:uid="{00000000-0005-0000-0000-000024000000}"/>
    <cellStyle name="_경영개선활동상반기실적(990708)_2 2" xfId="344" xr:uid="{00000000-0005-0000-0000-000025000000}"/>
    <cellStyle name="_경영개선활성화방안(990802)" xfId="345" xr:uid="{00000000-0005-0000-0000-000026000000}"/>
    <cellStyle name="_경영개선활성화방안(990802) 2" xfId="346" xr:uid="{00000000-0005-0000-0000-000027000000}"/>
    <cellStyle name="_경영개선활성화방안(990802)_1" xfId="347" xr:uid="{00000000-0005-0000-0000-000028000000}"/>
    <cellStyle name="_경영개선활성화방안(990802)_1 2" xfId="348" xr:uid="{00000000-0005-0000-0000-000029000000}"/>
    <cellStyle name="_대한유화" xfId="349" xr:uid="{00000000-0005-0000-0000-00002A000000}"/>
    <cellStyle name="_대한유화_1" xfId="350" xr:uid="{00000000-0005-0000-0000-00002B000000}"/>
    <cellStyle name="_대한유화_2" xfId="351" xr:uid="{00000000-0005-0000-0000-00002C000000}"/>
    <cellStyle name="_대한유화_3" xfId="352" xr:uid="{00000000-0005-0000-0000-00002D000000}"/>
    <cellStyle name="_대한유화_4" xfId="353" xr:uid="{00000000-0005-0000-0000-00002E000000}"/>
    <cellStyle name="_대한유화_4 2" xfId="354" xr:uid="{00000000-0005-0000-0000-00002F000000}"/>
    <cellStyle name="_대한유화_5" xfId="355" xr:uid="{00000000-0005-0000-0000-000030000000}"/>
    <cellStyle name="_대한유화_6" xfId="356" xr:uid="{00000000-0005-0000-0000-000031000000}"/>
    <cellStyle name="_대한유화_7" xfId="357" xr:uid="{00000000-0005-0000-0000-000032000000}"/>
    <cellStyle name="_대한유화_8" xfId="358" xr:uid="{00000000-0005-0000-0000-000033000000}"/>
    <cellStyle name="_대한유화PG가" xfId="359" xr:uid="{00000000-0005-0000-0000-000034000000}"/>
    <cellStyle name="_대한유화PG가 2" xfId="360" xr:uid="{00000000-0005-0000-0000-000035000000}"/>
    <cellStyle name="_대한유화PG가_1" xfId="361" xr:uid="{00000000-0005-0000-0000-000036000000}"/>
    <cellStyle name="_대한유화PG가_2" xfId="362" xr:uid="{00000000-0005-0000-0000-000037000000}"/>
    <cellStyle name="_대한유화PG가_3" xfId="363" xr:uid="{00000000-0005-0000-0000-000038000000}"/>
    <cellStyle name="_대한유화PG가_4" xfId="364" xr:uid="{00000000-0005-0000-0000-000039000000}"/>
    <cellStyle name="_대한유화PG가_5" xfId="365" xr:uid="{00000000-0005-0000-0000-00003A000000}"/>
    <cellStyle name="_대한유화PG가_6" xfId="366" xr:uid="{00000000-0005-0000-0000-00003B000000}"/>
    <cellStyle name="_대한유화PG가_7" xfId="367" xr:uid="{00000000-0005-0000-0000-00003C000000}"/>
    <cellStyle name="_대한유화PG가_8" xfId="368" xr:uid="{00000000-0005-0000-0000-00003D000000}"/>
    <cellStyle name="_별첨(계획서및실적서양식)" xfId="369" xr:uid="{00000000-0005-0000-0000-00003E000000}"/>
    <cellStyle name="_별첨(계획서및실적서양식) 2" xfId="370" xr:uid="{00000000-0005-0000-0000-00003F000000}"/>
    <cellStyle name="_별첨(계획서및실적서양식)_1" xfId="371" xr:uid="{00000000-0005-0000-0000-000040000000}"/>
    <cellStyle name="_별첨(계획서및실적서양식)_1 2" xfId="372" xr:uid="{00000000-0005-0000-0000-000041000000}"/>
    <cellStyle name="_양식" xfId="373" xr:uid="{00000000-0005-0000-0000-000042000000}"/>
    <cellStyle name="_양식 2" xfId="374" xr:uid="{00000000-0005-0000-0000-000043000000}"/>
    <cellStyle name="_양식_1" xfId="375" xr:uid="{00000000-0005-0000-0000-000044000000}"/>
    <cellStyle name="_양식_1 2" xfId="376" xr:uid="{00000000-0005-0000-0000-000045000000}"/>
    <cellStyle name="_양식_2" xfId="377" xr:uid="{00000000-0005-0000-0000-000046000000}"/>
    <cellStyle name="_양식_2 2" xfId="378" xr:uid="{00000000-0005-0000-0000-000047000000}"/>
    <cellStyle name="_유첨3(서식)" xfId="379" xr:uid="{00000000-0005-0000-0000-000048000000}"/>
    <cellStyle name="_유첨3(서식) 2" xfId="380" xr:uid="{00000000-0005-0000-0000-000049000000}"/>
    <cellStyle name="_유첨3(서식)_1" xfId="381" xr:uid="{00000000-0005-0000-0000-00004A000000}"/>
    <cellStyle name="_유첨3(서식)_1 2" xfId="382" xr:uid="{00000000-0005-0000-0000-00004B000000}"/>
    <cellStyle name="_지정과제1분기실적(확정990408)" xfId="383" xr:uid="{00000000-0005-0000-0000-00004C000000}"/>
    <cellStyle name="_지정과제1분기실적(확정990408) 2" xfId="384" xr:uid="{00000000-0005-0000-0000-00004D000000}"/>
    <cellStyle name="_지정과제1분기실적(확정990408)_1" xfId="385" xr:uid="{00000000-0005-0000-0000-00004E000000}"/>
    <cellStyle name="_지정과제1분기실적(확정990408)_1 2" xfId="386" xr:uid="{00000000-0005-0000-0000-00004F000000}"/>
    <cellStyle name="_지정과제2차심의list" xfId="387" xr:uid="{00000000-0005-0000-0000-000050000000}"/>
    <cellStyle name="_지정과제2차심의list 2" xfId="388" xr:uid="{00000000-0005-0000-0000-000051000000}"/>
    <cellStyle name="_지정과제2차심의list_1" xfId="389" xr:uid="{00000000-0005-0000-0000-000052000000}"/>
    <cellStyle name="_지정과제2차심의list_1 2" xfId="390" xr:uid="{00000000-0005-0000-0000-000053000000}"/>
    <cellStyle name="_지정과제2차심의list_2" xfId="391" xr:uid="{00000000-0005-0000-0000-000054000000}"/>
    <cellStyle name="_지정과제2차심의list_2 2" xfId="392" xr:uid="{00000000-0005-0000-0000-000055000000}"/>
    <cellStyle name="_지정과제2차심의결과" xfId="393" xr:uid="{00000000-0005-0000-0000-000056000000}"/>
    <cellStyle name="_지정과제2차심의결과 2" xfId="394" xr:uid="{00000000-0005-0000-0000-000057000000}"/>
    <cellStyle name="_지정과제2차심의결과(금액조정후최종)" xfId="395" xr:uid="{00000000-0005-0000-0000-000058000000}"/>
    <cellStyle name="_지정과제2차심의결과(금액조정후최종) 2" xfId="396" xr:uid="{00000000-0005-0000-0000-000059000000}"/>
    <cellStyle name="_지정과제2차심의결과(금액조정후최종)_1" xfId="397" xr:uid="{00000000-0005-0000-0000-00005A000000}"/>
    <cellStyle name="_지정과제2차심의결과(금액조정후최종)_1 2" xfId="398" xr:uid="{00000000-0005-0000-0000-00005B000000}"/>
    <cellStyle name="_지정과제2차심의결과(금액조정후최종)_1_경영개선실적보고(전주공장)" xfId="399" xr:uid="{00000000-0005-0000-0000-00005C000000}"/>
    <cellStyle name="_지정과제2차심의결과(금액조정후최종)_1_경영개선실적보고(전주공장) 2" xfId="400" xr:uid="{00000000-0005-0000-0000-00005D000000}"/>
    <cellStyle name="_지정과제2차심의결과(금액조정후최종)_1_별첨1_2" xfId="401" xr:uid="{00000000-0005-0000-0000-00005E000000}"/>
    <cellStyle name="_지정과제2차심의결과(금액조정후최종)_1_별첨1_2 2" xfId="402" xr:uid="{00000000-0005-0000-0000-00005F000000}"/>
    <cellStyle name="_지정과제2차심의결과(금액조정후최종)_1_제안과제집계표(공장전체)" xfId="403" xr:uid="{00000000-0005-0000-0000-000060000000}"/>
    <cellStyle name="_지정과제2차심의결과(금액조정후최종)_1_제안과제집계표(공장전체) 2" xfId="404" xr:uid="{00000000-0005-0000-0000-000061000000}"/>
    <cellStyle name="_지정과제2차심의결과(금액조정후최종)_경영개선실적보고(전주공장)" xfId="405" xr:uid="{00000000-0005-0000-0000-000062000000}"/>
    <cellStyle name="_지정과제2차심의결과(금액조정후최종)_경영개선실적보고(전주공장) 2" xfId="406" xr:uid="{00000000-0005-0000-0000-000063000000}"/>
    <cellStyle name="_지정과제2차심의결과(금액조정후최종)_별첨1_2" xfId="407" xr:uid="{00000000-0005-0000-0000-000064000000}"/>
    <cellStyle name="_지정과제2차심의결과(금액조정후최종)_별첨1_2 2" xfId="408" xr:uid="{00000000-0005-0000-0000-000065000000}"/>
    <cellStyle name="_지정과제2차심의결과(금액조정후최종)_제안과제집계표(공장전체)" xfId="409" xr:uid="{00000000-0005-0000-0000-000066000000}"/>
    <cellStyle name="_지정과제2차심의결과(금액조정후최종)_제안과제집계표(공장전체) 2" xfId="410" xr:uid="{00000000-0005-0000-0000-000067000000}"/>
    <cellStyle name="_지정과제2차심의결과_1" xfId="411" xr:uid="{00000000-0005-0000-0000-000068000000}"/>
    <cellStyle name="_지정과제2차심의결과_1 2" xfId="412" xr:uid="{00000000-0005-0000-0000-000069000000}"/>
    <cellStyle name="_집중관리(981231)" xfId="413" xr:uid="{00000000-0005-0000-0000-00006A000000}"/>
    <cellStyle name="_집중관리(981231) 2" xfId="414" xr:uid="{00000000-0005-0000-0000-00006B000000}"/>
    <cellStyle name="_집중관리(981231)_1" xfId="415" xr:uid="{00000000-0005-0000-0000-00006C000000}"/>
    <cellStyle name="_집중관리(981231)_1 2" xfId="416" xr:uid="{00000000-0005-0000-0000-00006D000000}"/>
    <cellStyle name="_집중관리(지정과제및 양식)" xfId="417" xr:uid="{00000000-0005-0000-0000-00006E000000}"/>
    <cellStyle name="_집중관리(지정과제및 양식) 2" xfId="418" xr:uid="{00000000-0005-0000-0000-00006F000000}"/>
    <cellStyle name="_집중관리(지정과제및 양식)_1" xfId="419" xr:uid="{00000000-0005-0000-0000-000070000000}"/>
    <cellStyle name="_집중관리(지정과제및 양식)_1 2" xfId="420" xr:uid="{00000000-0005-0000-0000-000071000000}"/>
    <cellStyle name="0,0_x000d__x000a_NA_x000d__x000a_" xfId="421" xr:uid="{00000000-0005-0000-0000-000072000000}"/>
    <cellStyle name="0,0_x000d__x000a_NA_x000d__x000a_ 2" xfId="422" xr:uid="{00000000-0005-0000-0000-000073000000}"/>
    <cellStyle name="20% - Accent1" xfId="423" xr:uid="{00000000-0005-0000-0000-000074000000}"/>
    <cellStyle name="20% - Accent1 2" xfId="424" xr:uid="{00000000-0005-0000-0000-000075000000}"/>
    <cellStyle name="20% - Accent1 2 2" xfId="425" xr:uid="{00000000-0005-0000-0000-000076000000}"/>
    <cellStyle name="20% - Accent1 3" xfId="426" xr:uid="{00000000-0005-0000-0000-000077000000}"/>
    <cellStyle name="20% - Accent2" xfId="427" xr:uid="{00000000-0005-0000-0000-000078000000}"/>
    <cellStyle name="20% - Accent2 2" xfId="428" xr:uid="{00000000-0005-0000-0000-000079000000}"/>
    <cellStyle name="20% - Accent2 2 2" xfId="429" xr:uid="{00000000-0005-0000-0000-00007A000000}"/>
    <cellStyle name="20% - Accent2 3" xfId="430" xr:uid="{00000000-0005-0000-0000-00007B000000}"/>
    <cellStyle name="20% - Accent3" xfId="431" xr:uid="{00000000-0005-0000-0000-00007C000000}"/>
    <cellStyle name="20% - Accent3 2" xfId="432" xr:uid="{00000000-0005-0000-0000-00007D000000}"/>
    <cellStyle name="20% - Accent3 2 2" xfId="433" xr:uid="{00000000-0005-0000-0000-00007E000000}"/>
    <cellStyle name="20% - Accent3 3" xfId="434" xr:uid="{00000000-0005-0000-0000-00007F000000}"/>
    <cellStyle name="20% - Accent4" xfId="435" xr:uid="{00000000-0005-0000-0000-000080000000}"/>
    <cellStyle name="20% - Accent4 2" xfId="436" xr:uid="{00000000-0005-0000-0000-000081000000}"/>
    <cellStyle name="20% - Accent4 2 2" xfId="437" xr:uid="{00000000-0005-0000-0000-000082000000}"/>
    <cellStyle name="20% - Accent4 3" xfId="438" xr:uid="{00000000-0005-0000-0000-000083000000}"/>
    <cellStyle name="20% - Accent5" xfId="439" xr:uid="{00000000-0005-0000-0000-000084000000}"/>
    <cellStyle name="20% - Accent5 2" xfId="440" xr:uid="{00000000-0005-0000-0000-000085000000}"/>
    <cellStyle name="20% - Accent5 2 2" xfId="441" xr:uid="{00000000-0005-0000-0000-000086000000}"/>
    <cellStyle name="20% - Accent5 3" xfId="442" xr:uid="{00000000-0005-0000-0000-000087000000}"/>
    <cellStyle name="20% - Accent6" xfId="443" xr:uid="{00000000-0005-0000-0000-000088000000}"/>
    <cellStyle name="20% - Accent6 2" xfId="444" xr:uid="{00000000-0005-0000-0000-000089000000}"/>
    <cellStyle name="20% - Accent6 2 2" xfId="445" xr:uid="{00000000-0005-0000-0000-00008A000000}"/>
    <cellStyle name="20% - Accent6 3" xfId="446" xr:uid="{00000000-0005-0000-0000-00008B000000}"/>
    <cellStyle name="20% - 강조색1 2" xfId="447" xr:uid="{00000000-0005-0000-0000-00008C000000}"/>
    <cellStyle name="20% - 강조색1 2 2" xfId="448" xr:uid="{00000000-0005-0000-0000-00008D000000}"/>
    <cellStyle name="20% - 강조색1 2 2 2" xfId="449" xr:uid="{00000000-0005-0000-0000-00008E000000}"/>
    <cellStyle name="20% - 강조색1 2 2 3" xfId="450" xr:uid="{00000000-0005-0000-0000-00008F000000}"/>
    <cellStyle name="20% - 강조색1 2 2 4" xfId="451" xr:uid="{00000000-0005-0000-0000-000090000000}"/>
    <cellStyle name="20% - 강조색1 2 2 5" xfId="452" xr:uid="{00000000-0005-0000-0000-000091000000}"/>
    <cellStyle name="20% - 강조색1 2 2 6" xfId="453" xr:uid="{00000000-0005-0000-0000-000092000000}"/>
    <cellStyle name="20% - 강조색1 2 3" xfId="454" xr:uid="{00000000-0005-0000-0000-000093000000}"/>
    <cellStyle name="20% - 강조색1 2 4" xfId="455" xr:uid="{00000000-0005-0000-0000-000094000000}"/>
    <cellStyle name="20% - 강조색1 2 5" xfId="456" xr:uid="{00000000-0005-0000-0000-000095000000}"/>
    <cellStyle name="20% - 강조색1 2 6" xfId="457" xr:uid="{00000000-0005-0000-0000-000096000000}"/>
    <cellStyle name="20% - 강조색1 3" xfId="458" xr:uid="{00000000-0005-0000-0000-000097000000}"/>
    <cellStyle name="20% - 강조색1 4" xfId="459" xr:uid="{00000000-0005-0000-0000-000098000000}"/>
    <cellStyle name="20% - 강조색1 5" xfId="460" xr:uid="{00000000-0005-0000-0000-000099000000}"/>
    <cellStyle name="20% - 강조색1 6" xfId="461" xr:uid="{00000000-0005-0000-0000-00009A000000}"/>
    <cellStyle name="20% - 강조색2 2" xfId="462" xr:uid="{00000000-0005-0000-0000-00009B000000}"/>
    <cellStyle name="20% - 강조색2 2 2" xfId="463" xr:uid="{00000000-0005-0000-0000-00009C000000}"/>
    <cellStyle name="20% - 강조색2 2 2 2" xfId="464" xr:uid="{00000000-0005-0000-0000-00009D000000}"/>
    <cellStyle name="20% - 강조색2 2 2 3" xfId="465" xr:uid="{00000000-0005-0000-0000-00009E000000}"/>
    <cellStyle name="20% - 강조색2 2 2 4" xfId="466" xr:uid="{00000000-0005-0000-0000-00009F000000}"/>
    <cellStyle name="20% - 강조색2 2 2 5" xfId="467" xr:uid="{00000000-0005-0000-0000-0000A0000000}"/>
    <cellStyle name="20% - 강조색2 2 2 6" xfId="468" xr:uid="{00000000-0005-0000-0000-0000A1000000}"/>
    <cellStyle name="20% - 강조색2 2 3" xfId="469" xr:uid="{00000000-0005-0000-0000-0000A2000000}"/>
    <cellStyle name="20% - 강조색2 2 4" xfId="470" xr:uid="{00000000-0005-0000-0000-0000A3000000}"/>
    <cellStyle name="20% - 강조색2 2 5" xfId="471" xr:uid="{00000000-0005-0000-0000-0000A4000000}"/>
    <cellStyle name="20% - 강조색2 2 6" xfId="472" xr:uid="{00000000-0005-0000-0000-0000A5000000}"/>
    <cellStyle name="20% - 강조색2 3" xfId="473" xr:uid="{00000000-0005-0000-0000-0000A6000000}"/>
    <cellStyle name="20% - 강조색2 4" xfId="474" xr:uid="{00000000-0005-0000-0000-0000A7000000}"/>
    <cellStyle name="20% - 강조색2 5" xfId="475" xr:uid="{00000000-0005-0000-0000-0000A8000000}"/>
    <cellStyle name="20% - 강조색2 6" xfId="476" xr:uid="{00000000-0005-0000-0000-0000A9000000}"/>
    <cellStyle name="20% - 강조색3 2" xfId="477" xr:uid="{00000000-0005-0000-0000-0000AA000000}"/>
    <cellStyle name="20% - 강조색3 2 2" xfId="478" xr:uid="{00000000-0005-0000-0000-0000AB000000}"/>
    <cellStyle name="20% - 강조색3 2 2 2" xfId="479" xr:uid="{00000000-0005-0000-0000-0000AC000000}"/>
    <cellStyle name="20% - 강조색3 2 2 3" xfId="480" xr:uid="{00000000-0005-0000-0000-0000AD000000}"/>
    <cellStyle name="20% - 강조색3 2 2 4" xfId="481" xr:uid="{00000000-0005-0000-0000-0000AE000000}"/>
    <cellStyle name="20% - 강조색3 2 2 5" xfId="482" xr:uid="{00000000-0005-0000-0000-0000AF000000}"/>
    <cellStyle name="20% - 강조색3 2 2 6" xfId="483" xr:uid="{00000000-0005-0000-0000-0000B0000000}"/>
    <cellStyle name="20% - 강조색3 2 3" xfId="484" xr:uid="{00000000-0005-0000-0000-0000B1000000}"/>
    <cellStyle name="20% - 강조색3 2 4" xfId="485" xr:uid="{00000000-0005-0000-0000-0000B2000000}"/>
    <cellStyle name="20% - 강조색3 2 5" xfId="486" xr:uid="{00000000-0005-0000-0000-0000B3000000}"/>
    <cellStyle name="20% - 강조색3 2 6" xfId="487" xr:uid="{00000000-0005-0000-0000-0000B4000000}"/>
    <cellStyle name="20% - 강조색3 3" xfId="488" xr:uid="{00000000-0005-0000-0000-0000B5000000}"/>
    <cellStyle name="20% - 강조색3 4" xfId="489" xr:uid="{00000000-0005-0000-0000-0000B6000000}"/>
    <cellStyle name="20% - 강조색3 5" xfId="490" xr:uid="{00000000-0005-0000-0000-0000B7000000}"/>
    <cellStyle name="20% - 강조색3 6" xfId="491" xr:uid="{00000000-0005-0000-0000-0000B8000000}"/>
    <cellStyle name="20% - 강조색4 2" xfId="492" xr:uid="{00000000-0005-0000-0000-0000B9000000}"/>
    <cellStyle name="20% - 강조색4 2 2" xfId="493" xr:uid="{00000000-0005-0000-0000-0000BA000000}"/>
    <cellStyle name="20% - 강조색4 2 2 2" xfId="494" xr:uid="{00000000-0005-0000-0000-0000BB000000}"/>
    <cellStyle name="20% - 강조색4 2 2 3" xfId="495" xr:uid="{00000000-0005-0000-0000-0000BC000000}"/>
    <cellStyle name="20% - 강조색4 2 2 4" xfId="496" xr:uid="{00000000-0005-0000-0000-0000BD000000}"/>
    <cellStyle name="20% - 강조색4 2 2 5" xfId="497" xr:uid="{00000000-0005-0000-0000-0000BE000000}"/>
    <cellStyle name="20% - 강조색4 2 2 6" xfId="498" xr:uid="{00000000-0005-0000-0000-0000BF000000}"/>
    <cellStyle name="20% - 강조색4 2 3" xfId="499" xr:uid="{00000000-0005-0000-0000-0000C0000000}"/>
    <cellStyle name="20% - 강조색4 2 4" xfId="500" xr:uid="{00000000-0005-0000-0000-0000C1000000}"/>
    <cellStyle name="20% - 강조색4 2 5" xfId="501" xr:uid="{00000000-0005-0000-0000-0000C2000000}"/>
    <cellStyle name="20% - 강조색4 2 6" xfId="502" xr:uid="{00000000-0005-0000-0000-0000C3000000}"/>
    <cellStyle name="20% - 강조색4 3" xfId="503" xr:uid="{00000000-0005-0000-0000-0000C4000000}"/>
    <cellStyle name="20% - 강조색4 4" xfId="504" xr:uid="{00000000-0005-0000-0000-0000C5000000}"/>
    <cellStyle name="20% - 강조색4 5" xfId="505" xr:uid="{00000000-0005-0000-0000-0000C6000000}"/>
    <cellStyle name="20% - 강조색4 6" xfId="506" xr:uid="{00000000-0005-0000-0000-0000C7000000}"/>
    <cellStyle name="20% - 강조색5 2" xfId="507" xr:uid="{00000000-0005-0000-0000-0000C8000000}"/>
    <cellStyle name="20% - 강조색5 2 2" xfId="508" xr:uid="{00000000-0005-0000-0000-0000C9000000}"/>
    <cellStyle name="20% - 강조색5 2 2 2" xfId="509" xr:uid="{00000000-0005-0000-0000-0000CA000000}"/>
    <cellStyle name="20% - 강조색5 2 2 3" xfId="510" xr:uid="{00000000-0005-0000-0000-0000CB000000}"/>
    <cellStyle name="20% - 강조색5 2 2 4" xfId="511" xr:uid="{00000000-0005-0000-0000-0000CC000000}"/>
    <cellStyle name="20% - 강조색5 2 2 5" xfId="512" xr:uid="{00000000-0005-0000-0000-0000CD000000}"/>
    <cellStyle name="20% - 강조색5 2 2 6" xfId="513" xr:uid="{00000000-0005-0000-0000-0000CE000000}"/>
    <cellStyle name="20% - 강조색5 2 3" xfId="514" xr:uid="{00000000-0005-0000-0000-0000CF000000}"/>
    <cellStyle name="20% - 강조색5 2 4" xfId="515" xr:uid="{00000000-0005-0000-0000-0000D0000000}"/>
    <cellStyle name="20% - 강조색5 2 5" xfId="516" xr:uid="{00000000-0005-0000-0000-0000D1000000}"/>
    <cellStyle name="20% - 강조색5 2 6" xfId="517" xr:uid="{00000000-0005-0000-0000-0000D2000000}"/>
    <cellStyle name="20% - 강조색5 3" xfId="518" xr:uid="{00000000-0005-0000-0000-0000D3000000}"/>
    <cellStyle name="20% - 강조색5 4" xfId="519" xr:uid="{00000000-0005-0000-0000-0000D4000000}"/>
    <cellStyle name="20% - 강조색5 5" xfId="520" xr:uid="{00000000-0005-0000-0000-0000D5000000}"/>
    <cellStyle name="20% - 강조색5 6" xfId="521" xr:uid="{00000000-0005-0000-0000-0000D6000000}"/>
    <cellStyle name="20% - 강조색6 2" xfId="522" xr:uid="{00000000-0005-0000-0000-0000D7000000}"/>
    <cellStyle name="20% - 강조색6 2 2" xfId="523" xr:uid="{00000000-0005-0000-0000-0000D8000000}"/>
    <cellStyle name="20% - 강조색6 2 2 2" xfId="524" xr:uid="{00000000-0005-0000-0000-0000D9000000}"/>
    <cellStyle name="20% - 강조색6 2 2 3" xfId="525" xr:uid="{00000000-0005-0000-0000-0000DA000000}"/>
    <cellStyle name="20% - 강조색6 2 2 4" xfId="526" xr:uid="{00000000-0005-0000-0000-0000DB000000}"/>
    <cellStyle name="20% - 강조색6 2 2 5" xfId="527" xr:uid="{00000000-0005-0000-0000-0000DC000000}"/>
    <cellStyle name="20% - 강조색6 2 2 6" xfId="528" xr:uid="{00000000-0005-0000-0000-0000DD000000}"/>
    <cellStyle name="20% - 강조색6 2 3" xfId="529" xr:uid="{00000000-0005-0000-0000-0000DE000000}"/>
    <cellStyle name="20% - 강조색6 2 4" xfId="530" xr:uid="{00000000-0005-0000-0000-0000DF000000}"/>
    <cellStyle name="20% - 강조색6 2 5" xfId="531" xr:uid="{00000000-0005-0000-0000-0000E0000000}"/>
    <cellStyle name="20% - 강조색6 2 6" xfId="532" xr:uid="{00000000-0005-0000-0000-0000E1000000}"/>
    <cellStyle name="20% - 강조색6 3" xfId="533" xr:uid="{00000000-0005-0000-0000-0000E2000000}"/>
    <cellStyle name="20% - 강조색6 4" xfId="534" xr:uid="{00000000-0005-0000-0000-0000E3000000}"/>
    <cellStyle name="20% - 강조색6 5" xfId="535" xr:uid="{00000000-0005-0000-0000-0000E4000000}"/>
    <cellStyle name="20% - 강조색6 6" xfId="536" xr:uid="{00000000-0005-0000-0000-0000E5000000}"/>
    <cellStyle name="40% - Accent1" xfId="537" xr:uid="{00000000-0005-0000-0000-0000E6000000}"/>
    <cellStyle name="40% - Accent1 2" xfId="538" xr:uid="{00000000-0005-0000-0000-0000E7000000}"/>
    <cellStyle name="40% - Accent1 2 2" xfId="539" xr:uid="{00000000-0005-0000-0000-0000E8000000}"/>
    <cellStyle name="40% - Accent1 3" xfId="540" xr:uid="{00000000-0005-0000-0000-0000E9000000}"/>
    <cellStyle name="40% - Accent2" xfId="541" xr:uid="{00000000-0005-0000-0000-0000EA000000}"/>
    <cellStyle name="40% - Accent2 2" xfId="542" xr:uid="{00000000-0005-0000-0000-0000EB000000}"/>
    <cellStyle name="40% - Accent2 2 2" xfId="543" xr:uid="{00000000-0005-0000-0000-0000EC000000}"/>
    <cellStyle name="40% - Accent2 3" xfId="544" xr:uid="{00000000-0005-0000-0000-0000ED000000}"/>
    <cellStyle name="40% - Accent3" xfId="545" xr:uid="{00000000-0005-0000-0000-0000EE000000}"/>
    <cellStyle name="40% - Accent3 2" xfId="546" xr:uid="{00000000-0005-0000-0000-0000EF000000}"/>
    <cellStyle name="40% - Accent3 2 2" xfId="547" xr:uid="{00000000-0005-0000-0000-0000F0000000}"/>
    <cellStyle name="40% - Accent3 3" xfId="548" xr:uid="{00000000-0005-0000-0000-0000F1000000}"/>
    <cellStyle name="40% - Accent4" xfId="549" xr:uid="{00000000-0005-0000-0000-0000F2000000}"/>
    <cellStyle name="40% - Accent4 2" xfId="550" xr:uid="{00000000-0005-0000-0000-0000F3000000}"/>
    <cellStyle name="40% - Accent4 2 2" xfId="551" xr:uid="{00000000-0005-0000-0000-0000F4000000}"/>
    <cellStyle name="40% - Accent4 3" xfId="552" xr:uid="{00000000-0005-0000-0000-0000F5000000}"/>
    <cellStyle name="40% - Accent5" xfId="553" xr:uid="{00000000-0005-0000-0000-0000F6000000}"/>
    <cellStyle name="40% - Accent5 2" xfId="554" xr:uid="{00000000-0005-0000-0000-0000F7000000}"/>
    <cellStyle name="40% - Accent5 2 2" xfId="555" xr:uid="{00000000-0005-0000-0000-0000F8000000}"/>
    <cellStyle name="40% - Accent5 3" xfId="556" xr:uid="{00000000-0005-0000-0000-0000F9000000}"/>
    <cellStyle name="40% - Accent6" xfId="557" xr:uid="{00000000-0005-0000-0000-0000FA000000}"/>
    <cellStyle name="40% - Accent6 2" xfId="558" xr:uid="{00000000-0005-0000-0000-0000FB000000}"/>
    <cellStyle name="40% - Accent6 2 2" xfId="559" xr:uid="{00000000-0005-0000-0000-0000FC000000}"/>
    <cellStyle name="40% - Accent6 3" xfId="560" xr:uid="{00000000-0005-0000-0000-0000FD000000}"/>
    <cellStyle name="40% - 강조색1 2" xfId="561" xr:uid="{00000000-0005-0000-0000-0000FE000000}"/>
    <cellStyle name="40% - 강조색1 2 2" xfId="562" xr:uid="{00000000-0005-0000-0000-0000FF000000}"/>
    <cellStyle name="40% - 강조색1 2 2 2" xfId="563" xr:uid="{00000000-0005-0000-0000-000000010000}"/>
    <cellStyle name="40% - 강조색1 2 2 3" xfId="564" xr:uid="{00000000-0005-0000-0000-000001010000}"/>
    <cellStyle name="40% - 강조색1 2 2 4" xfId="565" xr:uid="{00000000-0005-0000-0000-000002010000}"/>
    <cellStyle name="40% - 강조색1 2 2 5" xfId="566" xr:uid="{00000000-0005-0000-0000-000003010000}"/>
    <cellStyle name="40% - 강조색1 2 2 6" xfId="567" xr:uid="{00000000-0005-0000-0000-000004010000}"/>
    <cellStyle name="40% - 강조색1 2 3" xfId="568" xr:uid="{00000000-0005-0000-0000-000005010000}"/>
    <cellStyle name="40% - 강조색1 2 4" xfId="569" xr:uid="{00000000-0005-0000-0000-000006010000}"/>
    <cellStyle name="40% - 강조색1 2 5" xfId="570" xr:uid="{00000000-0005-0000-0000-000007010000}"/>
    <cellStyle name="40% - 강조색1 2 6" xfId="571" xr:uid="{00000000-0005-0000-0000-000008010000}"/>
    <cellStyle name="40% - 강조색1 3" xfId="572" xr:uid="{00000000-0005-0000-0000-000009010000}"/>
    <cellStyle name="40% - 강조색1 4" xfId="573" xr:uid="{00000000-0005-0000-0000-00000A010000}"/>
    <cellStyle name="40% - 강조색1 5" xfId="574" xr:uid="{00000000-0005-0000-0000-00000B010000}"/>
    <cellStyle name="40% - 강조색1 6" xfId="575" xr:uid="{00000000-0005-0000-0000-00000C010000}"/>
    <cellStyle name="40% - 강조색2 2" xfId="576" xr:uid="{00000000-0005-0000-0000-00000D010000}"/>
    <cellStyle name="40% - 강조색2 2 2" xfId="577" xr:uid="{00000000-0005-0000-0000-00000E010000}"/>
    <cellStyle name="40% - 강조색2 2 2 2" xfId="578" xr:uid="{00000000-0005-0000-0000-00000F010000}"/>
    <cellStyle name="40% - 강조색2 2 2 3" xfId="579" xr:uid="{00000000-0005-0000-0000-000010010000}"/>
    <cellStyle name="40% - 강조색2 2 2 4" xfId="580" xr:uid="{00000000-0005-0000-0000-000011010000}"/>
    <cellStyle name="40% - 강조색2 2 2 5" xfId="581" xr:uid="{00000000-0005-0000-0000-000012010000}"/>
    <cellStyle name="40% - 강조색2 2 2 6" xfId="582" xr:uid="{00000000-0005-0000-0000-000013010000}"/>
    <cellStyle name="40% - 강조색2 2 3" xfId="583" xr:uid="{00000000-0005-0000-0000-000014010000}"/>
    <cellStyle name="40% - 강조색2 2 4" xfId="584" xr:uid="{00000000-0005-0000-0000-000015010000}"/>
    <cellStyle name="40% - 강조색2 2 5" xfId="585" xr:uid="{00000000-0005-0000-0000-000016010000}"/>
    <cellStyle name="40% - 강조색2 2 6" xfId="586" xr:uid="{00000000-0005-0000-0000-000017010000}"/>
    <cellStyle name="40% - 강조색2 3" xfId="587" xr:uid="{00000000-0005-0000-0000-000018010000}"/>
    <cellStyle name="40% - 강조색2 4" xfId="588" xr:uid="{00000000-0005-0000-0000-000019010000}"/>
    <cellStyle name="40% - 강조색2 5" xfId="589" xr:uid="{00000000-0005-0000-0000-00001A010000}"/>
    <cellStyle name="40% - 강조색2 6" xfId="590" xr:uid="{00000000-0005-0000-0000-00001B010000}"/>
    <cellStyle name="40% - 강조색3 2" xfId="591" xr:uid="{00000000-0005-0000-0000-00001C010000}"/>
    <cellStyle name="40% - 강조색3 2 2" xfId="592" xr:uid="{00000000-0005-0000-0000-00001D010000}"/>
    <cellStyle name="40% - 강조색3 2 2 2" xfId="593" xr:uid="{00000000-0005-0000-0000-00001E010000}"/>
    <cellStyle name="40% - 강조색3 2 2 3" xfId="594" xr:uid="{00000000-0005-0000-0000-00001F010000}"/>
    <cellStyle name="40% - 강조색3 2 2 4" xfId="595" xr:uid="{00000000-0005-0000-0000-000020010000}"/>
    <cellStyle name="40% - 강조색3 2 2 5" xfId="596" xr:uid="{00000000-0005-0000-0000-000021010000}"/>
    <cellStyle name="40% - 강조색3 2 2 6" xfId="597" xr:uid="{00000000-0005-0000-0000-000022010000}"/>
    <cellStyle name="40% - 강조색3 2 3" xfId="598" xr:uid="{00000000-0005-0000-0000-000023010000}"/>
    <cellStyle name="40% - 강조색3 2 4" xfId="599" xr:uid="{00000000-0005-0000-0000-000024010000}"/>
    <cellStyle name="40% - 강조색3 2 5" xfId="600" xr:uid="{00000000-0005-0000-0000-000025010000}"/>
    <cellStyle name="40% - 강조색3 2 6" xfId="601" xr:uid="{00000000-0005-0000-0000-000026010000}"/>
    <cellStyle name="40% - 강조색3 3" xfId="602" xr:uid="{00000000-0005-0000-0000-000027010000}"/>
    <cellStyle name="40% - 강조색3 4" xfId="603" xr:uid="{00000000-0005-0000-0000-000028010000}"/>
    <cellStyle name="40% - 강조색3 5" xfId="604" xr:uid="{00000000-0005-0000-0000-000029010000}"/>
    <cellStyle name="40% - 강조색3 6" xfId="605" xr:uid="{00000000-0005-0000-0000-00002A010000}"/>
    <cellStyle name="40% - 강조색4 2" xfId="606" xr:uid="{00000000-0005-0000-0000-00002B010000}"/>
    <cellStyle name="40% - 강조색4 2 2" xfId="607" xr:uid="{00000000-0005-0000-0000-00002C010000}"/>
    <cellStyle name="40% - 강조색4 2 2 2" xfId="608" xr:uid="{00000000-0005-0000-0000-00002D010000}"/>
    <cellStyle name="40% - 강조색4 2 2 3" xfId="609" xr:uid="{00000000-0005-0000-0000-00002E010000}"/>
    <cellStyle name="40% - 강조색4 2 2 4" xfId="610" xr:uid="{00000000-0005-0000-0000-00002F010000}"/>
    <cellStyle name="40% - 강조색4 2 2 5" xfId="611" xr:uid="{00000000-0005-0000-0000-000030010000}"/>
    <cellStyle name="40% - 강조색4 2 2 6" xfId="612" xr:uid="{00000000-0005-0000-0000-000031010000}"/>
    <cellStyle name="40% - 강조색4 2 3" xfId="613" xr:uid="{00000000-0005-0000-0000-000032010000}"/>
    <cellStyle name="40% - 강조색4 2 4" xfId="614" xr:uid="{00000000-0005-0000-0000-000033010000}"/>
    <cellStyle name="40% - 강조색4 2 5" xfId="615" xr:uid="{00000000-0005-0000-0000-000034010000}"/>
    <cellStyle name="40% - 강조색4 2 6" xfId="616" xr:uid="{00000000-0005-0000-0000-000035010000}"/>
    <cellStyle name="40% - 강조색4 3" xfId="617" xr:uid="{00000000-0005-0000-0000-000036010000}"/>
    <cellStyle name="40% - 강조색4 4" xfId="618" xr:uid="{00000000-0005-0000-0000-000037010000}"/>
    <cellStyle name="40% - 강조색4 5" xfId="619" xr:uid="{00000000-0005-0000-0000-000038010000}"/>
    <cellStyle name="40% - 강조색4 6" xfId="620" xr:uid="{00000000-0005-0000-0000-000039010000}"/>
    <cellStyle name="40% - 강조색5 2" xfId="621" xr:uid="{00000000-0005-0000-0000-00003A010000}"/>
    <cellStyle name="40% - 강조색5 2 2" xfId="622" xr:uid="{00000000-0005-0000-0000-00003B010000}"/>
    <cellStyle name="40% - 강조색5 2 2 2" xfId="623" xr:uid="{00000000-0005-0000-0000-00003C010000}"/>
    <cellStyle name="40% - 강조색5 2 2 3" xfId="624" xr:uid="{00000000-0005-0000-0000-00003D010000}"/>
    <cellStyle name="40% - 강조색5 2 2 4" xfId="625" xr:uid="{00000000-0005-0000-0000-00003E010000}"/>
    <cellStyle name="40% - 강조색5 2 2 5" xfId="626" xr:uid="{00000000-0005-0000-0000-00003F010000}"/>
    <cellStyle name="40% - 강조색5 2 2 6" xfId="627" xr:uid="{00000000-0005-0000-0000-000040010000}"/>
    <cellStyle name="40% - 강조색5 2 3" xfId="628" xr:uid="{00000000-0005-0000-0000-000041010000}"/>
    <cellStyle name="40% - 강조색5 2 4" xfId="629" xr:uid="{00000000-0005-0000-0000-000042010000}"/>
    <cellStyle name="40% - 강조색5 2 5" xfId="630" xr:uid="{00000000-0005-0000-0000-000043010000}"/>
    <cellStyle name="40% - 강조색5 2 6" xfId="631" xr:uid="{00000000-0005-0000-0000-000044010000}"/>
    <cellStyle name="40% - 강조색5 3" xfId="632" xr:uid="{00000000-0005-0000-0000-000045010000}"/>
    <cellStyle name="40% - 강조색5 4" xfId="633" xr:uid="{00000000-0005-0000-0000-000046010000}"/>
    <cellStyle name="40% - 강조색5 5" xfId="634" xr:uid="{00000000-0005-0000-0000-000047010000}"/>
    <cellStyle name="40% - 강조색5 6" xfId="635" xr:uid="{00000000-0005-0000-0000-000048010000}"/>
    <cellStyle name="40% - 강조색6 2" xfId="636" xr:uid="{00000000-0005-0000-0000-000049010000}"/>
    <cellStyle name="40% - 강조색6 2 2" xfId="637" xr:uid="{00000000-0005-0000-0000-00004A010000}"/>
    <cellStyle name="40% - 강조색6 2 2 2" xfId="638" xr:uid="{00000000-0005-0000-0000-00004B010000}"/>
    <cellStyle name="40% - 강조색6 2 2 3" xfId="639" xr:uid="{00000000-0005-0000-0000-00004C010000}"/>
    <cellStyle name="40% - 강조색6 2 2 4" xfId="640" xr:uid="{00000000-0005-0000-0000-00004D010000}"/>
    <cellStyle name="40% - 강조색6 2 2 5" xfId="641" xr:uid="{00000000-0005-0000-0000-00004E010000}"/>
    <cellStyle name="40% - 강조색6 2 2 6" xfId="642" xr:uid="{00000000-0005-0000-0000-00004F010000}"/>
    <cellStyle name="40% - 강조색6 2 3" xfId="643" xr:uid="{00000000-0005-0000-0000-000050010000}"/>
    <cellStyle name="40% - 강조색6 2 4" xfId="644" xr:uid="{00000000-0005-0000-0000-000051010000}"/>
    <cellStyle name="40% - 강조색6 2 5" xfId="645" xr:uid="{00000000-0005-0000-0000-000052010000}"/>
    <cellStyle name="40% - 강조색6 2 6" xfId="646" xr:uid="{00000000-0005-0000-0000-000053010000}"/>
    <cellStyle name="40% - 강조색6 3" xfId="647" xr:uid="{00000000-0005-0000-0000-000054010000}"/>
    <cellStyle name="40% - 강조색6 4" xfId="648" xr:uid="{00000000-0005-0000-0000-000055010000}"/>
    <cellStyle name="40% - 강조색6 5" xfId="649" xr:uid="{00000000-0005-0000-0000-000056010000}"/>
    <cellStyle name="40% - 강조색6 6" xfId="650" xr:uid="{00000000-0005-0000-0000-000057010000}"/>
    <cellStyle name="60% - Accent1" xfId="651" xr:uid="{00000000-0005-0000-0000-000058010000}"/>
    <cellStyle name="60% - Accent1 2" xfId="652" xr:uid="{00000000-0005-0000-0000-000059010000}"/>
    <cellStyle name="60% - Accent2" xfId="653" xr:uid="{00000000-0005-0000-0000-00005A010000}"/>
    <cellStyle name="60% - Accent2 2" xfId="654" xr:uid="{00000000-0005-0000-0000-00005B010000}"/>
    <cellStyle name="60% - Accent3" xfId="655" xr:uid="{00000000-0005-0000-0000-00005C010000}"/>
    <cellStyle name="60% - Accent3 2" xfId="656" xr:uid="{00000000-0005-0000-0000-00005D010000}"/>
    <cellStyle name="60% - Accent4" xfId="657" xr:uid="{00000000-0005-0000-0000-00005E010000}"/>
    <cellStyle name="60% - Accent4 2" xfId="658" xr:uid="{00000000-0005-0000-0000-00005F010000}"/>
    <cellStyle name="60% - Accent5" xfId="659" xr:uid="{00000000-0005-0000-0000-000060010000}"/>
    <cellStyle name="60% - Accent5 2" xfId="660" xr:uid="{00000000-0005-0000-0000-000061010000}"/>
    <cellStyle name="60% - Accent6" xfId="661" xr:uid="{00000000-0005-0000-0000-000062010000}"/>
    <cellStyle name="60% - Accent6 2" xfId="662" xr:uid="{00000000-0005-0000-0000-000063010000}"/>
    <cellStyle name="60% - 강조색1 2" xfId="663" xr:uid="{00000000-0005-0000-0000-000064010000}"/>
    <cellStyle name="60% - 강조색1 2 2" xfId="664" xr:uid="{00000000-0005-0000-0000-000065010000}"/>
    <cellStyle name="60% - 강조색1 2 2 2" xfId="665" xr:uid="{00000000-0005-0000-0000-000066010000}"/>
    <cellStyle name="60% - 강조색1 2 2 3" xfId="666" xr:uid="{00000000-0005-0000-0000-000067010000}"/>
    <cellStyle name="60% - 강조색1 2 2 4" xfId="667" xr:uid="{00000000-0005-0000-0000-000068010000}"/>
    <cellStyle name="60% - 강조색1 2 2 5" xfId="668" xr:uid="{00000000-0005-0000-0000-000069010000}"/>
    <cellStyle name="60% - 강조색1 2 2 6" xfId="669" xr:uid="{00000000-0005-0000-0000-00006A010000}"/>
    <cellStyle name="60% - 강조색1 2 3" xfId="670" xr:uid="{00000000-0005-0000-0000-00006B010000}"/>
    <cellStyle name="60% - 강조색1 2 4" xfId="671" xr:uid="{00000000-0005-0000-0000-00006C010000}"/>
    <cellStyle name="60% - 강조색1 2 5" xfId="672" xr:uid="{00000000-0005-0000-0000-00006D010000}"/>
    <cellStyle name="60% - 강조색1 3" xfId="673" xr:uid="{00000000-0005-0000-0000-00006E010000}"/>
    <cellStyle name="60% - 강조색1 4" xfId="674" xr:uid="{00000000-0005-0000-0000-00006F010000}"/>
    <cellStyle name="60% - 강조색1 5" xfId="675" xr:uid="{00000000-0005-0000-0000-000070010000}"/>
    <cellStyle name="60% - 강조색1 6" xfId="676" xr:uid="{00000000-0005-0000-0000-000071010000}"/>
    <cellStyle name="60% - 강조색2 2" xfId="677" xr:uid="{00000000-0005-0000-0000-000072010000}"/>
    <cellStyle name="60% - 강조색2 2 2" xfId="678" xr:uid="{00000000-0005-0000-0000-000073010000}"/>
    <cellStyle name="60% - 강조색2 2 2 2" xfId="679" xr:uid="{00000000-0005-0000-0000-000074010000}"/>
    <cellStyle name="60% - 강조색2 2 2 3" xfId="680" xr:uid="{00000000-0005-0000-0000-000075010000}"/>
    <cellStyle name="60% - 강조색2 2 2 4" xfId="681" xr:uid="{00000000-0005-0000-0000-000076010000}"/>
    <cellStyle name="60% - 강조색2 2 2 5" xfId="682" xr:uid="{00000000-0005-0000-0000-000077010000}"/>
    <cellStyle name="60% - 강조색2 2 2 6" xfId="683" xr:uid="{00000000-0005-0000-0000-000078010000}"/>
    <cellStyle name="60% - 강조색2 2 3" xfId="684" xr:uid="{00000000-0005-0000-0000-000079010000}"/>
    <cellStyle name="60% - 강조색2 2 4" xfId="685" xr:uid="{00000000-0005-0000-0000-00007A010000}"/>
    <cellStyle name="60% - 강조색2 2 5" xfId="686" xr:uid="{00000000-0005-0000-0000-00007B010000}"/>
    <cellStyle name="60% - 강조색2 3" xfId="687" xr:uid="{00000000-0005-0000-0000-00007C010000}"/>
    <cellStyle name="60% - 강조색2 4" xfId="688" xr:uid="{00000000-0005-0000-0000-00007D010000}"/>
    <cellStyle name="60% - 강조색2 5" xfId="689" xr:uid="{00000000-0005-0000-0000-00007E010000}"/>
    <cellStyle name="60% - 강조색2 6" xfId="690" xr:uid="{00000000-0005-0000-0000-00007F010000}"/>
    <cellStyle name="60% - 강조색3 2" xfId="691" xr:uid="{00000000-0005-0000-0000-000080010000}"/>
    <cellStyle name="60% - 강조색3 2 2" xfId="692" xr:uid="{00000000-0005-0000-0000-000081010000}"/>
    <cellStyle name="60% - 강조색3 2 2 2" xfId="693" xr:uid="{00000000-0005-0000-0000-000082010000}"/>
    <cellStyle name="60% - 강조색3 2 2 3" xfId="694" xr:uid="{00000000-0005-0000-0000-000083010000}"/>
    <cellStyle name="60% - 강조색3 2 2 4" xfId="695" xr:uid="{00000000-0005-0000-0000-000084010000}"/>
    <cellStyle name="60% - 강조색3 2 2 5" xfId="696" xr:uid="{00000000-0005-0000-0000-000085010000}"/>
    <cellStyle name="60% - 강조색3 2 2 6" xfId="697" xr:uid="{00000000-0005-0000-0000-000086010000}"/>
    <cellStyle name="60% - 강조색3 2 3" xfId="698" xr:uid="{00000000-0005-0000-0000-000087010000}"/>
    <cellStyle name="60% - 강조색3 2 4" xfId="699" xr:uid="{00000000-0005-0000-0000-000088010000}"/>
    <cellStyle name="60% - 강조색3 2 5" xfId="700" xr:uid="{00000000-0005-0000-0000-000089010000}"/>
    <cellStyle name="60% - 강조색3 3" xfId="701" xr:uid="{00000000-0005-0000-0000-00008A010000}"/>
    <cellStyle name="60% - 강조색3 4" xfId="702" xr:uid="{00000000-0005-0000-0000-00008B010000}"/>
    <cellStyle name="60% - 강조색3 5" xfId="703" xr:uid="{00000000-0005-0000-0000-00008C010000}"/>
    <cellStyle name="60% - 강조색3 6" xfId="704" xr:uid="{00000000-0005-0000-0000-00008D010000}"/>
    <cellStyle name="60% - 강조색4 2" xfId="705" xr:uid="{00000000-0005-0000-0000-00008E010000}"/>
    <cellStyle name="60% - 강조색4 2 2" xfId="706" xr:uid="{00000000-0005-0000-0000-00008F010000}"/>
    <cellStyle name="60% - 강조색4 2 2 2" xfId="707" xr:uid="{00000000-0005-0000-0000-000090010000}"/>
    <cellStyle name="60% - 강조색4 2 2 3" xfId="708" xr:uid="{00000000-0005-0000-0000-000091010000}"/>
    <cellStyle name="60% - 강조색4 2 2 4" xfId="709" xr:uid="{00000000-0005-0000-0000-000092010000}"/>
    <cellStyle name="60% - 강조색4 2 2 5" xfId="710" xr:uid="{00000000-0005-0000-0000-000093010000}"/>
    <cellStyle name="60% - 강조색4 2 2 6" xfId="711" xr:uid="{00000000-0005-0000-0000-000094010000}"/>
    <cellStyle name="60% - 강조색4 2 3" xfId="712" xr:uid="{00000000-0005-0000-0000-000095010000}"/>
    <cellStyle name="60% - 강조색4 2 4" xfId="713" xr:uid="{00000000-0005-0000-0000-000096010000}"/>
    <cellStyle name="60% - 강조색4 2 5" xfId="714" xr:uid="{00000000-0005-0000-0000-000097010000}"/>
    <cellStyle name="60% - 강조색4 3" xfId="715" xr:uid="{00000000-0005-0000-0000-000098010000}"/>
    <cellStyle name="60% - 강조색4 4" xfId="716" xr:uid="{00000000-0005-0000-0000-000099010000}"/>
    <cellStyle name="60% - 강조색4 5" xfId="717" xr:uid="{00000000-0005-0000-0000-00009A010000}"/>
    <cellStyle name="60% - 강조색4 6" xfId="718" xr:uid="{00000000-0005-0000-0000-00009B010000}"/>
    <cellStyle name="60% - 강조색5 2" xfId="719" xr:uid="{00000000-0005-0000-0000-00009C010000}"/>
    <cellStyle name="60% - 강조색5 2 2" xfId="720" xr:uid="{00000000-0005-0000-0000-00009D010000}"/>
    <cellStyle name="60% - 강조색5 2 2 2" xfId="721" xr:uid="{00000000-0005-0000-0000-00009E010000}"/>
    <cellStyle name="60% - 강조색5 2 2 3" xfId="722" xr:uid="{00000000-0005-0000-0000-00009F010000}"/>
    <cellStyle name="60% - 강조색5 2 2 4" xfId="723" xr:uid="{00000000-0005-0000-0000-0000A0010000}"/>
    <cellStyle name="60% - 강조색5 2 2 5" xfId="724" xr:uid="{00000000-0005-0000-0000-0000A1010000}"/>
    <cellStyle name="60% - 강조색5 2 2 6" xfId="725" xr:uid="{00000000-0005-0000-0000-0000A2010000}"/>
    <cellStyle name="60% - 강조색5 2 3" xfId="726" xr:uid="{00000000-0005-0000-0000-0000A3010000}"/>
    <cellStyle name="60% - 강조색5 2 4" xfId="727" xr:uid="{00000000-0005-0000-0000-0000A4010000}"/>
    <cellStyle name="60% - 강조색5 2 5" xfId="728" xr:uid="{00000000-0005-0000-0000-0000A5010000}"/>
    <cellStyle name="60% - 강조색5 3" xfId="729" xr:uid="{00000000-0005-0000-0000-0000A6010000}"/>
    <cellStyle name="60% - 강조색5 4" xfId="730" xr:uid="{00000000-0005-0000-0000-0000A7010000}"/>
    <cellStyle name="60% - 강조색5 5" xfId="731" xr:uid="{00000000-0005-0000-0000-0000A8010000}"/>
    <cellStyle name="60% - 강조색5 6" xfId="732" xr:uid="{00000000-0005-0000-0000-0000A9010000}"/>
    <cellStyle name="60% - 강조색6 2" xfId="733" xr:uid="{00000000-0005-0000-0000-0000AA010000}"/>
    <cellStyle name="60% - 강조색6 2 2" xfId="734" xr:uid="{00000000-0005-0000-0000-0000AB010000}"/>
    <cellStyle name="60% - 강조색6 2 2 2" xfId="735" xr:uid="{00000000-0005-0000-0000-0000AC010000}"/>
    <cellStyle name="60% - 강조색6 2 2 3" xfId="736" xr:uid="{00000000-0005-0000-0000-0000AD010000}"/>
    <cellStyle name="60% - 강조색6 2 2 4" xfId="737" xr:uid="{00000000-0005-0000-0000-0000AE010000}"/>
    <cellStyle name="60% - 강조색6 2 2 5" xfId="738" xr:uid="{00000000-0005-0000-0000-0000AF010000}"/>
    <cellStyle name="60% - 강조색6 2 2 6" xfId="739" xr:uid="{00000000-0005-0000-0000-0000B0010000}"/>
    <cellStyle name="60% - 강조색6 2 3" xfId="740" xr:uid="{00000000-0005-0000-0000-0000B1010000}"/>
    <cellStyle name="60% - 강조색6 2 4" xfId="741" xr:uid="{00000000-0005-0000-0000-0000B2010000}"/>
    <cellStyle name="60% - 강조색6 2 5" xfId="742" xr:uid="{00000000-0005-0000-0000-0000B3010000}"/>
    <cellStyle name="60% - 강조색6 3" xfId="743" xr:uid="{00000000-0005-0000-0000-0000B4010000}"/>
    <cellStyle name="60% - 강조색6 4" xfId="744" xr:uid="{00000000-0005-0000-0000-0000B5010000}"/>
    <cellStyle name="60% - 강조색6 5" xfId="745" xr:uid="{00000000-0005-0000-0000-0000B6010000}"/>
    <cellStyle name="60% - 강조색6 6" xfId="746" xr:uid="{00000000-0005-0000-0000-0000B7010000}"/>
    <cellStyle name="Ⅷ" xfId="747" xr:uid="{00000000-0005-0000-0000-0000B8010000}"/>
    <cellStyle name="A¨­￠￢￠O [0]_¨uoAa¨oCAu " xfId="748" xr:uid="{00000000-0005-0000-0000-0000B9010000}"/>
    <cellStyle name="A¨­￠￢￠O_¨uoAa¨oCAu " xfId="749" xr:uid="{00000000-0005-0000-0000-0000BA010000}"/>
    <cellStyle name="Accent1" xfId="750" xr:uid="{00000000-0005-0000-0000-0000BB010000}"/>
    <cellStyle name="Accent1 2" xfId="751" xr:uid="{00000000-0005-0000-0000-0000BC010000}"/>
    <cellStyle name="Accent2" xfId="752" xr:uid="{00000000-0005-0000-0000-0000BD010000}"/>
    <cellStyle name="Accent2 2" xfId="753" xr:uid="{00000000-0005-0000-0000-0000BE010000}"/>
    <cellStyle name="Accent3" xfId="754" xr:uid="{00000000-0005-0000-0000-0000BF010000}"/>
    <cellStyle name="Accent3 2" xfId="755" xr:uid="{00000000-0005-0000-0000-0000C0010000}"/>
    <cellStyle name="Accent4" xfId="756" xr:uid="{00000000-0005-0000-0000-0000C1010000}"/>
    <cellStyle name="Accent4 2" xfId="757" xr:uid="{00000000-0005-0000-0000-0000C2010000}"/>
    <cellStyle name="Accent5" xfId="758" xr:uid="{00000000-0005-0000-0000-0000C3010000}"/>
    <cellStyle name="Accent5 2" xfId="759" xr:uid="{00000000-0005-0000-0000-0000C4010000}"/>
    <cellStyle name="Accent6" xfId="760" xr:uid="{00000000-0005-0000-0000-0000C5010000}"/>
    <cellStyle name="Accent6 2" xfId="761" xr:uid="{00000000-0005-0000-0000-0000C6010000}"/>
    <cellStyle name="AeE­ [0]_¸AAa" xfId="762" xr:uid="{00000000-0005-0000-0000-0000C7010000}"/>
    <cellStyle name="ÅëÈ­ [0]_¿µ¾÷1ÆÀ " xfId="763" xr:uid="{00000000-0005-0000-0000-0000C8010000}"/>
    <cellStyle name="AeE­ [0]_¿a¾aC￥_PE원단위 Rev1 " xfId="764" xr:uid="{00000000-0005-0000-0000-0000C9010000}"/>
    <cellStyle name="ÅëÈ­ [0]_±¸¸Å¿¹»ó·® " xfId="765" xr:uid="{00000000-0005-0000-0000-0000CA010000}"/>
    <cellStyle name="AeE­ [0]_±¸¸A¿¹≫o·R " xfId="766" xr:uid="{00000000-0005-0000-0000-0000CB010000}"/>
    <cellStyle name="ÅëÈ­ [0]_A" xfId="3" xr:uid="{00000000-0005-0000-0000-0000CC010000}"/>
    <cellStyle name="AeE­ [0]_INQUIRY ¿μ¾÷AßAø " xfId="767" xr:uid="{00000000-0005-0000-0000-0000CD010000}"/>
    <cellStyle name="AeE­_¸AAa" xfId="768" xr:uid="{00000000-0005-0000-0000-0000CE010000}"/>
    <cellStyle name="ÅëÈ­_¿µ¾÷1ÆÀ " xfId="769" xr:uid="{00000000-0005-0000-0000-0000CF010000}"/>
    <cellStyle name="AeE­_±¸¸A¿¹≫o·R " xfId="770" xr:uid="{00000000-0005-0000-0000-0000D0010000}"/>
    <cellStyle name="ÅëÈ­_A" xfId="4" xr:uid="{00000000-0005-0000-0000-0000D1010000}"/>
    <cellStyle name="AeE­_INQUIRY ¿μ¾÷AßAø " xfId="771" xr:uid="{00000000-0005-0000-0000-0000D2010000}"/>
    <cellStyle name="AeE¡ⓒ [0]_¨uoAa¨oCAu " xfId="772" xr:uid="{00000000-0005-0000-0000-0000D3010000}"/>
    <cellStyle name="AeE¡ⓒ_¨uoAa¨oCAu " xfId="773" xr:uid="{00000000-0005-0000-0000-0000D4010000}"/>
    <cellStyle name="ariel 7" xfId="5" xr:uid="{00000000-0005-0000-0000-0000D5010000}"/>
    <cellStyle name="AÞ¸¶ [0]_¸AAa" xfId="774" xr:uid="{00000000-0005-0000-0000-0000D6010000}"/>
    <cellStyle name="ÄÞ¸¶ [0]_¿µ¾÷1ÆÀ " xfId="775" xr:uid="{00000000-0005-0000-0000-0000D7010000}"/>
    <cellStyle name="AÞ¸¶ [0]_±¸¸A¿¹≫o·R " xfId="776" xr:uid="{00000000-0005-0000-0000-0000D8010000}"/>
    <cellStyle name="ÄÞ¸¶ [0]_A" xfId="6" xr:uid="{00000000-0005-0000-0000-0000D9010000}"/>
    <cellStyle name="AÞ¸¶ [0]_INQUIRY ¿μ¾÷AßAø " xfId="777" xr:uid="{00000000-0005-0000-0000-0000DA010000}"/>
    <cellStyle name="AÞ¸¶_¸AAa" xfId="778" xr:uid="{00000000-0005-0000-0000-0000DB010000}"/>
    <cellStyle name="ÄÞ¸¶_¿µ¾÷1ÆÀ " xfId="779" xr:uid="{00000000-0005-0000-0000-0000DC010000}"/>
    <cellStyle name="AÞ¸¶_±¸¸A¿¹≫o·R " xfId="780" xr:uid="{00000000-0005-0000-0000-0000DD010000}"/>
    <cellStyle name="ÄÞ¸¶_A" xfId="7" xr:uid="{00000000-0005-0000-0000-0000DE010000}"/>
    <cellStyle name="AÞ¸¶_INQUIRY ¿μ¾÷AßAø " xfId="781" xr:uid="{00000000-0005-0000-0000-0000DF010000}"/>
    <cellStyle name="_x000f_b" xfId="782" xr:uid="{00000000-0005-0000-0000-0000E0010000}"/>
    <cellStyle name="_x0010_b" xfId="783" xr:uid="{00000000-0005-0000-0000-0000E1010000}"/>
    <cellStyle name="_x0011_b" xfId="784" xr:uid="{00000000-0005-0000-0000-0000E2010000}"/>
    <cellStyle name="_x0012_b" xfId="785" xr:uid="{00000000-0005-0000-0000-0000E3010000}"/>
    <cellStyle name="_x0013_b" xfId="786" xr:uid="{00000000-0005-0000-0000-0000E4010000}"/>
    <cellStyle name="_x000f_b 2" xfId="787" xr:uid="{00000000-0005-0000-0000-0000E5010000}"/>
    <cellStyle name="_x0010_b 2" xfId="788" xr:uid="{00000000-0005-0000-0000-0000E6010000}"/>
    <cellStyle name="_x0011_b 2" xfId="789" xr:uid="{00000000-0005-0000-0000-0000E7010000}"/>
    <cellStyle name="_x0012_b 2" xfId="790" xr:uid="{00000000-0005-0000-0000-0000E8010000}"/>
    <cellStyle name="_x0013_b 2" xfId="791" xr:uid="{00000000-0005-0000-0000-0000E9010000}"/>
    <cellStyle name="_x000f_b 3" xfId="792" xr:uid="{00000000-0005-0000-0000-0000EA010000}"/>
    <cellStyle name="_x0010_b 3" xfId="793" xr:uid="{00000000-0005-0000-0000-0000EB010000}"/>
    <cellStyle name="_x0011_b 3" xfId="794" xr:uid="{00000000-0005-0000-0000-0000EC010000}"/>
    <cellStyle name="_x0012_b 3" xfId="795" xr:uid="{00000000-0005-0000-0000-0000ED010000}"/>
    <cellStyle name="_x0013_b 3" xfId="796" xr:uid="{00000000-0005-0000-0000-0000EE010000}"/>
    <cellStyle name="_x000f_b 4" xfId="797" xr:uid="{00000000-0005-0000-0000-0000EF010000}"/>
    <cellStyle name="_x0010_b 4" xfId="798" xr:uid="{00000000-0005-0000-0000-0000F0010000}"/>
    <cellStyle name="_x0011_b 4" xfId="799" xr:uid="{00000000-0005-0000-0000-0000F1010000}"/>
    <cellStyle name="_x0012_b 4" xfId="800" xr:uid="{00000000-0005-0000-0000-0000F2010000}"/>
    <cellStyle name="_x0013_b 4" xfId="801" xr:uid="{00000000-0005-0000-0000-0000F3010000}"/>
    <cellStyle name="Bad" xfId="802" xr:uid="{00000000-0005-0000-0000-0000F4010000}"/>
    <cellStyle name="Bad 2" xfId="8" xr:uid="{00000000-0005-0000-0000-0000F5010000}"/>
    <cellStyle name="Bad 2 10" xfId="9" xr:uid="{00000000-0005-0000-0000-0000F6010000}"/>
    <cellStyle name="Bad 2 11" xfId="10" xr:uid="{00000000-0005-0000-0000-0000F7010000}"/>
    <cellStyle name="Bad 2 12" xfId="11" xr:uid="{00000000-0005-0000-0000-0000F8010000}"/>
    <cellStyle name="Bad 2 13" xfId="12" xr:uid="{00000000-0005-0000-0000-0000F9010000}"/>
    <cellStyle name="Bad 2 14" xfId="13" xr:uid="{00000000-0005-0000-0000-0000FA010000}"/>
    <cellStyle name="Bad 2 15" xfId="14" xr:uid="{00000000-0005-0000-0000-0000FB010000}"/>
    <cellStyle name="Bad 2 16" xfId="15" xr:uid="{00000000-0005-0000-0000-0000FC010000}"/>
    <cellStyle name="Bad 2 17" xfId="16" xr:uid="{00000000-0005-0000-0000-0000FD010000}"/>
    <cellStyle name="Bad 2 18" xfId="17" xr:uid="{00000000-0005-0000-0000-0000FE010000}"/>
    <cellStyle name="Bad 2 19" xfId="18" xr:uid="{00000000-0005-0000-0000-0000FF010000}"/>
    <cellStyle name="Bad 2 2" xfId="19" xr:uid="{00000000-0005-0000-0000-000000020000}"/>
    <cellStyle name="Bad 2 20" xfId="20" xr:uid="{00000000-0005-0000-0000-000001020000}"/>
    <cellStyle name="Bad 2 21" xfId="297" xr:uid="{00000000-0005-0000-0000-000002020000}"/>
    <cellStyle name="Bad 2 22" xfId="803" xr:uid="{00000000-0005-0000-0000-000003020000}"/>
    <cellStyle name="Bad 2 23" xfId="804" xr:uid="{00000000-0005-0000-0000-000004020000}"/>
    <cellStyle name="Bad 2 24" xfId="805" xr:uid="{00000000-0005-0000-0000-000005020000}"/>
    <cellStyle name="Bad 2 25" xfId="806" xr:uid="{00000000-0005-0000-0000-000006020000}"/>
    <cellStyle name="Bad 2 26" xfId="807" xr:uid="{00000000-0005-0000-0000-000007020000}"/>
    <cellStyle name="Bad 2 3" xfId="21" xr:uid="{00000000-0005-0000-0000-000008020000}"/>
    <cellStyle name="Bad 2 4" xfId="22" xr:uid="{00000000-0005-0000-0000-000009020000}"/>
    <cellStyle name="Bad 2 5" xfId="23" xr:uid="{00000000-0005-0000-0000-00000A020000}"/>
    <cellStyle name="Bad 2 6" xfId="24" xr:uid="{00000000-0005-0000-0000-00000B020000}"/>
    <cellStyle name="Bad 2 7" xfId="25" xr:uid="{00000000-0005-0000-0000-00000C020000}"/>
    <cellStyle name="Bad 2 8" xfId="26" xr:uid="{00000000-0005-0000-0000-00000D020000}"/>
    <cellStyle name="Bad 2 9" xfId="27" xr:uid="{00000000-0005-0000-0000-00000E020000}"/>
    <cellStyle name="C¡IA¨ª_¡ic¨u¡A¨￢I¨￢¡Æ AN¡Æe " xfId="808" xr:uid="{00000000-0005-0000-0000-00000F020000}"/>
    <cellStyle name="C￥AØ_(A¤º¸ºI¹R)¿uº°AI¿ø°eE¹" xfId="809" xr:uid="{00000000-0005-0000-0000-000010020000}"/>
    <cellStyle name="Ç¥ÁØ_¿µ¾÷1ÆÀ " xfId="810" xr:uid="{00000000-0005-0000-0000-000011020000}"/>
    <cellStyle name="C￥AØ_¿uº°A¸≫c½CAu_³≫ºI°eE¹´e AßA¤A÷AI " xfId="811" xr:uid="{00000000-0005-0000-0000-000012020000}"/>
    <cellStyle name="Ç¥ÁØ_»ç¾÷ºÎº° ÃÑ°è " xfId="812" xr:uid="{00000000-0005-0000-0000-000013020000}"/>
    <cellStyle name="C￥AØ_≫c¾÷ºIº° AN°e " xfId="813" xr:uid="{00000000-0005-0000-0000-000014020000}"/>
    <cellStyle name="Ç¥ÁØ_0N-HANDLING " xfId="814" xr:uid="{00000000-0005-0000-0000-000015020000}"/>
    <cellStyle name="C￥AØ_¼±AoAc°i_1_³≫ºI°eE¹´e AßA¤A÷AI " xfId="815" xr:uid="{00000000-0005-0000-0000-000016020000}"/>
    <cellStyle name="Ç¥ÁØ_5-1±¤°í " xfId="816" xr:uid="{00000000-0005-0000-0000-000017020000}"/>
    <cellStyle name="C￥AØ_5-1±¤°i  2" xfId="817" xr:uid="{00000000-0005-0000-0000-000018020000}"/>
    <cellStyle name="Ç¥ÁØ_5-1±¤°í  2" xfId="818" xr:uid="{00000000-0005-0000-0000-000019020000}"/>
    <cellStyle name="C￥AØ_5-1±¤°i  2 2" xfId="819" xr:uid="{00000000-0005-0000-0000-00001A020000}"/>
    <cellStyle name="Ç¥ÁØ_5-1±¤°í  2 2" xfId="820" xr:uid="{00000000-0005-0000-0000-00001B020000}"/>
    <cellStyle name="C￥AØ_5-1±¤°i  2 3" xfId="821" xr:uid="{00000000-0005-0000-0000-00001C020000}"/>
    <cellStyle name="Ç¥ÁØ_5-1±¤°í  2 3" xfId="822" xr:uid="{00000000-0005-0000-0000-00001D020000}"/>
    <cellStyle name="C￥AØ_5-1±¤°i  2 4" xfId="823" xr:uid="{00000000-0005-0000-0000-00001E020000}"/>
    <cellStyle name="Ç¥ÁØ_5-1±¤°í  2 4" xfId="824" xr:uid="{00000000-0005-0000-0000-00001F020000}"/>
    <cellStyle name="C￥AØ_5-1±¤°i  2 5" xfId="825" xr:uid="{00000000-0005-0000-0000-000020020000}"/>
    <cellStyle name="Ç¥ÁØ_5-1±¤°í  2 5" xfId="826" xr:uid="{00000000-0005-0000-0000-000021020000}"/>
    <cellStyle name="C￥AØ_5-1±¤°i  3" xfId="827" xr:uid="{00000000-0005-0000-0000-000022020000}"/>
    <cellStyle name="Ç¥ÁØ_5-1±¤°í  3" xfId="828" xr:uid="{00000000-0005-0000-0000-000023020000}"/>
    <cellStyle name="C￥AØ_5-1±¤°i  3 2" xfId="829" xr:uid="{00000000-0005-0000-0000-000024020000}"/>
    <cellStyle name="Ç¥ÁØ_5-1±¤°í  4" xfId="830" xr:uid="{00000000-0005-0000-0000-000025020000}"/>
    <cellStyle name="C￥AØ_5-1±¤°i  4 2" xfId="831" xr:uid="{00000000-0005-0000-0000-000026020000}"/>
    <cellStyle name="Ç¥ÁØ_5-1±¤°í  5" xfId="832" xr:uid="{00000000-0005-0000-0000-000027020000}"/>
    <cellStyle name="C￥AØ_5-1±¤°i _6RCB1 " xfId="833" xr:uid="{00000000-0005-0000-0000-000028020000}"/>
    <cellStyle name="Ç¥ÁØ_A" xfId="2" xr:uid="{00000000-0005-0000-0000-000029020000}"/>
    <cellStyle name="C￥AØ_Ay°eC￥(2¿u)  2" xfId="834" xr:uid="{00000000-0005-0000-0000-00002A020000}"/>
    <cellStyle name="Ç¥ÁØ_Áý°èÇ¥(2¿ù)  2" xfId="835" xr:uid="{00000000-0005-0000-0000-00002B020000}"/>
    <cellStyle name="C￥AØ_Ay°eC￥(2¿u)  2 2" xfId="836" xr:uid="{00000000-0005-0000-0000-00002C020000}"/>
    <cellStyle name="Ç¥ÁØ_Áý°èÇ¥(2¿ù)  2 2" xfId="837" xr:uid="{00000000-0005-0000-0000-00002D020000}"/>
    <cellStyle name="C￥AØ_Ay°eC￥(2¿u)  2 3" xfId="838" xr:uid="{00000000-0005-0000-0000-00002E020000}"/>
    <cellStyle name="Ç¥ÁØ_Áý°èÇ¥(2¿ù)  2 3" xfId="839" xr:uid="{00000000-0005-0000-0000-00002F020000}"/>
    <cellStyle name="C￥AØ_Ay°eC￥(2¿u)  2 4" xfId="840" xr:uid="{00000000-0005-0000-0000-000030020000}"/>
    <cellStyle name="Ç¥ÁØ_Áý°èÇ¥(2¿ù)  2 4" xfId="841" xr:uid="{00000000-0005-0000-0000-000031020000}"/>
    <cellStyle name="C￥AØ_Ay°eC￥(2¿u)  2 5" xfId="842" xr:uid="{00000000-0005-0000-0000-000032020000}"/>
    <cellStyle name="Ç¥ÁØ_Áý°èÇ¥(2¿ù)  2 5" xfId="843" xr:uid="{00000000-0005-0000-0000-000033020000}"/>
    <cellStyle name="C￥AØ_Ay°eC￥(2¿u)  3" xfId="844" xr:uid="{00000000-0005-0000-0000-000034020000}"/>
    <cellStyle name="Ç¥ÁØ_Áý°èÇ¥(2¿ù)  3" xfId="845" xr:uid="{00000000-0005-0000-0000-000035020000}"/>
    <cellStyle name="C￥AØ_Ay°eC￥(2¿u)  3 2" xfId="846" xr:uid="{00000000-0005-0000-0000-000036020000}"/>
    <cellStyle name="Ç¥ÁØ_Áý°èÇ¥(2¿ù)  4" xfId="847" xr:uid="{00000000-0005-0000-0000-000037020000}"/>
    <cellStyle name="C￥AØ_Ay°eC￥(2¿u)  4 2" xfId="848" xr:uid="{00000000-0005-0000-0000-000038020000}"/>
    <cellStyle name="Ç¥ÁØ_Áý°èÇ¥(2¿ù)  5" xfId="849" xr:uid="{00000000-0005-0000-0000-000039020000}"/>
    <cellStyle name="C￥AØ_CoAo¹yAI °A¾×¿ⓒ½A " xfId="850" xr:uid="{00000000-0005-0000-0000-00003A020000}"/>
    <cellStyle name="Ç¥ÁØ_MAIN " xfId="851" xr:uid="{00000000-0005-0000-0000-00003B020000}"/>
    <cellStyle name="C￥AØ_Sheet1_¿μ¾÷CoE² " xfId="852" xr:uid="{00000000-0005-0000-0000-00003C020000}"/>
    <cellStyle name="Ç¥ÁØ_Sheet1_0N-HANDLING " xfId="853" xr:uid="{00000000-0005-0000-0000-00003D020000}"/>
    <cellStyle name="C￥AØ_Sheet1_Ay°eC￥(2¿u) " xfId="854" xr:uid="{00000000-0005-0000-0000-00003E020000}"/>
    <cellStyle name="Ç¥ÁØ_Sheet1_Áý°èÇ¥(2¿ù) " xfId="855" xr:uid="{00000000-0005-0000-0000-00003F020000}"/>
    <cellStyle name="C￥AØ_Sheet1_Ay°eC￥(2¿u)  2" xfId="856" xr:uid="{00000000-0005-0000-0000-000040020000}"/>
    <cellStyle name="Ç¥ÁØ_Sheet1_Áý°èÇ¥(2¿ù)  2" xfId="857" xr:uid="{00000000-0005-0000-0000-000041020000}"/>
    <cellStyle name="C￥AØ_Sheet1_Ay°eC￥(2¿u)  3" xfId="858" xr:uid="{00000000-0005-0000-0000-000042020000}"/>
    <cellStyle name="Ç¥ÁØ_Sheet1_Áý°èÇ¥(2¿ù)  3" xfId="859" xr:uid="{00000000-0005-0000-0000-000043020000}"/>
    <cellStyle name="C￥AØ_Sheet1_Ay°eC￥(2¿u)  4" xfId="860" xr:uid="{00000000-0005-0000-0000-000044020000}"/>
    <cellStyle name="Ç¥ÁØ_Sheet1_Áý°èÇ¥(2¿ù)  4" xfId="861" xr:uid="{00000000-0005-0000-0000-000045020000}"/>
    <cellStyle name="Calculation" xfId="862" xr:uid="{00000000-0005-0000-0000-000046020000}"/>
    <cellStyle name="Calculation 10" xfId="863" xr:uid="{00000000-0005-0000-0000-000047020000}"/>
    <cellStyle name="Calculation 10 2" xfId="864" xr:uid="{00000000-0005-0000-0000-000048020000}"/>
    <cellStyle name="Calculation 11" xfId="865" xr:uid="{00000000-0005-0000-0000-000049020000}"/>
    <cellStyle name="Calculation 12" xfId="866" xr:uid="{00000000-0005-0000-0000-00004A020000}"/>
    <cellStyle name="Calculation 13" xfId="867" xr:uid="{00000000-0005-0000-0000-00004B020000}"/>
    <cellStyle name="Calculation 2" xfId="868" xr:uid="{00000000-0005-0000-0000-00004C020000}"/>
    <cellStyle name="Calculation 2 10" xfId="869" xr:uid="{00000000-0005-0000-0000-00004D020000}"/>
    <cellStyle name="Calculation 2 11" xfId="870" xr:uid="{00000000-0005-0000-0000-00004E020000}"/>
    <cellStyle name="Calculation 2 12" xfId="871" xr:uid="{00000000-0005-0000-0000-00004F020000}"/>
    <cellStyle name="Calculation 2 2" xfId="872" xr:uid="{00000000-0005-0000-0000-000050020000}"/>
    <cellStyle name="Calculation 2 2 10" xfId="873" xr:uid="{00000000-0005-0000-0000-000051020000}"/>
    <cellStyle name="Calculation 2 2 11" xfId="874" xr:uid="{00000000-0005-0000-0000-000052020000}"/>
    <cellStyle name="Calculation 2 2 12" xfId="875" xr:uid="{00000000-0005-0000-0000-000053020000}"/>
    <cellStyle name="Calculation 2 2 2" xfId="876" xr:uid="{00000000-0005-0000-0000-000054020000}"/>
    <cellStyle name="Calculation 2 2 2 10" xfId="877" xr:uid="{00000000-0005-0000-0000-000055020000}"/>
    <cellStyle name="Calculation 2 2 2 11" xfId="878" xr:uid="{00000000-0005-0000-0000-000056020000}"/>
    <cellStyle name="Calculation 2 2 2 12" xfId="879" xr:uid="{00000000-0005-0000-0000-000057020000}"/>
    <cellStyle name="Calculation 2 2 2 2" xfId="880" xr:uid="{00000000-0005-0000-0000-000058020000}"/>
    <cellStyle name="Calculation 2 2 2 2 10" xfId="881" xr:uid="{00000000-0005-0000-0000-000059020000}"/>
    <cellStyle name="Calculation 2 2 2 2 11" xfId="882" xr:uid="{00000000-0005-0000-0000-00005A020000}"/>
    <cellStyle name="Calculation 2 2 2 2 2" xfId="883" xr:uid="{00000000-0005-0000-0000-00005B020000}"/>
    <cellStyle name="Calculation 2 2 2 2 2 10" xfId="884" xr:uid="{00000000-0005-0000-0000-00005C020000}"/>
    <cellStyle name="Calculation 2 2 2 2 2 2" xfId="885" xr:uid="{00000000-0005-0000-0000-00005D020000}"/>
    <cellStyle name="Calculation 2 2 2 2 2 2 2" xfId="886" xr:uid="{00000000-0005-0000-0000-00005E020000}"/>
    <cellStyle name="Calculation 2 2 2 2 2 2 2 2" xfId="887" xr:uid="{00000000-0005-0000-0000-00005F020000}"/>
    <cellStyle name="Calculation 2 2 2 2 2 2 2 2 2" xfId="888" xr:uid="{00000000-0005-0000-0000-000060020000}"/>
    <cellStyle name="Calculation 2 2 2 2 2 2 2 2 2 2" xfId="889" xr:uid="{00000000-0005-0000-0000-000061020000}"/>
    <cellStyle name="Calculation 2 2 2 2 2 2 2 2 3" xfId="890" xr:uid="{00000000-0005-0000-0000-000062020000}"/>
    <cellStyle name="Calculation 2 2 2 2 2 2 2 2 3 2" xfId="891" xr:uid="{00000000-0005-0000-0000-000063020000}"/>
    <cellStyle name="Calculation 2 2 2 2 2 2 2 2 4" xfId="892" xr:uid="{00000000-0005-0000-0000-000064020000}"/>
    <cellStyle name="Calculation 2 2 2 2 2 2 2 2 5" xfId="893" xr:uid="{00000000-0005-0000-0000-000065020000}"/>
    <cellStyle name="Calculation 2 2 2 2 2 2 2 2 6" xfId="894" xr:uid="{00000000-0005-0000-0000-000066020000}"/>
    <cellStyle name="Calculation 2 2 2 2 2 2 2 3" xfId="895" xr:uid="{00000000-0005-0000-0000-000067020000}"/>
    <cellStyle name="Calculation 2 2 2 2 2 2 2 3 2" xfId="896" xr:uid="{00000000-0005-0000-0000-000068020000}"/>
    <cellStyle name="Calculation 2 2 2 2 2 2 2 4" xfId="897" xr:uid="{00000000-0005-0000-0000-000069020000}"/>
    <cellStyle name="Calculation 2 2 2 2 2 2 2 4 2" xfId="898" xr:uid="{00000000-0005-0000-0000-00006A020000}"/>
    <cellStyle name="Calculation 2 2 2 2 2 2 2 5" xfId="899" xr:uid="{00000000-0005-0000-0000-00006B020000}"/>
    <cellStyle name="Calculation 2 2 2 2 2 2 2 6" xfId="900" xr:uid="{00000000-0005-0000-0000-00006C020000}"/>
    <cellStyle name="Calculation 2 2 2 2 2 2 2 7" xfId="901" xr:uid="{00000000-0005-0000-0000-00006D020000}"/>
    <cellStyle name="Calculation 2 2 2 2 2 2 3" xfId="902" xr:uid="{00000000-0005-0000-0000-00006E020000}"/>
    <cellStyle name="Calculation 2 2 2 2 2 2 3 2" xfId="903" xr:uid="{00000000-0005-0000-0000-00006F020000}"/>
    <cellStyle name="Calculation 2 2 2 2 2 2 3 2 2" xfId="904" xr:uid="{00000000-0005-0000-0000-000070020000}"/>
    <cellStyle name="Calculation 2 2 2 2 2 2 3 3" xfId="905" xr:uid="{00000000-0005-0000-0000-000071020000}"/>
    <cellStyle name="Calculation 2 2 2 2 2 2 3 3 2" xfId="906" xr:uid="{00000000-0005-0000-0000-000072020000}"/>
    <cellStyle name="Calculation 2 2 2 2 2 2 3 4" xfId="907" xr:uid="{00000000-0005-0000-0000-000073020000}"/>
    <cellStyle name="Calculation 2 2 2 2 2 2 3 5" xfId="908" xr:uid="{00000000-0005-0000-0000-000074020000}"/>
    <cellStyle name="Calculation 2 2 2 2 2 2 3 6" xfId="909" xr:uid="{00000000-0005-0000-0000-000075020000}"/>
    <cellStyle name="Calculation 2 2 2 2 2 2 4" xfId="910" xr:uid="{00000000-0005-0000-0000-000076020000}"/>
    <cellStyle name="Calculation 2 2 2 2 2 2 4 2" xfId="911" xr:uid="{00000000-0005-0000-0000-000077020000}"/>
    <cellStyle name="Calculation 2 2 2 2 2 2 5" xfId="912" xr:uid="{00000000-0005-0000-0000-000078020000}"/>
    <cellStyle name="Calculation 2 2 2 2 2 2 5 2" xfId="913" xr:uid="{00000000-0005-0000-0000-000079020000}"/>
    <cellStyle name="Calculation 2 2 2 2 2 2 6" xfId="914" xr:uid="{00000000-0005-0000-0000-00007A020000}"/>
    <cellStyle name="Calculation 2 2 2 2 2 2 7" xfId="915" xr:uid="{00000000-0005-0000-0000-00007B020000}"/>
    <cellStyle name="Calculation 2 2 2 2 2 2 8" xfId="916" xr:uid="{00000000-0005-0000-0000-00007C020000}"/>
    <cellStyle name="Calculation 2 2 2 2 2 3" xfId="917" xr:uid="{00000000-0005-0000-0000-00007D020000}"/>
    <cellStyle name="Calculation 2 2 2 2 2 3 2" xfId="918" xr:uid="{00000000-0005-0000-0000-00007E020000}"/>
    <cellStyle name="Calculation 2 2 2 2 2 3 2 2" xfId="919" xr:uid="{00000000-0005-0000-0000-00007F020000}"/>
    <cellStyle name="Calculation 2 2 2 2 2 3 2 2 2" xfId="920" xr:uid="{00000000-0005-0000-0000-000080020000}"/>
    <cellStyle name="Calculation 2 2 2 2 2 3 2 2 2 2" xfId="921" xr:uid="{00000000-0005-0000-0000-000081020000}"/>
    <cellStyle name="Calculation 2 2 2 2 2 3 2 2 3" xfId="922" xr:uid="{00000000-0005-0000-0000-000082020000}"/>
    <cellStyle name="Calculation 2 2 2 2 2 3 2 2 3 2" xfId="923" xr:uid="{00000000-0005-0000-0000-000083020000}"/>
    <cellStyle name="Calculation 2 2 2 2 2 3 2 2 4" xfId="924" xr:uid="{00000000-0005-0000-0000-000084020000}"/>
    <cellStyle name="Calculation 2 2 2 2 2 3 2 2 5" xfId="925" xr:uid="{00000000-0005-0000-0000-000085020000}"/>
    <cellStyle name="Calculation 2 2 2 2 2 3 2 2 6" xfId="926" xr:uid="{00000000-0005-0000-0000-000086020000}"/>
    <cellStyle name="Calculation 2 2 2 2 2 3 2 3" xfId="927" xr:uid="{00000000-0005-0000-0000-000087020000}"/>
    <cellStyle name="Calculation 2 2 2 2 2 3 2 3 2" xfId="928" xr:uid="{00000000-0005-0000-0000-000088020000}"/>
    <cellStyle name="Calculation 2 2 2 2 2 3 2 4" xfId="929" xr:uid="{00000000-0005-0000-0000-000089020000}"/>
    <cellStyle name="Calculation 2 2 2 2 2 3 2 4 2" xfId="930" xr:uid="{00000000-0005-0000-0000-00008A020000}"/>
    <cellStyle name="Calculation 2 2 2 2 2 3 2 5" xfId="931" xr:uid="{00000000-0005-0000-0000-00008B020000}"/>
    <cellStyle name="Calculation 2 2 2 2 2 3 2 6" xfId="932" xr:uid="{00000000-0005-0000-0000-00008C020000}"/>
    <cellStyle name="Calculation 2 2 2 2 2 3 2 7" xfId="933" xr:uid="{00000000-0005-0000-0000-00008D020000}"/>
    <cellStyle name="Calculation 2 2 2 2 2 3 3" xfId="934" xr:uid="{00000000-0005-0000-0000-00008E020000}"/>
    <cellStyle name="Calculation 2 2 2 2 2 3 3 2" xfId="935" xr:uid="{00000000-0005-0000-0000-00008F020000}"/>
    <cellStyle name="Calculation 2 2 2 2 2 3 3 2 2" xfId="936" xr:uid="{00000000-0005-0000-0000-000090020000}"/>
    <cellStyle name="Calculation 2 2 2 2 2 3 3 3" xfId="937" xr:uid="{00000000-0005-0000-0000-000091020000}"/>
    <cellStyle name="Calculation 2 2 2 2 2 3 3 3 2" xfId="938" xr:uid="{00000000-0005-0000-0000-000092020000}"/>
    <cellStyle name="Calculation 2 2 2 2 2 3 3 4" xfId="939" xr:uid="{00000000-0005-0000-0000-000093020000}"/>
    <cellStyle name="Calculation 2 2 2 2 2 3 3 5" xfId="940" xr:uid="{00000000-0005-0000-0000-000094020000}"/>
    <cellStyle name="Calculation 2 2 2 2 2 3 3 6" xfId="941" xr:uid="{00000000-0005-0000-0000-000095020000}"/>
    <cellStyle name="Calculation 2 2 2 2 2 3 4" xfId="942" xr:uid="{00000000-0005-0000-0000-000096020000}"/>
    <cellStyle name="Calculation 2 2 2 2 2 3 4 2" xfId="943" xr:uid="{00000000-0005-0000-0000-000097020000}"/>
    <cellStyle name="Calculation 2 2 2 2 2 3 5" xfId="944" xr:uid="{00000000-0005-0000-0000-000098020000}"/>
    <cellStyle name="Calculation 2 2 2 2 2 3 5 2" xfId="945" xr:uid="{00000000-0005-0000-0000-000099020000}"/>
    <cellStyle name="Calculation 2 2 2 2 2 3 6" xfId="946" xr:uid="{00000000-0005-0000-0000-00009A020000}"/>
    <cellStyle name="Calculation 2 2 2 2 2 3 7" xfId="947" xr:uid="{00000000-0005-0000-0000-00009B020000}"/>
    <cellStyle name="Calculation 2 2 2 2 2 3 8" xfId="948" xr:uid="{00000000-0005-0000-0000-00009C020000}"/>
    <cellStyle name="Calculation 2 2 2 2 2 4" xfId="949" xr:uid="{00000000-0005-0000-0000-00009D020000}"/>
    <cellStyle name="Calculation 2 2 2 2 2 4 2" xfId="950" xr:uid="{00000000-0005-0000-0000-00009E020000}"/>
    <cellStyle name="Calculation 2 2 2 2 2 4 2 2" xfId="951" xr:uid="{00000000-0005-0000-0000-00009F020000}"/>
    <cellStyle name="Calculation 2 2 2 2 2 4 2 2 2" xfId="952" xr:uid="{00000000-0005-0000-0000-0000A0020000}"/>
    <cellStyle name="Calculation 2 2 2 2 2 4 2 3" xfId="953" xr:uid="{00000000-0005-0000-0000-0000A1020000}"/>
    <cellStyle name="Calculation 2 2 2 2 2 4 2 3 2" xfId="954" xr:uid="{00000000-0005-0000-0000-0000A2020000}"/>
    <cellStyle name="Calculation 2 2 2 2 2 4 2 4" xfId="955" xr:uid="{00000000-0005-0000-0000-0000A3020000}"/>
    <cellStyle name="Calculation 2 2 2 2 2 4 2 5" xfId="956" xr:uid="{00000000-0005-0000-0000-0000A4020000}"/>
    <cellStyle name="Calculation 2 2 2 2 2 4 2 6" xfId="957" xr:uid="{00000000-0005-0000-0000-0000A5020000}"/>
    <cellStyle name="Calculation 2 2 2 2 2 4 3" xfId="958" xr:uid="{00000000-0005-0000-0000-0000A6020000}"/>
    <cellStyle name="Calculation 2 2 2 2 2 4 3 2" xfId="959" xr:uid="{00000000-0005-0000-0000-0000A7020000}"/>
    <cellStyle name="Calculation 2 2 2 2 2 4 4" xfId="960" xr:uid="{00000000-0005-0000-0000-0000A8020000}"/>
    <cellStyle name="Calculation 2 2 2 2 2 4 4 2" xfId="961" xr:uid="{00000000-0005-0000-0000-0000A9020000}"/>
    <cellStyle name="Calculation 2 2 2 2 2 4 5" xfId="962" xr:uid="{00000000-0005-0000-0000-0000AA020000}"/>
    <cellStyle name="Calculation 2 2 2 2 2 4 6" xfId="963" xr:uid="{00000000-0005-0000-0000-0000AB020000}"/>
    <cellStyle name="Calculation 2 2 2 2 2 4 7" xfId="964" xr:uid="{00000000-0005-0000-0000-0000AC020000}"/>
    <cellStyle name="Calculation 2 2 2 2 2 5" xfId="965" xr:uid="{00000000-0005-0000-0000-0000AD020000}"/>
    <cellStyle name="Calculation 2 2 2 2 2 5 2" xfId="966" xr:uid="{00000000-0005-0000-0000-0000AE020000}"/>
    <cellStyle name="Calculation 2 2 2 2 2 5 2 2" xfId="967" xr:uid="{00000000-0005-0000-0000-0000AF020000}"/>
    <cellStyle name="Calculation 2 2 2 2 2 5 3" xfId="968" xr:uid="{00000000-0005-0000-0000-0000B0020000}"/>
    <cellStyle name="Calculation 2 2 2 2 2 5 3 2" xfId="969" xr:uid="{00000000-0005-0000-0000-0000B1020000}"/>
    <cellStyle name="Calculation 2 2 2 2 2 5 4" xfId="970" xr:uid="{00000000-0005-0000-0000-0000B2020000}"/>
    <cellStyle name="Calculation 2 2 2 2 2 5 5" xfId="971" xr:uid="{00000000-0005-0000-0000-0000B3020000}"/>
    <cellStyle name="Calculation 2 2 2 2 2 5 6" xfId="972" xr:uid="{00000000-0005-0000-0000-0000B4020000}"/>
    <cellStyle name="Calculation 2 2 2 2 2 6" xfId="973" xr:uid="{00000000-0005-0000-0000-0000B5020000}"/>
    <cellStyle name="Calculation 2 2 2 2 2 6 2" xfId="974" xr:uid="{00000000-0005-0000-0000-0000B6020000}"/>
    <cellStyle name="Calculation 2 2 2 2 2 7" xfId="975" xr:uid="{00000000-0005-0000-0000-0000B7020000}"/>
    <cellStyle name="Calculation 2 2 2 2 2 7 2" xfId="976" xr:uid="{00000000-0005-0000-0000-0000B8020000}"/>
    <cellStyle name="Calculation 2 2 2 2 2 8" xfId="977" xr:uid="{00000000-0005-0000-0000-0000B9020000}"/>
    <cellStyle name="Calculation 2 2 2 2 2 9" xfId="978" xr:uid="{00000000-0005-0000-0000-0000BA020000}"/>
    <cellStyle name="Calculation 2 2 2 2 3" xfId="979" xr:uid="{00000000-0005-0000-0000-0000BB020000}"/>
    <cellStyle name="Calculation 2 2 2 2 3 2" xfId="980" xr:uid="{00000000-0005-0000-0000-0000BC020000}"/>
    <cellStyle name="Calculation 2 2 2 2 3 2 2" xfId="981" xr:uid="{00000000-0005-0000-0000-0000BD020000}"/>
    <cellStyle name="Calculation 2 2 2 2 3 2 2 2" xfId="982" xr:uid="{00000000-0005-0000-0000-0000BE020000}"/>
    <cellStyle name="Calculation 2 2 2 2 3 2 2 2 2" xfId="983" xr:uid="{00000000-0005-0000-0000-0000BF020000}"/>
    <cellStyle name="Calculation 2 2 2 2 3 2 2 3" xfId="984" xr:uid="{00000000-0005-0000-0000-0000C0020000}"/>
    <cellStyle name="Calculation 2 2 2 2 3 2 2 3 2" xfId="985" xr:uid="{00000000-0005-0000-0000-0000C1020000}"/>
    <cellStyle name="Calculation 2 2 2 2 3 2 2 4" xfId="986" xr:uid="{00000000-0005-0000-0000-0000C2020000}"/>
    <cellStyle name="Calculation 2 2 2 2 3 2 2 5" xfId="987" xr:uid="{00000000-0005-0000-0000-0000C3020000}"/>
    <cellStyle name="Calculation 2 2 2 2 3 2 2 6" xfId="988" xr:uid="{00000000-0005-0000-0000-0000C4020000}"/>
    <cellStyle name="Calculation 2 2 2 2 3 2 3" xfId="989" xr:uid="{00000000-0005-0000-0000-0000C5020000}"/>
    <cellStyle name="Calculation 2 2 2 2 3 2 3 2" xfId="990" xr:uid="{00000000-0005-0000-0000-0000C6020000}"/>
    <cellStyle name="Calculation 2 2 2 2 3 2 4" xfId="991" xr:uid="{00000000-0005-0000-0000-0000C7020000}"/>
    <cellStyle name="Calculation 2 2 2 2 3 2 4 2" xfId="992" xr:uid="{00000000-0005-0000-0000-0000C8020000}"/>
    <cellStyle name="Calculation 2 2 2 2 3 2 5" xfId="993" xr:uid="{00000000-0005-0000-0000-0000C9020000}"/>
    <cellStyle name="Calculation 2 2 2 2 3 2 6" xfId="994" xr:uid="{00000000-0005-0000-0000-0000CA020000}"/>
    <cellStyle name="Calculation 2 2 2 2 3 2 7" xfId="995" xr:uid="{00000000-0005-0000-0000-0000CB020000}"/>
    <cellStyle name="Calculation 2 2 2 2 3 3" xfId="996" xr:uid="{00000000-0005-0000-0000-0000CC020000}"/>
    <cellStyle name="Calculation 2 2 2 2 3 3 2" xfId="997" xr:uid="{00000000-0005-0000-0000-0000CD020000}"/>
    <cellStyle name="Calculation 2 2 2 2 3 3 2 2" xfId="998" xr:uid="{00000000-0005-0000-0000-0000CE020000}"/>
    <cellStyle name="Calculation 2 2 2 2 3 3 3" xfId="999" xr:uid="{00000000-0005-0000-0000-0000CF020000}"/>
    <cellStyle name="Calculation 2 2 2 2 3 3 3 2" xfId="1000" xr:uid="{00000000-0005-0000-0000-0000D0020000}"/>
    <cellStyle name="Calculation 2 2 2 2 3 3 4" xfId="1001" xr:uid="{00000000-0005-0000-0000-0000D1020000}"/>
    <cellStyle name="Calculation 2 2 2 2 3 3 5" xfId="1002" xr:uid="{00000000-0005-0000-0000-0000D2020000}"/>
    <cellStyle name="Calculation 2 2 2 2 3 3 6" xfId="1003" xr:uid="{00000000-0005-0000-0000-0000D3020000}"/>
    <cellStyle name="Calculation 2 2 2 2 3 4" xfId="1004" xr:uid="{00000000-0005-0000-0000-0000D4020000}"/>
    <cellStyle name="Calculation 2 2 2 2 3 4 2" xfId="1005" xr:uid="{00000000-0005-0000-0000-0000D5020000}"/>
    <cellStyle name="Calculation 2 2 2 2 3 5" xfId="1006" xr:uid="{00000000-0005-0000-0000-0000D6020000}"/>
    <cellStyle name="Calculation 2 2 2 2 3 5 2" xfId="1007" xr:uid="{00000000-0005-0000-0000-0000D7020000}"/>
    <cellStyle name="Calculation 2 2 2 2 3 6" xfId="1008" xr:uid="{00000000-0005-0000-0000-0000D8020000}"/>
    <cellStyle name="Calculation 2 2 2 2 3 7" xfId="1009" xr:uid="{00000000-0005-0000-0000-0000D9020000}"/>
    <cellStyle name="Calculation 2 2 2 2 3 8" xfId="1010" xr:uid="{00000000-0005-0000-0000-0000DA020000}"/>
    <cellStyle name="Calculation 2 2 2 2 4" xfId="1011" xr:uid="{00000000-0005-0000-0000-0000DB020000}"/>
    <cellStyle name="Calculation 2 2 2 2 4 2" xfId="1012" xr:uid="{00000000-0005-0000-0000-0000DC020000}"/>
    <cellStyle name="Calculation 2 2 2 2 4 2 2" xfId="1013" xr:uid="{00000000-0005-0000-0000-0000DD020000}"/>
    <cellStyle name="Calculation 2 2 2 2 4 2 2 2" xfId="1014" xr:uid="{00000000-0005-0000-0000-0000DE020000}"/>
    <cellStyle name="Calculation 2 2 2 2 4 2 2 2 2" xfId="1015" xr:uid="{00000000-0005-0000-0000-0000DF020000}"/>
    <cellStyle name="Calculation 2 2 2 2 4 2 2 3" xfId="1016" xr:uid="{00000000-0005-0000-0000-0000E0020000}"/>
    <cellStyle name="Calculation 2 2 2 2 4 2 2 3 2" xfId="1017" xr:uid="{00000000-0005-0000-0000-0000E1020000}"/>
    <cellStyle name="Calculation 2 2 2 2 4 2 2 4" xfId="1018" xr:uid="{00000000-0005-0000-0000-0000E2020000}"/>
    <cellStyle name="Calculation 2 2 2 2 4 2 2 5" xfId="1019" xr:uid="{00000000-0005-0000-0000-0000E3020000}"/>
    <cellStyle name="Calculation 2 2 2 2 4 2 2 6" xfId="1020" xr:uid="{00000000-0005-0000-0000-0000E4020000}"/>
    <cellStyle name="Calculation 2 2 2 2 4 2 3" xfId="1021" xr:uid="{00000000-0005-0000-0000-0000E5020000}"/>
    <cellStyle name="Calculation 2 2 2 2 4 2 3 2" xfId="1022" xr:uid="{00000000-0005-0000-0000-0000E6020000}"/>
    <cellStyle name="Calculation 2 2 2 2 4 2 4" xfId="1023" xr:uid="{00000000-0005-0000-0000-0000E7020000}"/>
    <cellStyle name="Calculation 2 2 2 2 4 2 4 2" xfId="1024" xr:uid="{00000000-0005-0000-0000-0000E8020000}"/>
    <cellStyle name="Calculation 2 2 2 2 4 2 5" xfId="1025" xr:uid="{00000000-0005-0000-0000-0000E9020000}"/>
    <cellStyle name="Calculation 2 2 2 2 4 2 6" xfId="1026" xr:uid="{00000000-0005-0000-0000-0000EA020000}"/>
    <cellStyle name="Calculation 2 2 2 2 4 2 7" xfId="1027" xr:uid="{00000000-0005-0000-0000-0000EB020000}"/>
    <cellStyle name="Calculation 2 2 2 2 4 3" xfId="1028" xr:uid="{00000000-0005-0000-0000-0000EC020000}"/>
    <cellStyle name="Calculation 2 2 2 2 4 3 2" xfId="1029" xr:uid="{00000000-0005-0000-0000-0000ED020000}"/>
    <cellStyle name="Calculation 2 2 2 2 4 3 2 2" xfId="1030" xr:uid="{00000000-0005-0000-0000-0000EE020000}"/>
    <cellStyle name="Calculation 2 2 2 2 4 3 3" xfId="1031" xr:uid="{00000000-0005-0000-0000-0000EF020000}"/>
    <cellStyle name="Calculation 2 2 2 2 4 3 3 2" xfId="1032" xr:uid="{00000000-0005-0000-0000-0000F0020000}"/>
    <cellStyle name="Calculation 2 2 2 2 4 3 4" xfId="1033" xr:uid="{00000000-0005-0000-0000-0000F1020000}"/>
    <cellStyle name="Calculation 2 2 2 2 4 3 5" xfId="1034" xr:uid="{00000000-0005-0000-0000-0000F2020000}"/>
    <cellStyle name="Calculation 2 2 2 2 4 3 6" xfId="1035" xr:uid="{00000000-0005-0000-0000-0000F3020000}"/>
    <cellStyle name="Calculation 2 2 2 2 4 4" xfId="1036" xr:uid="{00000000-0005-0000-0000-0000F4020000}"/>
    <cellStyle name="Calculation 2 2 2 2 4 4 2" xfId="1037" xr:uid="{00000000-0005-0000-0000-0000F5020000}"/>
    <cellStyle name="Calculation 2 2 2 2 4 5" xfId="1038" xr:uid="{00000000-0005-0000-0000-0000F6020000}"/>
    <cellStyle name="Calculation 2 2 2 2 4 5 2" xfId="1039" xr:uid="{00000000-0005-0000-0000-0000F7020000}"/>
    <cellStyle name="Calculation 2 2 2 2 4 6" xfId="1040" xr:uid="{00000000-0005-0000-0000-0000F8020000}"/>
    <cellStyle name="Calculation 2 2 2 2 4 7" xfId="1041" xr:uid="{00000000-0005-0000-0000-0000F9020000}"/>
    <cellStyle name="Calculation 2 2 2 2 4 8" xfId="1042" xr:uid="{00000000-0005-0000-0000-0000FA020000}"/>
    <cellStyle name="Calculation 2 2 2 2 5" xfId="1043" xr:uid="{00000000-0005-0000-0000-0000FB020000}"/>
    <cellStyle name="Calculation 2 2 2 2 5 2" xfId="1044" xr:uid="{00000000-0005-0000-0000-0000FC020000}"/>
    <cellStyle name="Calculation 2 2 2 2 5 2 2" xfId="1045" xr:uid="{00000000-0005-0000-0000-0000FD020000}"/>
    <cellStyle name="Calculation 2 2 2 2 5 2 2 2" xfId="1046" xr:uid="{00000000-0005-0000-0000-0000FE020000}"/>
    <cellStyle name="Calculation 2 2 2 2 5 2 3" xfId="1047" xr:uid="{00000000-0005-0000-0000-0000FF020000}"/>
    <cellStyle name="Calculation 2 2 2 2 5 2 3 2" xfId="1048" xr:uid="{00000000-0005-0000-0000-000000030000}"/>
    <cellStyle name="Calculation 2 2 2 2 5 2 4" xfId="1049" xr:uid="{00000000-0005-0000-0000-000001030000}"/>
    <cellStyle name="Calculation 2 2 2 2 5 2 5" xfId="1050" xr:uid="{00000000-0005-0000-0000-000002030000}"/>
    <cellStyle name="Calculation 2 2 2 2 5 2 6" xfId="1051" xr:uid="{00000000-0005-0000-0000-000003030000}"/>
    <cellStyle name="Calculation 2 2 2 2 5 3" xfId="1052" xr:uid="{00000000-0005-0000-0000-000004030000}"/>
    <cellStyle name="Calculation 2 2 2 2 5 3 2" xfId="1053" xr:uid="{00000000-0005-0000-0000-000005030000}"/>
    <cellStyle name="Calculation 2 2 2 2 5 4" xfId="1054" xr:uid="{00000000-0005-0000-0000-000006030000}"/>
    <cellStyle name="Calculation 2 2 2 2 5 4 2" xfId="1055" xr:uid="{00000000-0005-0000-0000-000007030000}"/>
    <cellStyle name="Calculation 2 2 2 2 5 5" xfId="1056" xr:uid="{00000000-0005-0000-0000-000008030000}"/>
    <cellStyle name="Calculation 2 2 2 2 5 6" xfId="1057" xr:uid="{00000000-0005-0000-0000-000009030000}"/>
    <cellStyle name="Calculation 2 2 2 2 5 7" xfId="1058" xr:uid="{00000000-0005-0000-0000-00000A030000}"/>
    <cellStyle name="Calculation 2 2 2 2 6" xfId="1059" xr:uid="{00000000-0005-0000-0000-00000B030000}"/>
    <cellStyle name="Calculation 2 2 2 2 6 2" xfId="1060" xr:uid="{00000000-0005-0000-0000-00000C030000}"/>
    <cellStyle name="Calculation 2 2 2 2 6 2 2" xfId="1061" xr:uid="{00000000-0005-0000-0000-00000D030000}"/>
    <cellStyle name="Calculation 2 2 2 2 6 3" xfId="1062" xr:uid="{00000000-0005-0000-0000-00000E030000}"/>
    <cellStyle name="Calculation 2 2 2 2 6 3 2" xfId="1063" xr:uid="{00000000-0005-0000-0000-00000F030000}"/>
    <cellStyle name="Calculation 2 2 2 2 6 4" xfId="1064" xr:uid="{00000000-0005-0000-0000-000010030000}"/>
    <cellStyle name="Calculation 2 2 2 2 6 5" xfId="1065" xr:uid="{00000000-0005-0000-0000-000011030000}"/>
    <cellStyle name="Calculation 2 2 2 2 6 6" xfId="1066" xr:uid="{00000000-0005-0000-0000-000012030000}"/>
    <cellStyle name="Calculation 2 2 2 2 7" xfId="1067" xr:uid="{00000000-0005-0000-0000-000013030000}"/>
    <cellStyle name="Calculation 2 2 2 2 7 2" xfId="1068" xr:uid="{00000000-0005-0000-0000-000014030000}"/>
    <cellStyle name="Calculation 2 2 2 2 8" xfId="1069" xr:uid="{00000000-0005-0000-0000-000015030000}"/>
    <cellStyle name="Calculation 2 2 2 2 8 2" xfId="1070" xr:uid="{00000000-0005-0000-0000-000016030000}"/>
    <cellStyle name="Calculation 2 2 2 2 9" xfId="1071" xr:uid="{00000000-0005-0000-0000-000017030000}"/>
    <cellStyle name="Calculation 2 2 2 3" xfId="1072" xr:uid="{00000000-0005-0000-0000-000018030000}"/>
    <cellStyle name="Calculation 2 2 2 3 10" xfId="1073" xr:uid="{00000000-0005-0000-0000-000019030000}"/>
    <cellStyle name="Calculation 2 2 2 3 2" xfId="1074" xr:uid="{00000000-0005-0000-0000-00001A030000}"/>
    <cellStyle name="Calculation 2 2 2 3 2 10" xfId="1075" xr:uid="{00000000-0005-0000-0000-00001B030000}"/>
    <cellStyle name="Calculation 2 2 2 3 2 2" xfId="1076" xr:uid="{00000000-0005-0000-0000-00001C030000}"/>
    <cellStyle name="Calculation 2 2 2 3 2 2 2" xfId="1077" xr:uid="{00000000-0005-0000-0000-00001D030000}"/>
    <cellStyle name="Calculation 2 2 2 3 2 2 2 2" xfId="1078" xr:uid="{00000000-0005-0000-0000-00001E030000}"/>
    <cellStyle name="Calculation 2 2 2 3 2 2 2 2 2" xfId="1079" xr:uid="{00000000-0005-0000-0000-00001F030000}"/>
    <cellStyle name="Calculation 2 2 2 3 2 2 2 2 2 2" xfId="1080" xr:uid="{00000000-0005-0000-0000-000020030000}"/>
    <cellStyle name="Calculation 2 2 2 3 2 2 2 2 3" xfId="1081" xr:uid="{00000000-0005-0000-0000-000021030000}"/>
    <cellStyle name="Calculation 2 2 2 3 2 2 2 2 3 2" xfId="1082" xr:uid="{00000000-0005-0000-0000-000022030000}"/>
    <cellStyle name="Calculation 2 2 2 3 2 2 2 2 4" xfId="1083" xr:uid="{00000000-0005-0000-0000-000023030000}"/>
    <cellStyle name="Calculation 2 2 2 3 2 2 2 2 5" xfId="1084" xr:uid="{00000000-0005-0000-0000-000024030000}"/>
    <cellStyle name="Calculation 2 2 2 3 2 2 2 2 6" xfId="1085" xr:uid="{00000000-0005-0000-0000-000025030000}"/>
    <cellStyle name="Calculation 2 2 2 3 2 2 2 3" xfId="1086" xr:uid="{00000000-0005-0000-0000-000026030000}"/>
    <cellStyle name="Calculation 2 2 2 3 2 2 2 3 2" xfId="1087" xr:uid="{00000000-0005-0000-0000-000027030000}"/>
    <cellStyle name="Calculation 2 2 2 3 2 2 2 4" xfId="1088" xr:uid="{00000000-0005-0000-0000-000028030000}"/>
    <cellStyle name="Calculation 2 2 2 3 2 2 2 4 2" xfId="1089" xr:uid="{00000000-0005-0000-0000-000029030000}"/>
    <cellStyle name="Calculation 2 2 2 3 2 2 2 5" xfId="1090" xr:uid="{00000000-0005-0000-0000-00002A030000}"/>
    <cellStyle name="Calculation 2 2 2 3 2 2 2 6" xfId="1091" xr:uid="{00000000-0005-0000-0000-00002B030000}"/>
    <cellStyle name="Calculation 2 2 2 3 2 2 2 7" xfId="1092" xr:uid="{00000000-0005-0000-0000-00002C030000}"/>
    <cellStyle name="Calculation 2 2 2 3 2 2 3" xfId="1093" xr:uid="{00000000-0005-0000-0000-00002D030000}"/>
    <cellStyle name="Calculation 2 2 2 3 2 2 3 2" xfId="1094" xr:uid="{00000000-0005-0000-0000-00002E030000}"/>
    <cellStyle name="Calculation 2 2 2 3 2 2 3 2 2" xfId="1095" xr:uid="{00000000-0005-0000-0000-00002F030000}"/>
    <cellStyle name="Calculation 2 2 2 3 2 2 3 3" xfId="1096" xr:uid="{00000000-0005-0000-0000-000030030000}"/>
    <cellStyle name="Calculation 2 2 2 3 2 2 3 3 2" xfId="1097" xr:uid="{00000000-0005-0000-0000-000031030000}"/>
    <cellStyle name="Calculation 2 2 2 3 2 2 3 4" xfId="1098" xr:uid="{00000000-0005-0000-0000-000032030000}"/>
    <cellStyle name="Calculation 2 2 2 3 2 2 3 5" xfId="1099" xr:uid="{00000000-0005-0000-0000-000033030000}"/>
    <cellStyle name="Calculation 2 2 2 3 2 2 3 6" xfId="1100" xr:uid="{00000000-0005-0000-0000-000034030000}"/>
    <cellStyle name="Calculation 2 2 2 3 2 2 4" xfId="1101" xr:uid="{00000000-0005-0000-0000-000035030000}"/>
    <cellStyle name="Calculation 2 2 2 3 2 2 4 2" xfId="1102" xr:uid="{00000000-0005-0000-0000-000036030000}"/>
    <cellStyle name="Calculation 2 2 2 3 2 2 5" xfId="1103" xr:uid="{00000000-0005-0000-0000-000037030000}"/>
    <cellStyle name="Calculation 2 2 2 3 2 2 5 2" xfId="1104" xr:uid="{00000000-0005-0000-0000-000038030000}"/>
    <cellStyle name="Calculation 2 2 2 3 2 2 6" xfId="1105" xr:uid="{00000000-0005-0000-0000-000039030000}"/>
    <cellStyle name="Calculation 2 2 2 3 2 2 7" xfId="1106" xr:uid="{00000000-0005-0000-0000-00003A030000}"/>
    <cellStyle name="Calculation 2 2 2 3 2 2 8" xfId="1107" xr:uid="{00000000-0005-0000-0000-00003B030000}"/>
    <cellStyle name="Calculation 2 2 2 3 2 3" xfId="1108" xr:uid="{00000000-0005-0000-0000-00003C030000}"/>
    <cellStyle name="Calculation 2 2 2 3 2 3 2" xfId="1109" xr:uid="{00000000-0005-0000-0000-00003D030000}"/>
    <cellStyle name="Calculation 2 2 2 3 2 3 2 2" xfId="1110" xr:uid="{00000000-0005-0000-0000-00003E030000}"/>
    <cellStyle name="Calculation 2 2 2 3 2 3 2 2 2" xfId="1111" xr:uid="{00000000-0005-0000-0000-00003F030000}"/>
    <cellStyle name="Calculation 2 2 2 3 2 3 2 2 2 2" xfId="1112" xr:uid="{00000000-0005-0000-0000-000040030000}"/>
    <cellStyle name="Calculation 2 2 2 3 2 3 2 2 3" xfId="1113" xr:uid="{00000000-0005-0000-0000-000041030000}"/>
    <cellStyle name="Calculation 2 2 2 3 2 3 2 2 3 2" xfId="1114" xr:uid="{00000000-0005-0000-0000-000042030000}"/>
    <cellStyle name="Calculation 2 2 2 3 2 3 2 2 4" xfId="1115" xr:uid="{00000000-0005-0000-0000-000043030000}"/>
    <cellStyle name="Calculation 2 2 2 3 2 3 2 2 5" xfId="1116" xr:uid="{00000000-0005-0000-0000-000044030000}"/>
    <cellStyle name="Calculation 2 2 2 3 2 3 2 2 6" xfId="1117" xr:uid="{00000000-0005-0000-0000-000045030000}"/>
    <cellStyle name="Calculation 2 2 2 3 2 3 2 3" xfId="1118" xr:uid="{00000000-0005-0000-0000-000046030000}"/>
    <cellStyle name="Calculation 2 2 2 3 2 3 2 3 2" xfId="1119" xr:uid="{00000000-0005-0000-0000-000047030000}"/>
    <cellStyle name="Calculation 2 2 2 3 2 3 2 4" xfId="1120" xr:uid="{00000000-0005-0000-0000-000048030000}"/>
    <cellStyle name="Calculation 2 2 2 3 2 3 2 4 2" xfId="1121" xr:uid="{00000000-0005-0000-0000-000049030000}"/>
    <cellStyle name="Calculation 2 2 2 3 2 3 2 5" xfId="1122" xr:uid="{00000000-0005-0000-0000-00004A030000}"/>
    <cellStyle name="Calculation 2 2 2 3 2 3 2 6" xfId="1123" xr:uid="{00000000-0005-0000-0000-00004B030000}"/>
    <cellStyle name="Calculation 2 2 2 3 2 3 2 7" xfId="1124" xr:uid="{00000000-0005-0000-0000-00004C030000}"/>
    <cellStyle name="Calculation 2 2 2 3 2 3 3" xfId="1125" xr:uid="{00000000-0005-0000-0000-00004D030000}"/>
    <cellStyle name="Calculation 2 2 2 3 2 3 3 2" xfId="1126" xr:uid="{00000000-0005-0000-0000-00004E030000}"/>
    <cellStyle name="Calculation 2 2 2 3 2 3 3 2 2" xfId="1127" xr:uid="{00000000-0005-0000-0000-00004F030000}"/>
    <cellStyle name="Calculation 2 2 2 3 2 3 3 3" xfId="1128" xr:uid="{00000000-0005-0000-0000-000050030000}"/>
    <cellStyle name="Calculation 2 2 2 3 2 3 3 3 2" xfId="1129" xr:uid="{00000000-0005-0000-0000-000051030000}"/>
    <cellStyle name="Calculation 2 2 2 3 2 3 3 4" xfId="1130" xr:uid="{00000000-0005-0000-0000-000052030000}"/>
    <cellStyle name="Calculation 2 2 2 3 2 3 3 5" xfId="1131" xr:uid="{00000000-0005-0000-0000-000053030000}"/>
    <cellStyle name="Calculation 2 2 2 3 2 3 3 6" xfId="1132" xr:uid="{00000000-0005-0000-0000-000054030000}"/>
    <cellStyle name="Calculation 2 2 2 3 2 3 4" xfId="1133" xr:uid="{00000000-0005-0000-0000-000055030000}"/>
    <cellStyle name="Calculation 2 2 2 3 2 3 4 2" xfId="1134" xr:uid="{00000000-0005-0000-0000-000056030000}"/>
    <cellStyle name="Calculation 2 2 2 3 2 3 5" xfId="1135" xr:uid="{00000000-0005-0000-0000-000057030000}"/>
    <cellStyle name="Calculation 2 2 2 3 2 3 5 2" xfId="1136" xr:uid="{00000000-0005-0000-0000-000058030000}"/>
    <cellStyle name="Calculation 2 2 2 3 2 3 6" xfId="1137" xr:uid="{00000000-0005-0000-0000-000059030000}"/>
    <cellStyle name="Calculation 2 2 2 3 2 3 7" xfId="1138" xr:uid="{00000000-0005-0000-0000-00005A030000}"/>
    <cellStyle name="Calculation 2 2 2 3 2 3 8" xfId="1139" xr:uid="{00000000-0005-0000-0000-00005B030000}"/>
    <cellStyle name="Calculation 2 2 2 3 2 4" xfId="1140" xr:uid="{00000000-0005-0000-0000-00005C030000}"/>
    <cellStyle name="Calculation 2 2 2 3 2 4 2" xfId="1141" xr:uid="{00000000-0005-0000-0000-00005D030000}"/>
    <cellStyle name="Calculation 2 2 2 3 2 4 2 2" xfId="1142" xr:uid="{00000000-0005-0000-0000-00005E030000}"/>
    <cellStyle name="Calculation 2 2 2 3 2 4 2 2 2" xfId="1143" xr:uid="{00000000-0005-0000-0000-00005F030000}"/>
    <cellStyle name="Calculation 2 2 2 3 2 4 2 3" xfId="1144" xr:uid="{00000000-0005-0000-0000-000060030000}"/>
    <cellStyle name="Calculation 2 2 2 3 2 4 2 3 2" xfId="1145" xr:uid="{00000000-0005-0000-0000-000061030000}"/>
    <cellStyle name="Calculation 2 2 2 3 2 4 2 4" xfId="1146" xr:uid="{00000000-0005-0000-0000-000062030000}"/>
    <cellStyle name="Calculation 2 2 2 3 2 4 2 5" xfId="1147" xr:uid="{00000000-0005-0000-0000-000063030000}"/>
    <cellStyle name="Calculation 2 2 2 3 2 4 2 6" xfId="1148" xr:uid="{00000000-0005-0000-0000-000064030000}"/>
    <cellStyle name="Calculation 2 2 2 3 2 4 3" xfId="1149" xr:uid="{00000000-0005-0000-0000-000065030000}"/>
    <cellStyle name="Calculation 2 2 2 3 2 4 3 2" xfId="1150" xr:uid="{00000000-0005-0000-0000-000066030000}"/>
    <cellStyle name="Calculation 2 2 2 3 2 4 4" xfId="1151" xr:uid="{00000000-0005-0000-0000-000067030000}"/>
    <cellStyle name="Calculation 2 2 2 3 2 4 4 2" xfId="1152" xr:uid="{00000000-0005-0000-0000-000068030000}"/>
    <cellStyle name="Calculation 2 2 2 3 2 4 5" xfId="1153" xr:uid="{00000000-0005-0000-0000-000069030000}"/>
    <cellStyle name="Calculation 2 2 2 3 2 4 6" xfId="1154" xr:uid="{00000000-0005-0000-0000-00006A030000}"/>
    <cellStyle name="Calculation 2 2 2 3 2 4 7" xfId="1155" xr:uid="{00000000-0005-0000-0000-00006B030000}"/>
    <cellStyle name="Calculation 2 2 2 3 2 5" xfId="1156" xr:uid="{00000000-0005-0000-0000-00006C030000}"/>
    <cellStyle name="Calculation 2 2 2 3 2 5 2" xfId="1157" xr:uid="{00000000-0005-0000-0000-00006D030000}"/>
    <cellStyle name="Calculation 2 2 2 3 2 5 2 2" xfId="1158" xr:uid="{00000000-0005-0000-0000-00006E030000}"/>
    <cellStyle name="Calculation 2 2 2 3 2 5 3" xfId="1159" xr:uid="{00000000-0005-0000-0000-00006F030000}"/>
    <cellStyle name="Calculation 2 2 2 3 2 5 3 2" xfId="1160" xr:uid="{00000000-0005-0000-0000-000070030000}"/>
    <cellStyle name="Calculation 2 2 2 3 2 5 4" xfId="1161" xr:uid="{00000000-0005-0000-0000-000071030000}"/>
    <cellStyle name="Calculation 2 2 2 3 2 5 5" xfId="1162" xr:uid="{00000000-0005-0000-0000-000072030000}"/>
    <cellStyle name="Calculation 2 2 2 3 2 5 6" xfId="1163" xr:uid="{00000000-0005-0000-0000-000073030000}"/>
    <cellStyle name="Calculation 2 2 2 3 2 6" xfId="1164" xr:uid="{00000000-0005-0000-0000-000074030000}"/>
    <cellStyle name="Calculation 2 2 2 3 2 6 2" xfId="1165" xr:uid="{00000000-0005-0000-0000-000075030000}"/>
    <cellStyle name="Calculation 2 2 2 3 2 7" xfId="1166" xr:uid="{00000000-0005-0000-0000-000076030000}"/>
    <cellStyle name="Calculation 2 2 2 3 2 7 2" xfId="1167" xr:uid="{00000000-0005-0000-0000-000077030000}"/>
    <cellStyle name="Calculation 2 2 2 3 2 8" xfId="1168" xr:uid="{00000000-0005-0000-0000-000078030000}"/>
    <cellStyle name="Calculation 2 2 2 3 2 9" xfId="1169" xr:uid="{00000000-0005-0000-0000-000079030000}"/>
    <cellStyle name="Calculation 2 2 2 3 3" xfId="1170" xr:uid="{00000000-0005-0000-0000-00007A030000}"/>
    <cellStyle name="Calculation 2 2 2 3 3 2" xfId="1171" xr:uid="{00000000-0005-0000-0000-00007B030000}"/>
    <cellStyle name="Calculation 2 2 2 3 3 2 2" xfId="1172" xr:uid="{00000000-0005-0000-0000-00007C030000}"/>
    <cellStyle name="Calculation 2 2 2 3 3 2 2 2" xfId="1173" xr:uid="{00000000-0005-0000-0000-00007D030000}"/>
    <cellStyle name="Calculation 2 2 2 3 3 2 2 2 2" xfId="1174" xr:uid="{00000000-0005-0000-0000-00007E030000}"/>
    <cellStyle name="Calculation 2 2 2 3 3 2 2 3" xfId="1175" xr:uid="{00000000-0005-0000-0000-00007F030000}"/>
    <cellStyle name="Calculation 2 2 2 3 3 2 2 3 2" xfId="1176" xr:uid="{00000000-0005-0000-0000-000080030000}"/>
    <cellStyle name="Calculation 2 2 2 3 3 2 2 4" xfId="1177" xr:uid="{00000000-0005-0000-0000-000081030000}"/>
    <cellStyle name="Calculation 2 2 2 3 3 2 2 5" xfId="1178" xr:uid="{00000000-0005-0000-0000-000082030000}"/>
    <cellStyle name="Calculation 2 2 2 3 3 2 2 6" xfId="1179" xr:uid="{00000000-0005-0000-0000-000083030000}"/>
    <cellStyle name="Calculation 2 2 2 3 3 2 3" xfId="1180" xr:uid="{00000000-0005-0000-0000-000084030000}"/>
    <cellStyle name="Calculation 2 2 2 3 3 2 3 2" xfId="1181" xr:uid="{00000000-0005-0000-0000-000085030000}"/>
    <cellStyle name="Calculation 2 2 2 3 3 2 4" xfId="1182" xr:uid="{00000000-0005-0000-0000-000086030000}"/>
    <cellStyle name="Calculation 2 2 2 3 3 2 4 2" xfId="1183" xr:uid="{00000000-0005-0000-0000-000087030000}"/>
    <cellStyle name="Calculation 2 2 2 3 3 2 5" xfId="1184" xr:uid="{00000000-0005-0000-0000-000088030000}"/>
    <cellStyle name="Calculation 2 2 2 3 3 2 6" xfId="1185" xr:uid="{00000000-0005-0000-0000-000089030000}"/>
    <cellStyle name="Calculation 2 2 2 3 3 2 7" xfId="1186" xr:uid="{00000000-0005-0000-0000-00008A030000}"/>
    <cellStyle name="Calculation 2 2 2 3 3 3" xfId="1187" xr:uid="{00000000-0005-0000-0000-00008B030000}"/>
    <cellStyle name="Calculation 2 2 2 3 3 3 2" xfId="1188" xr:uid="{00000000-0005-0000-0000-00008C030000}"/>
    <cellStyle name="Calculation 2 2 2 3 3 3 2 2" xfId="1189" xr:uid="{00000000-0005-0000-0000-00008D030000}"/>
    <cellStyle name="Calculation 2 2 2 3 3 3 3" xfId="1190" xr:uid="{00000000-0005-0000-0000-00008E030000}"/>
    <cellStyle name="Calculation 2 2 2 3 3 3 3 2" xfId="1191" xr:uid="{00000000-0005-0000-0000-00008F030000}"/>
    <cellStyle name="Calculation 2 2 2 3 3 3 4" xfId="1192" xr:uid="{00000000-0005-0000-0000-000090030000}"/>
    <cellStyle name="Calculation 2 2 2 3 3 3 5" xfId="1193" xr:uid="{00000000-0005-0000-0000-000091030000}"/>
    <cellStyle name="Calculation 2 2 2 3 3 3 6" xfId="1194" xr:uid="{00000000-0005-0000-0000-000092030000}"/>
    <cellStyle name="Calculation 2 2 2 3 3 4" xfId="1195" xr:uid="{00000000-0005-0000-0000-000093030000}"/>
    <cellStyle name="Calculation 2 2 2 3 3 4 2" xfId="1196" xr:uid="{00000000-0005-0000-0000-000094030000}"/>
    <cellStyle name="Calculation 2 2 2 3 3 5" xfId="1197" xr:uid="{00000000-0005-0000-0000-000095030000}"/>
    <cellStyle name="Calculation 2 2 2 3 3 5 2" xfId="1198" xr:uid="{00000000-0005-0000-0000-000096030000}"/>
    <cellStyle name="Calculation 2 2 2 3 3 6" xfId="1199" xr:uid="{00000000-0005-0000-0000-000097030000}"/>
    <cellStyle name="Calculation 2 2 2 3 3 7" xfId="1200" xr:uid="{00000000-0005-0000-0000-000098030000}"/>
    <cellStyle name="Calculation 2 2 2 3 3 8" xfId="1201" xr:uid="{00000000-0005-0000-0000-000099030000}"/>
    <cellStyle name="Calculation 2 2 2 3 4" xfId="1202" xr:uid="{00000000-0005-0000-0000-00009A030000}"/>
    <cellStyle name="Calculation 2 2 2 3 4 2" xfId="1203" xr:uid="{00000000-0005-0000-0000-00009B030000}"/>
    <cellStyle name="Calculation 2 2 2 3 4 2 2" xfId="1204" xr:uid="{00000000-0005-0000-0000-00009C030000}"/>
    <cellStyle name="Calculation 2 2 2 3 4 2 2 2" xfId="1205" xr:uid="{00000000-0005-0000-0000-00009D030000}"/>
    <cellStyle name="Calculation 2 2 2 3 4 2 3" xfId="1206" xr:uid="{00000000-0005-0000-0000-00009E030000}"/>
    <cellStyle name="Calculation 2 2 2 3 4 2 3 2" xfId="1207" xr:uid="{00000000-0005-0000-0000-00009F030000}"/>
    <cellStyle name="Calculation 2 2 2 3 4 2 4" xfId="1208" xr:uid="{00000000-0005-0000-0000-0000A0030000}"/>
    <cellStyle name="Calculation 2 2 2 3 4 2 5" xfId="1209" xr:uid="{00000000-0005-0000-0000-0000A1030000}"/>
    <cellStyle name="Calculation 2 2 2 3 4 2 6" xfId="1210" xr:uid="{00000000-0005-0000-0000-0000A2030000}"/>
    <cellStyle name="Calculation 2 2 2 3 4 3" xfId="1211" xr:uid="{00000000-0005-0000-0000-0000A3030000}"/>
    <cellStyle name="Calculation 2 2 2 3 4 3 2" xfId="1212" xr:uid="{00000000-0005-0000-0000-0000A4030000}"/>
    <cellStyle name="Calculation 2 2 2 3 4 4" xfId="1213" xr:uid="{00000000-0005-0000-0000-0000A5030000}"/>
    <cellStyle name="Calculation 2 2 2 3 4 4 2" xfId="1214" xr:uid="{00000000-0005-0000-0000-0000A6030000}"/>
    <cellStyle name="Calculation 2 2 2 3 4 5" xfId="1215" xr:uid="{00000000-0005-0000-0000-0000A7030000}"/>
    <cellStyle name="Calculation 2 2 2 3 4 6" xfId="1216" xr:uid="{00000000-0005-0000-0000-0000A8030000}"/>
    <cellStyle name="Calculation 2 2 2 3 4 7" xfId="1217" xr:uid="{00000000-0005-0000-0000-0000A9030000}"/>
    <cellStyle name="Calculation 2 2 2 3 5" xfId="1218" xr:uid="{00000000-0005-0000-0000-0000AA030000}"/>
    <cellStyle name="Calculation 2 2 2 3 5 2" xfId="1219" xr:uid="{00000000-0005-0000-0000-0000AB030000}"/>
    <cellStyle name="Calculation 2 2 2 3 5 2 2" xfId="1220" xr:uid="{00000000-0005-0000-0000-0000AC030000}"/>
    <cellStyle name="Calculation 2 2 2 3 5 3" xfId="1221" xr:uid="{00000000-0005-0000-0000-0000AD030000}"/>
    <cellStyle name="Calculation 2 2 2 3 5 3 2" xfId="1222" xr:uid="{00000000-0005-0000-0000-0000AE030000}"/>
    <cellStyle name="Calculation 2 2 2 3 5 4" xfId="1223" xr:uid="{00000000-0005-0000-0000-0000AF030000}"/>
    <cellStyle name="Calculation 2 2 2 3 5 5" xfId="1224" xr:uid="{00000000-0005-0000-0000-0000B0030000}"/>
    <cellStyle name="Calculation 2 2 2 3 5 6" xfId="1225" xr:uid="{00000000-0005-0000-0000-0000B1030000}"/>
    <cellStyle name="Calculation 2 2 2 3 6" xfId="1226" xr:uid="{00000000-0005-0000-0000-0000B2030000}"/>
    <cellStyle name="Calculation 2 2 2 3 6 2" xfId="1227" xr:uid="{00000000-0005-0000-0000-0000B3030000}"/>
    <cellStyle name="Calculation 2 2 2 3 7" xfId="1228" xr:uid="{00000000-0005-0000-0000-0000B4030000}"/>
    <cellStyle name="Calculation 2 2 2 3 7 2" xfId="1229" xr:uid="{00000000-0005-0000-0000-0000B5030000}"/>
    <cellStyle name="Calculation 2 2 2 3 8" xfId="1230" xr:uid="{00000000-0005-0000-0000-0000B6030000}"/>
    <cellStyle name="Calculation 2 2 2 3 9" xfId="1231" xr:uid="{00000000-0005-0000-0000-0000B7030000}"/>
    <cellStyle name="Calculation 2 2 2 4" xfId="1232" xr:uid="{00000000-0005-0000-0000-0000B8030000}"/>
    <cellStyle name="Calculation 2 2 2 4 10" xfId="1233" xr:uid="{00000000-0005-0000-0000-0000B9030000}"/>
    <cellStyle name="Calculation 2 2 2 4 2" xfId="1234" xr:uid="{00000000-0005-0000-0000-0000BA030000}"/>
    <cellStyle name="Calculation 2 2 2 4 2 2" xfId="1235" xr:uid="{00000000-0005-0000-0000-0000BB030000}"/>
    <cellStyle name="Calculation 2 2 2 4 2 2 2" xfId="1236" xr:uid="{00000000-0005-0000-0000-0000BC030000}"/>
    <cellStyle name="Calculation 2 2 2 4 2 2 2 2" xfId="1237" xr:uid="{00000000-0005-0000-0000-0000BD030000}"/>
    <cellStyle name="Calculation 2 2 2 4 2 2 2 2 2" xfId="1238" xr:uid="{00000000-0005-0000-0000-0000BE030000}"/>
    <cellStyle name="Calculation 2 2 2 4 2 2 2 3" xfId="1239" xr:uid="{00000000-0005-0000-0000-0000BF030000}"/>
    <cellStyle name="Calculation 2 2 2 4 2 2 2 3 2" xfId="1240" xr:uid="{00000000-0005-0000-0000-0000C0030000}"/>
    <cellStyle name="Calculation 2 2 2 4 2 2 2 4" xfId="1241" xr:uid="{00000000-0005-0000-0000-0000C1030000}"/>
    <cellStyle name="Calculation 2 2 2 4 2 2 2 5" xfId="1242" xr:uid="{00000000-0005-0000-0000-0000C2030000}"/>
    <cellStyle name="Calculation 2 2 2 4 2 2 2 6" xfId="1243" xr:uid="{00000000-0005-0000-0000-0000C3030000}"/>
    <cellStyle name="Calculation 2 2 2 4 2 2 3" xfId="1244" xr:uid="{00000000-0005-0000-0000-0000C4030000}"/>
    <cellStyle name="Calculation 2 2 2 4 2 2 3 2" xfId="1245" xr:uid="{00000000-0005-0000-0000-0000C5030000}"/>
    <cellStyle name="Calculation 2 2 2 4 2 2 4" xfId="1246" xr:uid="{00000000-0005-0000-0000-0000C6030000}"/>
    <cellStyle name="Calculation 2 2 2 4 2 2 4 2" xfId="1247" xr:uid="{00000000-0005-0000-0000-0000C7030000}"/>
    <cellStyle name="Calculation 2 2 2 4 2 2 5" xfId="1248" xr:uid="{00000000-0005-0000-0000-0000C8030000}"/>
    <cellStyle name="Calculation 2 2 2 4 2 2 6" xfId="1249" xr:uid="{00000000-0005-0000-0000-0000C9030000}"/>
    <cellStyle name="Calculation 2 2 2 4 2 2 7" xfId="1250" xr:uid="{00000000-0005-0000-0000-0000CA030000}"/>
    <cellStyle name="Calculation 2 2 2 4 2 3" xfId="1251" xr:uid="{00000000-0005-0000-0000-0000CB030000}"/>
    <cellStyle name="Calculation 2 2 2 4 2 3 2" xfId="1252" xr:uid="{00000000-0005-0000-0000-0000CC030000}"/>
    <cellStyle name="Calculation 2 2 2 4 2 3 2 2" xfId="1253" xr:uid="{00000000-0005-0000-0000-0000CD030000}"/>
    <cellStyle name="Calculation 2 2 2 4 2 3 3" xfId="1254" xr:uid="{00000000-0005-0000-0000-0000CE030000}"/>
    <cellStyle name="Calculation 2 2 2 4 2 3 3 2" xfId="1255" xr:uid="{00000000-0005-0000-0000-0000CF030000}"/>
    <cellStyle name="Calculation 2 2 2 4 2 3 4" xfId="1256" xr:uid="{00000000-0005-0000-0000-0000D0030000}"/>
    <cellStyle name="Calculation 2 2 2 4 2 3 5" xfId="1257" xr:uid="{00000000-0005-0000-0000-0000D1030000}"/>
    <cellStyle name="Calculation 2 2 2 4 2 3 6" xfId="1258" xr:uid="{00000000-0005-0000-0000-0000D2030000}"/>
    <cellStyle name="Calculation 2 2 2 4 2 4" xfId="1259" xr:uid="{00000000-0005-0000-0000-0000D3030000}"/>
    <cellStyle name="Calculation 2 2 2 4 2 4 2" xfId="1260" xr:uid="{00000000-0005-0000-0000-0000D4030000}"/>
    <cellStyle name="Calculation 2 2 2 4 2 5" xfId="1261" xr:uid="{00000000-0005-0000-0000-0000D5030000}"/>
    <cellStyle name="Calculation 2 2 2 4 2 5 2" xfId="1262" xr:uid="{00000000-0005-0000-0000-0000D6030000}"/>
    <cellStyle name="Calculation 2 2 2 4 2 6" xfId="1263" xr:uid="{00000000-0005-0000-0000-0000D7030000}"/>
    <cellStyle name="Calculation 2 2 2 4 2 7" xfId="1264" xr:uid="{00000000-0005-0000-0000-0000D8030000}"/>
    <cellStyle name="Calculation 2 2 2 4 2 8" xfId="1265" xr:uid="{00000000-0005-0000-0000-0000D9030000}"/>
    <cellStyle name="Calculation 2 2 2 4 3" xfId="1266" xr:uid="{00000000-0005-0000-0000-0000DA030000}"/>
    <cellStyle name="Calculation 2 2 2 4 3 2" xfId="1267" xr:uid="{00000000-0005-0000-0000-0000DB030000}"/>
    <cellStyle name="Calculation 2 2 2 4 3 2 2" xfId="1268" xr:uid="{00000000-0005-0000-0000-0000DC030000}"/>
    <cellStyle name="Calculation 2 2 2 4 3 2 2 2" xfId="1269" xr:uid="{00000000-0005-0000-0000-0000DD030000}"/>
    <cellStyle name="Calculation 2 2 2 4 3 2 2 2 2" xfId="1270" xr:uid="{00000000-0005-0000-0000-0000DE030000}"/>
    <cellStyle name="Calculation 2 2 2 4 3 2 2 3" xfId="1271" xr:uid="{00000000-0005-0000-0000-0000DF030000}"/>
    <cellStyle name="Calculation 2 2 2 4 3 2 2 3 2" xfId="1272" xr:uid="{00000000-0005-0000-0000-0000E0030000}"/>
    <cellStyle name="Calculation 2 2 2 4 3 2 2 4" xfId="1273" xr:uid="{00000000-0005-0000-0000-0000E1030000}"/>
    <cellStyle name="Calculation 2 2 2 4 3 2 2 5" xfId="1274" xr:uid="{00000000-0005-0000-0000-0000E2030000}"/>
    <cellStyle name="Calculation 2 2 2 4 3 2 2 6" xfId="1275" xr:uid="{00000000-0005-0000-0000-0000E3030000}"/>
    <cellStyle name="Calculation 2 2 2 4 3 2 3" xfId="1276" xr:uid="{00000000-0005-0000-0000-0000E4030000}"/>
    <cellStyle name="Calculation 2 2 2 4 3 2 3 2" xfId="1277" xr:uid="{00000000-0005-0000-0000-0000E5030000}"/>
    <cellStyle name="Calculation 2 2 2 4 3 2 4" xfId="1278" xr:uid="{00000000-0005-0000-0000-0000E6030000}"/>
    <cellStyle name="Calculation 2 2 2 4 3 2 4 2" xfId="1279" xr:uid="{00000000-0005-0000-0000-0000E7030000}"/>
    <cellStyle name="Calculation 2 2 2 4 3 2 5" xfId="1280" xr:uid="{00000000-0005-0000-0000-0000E8030000}"/>
    <cellStyle name="Calculation 2 2 2 4 3 2 6" xfId="1281" xr:uid="{00000000-0005-0000-0000-0000E9030000}"/>
    <cellStyle name="Calculation 2 2 2 4 3 2 7" xfId="1282" xr:uid="{00000000-0005-0000-0000-0000EA030000}"/>
    <cellStyle name="Calculation 2 2 2 4 3 3" xfId="1283" xr:uid="{00000000-0005-0000-0000-0000EB030000}"/>
    <cellStyle name="Calculation 2 2 2 4 3 3 2" xfId="1284" xr:uid="{00000000-0005-0000-0000-0000EC030000}"/>
    <cellStyle name="Calculation 2 2 2 4 3 3 2 2" xfId="1285" xr:uid="{00000000-0005-0000-0000-0000ED030000}"/>
    <cellStyle name="Calculation 2 2 2 4 3 3 3" xfId="1286" xr:uid="{00000000-0005-0000-0000-0000EE030000}"/>
    <cellStyle name="Calculation 2 2 2 4 3 3 3 2" xfId="1287" xr:uid="{00000000-0005-0000-0000-0000EF030000}"/>
    <cellStyle name="Calculation 2 2 2 4 3 3 4" xfId="1288" xr:uid="{00000000-0005-0000-0000-0000F0030000}"/>
    <cellStyle name="Calculation 2 2 2 4 3 3 5" xfId="1289" xr:uid="{00000000-0005-0000-0000-0000F1030000}"/>
    <cellStyle name="Calculation 2 2 2 4 3 3 6" xfId="1290" xr:uid="{00000000-0005-0000-0000-0000F2030000}"/>
    <cellStyle name="Calculation 2 2 2 4 3 4" xfId="1291" xr:uid="{00000000-0005-0000-0000-0000F3030000}"/>
    <cellStyle name="Calculation 2 2 2 4 3 4 2" xfId="1292" xr:uid="{00000000-0005-0000-0000-0000F4030000}"/>
    <cellStyle name="Calculation 2 2 2 4 3 5" xfId="1293" xr:uid="{00000000-0005-0000-0000-0000F5030000}"/>
    <cellStyle name="Calculation 2 2 2 4 3 5 2" xfId="1294" xr:uid="{00000000-0005-0000-0000-0000F6030000}"/>
    <cellStyle name="Calculation 2 2 2 4 3 6" xfId="1295" xr:uid="{00000000-0005-0000-0000-0000F7030000}"/>
    <cellStyle name="Calculation 2 2 2 4 3 7" xfId="1296" xr:uid="{00000000-0005-0000-0000-0000F8030000}"/>
    <cellStyle name="Calculation 2 2 2 4 3 8" xfId="1297" xr:uid="{00000000-0005-0000-0000-0000F9030000}"/>
    <cellStyle name="Calculation 2 2 2 4 4" xfId="1298" xr:uid="{00000000-0005-0000-0000-0000FA030000}"/>
    <cellStyle name="Calculation 2 2 2 4 4 2" xfId="1299" xr:uid="{00000000-0005-0000-0000-0000FB030000}"/>
    <cellStyle name="Calculation 2 2 2 4 4 2 2" xfId="1300" xr:uid="{00000000-0005-0000-0000-0000FC030000}"/>
    <cellStyle name="Calculation 2 2 2 4 4 2 2 2" xfId="1301" xr:uid="{00000000-0005-0000-0000-0000FD030000}"/>
    <cellStyle name="Calculation 2 2 2 4 4 2 3" xfId="1302" xr:uid="{00000000-0005-0000-0000-0000FE030000}"/>
    <cellStyle name="Calculation 2 2 2 4 4 2 3 2" xfId="1303" xr:uid="{00000000-0005-0000-0000-0000FF030000}"/>
    <cellStyle name="Calculation 2 2 2 4 4 2 4" xfId="1304" xr:uid="{00000000-0005-0000-0000-000000040000}"/>
    <cellStyle name="Calculation 2 2 2 4 4 2 5" xfId="1305" xr:uid="{00000000-0005-0000-0000-000001040000}"/>
    <cellStyle name="Calculation 2 2 2 4 4 2 6" xfId="1306" xr:uid="{00000000-0005-0000-0000-000002040000}"/>
    <cellStyle name="Calculation 2 2 2 4 4 3" xfId="1307" xr:uid="{00000000-0005-0000-0000-000003040000}"/>
    <cellStyle name="Calculation 2 2 2 4 4 3 2" xfId="1308" xr:uid="{00000000-0005-0000-0000-000004040000}"/>
    <cellStyle name="Calculation 2 2 2 4 4 4" xfId="1309" xr:uid="{00000000-0005-0000-0000-000005040000}"/>
    <cellStyle name="Calculation 2 2 2 4 4 4 2" xfId="1310" xr:uid="{00000000-0005-0000-0000-000006040000}"/>
    <cellStyle name="Calculation 2 2 2 4 4 5" xfId="1311" xr:uid="{00000000-0005-0000-0000-000007040000}"/>
    <cellStyle name="Calculation 2 2 2 4 4 6" xfId="1312" xr:uid="{00000000-0005-0000-0000-000008040000}"/>
    <cellStyle name="Calculation 2 2 2 4 4 7" xfId="1313" xr:uid="{00000000-0005-0000-0000-000009040000}"/>
    <cellStyle name="Calculation 2 2 2 4 5" xfId="1314" xr:uid="{00000000-0005-0000-0000-00000A040000}"/>
    <cellStyle name="Calculation 2 2 2 4 5 2" xfId="1315" xr:uid="{00000000-0005-0000-0000-00000B040000}"/>
    <cellStyle name="Calculation 2 2 2 4 5 2 2" xfId="1316" xr:uid="{00000000-0005-0000-0000-00000C040000}"/>
    <cellStyle name="Calculation 2 2 2 4 5 3" xfId="1317" xr:uid="{00000000-0005-0000-0000-00000D040000}"/>
    <cellStyle name="Calculation 2 2 2 4 5 3 2" xfId="1318" xr:uid="{00000000-0005-0000-0000-00000E040000}"/>
    <cellStyle name="Calculation 2 2 2 4 5 4" xfId="1319" xr:uid="{00000000-0005-0000-0000-00000F040000}"/>
    <cellStyle name="Calculation 2 2 2 4 5 5" xfId="1320" xr:uid="{00000000-0005-0000-0000-000010040000}"/>
    <cellStyle name="Calculation 2 2 2 4 5 6" xfId="1321" xr:uid="{00000000-0005-0000-0000-000011040000}"/>
    <cellStyle name="Calculation 2 2 2 4 6" xfId="1322" xr:uid="{00000000-0005-0000-0000-000012040000}"/>
    <cellStyle name="Calculation 2 2 2 4 6 2" xfId="1323" xr:uid="{00000000-0005-0000-0000-000013040000}"/>
    <cellStyle name="Calculation 2 2 2 4 7" xfId="1324" xr:uid="{00000000-0005-0000-0000-000014040000}"/>
    <cellStyle name="Calculation 2 2 2 4 7 2" xfId="1325" xr:uid="{00000000-0005-0000-0000-000015040000}"/>
    <cellStyle name="Calculation 2 2 2 4 8" xfId="1326" xr:uid="{00000000-0005-0000-0000-000016040000}"/>
    <cellStyle name="Calculation 2 2 2 4 9" xfId="1327" xr:uid="{00000000-0005-0000-0000-000017040000}"/>
    <cellStyle name="Calculation 2 2 2 5" xfId="1328" xr:uid="{00000000-0005-0000-0000-000018040000}"/>
    <cellStyle name="Calculation 2 2 2 5 2" xfId="1329" xr:uid="{00000000-0005-0000-0000-000019040000}"/>
    <cellStyle name="Calculation 2 2 2 5 2 2" xfId="1330" xr:uid="{00000000-0005-0000-0000-00001A040000}"/>
    <cellStyle name="Calculation 2 2 2 5 2 2 2" xfId="1331" xr:uid="{00000000-0005-0000-0000-00001B040000}"/>
    <cellStyle name="Calculation 2 2 2 5 2 2 2 2" xfId="1332" xr:uid="{00000000-0005-0000-0000-00001C040000}"/>
    <cellStyle name="Calculation 2 2 2 5 2 2 3" xfId="1333" xr:uid="{00000000-0005-0000-0000-00001D040000}"/>
    <cellStyle name="Calculation 2 2 2 5 2 2 3 2" xfId="1334" xr:uid="{00000000-0005-0000-0000-00001E040000}"/>
    <cellStyle name="Calculation 2 2 2 5 2 2 4" xfId="1335" xr:uid="{00000000-0005-0000-0000-00001F040000}"/>
    <cellStyle name="Calculation 2 2 2 5 2 2 5" xfId="1336" xr:uid="{00000000-0005-0000-0000-000020040000}"/>
    <cellStyle name="Calculation 2 2 2 5 2 2 6" xfId="1337" xr:uid="{00000000-0005-0000-0000-000021040000}"/>
    <cellStyle name="Calculation 2 2 2 5 2 3" xfId="1338" xr:uid="{00000000-0005-0000-0000-000022040000}"/>
    <cellStyle name="Calculation 2 2 2 5 2 3 2" xfId="1339" xr:uid="{00000000-0005-0000-0000-000023040000}"/>
    <cellStyle name="Calculation 2 2 2 5 2 4" xfId="1340" xr:uid="{00000000-0005-0000-0000-000024040000}"/>
    <cellStyle name="Calculation 2 2 2 5 2 4 2" xfId="1341" xr:uid="{00000000-0005-0000-0000-000025040000}"/>
    <cellStyle name="Calculation 2 2 2 5 2 5" xfId="1342" xr:uid="{00000000-0005-0000-0000-000026040000}"/>
    <cellStyle name="Calculation 2 2 2 5 2 6" xfId="1343" xr:uid="{00000000-0005-0000-0000-000027040000}"/>
    <cellStyle name="Calculation 2 2 2 5 2 7" xfId="1344" xr:uid="{00000000-0005-0000-0000-000028040000}"/>
    <cellStyle name="Calculation 2 2 2 5 3" xfId="1345" xr:uid="{00000000-0005-0000-0000-000029040000}"/>
    <cellStyle name="Calculation 2 2 2 5 3 2" xfId="1346" xr:uid="{00000000-0005-0000-0000-00002A040000}"/>
    <cellStyle name="Calculation 2 2 2 5 3 2 2" xfId="1347" xr:uid="{00000000-0005-0000-0000-00002B040000}"/>
    <cellStyle name="Calculation 2 2 2 5 3 3" xfId="1348" xr:uid="{00000000-0005-0000-0000-00002C040000}"/>
    <cellStyle name="Calculation 2 2 2 5 3 3 2" xfId="1349" xr:uid="{00000000-0005-0000-0000-00002D040000}"/>
    <cellStyle name="Calculation 2 2 2 5 3 4" xfId="1350" xr:uid="{00000000-0005-0000-0000-00002E040000}"/>
    <cellStyle name="Calculation 2 2 2 5 3 5" xfId="1351" xr:uid="{00000000-0005-0000-0000-00002F040000}"/>
    <cellStyle name="Calculation 2 2 2 5 3 6" xfId="1352" xr:uid="{00000000-0005-0000-0000-000030040000}"/>
    <cellStyle name="Calculation 2 2 2 5 4" xfId="1353" xr:uid="{00000000-0005-0000-0000-000031040000}"/>
    <cellStyle name="Calculation 2 2 2 5 4 2" xfId="1354" xr:uid="{00000000-0005-0000-0000-000032040000}"/>
    <cellStyle name="Calculation 2 2 2 5 5" xfId="1355" xr:uid="{00000000-0005-0000-0000-000033040000}"/>
    <cellStyle name="Calculation 2 2 2 5 5 2" xfId="1356" xr:uid="{00000000-0005-0000-0000-000034040000}"/>
    <cellStyle name="Calculation 2 2 2 5 6" xfId="1357" xr:uid="{00000000-0005-0000-0000-000035040000}"/>
    <cellStyle name="Calculation 2 2 2 5 7" xfId="1358" xr:uid="{00000000-0005-0000-0000-000036040000}"/>
    <cellStyle name="Calculation 2 2 2 5 8" xfId="1359" xr:uid="{00000000-0005-0000-0000-000037040000}"/>
    <cellStyle name="Calculation 2 2 2 6" xfId="1360" xr:uid="{00000000-0005-0000-0000-000038040000}"/>
    <cellStyle name="Calculation 2 2 2 6 2" xfId="1361" xr:uid="{00000000-0005-0000-0000-000039040000}"/>
    <cellStyle name="Calculation 2 2 2 6 2 2" xfId="1362" xr:uid="{00000000-0005-0000-0000-00003A040000}"/>
    <cellStyle name="Calculation 2 2 2 6 2 2 2" xfId="1363" xr:uid="{00000000-0005-0000-0000-00003B040000}"/>
    <cellStyle name="Calculation 2 2 2 6 2 3" xfId="1364" xr:uid="{00000000-0005-0000-0000-00003C040000}"/>
    <cellStyle name="Calculation 2 2 2 6 2 3 2" xfId="1365" xr:uid="{00000000-0005-0000-0000-00003D040000}"/>
    <cellStyle name="Calculation 2 2 2 6 2 4" xfId="1366" xr:uid="{00000000-0005-0000-0000-00003E040000}"/>
    <cellStyle name="Calculation 2 2 2 6 2 5" xfId="1367" xr:uid="{00000000-0005-0000-0000-00003F040000}"/>
    <cellStyle name="Calculation 2 2 2 6 2 6" xfId="1368" xr:uid="{00000000-0005-0000-0000-000040040000}"/>
    <cellStyle name="Calculation 2 2 2 6 3" xfId="1369" xr:uid="{00000000-0005-0000-0000-000041040000}"/>
    <cellStyle name="Calculation 2 2 2 6 3 2" xfId="1370" xr:uid="{00000000-0005-0000-0000-000042040000}"/>
    <cellStyle name="Calculation 2 2 2 6 4" xfId="1371" xr:uid="{00000000-0005-0000-0000-000043040000}"/>
    <cellStyle name="Calculation 2 2 2 6 4 2" xfId="1372" xr:uid="{00000000-0005-0000-0000-000044040000}"/>
    <cellStyle name="Calculation 2 2 2 6 5" xfId="1373" xr:uid="{00000000-0005-0000-0000-000045040000}"/>
    <cellStyle name="Calculation 2 2 2 6 6" xfId="1374" xr:uid="{00000000-0005-0000-0000-000046040000}"/>
    <cellStyle name="Calculation 2 2 2 6 7" xfId="1375" xr:uid="{00000000-0005-0000-0000-000047040000}"/>
    <cellStyle name="Calculation 2 2 2 7" xfId="1376" xr:uid="{00000000-0005-0000-0000-000048040000}"/>
    <cellStyle name="Calculation 2 2 2 7 2" xfId="1377" xr:uid="{00000000-0005-0000-0000-000049040000}"/>
    <cellStyle name="Calculation 2 2 2 7 2 2" xfId="1378" xr:uid="{00000000-0005-0000-0000-00004A040000}"/>
    <cellStyle name="Calculation 2 2 2 7 3" xfId="1379" xr:uid="{00000000-0005-0000-0000-00004B040000}"/>
    <cellStyle name="Calculation 2 2 2 7 3 2" xfId="1380" xr:uid="{00000000-0005-0000-0000-00004C040000}"/>
    <cellStyle name="Calculation 2 2 2 7 4" xfId="1381" xr:uid="{00000000-0005-0000-0000-00004D040000}"/>
    <cellStyle name="Calculation 2 2 2 7 5" xfId="1382" xr:uid="{00000000-0005-0000-0000-00004E040000}"/>
    <cellStyle name="Calculation 2 2 2 7 6" xfId="1383" xr:uid="{00000000-0005-0000-0000-00004F040000}"/>
    <cellStyle name="Calculation 2 2 2 8" xfId="1384" xr:uid="{00000000-0005-0000-0000-000050040000}"/>
    <cellStyle name="Calculation 2 2 2 8 2" xfId="1385" xr:uid="{00000000-0005-0000-0000-000051040000}"/>
    <cellStyle name="Calculation 2 2 2 9" xfId="1386" xr:uid="{00000000-0005-0000-0000-000052040000}"/>
    <cellStyle name="Calculation 2 2 2 9 2" xfId="1387" xr:uid="{00000000-0005-0000-0000-000053040000}"/>
    <cellStyle name="Calculation 2 2 3" xfId="1388" xr:uid="{00000000-0005-0000-0000-000054040000}"/>
    <cellStyle name="Calculation 2 2 3 10" xfId="1389" xr:uid="{00000000-0005-0000-0000-000055040000}"/>
    <cellStyle name="Calculation 2 2 3 11" xfId="1390" xr:uid="{00000000-0005-0000-0000-000056040000}"/>
    <cellStyle name="Calculation 2 2 3 12" xfId="1391" xr:uid="{00000000-0005-0000-0000-000057040000}"/>
    <cellStyle name="Calculation 2 2 3 2" xfId="1392" xr:uid="{00000000-0005-0000-0000-000058040000}"/>
    <cellStyle name="Calculation 2 2 3 2 10" xfId="1393" xr:uid="{00000000-0005-0000-0000-000059040000}"/>
    <cellStyle name="Calculation 2 2 3 2 11" xfId="1394" xr:uid="{00000000-0005-0000-0000-00005A040000}"/>
    <cellStyle name="Calculation 2 2 3 2 2" xfId="1395" xr:uid="{00000000-0005-0000-0000-00005B040000}"/>
    <cellStyle name="Calculation 2 2 3 2 2 10" xfId="1396" xr:uid="{00000000-0005-0000-0000-00005C040000}"/>
    <cellStyle name="Calculation 2 2 3 2 2 2" xfId="1397" xr:uid="{00000000-0005-0000-0000-00005D040000}"/>
    <cellStyle name="Calculation 2 2 3 2 2 2 2" xfId="1398" xr:uid="{00000000-0005-0000-0000-00005E040000}"/>
    <cellStyle name="Calculation 2 2 3 2 2 2 2 2" xfId="1399" xr:uid="{00000000-0005-0000-0000-00005F040000}"/>
    <cellStyle name="Calculation 2 2 3 2 2 2 2 2 2" xfId="1400" xr:uid="{00000000-0005-0000-0000-000060040000}"/>
    <cellStyle name="Calculation 2 2 3 2 2 2 2 2 2 2" xfId="1401" xr:uid="{00000000-0005-0000-0000-000061040000}"/>
    <cellStyle name="Calculation 2 2 3 2 2 2 2 2 3" xfId="1402" xr:uid="{00000000-0005-0000-0000-000062040000}"/>
    <cellStyle name="Calculation 2 2 3 2 2 2 2 2 3 2" xfId="1403" xr:uid="{00000000-0005-0000-0000-000063040000}"/>
    <cellStyle name="Calculation 2 2 3 2 2 2 2 2 4" xfId="1404" xr:uid="{00000000-0005-0000-0000-000064040000}"/>
    <cellStyle name="Calculation 2 2 3 2 2 2 2 2 5" xfId="1405" xr:uid="{00000000-0005-0000-0000-000065040000}"/>
    <cellStyle name="Calculation 2 2 3 2 2 2 2 2 6" xfId="1406" xr:uid="{00000000-0005-0000-0000-000066040000}"/>
    <cellStyle name="Calculation 2 2 3 2 2 2 2 3" xfId="1407" xr:uid="{00000000-0005-0000-0000-000067040000}"/>
    <cellStyle name="Calculation 2 2 3 2 2 2 2 3 2" xfId="1408" xr:uid="{00000000-0005-0000-0000-000068040000}"/>
    <cellStyle name="Calculation 2 2 3 2 2 2 2 4" xfId="1409" xr:uid="{00000000-0005-0000-0000-000069040000}"/>
    <cellStyle name="Calculation 2 2 3 2 2 2 2 4 2" xfId="1410" xr:uid="{00000000-0005-0000-0000-00006A040000}"/>
    <cellStyle name="Calculation 2 2 3 2 2 2 2 5" xfId="1411" xr:uid="{00000000-0005-0000-0000-00006B040000}"/>
    <cellStyle name="Calculation 2 2 3 2 2 2 2 6" xfId="1412" xr:uid="{00000000-0005-0000-0000-00006C040000}"/>
    <cellStyle name="Calculation 2 2 3 2 2 2 2 7" xfId="1413" xr:uid="{00000000-0005-0000-0000-00006D040000}"/>
    <cellStyle name="Calculation 2 2 3 2 2 2 3" xfId="1414" xr:uid="{00000000-0005-0000-0000-00006E040000}"/>
    <cellStyle name="Calculation 2 2 3 2 2 2 3 2" xfId="1415" xr:uid="{00000000-0005-0000-0000-00006F040000}"/>
    <cellStyle name="Calculation 2 2 3 2 2 2 3 2 2" xfId="1416" xr:uid="{00000000-0005-0000-0000-000070040000}"/>
    <cellStyle name="Calculation 2 2 3 2 2 2 3 3" xfId="1417" xr:uid="{00000000-0005-0000-0000-000071040000}"/>
    <cellStyle name="Calculation 2 2 3 2 2 2 3 3 2" xfId="1418" xr:uid="{00000000-0005-0000-0000-000072040000}"/>
    <cellStyle name="Calculation 2 2 3 2 2 2 3 4" xfId="1419" xr:uid="{00000000-0005-0000-0000-000073040000}"/>
    <cellStyle name="Calculation 2 2 3 2 2 2 3 5" xfId="1420" xr:uid="{00000000-0005-0000-0000-000074040000}"/>
    <cellStyle name="Calculation 2 2 3 2 2 2 3 6" xfId="1421" xr:uid="{00000000-0005-0000-0000-000075040000}"/>
    <cellStyle name="Calculation 2 2 3 2 2 2 4" xfId="1422" xr:uid="{00000000-0005-0000-0000-000076040000}"/>
    <cellStyle name="Calculation 2 2 3 2 2 2 4 2" xfId="1423" xr:uid="{00000000-0005-0000-0000-000077040000}"/>
    <cellStyle name="Calculation 2 2 3 2 2 2 5" xfId="1424" xr:uid="{00000000-0005-0000-0000-000078040000}"/>
    <cellStyle name="Calculation 2 2 3 2 2 2 5 2" xfId="1425" xr:uid="{00000000-0005-0000-0000-000079040000}"/>
    <cellStyle name="Calculation 2 2 3 2 2 2 6" xfId="1426" xr:uid="{00000000-0005-0000-0000-00007A040000}"/>
    <cellStyle name="Calculation 2 2 3 2 2 2 7" xfId="1427" xr:uid="{00000000-0005-0000-0000-00007B040000}"/>
    <cellStyle name="Calculation 2 2 3 2 2 2 8" xfId="1428" xr:uid="{00000000-0005-0000-0000-00007C040000}"/>
    <cellStyle name="Calculation 2 2 3 2 2 3" xfId="1429" xr:uid="{00000000-0005-0000-0000-00007D040000}"/>
    <cellStyle name="Calculation 2 2 3 2 2 3 2" xfId="1430" xr:uid="{00000000-0005-0000-0000-00007E040000}"/>
    <cellStyle name="Calculation 2 2 3 2 2 3 2 2" xfId="1431" xr:uid="{00000000-0005-0000-0000-00007F040000}"/>
    <cellStyle name="Calculation 2 2 3 2 2 3 2 2 2" xfId="1432" xr:uid="{00000000-0005-0000-0000-000080040000}"/>
    <cellStyle name="Calculation 2 2 3 2 2 3 2 2 2 2" xfId="1433" xr:uid="{00000000-0005-0000-0000-000081040000}"/>
    <cellStyle name="Calculation 2 2 3 2 2 3 2 2 3" xfId="1434" xr:uid="{00000000-0005-0000-0000-000082040000}"/>
    <cellStyle name="Calculation 2 2 3 2 2 3 2 2 3 2" xfId="1435" xr:uid="{00000000-0005-0000-0000-000083040000}"/>
    <cellStyle name="Calculation 2 2 3 2 2 3 2 2 4" xfId="1436" xr:uid="{00000000-0005-0000-0000-000084040000}"/>
    <cellStyle name="Calculation 2 2 3 2 2 3 2 2 5" xfId="1437" xr:uid="{00000000-0005-0000-0000-000085040000}"/>
    <cellStyle name="Calculation 2 2 3 2 2 3 2 2 6" xfId="1438" xr:uid="{00000000-0005-0000-0000-000086040000}"/>
    <cellStyle name="Calculation 2 2 3 2 2 3 2 3" xfId="1439" xr:uid="{00000000-0005-0000-0000-000087040000}"/>
    <cellStyle name="Calculation 2 2 3 2 2 3 2 3 2" xfId="1440" xr:uid="{00000000-0005-0000-0000-000088040000}"/>
    <cellStyle name="Calculation 2 2 3 2 2 3 2 4" xfId="1441" xr:uid="{00000000-0005-0000-0000-000089040000}"/>
    <cellStyle name="Calculation 2 2 3 2 2 3 2 4 2" xfId="1442" xr:uid="{00000000-0005-0000-0000-00008A040000}"/>
    <cellStyle name="Calculation 2 2 3 2 2 3 2 5" xfId="1443" xr:uid="{00000000-0005-0000-0000-00008B040000}"/>
    <cellStyle name="Calculation 2 2 3 2 2 3 2 6" xfId="1444" xr:uid="{00000000-0005-0000-0000-00008C040000}"/>
    <cellStyle name="Calculation 2 2 3 2 2 3 2 7" xfId="1445" xr:uid="{00000000-0005-0000-0000-00008D040000}"/>
    <cellStyle name="Calculation 2 2 3 2 2 3 3" xfId="1446" xr:uid="{00000000-0005-0000-0000-00008E040000}"/>
    <cellStyle name="Calculation 2 2 3 2 2 3 3 2" xfId="1447" xr:uid="{00000000-0005-0000-0000-00008F040000}"/>
    <cellStyle name="Calculation 2 2 3 2 2 3 3 2 2" xfId="1448" xr:uid="{00000000-0005-0000-0000-000090040000}"/>
    <cellStyle name="Calculation 2 2 3 2 2 3 3 3" xfId="1449" xr:uid="{00000000-0005-0000-0000-000091040000}"/>
    <cellStyle name="Calculation 2 2 3 2 2 3 3 3 2" xfId="1450" xr:uid="{00000000-0005-0000-0000-000092040000}"/>
    <cellStyle name="Calculation 2 2 3 2 2 3 3 4" xfId="1451" xr:uid="{00000000-0005-0000-0000-000093040000}"/>
    <cellStyle name="Calculation 2 2 3 2 2 3 3 5" xfId="1452" xr:uid="{00000000-0005-0000-0000-000094040000}"/>
    <cellStyle name="Calculation 2 2 3 2 2 3 3 6" xfId="1453" xr:uid="{00000000-0005-0000-0000-000095040000}"/>
    <cellStyle name="Calculation 2 2 3 2 2 3 4" xfId="1454" xr:uid="{00000000-0005-0000-0000-000096040000}"/>
    <cellStyle name="Calculation 2 2 3 2 2 3 4 2" xfId="1455" xr:uid="{00000000-0005-0000-0000-000097040000}"/>
    <cellStyle name="Calculation 2 2 3 2 2 3 5" xfId="1456" xr:uid="{00000000-0005-0000-0000-000098040000}"/>
    <cellStyle name="Calculation 2 2 3 2 2 3 5 2" xfId="1457" xr:uid="{00000000-0005-0000-0000-000099040000}"/>
    <cellStyle name="Calculation 2 2 3 2 2 3 6" xfId="1458" xr:uid="{00000000-0005-0000-0000-00009A040000}"/>
    <cellStyle name="Calculation 2 2 3 2 2 3 7" xfId="1459" xr:uid="{00000000-0005-0000-0000-00009B040000}"/>
    <cellStyle name="Calculation 2 2 3 2 2 3 8" xfId="1460" xr:uid="{00000000-0005-0000-0000-00009C040000}"/>
    <cellStyle name="Calculation 2 2 3 2 2 4" xfId="1461" xr:uid="{00000000-0005-0000-0000-00009D040000}"/>
    <cellStyle name="Calculation 2 2 3 2 2 4 2" xfId="1462" xr:uid="{00000000-0005-0000-0000-00009E040000}"/>
    <cellStyle name="Calculation 2 2 3 2 2 4 2 2" xfId="1463" xr:uid="{00000000-0005-0000-0000-00009F040000}"/>
    <cellStyle name="Calculation 2 2 3 2 2 4 2 2 2" xfId="1464" xr:uid="{00000000-0005-0000-0000-0000A0040000}"/>
    <cellStyle name="Calculation 2 2 3 2 2 4 2 3" xfId="1465" xr:uid="{00000000-0005-0000-0000-0000A1040000}"/>
    <cellStyle name="Calculation 2 2 3 2 2 4 2 3 2" xfId="1466" xr:uid="{00000000-0005-0000-0000-0000A2040000}"/>
    <cellStyle name="Calculation 2 2 3 2 2 4 2 4" xfId="1467" xr:uid="{00000000-0005-0000-0000-0000A3040000}"/>
    <cellStyle name="Calculation 2 2 3 2 2 4 2 5" xfId="1468" xr:uid="{00000000-0005-0000-0000-0000A4040000}"/>
    <cellStyle name="Calculation 2 2 3 2 2 4 2 6" xfId="1469" xr:uid="{00000000-0005-0000-0000-0000A5040000}"/>
    <cellStyle name="Calculation 2 2 3 2 2 4 3" xfId="1470" xr:uid="{00000000-0005-0000-0000-0000A6040000}"/>
    <cellStyle name="Calculation 2 2 3 2 2 4 3 2" xfId="1471" xr:uid="{00000000-0005-0000-0000-0000A7040000}"/>
    <cellStyle name="Calculation 2 2 3 2 2 4 4" xfId="1472" xr:uid="{00000000-0005-0000-0000-0000A8040000}"/>
    <cellStyle name="Calculation 2 2 3 2 2 4 4 2" xfId="1473" xr:uid="{00000000-0005-0000-0000-0000A9040000}"/>
    <cellStyle name="Calculation 2 2 3 2 2 4 5" xfId="1474" xr:uid="{00000000-0005-0000-0000-0000AA040000}"/>
    <cellStyle name="Calculation 2 2 3 2 2 4 6" xfId="1475" xr:uid="{00000000-0005-0000-0000-0000AB040000}"/>
    <cellStyle name="Calculation 2 2 3 2 2 4 7" xfId="1476" xr:uid="{00000000-0005-0000-0000-0000AC040000}"/>
    <cellStyle name="Calculation 2 2 3 2 2 5" xfId="1477" xr:uid="{00000000-0005-0000-0000-0000AD040000}"/>
    <cellStyle name="Calculation 2 2 3 2 2 5 2" xfId="1478" xr:uid="{00000000-0005-0000-0000-0000AE040000}"/>
    <cellStyle name="Calculation 2 2 3 2 2 5 2 2" xfId="1479" xr:uid="{00000000-0005-0000-0000-0000AF040000}"/>
    <cellStyle name="Calculation 2 2 3 2 2 5 3" xfId="1480" xr:uid="{00000000-0005-0000-0000-0000B0040000}"/>
    <cellStyle name="Calculation 2 2 3 2 2 5 3 2" xfId="1481" xr:uid="{00000000-0005-0000-0000-0000B1040000}"/>
    <cellStyle name="Calculation 2 2 3 2 2 5 4" xfId="1482" xr:uid="{00000000-0005-0000-0000-0000B2040000}"/>
    <cellStyle name="Calculation 2 2 3 2 2 5 5" xfId="1483" xr:uid="{00000000-0005-0000-0000-0000B3040000}"/>
    <cellStyle name="Calculation 2 2 3 2 2 5 6" xfId="1484" xr:uid="{00000000-0005-0000-0000-0000B4040000}"/>
    <cellStyle name="Calculation 2 2 3 2 2 6" xfId="1485" xr:uid="{00000000-0005-0000-0000-0000B5040000}"/>
    <cellStyle name="Calculation 2 2 3 2 2 6 2" xfId="1486" xr:uid="{00000000-0005-0000-0000-0000B6040000}"/>
    <cellStyle name="Calculation 2 2 3 2 2 7" xfId="1487" xr:uid="{00000000-0005-0000-0000-0000B7040000}"/>
    <cellStyle name="Calculation 2 2 3 2 2 7 2" xfId="1488" xr:uid="{00000000-0005-0000-0000-0000B8040000}"/>
    <cellStyle name="Calculation 2 2 3 2 2 8" xfId="1489" xr:uid="{00000000-0005-0000-0000-0000B9040000}"/>
    <cellStyle name="Calculation 2 2 3 2 2 9" xfId="1490" xr:uid="{00000000-0005-0000-0000-0000BA040000}"/>
    <cellStyle name="Calculation 2 2 3 2 3" xfId="1491" xr:uid="{00000000-0005-0000-0000-0000BB040000}"/>
    <cellStyle name="Calculation 2 2 3 2 3 2" xfId="1492" xr:uid="{00000000-0005-0000-0000-0000BC040000}"/>
    <cellStyle name="Calculation 2 2 3 2 3 2 2" xfId="1493" xr:uid="{00000000-0005-0000-0000-0000BD040000}"/>
    <cellStyle name="Calculation 2 2 3 2 3 2 2 2" xfId="1494" xr:uid="{00000000-0005-0000-0000-0000BE040000}"/>
    <cellStyle name="Calculation 2 2 3 2 3 2 2 2 2" xfId="1495" xr:uid="{00000000-0005-0000-0000-0000BF040000}"/>
    <cellStyle name="Calculation 2 2 3 2 3 2 2 3" xfId="1496" xr:uid="{00000000-0005-0000-0000-0000C0040000}"/>
    <cellStyle name="Calculation 2 2 3 2 3 2 2 3 2" xfId="1497" xr:uid="{00000000-0005-0000-0000-0000C1040000}"/>
    <cellStyle name="Calculation 2 2 3 2 3 2 2 4" xfId="1498" xr:uid="{00000000-0005-0000-0000-0000C2040000}"/>
    <cellStyle name="Calculation 2 2 3 2 3 2 2 5" xfId="1499" xr:uid="{00000000-0005-0000-0000-0000C3040000}"/>
    <cellStyle name="Calculation 2 2 3 2 3 2 2 6" xfId="1500" xr:uid="{00000000-0005-0000-0000-0000C4040000}"/>
    <cellStyle name="Calculation 2 2 3 2 3 2 3" xfId="1501" xr:uid="{00000000-0005-0000-0000-0000C5040000}"/>
    <cellStyle name="Calculation 2 2 3 2 3 2 3 2" xfId="1502" xr:uid="{00000000-0005-0000-0000-0000C6040000}"/>
    <cellStyle name="Calculation 2 2 3 2 3 2 4" xfId="1503" xr:uid="{00000000-0005-0000-0000-0000C7040000}"/>
    <cellStyle name="Calculation 2 2 3 2 3 2 4 2" xfId="1504" xr:uid="{00000000-0005-0000-0000-0000C8040000}"/>
    <cellStyle name="Calculation 2 2 3 2 3 2 5" xfId="1505" xr:uid="{00000000-0005-0000-0000-0000C9040000}"/>
    <cellStyle name="Calculation 2 2 3 2 3 2 6" xfId="1506" xr:uid="{00000000-0005-0000-0000-0000CA040000}"/>
    <cellStyle name="Calculation 2 2 3 2 3 2 7" xfId="1507" xr:uid="{00000000-0005-0000-0000-0000CB040000}"/>
    <cellStyle name="Calculation 2 2 3 2 3 3" xfId="1508" xr:uid="{00000000-0005-0000-0000-0000CC040000}"/>
    <cellStyle name="Calculation 2 2 3 2 3 3 2" xfId="1509" xr:uid="{00000000-0005-0000-0000-0000CD040000}"/>
    <cellStyle name="Calculation 2 2 3 2 3 3 2 2" xfId="1510" xr:uid="{00000000-0005-0000-0000-0000CE040000}"/>
    <cellStyle name="Calculation 2 2 3 2 3 3 3" xfId="1511" xr:uid="{00000000-0005-0000-0000-0000CF040000}"/>
    <cellStyle name="Calculation 2 2 3 2 3 3 3 2" xfId="1512" xr:uid="{00000000-0005-0000-0000-0000D0040000}"/>
    <cellStyle name="Calculation 2 2 3 2 3 3 4" xfId="1513" xr:uid="{00000000-0005-0000-0000-0000D1040000}"/>
    <cellStyle name="Calculation 2 2 3 2 3 3 5" xfId="1514" xr:uid="{00000000-0005-0000-0000-0000D2040000}"/>
    <cellStyle name="Calculation 2 2 3 2 3 3 6" xfId="1515" xr:uid="{00000000-0005-0000-0000-0000D3040000}"/>
    <cellStyle name="Calculation 2 2 3 2 3 4" xfId="1516" xr:uid="{00000000-0005-0000-0000-0000D4040000}"/>
    <cellStyle name="Calculation 2 2 3 2 3 4 2" xfId="1517" xr:uid="{00000000-0005-0000-0000-0000D5040000}"/>
    <cellStyle name="Calculation 2 2 3 2 3 5" xfId="1518" xr:uid="{00000000-0005-0000-0000-0000D6040000}"/>
    <cellStyle name="Calculation 2 2 3 2 3 5 2" xfId="1519" xr:uid="{00000000-0005-0000-0000-0000D7040000}"/>
    <cellStyle name="Calculation 2 2 3 2 3 6" xfId="1520" xr:uid="{00000000-0005-0000-0000-0000D8040000}"/>
    <cellStyle name="Calculation 2 2 3 2 3 7" xfId="1521" xr:uid="{00000000-0005-0000-0000-0000D9040000}"/>
    <cellStyle name="Calculation 2 2 3 2 3 8" xfId="1522" xr:uid="{00000000-0005-0000-0000-0000DA040000}"/>
    <cellStyle name="Calculation 2 2 3 2 4" xfId="1523" xr:uid="{00000000-0005-0000-0000-0000DB040000}"/>
    <cellStyle name="Calculation 2 2 3 2 4 2" xfId="1524" xr:uid="{00000000-0005-0000-0000-0000DC040000}"/>
    <cellStyle name="Calculation 2 2 3 2 4 2 2" xfId="1525" xr:uid="{00000000-0005-0000-0000-0000DD040000}"/>
    <cellStyle name="Calculation 2 2 3 2 4 2 2 2" xfId="1526" xr:uid="{00000000-0005-0000-0000-0000DE040000}"/>
    <cellStyle name="Calculation 2 2 3 2 4 2 2 2 2" xfId="1527" xr:uid="{00000000-0005-0000-0000-0000DF040000}"/>
    <cellStyle name="Calculation 2 2 3 2 4 2 2 3" xfId="1528" xr:uid="{00000000-0005-0000-0000-0000E0040000}"/>
    <cellStyle name="Calculation 2 2 3 2 4 2 2 3 2" xfId="1529" xr:uid="{00000000-0005-0000-0000-0000E1040000}"/>
    <cellStyle name="Calculation 2 2 3 2 4 2 2 4" xfId="1530" xr:uid="{00000000-0005-0000-0000-0000E2040000}"/>
    <cellStyle name="Calculation 2 2 3 2 4 2 2 5" xfId="1531" xr:uid="{00000000-0005-0000-0000-0000E3040000}"/>
    <cellStyle name="Calculation 2 2 3 2 4 2 2 6" xfId="1532" xr:uid="{00000000-0005-0000-0000-0000E4040000}"/>
    <cellStyle name="Calculation 2 2 3 2 4 2 3" xfId="1533" xr:uid="{00000000-0005-0000-0000-0000E5040000}"/>
    <cellStyle name="Calculation 2 2 3 2 4 2 3 2" xfId="1534" xr:uid="{00000000-0005-0000-0000-0000E6040000}"/>
    <cellStyle name="Calculation 2 2 3 2 4 2 4" xfId="1535" xr:uid="{00000000-0005-0000-0000-0000E7040000}"/>
    <cellStyle name="Calculation 2 2 3 2 4 2 4 2" xfId="1536" xr:uid="{00000000-0005-0000-0000-0000E8040000}"/>
    <cellStyle name="Calculation 2 2 3 2 4 2 5" xfId="1537" xr:uid="{00000000-0005-0000-0000-0000E9040000}"/>
    <cellStyle name="Calculation 2 2 3 2 4 2 6" xfId="1538" xr:uid="{00000000-0005-0000-0000-0000EA040000}"/>
    <cellStyle name="Calculation 2 2 3 2 4 2 7" xfId="1539" xr:uid="{00000000-0005-0000-0000-0000EB040000}"/>
    <cellStyle name="Calculation 2 2 3 2 4 3" xfId="1540" xr:uid="{00000000-0005-0000-0000-0000EC040000}"/>
    <cellStyle name="Calculation 2 2 3 2 4 3 2" xfId="1541" xr:uid="{00000000-0005-0000-0000-0000ED040000}"/>
    <cellStyle name="Calculation 2 2 3 2 4 3 2 2" xfId="1542" xr:uid="{00000000-0005-0000-0000-0000EE040000}"/>
    <cellStyle name="Calculation 2 2 3 2 4 3 3" xfId="1543" xr:uid="{00000000-0005-0000-0000-0000EF040000}"/>
    <cellStyle name="Calculation 2 2 3 2 4 3 3 2" xfId="1544" xr:uid="{00000000-0005-0000-0000-0000F0040000}"/>
    <cellStyle name="Calculation 2 2 3 2 4 3 4" xfId="1545" xr:uid="{00000000-0005-0000-0000-0000F1040000}"/>
    <cellStyle name="Calculation 2 2 3 2 4 3 5" xfId="1546" xr:uid="{00000000-0005-0000-0000-0000F2040000}"/>
    <cellStyle name="Calculation 2 2 3 2 4 3 6" xfId="1547" xr:uid="{00000000-0005-0000-0000-0000F3040000}"/>
    <cellStyle name="Calculation 2 2 3 2 4 4" xfId="1548" xr:uid="{00000000-0005-0000-0000-0000F4040000}"/>
    <cellStyle name="Calculation 2 2 3 2 4 4 2" xfId="1549" xr:uid="{00000000-0005-0000-0000-0000F5040000}"/>
    <cellStyle name="Calculation 2 2 3 2 4 5" xfId="1550" xr:uid="{00000000-0005-0000-0000-0000F6040000}"/>
    <cellStyle name="Calculation 2 2 3 2 4 5 2" xfId="1551" xr:uid="{00000000-0005-0000-0000-0000F7040000}"/>
    <cellStyle name="Calculation 2 2 3 2 4 6" xfId="1552" xr:uid="{00000000-0005-0000-0000-0000F8040000}"/>
    <cellStyle name="Calculation 2 2 3 2 4 7" xfId="1553" xr:uid="{00000000-0005-0000-0000-0000F9040000}"/>
    <cellStyle name="Calculation 2 2 3 2 4 8" xfId="1554" xr:uid="{00000000-0005-0000-0000-0000FA040000}"/>
    <cellStyle name="Calculation 2 2 3 2 5" xfId="1555" xr:uid="{00000000-0005-0000-0000-0000FB040000}"/>
    <cellStyle name="Calculation 2 2 3 2 5 2" xfId="1556" xr:uid="{00000000-0005-0000-0000-0000FC040000}"/>
    <cellStyle name="Calculation 2 2 3 2 5 2 2" xfId="1557" xr:uid="{00000000-0005-0000-0000-0000FD040000}"/>
    <cellStyle name="Calculation 2 2 3 2 5 2 2 2" xfId="1558" xr:uid="{00000000-0005-0000-0000-0000FE040000}"/>
    <cellStyle name="Calculation 2 2 3 2 5 2 3" xfId="1559" xr:uid="{00000000-0005-0000-0000-0000FF040000}"/>
    <cellStyle name="Calculation 2 2 3 2 5 2 3 2" xfId="1560" xr:uid="{00000000-0005-0000-0000-000000050000}"/>
    <cellStyle name="Calculation 2 2 3 2 5 2 4" xfId="1561" xr:uid="{00000000-0005-0000-0000-000001050000}"/>
    <cellStyle name="Calculation 2 2 3 2 5 2 5" xfId="1562" xr:uid="{00000000-0005-0000-0000-000002050000}"/>
    <cellStyle name="Calculation 2 2 3 2 5 2 6" xfId="1563" xr:uid="{00000000-0005-0000-0000-000003050000}"/>
    <cellStyle name="Calculation 2 2 3 2 5 3" xfId="1564" xr:uid="{00000000-0005-0000-0000-000004050000}"/>
    <cellStyle name="Calculation 2 2 3 2 5 3 2" xfId="1565" xr:uid="{00000000-0005-0000-0000-000005050000}"/>
    <cellStyle name="Calculation 2 2 3 2 5 4" xfId="1566" xr:uid="{00000000-0005-0000-0000-000006050000}"/>
    <cellStyle name="Calculation 2 2 3 2 5 4 2" xfId="1567" xr:uid="{00000000-0005-0000-0000-000007050000}"/>
    <cellStyle name="Calculation 2 2 3 2 5 5" xfId="1568" xr:uid="{00000000-0005-0000-0000-000008050000}"/>
    <cellStyle name="Calculation 2 2 3 2 5 6" xfId="1569" xr:uid="{00000000-0005-0000-0000-000009050000}"/>
    <cellStyle name="Calculation 2 2 3 2 5 7" xfId="1570" xr:uid="{00000000-0005-0000-0000-00000A050000}"/>
    <cellStyle name="Calculation 2 2 3 2 6" xfId="1571" xr:uid="{00000000-0005-0000-0000-00000B050000}"/>
    <cellStyle name="Calculation 2 2 3 2 6 2" xfId="1572" xr:uid="{00000000-0005-0000-0000-00000C050000}"/>
    <cellStyle name="Calculation 2 2 3 2 6 2 2" xfId="1573" xr:uid="{00000000-0005-0000-0000-00000D050000}"/>
    <cellStyle name="Calculation 2 2 3 2 6 3" xfId="1574" xr:uid="{00000000-0005-0000-0000-00000E050000}"/>
    <cellStyle name="Calculation 2 2 3 2 6 3 2" xfId="1575" xr:uid="{00000000-0005-0000-0000-00000F050000}"/>
    <cellStyle name="Calculation 2 2 3 2 6 4" xfId="1576" xr:uid="{00000000-0005-0000-0000-000010050000}"/>
    <cellStyle name="Calculation 2 2 3 2 6 5" xfId="1577" xr:uid="{00000000-0005-0000-0000-000011050000}"/>
    <cellStyle name="Calculation 2 2 3 2 6 6" xfId="1578" xr:uid="{00000000-0005-0000-0000-000012050000}"/>
    <cellStyle name="Calculation 2 2 3 2 7" xfId="1579" xr:uid="{00000000-0005-0000-0000-000013050000}"/>
    <cellStyle name="Calculation 2 2 3 2 7 2" xfId="1580" xr:uid="{00000000-0005-0000-0000-000014050000}"/>
    <cellStyle name="Calculation 2 2 3 2 8" xfId="1581" xr:uid="{00000000-0005-0000-0000-000015050000}"/>
    <cellStyle name="Calculation 2 2 3 2 8 2" xfId="1582" xr:uid="{00000000-0005-0000-0000-000016050000}"/>
    <cellStyle name="Calculation 2 2 3 2 9" xfId="1583" xr:uid="{00000000-0005-0000-0000-000017050000}"/>
    <cellStyle name="Calculation 2 2 3 3" xfId="1584" xr:uid="{00000000-0005-0000-0000-000018050000}"/>
    <cellStyle name="Calculation 2 2 3 3 10" xfId="1585" xr:uid="{00000000-0005-0000-0000-000019050000}"/>
    <cellStyle name="Calculation 2 2 3 3 2" xfId="1586" xr:uid="{00000000-0005-0000-0000-00001A050000}"/>
    <cellStyle name="Calculation 2 2 3 3 2 10" xfId="1587" xr:uid="{00000000-0005-0000-0000-00001B050000}"/>
    <cellStyle name="Calculation 2 2 3 3 2 2" xfId="1588" xr:uid="{00000000-0005-0000-0000-00001C050000}"/>
    <cellStyle name="Calculation 2 2 3 3 2 2 2" xfId="1589" xr:uid="{00000000-0005-0000-0000-00001D050000}"/>
    <cellStyle name="Calculation 2 2 3 3 2 2 2 2" xfId="1590" xr:uid="{00000000-0005-0000-0000-00001E050000}"/>
    <cellStyle name="Calculation 2 2 3 3 2 2 2 2 2" xfId="1591" xr:uid="{00000000-0005-0000-0000-00001F050000}"/>
    <cellStyle name="Calculation 2 2 3 3 2 2 2 2 2 2" xfId="1592" xr:uid="{00000000-0005-0000-0000-000020050000}"/>
    <cellStyle name="Calculation 2 2 3 3 2 2 2 2 3" xfId="1593" xr:uid="{00000000-0005-0000-0000-000021050000}"/>
    <cellStyle name="Calculation 2 2 3 3 2 2 2 2 3 2" xfId="1594" xr:uid="{00000000-0005-0000-0000-000022050000}"/>
    <cellStyle name="Calculation 2 2 3 3 2 2 2 2 4" xfId="1595" xr:uid="{00000000-0005-0000-0000-000023050000}"/>
    <cellStyle name="Calculation 2 2 3 3 2 2 2 2 5" xfId="1596" xr:uid="{00000000-0005-0000-0000-000024050000}"/>
    <cellStyle name="Calculation 2 2 3 3 2 2 2 2 6" xfId="1597" xr:uid="{00000000-0005-0000-0000-000025050000}"/>
    <cellStyle name="Calculation 2 2 3 3 2 2 2 3" xfId="1598" xr:uid="{00000000-0005-0000-0000-000026050000}"/>
    <cellStyle name="Calculation 2 2 3 3 2 2 2 3 2" xfId="1599" xr:uid="{00000000-0005-0000-0000-000027050000}"/>
    <cellStyle name="Calculation 2 2 3 3 2 2 2 4" xfId="1600" xr:uid="{00000000-0005-0000-0000-000028050000}"/>
    <cellStyle name="Calculation 2 2 3 3 2 2 2 4 2" xfId="1601" xr:uid="{00000000-0005-0000-0000-000029050000}"/>
    <cellStyle name="Calculation 2 2 3 3 2 2 2 5" xfId="1602" xr:uid="{00000000-0005-0000-0000-00002A050000}"/>
    <cellStyle name="Calculation 2 2 3 3 2 2 2 6" xfId="1603" xr:uid="{00000000-0005-0000-0000-00002B050000}"/>
    <cellStyle name="Calculation 2 2 3 3 2 2 2 7" xfId="1604" xr:uid="{00000000-0005-0000-0000-00002C050000}"/>
    <cellStyle name="Calculation 2 2 3 3 2 2 3" xfId="1605" xr:uid="{00000000-0005-0000-0000-00002D050000}"/>
    <cellStyle name="Calculation 2 2 3 3 2 2 3 2" xfId="1606" xr:uid="{00000000-0005-0000-0000-00002E050000}"/>
    <cellStyle name="Calculation 2 2 3 3 2 2 3 2 2" xfId="1607" xr:uid="{00000000-0005-0000-0000-00002F050000}"/>
    <cellStyle name="Calculation 2 2 3 3 2 2 3 3" xfId="1608" xr:uid="{00000000-0005-0000-0000-000030050000}"/>
    <cellStyle name="Calculation 2 2 3 3 2 2 3 3 2" xfId="1609" xr:uid="{00000000-0005-0000-0000-000031050000}"/>
    <cellStyle name="Calculation 2 2 3 3 2 2 3 4" xfId="1610" xr:uid="{00000000-0005-0000-0000-000032050000}"/>
    <cellStyle name="Calculation 2 2 3 3 2 2 3 5" xfId="1611" xr:uid="{00000000-0005-0000-0000-000033050000}"/>
    <cellStyle name="Calculation 2 2 3 3 2 2 3 6" xfId="1612" xr:uid="{00000000-0005-0000-0000-000034050000}"/>
    <cellStyle name="Calculation 2 2 3 3 2 2 4" xfId="1613" xr:uid="{00000000-0005-0000-0000-000035050000}"/>
    <cellStyle name="Calculation 2 2 3 3 2 2 4 2" xfId="1614" xr:uid="{00000000-0005-0000-0000-000036050000}"/>
    <cellStyle name="Calculation 2 2 3 3 2 2 5" xfId="1615" xr:uid="{00000000-0005-0000-0000-000037050000}"/>
    <cellStyle name="Calculation 2 2 3 3 2 2 5 2" xfId="1616" xr:uid="{00000000-0005-0000-0000-000038050000}"/>
    <cellStyle name="Calculation 2 2 3 3 2 2 6" xfId="1617" xr:uid="{00000000-0005-0000-0000-000039050000}"/>
    <cellStyle name="Calculation 2 2 3 3 2 2 7" xfId="1618" xr:uid="{00000000-0005-0000-0000-00003A050000}"/>
    <cellStyle name="Calculation 2 2 3 3 2 2 8" xfId="1619" xr:uid="{00000000-0005-0000-0000-00003B050000}"/>
    <cellStyle name="Calculation 2 2 3 3 2 3" xfId="1620" xr:uid="{00000000-0005-0000-0000-00003C050000}"/>
    <cellStyle name="Calculation 2 2 3 3 2 3 2" xfId="1621" xr:uid="{00000000-0005-0000-0000-00003D050000}"/>
    <cellStyle name="Calculation 2 2 3 3 2 3 2 2" xfId="1622" xr:uid="{00000000-0005-0000-0000-00003E050000}"/>
    <cellStyle name="Calculation 2 2 3 3 2 3 2 2 2" xfId="1623" xr:uid="{00000000-0005-0000-0000-00003F050000}"/>
    <cellStyle name="Calculation 2 2 3 3 2 3 2 2 2 2" xfId="1624" xr:uid="{00000000-0005-0000-0000-000040050000}"/>
    <cellStyle name="Calculation 2 2 3 3 2 3 2 2 3" xfId="1625" xr:uid="{00000000-0005-0000-0000-000041050000}"/>
    <cellStyle name="Calculation 2 2 3 3 2 3 2 2 3 2" xfId="1626" xr:uid="{00000000-0005-0000-0000-000042050000}"/>
    <cellStyle name="Calculation 2 2 3 3 2 3 2 2 4" xfId="1627" xr:uid="{00000000-0005-0000-0000-000043050000}"/>
    <cellStyle name="Calculation 2 2 3 3 2 3 2 2 5" xfId="1628" xr:uid="{00000000-0005-0000-0000-000044050000}"/>
    <cellStyle name="Calculation 2 2 3 3 2 3 2 2 6" xfId="1629" xr:uid="{00000000-0005-0000-0000-000045050000}"/>
    <cellStyle name="Calculation 2 2 3 3 2 3 2 3" xfId="1630" xr:uid="{00000000-0005-0000-0000-000046050000}"/>
    <cellStyle name="Calculation 2 2 3 3 2 3 2 3 2" xfId="1631" xr:uid="{00000000-0005-0000-0000-000047050000}"/>
    <cellStyle name="Calculation 2 2 3 3 2 3 2 4" xfId="1632" xr:uid="{00000000-0005-0000-0000-000048050000}"/>
    <cellStyle name="Calculation 2 2 3 3 2 3 2 4 2" xfId="1633" xr:uid="{00000000-0005-0000-0000-000049050000}"/>
    <cellStyle name="Calculation 2 2 3 3 2 3 2 5" xfId="1634" xr:uid="{00000000-0005-0000-0000-00004A050000}"/>
    <cellStyle name="Calculation 2 2 3 3 2 3 2 6" xfId="1635" xr:uid="{00000000-0005-0000-0000-00004B050000}"/>
    <cellStyle name="Calculation 2 2 3 3 2 3 2 7" xfId="1636" xr:uid="{00000000-0005-0000-0000-00004C050000}"/>
    <cellStyle name="Calculation 2 2 3 3 2 3 3" xfId="1637" xr:uid="{00000000-0005-0000-0000-00004D050000}"/>
    <cellStyle name="Calculation 2 2 3 3 2 3 3 2" xfId="1638" xr:uid="{00000000-0005-0000-0000-00004E050000}"/>
    <cellStyle name="Calculation 2 2 3 3 2 3 3 2 2" xfId="1639" xr:uid="{00000000-0005-0000-0000-00004F050000}"/>
    <cellStyle name="Calculation 2 2 3 3 2 3 3 3" xfId="1640" xr:uid="{00000000-0005-0000-0000-000050050000}"/>
    <cellStyle name="Calculation 2 2 3 3 2 3 3 3 2" xfId="1641" xr:uid="{00000000-0005-0000-0000-000051050000}"/>
    <cellStyle name="Calculation 2 2 3 3 2 3 3 4" xfId="1642" xr:uid="{00000000-0005-0000-0000-000052050000}"/>
    <cellStyle name="Calculation 2 2 3 3 2 3 3 5" xfId="1643" xr:uid="{00000000-0005-0000-0000-000053050000}"/>
    <cellStyle name="Calculation 2 2 3 3 2 3 3 6" xfId="1644" xr:uid="{00000000-0005-0000-0000-000054050000}"/>
    <cellStyle name="Calculation 2 2 3 3 2 3 4" xfId="1645" xr:uid="{00000000-0005-0000-0000-000055050000}"/>
    <cellStyle name="Calculation 2 2 3 3 2 3 4 2" xfId="1646" xr:uid="{00000000-0005-0000-0000-000056050000}"/>
    <cellStyle name="Calculation 2 2 3 3 2 3 5" xfId="1647" xr:uid="{00000000-0005-0000-0000-000057050000}"/>
    <cellStyle name="Calculation 2 2 3 3 2 3 5 2" xfId="1648" xr:uid="{00000000-0005-0000-0000-000058050000}"/>
    <cellStyle name="Calculation 2 2 3 3 2 3 6" xfId="1649" xr:uid="{00000000-0005-0000-0000-000059050000}"/>
    <cellStyle name="Calculation 2 2 3 3 2 3 7" xfId="1650" xr:uid="{00000000-0005-0000-0000-00005A050000}"/>
    <cellStyle name="Calculation 2 2 3 3 2 3 8" xfId="1651" xr:uid="{00000000-0005-0000-0000-00005B050000}"/>
    <cellStyle name="Calculation 2 2 3 3 2 4" xfId="1652" xr:uid="{00000000-0005-0000-0000-00005C050000}"/>
    <cellStyle name="Calculation 2 2 3 3 2 4 2" xfId="1653" xr:uid="{00000000-0005-0000-0000-00005D050000}"/>
    <cellStyle name="Calculation 2 2 3 3 2 4 2 2" xfId="1654" xr:uid="{00000000-0005-0000-0000-00005E050000}"/>
    <cellStyle name="Calculation 2 2 3 3 2 4 2 2 2" xfId="1655" xr:uid="{00000000-0005-0000-0000-00005F050000}"/>
    <cellStyle name="Calculation 2 2 3 3 2 4 2 3" xfId="1656" xr:uid="{00000000-0005-0000-0000-000060050000}"/>
    <cellStyle name="Calculation 2 2 3 3 2 4 2 3 2" xfId="1657" xr:uid="{00000000-0005-0000-0000-000061050000}"/>
    <cellStyle name="Calculation 2 2 3 3 2 4 2 4" xfId="1658" xr:uid="{00000000-0005-0000-0000-000062050000}"/>
    <cellStyle name="Calculation 2 2 3 3 2 4 2 5" xfId="1659" xr:uid="{00000000-0005-0000-0000-000063050000}"/>
    <cellStyle name="Calculation 2 2 3 3 2 4 2 6" xfId="1660" xr:uid="{00000000-0005-0000-0000-000064050000}"/>
    <cellStyle name="Calculation 2 2 3 3 2 4 3" xfId="1661" xr:uid="{00000000-0005-0000-0000-000065050000}"/>
    <cellStyle name="Calculation 2 2 3 3 2 4 3 2" xfId="1662" xr:uid="{00000000-0005-0000-0000-000066050000}"/>
    <cellStyle name="Calculation 2 2 3 3 2 4 4" xfId="1663" xr:uid="{00000000-0005-0000-0000-000067050000}"/>
    <cellStyle name="Calculation 2 2 3 3 2 4 4 2" xfId="1664" xr:uid="{00000000-0005-0000-0000-000068050000}"/>
    <cellStyle name="Calculation 2 2 3 3 2 4 5" xfId="1665" xr:uid="{00000000-0005-0000-0000-000069050000}"/>
    <cellStyle name="Calculation 2 2 3 3 2 4 6" xfId="1666" xr:uid="{00000000-0005-0000-0000-00006A050000}"/>
    <cellStyle name="Calculation 2 2 3 3 2 4 7" xfId="1667" xr:uid="{00000000-0005-0000-0000-00006B050000}"/>
    <cellStyle name="Calculation 2 2 3 3 2 5" xfId="1668" xr:uid="{00000000-0005-0000-0000-00006C050000}"/>
    <cellStyle name="Calculation 2 2 3 3 2 5 2" xfId="1669" xr:uid="{00000000-0005-0000-0000-00006D050000}"/>
    <cellStyle name="Calculation 2 2 3 3 2 5 2 2" xfId="1670" xr:uid="{00000000-0005-0000-0000-00006E050000}"/>
    <cellStyle name="Calculation 2 2 3 3 2 5 3" xfId="1671" xr:uid="{00000000-0005-0000-0000-00006F050000}"/>
    <cellStyle name="Calculation 2 2 3 3 2 5 3 2" xfId="1672" xr:uid="{00000000-0005-0000-0000-000070050000}"/>
    <cellStyle name="Calculation 2 2 3 3 2 5 4" xfId="1673" xr:uid="{00000000-0005-0000-0000-000071050000}"/>
    <cellStyle name="Calculation 2 2 3 3 2 5 5" xfId="1674" xr:uid="{00000000-0005-0000-0000-000072050000}"/>
    <cellStyle name="Calculation 2 2 3 3 2 5 6" xfId="1675" xr:uid="{00000000-0005-0000-0000-000073050000}"/>
    <cellStyle name="Calculation 2 2 3 3 2 6" xfId="1676" xr:uid="{00000000-0005-0000-0000-000074050000}"/>
    <cellStyle name="Calculation 2 2 3 3 2 6 2" xfId="1677" xr:uid="{00000000-0005-0000-0000-000075050000}"/>
    <cellStyle name="Calculation 2 2 3 3 2 7" xfId="1678" xr:uid="{00000000-0005-0000-0000-000076050000}"/>
    <cellStyle name="Calculation 2 2 3 3 2 7 2" xfId="1679" xr:uid="{00000000-0005-0000-0000-000077050000}"/>
    <cellStyle name="Calculation 2 2 3 3 2 8" xfId="1680" xr:uid="{00000000-0005-0000-0000-000078050000}"/>
    <cellStyle name="Calculation 2 2 3 3 2 9" xfId="1681" xr:uid="{00000000-0005-0000-0000-000079050000}"/>
    <cellStyle name="Calculation 2 2 3 3 3" xfId="1682" xr:uid="{00000000-0005-0000-0000-00007A050000}"/>
    <cellStyle name="Calculation 2 2 3 3 3 2" xfId="1683" xr:uid="{00000000-0005-0000-0000-00007B050000}"/>
    <cellStyle name="Calculation 2 2 3 3 3 2 2" xfId="1684" xr:uid="{00000000-0005-0000-0000-00007C050000}"/>
    <cellStyle name="Calculation 2 2 3 3 3 2 2 2" xfId="1685" xr:uid="{00000000-0005-0000-0000-00007D050000}"/>
    <cellStyle name="Calculation 2 2 3 3 3 2 2 2 2" xfId="1686" xr:uid="{00000000-0005-0000-0000-00007E050000}"/>
    <cellStyle name="Calculation 2 2 3 3 3 2 2 3" xfId="1687" xr:uid="{00000000-0005-0000-0000-00007F050000}"/>
    <cellStyle name="Calculation 2 2 3 3 3 2 2 3 2" xfId="1688" xr:uid="{00000000-0005-0000-0000-000080050000}"/>
    <cellStyle name="Calculation 2 2 3 3 3 2 2 4" xfId="1689" xr:uid="{00000000-0005-0000-0000-000081050000}"/>
    <cellStyle name="Calculation 2 2 3 3 3 2 2 5" xfId="1690" xr:uid="{00000000-0005-0000-0000-000082050000}"/>
    <cellStyle name="Calculation 2 2 3 3 3 2 2 6" xfId="1691" xr:uid="{00000000-0005-0000-0000-000083050000}"/>
    <cellStyle name="Calculation 2 2 3 3 3 2 3" xfId="1692" xr:uid="{00000000-0005-0000-0000-000084050000}"/>
    <cellStyle name="Calculation 2 2 3 3 3 2 3 2" xfId="1693" xr:uid="{00000000-0005-0000-0000-000085050000}"/>
    <cellStyle name="Calculation 2 2 3 3 3 2 4" xfId="1694" xr:uid="{00000000-0005-0000-0000-000086050000}"/>
    <cellStyle name="Calculation 2 2 3 3 3 2 4 2" xfId="1695" xr:uid="{00000000-0005-0000-0000-000087050000}"/>
    <cellStyle name="Calculation 2 2 3 3 3 2 5" xfId="1696" xr:uid="{00000000-0005-0000-0000-000088050000}"/>
    <cellStyle name="Calculation 2 2 3 3 3 2 6" xfId="1697" xr:uid="{00000000-0005-0000-0000-000089050000}"/>
    <cellStyle name="Calculation 2 2 3 3 3 2 7" xfId="1698" xr:uid="{00000000-0005-0000-0000-00008A050000}"/>
    <cellStyle name="Calculation 2 2 3 3 3 3" xfId="1699" xr:uid="{00000000-0005-0000-0000-00008B050000}"/>
    <cellStyle name="Calculation 2 2 3 3 3 3 2" xfId="1700" xr:uid="{00000000-0005-0000-0000-00008C050000}"/>
    <cellStyle name="Calculation 2 2 3 3 3 3 2 2" xfId="1701" xr:uid="{00000000-0005-0000-0000-00008D050000}"/>
    <cellStyle name="Calculation 2 2 3 3 3 3 3" xfId="1702" xr:uid="{00000000-0005-0000-0000-00008E050000}"/>
    <cellStyle name="Calculation 2 2 3 3 3 3 3 2" xfId="1703" xr:uid="{00000000-0005-0000-0000-00008F050000}"/>
    <cellStyle name="Calculation 2 2 3 3 3 3 4" xfId="1704" xr:uid="{00000000-0005-0000-0000-000090050000}"/>
    <cellStyle name="Calculation 2 2 3 3 3 3 5" xfId="1705" xr:uid="{00000000-0005-0000-0000-000091050000}"/>
    <cellStyle name="Calculation 2 2 3 3 3 3 6" xfId="1706" xr:uid="{00000000-0005-0000-0000-000092050000}"/>
    <cellStyle name="Calculation 2 2 3 3 3 4" xfId="1707" xr:uid="{00000000-0005-0000-0000-000093050000}"/>
    <cellStyle name="Calculation 2 2 3 3 3 4 2" xfId="1708" xr:uid="{00000000-0005-0000-0000-000094050000}"/>
    <cellStyle name="Calculation 2 2 3 3 3 5" xfId="1709" xr:uid="{00000000-0005-0000-0000-000095050000}"/>
    <cellStyle name="Calculation 2 2 3 3 3 5 2" xfId="1710" xr:uid="{00000000-0005-0000-0000-000096050000}"/>
    <cellStyle name="Calculation 2 2 3 3 3 6" xfId="1711" xr:uid="{00000000-0005-0000-0000-000097050000}"/>
    <cellStyle name="Calculation 2 2 3 3 3 7" xfId="1712" xr:uid="{00000000-0005-0000-0000-000098050000}"/>
    <cellStyle name="Calculation 2 2 3 3 3 8" xfId="1713" xr:uid="{00000000-0005-0000-0000-000099050000}"/>
    <cellStyle name="Calculation 2 2 3 3 4" xfId="1714" xr:uid="{00000000-0005-0000-0000-00009A050000}"/>
    <cellStyle name="Calculation 2 2 3 3 4 2" xfId="1715" xr:uid="{00000000-0005-0000-0000-00009B050000}"/>
    <cellStyle name="Calculation 2 2 3 3 4 2 2" xfId="1716" xr:uid="{00000000-0005-0000-0000-00009C050000}"/>
    <cellStyle name="Calculation 2 2 3 3 4 2 2 2" xfId="1717" xr:uid="{00000000-0005-0000-0000-00009D050000}"/>
    <cellStyle name="Calculation 2 2 3 3 4 2 3" xfId="1718" xr:uid="{00000000-0005-0000-0000-00009E050000}"/>
    <cellStyle name="Calculation 2 2 3 3 4 2 3 2" xfId="1719" xr:uid="{00000000-0005-0000-0000-00009F050000}"/>
    <cellStyle name="Calculation 2 2 3 3 4 2 4" xfId="1720" xr:uid="{00000000-0005-0000-0000-0000A0050000}"/>
    <cellStyle name="Calculation 2 2 3 3 4 2 5" xfId="1721" xr:uid="{00000000-0005-0000-0000-0000A1050000}"/>
    <cellStyle name="Calculation 2 2 3 3 4 2 6" xfId="1722" xr:uid="{00000000-0005-0000-0000-0000A2050000}"/>
    <cellStyle name="Calculation 2 2 3 3 4 3" xfId="1723" xr:uid="{00000000-0005-0000-0000-0000A3050000}"/>
    <cellStyle name="Calculation 2 2 3 3 4 3 2" xfId="1724" xr:uid="{00000000-0005-0000-0000-0000A4050000}"/>
    <cellStyle name="Calculation 2 2 3 3 4 4" xfId="1725" xr:uid="{00000000-0005-0000-0000-0000A5050000}"/>
    <cellStyle name="Calculation 2 2 3 3 4 4 2" xfId="1726" xr:uid="{00000000-0005-0000-0000-0000A6050000}"/>
    <cellStyle name="Calculation 2 2 3 3 4 5" xfId="1727" xr:uid="{00000000-0005-0000-0000-0000A7050000}"/>
    <cellStyle name="Calculation 2 2 3 3 4 6" xfId="1728" xr:uid="{00000000-0005-0000-0000-0000A8050000}"/>
    <cellStyle name="Calculation 2 2 3 3 4 7" xfId="1729" xr:uid="{00000000-0005-0000-0000-0000A9050000}"/>
    <cellStyle name="Calculation 2 2 3 3 5" xfId="1730" xr:uid="{00000000-0005-0000-0000-0000AA050000}"/>
    <cellStyle name="Calculation 2 2 3 3 5 2" xfId="1731" xr:uid="{00000000-0005-0000-0000-0000AB050000}"/>
    <cellStyle name="Calculation 2 2 3 3 5 2 2" xfId="1732" xr:uid="{00000000-0005-0000-0000-0000AC050000}"/>
    <cellStyle name="Calculation 2 2 3 3 5 3" xfId="1733" xr:uid="{00000000-0005-0000-0000-0000AD050000}"/>
    <cellStyle name="Calculation 2 2 3 3 5 3 2" xfId="1734" xr:uid="{00000000-0005-0000-0000-0000AE050000}"/>
    <cellStyle name="Calculation 2 2 3 3 5 4" xfId="1735" xr:uid="{00000000-0005-0000-0000-0000AF050000}"/>
    <cellStyle name="Calculation 2 2 3 3 5 5" xfId="1736" xr:uid="{00000000-0005-0000-0000-0000B0050000}"/>
    <cellStyle name="Calculation 2 2 3 3 5 6" xfId="1737" xr:uid="{00000000-0005-0000-0000-0000B1050000}"/>
    <cellStyle name="Calculation 2 2 3 3 6" xfId="1738" xr:uid="{00000000-0005-0000-0000-0000B2050000}"/>
    <cellStyle name="Calculation 2 2 3 3 6 2" xfId="1739" xr:uid="{00000000-0005-0000-0000-0000B3050000}"/>
    <cellStyle name="Calculation 2 2 3 3 7" xfId="1740" xr:uid="{00000000-0005-0000-0000-0000B4050000}"/>
    <cellStyle name="Calculation 2 2 3 3 7 2" xfId="1741" xr:uid="{00000000-0005-0000-0000-0000B5050000}"/>
    <cellStyle name="Calculation 2 2 3 3 8" xfId="1742" xr:uid="{00000000-0005-0000-0000-0000B6050000}"/>
    <cellStyle name="Calculation 2 2 3 3 9" xfId="1743" xr:uid="{00000000-0005-0000-0000-0000B7050000}"/>
    <cellStyle name="Calculation 2 2 3 4" xfId="1744" xr:uid="{00000000-0005-0000-0000-0000B8050000}"/>
    <cellStyle name="Calculation 2 2 3 4 10" xfId="1745" xr:uid="{00000000-0005-0000-0000-0000B9050000}"/>
    <cellStyle name="Calculation 2 2 3 4 2" xfId="1746" xr:uid="{00000000-0005-0000-0000-0000BA050000}"/>
    <cellStyle name="Calculation 2 2 3 4 2 2" xfId="1747" xr:uid="{00000000-0005-0000-0000-0000BB050000}"/>
    <cellStyle name="Calculation 2 2 3 4 2 2 2" xfId="1748" xr:uid="{00000000-0005-0000-0000-0000BC050000}"/>
    <cellStyle name="Calculation 2 2 3 4 2 2 2 2" xfId="1749" xr:uid="{00000000-0005-0000-0000-0000BD050000}"/>
    <cellStyle name="Calculation 2 2 3 4 2 2 2 2 2" xfId="1750" xr:uid="{00000000-0005-0000-0000-0000BE050000}"/>
    <cellStyle name="Calculation 2 2 3 4 2 2 2 3" xfId="1751" xr:uid="{00000000-0005-0000-0000-0000BF050000}"/>
    <cellStyle name="Calculation 2 2 3 4 2 2 2 3 2" xfId="1752" xr:uid="{00000000-0005-0000-0000-0000C0050000}"/>
    <cellStyle name="Calculation 2 2 3 4 2 2 2 4" xfId="1753" xr:uid="{00000000-0005-0000-0000-0000C1050000}"/>
    <cellStyle name="Calculation 2 2 3 4 2 2 2 5" xfId="1754" xr:uid="{00000000-0005-0000-0000-0000C2050000}"/>
    <cellStyle name="Calculation 2 2 3 4 2 2 2 6" xfId="1755" xr:uid="{00000000-0005-0000-0000-0000C3050000}"/>
    <cellStyle name="Calculation 2 2 3 4 2 2 3" xfId="1756" xr:uid="{00000000-0005-0000-0000-0000C4050000}"/>
    <cellStyle name="Calculation 2 2 3 4 2 2 3 2" xfId="1757" xr:uid="{00000000-0005-0000-0000-0000C5050000}"/>
    <cellStyle name="Calculation 2 2 3 4 2 2 4" xfId="1758" xr:uid="{00000000-0005-0000-0000-0000C6050000}"/>
    <cellStyle name="Calculation 2 2 3 4 2 2 4 2" xfId="1759" xr:uid="{00000000-0005-0000-0000-0000C7050000}"/>
    <cellStyle name="Calculation 2 2 3 4 2 2 5" xfId="1760" xr:uid="{00000000-0005-0000-0000-0000C8050000}"/>
    <cellStyle name="Calculation 2 2 3 4 2 2 6" xfId="1761" xr:uid="{00000000-0005-0000-0000-0000C9050000}"/>
    <cellStyle name="Calculation 2 2 3 4 2 2 7" xfId="1762" xr:uid="{00000000-0005-0000-0000-0000CA050000}"/>
    <cellStyle name="Calculation 2 2 3 4 2 3" xfId="1763" xr:uid="{00000000-0005-0000-0000-0000CB050000}"/>
    <cellStyle name="Calculation 2 2 3 4 2 3 2" xfId="1764" xr:uid="{00000000-0005-0000-0000-0000CC050000}"/>
    <cellStyle name="Calculation 2 2 3 4 2 3 2 2" xfId="1765" xr:uid="{00000000-0005-0000-0000-0000CD050000}"/>
    <cellStyle name="Calculation 2 2 3 4 2 3 3" xfId="1766" xr:uid="{00000000-0005-0000-0000-0000CE050000}"/>
    <cellStyle name="Calculation 2 2 3 4 2 3 3 2" xfId="1767" xr:uid="{00000000-0005-0000-0000-0000CF050000}"/>
    <cellStyle name="Calculation 2 2 3 4 2 3 4" xfId="1768" xr:uid="{00000000-0005-0000-0000-0000D0050000}"/>
    <cellStyle name="Calculation 2 2 3 4 2 3 5" xfId="1769" xr:uid="{00000000-0005-0000-0000-0000D1050000}"/>
    <cellStyle name="Calculation 2 2 3 4 2 3 6" xfId="1770" xr:uid="{00000000-0005-0000-0000-0000D2050000}"/>
    <cellStyle name="Calculation 2 2 3 4 2 4" xfId="1771" xr:uid="{00000000-0005-0000-0000-0000D3050000}"/>
    <cellStyle name="Calculation 2 2 3 4 2 4 2" xfId="1772" xr:uid="{00000000-0005-0000-0000-0000D4050000}"/>
    <cellStyle name="Calculation 2 2 3 4 2 5" xfId="1773" xr:uid="{00000000-0005-0000-0000-0000D5050000}"/>
    <cellStyle name="Calculation 2 2 3 4 2 5 2" xfId="1774" xr:uid="{00000000-0005-0000-0000-0000D6050000}"/>
    <cellStyle name="Calculation 2 2 3 4 2 6" xfId="1775" xr:uid="{00000000-0005-0000-0000-0000D7050000}"/>
    <cellStyle name="Calculation 2 2 3 4 2 7" xfId="1776" xr:uid="{00000000-0005-0000-0000-0000D8050000}"/>
    <cellStyle name="Calculation 2 2 3 4 2 8" xfId="1777" xr:uid="{00000000-0005-0000-0000-0000D9050000}"/>
    <cellStyle name="Calculation 2 2 3 4 3" xfId="1778" xr:uid="{00000000-0005-0000-0000-0000DA050000}"/>
    <cellStyle name="Calculation 2 2 3 4 3 2" xfId="1779" xr:uid="{00000000-0005-0000-0000-0000DB050000}"/>
    <cellStyle name="Calculation 2 2 3 4 3 2 2" xfId="1780" xr:uid="{00000000-0005-0000-0000-0000DC050000}"/>
    <cellStyle name="Calculation 2 2 3 4 3 2 2 2" xfId="1781" xr:uid="{00000000-0005-0000-0000-0000DD050000}"/>
    <cellStyle name="Calculation 2 2 3 4 3 2 2 2 2" xfId="1782" xr:uid="{00000000-0005-0000-0000-0000DE050000}"/>
    <cellStyle name="Calculation 2 2 3 4 3 2 2 3" xfId="1783" xr:uid="{00000000-0005-0000-0000-0000DF050000}"/>
    <cellStyle name="Calculation 2 2 3 4 3 2 2 3 2" xfId="1784" xr:uid="{00000000-0005-0000-0000-0000E0050000}"/>
    <cellStyle name="Calculation 2 2 3 4 3 2 2 4" xfId="1785" xr:uid="{00000000-0005-0000-0000-0000E1050000}"/>
    <cellStyle name="Calculation 2 2 3 4 3 2 2 5" xfId="1786" xr:uid="{00000000-0005-0000-0000-0000E2050000}"/>
    <cellStyle name="Calculation 2 2 3 4 3 2 2 6" xfId="1787" xr:uid="{00000000-0005-0000-0000-0000E3050000}"/>
    <cellStyle name="Calculation 2 2 3 4 3 2 3" xfId="1788" xr:uid="{00000000-0005-0000-0000-0000E4050000}"/>
    <cellStyle name="Calculation 2 2 3 4 3 2 3 2" xfId="1789" xr:uid="{00000000-0005-0000-0000-0000E5050000}"/>
    <cellStyle name="Calculation 2 2 3 4 3 2 4" xfId="1790" xr:uid="{00000000-0005-0000-0000-0000E6050000}"/>
    <cellStyle name="Calculation 2 2 3 4 3 2 4 2" xfId="1791" xr:uid="{00000000-0005-0000-0000-0000E7050000}"/>
    <cellStyle name="Calculation 2 2 3 4 3 2 5" xfId="1792" xr:uid="{00000000-0005-0000-0000-0000E8050000}"/>
    <cellStyle name="Calculation 2 2 3 4 3 2 6" xfId="1793" xr:uid="{00000000-0005-0000-0000-0000E9050000}"/>
    <cellStyle name="Calculation 2 2 3 4 3 2 7" xfId="1794" xr:uid="{00000000-0005-0000-0000-0000EA050000}"/>
    <cellStyle name="Calculation 2 2 3 4 3 3" xfId="1795" xr:uid="{00000000-0005-0000-0000-0000EB050000}"/>
    <cellStyle name="Calculation 2 2 3 4 3 3 2" xfId="1796" xr:uid="{00000000-0005-0000-0000-0000EC050000}"/>
    <cellStyle name="Calculation 2 2 3 4 3 3 2 2" xfId="1797" xr:uid="{00000000-0005-0000-0000-0000ED050000}"/>
    <cellStyle name="Calculation 2 2 3 4 3 3 3" xfId="1798" xr:uid="{00000000-0005-0000-0000-0000EE050000}"/>
    <cellStyle name="Calculation 2 2 3 4 3 3 3 2" xfId="1799" xr:uid="{00000000-0005-0000-0000-0000EF050000}"/>
    <cellStyle name="Calculation 2 2 3 4 3 3 4" xfId="1800" xr:uid="{00000000-0005-0000-0000-0000F0050000}"/>
    <cellStyle name="Calculation 2 2 3 4 3 3 5" xfId="1801" xr:uid="{00000000-0005-0000-0000-0000F1050000}"/>
    <cellStyle name="Calculation 2 2 3 4 3 3 6" xfId="1802" xr:uid="{00000000-0005-0000-0000-0000F2050000}"/>
    <cellStyle name="Calculation 2 2 3 4 3 4" xfId="1803" xr:uid="{00000000-0005-0000-0000-0000F3050000}"/>
    <cellStyle name="Calculation 2 2 3 4 3 4 2" xfId="1804" xr:uid="{00000000-0005-0000-0000-0000F4050000}"/>
    <cellStyle name="Calculation 2 2 3 4 3 5" xfId="1805" xr:uid="{00000000-0005-0000-0000-0000F5050000}"/>
    <cellStyle name="Calculation 2 2 3 4 3 5 2" xfId="1806" xr:uid="{00000000-0005-0000-0000-0000F6050000}"/>
    <cellStyle name="Calculation 2 2 3 4 3 6" xfId="1807" xr:uid="{00000000-0005-0000-0000-0000F7050000}"/>
    <cellStyle name="Calculation 2 2 3 4 3 7" xfId="1808" xr:uid="{00000000-0005-0000-0000-0000F8050000}"/>
    <cellStyle name="Calculation 2 2 3 4 3 8" xfId="1809" xr:uid="{00000000-0005-0000-0000-0000F9050000}"/>
    <cellStyle name="Calculation 2 2 3 4 4" xfId="1810" xr:uid="{00000000-0005-0000-0000-0000FA050000}"/>
    <cellStyle name="Calculation 2 2 3 4 4 2" xfId="1811" xr:uid="{00000000-0005-0000-0000-0000FB050000}"/>
    <cellStyle name="Calculation 2 2 3 4 4 2 2" xfId="1812" xr:uid="{00000000-0005-0000-0000-0000FC050000}"/>
    <cellStyle name="Calculation 2 2 3 4 4 2 2 2" xfId="1813" xr:uid="{00000000-0005-0000-0000-0000FD050000}"/>
    <cellStyle name="Calculation 2 2 3 4 4 2 3" xfId="1814" xr:uid="{00000000-0005-0000-0000-0000FE050000}"/>
    <cellStyle name="Calculation 2 2 3 4 4 2 3 2" xfId="1815" xr:uid="{00000000-0005-0000-0000-0000FF050000}"/>
    <cellStyle name="Calculation 2 2 3 4 4 2 4" xfId="1816" xr:uid="{00000000-0005-0000-0000-000000060000}"/>
    <cellStyle name="Calculation 2 2 3 4 4 2 5" xfId="1817" xr:uid="{00000000-0005-0000-0000-000001060000}"/>
    <cellStyle name="Calculation 2 2 3 4 4 2 6" xfId="1818" xr:uid="{00000000-0005-0000-0000-000002060000}"/>
    <cellStyle name="Calculation 2 2 3 4 4 3" xfId="1819" xr:uid="{00000000-0005-0000-0000-000003060000}"/>
    <cellStyle name="Calculation 2 2 3 4 4 3 2" xfId="1820" xr:uid="{00000000-0005-0000-0000-000004060000}"/>
    <cellStyle name="Calculation 2 2 3 4 4 4" xfId="1821" xr:uid="{00000000-0005-0000-0000-000005060000}"/>
    <cellStyle name="Calculation 2 2 3 4 4 4 2" xfId="1822" xr:uid="{00000000-0005-0000-0000-000006060000}"/>
    <cellStyle name="Calculation 2 2 3 4 4 5" xfId="1823" xr:uid="{00000000-0005-0000-0000-000007060000}"/>
    <cellStyle name="Calculation 2 2 3 4 4 6" xfId="1824" xr:uid="{00000000-0005-0000-0000-000008060000}"/>
    <cellStyle name="Calculation 2 2 3 4 4 7" xfId="1825" xr:uid="{00000000-0005-0000-0000-000009060000}"/>
    <cellStyle name="Calculation 2 2 3 4 5" xfId="1826" xr:uid="{00000000-0005-0000-0000-00000A060000}"/>
    <cellStyle name="Calculation 2 2 3 4 5 2" xfId="1827" xr:uid="{00000000-0005-0000-0000-00000B060000}"/>
    <cellStyle name="Calculation 2 2 3 4 5 2 2" xfId="1828" xr:uid="{00000000-0005-0000-0000-00000C060000}"/>
    <cellStyle name="Calculation 2 2 3 4 5 3" xfId="1829" xr:uid="{00000000-0005-0000-0000-00000D060000}"/>
    <cellStyle name="Calculation 2 2 3 4 5 3 2" xfId="1830" xr:uid="{00000000-0005-0000-0000-00000E060000}"/>
    <cellStyle name="Calculation 2 2 3 4 5 4" xfId="1831" xr:uid="{00000000-0005-0000-0000-00000F060000}"/>
    <cellStyle name="Calculation 2 2 3 4 5 5" xfId="1832" xr:uid="{00000000-0005-0000-0000-000010060000}"/>
    <cellStyle name="Calculation 2 2 3 4 5 6" xfId="1833" xr:uid="{00000000-0005-0000-0000-000011060000}"/>
    <cellStyle name="Calculation 2 2 3 4 6" xfId="1834" xr:uid="{00000000-0005-0000-0000-000012060000}"/>
    <cellStyle name="Calculation 2 2 3 4 6 2" xfId="1835" xr:uid="{00000000-0005-0000-0000-000013060000}"/>
    <cellStyle name="Calculation 2 2 3 4 7" xfId="1836" xr:uid="{00000000-0005-0000-0000-000014060000}"/>
    <cellStyle name="Calculation 2 2 3 4 7 2" xfId="1837" xr:uid="{00000000-0005-0000-0000-000015060000}"/>
    <cellStyle name="Calculation 2 2 3 4 8" xfId="1838" xr:uid="{00000000-0005-0000-0000-000016060000}"/>
    <cellStyle name="Calculation 2 2 3 4 9" xfId="1839" xr:uid="{00000000-0005-0000-0000-000017060000}"/>
    <cellStyle name="Calculation 2 2 3 5" xfId="1840" xr:uid="{00000000-0005-0000-0000-000018060000}"/>
    <cellStyle name="Calculation 2 2 3 5 2" xfId="1841" xr:uid="{00000000-0005-0000-0000-000019060000}"/>
    <cellStyle name="Calculation 2 2 3 5 2 2" xfId="1842" xr:uid="{00000000-0005-0000-0000-00001A060000}"/>
    <cellStyle name="Calculation 2 2 3 5 2 2 2" xfId="1843" xr:uid="{00000000-0005-0000-0000-00001B060000}"/>
    <cellStyle name="Calculation 2 2 3 5 2 2 2 2" xfId="1844" xr:uid="{00000000-0005-0000-0000-00001C060000}"/>
    <cellStyle name="Calculation 2 2 3 5 2 2 3" xfId="1845" xr:uid="{00000000-0005-0000-0000-00001D060000}"/>
    <cellStyle name="Calculation 2 2 3 5 2 2 3 2" xfId="1846" xr:uid="{00000000-0005-0000-0000-00001E060000}"/>
    <cellStyle name="Calculation 2 2 3 5 2 2 4" xfId="1847" xr:uid="{00000000-0005-0000-0000-00001F060000}"/>
    <cellStyle name="Calculation 2 2 3 5 2 2 5" xfId="1848" xr:uid="{00000000-0005-0000-0000-000020060000}"/>
    <cellStyle name="Calculation 2 2 3 5 2 2 6" xfId="1849" xr:uid="{00000000-0005-0000-0000-000021060000}"/>
    <cellStyle name="Calculation 2 2 3 5 2 3" xfId="1850" xr:uid="{00000000-0005-0000-0000-000022060000}"/>
    <cellStyle name="Calculation 2 2 3 5 2 3 2" xfId="1851" xr:uid="{00000000-0005-0000-0000-000023060000}"/>
    <cellStyle name="Calculation 2 2 3 5 2 4" xfId="1852" xr:uid="{00000000-0005-0000-0000-000024060000}"/>
    <cellStyle name="Calculation 2 2 3 5 2 4 2" xfId="1853" xr:uid="{00000000-0005-0000-0000-000025060000}"/>
    <cellStyle name="Calculation 2 2 3 5 2 5" xfId="1854" xr:uid="{00000000-0005-0000-0000-000026060000}"/>
    <cellStyle name="Calculation 2 2 3 5 2 6" xfId="1855" xr:uid="{00000000-0005-0000-0000-000027060000}"/>
    <cellStyle name="Calculation 2 2 3 5 2 7" xfId="1856" xr:uid="{00000000-0005-0000-0000-000028060000}"/>
    <cellStyle name="Calculation 2 2 3 5 3" xfId="1857" xr:uid="{00000000-0005-0000-0000-000029060000}"/>
    <cellStyle name="Calculation 2 2 3 5 3 2" xfId="1858" xr:uid="{00000000-0005-0000-0000-00002A060000}"/>
    <cellStyle name="Calculation 2 2 3 5 3 2 2" xfId="1859" xr:uid="{00000000-0005-0000-0000-00002B060000}"/>
    <cellStyle name="Calculation 2 2 3 5 3 3" xfId="1860" xr:uid="{00000000-0005-0000-0000-00002C060000}"/>
    <cellStyle name="Calculation 2 2 3 5 3 3 2" xfId="1861" xr:uid="{00000000-0005-0000-0000-00002D060000}"/>
    <cellStyle name="Calculation 2 2 3 5 3 4" xfId="1862" xr:uid="{00000000-0005-0000-0000-00002E060000}"/>
    <cellStyle name="Calculation 2 2 3 5 3 5" xfId="1863" xr:uid="{00000000-0005-0000-0000-00002F060000}"/>
    <cellStyle name="Calculation 2 2 3 5 3 6" xfId="1864" xr:uid="{00000000-0005-0000-0000-000030060000}"/>
    <cellStyle name="Calculation 2 2 3 5 4" xfId="1865" xr:uid="{00000000-0005-0000-0000-000031060000}"/>
    <cellStyle name="Calculation 2 2 3 5 4 2" xfId="1866" xr:uid="{00000000-0005-0000-0000-000032060000}"/>
    <cellStyle name="Calculation 2 2 3 5 5" xfId="1867" xr:uid="{00000000-0005-0000-0000-000033060000}"/>
    <cellStyle name="Calculation 2 2 3 5 5 2" xfId="1868" xr:uid="{00000000-0005-0000-0000-000034060000}"/>
    <cellStyle name="Calculation 2 2 3 5 6" xfId="1869" xr:uid="{00000000-0005-0000-0000-000035060000}"/>
    <cellStyle name="Calculation 2 2 3 5 7" xfId="1870" xr:uid="{00000000-0005-0000-0000-000036060000}"/>
    <cellStyle name="Calculation 2 2 3 5 8" xfId="1871" xr:uid="{00000000-0005-0000-0000-000037060000}"/>
    <cellStyle name="Calculation 2 2 3 6" xfId="1872" xr:uid="{00000000-0005-0000-0000-000038060000}"/>
    <cellStyle name="Calculation 2 2 3 6 2" xfId="1873" xr:uid="{00000000-0005-0000-0000-000039060000}"/>
    <cellStyle name="Calculation 2 2 3 6 2 2" xfId="1874" xr:uid="{00000000-0005-0000-0000-00003A060000}"/>
    <cellStyle name="Calculation 2 2 3 6 2 2 2" xfId="1875" xr:uid="{00000000-0005-0000-0000-00003B060000}"/>
    <cellStyle name="Calculation 2 2 3 6 2 3" xfId="1876" xr:uid="{00000000-0005-0000-0000-00003C060000}"/>
    <cellStyle name="Calculation 2 2 3 6 2 3 2" xfId="1877" xr:uid="{00000000-0005-0000-0000-00003D060000}"/>
    <cellStyle name="Calculation 2 2 3 6 2 4" xfId="1878" xr:uid="{00000000-0005-0000-0000-00003E060000}"/>
    <cellStyle name="Calculation 2 2 3 6 2 5" xfId="1879" xr:uid="{00000000-0005-0000-0000-00003F060000}"/>
    <cellStyle name="Calculation 2 2 3 6 2 6" xfId="1880" xr:uid="{00000000-0005-0000-0000-000040060000}"/>
    <cellStyle name="Calculation 2 2 3 6 3" xfId="1881" xr:uid="{00000000-0005-0000-0000-000041060000}"/>
    <cellStyle name="Calculation 2 2 3 6 3 2" xfId="1882" xr:uid="{00000000-0005-0000-0000-000042060000}"/>
    <cellStyle name="Calculation 2 2 3 6 4" xfId="1883" xr:uid="{00000000-0005-0000-0000-000043060000}"/>
    <cellStyle name="Calculation 2 2 3 6 4 2" xfId="1884" xr:uid="{00000000-0005-0000-0000-000044060000}"/>
    <cellStyle name="Calculation 2 2 3 6 5" xfId="1885" xr:uid="{00000000-0005-0000-0000-000045060000}"/>
    <cellStyle name="Calculation 2 2 3 6 6" xfId="1886" xr:uid="{00000000-0005-0000-0000-000046060000}"/>
    <cellStyle name="Calculation 2 2 3 6 7" xfId="1887" xr:uid="{00000000-0005-0000-0000-000047060000}"/>
    <cellStyle name="Calculation 2 2 3 7" xfId="1888" xr:uid="{00000000-0005-0000-0000-000048060000}"/>
    <cellStyle name="Calculation 2 2 3 7 2" xfId="1889" xr:uid="{00000000-0005-0000-0000-000049060000}"/>
    <cellStyle name="Calculation 2 2 3 7 2 2" xfId="1890" xr:uid="{00000000-0005-0000-0000-00004A060000}"/>
    <cellStyle name="Calculation 2 2 3 7 3" xfId="1891" xr:uid="{00000000-0005-0000-0000-00004B060000}"/>
    <cellStyle name="Calculation 2 2 3 7 3 2" xfId="1892" xr:uid="{00000000-0005-0000-0000-00004C060000}"/>
    <cellStyle name="Calculation 2 2 3 7 4" xfId="1893" xr:uid="{00000000-0005-0000-0000-00004D060000}"/>
    <cellStyle name="Calculation 2 2 3 7 5" xfId="1894" xr:uid="{00000000-0005-0000-0000-00004E060000}"/>
    <cellStyle name="Calculation 2 2 3 7 6" xfId="1895" xr:uid="{00000000-0005-0000-0000-00004F060000}"/>
    <cellStyle name="Calculation 2 2 3 8" xfId="1896" xr:uid="{00000000-0005-0000-0000-000050060000}"/>
    <cellStyle name="Calculation 2 2 3 8 2" xfId="1897" xr:uid="{00000000-0005-0000-0000-000051060000}"/>
    <cellStyle name="Calculation 2 2 3 9" xfId="1898" xr:uid="{00000000-0005-0000-0000-000052060000}"/>
    <cellStyle name="Calculation 2 2 3 9 2" xfId="1899" xr:uid="{00000000-0005-0000-0000-000053060000}"/>
    <cellStyle name="Calculation 2 2 4" xfId="1900" xr:uid="{00000000-0005-0000-0000-000054060000}"/>
    <cellStyle name="Calculation 2 2 4 10" xfId="1901" xr:uid="{00000000-0005-0000-0000-000055060000}"/>
    <cellStyle name="Calculation 2 2 4 11" xfId="1902" xr:uid="{00000000-0005-0000-0000-000056060000}"/>
    <cellStyle name="Calculation 2 2 4 2" xfId="1903" xr:uid="{00000000-0005-0000-0000-000057060000}"/>
    <cellStyle name="Calculation 2 2 4 2 10" xfId="1904" xr:uid="{00000000-0005-0000-0000-000058060000}"/>
    <cellStyle name="Calculation 2 2 4 2 2" xfId="1905" xr:uid="{00000000-0005-0000-0000-000059060000}"/>
    <cellStyle name="Calculation 2 2 4 2 2 10" xfId="1906" xr:uid="{00000000-0005-0000-0000-00005A060000}"/>
    <cellStyle name="Calculation 2 2 4 2 2 2" xfId="1907" xr:uid="{00000000-0005-0000-0000-00005B060000}"/>
    <cellStyle name="Calculation 2 2 4 2 2 2 2" xfId="1908" xr:uid="{00000000-0005-0000-0000-00005C060000}"/>
    <cellStyle name="Calculation 2 2 4 2 2 2 2 2" xfId="1909" xr:uid="{00000000-0005-0000-0000-00005D060000}"/>
    <cellStyle name="Calculation 2 2 4 2 2 2 2 2 2" xfId="1910" xr:uid="{00000000-0005-0000-0000-00005E060000}"/>
    <cellStyle name="Calculation 2 2 4 2 2 2 2 2 2 2" xfId="1911" xr:uid="{00000000-0005-0000-0000-00005F060000}"/>
    <cellStyle name="Calculation 2 2 4 2 2 2 2 2 3" xfId="1912" xr:uid="{00000000-0005-0000-0000-000060060000}"/>
    <cellStyle name="Calculation 2 2 4 2 2 2 2 2 3 2" xfId="1913" xr:uid="{00000000-0005-0000-0000-000061060000}"/>
    <cellStyle name="Calculation 2 2 4 2 2 2 2 2 4" xfId="1914" xr:uid="{00000000-0005-0000-0000-000062060000}"/>
    <cellStyle name="Calculation 2 2 4 2 2 2 2 2 5" xfId="1915" xr:uid="{00000000-0005-0000-0000-000063060000}"/>
    <cellStyle name="Calculation 2 2 4 2 2 2 2 2 6" xfId="1916" xr:uid="{00000000-0005-0000-0000-000064060000}"/>
    <cellStyle name="Calculation 2 2 4 2 2 2 2 3" xfId="1917" xr:uid="{00000000-0005-0000-0000-000065060000}"/>
    <cellStyle name="Calculation 2 2 4 2 2 2 2 3 2" xfId="1918" xr:uid="{00000000-0005-0000-0000-000066060000}"/>
    <cellStyle name="Calculation 2 2 4 2 2 2 2 4" xfId="1919" xr:uid="{00000000-0005-0000-0000-000067060000}"/>
    <cellStyle name="Calculation 2 2 4 2 2 2 2 4 2" xfId="1920" xr:uid="{00000000-0005-0000-0000-000068060000}"/>
    <cellStyle name="Calculation 2 2 4 2 2 2 2 5" xfId="1921" xr:uid="{00000000-0005-0000-0000-000069060000}"/>
    <cellStyle name="Calculation 2 2 4 2 2 2 2 6" xfId="1922" xr:uid="{00000000-0005-0000-0000-00006A060000}"/>
    <cellStyle name="Calculation 2 2 4 2 2 2 2 7" xfId="1923" xr:uid="{00000000-0005-0000-0000-00006B060000}"/>
    <cellStyle name="Calculation 2 2 4 2 2 2 3" xfId="1924" xr:uid="{00000000-0005-0000-0000-00006C060000}"/>
    <cellStyle name="Calculation 2 2 4 2 2 2 3 2" xfId="1925" xr:uid="{00000000-0005-0000-0000-00006D060000}"/>
    <cellStyle name="Calculation 2 2 4 2 2 2 3 2 2" xfId="1926" xr:uid="{00000000-0005-0000-0000-00006E060000}"/>
    <cellStyle name="Calculation 2 2 4 2 2 2 3 3" xfId="1927" xr:uid="{00000000-0005-0000-0000-00006F060000}"/>
    <cellStyle name="Calculation 2 2 4 2 2 2 3 3 2" xfId="1928" xr:uid="{00000000-0005-0000-0000-000070060000}"/>
    <cellStyle name="Calculation 2 2 4 2 2 2 3 4" xfId="1929" xr:uid="{00000000-0005-0000-0000-000071060000}"/>
    <cellStyle name="Calculation 2 2 4 2 2 2 3 5" xfId="1930" xr:uid="{00000000-0005-0000-0000-000072060000}"/>
    <cellStyle name="Calculation 2 2 4 2 2 2 3 6" xfId="1931" xr:uid="{00000000-0005-0000-0000-000073060000}"/>
    <cellStyle name="Calculation 2 2 4 2 2 2 4" xfId="1932" xr:uid="{00000000-0005-0000-0000-000074060000}"/>
    <cellStyle name="Calculation 2 2 4 2 2 2 4 2" xfId="1933" xr:uid="{00000000-0005-0000-0000-000075060000}"/>
    <cellStyle name="Calculation 2 2 4 2 2 2 5" xfId="1934" xr:uid="{00000000-0005-0000-0000-000076060000}"/>
    <cellStyle name="Calculation 2 2 4 2 2 2 5 2" xfId="1935" xr:uid="{00000000-0005-0000-0000-000077060000}"/>
    <cellStyle name="Calculation 2 2 4 2 2 2 6" xfId="1936" xr:uid="{00000000-0005-0000-0000-000078060000}"/>
    <cellStyle name="Calculation 2 2 4 2 2 2 7" xfId="1937" xr:uid="{00000000-0005-0000-0000-000079060000}"/>
    <cellStyle name="Calculation 2 2 4 2 2 2 8" xfId="1938" xr:uid="{00000000-0005-0000-0000-00007A060000}"/>
    <cellStyle name="Calculation 2 2 4 2 2 3" xfId="1939" xr:uid="{00000000-0005-0000-0000-00007B060000}"/>
    <cellStyle name="Calculation 2 2 4 2 2 3 2" xfId="1940" xr:uid="{00000000-0005-0000-0000-00007C060000}"/>
    <cellStyle name="Calculation 2 2 4 2 2 3 2 2" xfId="1941" xr:uid="{00000000-0005-0000-0000-00007D060000}"/>
    <cellStyle name="Calculation 2 2 4 2 2 3 2 2 2" xfId="1942" xr:uid="{00000000-0005-0000-0000-00007E060000}"/>
    <cellStyle name="Calculation 2 2 4 2 2 3 2 2 2 2" xfId="1943" xr:uid="{00000000-0005-0000-0000-00007F060000}"/>
    <cellStyle name="Calculation 2 2 4 2 2 3 2 2 3" xfId="1944" xr:uid="{00000000-0005-0000-0000-000080060000}"/>
    <cellStyle name="Calculation 2 2 4 2 2 3 2 2 3 2" xfId="1945" xr:uid="{00000000-0005-0000-0000-000081060000}"/>
    <cellStyle name="Calculation 2 2 4 2 2 3 2 2 4" xfId="1946" xr:uid="{00000000-0005-0000-0000-000082060000}"/>
    <cellStyle name="Calculation 2 2 4 2 2 3 2 2 5" xfId="1947" xr:uid="{00000000-0005-0000-0000-000083060000}"/>
    <cellStyle name="Calculation 2 2 4 2 2 3 2 2 6" xfId="1948" xr:uid="{00000000-0005-0000-0000-000084060000}"/>
    <cellStyle name="Calculation 2 2 4 2 2 3 2 3" xfId="1949" xr:uid="{00000000-0005-0000-0000-000085060000}"/>
    <cellStyle name="Calculation 2 2 4 2 2 3 2 3 2" xfId="1950" xr:uid="{00000000-0005-0000-0000-000086060000}"/>
    <cellStyle name="Calculation 2 2 4 2 2 3 2 4" xfId="1951" xr:uid="{00000000-0005-0000-0000-000087060000}"/>
    <cellStyle name="Calculation 2 2 4 2 2 3 2 4 2" xfId="1952" xr:uid="{00000000-0005-0000-0000-000088060000}"/>
    <cellStyle name="Calculation 2 2 4 2 2 3 2 5" xfId="1953" xr:uid="{00000000-0005-0000-0000-000089060000}"/>
    <cellStyle name="Calculation 2 2 4 2 2 3 2 6" xfId="1954" xr:uid="{00000000-0005-0000-0000-00008A060000}"/>
    <cellStyle name="Calculation 2 2 4 2 2 3 2 7" xfId="1955" xr:uid="{00000000-0005-0000-0000-00008B060000}"/>
    <cellStyle name="Calculation 2 2 4 2 2 3 3" xfId="1956" xr:uid="{00000000-0005-0000-0000-00008C060000}"/>
    <cellStyle name="Calculation 2 2 4 2 2 3 3 2" xfId="1957" xr:uid="{00000000-0005-0000-0000-00008D060000}"/>
    <cellStyle name="Calculation 2 2 4 2 2 3 3 2 2" xfId="1958" xr:uid="{00000000-0005-0000-0000-00008E060000}"/>
    <cellStyle name="Calculation 2 2 4 2 2 3 3 3" xfId="1959" xr:uid="{00000000-0005-0000-0000-00008F060000}"/>
    <cellStyle name="Calculation 2 2 4 2 2 3 3 3 2" xfId="1960" xr:uid="{00000000-0005-0000-0000-000090060000}"/>
    <cellStyle name="Calculation 2 2 4 2 2 3 3 4" xfId="1961" xr:uid="{00000000-0005-0000-0000-000091060000}"/>
    <cellStyle name="Calculation 2 2 4 2 2 3 3 5" xfId="1962" xr:uid="{00000000-0005-0000-0000-000092060000}"/>
    <cellStyle name="Calculation 2 2 4 2 2 3 3 6" xfId="1963" xr:uid="{00000000-0005-0000-0000-000093060000}"/>
    <cellStyle name="Calculation 2 2 4 2 2 3 4" xfId="1964" xr:uid="{00000000-0005-0000-0000-000094060000}"/>
    <cellStyle name="Calculation 2 2 4 2 2 3 4 2" xfId="1965" xr:uid="{00000000-0005-0000-0000-000095060000}"/>
    <cellStyle name="Calculation 2 2 4 2 2 3 5" xfId="1966" xr:uid="{00000000-0005-0000-0000-000096060000}"/>
    <cellStyle name="Calculation 2 2 4 2 2 3 5 2" xfId="1967" xr:uid="{00000000-0005-0000-0000-000097060000}"/>
    <cellStyle name="Calculation 2 2 4 2 2 3 6" xfId="1968" xr:uid="{00000000-0005-0000-0000-000098060000}"/>
    <cellStyle name="Calculation 2 2 4 2 2 3 7" xfId="1969" xr:uid="{00000000-0005-0000-0000-000099060000}"/>
    <cellStyle name="Calculation 2 2 4 2 2 3 8" xfId="1970" xr:uid="{00000000-0005-0000-0000-00009A060000}"/>
    <cellStyle name="Calculation 2 2 4 2 2 4" xfId="1971" xr:uid="{00000000-0005-0000-0000-00009B060000}"/>
    <cellStyle name="Calculation 2 2 4 2 2 4 2" xfId="1972" xr:uid="{00000000-0005-0000-0000-00009C060000}"/>
    <cellStyle name="Calculation 2 2 4 2 2 4 2 2" xfId="1973" xr:uid="{00000000-0005-0000-0000-00009D060000}"/>
    <cellStyle name="Calculation 2 2 4 2 2 4 2 2 2" xfId="1974" xr:uid="{00000000-0005-0000-0000-00009E060000}"/>
    <cellStyle name="Calculation 2 2 4 2 2 4 2 3" xfId="1975" xr:uid="{00000000-0005-0000-0000-00009F060000}"/>
    <cellStyle name="Calculation 2 2 4 2 2 4 2 3 2" xfId="1976" xr:uid="{00000000-0005-0000-0000-0000A0060000}"/>
    <cellStyle name="Calculation 2 2 4 2 2 4 2 4" xfId="1977" xr:uid="{00000000-0005-0000-0000-0000A1060000}"/>
    <cellStyle name="Calculation 2 2 4 2 2 4 2 5" xfId="1978" xr:uid="{00000000-0005-0000-0000-0000A2060000}"/>
    <cellStyle name="Calculation 2 2 4 2 2 4 2 6" xfId="1979" xr:uid="{00000000-0005-0000-0000-0000A3060000}"/>
    <cellStyle name="Calculation 2 2 4 2 2 4 3" xfId="1980" xr:uid="{00000000-0005-0000-0000-0000A4060000}"/>
    <cellStyle name="Calculation 2 2 4 2 2 4 3 2" xfId="1981" xr:uid="{00000000-0005-0000-0000-0000A5060000}"/>
    <cellStyle name="Calculation 2 2 4 2 2 4 4" xfId="1982" xr:uid="{00000000-0005-0000-0000-0000A6060000}"/>
    <cellStyle name="Calculation 2 2 4 2 2 4 4 2" xfId="1983" xr:uid="{00000000-0005-0000-0000-0000A7060000}"/>
    <cellStyle name="Calculation 2 2 4 2 2 4 5" xfId="1984" xr:uid="{00000000-0005-0000-0000-0000A8060000}"/>
    <cellStyle name="Calculation 2 2 4 2 2 4 6" xfId="1985" xr:uid="{00000000-0005-0000-0000-0000A9060000}"/>
    <cellStyle name="Calculation 2 2 4 2 2 4 7" xfId="1986" xr:uid="{00000000-0005-0000-0000-0000AA060000}"/>
    <cellStyle name="Calculation 2 2 4 2 2 5" xfId="1987" xr:uid="{00000000-0005-0000-0000-0000AB060000}"/>
    <cellStyle name="Calculation 2 2 4 2 2 5 2" xfId="1988" xr:uid="{00000000-0005-0000-0000-0000AC060000}"/>
    <cellStyle name="Calculation 2 2 4 2 2 5 2 2" xfId="1989" xr:uid="{00000000-0005-0000-0000-0000AD060000}"/>
    <cellStyle name="Calculation 2 2 4 2 2 5 3" xfId="1990" xr:uid="{00000000-0005-0000-0000-0000AE060000}"/>
    <cellStyle name="Calculation 2 2 4 2 2 5 3 2" xfId="1991" xr:uid="{00000000-0005-0000-0000-0000AF060000}"/>
    <cellStyle name="Calculation 2 2 4 2 2 5 4" xfId="1992" xr:uid="{00000000-0005-0000-0000-0000B0060000}"/>
    <cellStyle name="Calculation 2 2 4 2 2 5 5" xfId="1993" xr:uid="{00000000-0005-0000-0000-0000B1060000}"/>
    <cellStyle name="Calculation 2 2 4 2 2 5 6" xfId="1994" xr:uid="{00000000-0005-0000-0000-0000B2060000}"/>
    <cellStyle name="Calculation 2 2 4 2 2 6" xfId="1995" xr:uid="{00000000-0005-0000-0000-0000B3060000}"/>
    <cellStyle name="Calculation 2 2 4 2 2 6 2" xfId="1996" xr:uid="{00000000-0005-0000-0000-0000B4060000}"/>
    <cellStyle name="Calculation 2 2 4 2 2 7" xfId="1997" xr:uid="{00000000-0005-0000-0000-0000B5060000}"/>
    <cellStyle name="Calculation 2 2 4 2 2 7 2" xfId="1998" xr:uid="{00000000-0005-0000-0000-0000B6060000}"/>
    <cellStyle name="Calculation 2 2 4 2 2 8" xfId="1999" xr:uid="{00000000-0005-0000-0000-0000B7060000}"/>
    <cellStyle name="Calculation 2 2 4 2 2 9" xfId="2000" xr:uid="{00000000-0005-0000-0000-0000B8060000}"/>
    <cellStyle name="Calculation 2 2 4 2 3" xfId="2001" xr:uid="{00000000-0005-0000-0000-0000B9060000}"/>
    <cellStyle name="Calculation 2 2 4 2 3 2" xfId="2002" xr:uid="{00000000-0005-0000-0000-0000BA060000}"/>
    <cellStyle name="Calculation 2 2 4 2 3 2 2" xfId="2003" xr:uid="{00000000-0005-0000-0000-0000BB060000}"/>
    <cellStyle name="Calculation 2 2 4 2 3 2 2 2" xfId="2004" xr:uid="{00000000-0005-0000-0000-0000BC060000}"/>
    <cellStyle name="Calculation 2 2 4 2 3 2 2 2 2" xfId="2005" xr:uid="{00000000-0005-0000-0000-0000BD060000}"/>
    <cellStyle name="Calculation 2 2 4 2 3 2 2 3" xfId="2006" xr:uid="{00000000-0005-0000-0000-0000BE060000}"/>
    <cellStyle name="Calculation 2 2 4 2 3 2 2 3 2" xfId="2007" xr:uid="{00000000-0005-0000-0000-0000BF060000}"/>
    <cellStyle name="Calculation 2 2 4 2 3 2 2 4" xfId="2008" xr:uid="{00000000-0005-0000-0000-0000C0060000}"/>
    <cellStyle name="Calculation 2 2 4 2 3 2 2 5" xfId="2009" xr:uid="{00000000-0005-0000-0000-0000C1060000}"/>
    <cellStyle name="Calculation 2 2 4 2 3 2 2 6" xfId="2010" xr:uid="{00000000-0005-0000-0000-0000C2060000}"/>
    <cellStyle name="Calculation 2 2 4 2 3 2 3" xfId="2011" xr:uid="{00000000-0005-0000-0000-0000C3060000}"/>
    <cellStyle name="Calculation 2 2 4 2 3 2 3 2" xfId="2012" xr:uid="{00000000-0005-0000-0000-0000C4060000}"/>
    <cellStyle name="Calculation 2 2 4 2 3 2 4" xfId="2013" xr:uid="{00000000-0005-0000-0000-0000C5060000}"/>
    <cellStyle name="Calculation 2 2 4 2 3 2 4 2" xfId="2014" xr:uid="{00000000-0005-0000-0000-0000C6060000}"/>
    <cellStyle name="Calculation 2 2 4 2 3 2 5" xfId="2015" xr:uid="{00000000-0005-0000-0000-0000C7060000}"/>
    <cellStyle name="Calculation 2 2 4 2 3 2 6" xfId="2016" xr:uid="{00000000-0005-0000-0000-0000C8060000}"/>
    <cellStyle name="Calculation 2 2 4 2 3 2 7" xfId="2017" xr:uid="{00000000-0005-0000-0000-0000C9060000}"/>
    <cellStyle name="Calculation 2 2 4 2 3 3" xfId="2018" xr:uid="{00000000-0005-0000-0000-0000CA060000}"/>
    <cellStyle name="Calculation 2 2 4 2 3 3 2" xfId="2019" xr:uid="{00000000-0005-0000-0000-0000CB060000}"/>
    <cellStyle name="Calculation 2 2 4 2 3 3 2 2" xfId="2020" xr:uid="{00000000-0005-0000-0000-0000CC060000}"/>
    <cellStyle name="Calculation 2 2 4 2 3 3 3" xfId="2021" xr:uid="{00000000-0005-0000-0000-0000CD060000}"/>
    <cellStyle name="Calculation 2 2 4 2 3 3 3 2" xfId="2022" xr:uid="{00000000-0005-0000-0000-0000CE060000}"/>
    <cellStyle name="Calculation 2 2 4 2 3 3 4" xfId="2023" xr:uid="{00000000-0005-0000-0000-0000CF060000}"/>
    <cellStyle name="Calculation 2 2 4 2 3 3 5" xfId="2024" xr:uid="{00000000-0005-0000-0000-0000D0060000}"/>
    <cellStyle name="Calculation 2 2 4 2 3 3 6" xfId="2025" xr:uid="{00000000-0005-0000-0000-0000D1060000}"/>
    <cellStyle name="Calculation 2 2 4 2 3 4" xfId="2026" xr:uid="{00000000-0005-0000-0000-0000D2060000}"/>
    <cellStyle name="Calculation 2 2 4 2 3 4 2" xfId="2027" xr:uid="{00000000-0005-0000-0000-0000D3060000}"/>
    <cellStyle name="Calculation 2 2 4 2 3 5" xfId="2028" xr:uid="{00000000-0005-0000-0000-0000D4060000}"/>
    <cellStyle name="Calculation 2 2 4 2 3 5 2" xfId="2029" xr:uid="{00000000-0005-0000-0000-0000D5060000}"/>
    <cellStyle name="Calculation 2 2 4 2 3 6" xfId="2030" xr:uid="{00000000-0005-0000-0000-0000D6060000}"/>
    <cellStyle name="Calculation 2 2 4 2 3 7" xfId="2031" xr:uid="{00000000-0005-0000-0000-0000D7060000}"/>
    <cellStyle name="Calculation 2 2 4 2 3 8" xfId="2032" xr:uid="{00000000-0005-0000-0000-0000D8060000}"/>
    <cellStyle name="Calculation 2 2 4 2 4" xfId="2033" xr:uid="{00000000-0005-0000-0000-0000D9060000}"/>
    <cellStyle name="Calculation 2 2 4 2 4 2" xfId="2034" xr:uid="{00000000-0005-0000-0000-0000DA060000}"/>
    <cellStyle name="Calculation 2 2 4 2 4 2 2" xfId="2035" xr:uid="{00000000-0005-0000-0000-0000DB060000}"/>
    <cellStyle name="Calculation 2 2 4 2 4 2 2 2" xfId="2036" xr:uid="{00000000-0005-0000-0000-0000DC060000}"/>
    <cellStyle name="Calculation 2 2 4 2 4 2 3" xfId="2037" xr:uid="{00000000-0005-0000-0000-0000DD060000}"/>
    <cellStyle name="Calculation 2 2 4 2 4 2 3 2" xfId="2038" xr:uid="{00000000-0005-0000-0000-0000DE060000}"/>
    <cellStyle name="Calculation 2 2 4 2 4 2 4" xfId="2039" xr:uid="{00000000-0005-0000-0000-0000DF060000}"/>
    <cellStyle name="Calculation 2 2 4 2 4 2 5" xfId="2040" xr:uid="{00000000-0005-0000-0000-0000E0060000}"/>
    <cellStyle name="Calculation 2 2 4 2 4 2 6" xfId="2041" xr:uid="{00000000-0005-0000-0000-0000E1060000}"/>
    <cellStyle name="Calculation 2 2 4 2 4 3" xfId="2042" xr:uid="{00000000-0005-0000-0000-0000E2060000}"/>
    <cellStyle name="Calculation 2 2 4 2 4 3 2" xfId="2043" xr:uid="{00000000-0005-0000-0000-0000E3060000}"/>
    <cellStyle name="Calculation 2 2 4 2 4 4" xfId="2044" xr:uid="{00000000-0005-0000-0000-0000E4060000}"/>
    <cellStyle name="Calculation 2 2 4 2 4 4 2" xfId="2045" xr:uid="{00000000-0005-0000-0000-0000E5060000}"/>
    <cellStyle name="Calculation 2 2 4 2 4 5" xfId="2046" xr:uid="{00000000-0005-0000-0000-0000E6060000}"/>
    <cellStyle name="Calculation 2 2 4 2 4 6" xfId="2047" xr:uid="{00000000-0005-0000-0000-0000E7060000}"/>
    <cellStyle name="Calculation 2 2 4 2 4 7" xfId="2048" xr:uid="{00000000-0005-0000-0000-0000E8060000}"/>
    <cellStyle name="Calculation 2 2 4 2 5" xfId="2049" xr:uid="{00000000-0005-0000-0000-0000E9060000}"/>
    <cellStyle name="Calculation 2 2 4 2 5 2" xfId="2050" xr:uid="{00000000-0005-0000-0000-0000EA060000}"/>
    <cellStyle name="Calculation 2 2 4 2 5 2 2" xfId="2051" xr:uid="{00000000-0005-0000-0000-0000EB060000}"/>
    <cellStyle name="Calculation 2 2 4 2 5 3" xfId="2052" xr:uid="{00000000-0005-0000-0000-0000EC060000}"/>
    <cellStyle name="Calculation 2 2 4 2 5 3 2" xfId="2053" xr:uid="{00000000-0005-0000-0000-0000ED060000}"/>
    <cellStyle name="Calculation 2 2 4 2 5 4" xfId="2054" xr:uid="{00000000-0005-0000-0000-0000EE060000}"/>
    <cellStyle name="Calculation 2 2 4 2 5 5" xfId="2055" xr:uid="{00000000-0005-0000-0000-0000EF060000}"/>
    <cellStyle name="Calculation 2 2 4 2 5 6" xfId="2056" xr:uid="{00000000-0005-0000-0000-0000F0060000}"/>
    <cellStyle name="Calculation 2 2 4 2 6" xfId="2057" xr:uid="{00000000-0005-0000-0000-0000F1060000}"/>
    <cellStyle name="Calculation 2 2 4 2 6 2" xfId="2058" xr:uid="{00000000-0005-0000-0000-0000F2060000}"/>
    <cellStyle name="Calculation 2 2 4 2 7" xfId="2059" xr:uid="{00000000-0005-0000-0000-0000F3060000}"/>
    <cellStyle name="Calculation 2 2 4 2 7 2" xfId="2060" xr:uid="{00000000-0005-0000-0000-0000F4060000}"/>
    <cellStyle name="Calculation 2 2 4 2 8" xfId="2061" xr:uid="{00000000-0005-0000-0000-0000F5060000}"/>
    <cellStyle name="Calculation 2 2 4 2 9" xfId="2062" xr:uid="{00000000-0005-0000-0000-0000F6060000}"/>
    <cellStyle name="Calculation 2 2 4 3" xfId="2063" xr:uid="{00000000-0005-0000-0000-0000F7060000}"/>
    <cellStyle name="Calculation 2 2 4 3 10" xfId="2064" xr:uid="{00000000-0005-0000-0000-0000F8060000}"/>
    <cellStyle name="Calculation 2 2 4 3 2" xfId="2065" xr:uid="{00000000-0005-0000-0000-0000F9060000}"/>
    <cellStyle name="Calculation 2 2 4 3 2 2" xfId="2066" xr:uid="{00000000-0005-0000-0000-0000FA060000}"/>
    <cellStyle name="Calculation 2 2 4 3 2 2 2" xfId="2067" xr:uid="{00000000-0005-0000-0000-0000FB060000}"/>
    <cellStyle name="Calculation 2 2 4 3 2 2 2 2" xfId="2068" xr:uid="{00000000-0005-0000-0000-0000FC060000}"/>
    <cellStyle name="Calculation 2 2 4 3 2 2 2 2 2" xfId="2069" xr:uid="{00000000-0005-0000-0000-0000FD060000}"/>
    <cellStyle name="Calculation 2 2 4 3 2 2 2 3" xfId="2070" xr:uid="{00000000-0005-0000-0000-0000FE060000}"/>
    <cellStyle name="Calculation 2 2 4 3 2 2 2 3 2" xfId="2071" xr:uid="{00000000-0005-0000-0000-0000FF060000}"/>
    <cellStyle name="Calculation 2 2 4 3 2 2 2 4" xfId="2072" xr:uid="{00000000-0005-0000-0000-000000070000}"/>
    <cellStyle name="Calculation 2 2 4 3 2 2 2 5" xfId="2073" xr:uid="{00000000-0005-0000-0000-000001070000}"/>
    <cellStyle name="Calculation 2 2 4 3 2 2 2 6" xfId="2074" xr:uid="{00000000-0005-0000-0000-000002070000}"/>
    <cellStyle name="Calculation 2 2 4 3 2 2 3" xfId="2075" xr:uid="{00000000-0005-0000-0000-000003070000}"/>
    <cellStyle name="Calculation 2 2 4 3 2 2 3 2" xfId="2076" xr:uid="{00000000-0005-0000-0000-000004070000}"/>
    <cellStyle name="Calculation 2 2 4 3 2 2 4" xfId="2077" xr:uid="{00000000-0005-0000-0000-000005070000}"/>
    <cellStyle name="Calculation 2 2 4 3 2 2 4 2" xfId="2078" xr:uid="{00000000-0005-0000-0000-000006070000}"/>
    <cellStyle name="Calculation 2 2 4 3 2 2 5" xfId="2079" xr:uid="{00000000-0005-0000-0000-000007070000}"/>
    <cellStyle name="Calculation 2 2 4 3 2 2 6" xfId="2080" xr:uid="{00000000-0005-0000-0000-000008070000}"/>
    <cellStyle name="Calculation 2 2 4 3 2 2 7" xfId="2081" xr:uid="{00000000-0005-0000-0000-000009070000}"/>
    <cellStyle name="Calculation 2 2 4 3 2 3" xfId="2082" xr:uid="{00000000-0005-0000-0000-00000A070000}"/>
    <cellStyle name="Calculation 2 2 4 3 2 3 2" xfId="2083" xr:uid="{00000000-0005-0000-0000-00000B070000}"/>
    <cellStyle name="Calculation 2 2 4 3 2 3 2 2" xfId="2084" xr:uid="{00000000-0005-0000-0000-00000C070000}"/>
    <cellStyle name="Calculation 2 2 4 3 2 3 3" xfId="2085" xr:uid="{00000000-0005-0000-0000-00000D070000}"/>
    <cellStyle name="Calculation 2 2 4 3 2 3 3 2" xfId="2086" xr:uid="{00000000-0005-0000-0000-00000E070000}"/>
    <cellStyle name="Calculation 2 2 4 3 2 3 4" xfId="2087" xr:uid="{00000000-0005-0000-0000-00000F070000}"/>
    <cellStyle name="Calculation 2 2 4 3 2 3 5" xfId="2088" xr:uid="{00000000-0005-0000-0000-000010070000}"/>
    <cellStyle name="Calculation 2 2 4 3 2 3 6" xfId="2089" xr:uid="{00000000-0005-0000-0000-000011070000}"/>
    <cellStyle name="Calculation 2 2 4 3 2 4" xfId="2090" xr:uid="{00000000-0005-0000-0000-000012070000}"/>
    <cellStyle name="Calculation 2 2 4 3 2 4 2" xfId="2091" xr:uid="{00000000-0005-0000-0000-000013070000}"/>
    <cellStyle name="Calculation 2 2 4 3 2 5" xfId="2092" xr:uid="{00000000-0005-0000-0000-000014070000}"/>
    <cellStyle name="Calculation 2 2 4 3 2 5 2" xfId="2093" xr:uid="{00000000-0005-0000-0000-000015070000}"/>
    <cellStyle name="Calculation 2 2 4 3 2 6" xfId="2094" xr:uid="{00000000-0005-0000-0000-000016070000}"/>
    <cellStyle name="Calculation 2 2 4 3 2 7" xfId="2095" xr:uid="{00000000-0005-0000-0000-000017070000}"/>
    <cellStyle name="Calculation 2 2 4 3 2 8" xfId="2096" xr:uid="{00000000-0005-0000-0000-000018070000}"/>
    <cellStyle name="Calculation 2 2 4 3 3" xfId="2097" xr:uid="{00000000-0005-0000-0000-000019070000}"/>
    <cellStyle name="Calculation 2 2 4 3 3 2" xfId="2098" xr:uid="{00000000-0005-0000-0000-00001A070000}"/>
    <cellStyle name="Calculation 2 2 4 3 3 2 2" xfId="2099" xr:uid="{00000000-0005-0000-0000-00001B070000}"/>
    <cellStyle name="Calculation 2 2 4 3 3 2 2 2" xfId="2100" xr:uid="{00000000-0005-0000-0000-00001C070000}"/>
    <cellStyle name="Calculation 2 2 4 3 3 2 2 2 2" xfId="2101" xr:uid="{00000000-0005-0000-0000-00001D070000}"/>
    <cellStyle name="Calculation 2 2 4 3 3 2 2 3" xfId="2102" xr:uid="{00000000-0005-0000-0000-00001E070000}"/>
    <cellStyle name="Calculation 2 2 4 3 3 2 2 3 2" xfId="2103" xr:uid="{00000000-0005-0000-0000-00001F070000}"/>
    <cellStyle name="Calculation 2 2 4 3 3 2 2 4" xfId="2104" xr:uid="{00000000-0005-0000-0000-000020070000}"/>
    <cellStyle name="Calculation 2 2 4 3 3 2 2 5" xfId="2105" xr:uid="{00000000-0005-0000-0000-000021070000}"/>
    <cellStyle name="Calculation 2 2 4 3 3 2 2 6" xfId="2106" xr:uid="{00000000-0005-0000-0000-000022070000}"/>
    <cellStyle name="Calculation 2 2 4 3 3 2 3" xfId="2107" xr:uid="{00000000-0005-0000-0000-000023070000}"/>
    <cellStyle name="Calculation 2 2 4 3 3 2 3 2" xfId="2108" xr:uid="{00000000-0005-0000-0000-000024070000}"/>
    <cellStyle name="Calculation 2 2 4 3 3 2 4" xfId="2109" xr:uid="{00000000-0005-0000-0000-000025070000}"/>
    <cellStyle name="Calculation 2 2 4 3 3 2 4 2" xfId="2110" xr:uid="{00000000-0005-0000-0000-000026070000}"/>
    <cellStyle name="Calculation 2 2 4 3 3 2 5" xfId="2111" xr:uid="{00000000-0005-0000-0000-000027070000}"/>
    <cellStyle name="Calculation 2 2 4 3 3 2 6" xfId="2112" xr:uid="{00000000-0005-0000-0000-000028070000}"/>
    <cellStyle name="Calculation 2 2 4 3 3 2 7" xfId="2113" xr:uid="{00000000-0005-0000-0000-000029070000}"/>
    <cellStyle name="Calculation 2 2 4 3 3 3" xfId="2114" xr:uid="{00000000-0005-0000-0000-00002A070000}"/>
    <cellStyle name="Calculation 2 2 4 3 3 3 2" xfId="2115" xr:uid="{00000000-0005-0000-0000-00002B070000}"/>
    <cellStyle name="Calculation 2 2 4 3 3 3 2 2" xfId="2116" xr:uid="{00000000-0005-0000-0000-00002C070000}"/>
    <cellStyle name="Calculation 2 2 4 3 3 3 3" xfId="2117" xr:uid="{00000000-0005-0000-0000-00002D070000}"/>
    <cellStyle name="Calculation 2 2 4 3 3 3 3 2" xfId="2118" xr:uid="{00000000-0005-0000-0000-00002E070000}"/>
    <cellStyle name="Calculation 2 2 4 3 3 3 4" xfId="2119" xr:uid="{00000000-0005-0000-0000-00002F070000}"/>
    <cellStyle name="Calculation 2 2 4 3 3 3 5" xfId="2120" xr:uid="{00000000-0005-0000-0000-000030070000}"/>
    <cellStyle name="Calculation 2 2 4 3 3 3 6" xfId="2121" xr:uid="{00000000-0005-0000-0000-000031070000}"/>
    <cellStyle name="Calculation 2 2 4 3 3 4" xfId="2122" xr:uid="{00000000-0005-0000-0000-000032070000}"/>
    <cellStyle name="Calculation 2 2 4 3 3 4 2" xfId="2123" xr:uid="{00000000-0005-0000-0000-000033070000}"/>
    <cellStyle name="Calculation 2 2 4 3 3 5" xfId="2124" xr:uid="{00000000-0005-0000-0000-000034070000}"/>
    <cellStyle name="Calculation 2 2 4 3 3 5 2" xfId="2125" xr:uid="{00000000-0005-0000-0000-000035070000}"/>
    <cellStyle name="Calculation 2 2 4 3 3 6" xfId="2126" xr:uid="{00000000-0005-0000-0000-000036070000}"/>
    <cellStyle name="Calculation 2 2 4 3 3 7" xfId="2127" xr:uid="{00000000-0005-0000-0000-000037070000}"/>
    <cellStyle name="Calculation 2 2 4 3 3 8" xfId="2128" xr:uid="{00000000-0005-0000-0000-000038070000}"/>
    <cellStyle name="Calculation 2 2 4 3 4" xfId="2129" xr:uid="{00000000-0005-0000-0000-000039070000}"/>
    <cellStyle name="Calculation 2 2 4 3 4 2" xfId="2130" xr:uid="{00000000-0005-0000-0000-00003A070000}"/>
    <cellStyle name="Calculation 2 2 4 3 4 2 2" xfId="2131" xr:uid="{00000000-0005-0000-0000-00003B070000}"/>
    <cellStyle name="Calculation 2 2 4 3 4 2 2 2" xfId="2132" xr:uid="{00000000-0005-0000-0000-00003C070000}"/>
    <cellStyle name="Calculation 2 2 4 3 4 2 3" xfId="2133" xr:uid="{00000000-0005-0000-0000-00003D070000}"/>
    <cellStyle name="Calculation 2 2 4 3 4 2 3 2" xfId="2134" xr:uid="{00000000-0005-0000-0000-00003E070000}"/>
    <cellStyle name="Calculation 2 2 4 3 4 2 4" xfId="2135" xr:uid="{00000000-0005-0000-0000-00003F070000}"/>
    <cellStyle name="Calculation 2 2 4 3 4 2 5" xfId="2136" xr:uid="{00000000-0005-0000-0000-000040070000}"/>
    <cellStyle name="Calculation 2 2 4 3 4 2 6" xfId="2137" xr:uid="{00000000-0005-0000-0000-000041070000}"/>
    <cellStyle name="Calculation 2 2 4 3 4 3" xfId="2138" xr:uid="{00000000-0005-0000-0000-000042070000}"/>
    <cellStyle name="Calculation 2 2 4 3 4 3 2" xfId="2139" xr:uid="{00000000-0005-0000-0000-000043070000}"/>
    <cellStyle name="Calculation 2 2 4 3 4 4" xfId="2140" xr:uid="{00000000-0005-0000-0000-000044070000}"/>
    <cellStyle name="Calculation 2 2 4 3 4 4 2" xfId="2141" xr:uid="{00000000-0005-0000-0000-000045070000}"/>
    <cellStyle name="Calculation 2 2 4 3 4 5" xfId="2142" xr:uid="{00000000-0005-0000-0000-000046070000}"/>
    <cellStyle name="Calculation 2 2 4 3 4 6" xfId="2143" xr:uid="{00000000-0005-0000-0000-000047070000}"/>
    <cellStyle name="Calculation 2 2 4 3 4 7" xfId="2144" xr:uid="{00000000-0005-0000-0000-000048070000}"/>
    <cellStyle name="Calculation 2 2 4 3 5" xfId="2145" xr:uid="{00000000-0005-0000-0000-000049070000}"/>
    <cellStyle name="Calculation 2 2 4 3 5 2" xfId="2146" xr:uid="{00000000-0005-0000-0000-00004A070000}"/>
    <cellStyle name="Calculation 2 2 4 3 5 2 2" xfId="2147" xr:uid="{00000000-0005-0000-0000-00004B070000}"/>
    <cellStyle name="Calculation 2 2 4 3 5 3" xfId="2148" xr:uid="{00000000-0005-0000-0000-00004C070000}"/>
    <cellStyle name="Calculation 2 2 4 3 5 3 2" xfId="2149" xr:uid="{00000000-0005-0000-0000-00004D070000}"/>
    <cellStyle name="Calculation 2 2 4 3 5 4" xfId="2150" xr:uid="{00000000-0005-0000-0000-00004E070000}"/>
    <cellStyle name="Calculation 2 2 4 3 5 5" xfId="2151" xr:uid="{00000000-0005-0000-0000-00004F070000}"/>
    <cellStyle name="Calculation 2 2 4 3 5 6" xfId="2152" xr:uid="{00000000-0005-0000-0000-000050070000}"/>
    <cellStyle name="Calculation 2 2 4 3 6" xfId="2153" xr:uid="{00000000-0005-0000-0000-000051070000}"/>
    <cellStyle name="Calculation 2 2 4 3 6 2" xfId="2154" xr:uid="{00000000-0005-0000-0000-000052070000}"/>
    <cellStyle name="Calculation 2 2 4 3 7" xfId="2155" xr:uid="{00000000-0005-0000-0000-000053070000}"/>
    <cellStyle name="Calculation 2 2 4 3 7 2" xfId="2156" xr:uid="{00000000-0005-0000-0000-000054070000}"/>
    <cellStyle name="Calculation 2 2 4 3 8" xfId="2157" xr:uid="{00000000-0005-0000-0000-000055070000}"/>
    <cellStyle name="Calculation 2 2 4 3 9" xfId="2158" xr:uid="{00000000-0005-0000-0000-000056070000}"/>
    <cellStyle name="Calculation 2 2 4 4" xfId="2159" xr:uid="{00000000-0005-0000-0000-000057070000}"/>
    <cellStyle name="Calculation 2 2 4 4 2" xfId="2160" xr:uid="{00000000-0005-0000-0000-000058070000}"/>
    <cellStyle name="Calculation 2 2 4 4 2 2" xfId="2161" xr:uid="{00000000-0005-0000-0000-000059070000}"/>
    <cellStyle name="Calculation 2 2 4 4 2 2 2" xfId="2162" xr:uid="{00000000-0005-0000-0000-00005A070000}"/>
    <cellStyle name="Calculation 2 2 4 4 2 2 2 2" xfId="2163" xr:uid="{00000000-0005-0000-0000-00005B070000}"/>
    <cellStyle name="Calculation 2 2 4 4 2 2 3" xfId="2164" xr:uid="{00000000-0005-0000-0000-00005C070000}"/>
    <cellStyle name="Calculation 2 2 4 4 2 2 3 2" xfId="2165" xr:uid="{00000000-0005-0000-0000-00005D070000}"/>
    <cellStyle name="Calculation 2 2 4 4 2 2 4" xfId="2166" xr:uid="{00000000-0005-0000-0000-00005E070000}"/>
    <cellStyle name="Calculation 2 2 4 4 2 2 5" xfId="2167" xr:uid="{00000000-0005-0000-0000-00005F070000}"/>
    <cellStyle name="Calculation 2 2 4 4 2 2 6" xfId="2168" xr:uid="{00000000-0005-0000-0000-000060070000}"/>
    <cellStyle name="Calculation 2 2 4 4 2 3" xfId="2169" xr:uid="{00000000-0005-0000-0000-000061070000}"/>
    <cellStyle name="Calculation 2 2 4 4 2 3 2" xfId="2170" xr:uid="{00000000-0005-0000-0000-000062070000}"/>
    <cellStyle name="Calculation 2 2 4 4 2 4" xfId="2171" xr:uid="{00000000-0005-0000-0000-000063070000}"/>
    <cellStyle name="Calculation 2 2 4 4 2 4 2" xfId="2172" xr:uid="{00000000-0005-0000-0000-000064070000}"/>
    <cellStyle name="Calculation 2 2 4 4 2 5" xfId="2173" xr:uid="{00000000-0005-0000-0000-000065070000}"/>
    <cellStyle name="Calculation 2 2 4 4 2 6" xfId="2174" xr:uid="{00000000-0005-0000-0000-000066070000}"/>
    <cellStyle name="Calculation 2 2 4 4 2 7" xfId="2175" xr:uid="{00000000-0005-0000-0000-000067070000}"/>
    <cellStyle name="Calculation 2 2 4 4 3" xfId="2176" xr:uid="{00000000-0005-0000-0000-000068070000}"/>
    <cellStyle name="Calculation 2 2 4 4 3 2" xfId="2177" xr:uid="{00000000-0005-0000-0000-000069070000}"/>
    <cellStyle name="Calculation 2 2 4 4 3 2 2" xfId="2178" xr:uid="{00000000-0005-0000-0000-00006A070000}"/>
    <cellStyle name="Calculation 2 2 4 4 3 3" xfId="2179" xr:uid="{00000000-0005-0000-0000-00006B070000}"/>
    <cellStyle name="Calculation 2 2 4 4 3 3 2" xfId="2180" xr:uid="{00000000-0005-0000-0000-00006C070000}"/>
    <cellStyle name="Calculation 2 2 4 4 3 4" xfId="2181" xr:uid="{00000000-0005-0000-0000-00006D070000}"/>
    <cellStyle name="Calculation 2 2 4 4 3 5" xfId="2182" xr:uid="{00000000-0005-0000-0000-00006E070000}"/>
    <cellStyle name="Calculation 2 2 4 4 3 6" xfId="2183" xr:uid="{00000000-0005-0000-0000-00006F070000}"/>
    <cellStyle name="Calculation 2 2 4 4 4" xfId="2184" xr:uid="{00000000-0005-0000-0000-000070070000}"/>
    <cellStyle name="Calculation 2 2 4 4 4 2" xfId="2185" xr:uid="{00000000-0005-0000-0000-000071070000}"/>
    <cellStyle name="Calculation 2 2 4 4 5" xfId="2186" xr:uid="{00000000-0005-0000-0000-000072070000}"/>
    <cellStyle name="Calculation 2 2 4 4 5 2" xfId="2187" xr:uid="{00000000-0005-0000-0000-000073070000}"/>
    <cellStyle name="Calculation 2 2 4 4 6" xfId="2188" xr:uid="{00000000-0005-0000-0000-000074070000}"/>
    <cellStyle name="Calculation 2 2 4 4 7" xfId="2189" xr:uid="{00000000-0005-0000-0000-000075070000}"/>
    <cellStyle name="Calculation 2 2 4 4 8" xfId="2190" xr:uid="{00000000-0005-0000-0000-000076070000}"/>
    <cellStyle name="Calculation 2 2 4 5" xfId="2191" xr:uid="{00000000-0005-0000-0000-000077070000}"/>
    <cellStyle name="Calculation 2 2 4 5 2" xfId="2192" xr:uid="{00000000-0005-0000-0000-000078070000}"/>
    <cellStyle name="Calculation 2 2 4 5 2 2" xfId="2193" xr:uid="{00000000-0005-0000-0000-000079070000}"/>
    <cellStyle name="Calculation 2 2 4 5 2 2 2" xfId="2194" xr:uid="{00000000-0005-0000-0000-00007A070000}"/>
    <cellStyle name="Calculation 2 2 4 5 2 3" xfId="2195" xr:uid="{00000000-0005-0000-0000-00007B070000}"/>
    <cellStyle name="Calculation 2 2 4 5 2 3 2" xfId="2196" xr:uid="{00000000-0005-0000-0000-00007C070000}"/>
    <cellStyle name="Calculation 2 2 4 5 2 4" xfId="2197" xr:uid="{00000000-0005-0000-0000-00007D070000}"/>
    <cellStyle name="Calculation 2 2 4 5 2 5" xfId="2198" xr:uid="{00000000-0005-0000-0000-00007E070000}"/>
    <cellStyle name="Calculation 2 2 4 5 2 6" xfId="2199" xr:uid="{00000000-0005-0000-0000-00007F070000}"/>
    <cellStyle name="Calculation 2 2 4 5 3" xfId="2200" xr:uid="{00000000-0005-0000-0000-000080070000}"/>
    <cellStyle name="Calculation 2 2 4 5 3 2" xfId="2201" xr:uid="{00000000-0005-0000-0000-000081070000}"/>
    <cellStyle name="Calculation 2 2 4 5 4" xfId="2202" xr:uid="{00000000-0005-0000-0000-000082070000}"/>
    <cellStyle name="Calculation 2 2 4 5 4 2" xfId="2203" xr:uid="{00000000-0005-0000-0000-000083070000}"/>
    <cellStyle name="Calculation 2 2 4 5 5" xfId="2204" xr:uid="{00000000-0005-0000-0000-000084070000}"/>
    <cellStyle name="Calculation 2 2 4 5 6" xfId="2205" xr:uid="{00000000-0005-0000-0000-000085070000}"/>
    <cellStyle name="Calculation 2 2 4 5 7" xfId="2206" xr:uid="{00000000-0005-0000-0000-000086070000}"/>
    <cellStyle name="Calculation 2 2 4 6" xfId="2207" xr:uid="{00000000-0005-0000-0000-000087070000}"/>
    <cellStyle name="Calculation 2 2 4 6 2" xfId="2208" xr:uid="{00000000-0005-0000-0000-000088070000}"/>
    <cellStyle name="Calculation 2 2 4 6 2 2" xfId="2209" xr:uid="{00000000-0005-0000-0000-000089070000}"/>
    <cellStyle name="Calculation 2 2 4 6 3" xfId="2210" xr:uid="{00000000-0005-0000-0000-00008A070000}"/>
    <cellStyle name="Calculation 2 2 4 6 3 2" xfId="2211" xr:uid="{00000000-0005-0000-0000-00008B070000}"/>
    <cellStyle name="Calculation 2 2 4 6 4" xfId="2212" xr:uid="{00000000-0005-0000-0000-00008C070000}"/>
    <cellStyle name="Calculation 2 2 4 6 5" xfId="2213" xr:uid="{00000000-0005-0000-0000-00008D070000}"/>
    <cellStyle name="Calculation 2 2 4 6 6" xfId="2214" xr:uid="{00000000-0005-0000-0000-00008E070000}"/>
    <cellStyle name="Calculation 2 2 4 7" xfId="2215" xr:uid="{00000000-0005-0000-0000-00008F070000}"/>
    <cellStyle name="Calculation 2 2 4 7 2" xfId="2216" xr:uid="{00000000-0005-0000-0000-000090070000}"/>
    <cellStyle name="Calculation 2 2 4 8" xfId="2217" xr:uid="{00000000-0005-0000-0000-000091070000}"/>
    <cellStyle name="Calculation 2 2 4 8 2" xfId="2218" xr:uid="{00000000-0005-0000-0000-000092070000}"/>
    <cellStyle name="Calculation 2 2 4 9" xfId="2219" xr:uid="{00000000-0005-0000-0000-000093070000}"/>
    <cellStyle name="Calculation 2 2 5" xfId="2220" xr:uid="{00000000-0005-0000-0000-000094070000}"/>
    <cellStyle name="Calculation 2 2 5 10" xfId="2221" xr:uid="{00000000-0005-0000-0000-000095070000}"/>
    <cellStyle name="Calculation 2 2 5 2" xfId="2222" xr:uid="{00000000-0005-0000-0000-000096070000}"/>
    <cellStyle name="Calculation 2 2 5 2 2" xfId="2223" xr:uid="{00000000-0005-0000-0000-000097070000}"/>
    <cellStyle name="Calculation 2 2 5 2 2 2" xfId="2224" xr:uid="{00000000-0005-0000-0000-000098070000}"/>
    <cellStyle name="Calculation 2 2 5 2 2 2 2" xfId="2225" xr:uid="{00000000-0005-0000-0000-000099070000}"/>
    <cellStyle name="Calculation 2 2 5 2 2 2 2 2" xfId="2226" xr:uid="{00000000-0005-0000-0000-00009A070000}"/>
    <cellStyle name="Calculation 2 2 5 2 2 2 3" xfId="2227" xr:uid="{00000000-0005-0000-0000-00009B070000}"/>
    <cellStyle name="Calculation 2 2 5 2 2 2 3 2" xfId="2228" xr:uid="{00000000-0005-0000-0000-00009C070000}"/>
    <cellStyle name="Calculation 2 2 5 2 2 2 4" xfId="2229" xr:uid="{00000000-0005-0000-0000-00009D070000}"/>
    <cellStyle name="Calculation 2 2 5 2 2 2 5" xfId="2230" xr:uid="{00000000-0005-0000-0000-00009E070000}"/>
    <cellStyle name="Calculation 2 2 5 2 2 2 6" xfId="2231" xr:uid="{00000000-0005-0000-0000-00009F070000}"/>
    <cellStyle name="Calculation 2 2 5 2 2 3" xfId="2232" xr:uid="{00000000-0005-0000-0000-0000A0070000}"/>
    <cellStyle name="Calculation 2 2 5 2 2 3 2" xfId="2233" xr:uid="{00000000-0005-0000-0000-0000A1070000}"/>
    <cellStyle name="Calculation 2 2 5 2 2 4" xfId="2234" xr:uid="{00000000-0005-0000-0000-0000A2070000}"/>
    <cellStyle name="Calculation 2 2 5 2 2 4 2" xfId="2235" xr:uid="{00000000-0005-0000-0000-0000A3070000}"/>
    <cellStyle name="Calculation 2 2 5 2 2 5" xfId="2236" xr:uid="{00000000-0005-0000-0000-0000A4070000}"/>
    <cellStyle name="Calculation 2 2 5 2 2 6" xfId="2237" xr:uid="{00000000-0005-0000-0000-0000A5070000}"/>
    <cellStyle name="Calculation 2 2 5 2 2 7" xfId="2238" xr:uid="{00000000-0005-0000-0000-0000A6070000}"/>
    <cellStyle name="Calculation 2 2 5 2 3" xfId="2239" xr:uid="{00000000-0005-0000-0000-0000A7070000}"/>
    <cellStyle name="Calculation 2 2 5 2 3 2" xfId="2240" xr:uid="{00000000-0005-0000-0000-0000A8070000}"/>
    <cellStyle name="Calculation 2 2 5 2 3 2 2" xfId="2241" xr:uid="{00000000-0005-0000-0000-0000A9070000}"/>
    <cellStyle name="Calculation 2 2 5 2 3 3" xfId="2242" xr:uid="{00000000-0005-0000-0000-0000AA070000}"/>
    <cellStyle name="Calculation 2 2 5 2 3 3 2" xfId="2243" xr:uid="{00000000-0005-0000-0000-0000AB070000}"/>
    <cellStyle name="Calculation 2 2 5 2 3 4" xfId="2244" xr:uid="{00000000-0005-0000-0000-0000AC070000}"/>
    <cellStyle name="Calculation 2 2 5 2 3 5" xfId="2245" xr:uid="{00000000-0005-0000-0000-0000AD070000}"/>
    <cellStyle name="Calculation 2 2 5 2 3 6" xfId="2246" xr:uid="{00000000-0005-0000-0000-0000AE070000}"/>
    <cellStyle name="Calculation 2 2 5 2 4" xfId="2247" xr:uid="{00000000-0005-0000-0000-0000AF070000}"/>
    <cellStyle name="Calculation 2 2 5 2 4 2" xfId="2248" xr:uid="{00000000-0005-0000-0000-0000B0070000}"/>
    <cellStyle name="Calculation 2 2 5 2 5" xfId="2249" xr:uid="{00000000-0005-0000-0000-0000B1070000}"/>
    <cellStyle name="Calculation 2 2 5 2 5 2" xfId="2250" xr:uid="{00000000-0005-0000-0000-0000B2070000}"/>
    <cellStyle name="Calculation 2 2 5 2 6" xfId="2251" xr:uid="{00000000-0005-0000-0000-0000B3070000}"/>
    <cellStyle name="Calculation 2 2 5 2 7" xfId="2252" xr:uid="{00000000-0005-0000-0000-0000B4070000}"/>
    <cellStyle name="Calculation 2 2 5 2 8" xfId="2253" xr:uid="{00000000-0005-0000-0000-0000B5070000}"/>
    <cellStyle name="Calculation 2 2 5 3" xfId="2254" xr:uid="{00000000-0005-0000-0000-0000B6070000}"/>
    <cellStyle name="Calculation 2 2 5 3 2" xfId="2255" xr:uid="{00000000-0005-0000-0000-0000B7070000}"/>
    <cellStyle name="Calculation 2 2 5 3 2 2" xfId="2256" xr:uid="{00000000-0005-0000-0000-0000B8070000}"/>
    <cellStyle name="Calculation 2 2 5 3 2 2 2" xfId="2257" xr:uid="{00000000-0005-0000-0000-0000B9070000}"/>
    <cellStyle name="Calculation 2 2 5 3 2 2 2 2" xfId="2258" xr:uid="{00000000-0005-0000-0000-0000BA070000}"/>
    <cellStyle name="Calculation 2 2 5 3 2 2 3" xfId="2259" xr:uid="{00000000-0005-0000-0000-0000BB070000}"/>
    <cellStyle name="Calculation 2 2 5 3 2 2 3 2" xfId="2260" xr:uid="{00000000-0005-0000-0000-0000BC070000}"/>
    <cellStyle name="Calculation 2 2 5 3 2 2 4" xfId="2261" xr:uid="{00000000-0005-0000-0000-0000BD070000}"/>
    <cellStyle name="Calculation 2 2 5 3 2 2 5" xfId="2262" xr:uid="{00000000-0005-0000-0000-0000BE070000}"/>
    <cellStyle name="Calculation 2 2 5 3 2 2 6" xfId="2263" xr:uid="{00000000-0005-0000-0000-0000BF070000}"/>
    <cellStyle name="Calculation 2 2 5 3 2 3" xfId="2264" xr:uid="{00000000-0005-0000-0000-0000C0070000}"/>
    <cellStyle name="Calculation 2 2 5 3 2 3 2" xfId="2265" xr:uid="{00000000-0005-0000-0000-0000C1070000}"/>
    <cellStyle name="Calculation 2 2 5 3 2 4" xfId="2266" xr:uid="{00000000-0005-0000-0000-0000C2070000}"/>
    <cellStyle name="Calculation 2 2 5 3 2 4 2" xfId="2267" xr:uid="{00000000-0005-0000-0000-0000C3070000}"/>
    <cellStyle name="Calculation 2 2 5 3 2 5" xfId="2268" xr:uid="{00000000-0005-0000-0000-0000C4070000}"/>
    <cellStyle name="Calculation 2 2 5 3 2 6" xfId="2269" xr:uid="{00000000-0005-0000-0000-0000C5070000}"/>
    <cellStyle name="Calculation 2 2 5 3 2 7" xfId="2270" xr:uid="{00000000-0005-0000-0000-0000C6070000}"/>
    <cellStyle name="Calculation 2 2 5 3 3" xfId="2271" xr:uid="{00000000-0005-0000-0000-0000C7070000}"/>
    <cellStyle name="Calculation 2 2 5 3 3 2" xfId="2272" xr:uid="{00000000-0005-0000-0000-0000C8070000}"/>
    <cellStyle name="Calculation 2 2 5 3 3 2 2" xfId="2273" xr:uid="{00000000-0005-0000-0000-0000C9070000}"/>
    <cellStyle name="Calculation 2 2 5 3 3 3" xfId="2274" xr:uid="{00000000-0005-0000-0000-0000CA070000}"/>
    <cellStyle name="Calculation 2 2 5 3 3 3 2" xfId="2275" xr:uid="{00000000-0005-0000-0000-0000CB070000}"/>
    <cellStyle name="Calculation 2 2 5 3 3 4" xfId="2276" xr:uid="{00000000-0005-0000-0000-0000CC070000}"/>
    <cellStyle name="Calculation 2 2 5 3 3 5" xfId="2277" xr:uid="{00000000-0005-0000-0000-0000CD070000}"/>
    <cellStyle name="Calculation 2 2 5 3 3 6" xfId="2278" xr:uid="{00000000-0005-0000-0000-0000CE070000}"/>
    <cellStyle name="Calculation 2 2 5 3 4" xfId="2279" xr:uid="{00000000-0005-0000-0000-0000CF070000}"/>
    <cellStyle name="Calculation 2 2 5 3 4 2" xfId="2280" xr:uid="{00000000-0005-0000-0000-0000D0070000}"/>
    <cellStyle name="Calculation 2 2 5 3 5" xfId="2281" xr:uid="{00000000-0005-0000-0000-0000D1070000}"/>
    <cellStyle name="Calculation 2 2 5 3 5 2" xfId="2282" xr:uid="{00000000-0005-0000-0000-0000D2070000}"/>
    <cellStyle name="Calculation 2 2 5 3 6" xfId="2283" xr:uid="{00000000-0005-0000-0000-0000D3070000}"/>
    <cellStyle name="Calculation 2 2 5 3 7" xfId="2284" xr:uid="{00000000-0005-0000-0000-0000D4070000}"/>
    <cellStyle name="Calculation 2 2 5 3 8" xfId="2285" xr:uid="{00000000-0005-0000-0000-0000D5070000}"/>
    <cellStyle name="Calculation 2 2 5 4" xfId="2286" xr:uid="{00000000-0005-0000-0000-0000D6070000}"/>
    <cellStyle name="Calculation 2 2 5 4 2" xfId="2287" xr:uid="{00000000-0005-0000-0000-0000D7070000}"/>
    <cellStyle name="Calculation 2 2 5 4 2 2" xfId="2288" xr:uid="{00000000-0005-0000-0000-0000D8070000}"/>
    <cellStyle name="Calculation 2 2 5 4 2 2 2" xfId="2289" xr:uid="{00000000-0005-0000-0000-0000D9070000}"/>
    <cellStyle name="Calculation 2 2 5 4 2 3" xfId="2290" xr:uid="{00000000-0005-0000-0000-0000DA070000}"/>
    <cellStyle name="Calculation 2 2 5 4 2 3 2" xfId="2291" xr:uid="{00000000-0005-0000-0000-0000DB070000}"/>
    <cellStyle name="Calculation 2 2 5 4 2 4" xfId="2292" xr:uid="{00000000-0005-0000-0000-0000DC070000}"/>
    <cellStyle name="Calculation 2 2 5 4 2 5" xfId="2293" xr:uid="{00000000-0005-0000-0000-0000DD070000}"/>
    <cellStyle name="Calculation 2 2 5 4 2 6" xfId="2294" xr:uid="{00000000-0005-0000-0000-0000DE070000}"/>
    <cellStyle name="Calculation 2 2 5 4 3" xfId="2295" xr:uid="{00000000-0005-0000-0000-0000DF070000}"/>
    <cellStyle name="Calculation 2 2 5 4 3 2" xfId="2296" xr:uid="{00000000-0005-0000-0000-0000E0070000}"/>
    <cellStyle name="Calculation 2 2 5 4 4" xfId="2297" xr:uid="{00000000-0005-0000-0000-0000E1070000}"/>
    <cellStyle name="Calculation 2 2 5 4 4 2" xfId="2298" xr:uid="{00000000-0005-0000-0000-0000E2070000}"/>
    <cellStyle name="Calculation 2 2 5 4 5" xfId="2299" xr:uid="{00000000-0005-0000-0000-0000E3070000}"/>
    <cellStyle name="Calculation 2 2 5 4 6" xfId="2300" xr:uid="{00000000-0005-0000-0000-0000E4070000}"/>
    <cellStyle name="Calculation 2 2 5 4 7" xfId="2301" xr:uid="{00000000-0005-0000-0000-0000E5070000}"/>
    <cellStyle name="Calculation 2 2 5 5" xfId="2302" xr:uid="{00000000-0005-0000-0000-0000E6070000}"/>
    <cellStyle name="Calculation 2 2 5 5 2" xfId="2303" xr:uid="{00000000-0005-0000-0000-0000E7070000}"/>
    <cellStyle name="Calculation 2 2 5 5 2 2" xfId="2304" xr:uid="{00000000-0005-0000-0000-0000E8070000}"/>
    <cellStyle name="Calculation 2 2 5 5 3" xfId="2305" xr:uid="{00000000-0005-0000-0000-0000E9070000}"/>
    <cellStyle name="Calculation 2 2 5 5 3 2" xfId="2306" xr:uid="{00000000-0005-0000-0000-0000EA070000}"/>
    <cellStyle name="Calculation 2 2 5 5 4" xfId="2307" xr:uid="{00000000-0005-0000-0000-0000EB070000}"/>
    <cellStyle name="Calculation 2 2 5 5 5" xfId="2308" xr:uid="{00000000-0005-0000-0000-0000EC070000}"/>
    <cellStyle name="Calculation 2 2 5 5 6" xfId="2309" xr:uid="{00000000-0005-0000-0000-0000ED070000}"/>
    <cellStyle name="Calculation 2 2 5 6" xfId="2310" xr:uid="{00000000-0005-0000-0000-0000EE070000}"/>
    <cellStyle name="Calculation 2 2 5 6 2" xfId="2311" xr:uid="{00000000-0005-0000-0000-0000EF070000}"/>
    <cellStyle name="Calculation 2 2 5 7" xfId="2312" xr:uid="{00000000-0005-0000-0000-0000F0070000}"/>
    <cellStyle name="Calculation 2 2 5 7 2" xfId="2313" xr:uid="{00000000-0005-0000-0000-0000F1070000}"/>
    <cellStyle name="Calculation 2 2 5 8" xfId="2314" xr:uid="{00000000-0005-0000-0000-0000F2070000}"/>
    <cellStyle name="Calculation 2 2 5 9" xfId="2315" xr:uid="{00000000-0005-0000-0000-0000F3070000}"/>
    <cellStyle name="Calculation 2 2 6" xfId="2316" xr:uid="{00000000-0005-0000-0000-0000F4070000}"/>
    <cellStyle name="Calculation 2 2 6 2" xfId="2317" xr:uid="{00000000-0005-0000-0000-0000F5070000}"/>
    <cellStyle name="Calculation 2 2 6 2 2" xfId="2318" xr:uid="{00000000-0005-0000-0000-0000F6070000}"/>
    <cellStyle name="Calculation 2 2 6 2 2 2" xfId="2319" xr:uid="{00000000-0005-0000-0000-0000F7070000}"/>
    <cellStyle name="Calculation 2 2 6 2 2 2 2" xfId="2320" xr:uid="{00000000-0005-0000-0000-0000F8070000}"/>
    <cellStyle name="Calculation 2 2 6 2 2 3" xfId="2321" xr:uid="{00000000-0005-0000-0000-0000F9070000}"/>
    <cellStyle name="Calculation 2 2 6 2 2 3 2" xfId="2322" xr:uid="{00000000-0005-0000-0000-0000FA070000}"/>
    <cellStyle name="Calculation 2 2 6 2 2 4" xfId="2323" xr:uid="{00000000-0005-0000-0000-0000FB070000}"/>
    <cellStyle name="Calculation 2 2 6 2 2 5" xfId="2324" xr:uid="{00000000-0005-0000-0000-0000FC070000}"/>
    <cellStyle name="Calculation 2 2 6 2 2 6" xfId="2325" xr:uid="{00000000-0005-0000-0000-0000FD070000}"/>
    <cellStyle name="Calculation 2 2 6 2 3" xfId="2326" xr:uid="{00000000-0005-0000-0000-0000FE070000}"/>
    <cellStyle name="Calculation 2 2 6 2 3 2" xfId="2327" xr:uid="{00000000-0005-0000-0000-0000FF070000}"/>
    <cellStyle name="Calculation 2 2 6 2 4" xfId="2328" xr:uid="{00000000-0005-0000-0000-000000080000}"/>
    <cellStyle name="Calculation 2 2 6 2 4 2" xfId="2329" xr:uid="{00000000-0005-0000-0000-000001080000}"/>
    <cellStyle name="Calculation 2 2 6 2 5" xfId="2330" xr:uid="{00000000-0005-0000-0000-000002080000}"/>
    <cellStyle name="Calculation 2 2 6 2 6" xfId="2331" xr:uid="{00000000-0005-0000-0000-000003080000}"/>
    <cellStyle name="Calculation 2 2 6 2 7" xfId="2332" xr:uid="{00000000-0005-0000-0000-000004080000}"/>
    <cellStyle name="Calculation 2 2 6 3" xfId="2333" xr:uid="{00000000-0005-0000-0000-000005080000}"/>
    <cellStyle name="Calculation 2 2 6 3 2" xfId="2334" xr:uid="{00000000-0005-0000-0000-000006080000}"/>
    <cellStyle name="Calculation 2 2 6 3 2 2" xfId="2335" xr:uid="{00000000-0005-0000-0000-000007080000}"/>
    <cellStyle name="Calculation 2 2 6 3 3" xfId="2336" xr:uid="{00000000-0005-0000-0000-000008080000}"/>
    <cellStyle name="Calculation 2 2 6 3 3 2" xfId="2337" xr:uid="{00000000-0005-0000-0000-000009080000}"/>
    <cellStyle name="Calculation 2 2 6 3 4" xfId="2338" xr:uid="{00000000-0005-0000-0000-00000A080000}"/>
    <cellStyle name="Calculation 2 2 6 3 5" xfId="2339" xr:uid="{00000000-0005-0000-0000-00000B080000}"/>
    <cellStyle name="Calculation 2 2 6 3 6" xfId="2340" xr:uid="{00000000-0005-0000-0000-00000C080000}"/>
    <cellStyle name="Calculation 2 2 6 4" xfId="2341" xr:uid="{00000000-0005-0000-0000-00000D080000}"/>
    <cellStyle name="Calculation 2 2 6 4 2" xfId="2342" xr:uid="{00000000-0005-0000-0000-00000E080000}"/>
    <cellStyle name="Calculation 2 2 6 5" xfId="2343" xr:uid="{00000000-0005-0000-0000-00000F080000}"/>
    <cellStyle name="Calculation 2 2 6 5 2" xfId="2344" xr:uid="{00000000-0005-0000-0000-000010080000}"/>
    <cellStyle name="Calculation 2 2 6 6" xfId="2345" xr:uid="{00000000-0005-0000-0000-000011080000}"/>
    <cellStyle name="Calculation 2 2 6 7" xfId="2346" xr:uid="{00000000-0005-0000-0000-000012080000}"/>
    <cellStyle name="Calculation 2 2 6 8" xfId="2347" xr:uid="{00000000-0005-0000-0000-000013080000}"/>
    <cellStyle name="Calculation 2 2 7" xfId="2348" xr:uid="{00000000-0005-0000-0000-000014080000}"/>
    <cellStyle name="Calculation 2 2 7 2" xfId="2349" xr:uid="{00000000-0005-0000-0000-000015080000}"/>
    <cellStyle name="Calculation 2 2 7 2 2" xfId="2350" xr:uid="{00000000-0005-0000-0000-000016080000}"/>
    <cellStyle name="Calculation 2 2 7 2 2 2" xfId="2351" xr:uid="{00000000-0005-0000-0000-000017080000}"/>
    <cellStyle name="Calculation 2 2 7 2 3" xfId="2352" xr:uid="{00000000-0005-0000-0000-000018080000}"/>
    <cellStyle name="Calculation 2 2 7 2 3 2" xfId="2353" xr:uid="{00000000-0005-0000-0000-000019080000}"/>
    <cellStyle name="Calculation 2 2 7 2 4" xfId="2354" xr:uid="{00000000-0005-0000-0000-00001A080000}"/>
    <cellStyle name="Calculation 2 2 7 2 5" xfId="2355" xr:uid="{00000000-0005-0000-0000-00001B080000}"/>
    <cellStyle name="Calculation 2 2 7 2 6" xfId="2356" xr:uid="{00000000-0005-0000-0000-00001C080000}"/>
    <cellStyle name="Calculation 2 2 7 3" xfId="2357" xr:uid="{00000000-0005-0000-0000-00001D080000}"/>
    <cellStyle name="Calculation 2 2 7 3 2" xfId="2358" xr:uid="{00000000-0005-0000-0000-00001E080000}"/>
    <cellStyle name="Calculation 2 2 7 4" xfId="2359" xr:uid="{00000000-0005-0000-0000-00001F080000}"/>
    <cellStyle name="Calculation 2 2 7 4 2" xfId="2360" xr:uid="{00000000-0005-0000-0000-000020080000}"/>
    <cellStyle name="Calculation 2 2 7 5" xfId="2361" xr:uid="{00000000-0005-0000-0000-000021080000}"/>
    <cellStyle name="Calculation 2 2 7 6" xfId="2362" xr:uid="{00000000-0005-0000-0000-000022080000}"/>
    <cellStyle name="Calculation 2 2 7 7" xfId="2363" xr:uid="{00000000-0005-0000-0000-000023080000}"/>
    <cellStyle name="Calculation 2 2 8" xfId="2364" xr:uid="{00000000-0005-0000-0000-000024080000}"/>
    <cellStyle name="Calculation 2 2 8 2" xfId="2365" xr:uid="{00000000-0005-0000-0000-000025080000}"/>
    <cellStyle name="Calculation 2 2 9" xfId="2366" xr:uid="{00000000-0005-0000-0000-000026080000}"/>
    <cellStyle name="Calculation 2 2 9 2" xfId="2367" xr:uid="{00000000-0005-0000-0000-000027080000}"/>
    <cellStyle name="Calculation 2 3" xfId="2368" xr:uid="{00000000-0005-0000-0000-000028080000}"/>
    <cellStyle name="Calculation 2 3 10" xfId="2369" xr:uid="{00000000-0005-0000-0000-000029080000}"/>
    <cellStyle name="Calculation 2 3 11" xfId="2370" xr:uid="{00000000-0005-0000-0000-00002A080000}"/>
    <cellStyle name="Calculation 2 3 12" xfId="2371" xr:uid="{00000000-0005-0000-0000-00002B080000}"/>
    <cellStyle name="Calculation 2 3 2" xfId="2372" xr:uid="{00000000-0005-0000-0000-00002C080000}"/>
    <cellStyle name="Calculation 2 3 2 10" xfId="2373" xr:uid="{00000000-0005-0000-0000-00002D080000}"/>
    <cellStyle name="Calculation 2 3 2 11" xfId="2374" xr:uid="{00000000-0005-0000-0000-00002E080000}"/>
    <cellStyle name="Calculation 2 3 2 12" xfId="2375" xr:uid="{00000000-0005-0000-0000-00002F080000}"/>
    <cellStyle name="Calculation 2 3 2 2" xfId="2376" xr:uid="{00000000-0005-0000-0000-000030080000}"/>
    <cellStyle name="Calculation 2 3 2 2 10" xfId="2377" xr:uid="{00000000-0005-0000-0000-000031080000}"/>
    <cellStyle name="Calculation 2 3 2 2 11" xfId="2378" xr:uid="{00000000-0005-0000-0000-000032080000}"/>
    <cellStyle name="Calculation 2 3 2 2 2" xfId="2379" xr:uid="{00000000-0005-0000-0000-000033080000}"/>
    <cellStyle name="Calculation 2 3 2 2 2 10" xfId="2380" xr:uid="{00000000-0005-0000-0000-000034080000}"/>
    <cellStyle name="Calculation 2 3 2 2 2 2" xfId="2381" xr:uid="{00000000-0005-0000-0000-000035080000}"/>
    <cellStyle name="Calculation 2 3 2 2 2 2 2" xfId="2382" xr:uid="{00000000-0005-0000-0000-000036080000}"/>
    <cellStyle name="Calculation 2 3 2 2 2 2 2 2" xfId="2383" xr:uid="{00000000-0005-0000-0000-000037080000}"/>
    <cellStyle name="Calculation 2 3 2 2 2 2 2 2 2" xfId="2384" xr:uid="{00000000-0005-0000-0000-000038080000}"/>
    <cellStyle name="Calculation 2 3 2 2 2 2 2 2 2 2" xfId="2385" xr:uid="{00000000-0005-0000-0000-000039080000}"/>
    <cellStyle name="Calculation 2 3 2 2 2 2 2 2 3" xfId="2386" xr:uid="{00000000-0005-0000-0000-00003A080000}"/>
    <cellStyle name="Calculation 2 3 2 2 2 2 2 2 3 2" xfId="2387" xr:uid="{00000000-0005-0000-0000-00003B080000}"/>
    <cellStyle name="Calculation 2 3 2 2 2 2 2 2 4" xfId="2388" xr:uid="{00000000-0005-0000-0000-00003C080000}"/>
    <cellStyle name="Calculation 2 3 2 2 2 2 2 2 5" xfId="2389" xr:uid="{00000000-0005-0000-0000-00003D080000}"/>
    <cellStyle name="Calculation 2 3 2 2 2 2 2 2 6" xfId="2390" xr:uid="{00000000-0005-0000-0000-00003E080000}"/>
    <cellStyle name="Calculation 2 3 2 2 2 2 2 3" xfId="2391" xr:uid="{00000000-0005-0000-0000-00003F080000}"/>
    <cellStyle name="Calculation 2 3 2 2 2 2 2 3 2" xfId="2392" xr:uid="{00000000-0005-0000-0000-000040080000}"/>
    <cellStyle name="Calculation 2 3 2 2 2 2 2 4" xfId="2393" xr:uid="{00000000-0005-0000-0000-000041080000}"/>
    <cellStyle name="Calculation 2 3 2 2 2 2 2 4 2" xfId="2394" xr:uid="{00000000-0005-0000-0000-000042080000}"/>
    <cellStyle name="Calculation 2 3 2 2 2 2 2 5" xfId="2395" xr:uid="{00000000-0005-0000-0000-000043080000}"/>
    <cellStyle name="Calculation 2 3 2 2 2 2 2 6" xfId="2396" xr:uid="{00000000-0005-0000-0000-000044080000}"/>
    <cellStyle name="Calculation 2 3 2 2 2 2 2 7" xfId="2397" xr:uid="{00000000-0005-0000-0000-000045080000}"/>
    <cellStyle name="Calculation 2 3 2 2 2 2 3" xfId="2398" xr:uid="{00000000-0005-0000-0000-000046080000}"/>
    <cellStyle name="Calculation 2 3 2 2 2 2 3 2" xfId="2399" xr:uid="{00000000-0005-0000-0000-000047080000}"/>
    <cellStyle name="Calculation 2 3 2 2 2 2 3 2 2" xfId="2400" xr:uid="{00000000-0005-0000-0000-000048080000}"/>
    <cellStyle name="Calculation 2 3 2 2 2 2 3 3" xfId="2401" xr:uid="{00000000-0005-0000-0000-000049080000}"/>
    <cellStyle name="Calculation 2 3 2 2 2 2 3 3 2" xfId="2402" xr:uid="{00000000-0005-0000-0000-00004A080000}"/>
    <cellStyle name="Calculation 2 3 2 2 2 2 3 4" xfId="2403" xr:uid="{00000000-0005-0000-0000-00004B080000}"/>
    <cellStyle name="Calculation 2 3 2 2 2 2 3 5" xfId="2404" xr:uid="{00000000-0005-0000-0000-00004C080000}"/>
    <cellStyle name="Calculation 2 3 2 2 2 2 3 6" xfId="2405" xr:uid="{00000000-0005-0000-0000-00004D080000}"/>
    <cellStyle name="Calculation 2 3 2 2 2 2 4" xfId="2406" xr:uid="{00000000-0005-0000-0000-00004E080000}"/>
    <cellStyle name="Calculation 2 3 2 2 2 2 4 2" xfId="2407" xr:uid="{00000000-0005-0000-0000-00004F080000}"/>
    <cellStyle name="Calculation 2 3 2 2 2 2 5" xfId="2408" xr:uid="{00000000-0005-0000-0000-000050080000}"/>
    <cellStyle name="Calculation 2 3 2 2 2 2 5 2" xfId="2409" xr:uid="{00000000-0005-0000-0000-000051080000}"/>
    <cellStyle name="Calculation 2 3 2 2 2 2 6" xfId="2410" xr:uid="{00000000-0005-0000-0000-000052080000}"/>
    <cellStyle name="Calculation 2 3 2 2 2 2 7" xfId="2411" xr:uid="{00000000-0005-0000-0000-000053080000}"/>
    <cellStyle name="Calculation 2 3 2 2 2 2 8" xfId="2412" xr:uid="{00000000-0005-0000-0000-000054080000}"/>
    <cellStyle name="Calculation 2 3 2 2 2 3" xfId="2413" xr:uid="{00000000-0005-0000-0000-000055080000}"/>
    <cellStyle name="Calculation 2 3 2 2 2 3 2" xfId="2414" xr:uid="{00000000-0005-0000-0000-000056080000}"/>
    <cellStyle name="Calculation 2 3 2 2 2 3 2 2" xfId="2415" xr:uid="{00000000-0005-0000-0000-000057080000}"/>
    <cellStyle name="Calculation 2 3 2 2 2 3 2 2 2" xfId="2416" xr:uid="{00000000-0005-0000-0000-000058080000}"/>
    <cellStyle name="Calculation 2 3 2 2 2 3 2 2 2 2" xfId="2417" xr:uid="{00000000-0005-0000-0000-000059080000}"/>
    <cellStyle name="Calculation 2 3 2 2 2 3 2 2 3" xfId="2418" xr:uid="{00000000-0005-0000-0000-00005A080000}"/>
    <cellStyle name="Calculation 2 3 2 2 2 3 2 2 3 2" xfId="2419" xr:uid="{00000000-0005-0000-0000-00005B080000}"/>
    <cellStyle name="Calculation 2 3 2 2 2 3 2 2 4" xfId="2420" xr:uid="{00000000-0005-0000-0000-00005C080000}"/>
    <cellStyle name="Calculation 2 3 2 2 2 3 2 2 5" xfId="2421" xr:uid="{00000000-0005-0000-0000-00005D080000}"/>
    <cellStyle name="Calculation 2 3 2 2 2 3 2 2 6" xfId="2422" xr:uid="{00000000-0005-0000-0000-00005E080000}"/>
    <cellStyle name="Calculation 2 3 2 2 2 3 2 3" xfId="2423" xr:uid="{00000000-0005-0000-0000-00005F080000}"/>
    <cellStyle name="Calculation 2 3 2 2 2 3 2 3 2" xfId="2424" xr:uid="{00000000-0005-0000-0000-000060080000}"/>
    <cellStyle name="Calculation 2 3 2 2 2 3 2 4" xfId="2425" xr:uid="{00000000-0005-0000-0000-000061080000}"/>
    <cellStyle name="Calculation 2 3 2 2 2 3 2 4 2" xfId="2426" xr:uid="{00000000-0005-0000-0000-000062080000}"/>
    <cellStyle name="Calculation 2 3 2 2 2 3 2 5" xfId="2427" xr:uid="{00000000-0005-0000-0000-000063080000}"/>
    <cellStyle name="Calculation 2 3 2 2 2 3 2 6" xfId="2428" xr:uid="{00000000-0005-0000-0000-000064080000}"/>
    <cellStyle name="Calculation 2 3 2 2 2 3 2 7" xfId="2429" xr:uid="{00000000-0005-0000-0000-000065080000}"/>
    <cellStyle name="Calculation 2 3 2 2 2 3 3" xfId="2430" xr:uid="{00000000-0005-0000-0000-000066080000}"/>
    <cellStyle name="Calculation 2 3 2 2 2 3 3 2" xfId="2431" xr:uid="{00000000-0005-0000-0000-000067080000}"/>
    <cellStyle name="Calculation 2 3 2 2 2 3 3 2 2" xfId="2432" xr:uid="{00000000-0005-0000-0000-000068080000}"/>
    <cellStyle name="Calculation 2 3 2 2 2 3 3 3" xfId="2433" xr:uid="{00000000-0005-0000-0000-000069080000}"/>
    <cellStyle name="Calculation 2 3 2 2 2 3 3 3 2" xfId="2434" xr:uid="{00000000-0005-0000-0000-00006A080000}"/>
    <cellStyle name="Calculation 2 3 2 2 2 3 3 4" xfId="2435" xr:uid="{00000000-0005-0000-0000-00006B080000}"/>
    <cellStyle name="Calculation 2 3 2 2 2 3 3 5" xfId="2436" xr:uid="{00000000-0005-0000-0000-00006C080000}"/>
    <cellStyle name="Calculation 2 3 2 2 2 3 3 6" xfId="2437" xr:uid="{00000000-0005-0000-0000-00006D080000}"/>
    <cellStyle name="Calculation 2 3 2 2 2 3 4" xfId="2438" xr:uid="{00000000-0005-0000-0000-00006E080000}"/>
    <cellStyle name="Calculation 2 3 2 2 2 3 4 2" xfId="2439" xr:uid="{00000000-0005-0000-0000-00006F080000}"/>
    <cellStyle name="Calculation 2 3 2 2 2 3 5" xfId="2440" xr:uid="{00000000-0005-0000-0000-000070080000}"/>
    <cellStyle name="Calculation 2 3 2 2 2 3 5 2" xfId="2441" xr:uid="{00000000-0005-0000-0000-000071080000}"/>
    <cellStyle name="Calculation 2 3 2 2 2 3 6" xfId="2442" xr:uid="{00000000-0005-0000-0000-000072080000}"/>
    <cellStyle name="Calculation 2 3 2 2 2 3 7" xfId="2443" xr:uid="{00000000-0005-0000-0000-000073080000}"/>
    <cellStyle name="Calculation 2 3 2 2 2 3 8" xfId="2444" xr:uid="{00000000-0005-0000-0000-000074080000}"/>
    <cellStyle name="Calculation 2 3 2 2 2 4" xfId="2445" xr:uid="{00000000-0005-0000-0000-000075080000}"/>
    <cellStyle name="Calculation 2 3 2 2 2 4 2" xfId="2446" xr:uid="{00000000-0005-0000-0000-000076080000}"/>
    <cellStyle name="Calculation 2 3 2 2 2 4 2 2" xfId="2447" xr:uid="{00000000-0005-0000-0000-000077080000}"/>
    <cellStyle name="Calculation 2 3 2 2 2 4 2 2 2" xfId="2448" xr:uid="{00000000-0005-0000-0000-000078080000}"/>
    <cellStyle name="Calculation 2 3 2 2 2 4 2 3" xfId="2449" xr:uid="{00000000-0005-0000-0000-000079080000}"/>
    <cellStyle name="Calculation 2 3 2 2 2 4 2 3 2" xfId="2450" xr:uid="{00000000-0005-0000-0000-00007A080000}"/>
    <cellStyle name="Calculation 2 3 2 2 2 4 2 4" xfId="2451" xr:uid="{00000000-0005-0000-0000-00007B080000}"/>
    <cellStyle name="Calculation 2 3 2 2 2 4 2 5" xfId="2452" xr:uid="{00000000-0005-0000-0000-00007C080000}"/>
    <cellStyle name="Calculation 2 3 2 2 2 4 2 6" xfId="2453" xr:uid="{00000000-0005-0000-0000-00007D080000}"/>
    <cellStyle name="Calculation 2 3 2 2 2 4 3" xfId="2454" xr:uid="{00000000-0005-0000-0000-00007E080000}"/>
    <cellStyle name="Calculation 2 3 2 2 2 4 3 2" xfId="2455" xr:uid="{00000000-0005-0000-0000-00007F080000}"/>
    <cellStyle name="Calculation 2 3 2 2 2 4 4" xfId="2456" xr:uid="{00000000-0005-0000-0000-000080080000}"/>
    <cellStyle name="Calculation 2 3 2 2 2 4 4 2" xfId="2457" xr:uid="{00000000-0005-0000-0000-000081080000}"/>
    <cellStyle name="Calculation 2 3 2 2 2 4 5" xfId="2458" xr:uid="{00000000-0005-0000-0000-000082080000}"/>
    <cellStyle name="Calculation 2 3 2 2 2 4 6" xfId="2459" xr:uid="{00000000-0005-0000-0000-000083080000}"/>
    <cellStyle name="Calculation 2 3 2 2 2 4 7" xfId="2460" xr:uid="{00000000-0005-0000-0000-000084080000}"/>
    <cellStyle name="Calculation 2 3 2 2 2 5" xfId="2461" xr:uid="{00000000-0005-0000-0000-000085080000}"/>
    <cellStyle name="Calculation 2 3 2 2 2 5 2" xfId="2462" xr:uid="{00000000-0005-0000-0000-000086080000}"/>
    <cellStyle name="Calculation 2 3 2 2 2 5 2 2" xfId="2463" xr:uid="{00000000-0005-0000-0000-000087080000}"/>
    <cellStyle name="Calculation 2 3 2 2 2 5 3" xfId="2464" xr:uid="{00000000-0005-0000-0000-000088080000}"/>
    <cellStyle name="Calculation 2 3 2 2 2 5 3 2" xfId="2465" xr:uid="{00000000-0005-0000-0000-000089080000}"/>
    <cellStyle name="Calculation 2 3 2 2 2 5 4" xfId="2466" xr:uid="{00000000-0005-0000-0000-00008A080000}"/>
    <cellStyle name="Calculation 2 3 2 2 2 5 5" xfId="2467" xr:uid="{00000000-0005-0000-0000-00008B080000}"/>
    <cellStyle name="Calculation 2 3 2 2 2 5 6" xfId="2468" xr:uid="{00000000-0005-0000-0000-00008C080000}"/>
    <cellStyle name="Calculation 2 3 2 2 2 6" xfId="2469" xr:uid="{00000000-0005-0000-0000-00008D080000}"/>
    <cellStyle name="Calculation 2 3 2 2 2 6 2" xfId="2470" xr:uid="{00000000-0005-0000-0000-00008E080000}"/>
    <cellStyle name="Calculation 2 3 2 2 2 7" xfId="2471" xr:uid="{00000000-0005-0000-0000-00008F080000}"/>
    <cellStyle name="Calculation 2 3 2 2 2 7 2" xfId="2472" xr:uid="{00000000-0005-0000-0000-000090080000}"/>
    <cellStyle name="Calculation 2 3 2 2 2 8" xfId="2473" xr:uid="{00000000-0005-0000-0000-000091080000}"/>
    <cellStyle name="Calculation 2 3 2 2 2 9" xfId="2474" xr:uid="{00000000-0005-0000-0000-000092080000}"/>
    <cellStyle name="Calculation 2 3 2 2 3" xfId="2475" xr:uid="{00000000-0005-0000-0000-000093080000}"/>
    <cellStyle name="Calculation 2 3 2 2 3 2" xfId="2476" xr:uid="{00000000-0005-0000-0000-000094080000}"/>
    <cellStyle name="Calculation 2 3 2 2 3 2 2" xfId="2477" xr:uid="{00000000-0005-0000-0000-000095080000}"/>
    <cellStyle name="Calculation 2 3 2 2 3 2 2 2" xfId="2478" xr:uid="{00000000-0005-0000-0000-000096080000}"/>
    <cellStyle name="Calculation 2 3 2 2 3 2 2 2 2" xfId="2479" xr:uid="{00000000-0005-0000-0000-000097080000}"/>
    <cellStyle name="Calculation 2 3 2 2 3 2 2 3" xfId="2480" xr:uid="{00000000-0005-0000-0000-000098080000}"/>
    <cellStyle name="Calculation 2 3 2 2 3 2 2 3 2" xfId="2481" xr:uid="{00000000-0005-0000-0000-000099080000}"/>
    <cellStyle name="Calculation 2 3 2 2 3 2 2 4" xfId="2482" xr:uid="{00000000-0005-0000-0000-00009A080000}"/>
    <cellStyle name="Calculation 2 3 2 2 3 2 2 5" xfId="2483" xr:uid="{00000000-0005-0000-0000-00009B080000}"/>
    <cellStyle name="Calculation 2 3 2 2 3 2 2 6" xfId="2484" xr:uid="{00000000-0005-0000-0000-00009C080000}"/>
    <cellStyle name="Calculation 2 3 2 2 3 2 3" xfId="2485" xr:uid="{00000000-0005-0000-0000-00009D080000}"/>
    <cellStyle name="Calculation 2 3 2 2 3 2 3 2" xfId="2486" xr:uid="{00000000-0005-0000-0000-00009E080000}"/>
    <cellStyle name="Calculation 2 3 2 2 3 2 4" xfId="2487" xr:uid="{00000000-0005-0000-0000-00009F080000}"/>
    <cellStyle name="Calculation 2 3 2 2 3 2 4 2" xfId="2488" xr:uid="{00000000-0005-0000-0000-0000A0080000}"/>
    <cellStyle name="Calculation 2 3 2 2 3 2 5" xfId="2489" xr:uid="{00000000-0005-0000-0000-0000A1080000}"/>
    <cellStyle name="Calculation 2 3 2 2 3 2 6" xfId="2490" xr:uid="{00000000-0005-0000-0000-0000A2080000}"/>
    <cellStyle name="Calculation 2 3 2 2 3 2 7" xfId="2491" xr:uid="{00000000-0005-0000-0000-0000A3080000}"/>
    <cellStyle name="Calculation 2 3 2 2 3 3" xfId="2492" xr:uid="{00000000-0005-0000-0000-0000A4080000}"/>
    <cellStyle name="Calculation 2 3 2 2 3 3 2" xfId="2493" xr:uid="{00000000-0005-0000-0000-0000A5080000}"/>
    <cellStyle name="Calculation 2 3 2 2 3 3 2 2" xfId="2494" xr:uid="{00000000-0005-0000-0000-0000A6080000}"/>
    <cellStyle name="Calculation 2 3 2 2 3 3 3" xfId="2495" xr:uid="{00000000-0005-0000-0000-0000A7080000}"/>
    <cellStyle name="Calculation 2 3 2 2 3 3 3 2" xfId="2496" xr:uid="{00000000-0005-0000-0000-0000A8080000}"/>
    <cellStyle name="Calculation 2 3 2 2 3 3 4" xfId="2497" xr:uid="{00000000-0005-0000-0000-0000A9080000}"/>
    <cellStyle name="Calculation 2 3 2 2 3 3 5" xfId="2498" xr:uid="{00000000-0005-0000-0000-0000AA080000}"/>
    <cellStyle name="Calculation 2 3 2 2 3 3 6" xfId="2499" xr:uid="{00000000-0005-0000-0000-0000AB080000}"/>
    <cellStyle name="Calculation 2 3 2 2 3 4" xfId="2500" xr:uid="{00000000-0005-0000-0000-0000AC080000}"/>
    <cellStyle name="Calculation 2 3 2 2 3 4 2" xfId="2501" xr:uid="{00000000-0005-0000-0000-0000AD080000}"/>
    <cellStyle name="Calculation 2 3 2 2 3 5" xfId="2502" xr:uid="{00000000-0005-0000-0000-0000AE080000}"/>
    <cellStyle name="Calculation 2 3 2 2 3 5 2" xfId="2503" xr:uid="{00000000-0005-0000-0000-0000AF080000}"/>
    <cellStyle name="Calculation 2 3 2 2 3 6" xfId="2504" xr:uid="{00000000-0005-0000-0000-0000B0080000}"/>
    <cellStyle name="Calculation 2 3 2 2 3 7" xfId="2505" xr:uid="{00000000-0005-0000-0000-0000B1080000}"/>
    <cellStyle name="Calculation 2 3 2 2 3 8" xfId="2506" xr:uid="{00000000-0005-0000-0000-0000B2080000}"/>
    <cellStyle name="Calculation 2 3 2 2 4" xfId="2507" xr:uid="{00000000-0005-0000-0000-0000B3080000}"/>
    <cellStyle name="Calculation 2 3 2 2 4 2" xfId="2508" xr:uid="{00000000-0005-0000-0000-0000B4080000}"/>
    <cellStyle name="Calculation 2 3 2 2 4 2 2" xfId="2509" xr:uid="{00000000-0005-0000-0000-0000B5080000}"/>
    <cellStyle name="Calculation 2 3 2 2 4 2 2 2" xfId="2510" xr:uid="{00000000-0005-0000-0000-0000B6080000}"/>
    <cellStyle name="Calculation 2 3 2 2 4 2 2 2 2" xfId="2511" xr:uid="{00000000-0005-0000-0000-0000B7080000}"/>
    <cellStyle name="Calculation 2 3 2 2 4 2 2 3" xfId="2512" xr:uid="{00000000-0005-0000-0000-0000B8080000}"/>
    <cellStyle name="Calculation 2 3 2 2 4 2 2 3 2" xfId="2513" xr:uid="{00000000-0005-0000-0000-0000B9080000}"/>
    <cellStyle name="Calculation 2 3 2 2 4 2 2 4" xfId="2514" xr:uid="{00000000-0005-0000-0000-0000BA080000}"/>
    <cellStyle name="Calculation 2 3 2 2 4 2 2 5" xfId="2515" xr:uid="{00000000-0005-0000-0000-0000BB080000}"/>
    <cellStyle name="Calculation 2 3 2 2 4 2 2 6" xfId="2516" xr:uid="{00000000-0005-0000-0000-0000BC080000}"/>
    <cellStyle name="Calculation 2 3 2 2 4 2 3" xfId="2517" xr:uid="{00000000-0005-0000-0000-0000BD080000}"/>
    <cellStyle name="Calculation 2 3 2 2 4 2 3 2" xfId="2518" xr:uid="{00000000-0005-0000-0000-0000BE080000}"/>
    <cellStyle name="Calculation 2 3 2 2 4 2 4" xfId="2519" xr:uid="{00000000-0005-0000-0000-0000BF080000}"/>
    <cellStyle name="Calculation 2 3 2 2 4 2 4 2" xfId="2520" xr:uid="{00000000-0005-0000-0000-0000C0080000}"/>
    <cellStyle name="Calculation 2 3 2 2 4 2 5" xfId="2521" xr:uid="{00000000-0005-0000-0000-0000C1080000}"/>
    <cellStyle name="Calculation 2 3 2 2 4 2 6" xfId="2522" xr:uid="{00000000-0005-0000-0000-0000C2080000}"/>
    <cellStyle name="Calculation 2 3 2 2 4 2 7" xfId="2523" xr:uid="{00000000-0005-0000-0000-0000C3080000}"/>
    <cellStyle name="Calculation 2 3 2 2 4 3" xfId="2524" xr:uid="{00000000-0005-0000-0000-0000C4080000}"/>
    <cellStyle name="Calculation 2 3 2 2 4 3 2" xfId="2525" xr:uid="{00000000-0005-0000-0000-0000C5080000}"/>
    <cellStyle name="Calculation 2 3 2 2 4 3 2 2" xfId="2526" xr:uid="{00000000-0005-0000-0000-0000C6080000}"/>
    <cellStyle name="Calculation 2 3 2 2 4 3 3" xfId="2527" xr:uid="{00000000-0005-0000-0000-0000C7080000}"/>
    <cellStyle name="Calculation 2 3 2 2 4 3 3 2" xfId="2528" xr:uid="{00000000-0005-0000-0000-0000C8080000}"/>
    <cellStyle name="Calculation 2 3 2 2 4 3 4" xfId="2529" xr:uid="{00000000-0005-0000-0000-0000C9080000}"/>
    <cellStyle name="Calculation 2 3 2 2 4 3 5" xfId="2530" xr:uid="{00000000-0005-0000-0000-0000CA080000}"/>
    <cellStyle name="Calculation 2 3 2 2 4 3 6" xfId="2531" xr:uid="{00000000-0005-0000-0000-0000CB080000}"/>
    <cellStyle name="Calculation 2 3 2 2 4 4" xfId="2532" xr:uid="{00000000-0005-0000-0000-0000CC080000}"/>
    <cellStyle name="Calculation 2 3 2 2 4 4 2" xfId="2533" xr:uid="{00000000-0005-0000-0000-0000CD080000}"/>
    <cellStyle name="Calculation 2 3 2 2 4 5" xfId="2534" xr:uid="{00000000-0005-0000-0000-0000CE080000}"/>
    <cellStyle name="Calculation 2 3 2 2 4 5 2" xfId="2535" xr:uid="{00000000-0005-0000-0000-0000CF080000}"/>
    <cellStyle name="Calculation 2 3 2 2 4 6" xfId="2536" xr:uid="{00000000-0005-0000-0000-0000D0080000}"/>
    <cellStyle name="Calculation 2 3 2 2 4 7" xfId="2537" xr:uid="{00000000-0005-0000-0000-0000D1080000}"/>
    <cellStyle name="Calculation 2 3 2 2 4 8" xfId="2538" xr:uid="{00000000-0005-0000-0000-0000D2080000}"/>
    <cellStyle name="Calculation 2 3 2 2 5" xfId="2539" xr:uid="{00000000-0005-0000-0000-0000D3080000}"/>
    <cellStyle name="Calculation 2 3 2 2 5 2" xfId="2540" xr:uid="{00000000-0005-0000-0000-0000D4080000}"/>
    <cellStyle name="Calculation 2 3 2 2 5 2 2" xfId="2541" xr:uid="{00000000-0005-0000-0000-0000D5080000}"/>
    <cellStyle name="Calculation 2 3 2 2 5 2 2 2" xfId="2542" xr:uid="{00000000-0005-0000-0000-0000D6080000}"/>
    <cellStyle name="Calculation 2 3 2 2 5 2 3" xfId="2543" xr:uid="{00000000-0005-0000-0000-0000D7080000}"/>
    <cellStyle name="Calculation 2 3 2 2 5 2 3 2" xfId="2544" xr:uid="{00000000-0005-0000-0000-0000D8080000}"/>
    <cellStyle name="Calculation 2 3 2 2 5 2 4" xfId="2545" xr:uid="{00000000-0005-0000-0000-0000D9080000}"/>
    <cellStyle name="Calculation 2 3 2 2 5 2 5" xfId="2546" xr:uid="{00000000-0005-0000-0000-0000DA080000}"/>
    <cellStyle name="Calculation 2 3 2 2 5 2 6" xfId="2547" xr:uid="{00000000-0005-0000-0000-0000DB080000}"/>
    <cellStyle name="Calculation 2 3 2 2 5 3" xfId="2548" xr:uid="{00000000-0005-0000-0000-0000DC080000}"/>
    <cellStyle name="Calculation 2 3 2 2 5 3 2" xfId="2549" xr:uid="{00000000-0005-0000-0000-0000DD080000}"/>
    <cellStyle name="Calculation 2 3 2 2 5 4" xfId="2550" xr:uid="{00000000-0005-0000-0000-0000DE080000}"/>
    <cellStyle name="Calculation 2 3 2 2 5 4 2" xfId="2551" xr:uid="{00000000-0005-0000-0000-0000DF080000}"/>
    <cellStyle name="Calculation 2 3 2 2 5 5" xfId="2552" xr:uid="{00000000-0005-0000-0000-0000E0080000}"/>
    <cellStyle name="Calculation 2 3 2 2 5 6" xfId="2553" xr:uid="{00000000-0005-0000-0000-0000E1080000}"/>
    <cellStyle name="Calculation 2 3 2 2 5 7" xfId="2554" xr:uid="{00000000-0005-0000-0000-0000E2080000}"/>
    <cellStyle name="Calculation 2 3 2 2 6" xfId="2555" xr:uid="{00000000-0005-0000-0000-0000E3080000}"/>
    <cellStyle name="Calculation 2 3 2 2 6 2" xfId="2556" xr:uid="{00000000-0005-0000-0000-0000E4080000}"/>
    <cellStyle name="Calculation 2 3 2 2 6 2 2" xfId="2557" xr:uid="{00000000-0005-0000-0000-0000E5080000}"/>
    <cellStyle name="Calculation 2 3 2 2 6 3" xfId="2558" xr:uid="{00000000-0005-0000-0000-0000E6080000}"/>
    <cellStyle name="Calculation 2 3 2 2 6 3 2" xfId="2559" xr:uid="{00000000-0005-0000-0000-0000E7080000}"/>
    <cellStyle name="Calculation 2 3 2 2 6 4" xfId="2560" xr:uid="{00000000-0005-0000-0000-0000E8080000}"/>
    <cellStyle name="Calculation 2 3 2 2 6 5" xfId="2561" xr:uid="{00000000-0005-0000-0000-0000E9080000}"/>
    <cellStyle name="Calculation 2 3 2 2 6 6" xfId="2562" xr:uid="{00000000-0005-0000-0000-0000EA080000}"/>
    <cellStyle name="Calculation 2 3 2 2 7" xfId="2563" xr:uid="{00000000-0005-0000-0000-0000EB080000}"/>
    <cellStyle name="Calculation 2 3 2 2 7 2" xfId="2564" xr:uid="{00000000-0005-0000-0000-0000EC080000}"/>
    <cellStyle name="Calculation 2 3 2 2 8" xfId="2565" xr:uid="{00000000-0005-0000-0000-0000ED080000}"/>
    <cellStyle name="Calculation 2 3 2 2 8 2" xfId="2566" xr:uid="{00000000-0005-0000-0000-0000EE080000}"/>
    <cellStyle name="Calculation 2 3 2 2 9" xfId="2567" xr:uid="{00000000-0005-0000-0000-0000EF080000}"/>
    <cellStyle name="Calculation 2 3 2 3" xfId="2568" xr:uid="{00000000-0005-0000-0000-0000F0080000}"/>
    <cellStyle name="Calculation 2 3 2 3 10" xfId="2569" xr:uid="{00000000-0005-0000-0000-0000F1080000}"/>
    <cellStyle name="Calculation 2 3 2 3 2" xfId="2570" xr:uid="{00000000-0005-0000-0000-0000F2080000}"/>
    <cellStyle name="Calculation 2 3 2 3 2 10" xfId="2571" xr:uid="{00000000-0005-0000-0000-0000F3080000}"/>
    <cellStyle name="Calculation 2 3 2 3 2 2" xfId="2572" xr:uid="{00000000-0005-0000-0000-0000F4080000}"/>
    <cellStyle name="Calculation 2 3 2 3 2 2 2" xfId="2573" xr:uid="{00000000-0005-0000-0000-0000F5080000}"/>
    <cellStyle name="Calculation 2 3 2 3 2 2 2 2" xfId="2574" xr:uid="{00000000-0005-0000-0000-0000F6080000}"/>
    <cellStyle name="Calculation 2 3 2 3 2 2 2 2 2" xfId="2575" xr:uid="{00000000-0005-0000-0000-0000F7080000}"/>
    <cellStyle name="Calculation 2 3 2 3 2 2 2 2 2 2" xfId="2576" xr:uid="{00000000-0005-0000-0000-0000F8080000}"/>
    <cellStyle name="Calculation 2 3 2 3 2 2 2 2 3" xfId="2577" xr:uid="{00000000-0005-0000-0000-0000F9080000}"/>
    <cellStyle name="Calculation 2 3 2 3 2 2 2 2 3 2" xfId="2578" xr:uid="{00000000-0005-0000-0000-0000FA080000}"/>
    <cellStyle name="Calculation 2 3 2 3 2 2 2 2 4" xfId="2579" xr:uid="{00000000-0005-0000-0000-0000FB080000}"/>
    <cellStyle name="Calculation 2 3 2 3 2 2 2 2 5" xfId="2580" xr:uid="{00000000-0005-0000-0000-0000FC080000}"/>
    <cellStyle name="Calculation 2 3 2 3 2 2 2 2 6" xfId="2581" xr:uid="{00000000-0005-0000-0000-0000FD080000}"/>
    <cellStyle name="Calculation 2 3 2 3 2 2 2 3" xfId="2582" xr:uid="{00000000-0005-0000-0000-0000FE080000}"/>
    <cellStyle name="Calculation 2 3 2 3 2 2 2 3 2" xfId="2583" xr:uid="{00000000-0005-0000-0000-0000FF080000}"/>
    <cellStyle name="Calculation 2 3 2 3 2 2 2 4" xfId="2584" xr:uid="{00000000-0005-0000-0000-000000090000}"/>
    <cellStyle name="Calculation 2 3 2 3 2 2 2 4 2" xfId="2585" xr:uid="{00000000-0005-0000-0000-000001090000}"/>
    <cellStyle name="Calculation 2 3 2 3 2 2 2 5" xfId="2586" xr:uid="{00000000-0005-0000-0000-000002090000}"/>
    <cellStyle name="Calculation 2 3 2 3 2 2 2 6" xfId="2587" xr:uid="{00000000-0005-0000-0000-000003090000}"/>
    <cellStyle name="Calculation 2 3 2 3 2 2 2 7" xfId="2588" xr:uid="{00000000-0005-0000-0000-000004090000}"/>
    <cellStyle name="Calculation 2 3 2 3 2 2 3" xfId="2589" xr:uid="{00000000-0005-0000-0000-000005090000}"/>
    <cellStyle name="Calculation 2 3 2 3 2 2 3 2" xfId="2590" xr:uid="{00000000-0005-0000-0000-000006090000}"/>
    <cellStyle name="Calculation 2 3 2 3 2 2 3 2 2" xfId="2591" xr:uid="{00000000-0005-0000-0000-000007090000}"/>
    <cellStyle name="Calculation 2 3 2 3 2 2 3 3" xfId="2592" xr:uid="{00000000-0005-0000-0000-000008090000}"/>
    <cellStyle name="Calculation 2 3 2 3 2 2 3 3 2" xfId="2593" xr:uid="{00000000-0005-0000-0000-000009090000}"/>
    <cellStyle name="Calculation 2 3 2 3 2 2 3 4" xfId="2594" xr:uid="{00000000-0005-0000-0000-00000A090000}"/>
    <cellStyle name="Calculation 2 3 2 3 2 2 3 5" xfId="2595" xr:uid="{00000000-0005-0000-0000-00000B090000}"/>
    <cellStyle name="Calculation 2 3 2 3 2 2 3 6" xfId="2596" xr:uid="{00000000-0005-0000-0000-00000C090000}"/>
    <cellStyle name="Calculation 2 3 2 3 2 2 4" xfId="2597" xr:uid="{00000000-0005-0000-0000-00000D090000}"/>
    <cellStyle name="Calculation 2 3 2 3 2 2 4 2" xfId="2598" xr:uid="{00000000-0005-0000-0000-00000E090000}"/>
    <cellStyle name="Calculation 2 3 2 3 2 2 5" xfId="2599" xr:uid="{00000000-0005-0000-0000-00000F090000}"/>
    <cellStyle name="Calculation 2 3 2 3 2 2 5 2" xfId="2600" xr:uid="{00000000-0005-0000-0000-000010090000}"/>
    <cellStyle name="Calculation 2 3 2 3 2 2 6" xfId="2601" xr:uid="{00000000-0005-0000-0000-000011090000}"/>
    <cellStyle name="Calculation 2 3 2 3 2 2 7" xfId="2602" xr:uid="{00000000-0005-0000-0000-000012090000}"/>
    <cellStyle name="Calculation 2 3 2 3 2 2 8" xfId="2603" xr:uid="{00000000-0005-0000-0000-000013090000}"/>
    <cellStyle name="Calculation 2 3 2 3 2 3" xfId="2604" xr:uid="{00000000-0005-0000-0000-000014090000}"/>
    <cellStyle name="Calculation 2 3 2 3 2 3 2" xfId="2605" xr:uid="{00000000-0005-0000-0000-000015090000}"/>
    <cellStyle name="Calculation 2 3 2 3 2 3 2 2" xfId="2606" xr:uid="{00000000-0005-0000-0000-000016090000}"/>
    <cellStyle name="Calculation 2 3 2 3 2 3 2 2 2" xfId="2607" xr:uid="{00000000-0005-0000-0000-000017090000}"/>
    <cellStyle name="Calculation 2 3 2 3 2 3 2 2 2 2" xfId="2608" xr:uid="{00000000-0005-0000-0000-000018090000}"/>
    <cellStyle name="Calculation 2 3 2 3 2 3 2 2 3" xfId="2609" xr:uid="{00000000-0005-0000-0000-000019090000}"/>
    <cellStyle name="Calculation 2 3 2 3 2 3 2 2 3 2" xfId="2610" xr:uid="{00000000-0005-0000-0000-00001A090000}"/>
    <cellStyle name="Calculation 2 3 2 3 2 3 2 2 4" xfId="2611" xr:uid="{00000000-0005-0000-0000-00001B090000}"/>
    <cellStyle name="Calculation 2 3 2 3 2 3 2 2 5" xfId="2612" xr:uid="{00000000-0005-0000-0000-00001C090000}"/>
    <cellStyle name="Calculation 2 3 2 3 2 3 2 2 6" xfId="2613" xr:uid="{00000000-0005-0000-0000-00001D090000}"/>
    <cellStyle name="Calculation 2 3 2 3 2 3 2 3" xfId="2614" xr:uid="{00000000-0005-0000-0000-00001E090000}"/>
    <cellStyle name="Calculation 2 3 2 3 2 3 2 3 2" xfId="2615" xr:uid="{00000000-0005-0000-0000-00001F090000}"/>
    <cellStyle name="Calculation 2 3 2 3 2 3 2 4" xfId="2616" xr:uid="{00000000-0005-0000-0000-000020090000}"/>
    <cellStyle name="Calculation 2 3 2 3 2 3 2 4 2" xfId="2617" xr:uid="{00000000-0005-0000-0000-000021090000}"/>
    <cellStyle name="Calculation 2 3 2 3 2 3 2 5" xfId="2618" xr:uid="{00000000-0005-0000-0000-000022090000}"/>
    <cellStyle name="Calculation 2 3 2 3 2 3 2 6" xfId="2619" xr:uid="{00000000-0005-0000-0000-000023090000}"/>
    <cellStyle name="Calculation 2 3 2 3 2 3 2 7" xfId="2620" xr:uid="{00000000-0005-0000-0000-000024090000}"/>
    <cellStyle name="Calculation 2 3 2 3 2 3 3" xfId="2621" xr:uid="{00000000-0005-0000-0000-000025090000}"/>
    <cellStyle name="Calculation 2 3 2 3 2 3 3 2" xfId="2622" xr:uid="{00000000-0005-0000-0000-000026090000}"/>
    <cellStyle name="Calculation 2 3 2 3 2 3 3 2 2" xfId="2623" xr:uid="{00000000-0005-0000-0000-000027090000}"/>
    <cellStyle name="Calculation 2 3 2 3 2 3 3 3" xfId="2624" xr:uid="{00000000-0005-0000-0000-000028090000}"/>
    <cellStyle name="Calculation 2 3 2 3 2 3 3 3 2" xfId="2625" xr:uid="{00000000-0005-0000-0000-000029090000}"/>
    <cellStyle name="Calculation 2 3 2 3 2 3 3 4" xfId="2626" xr:uid="{00000000-0005-0000-0000-00002A090000}"/>
    <cellStyle name="Calculation 2 3 2 3 2 3 3 5" xfId="2627" xr:uid="{00000000-0005-0000-0000-00002B090000}"/>
    <cellStyle name="Calculation 2 3 2 3 2 3 3 6" xfId="2628" xr:uid="{00000000-0005-0000-0000-00002C090000}"/>
    <cellStyle name="Calculation 2 3 2 3 2 3 4" xfId="2629" xr:uid="{00000000-0005-0000-0000-00002D090000}"/>
    <cellStyle name="Calculation 2 3 2 3 2 3 4 2" xfId="2630" xr:uid="{00000000-0005-0000-0000-00002E090000}"/>
    <cellStyle name="Calculation 2 3 2 3 2 3 5" xfId="2631" xr:uid="{00000000-0005-0000-0000-00002F090000}"/>
    <cellStyle name="Calculation 2 3 2 3 2 3 5 2" xfId="2632" xr:uid="{00000000-0005-0000-0000-000030090000}"/>
    <cellStyle name="Calculation 2 3 2 3 2 3 6" xfId="2633" xr:uid="{00000000-0005-0000-0000-000031090000}"/>
    <cellStyle name="Calculation 2 3 2 3 2 3 7" xfId="2634" xr:uid="{00000000-0005-0000-0000-000032090000}"/>
    <cellStyle name="Calculation 2 3 2 3 2 3 8" xfId="2635" xr:uid="{00000000-0005-0000-0000-000033090000}"/>
    <cellStyle name="Calculation 2 3 2 3 2 4" xfId="2636" xr:uid="{00000000-0005-0000-0000-000034090000}"/>
    <cellStyle name="Calculation 2 3 2 3 2 4 2" xfId="2637" xr:uid="{00000000-0005-0000-0000-000035090000}"/>
    <cellStyle name="Calculation 2 3 2 3 2 4 2 2" xfId="2638" xr:uid="{00000000-0005-0000-0000-000036090000}"/>
    <cellStyle name="Calculation 2 3 2 3 2 4 2 2 2" xfId="2639" xr:uid="{00000000-0005-0000-0000-000037090000}"/>
    <cellStyle name="Calculation 2 3 2 3 2 4 2 3" xfId="2640" xr:uid="{00000000-0005-0000-0000-000038090000}"/>
    <cellStyle name="Calculation 2 3 2 3 2 4 2 3 2" xfId="2641" xr:uid="{00000000-0005-0000-0000-000039090000}"/>
    <cellStyle name="Calculation 2 3 2 3 2 4 2 4" xfId="2642" xr:uid="{00000000-0005-0000-0000-00003A090000}"/>
    <cellStyle name="Calculation 2 3 2 3 2 4 2 5" xfId="2643" xr:uid="{00000000-0005-0000-0000-00003B090000}"/>
    <cellStyle name="Calculation 2 3 2 3 2 4 2 6" xfId="2644" xr:uid="{00000000-0005-0000-0000-00003C090000}"/>
    <cellStyle name="Calculation 2 3 2 3 2 4 3" xfId="2645" xr:uid="{00000000-0005-0000-0000-00003D090000}"/>
    <cellStyle name="Calculation 2 3 2 3 2 4 3 2" xfId="2646" xr:uid="{00000000-0005-0000-0000-00003E090000}"/>
    <cellStyle name="Calculation 2 3 2 3 2 4 4" xfId="2647" xr:uid="{00000000-0005-0000-0000-00003F090000}"/>
    <cellStyle name="Calculation 2 3 2 3 2 4 4 2" xfId="2648" xr:uid="{00000000-0005-0000-0000-000040090000}"/>
    <cellStyle name="Calculation 2 3 2 3 2 4 5" xfId="2649" xr:uid="{00000000-0005-0000-0000-000041090000}"/>
    <cellStyle name="Calculation 2 3 2 3 2 4 6" xfId="2650" xr:uid="{00000000-0005-0000-0000-000042090000}"/>
    <cellStyle name="Calculation 2 3 2 3 2 4 7" xfId="2651" xr:uid="{00000000-0005-0000-0000-000043090000}"/>
    <cellStyle name="Calculation 2 3 2 3 2 5" xfId="2652" xr:uid="{00000000-0005-0000-0000-000044090000}"/>
    <cellStyle name="Calculation 2 3 2 3 2 5 2" xfId="2653" xr:uid="{00000000-0005-0000-0000-000045090000}"/>
    <cellStyle name="Calculation 2 3 2 3 2 5 2 2" xfId="2654" xr:uid="{00000000-0005-0000-0000-000046090000}"/>
    <cellStyle name="Calculation 2 3 2 3 2 5 3" xfId="2655" xr:uid="{00000000-0005-0000-0000-000047090000}"/>
    <cellStyle name="Calculation 2 3 2 3 2 5 3 2" xfId="2656" xr:uid="{00000000-0005-0000-0000-000048090000}"/>
    <cellStyle name="Calculation 2 3 2 3 2 5 4" xfId="2657" xr:uid="{00000000-0005-0000-0000-000049090000}"/>
    <cellStyle name="Calculation 2 3 2 3 2 5 5" xfId="2658" xr:uid="{00000000-0005-0000-0000-00004A090000}"/>
    <cellStyle name="Calculation 2 3 2 3 2 5 6" xfId="2659" xr:uid="{00000000-0005-0000-0000-00004B090000}"/>
    <cellStyle name="Calculation 2 3 2 3 2 6" xfId="2660" xr:uid="{00000000-0005-0000-0000-00004C090000}"/>
    <cellStyle name="Calculation 2 3 2 3 2 6 2" xfId="2661" xr:uid="{00000000-0005-0000-0000-00004D090000}"/>
    <cellStyle name="Calculation 2 3 2 3 2 7" xfId="2662" xr:uid="{00000000-0005-0000-0000-00004E090000}"/>
    <cellStyle name="Calculation 2 3 2 3 2 7 2" xfId="2663" xr:uid="{00000000-0005-0000-0000-00004F090000}"/>
    <cellStyle name="Calculation 2 3 2 3 2 8" xfId="2664" xr:uid="{00000000-0005-0000-0000-000050090000}"/>
    <cellStyle name="Calculation 2 3 2 3 2 9" xfId="2665" xr:uid="{00000000-0005-0000-0000-000051090000}"/>
    <cellStyle name="Calculation 2 3 2 3 3" xfId="2666" xr:uid="{00000000-0005-0000-0000-000052090000}"/>
    <cellStyle name="Calculation 2 3 2 3 3 2" xfId="2667" xr:uid="{00000000-0005-0000-0000-000053090000}"/>
    <cellStyle name="Calculation 2 3 2 3 3 2 2" xfId="2668" xr:uid="{00000000-0005-0000-0000-000054090000}"/>
    <cellStyle name="Calculation 2 3 2 3 3 2 2 2" xfId="2669" xr:uid="{00000000-0005-0000-0000-000055090000}"/>
    <cellStyle name="Calculation 2 3 2 3 3 2 2 2 2" xfId="2670" xr:uid="{00000000-0005-0000-0000-000056090000}"/>
    <cellStyle name="Calculation 2 3 2 3 3 2 2 3" xfId="2671" xr:uid="{00000000-0005-0000-0000-000057090000}"/>
    <cellStyle name="Calculation 2 3 2 3 3 2 2 3 2" xfId="2672" xr:uid="{00000000-0005-0000-0000-000058090000}"/>
    <cellStyle name="Calculation 2 3 2 3 3 2 2 4" xfId="2673" xr:uid="{00000000-0005-0000-0000-000059090000}"/>
    <cellStyle name="Calculation 2 3 2 3 3 2 2 5" xfId="2674" xr:uid="{00000000-0005-0000-0000-00005A090000}"/>
    <cellStyle name="Calculation 2 3 2 3 3 2 2 6" xfId="2675" xr:uid="{00000000-0005-0000-0000-00005B090000}"/>
    <cellStyle name="Calculation 2 3 2 3 3 2 3" xfId="2676" xr:uid="{00000000-0005-0000-0000-00005C090000}"/>
    <cellStyle name="Calculation 2 3 2 3 3 2 3 2" xfId="2677" xr:uid="{00000000-0005-0000-0000-00005D090000}"/>
    <cellStyle name="Calculation 2 3 2 3 3 2 4" xfId="2678" xr:uid="{00000000-0005-0000-0000-00005E090000}"/>
    <cellStyle name="Calculation 2 3 2 3 3 2 4 2" xfId="2679" xr:uid="{00000000-0005-0000-0000-00005F090000}"/>
    <cellStyle name="Calculation 2 3 2 3 3 2 5" xfId="2680" xr:uid="{00000000-0005-0000-0000-000060090000}"/>
    <cellStyle name="Calculation 2 3 2 3 3 2 6" xfId="2681" xr:uid="{00000000-0005-0000-0000-000061090000}"/>
    <cellStyle name="Calculation 2 3 2 3 3 2 7" xfId="2682" xr:uid="{00000000-0005-0000-0000-000062090000}"/>
    <cellStyle name="Calculation 2 3 2 3 3 3" xfId="2683" xr:uid="{00000000-0005-0000-0000-000063090000}"/>
    <cellStyle name="Calculation 2 3 2 3 3 3 2" xfId="2684" xr:uid="{00000000-0005-0000-0000-000064090000}"/>
    <cellStyle name="Calculation 2 3 2 3 3 3 2 2" xfId="2685" xr:uid="{00000000-0005-0000-0000-000065090000}"/>
    <cellStyle name="Calculation 2 3 2 3 3 3 3" xfId="2686" xr:uid="{00000000-0005-0000-0000-000066090000}"/>
    <cellStyle name="Calculation 2 3 2 3 3 3 3 2" xfId="2687" xr:uid="{00000000-0005-0000-0000-000067090000}"/>
    <cellStyle name="Calculation 2 3 2 3 3 3 4" xfId="2688" xr:uid="{00000000-0005-0000-0000-000068090000}"/>
    <cellStyle name="Calculation 2 3 2 3 3 3 5" xfId="2689" xr:uid="{00000000-0005-0000-0000-000069090000}"/>
    <cellStyle name="Calculation 2 3 2 3 3 3 6" xfId="2690" xr:uid="{00000000-0005-0000-0000-00006A090000}"/>
    <cellStyle name="Calculation 2 3 2 3 3 4" xfId="2691" xr:uid="{00000000-0005-0000-0000-00006B090000}"/>
    <cellStyle name="Calculation 2 3 2 3 3 4 2" xfId="2692" xr:uid="{00000000-0005-0000-0000-00006C090000}"/>
    <cellStyle name="Calculation 2 3 2 3 3 5" xfId="2693" xr:uid="{00000000-0005-0000-0000-00006D090000}"/>
    <cellStyle name="Calculation 2 3 2 3 3 5 2" xfId="2694" xr:uid="{00000000-0005-0000-0000-00006E090000}"/>
    <cellStyle name="Calculation 2 3 2 3 3 6" xfId="2695" xr:uid="{00000000-0005-0000-0000-00006F090000}"/>
    <cellStyle name="Calculation 2 3 2 3 3 7" xfId="2696" xr:uid="{00000000-0005-0000-0000-000070090000}"/>
    <cellStyle name="Calculation 2 3 2 3 3 8" xfId="2697" xr:uid="{00000000-0005-0000-0000-000071090000}"/>
    <cellStyle name="Calculation 2 3 2 3 4" xfId="2698" xr:uid="{00000000-0005-0000-0000-000072090000}"/>
    <cellStyle name="Calculation 2 3 2 3 4 2" xfId="2699" xr:uid="{00000000-0005-0000-0000-000073090000}"/>
    <cellStyle name="Calculation 2 3 2 3 4 2 2" xfId="2700" xr:uid="{00000000-0005-0000-0000-000074090000}"/>
    <cellStyle name="Calculation 2 3 2 3 4 2 2 2" xfId="2701" xr:uid="{00000000-0005-0000-0000-000075090000}"/>
    <cellStyle name="Calculation 2 3 2 3 4 2 3" xfId="2702" xr:uid="{00000000-0005-0000-0000-000076090000}"/>
    <cellStyle name="Calculation 2 3 2 3 4 2 3 2" xfId="2703" xr:uid="{00000000-0005-0000-0000-000077090000}"/>
    <cellStyle name="Calculation 2 3 2 3 4 2 4" xfId="2704" xr:uid="{00000000-0005-0000-0000-000078090000}"/>
    <cellStyle name="Calculation 2 3 2 3 4 2 5" xfId="2705" xr:uid="{00000000-0005-0000-0000-000079090000}"/>
    <cellStyle name="Calculation 2 3 2 3 4 2 6" xfId="2706" xr:uid="{00000000-0005-0000-0000-00007A090000}"/>
    <cellStyle name="Calculation 2 3 2 3 4 3" xfId="2707" xr:uid="{00000000-0005-0000-0000-00007B090000}"/>
    <cellStyle name="Calculation 2 3 2 3 4 3 2" xfId="2708" xr:uid="{00000000-0005-0000-0000-00007C090000}"/>
    <cellStyle name="Calculation 2 3 2 3 4 4" xfId="2709" xr:uid="{00000000-0005-0000-0000-00007D090000}"/>
    <cellStyle name="Calculation 2 3 2 3 4 4 2" xfId="2710" xr:uid="{00000000-0005-0000-0000-00007E090000}"/>
    <cellStyle name="Calculation 2 3 2 3 4 5" xfId="2711" xr:uid="{00000000-0005-0000-0000-00007F090000}"/>
    <cellStyle name="Calculation 2 3 2 3 4 6" xfId="2712" xr:uid="{00000000-0005-0000-0000-000080090000}"/>
    <cellStyle name="Calculation 2 3 2 3 4 7" xfId="2713" xr:uid="{00000000-0005-0000-0000-000081090000}"/>
    <cellStyle name="Calculation 2 3 2 3 5" xfId="2714" xr:uid="{00000000-0005-0000-0000-000082090000}"/>
    <cellStyle name="Calculation 2 3 2 3 5 2" xfId="2715" xr:uid="{00000000-0005-0000-0000-000083090000}"/>
    <cellStyle name="Calculation 2 3 2 3 5 2 2" xfId="2716" xr:uid="{00000000-0005-0000-0000-000084090000}"/>
    <cellStyle name="Calculation 2 3 2 3 5 3" xfId="2717" xr:uid="{00000000-0005-0000-0000-000085090000}"/>
    <cellStyle name="Calculation 2 3 2 3 5 3 2" xfId="2718" xr:uid="{00000000-0005-0000-0000-000086090000}"/>
    <cellStyle name="Calculation 2 3 2 3 5 4" xfId="2719" xr:uid="{00000000-0005-0000-0000-000087090000}"/>
    <cellStyle name="Calculation 2 3 2 3 5 5" xfId="2720" xr:uid="{00000000-0005-0000-0000-000088090000}"/>
    <cellStyle name="Calculation 2 3 2 3 5 6" xfId="2721" xr:uid="{00000000-0005-0000-0000-000089090000}"/>
    <cellStyle name="Calculation 2 3 2 3 6" xfId="2722" xr:uid="{00000000-0005-0000-0000-00008A090000}"/>
    <cellStyle name="Calculation 2 3 2 3 6 2" xfId="2723" xr:uid="{00000000-0005-0000-0000-00008B090000}"/>
    <cellStyle name="Calculation 2 3 2 3 7" xfId="2724" xr:uid="{00000000-0005-0000-0000-00008C090000}"/>
    <cellStyle name="Calculation 2 3 2 3 7 2" xfId="2725" xr:uid="{00000000-0005-0000-0000-00008D090000}"/>
    <cellStyle name="Calculation 2 3 2 3 8" xfId="2726" xr:uid="{00000000-0005-0000-0000-00008E090000}"/>
    <cellStyle name="Calculation 2 3 2 3 9" xfId="2727" xr:uid="{00000000-0005-0000-0000-00008F090000}"/>
    <cellStyle name="Calculation 2 3 2 4" xfId="2728" xr:uid="{00000000-0005-0000-0000-000090090000}"/>
    <cellStyle name="Calculation 2 3 2 4 10" xfId="2729" xr:uid="{00000000-0005-0000-0000-000091090000}"/>
    <cellStyle name="Calculation 2 3 2 4 2" xfId="2730" xr:uid="{00000000-0005-0000-0000-000092090000}"/>
    <cellStyle name="Calculation 2 3 2 4 2 2" xfId="2731" xr:uid="{00000000-0005-0000-0000-000093090000}"/>
    <cellStyle name="Calculation 2 3 2 4 2 2 2" xfId="2732" xr:uid="{00000000-0005-0000-0000-000094090000}"/>
    <cellStyle name="Calculation 2 3 2 4 2 2 2 2" xfId="2733" xr:uid="{00000000-0005-0000-0000-000095090000}"/>
    <cellStyle name="Calculation 2 3 2 4 2 2 2 2 2" xfId="2734" xr:uid="{00000000-0005-0000-0000-000096090000}"/>
    <cellStyle name="Calculation 2 3 2 4 2 2 2 3" xfId="2735" xr:uid="{00000000-0005-0000-0000-000097090000}"/>
    <cellStyle name="Calculation 2 3 2 4 2 2 2 3 2" xfId="2736" xr:uid="{00000000-0005-0000-0000-000098090000}"/>
    <cellStyle name="Calculation 2 3 2 4 2 2 2 4" xfId="2737" xr:uid="{00000000-0005-0000-0000-000099090000}"/>
    <cellStyle name="Calculation 2 3 2 4 2 2 2 5" xfId="2738" xr:uid="{00000000-0005-0000-0000-00009A090000}"/>
    <cellStyle name="Calculation 2 3 2 4 2 2 2 6" xfId="2739" xr:uid="{00000000-0005-0000-0000-00009B090000}"/>
    <cellStyle name="Calculation 2 3 2 4 2 2 3" xfId="2740" xr:uid="{00000000-0005-0000-0000-00009C090000}"/>
    <cellStyle name="Calculation 2 3 2 4 2 2 3 2" xfId="2741" xr:uid="{00000000-0005-0000-0000-00009D090000}"/>
    <cellStyle name="Calculation 2 3 2 4 2 2 4" xfId="2742" xr:uid="{00000000-0005-0000-0000-00009E090000}"/>
    <cellStyle name="Calculation 2 3 2 4 2 2 4 2" xfId="2743" xr:uid="{00000000-0005-0000-0000-00009F090000}"/>
    <cellStyle name="Calculation 2 3 2 4 2 2 5" xfId="2744" xr:uid="{00000000-0005-0000-0000-0000A0090000}"/>
    <cellStyle name="Calculation 2 3 2 4 2 2 6" xfId="2745" xr:uid="{00000000-0005-0000-0000-0000A1090000}"/>
    <cellStyle name="Calculation 2 3 2 4 2 2 7" xfId="2746" xr:uid="{00000000-0005-0000-0000-0000A2090000}"/>
    <cellStyle name="Calculation 2 3 2 4 2 3" xfId="2747" xr:uid="{00000000-0005-0000-0000-0000A3090000}"/>
    <cellStyle name="Calculation 2 3 2 4 2 3 2" xfId="2748" xr:uid="{00000000-0005-0000-0000-0000A4090000}"/>
    <cellStyle name="Calculation 2 3 2 4 2 3 2 2" xfId="2749" xr:uid="{00000000-0005-0000-0000-0000A5090000}"/>
    <cellStyle name="Calculation 2 3 2 4 2 3 3" xfId="2750" xr:uid="{00000000-0005-0000-0000-0000A6090000}"/>
    <cellStyle name="Calculation 2 3 2 4 2 3 3 2" xfId="2751" xr:uid="{00000000-0005-0000-0000-0000A7090000}"/>
    <cellStyle name="Calculation 2 3 2 4 2 3 4" xfId="2752" xr:uid="{00000000-0005-0000-0000-0000A8090000}"/>
    <cellStyle name="Calculation 2 3 2 4 2 3 5" xfId="2753" xr:uid="{00000000-0005-0000-0000-0000A9090000}"/>
    <cellStyle name="Calculation 2 3 2 4 2 3 6" xfId="2754" xr:uid="{00000000-0005-0000-0000-0000AA090000}"/>
    <cellStyle name="Calculation 2 3 2 4 2 4" xfId="2755" xr:uid="{00000000-0005-0000-0000-0000AB090000}"/>
    <cellStyle name="Calculation 2 3 2 4 2 4 2" xfId="2756" xr:uid="{00000000-0005-0000-0000-0000AC090000}"/>
    <cellStyle name="Calculation 2 3 2 4 2 5" xfId="2757" xr:uid="{00000000-0005-0000-0000-0000AD090000}"/>
    <cellStyle name="Calculation 2 3 2 4 2 5 2" xfId="2758" xr:uid="{00000000-0005-0000-0000-0000AE090000}"/>
    <cellStyle name="Calculation 2 3 2 4 2 6" xfId="2759" xr:uid="{00000000-0005-0000-0000-0000AF090000}"/>
    <cellStyle name="Calculation 2 3 2 4 2 7" xfId="2760" xr:uid="{00000000-0005-0000-0000-0000B0090000}"/>
    <cellStyle name="Calculation 2 3 2 4 2 8" xfId="2761" xr:uid="{00000000-0005-0000-0000-0000B1090000}"/>
    <cellStyle name="Calculation 2 3 2 4 3" xfId="2762" xr:uid="{00000000-0005-0000-0000-0000B2090000}"/>
    <cellStyle name="Calculation 2 3 2 4 3 2" xfId="2763" xr:uid="{00000000-0005-0000-0000-0000B3090000}"/>
    <cellStyle name="Calculation 2 3 2 4 3 2 2" xfId="2764" xr:uid="{00000000-0005-0000-0000-0000B4090000}"/>
    <cellStyle name="Calculation 2 3 2 4 3 2 2 2" xfId="2765" xr:uid="{00000000-0005-0000-0000-0000B5090000}"/>
    <cellStyle name="Calculation 2 3 2 4 3 2 2 2 2" xfId="2766" xr:uid="{00000000-0005-0000-0000-0000B6090000}"/>
    <cellStyle name="Calculation 2 3 2 4 3 2 2 3" xfId="2767" xr:uid="{00000000-0005-0000-0000-0000B7090000}"/>
    <cellStyle name="Calculation 2 3 2 4 3 2 2 3 2" xfId="2768" xr:uid="{00000000-0005-0000-0000-0000B8090000}"/>
    <cellStyle name="Calculation 2 3 2 4 3 2 2 4" xfId="2769" xr:uid="{00000000-0005-0000-0000-0000B9090000}"/>
    <cellStyle name="Calculation 2 3 2 4 3 2 2 5" xfId="2770" xr:uid="{00000000-0005-0000-0000-0000BA090000}"/>
    <cellStyle name="Calculation 2 3 2 4 3 2 2 6" xfId="2771" xr:uid="{00000000-0005-0000-0000-0000BB090000}"/>
    <cellStyle name="Calculation 2 3 2 4 3 2 3" xfId="2772" xr:uid="{00000000-0005-0000-0000-0000BC090000}"/>
    <cellStyle name="Calculation 2 3 2 4 3 2 3 2" xfId="2773" xr:uid="{00000000-0005-0000-0000-0000BD090000}"/>
    <cellStyle name="Calculation 2 3 2 4 3 2 4" xfId="2774" xr:uid="{00000000-0005-0000-0000-0000BE090000}"/>
    <cellStyle name="Calculation 2 3 2 4 3 2 4 2" xfId="2775" xr:uid="{00000000-0005-0000-0000-0000BF090000}"/>
    <cellStyle name="Calculation 2 3 2 4 3 2 5" xfId="2776" xr:uid="{00000000-0005-0000-0000-0000C0090000}"/>
    <cellStyle name="Calculation 2 3 2 4 3 2 6" xfId="2777" xr:uid="{00000000-0005-0000-0000-0000C1090000}"/>
    <cellStyle name="Calculation 2 3 2 4 3 2 7" xfId="2778" xr:uid="{00000000-0005-0000-0000-0000C2090000}"/>
    <cellStyle name="Calculation 2 3 2 4 3 3" xfId="2779" xr:uid="{00000000-0005-0000-0000-0000C3090000}"/>
    <cellStyle name="Calculation 2 3 2 4 3 3 2" xfId="2780" xr:uid="{00000000-0005-0000-0000-0000C4090000}"/>
    <cellStyle name="Calculation 2 3 2 4 3 3 2 2" xfId="2781" xr:uid="{00000000-0005-0000-0000-0000C5090000}"/>
    <cellStyle name="Calculation 2 3 2 4 3 3 3" xfId="2782" xr:uid="{00000000-0005-0000-0000-0000C6090000}"/>
    <cellStyle name="Calculation 2 3 2 4 3 3 3 2" xfId="2783" xr:uid="{00000000-0005-0000-0000-0000C7090000}"/>
    <cellStyle name="Calculation 2 3 2 4 3 3 4" xfId="2784" xr:uid="{00000000-0005-0000-0000-0000C8090000}"/>
    <cellStyle name="Calculation 2 3 2 4 3 3 5" xfId="2785" xr:uid="{00000000-0005-0000-0000-0000C9090000}"/>
    <cellStyle name="Calculation 2 3 2 4 3 3 6" xfId="2786" xr:uid="{00000000-0005-0000-0000-0000CA090000}"/>
    <cellStyle name="Calculation 2 3 2 4 3 4" xfId="2787" xr:uid="{00000000-0005-0000-0000-0000CB090000}"/>
    <cellStyle name="Calculation 2 3 2 4 3 4 2" xfId="2788" xr:uid="{00000000-0005-0000-0000-0000CC090000}"/>
    <cellStyle name="Calculation 2 3 2 4 3 5" xfId="2789" xr:uid="{00000000-0005-0000-0000-0000CD090000}"/>
    <cellStyle name="Calculation 2 3 2 4 3 5 2" xfId="2790" xr:uid="{00000000-0005-0000-0000-0000CE090000}"/>
    <cellStyle name="Calculation 2 3 2 4 3 6" xfId="2791" xr:uid="{00000000-0005-0000-0000-0000CF090000}"/>
    <cellStyle name="Calculation 2 3 2 4 3 7" xfId="2792" xr:uid="{00000000-0005-0000-0000-0000D0090000}"/>
    <cellStyle name="Calculation 2 3 2 4 3 8" xfId="2793" xr:uid="{00000000-0005-0000-0000-0000D1090000}"/>
    <cellStyle name="Calculation 2 3 2 4 4" xfId="2794" xr:uid="{00000000-0005-0000-0000-0000D2090000}"/>
    <cellStyle name="Calculation 2 3 2 4 4 2" xfId="2795" xr:uid="{00000000-0005-0000-0000-0000D3090000}"/>
    <cellStyle name="Calculation 2 3 2 4 4 2 2" xfId="2796" xr:uid="{00000000-0005-0000-0000-0000D4090000}"/>
    <cellStyle name="Calculation 2 3 2 4 4 2 2 2" xfId="2797" xr:uid="{00000000-0005-0000-0000-0000D5090000}"/>
    <cellStyle name="Calculation 2 3 2 4 4 2 3" xfId="2798" xr:uid="{00000000-0005-0000-0000-0000D6090000}"/>
    <cellStyle name="Calculation 2 3 2 4 4 2 3 2" xfId="2799" xr:uid="{00000000-0005-0000-0000-0000D7090000}"/>
    <cellStyle name="Calculation 2 3 2 4 4 2 4" xfId="2800" xr:uid="{00000000-0005-0000-0000-0000D8090000}"/>
    <cellStyle name="Calculation 2 3 2 4 4 2 5" xfId="2801" xr:uid="{00000000-0005-0000-0000-0000D9090000}"/>
    <cellStyle name="Calculation 2 3 2 4 4 2 6" xfId="2802" xr:uid="{00000000-0005-0000-0000-0000DA090000}"/>
    <cellStyle name="Calculation 2 3 2 4 4 3" xfId="2803" xr:uid="{00000000-0005-0000-0000-0000DB090000}"/>
    <cellStyle name="Calculation 2 3 2 4 4 3 2" xfId="2804" xr:uid="{00000000-0005-0000-0000-0000DC090000}"/>
    <cellStyle name="Calculation 2 3 2 4 4 4" xfId="2805" xr:uid="{00000000-0005-0000-0000-0000DD090000}"/>
    <cellStyle name="Calculation 2 3 2 4 4 4 2" xfId="2806" xr:uid="{00000000-0005-0000-0000-0000DE090000}"/>
    <cellStyle name="Calculation 2 3 2 4 4 5" xfId="2807" xr:uid="{00000000-0005-0000-0000-0000DF090000}"/>
    <cellStyle name="Calculation 2 3 2 4 4 6" xfId="2808" xr:uid="{00000000-0005-0000-0000-0000E0090000}"/>
    <cellStyle name="Calculation 2 3 2 4 4 7" xfId="2809" xr:uid="{00000000-0005-0000-0000-0000E1090000}"/>
    <cellStyle name="Calculation 2 3 2 4 5" xfId="2810" xr:uid="{00000000-0005-0000-0000-0000E2090000}"/>
    <cellStyle name="Calculation 2 3 2 4 5 2" xfId="2811" xr:uid="{00000000-0005-0000-0000-0000E3090000}"/>
    <cellStyle name="Calculation 2 3 2 4 5 2 2" xfId="2812" xr:uid="{00000000-0005-0000-0000-0000E4090000}"/>
    <cellStyle name="Calculation 2 3 2 4 5 3" xfId="2813" xr:uid="{00000000-0005-0000-0000-0000E5090000}"/>
    <cellStyle name="Calculation 2 3 2 4 5 3 2" xfId="2814" xr:uid="{00000000-0005-0000-0000-0000E6090000}"/>
    <cellStyle name="Calculation 2 3 2 4 5 4" xfId="2815" xr:uid="{00000000-0005-0000-0000-0000E7090000}"/>
    <cellStyle name="Calculation 2 3 2 4 5 5" xfId="2816" xr:uid="{00000000-0005-0000-0000-0000E8090000}"/>
    <cellStyle name="Calculation 2 3 2 4 5 6" xfId="2817" xr:uid="{00000000-0005-0000-0000-0000E9090000}"/>
    <cellStyle name="Calculation 2 3 2 4 6" xfId="2818" xr:uid="{00000000-0005-0000-0000-0000EA090000}"/>
    <cellStyle name="Calculation 2 3 2 4 6 2" xfId="2819" xr:uid="{00000000-0005-0000-0000-0000EB090000}"/>
    <cellStyle name="Calculation 2 3 2 4 7" xfId="2820" xr:uid="{00000000-0005-0000-0000-0000EC090000}"/>
    <cellStyle name="Calculation 2 3 2 4 7 2" xfId="2821" xr:uid="{00000000-0005-0000-0000-0000ED090000}"/>
    <cellStyle name="Calculation 2 3 2 4 8" xfId="2822" xr:uid="{00000000-0005-0000-0000-0000EE090000}"/>
    <cellStyle name="Calculation 2 3 2 4 9" xfId="2823" xr:uid="{00000000-0005-0000-0000-0000EF090000}"/>
    <cellStyle name="Calculation 2 3 2 5" xfId="2824" xr:uid="{00000000-0005-0000-0000-0000F0090000}"/>
    <cellStyle name="Calculation 2 3 2 5 2" xfId="2825" xr:uid="{00000000-0005-0000-0000-0000F1090000}"/>
    <cellStyle name="Calculation 2 3 2 5 2 2" xfId="2826" xr:uid="{00000000-0005-0000-0000-0000F2090000}"/>
    <cellStyle name="Calculation 2 3 2 5 2 2 2" xfId="2827" xr:uid="{00000000-0005-0000-0000-0000F3090000}"/>
    <cellStyle name="Calculation 2 3 2 5 2 2 2 2" xfId="2828" xr:uid="{00000000-0005-0000-0000-0000F4090000}"/>
    <cellStyle name="Calculation 2 3 2 5 2 2 3" xfId="2829" xr:uid="{00000000-0005-0000-0000-0000F5090000}"/>
    <cellStyle name="Calculation 2 3 2 5 2 2 3 2" xfId="2830" xr:uid="{00000000-0005-0000-0000-0000F6090000}"/>
    <cellStyle name="Calculation 2 3 2 5 2 2 4" xfId="2831" xr:uid="{00000000-0005-0000-0000-0000F7090000}"/>
    <cellStyle name="Calculation 2 3 2 5 2 2 5" xfId="2832" xr:uid="{00000000-0005-0000-0000-0000F8090000}"/>
    <cellStyle name="Calculation 2 3 2 5 2 2 6" xfId="2833" xr:uid="{00000000-0005-0000-0000-0000F9090000}"/>
    <cellStyle name="Calculation 2 3 2 5 2 3" xfId="2834" xr:uid="{00000000-0005-0000-0000-0000FA090000}"/>
    <cellStyle name="Calculation 2 3 2 5 2 3 2" xfId="2835" xr:uid="{00000000-0005-0000-0000-0000FB090000}"/>
    <cellStyle name="Calculation 2 3 2 5 2 4" xfId="2836" xr:uid="{00000000-0005-0000-0000-0000FC090000}"/>
    <cellStyle name="Calculation 2 3 2 5 2 4 2" xfId="2837" xr:uid="{00000000-0005-0000-0000-0000FD090000}"/>
    <cellStyle name="Calculation 2 3 2 5 2 5" xfId="2838" xr:uid="{00000000-0005-0000-0000-0000FE090000}"/>
    <cellStyle name="Calculation 2 3 2 5 2 6" xfId="2839" xr:uid="{00000000-0005-0000-0000-0000FF090000}"/>
    <cellStyle name="Calculation 2 3 2 5 2 7" xfId="2840" xr:uid="{00000000-0005-0000-0000-0000000A0000}"/>
    <cellStyle name="Calculation 2 3 2 5 3" xfId="2841" xr:uid="{00000000-0005-0000-0000-0000010A0000}"/>
    <cellStyle name="Calculation 2 3 2 5 3 2" xfId="2842" xr:uid="{00000000-0005-0000-0000-0000020A0000}"/>
    <cellStyle name="Calculation 2 3 2 5 3 2 2" xfId="2843" xr:uid="{00000000-0005-0000-0000-0000030A0000}"/>
    <cellStyle name="Calculation 2 3 2 5 3 3" xfId="2844" xr:uid="{00000000-0005-0000-0000-0000040A0000}"/>
    <cellStyle name="Calculation 2 3 2 5 3 3 2" xfId="2845" xr:uid="{00000000-0005-0000-0000-0000050A0000}"/>
    <cellStyle name="Calculation 2 3 2 5 3 4" xfId="2846" xr:uid="{00000000-0005-0000-0000-0000060A0000}"/>
    <cellStyle name="Calculation 2 3 2 5 3 5" xfId="2847" xr:uid="{00000000-0005-0000-0000-0000070A0000}"/>
    <cellStyle name="Calculation 2 3 2 5 3 6" xfId="2848" xr:uid="{00000000-0005-0000-0000-0000080A0000}"/>
    <cellStyle name="Calculation 2 3 2 5 4" xfId="2849" xr:uid="{00000000-0005-0000-0000-0000090A0000}"/>
    <cellStyle name="Calculation 2 3 2 5 4 2" xfId="2850" xr:uid="{00000000-0005-0000-0000-00000A0A0000}"/>
    <cellStyle name="Calculation 2 3 2 5 5" xfId="2851" xr:uid="{00000000-0005-0000-0000-00000B0A0000}"/>
    <cellStyle name="Calculation 2 3 2 5 5 2" xfId="2852" xr:uid="{00000000-0005-0000-0000-00000C0A0000}"/>
    <cellStyle name="Calculation 2 3 2 5 6" xfId="2853" xr:uid="{00000000-0005-0000-0000-00000D0A0000}"/>
    <cellStyle name="Calculation 2 3 2 5 7" xfId="2854" xr:uid="{00000000-0005-0000-0000-00000E0A0000}"/>
    <cellStyle name="Calculation 2 3 2 5 8" xfId="2855" xr:uid="{00000000-0005-0000-0000-00000F0A0000}"/>
    <cellStyle name="Calculation 2 3 2 6" xfId="2856" xr:uid="{00000000-0005-0000-0000-0000100A0000}"/>
    <cellStyle name="Calculation 2 3 2 6 2" xfId="2857" xr:uid="{00000000-0005-0000-0000-0000110A0000}"/>
    <cellStyle name="Calculation 2 3 2 6 2 2" xfId="2858" xr:uid="{00000000-0005-0000-0000-0000120A0000}"/>
    <cellStyle name="Calculation 2 3 2 6 2 2 2" xfId="2859" xr:uid="{00000000-0005-0000-0000-0000130A0000}"/>
    <cellStyle name="Calculation 2 3 2 6 2 3" xfId="2860" xr:uid="{00000000-0005-0000-0000-0000140A0000}"/>
    <cellStyle name="Calculation 2 3 2 6 2 3 2" xfId="2861" xr:uid="{00000000-0005-0000-0000-0000150A0000}"/>
    <cellStyle name="Calculation 2 3 2 6 2 4" xfId="2862" xr:uid="{00000000-0005-0000-0000-0000160A0000}"/>
    <cellStyle name="Calculation 2 3 2 6 2 5" xfId="2863" xr:uid="{00000000-0005-0000-0000-0000170A0000}"/>
    <cellStyle name="Calculation 2 3 2 6 2 6" xfId="2864" xr:uid="{00000000-0005-0000-0000-0000180A0000}"/>
    <cellStyle name="Calculation 2 3 2 6 3" xfId="2865" xr:uid="{00000000-0005-0000-0000-0000190A0000}"/>
    <cellStyle name="Calculation 2 3 2 6 3 2" xfId="2866" xr:uid="{00000000-0005-0000-0000-00001A0A0000}"/>
    <cellStyle name="Calculation 2 3 2 6 4" xfId="2867" xr:uid="{00000000-0005-0000-0000-00001B0A0000}"/>
    <cellStyle name="Calculation 2 3 2 6 4 2" xfId="2868" xr:uid="{00000000-0005-0000-0000-00001C0A0000}"/>
    <cellStyle name="Calculation 2 3 2 6 5" xfId="2869" xr:uid="{00000000-0005-0000-0000-00001D0A0000}"/>
    <cellStyle name="Calculation 2 3 2 6 6" xfId="2870" xr:uid="{00000000-0005-0000-0000-00001E0A0000}"/>
    <cellStyle name="Calculation 2 3 2 6 7" xfId="2871" xr:uid="{00000000-0005-0000-0000-00001F0A0000}"/>
    <cellStyle name="Calculation 2 3 2 7" xfId="2872" xr:uid="{00000000-0005-0000-0000-0000200A0000}"/>
    <cellStyle name="Calculation 2 3 2 7 2" xfId="2873" xr:uid="{00000000-0005-0000-0000-0000210A0000}"/>
    <cellStyle name="Calculation 2 3 2 7 2 2" xfId="2874" xr:uid="{00000000-0005-0000-0000-0000220A0000}"/>
    <cellStyle name="Calculation 2 3 2 7 3" xfId="2875" xr:uid="{00000000-0005-0000-0000-0000230A0000}"/>
    <cellStyle name="Calculation 2 3 2 7 3 2" xfId="2876" xr:uid="{00000000-0005-0000-0000-0000240A0000}"/>
    <cellStyle name="Calculation 2 3 2 7 4" xfId="2877" xr:uid="{00000000-0005-0000-0000-0000250A0000}"/>
    <cellStyle name="Calculation 2 3 2 7 5" xfId="2878" xr:uid="{00000000-0005-0000-0000-0000260A0000}"/>
    <cellStyle name="Calculation 2 3 2 7 6" xfId="2879" xr:uid="{00000000-0005-0000-0000-0000270A0000}"/>
    <cellStyle name="Calculation 2 3 2 8" xfId="2880" xr:uid="{00000000-0005-0000-0000-0000280A0000}"/>
    <cellStyle name="Calculation 2 3 2 8 2" xfId="2881" xr:uid="{00000000-0005-0000-0000-0000290A0000}"/>
    <cellStyle name="Calculation 2 3 2 9" xfId="2882" xr:uid="{00000000-0005-0000-0000-00002A0A0000}"/>
    <cellStyle name="Calculation 2 3 2 9 2" xfId="2883" xr:uid="{00000000-0005-0000-0000-00002B0A0000}"/>
    <cellStyle name="Calculation 2 3 3" xfId="2884" xr:uid="{00000000-0005-0000-0000-00002C0A0000}"/>
    <cellStyle name="Calculation 2 3 3 10" xfId="2885" xr:uid="{00000000-0005-0000-0000-00002D0A0000}"/>
    <cellStyle name="Calculation 2 3 3 11" xfId="2886" xr:uid="{00000000-0005-0000-0000-00002E0A0000}"/>
    <cellStyle name="Calculation 2 3 3 2" xfId="2887" xr:uid="{00000000-0005-0000-0000-00002F0A0000}"/>
    <cellStyle name="Calculation 2 3 3 2 10" xfId="2888" xr:uid="{00000000-0005-0000-0000-0000300A0000}"/>
    <cellStyle name="Calculation 2 3 3 2 2" xfId="2889" xr:uid="{00000000-0005-0000-0000-0000310A0000}"/>
    <cellStyle name="Calculation 2 3 3 2 2 10" xfId="2890" xr:uid="{00000000-0005-0000-0000-0000320A0000}"/>
    <cellStyle name="Calculation 2 3 3 2 2 2" xfId="2891" xr:uid="{00000000-0005-0000-0000-0000330A0000}"/>
    <cellStyle name="Calculation 2 3 3 2 2 2 2" xfId="2892" xr:uid="{00000000-0005-0000-0000-0000340A0000}"/>
    <cellStyle name="Calculation 2 3 3 2 2 2 2 2" xfId="2893" xr:uid="{00000000-0005-0000-0000-0000350A0000}"/>
    <cellStyle name="Calculation 2 3 3 2 2 2 2 2 2" xfId="2894" xr:uid="{00000000-0005-0000-0000-0000360A0000}"/>
    <cellStyle name="Calculation 2 3 3 2 2 2 2 2 2 2" xfId="2895" xr:uid="{00000000-0005-0000-0000-0000370A0000}"/>
    <cellStyle name="Calculation 2 3 3 2 2 2 2 2 3" xfId="2896" xr:uid="{00000000-0005-0000-0000-0000380A0000}"/>
    <cellStyle name="Calculation 2 3 3 2 2 2 2 2 3 2" xfId="2897" xr:uid="{00000000-0005-0000-0000-0000390A0000}"/>
    <cellStyle name="Calculation 2 3 3 2 2 2 2 2 4" xfId="2898" xr:uid="{00000000-0005-0000-0000-00003A0A0000}"/>
    <cellStyle name="Calculation 2 3 3 2 2 2 2 2 5" xfId="2899" xr:uid="{00000000-0005-0000-0000-00003B0A0000}"/>
    <cellStyle name="Calculation 2 3 3 2 2 2 2 2 6" xfId="2900" xr:uid="{00000000-0005-0000-0000-00003C0A0000}"/>
    <cellStyle name="Calculation 2 3 3 2 2 2 2 3" xfId="2901" xr:uid="{00000000-0005-0000-0000-00003D0A0000}"/>
    <cellStyle name="Calculation 2 3 3 2 2 2 2 3 2" xfId="2902" xr:uid="{00000000-0005-0000-0000-00003E0A0000}"/>
    <cellStyle name="Calculation 2 3 3 2 2 2 2 4" xfId="2903" xr:uid="{00000000-0005-0000-0000-00003F0A0000}"/>
    <cellStyle name="Calculation 2 3 3 2 2 2 2 4 2" xfId="2904" xr:uid="{00000000-0005-0000-0000-0000400A0000}"/>
    <cellStyle name="Calculation 2 3 3 2 2 2 2 5" xfId="2905" xr:uid="{00000000-0005-0000-0000-0000410A0000}"/>
    <cellStyle name="Calculation 2 3 3 2 2 2 2 6" xfId="2906" xr:uid="{00000000-0005-0000-0000-0000420A0000}"/>
    <cellStyle name="Calculation 2 3 3 2 2 2 2 7" xfId="2907" xr:uid="{00000000-0005-0000-0000-0000430A0000}"/>
    <cellStyle name="Calculation 2 3 3 2 2 2 3" xfId="2908" xr:uid="{00000000-0005-0000-0000-0000440A0000}"/>
    <cellStyle name="Calculation 2 3 3 2 2 2 3 2" xfId="2909" xr:uid="{00000000-0005-0000-0000-0000450A0000}"/>
    <cellStyle name="Calculation 2 3 3 2 2 2 3 2 2" xfId="2910" xr:uid="{00000000-0005-0000-0000-0000460A0000}"/>
    <cellStyle name="Calculation 2 3 3 2 2 2 3 3" xfId="2911" xr:uid="{00000000-0005-0000-0000-0000470A0000}"/>
    <cellStyle name="Calculation 2 3 3 2 2 2 3 3 2" xfId="2912" xr:uid="{00000000-0005-0000-0000-0000480A0000}"/>
    <cellStyle name="Calculation 2 3 3 2 2 2 3 4" xfId="2913" xr:uid="{00000000-0005-0000-0000-0000490A0000}"/>
    <cellStyle name="Calculation 2 3 3 2 2 2 3 5" xfId="2914" xr:uid="{00000000-0005-0000-0000-00004A0A0000}"/>
    <cellStyle name="Calculation 2 3 3 2 2 2 3 6" xfId="2915" xr:uid="{00000000-0005-0000-0000-00004B0A0000}"/>
    <cellStyle name="Calculation 2 3 3 2 2 2 4" xfId="2916" xr:uid="{00000000-0005-0000-0000-00004C0A0000}"/>
    <cellStyle name="Calculation 2 3 3 2 2 2 4 2" xfId="2917" xr:uid="{00000000-0005-0000-0000-00004D0A0000}"/>
    <cellStyle name="Calculation 2 3 3 2 2 2 5" xfId="2918" xr:uid="{00000000-0005-0000-0000-00004E0A0000}"/>
    <cellStyle name="Calculation 2 3 3 2 2 2 5 2" xfId="2919" xr:uid="{00000000-0005-0000-0000-00004F0A0000}"/>
    <cellStyle name="Calculation 2 3 3 2 2 2 6" xfId="2920" xr:uid="{00000000-0005-0000-0000-0000500A0000}"/>
    <cellStyle name="Calculation 2 3 3 2 2 2 7" xfId="2921" xr:uid="{00000000-0005-0000-0000-0000510A0000}"/>
    <cellStyle name="Calculation 2 3 3 2 2 2 8" xfId="2922" xr:uid="{00000000-0005-0000-0000-0000520A0000}"/>
    <cellStyle name="Calculation 2 3 3 2 2 3" xfId="2923" xr:uid="{00000000-0005-0000-0000-0000530A0000}"/>
    <cellStyle name="Calculation 2 3 3 2 2 3 2" xfId="2924" xr:uid="{00000000-0005-0000-0000-0000540A0000}"/>
    <cellStyle name="Calculation 2 3 3 2 2 3 2 2" xfId="2925" xr:uid="{00000000-0005-0000-0000-0000550A0000}"/>
    <cellStyle name="Calculation 2 3 3 2 2 3 2 2 2" xfId="2926" xr:uid="{00000000-0005-0000-0000-0000560A0000}"/>
    <cellStyle name="Calculation 2 3 3 2 2 3 2 2 2 2" xfId="2927" xr:uid="{00000000-0005-0000-0000-0000570A0000}"/>
    <cellStyle name="Calculation 2 3 3 2 2 3 2 2 3" xfId="2928" xr:uid="{00000000-0005-0000-0000-0000580A0000}"/>
    <cellStyle name="Calculation 2 3 3 2 2 3 2 2 3 2" xfId="2929" xr:uid="{00000000-0005-0000-0000-0000590A0000}"/>
    <cellStyle name="Calculation 2 3 3 2 2 3 2 2 4" xfId="2930" xr:uid="{00000000-0005-0000-0000-00005A0A0000}"/>
    <cellStyle name="Calculation 2 3 3 2 2 3 2 2 5" xfId="2931" xr:uid="{00000000-0005-0000-0000-00005B0A0000}"/>
    <cellStyle name="Calculation 2 3 3 2 2 3 2 2 6" xfId="2932" xr:uid="{00000000-0005-0000-0000-00005C0A0000}"/>
    <cellStyle name="Calculation 2 3 3 2 2 3 2 3" xfId="2933" xr:uid="{00000000-0005-0000-0000-00005D0A0000}"/>
    <cellStyle name="Calculation 2 3 3 2 2 3 2 3 2" xfId="2934" xr:uid="{00000000-0005-0000-0000-00005E0A0000}"/>
    <cellStyle name="Calculation 2 3 3 2 2 3 2 4" xfId="2935" xr:uid="{00000000-0005-0000-0000-00005F0A0000}"/>
    <cellStyle name="Calculation 2 3 3 2 2 3 2 4 2" xfId="2936" xr:uid="{00000000-0005-0000-0000-0000600A0000}"/>
    <cellStyle name="Calculation 2 3 3 2 2 3 2 5" xfId="2937" xr:uid="{00000000-0005-0000-0000-0000610A0000}"/>
    <cellStyle name="Calculation 2 3 3 2 2 3 2 6" xfId="2938" xr:uid="{00000000-0005-0000-0000-0000620A0000}"/>
    <cellStyle name="Calculation 2 3 3 2 2 3 2 7" xfId="2939" xr:uid="{00000000-0005-0000-0000-0000630A0000}"/>
    <cellStyle name="Calculation 2 3 3 2 2 3 3" xfId="2940" xr:uid="{00000000-0005-0000-0000-0000640A0000}"/>
    <cellStyle name="Calculation 2 3 3 2 2 3 3 2" xfId="2941" xr:uid="{00000000-0005-0000-0000-0000650A0000}"/>
    <cellStyle name="Calculation 2 3 3 2 2 3 3 2 2" xfId="2942" xr:uid="{00000000-0005-0000-0000-0000660A0000}"/>
    <cellStyle name="Calculation 2 3 3 2 2 3 3 3" xfId="2943" xr:uid="{00000000-0005-0000-0000-0000670A0000}"/>
    <cellStyle name="Calculation 2 3 3 2 2 3 3 3 2" xfId="2944" xr:uid="{00000000-0005-0000-0000-0000680A0000}"/>
    <cellStyle name="Calculation 2 3 3 2 2 3 3 4" xfId="2945" xr:uid="{00000000-0005-0000-0000-0000690A0000}"/>
    <cellStyle name="Calculation 2 3 3 2 2 3 3 5" xfId="2946" xr:uid="{00000000-0005-0000-0000-00006A0A0000}"/>
    <cellStyle name="Calculation 2 3 3 2 2 3 3 6" xfId="2947" xr:uid="{00000000-0005-0000-0000-00006B0A0000}"/>
    <cellStyle name="Calculation 2 3 3 2 2 3 4" xfId="2948" xr:uid="{00000000-0005-0000-0000-00006C0A0000}"/>
    <cellStyle name="Calculation 2 3 3 2 2 3 4 2" xfId="2949" xr:uid="{00000000-0005-0000-0000-00006D0A0000}"/>
    <cellStyle name="Calculation 2 3 3 2 2 3 5" xfId="2950" xr:uid="{00000000-0005-0000-0000-00006E0A0000}"/>
    <cellStyle name="Calculation 2 3 3 2 2 3 5 2" xfId="2951" xr:uid="{00000000-0005-0000-0000-00006F0A0000}"/>
    <cellStyle name="Calculation 2 3 3 2 2 3 6" xfId="2952" xr:uid="{00000000-0005-0000-0000-0000700A0000}"/>
    <cellStyle name="Calculation 2 3 3 2 2 3 7" xfId="2953" xr:uid="{00000000-0005-0000-0000-0000710A0000}"/>
    <cellStyle name="Calculation 2 3 3 2 2 3 8" xfId="2954" xr:uid="{00000000-0005-0000-0000-0000720A0000}"/>
    <cellStyle name="Calculation 2 3 3 2 2 4" xfId="2955" xr:uid="{00000000-0005-0000-0000-0000730A0000}"/>
    <cellStyle name="Calculation 2 3 3 2 2 4 2" xfId="2956" xr:uid="{00000000-0005-0000-0000-0000740A0000}"/>
    <cellStyle name="Calculation 2 3 3 2 2 4 2 2" xfId="2957" xr:uid="{00000000-0005-0000-0000-0000750A0000}"/>
    <cellStyle name="Calculation 2 3 3 2 2 4 2 2 2" xfId="2958" xr:uid="{00000000-0005-0000-0000-0000760A0000}"/>
    <cellStyle name="Calculation 2 3 3 2 2 4 2 3" xfId="2959" xr:uid="{00000000-0005-0000-0000-0000770A0000}"/>
    <cellStyle name="Calculation 2 3 3 2 2 4 2 3 2" xfId="2960" xr:uid="{00000000-0005-0000-0000-0000780A0000}"/>
    <cellStyle name="Calculation 2 3 3 2 2 4 2 4" xfId="2961" xr:uid="{00000000-0005-0000-0000-0000790A0000}"/>
    <cellStyle name="Calculation 2 3 3 2 2 4 2 5" xfId="2962" xr:uid="{00000000-0005-0000-0000-00007A0A0000}"/>
    <cellStyle name="Calculation 2 3 3 2 2 4 2 6" xfId="2963" xr:uid="{00000000-0005-0000-0000-00007B0A0000}"/>
    <cellStyle name="Calculation 2 3 3 2 2 4 3" xfId="2964" xr:uid="{00000000-0005-0000-0000-00007C0A0000}"/>
    <cellStyle name="Calculation 2 3 3 2 2 4 3 2" xfId="2965" xr:uid="{00000000-0005-0000-0000-00007D0A0000}"/>
    <cellStyle name="Calculation 2 3 3 2 2 4 4" xfId="2966" xr:uid="{00000000-0005-0000-0000-00007E0A0000}"/>
    <cellStyle name="Calculation 2 3 3 2 2 4 4 2" xfId="2967" xr:uid="{00000000-0005-0000-0000-00007F0A0000}"/>
    <cellStyle name="Calculation 2 3 3 2 2 4 5" xfId="2968" xr:uid="{00000000-0005-0000-0000-0000800A0000}"/>
    <cellStyle name="Calculation 2 3 3 2 2 4 6" xfId="2969" xr:uid="{00000000-0005-0000-0000-0000810A0000}"/>
    <cellStyle name="Calculation 2 3 3 2 2 4 7" xfId="2970" xr:uid="{00000000-0005-0000-0000-0000820A0000}"/>
    <cellStyle name="Calculation 2 3 3 2 2 5" xfId="2971" xr:uid="{00000000-0005-0000-0000-0000830A0000}"/>
    <cellStyle name="Calculation 2 3 3 2 2 5 2" xfId="2972" xr:uid="{00000000-0005-0000-0000-0000840A0000}"/>
    <cellStyle name="Calculation 2 3 3 2 2 5 2 2" xfId="2973" xr:uid="{00000000-0005-0000-0000-0000850A0000}"/>
    <cellStyle name="Calculation 2 3 3 2 2 5 3" xfId="2974" xr:uid="{00000000-0005-0000-0000-0000860A0000}"/>
    <cellStyle name="Calculation 2 3 3 2 2 5 3 2" xfId="2975" xr:uid="{00000000-0005-0000-0000-0000870A0000}"/>
    <cellStyle name="Calculation 2 3 3 2 2 5 4" xfId="2976" xr:uid="{00000000-0005-0000-0000-0000880A0000}"/>
    <cellStyle name="Calculation 2 3 3 2 2 5 5" xfId="2977" xr:uid="{00000000-0005-0000-0000-0000890A0000}"/>
    <cellStyle name="Calculation 2 3 3 2 2 5 6" xfId="2978" xr:uid="{00000000-0005-0000-0000-00008A0A0000}"/>
    <cellStyle name="Calculation 2 3 3 2 2 6" xfId="2979" xr:uid="{00000000-0005-0000-0000-00008B0A0000}"/>
    <cellStyle name="Calculation 2 3 3 2 2 6 2" xfId="2980" xr:uid="{00000000-0005-0000-0000-00008C0A0000}"/>
    <cellStyle name="Calculation 2 3 3 2 2 7" xfId="2981" xr:uid="{00000000-0005-0000-0000-00008D0A0000}"/>
    <cellStyle name="Calculation 2 3 3 2 2 7 2" xfId="2982" xr:uid="{00000000-0005-0000-0000-00008E0A0000}"/>
    <cellStyle name="Calculation 2 3 3 2 2 8" xfId="2983" xr:uid="{00000000-0005-0000-0000-00008F0A0000}"/>
    <cellStyle name="Calculation 2 3 3 2 2 9" xfId="2984" xr:uid="{00000000-0005-0000-0000-0000900A0000}"/>
    <cellStyle name="Calculation 2 3 3 2 3" xfId="2985" xr:uid="{00000000-0005-0000-0000-0000910A0000}"/>
    <cellStyle name="Calculation 2 3 3 2 3 2" xfId="2986" xr:uid="{00000000-0005-0000-0000-0000920A0000}"/>
    <cellStyle name="Calculation 2 3 3 2 3 2 2" xfId="2987" xr:uid="{00000000-0005-0000-0000-0000930A0000}"/>
    <cellStyle name="Calculation 2 3 3 2 3 2 2 2" xfId="2988" xr:uid="{00000000-0005-0000-0000-0000940A0000}"/>
    <cellStyle name="Calculation 2 3 3 2 3 2 2 2 2" xfId="2989" xr:uid="{00000000-0005-0000-0000-0000950A0000}"/>
    <cellStyle name="Calculation 2 3 3 2 3 2 2 3" xfId="2990" xr:uid="{00000000-0005-0000-0000-0000960A0000}"/>
    <cellStyle name="Calculation 2 3 3 2 3 2 2 3 2" xfId="2991" xr:uid="{00000000-0005-0000-0000-0000970A0000}"/>
    <cellStyle name="Calculation 2 3 3 2 3 2 2 4" xfId="2992" xr:uid="{00000000-0005-0000-0000-0000980A0000}"/>
    <cellStyle name="Calculation 2 3 3 2 3 2 2 5" xfId="2993" xr:uid="{00000000-0005-0000-0000-0000990A0000}"/>
    <cellStyle name="Calculation 2 3 3 2 3 2 2 6" xfId="2994" xr:uid="{00000000-0005-0000-0000-00009A0A0000}"/>
    <cellStyle name="Calculation 2 3 3 2 3 2 3" xfId="2995" xr:uid="{00000000-0005-0000-0000-00009B0A0000}"/>
    <cellStyle name="Calculation 2 3 3 2 3 2 3 2" xfId="2996" xr:uid="{00000000-0005-0000-0000-00009C0A0000}"/>
    <cellStyle name="Calculation 2 3 3 2 3 2 4" xfId="2997" xr:uid="{00000000-0005-0000-0000-00009D0A0000}"/>
    <cellStyle name="Calculation 2 3 3 2 3 2 4 2" xfId="2998" xr:uid="{00000000-0005-0000-0000-00009E0A0000}"/>
    <cellStyle name="Calculation 2 3 3 2 3 2 5" xfId="2999" xr:uid="{00000000-0005-0000-0000-00009F0A0000}"/>
    <cellStyle name="Calculation 2 3 3 2 3 2 6" xfId="3000" xr:uid="{00000000-0005-0000-0000-0000A00A0000}"/>
    <cellStyle name="Calculation 2 3 3 2 3 2 7" xfId="3001" xr:uid="{00000000-0005-0000-0000-0000A10A0000}"/>
    <cellStyle name="Calculation 2 3 3 2 3 3" xfId="3002" xr:uid="{00000000-0005-0000-0000-0000A20A0000}"/>
    <cellStyle name="Calculation 2 3 3 2 3 3 2" xfId="3003" xr:uid="{00000000-0005-0000-0000-0000A30A0000}"/>
    <cellStyle name="Calculation 2 3 3 2 3 3 2 2" xfId="3004" xr:uid="{00000000-0005-0000-0000-0000A40A0000}"/>
    <cellStyle name="Calculation 2 3 3 2 3 3 3" xfId="3005" xr:uid="{00000000-0005-0000-0000-0000A50A0000}"/>
    <cellStyle name="Calculation 2 3 3 2 3 3 3 2" xfId="3006" xr:uid="{00000000-0005-0000-0000-0000A60A0000}"/>
    <cellStyle name="Calculation 2 3 3 2 3 3 4" xfId="3007" xr:uid="{00000000-0005-0000-0000-0000A70A0000}"/>
    <cellStyle name="Calculation 2 3 3 2 3 3 5" xfId="3008" xr:uid="{00000000-0005-0000-0000-0000A80A0000}"/>
    <cellStyle name="Calculation 2 3 3 2 3 3 6" xfId="3009" xr:uid="{00000000-0005-0000-0000-0000A90A0000}"/>
    <cellStyle name="Calculation 2 3 3 2 3 4" xfId="3010" xr:uid="{00000000-0005-0000-0000-0000AA0A0000}"/>
    <cellStyle name="Calculation 2 3 3 2 3 4 2" xfId="3011" xr:uid="{00000000-0005-0000-0000-0000AB0A0000}"/>
    <cellStyle name="Calculation 2 3 3 2 3 5" xfId="3012" xr:uid="{00000000-0005-0000-0000-0000AC0A0000}"/>
    <cellStyle name="Calculation 2 3 3 2 3 5 2" xfId="3013" xr:uid="{00000000-0005-0000-0000-0000AD0A0000}"/>
    <cellStyle name="Calculation 2 3 3 2 3 6" xfId="3014" xr:uid="{00000000-0005-0000-0000-0000AE0A0000}"/>
    <cellStyle name="Calculation 2 3 3 2 3 7" xfId="3015" xr:uid="{00000000-0005-0000-0000-0000AF0A0000}"/>
    <cellStyle name="Calculation 2 3 3 2 3 8" xfId="3016" xr:uid="{00000000-0005-0000-0000-0000B00A0000}"/>
    <cellStyle name="Calculation 2 3 3 2 4" xfId="3017" xr:uid="{00000000-0005-0000-0000-0000B10A0000}"/>
    <cellStyle name="Calculation 2 3 3 2 4 2" xfId="3018" xr:uid="{00000000-0005-0000-0000-0000B20A0000}"/>
    <cellStyle name="Calculation 2 3 3 2 4 2 2" xfId="3019" xr:uid="{00000000-0005-0000-0000-0000B30A0000}"/>
    <cellStyle name="Calculation 2 3 3 2 4 2 2 2" xfId="3020" xr:uid="{00000000-0005-0000-0000-0000B40A0000}"/>
    <cellStyle name="Calculation 2 3 3 2 4 2 3" xfId="3021" xr:uid="{00000000-0005-0000-0000-0000B50A0000}"/>
    <cellStyle name="Calculation 2 3 3 2 4 2 3 2" xfId="3022" xr:uid="{00000000-0005-0000-0000-0000B60A0000}"/>
    <cellStyle name="Calculation 2 3 3 2 4 2 4" xfId="3023" xr:uid="{00000000-0005-0000-0000-0000B70A0000}"/>
    <cellStyle name="Calculation 2 3 3 2 4 2 5" xfId="3024" xr:uid="{00000000-0005-0000-0000-0000B80A0000}"/>
    <cellStyle name="Calculation 2 3 3 2 4 2 6" xfId="3025" xr:uid="{00000000-0005-0000-0000-0000B90A0000}"/>
    <cellStyle name="Calculation 2 3 3 2 4 3" xfId="3026" xr:uid="{00000000-0005-0000-0000-0000BA0A0000}"/>
    <cellStyle name="Calculation 2 3 3 2 4 3 2" xfId="3027" xr:uid="{00000000-0005-0000-0000-0000BB0A0000}"/>
    <cellStyle name="Calculation 2 3 3 2 4 4" xfId="3028" xr:uid="{00000000-0005-0000-0000-0000BC0A0000}"/>
    <cellStyle name="Calculation 2 3 3 2 4 4 2" xfId="3029" xr:uid="{00000000-0005-0000-0000-0000BD0A0000}"/>
    <cellStyle name="Calculation 2 3 3 2 4 5" xfId="3030" xr:uid="{00000000-0005-0000-0000-0000BE0A0000}"/>
    <cellStyle name="Calculation 2 3 3 2 4 6" xfId="3031" xr:uid="{00000000-0005-0000-0000-0000BF0A0000}"/>
    <cellStyle name="Calculation 2 3 3 2 4 7" xfId="3032" xr:uid="{00000000-0005-0000-0000-0000C00A0000}"/>
    <cellStyle name="Calculation 2 3 3 2 5" xfId="3033" xr:uid="{00000000-0005-0000-0000-0000C10A0000}"/>
    <cellStyle name="Calculation 2 3 3 2 5 2" xfId="3034" xr:uid="{00000000-0005-0000-0000-0000C20A0000}"/>
    <cellStyle name="Calculation 2 3 3 2 5 2 2" xfId="3035" xr:uid="{00000000-0005-0000-0000-0000C30A0000}"/>
    <cellStyle name="Calculation 2 3 3 2 5 3" xfId="3036" xr:uid="{00000000-0005-0000-0000-0000C40A0000}"/>
    <cellStyle name="Calculation 2 3 3 2 5 3 2" xfId="3037" xr:uid="{00000000-0005-0000-0000-0000C50A0000}"/>
    <cellStyle name="Calculation 2 3 3 2 5 4" xfId="3038" xr:uid="{00000000-0005-0000-0000-0000C60A0000}"/>
    <cellStyle name="Calculation 2 3 3 2 5 5" xfId="3039" xr:uid="{00000000-0005-0000-0000-0000C70A0000}"/>
    <cellStyle name="Calculation 2 3 3 2 5 6" xfId="3040" xr:uid="{00000000-0005-0000-0000-0000C80A0000}"/>
    <cellStyle name="Calculation 2 3 3 2 6" xfId="3041" xr:uid="{00000000-0005-0000-0000-0000C90A0000}"/>
    <cellStyle name="Calculation 2 3 3 2 6 2" xfId="3042" xr:uid="{00000000-0005-0000-0000-0000CA0A0000}"/>
    <cellStyle name="Calculation 2 3 3 2 7" xfId="3043" xr:uid="{00000000-0005-0000-0000-0000CB0A0000}"/>
    <cellStyle name="Calculation 2 3 3 2 7 2" xfId="3044" xr:uid="{00000000-0005-0000-0000-0000CC0A0000}"/>
    <cellStyle name="Calculation 2 3 3 2 8" xfId="3045" xr:uid="{00000000-0005-0000-0000-0000CD0A0000}"/>
    <cellStyle name="Calculation 2 3 3 2 9" xfId="3046" xr:uid="{00000000-0005-0000-0000-0000CE0A0000}"/>
    <cellStyle name="Calculation 2 3 3 3" xfId="3047" xr:uid="{00000000-0005-0000-0000-0000CF0A0000}"/>
    <cellStyle name="Calculation 2 3 3 3 10" xfId="3048" xr:uid="{00000000-0005-0000-0000-0000D00A0000}"/>
    <cellStyle name="Calculation 2 3 3 3 2" xfId="3049" xr:uid="{00000000-0005-0000-0000-0000D10A0000}"/>
    <cellStyle name="Calculation 2 3 3 3 2 2" xfId="3050" xr:uid="{00000000-0005-0000-0000-0000D20A0000}"/>
    <cellStyle name="Calculation 2 3 3 3 2 2 2" xfId="3051" xr:uid="{00000000-0005-0000-0000-0000D30A0000}"/>
    <cellStyle name="Calculation 2 3 3 3 2 2 2 2" xfId="3052" xr:uid="{00000000-0005-0000-0000-0000D40A0000}"/>
    <cellStyle name="Calculation 2 3 3 3 2 2 2 2 2" xfId="3053" xr:uid="{00000000-0005-0000-0000-0000D50A0000}"/>
    <cellStyle name="Calculation 2 3 3 3 2 2 2 3" xfId="3054" xr:uid="{00000000-0005-0000-0000-0000D60A0000}"/>
    <cellStyle name="Calculation 2 3 3 3 2 2 2 3 2" xfId="3055" xr:uid="{00000000-0005-0000-0000-0000D70A0000}"/>
    <cellStyle name="Calculation 2 3 3 3 2 2 2 4" xfId="3056" xr:uid="{00000000-0005-0000-0000-0000D80A0000}"/>
    <cellStyle name="Calculation 2 3 3 3 2 2 2 5" xfId="3057" xr:uid="{00000000-0005-0000-0000-0000D90A0000}"/>
    <cellStyle name="Calculation 2 3 3 3 2 2 2 6" xfId="3058" xr:uid="{00000000-0005-0000-0000-0000DA0A0000}"/>
    <cellStyle name="Calculation 2 3 3 3 2 2 3" xfId="3059" xr:uid="{00000000-0005-0000-0000-0000DB0A0000}"/>
    <cellStyle name="Calculation 2 3 3 3 2 2 3 2" xfId="3060" xr:uid="{00000000-0005-0000-0000-0000DC0A0000}"/>
    <cellStyle name="Calculation 2 3 3 3 2 2 4" xfId="3061" xr:uid="{00000000-0005-0000-0000-0000DD0A0000}"/>
    <cellStyle name="Calculation 2 3 3 3 2 2 4 2" xfId="3062" xr:uid="{00000000-0005-0000-0000-0000DE0A0000}"/>
    <cellStyle name="Calculation 2 3 3 3 2 2 5" xfId="3063" xr:uid="{00000000-0005-0000-0000-0000DF0A0000}"/>
    <cellStyle name="Calculation 2 3 3 3 2 2 6" xfId="3064" xr:uid="{00000000-0005-0000-0000-0000E00A0000}"/>
    <cellStyle name="Calculation 2 3 3 3 2 2 7" xfId="3065" xr:uid="{00000000-0005-0000-0000-0000E10A0000}"/>
    <cellStyle name="Calculation 2 3 3 3 2 3" xfId="3066" xr:uid="{00000000-0005-0000-0000-0000E20A0000}"/>
    <cellStyle name="Calculation 2 3 3 3 2 3 2" xfId="3067" xr:uid="{00000000-0005-0000-0000-0000E30A0000}"/>
    <cellStyle name="Calculation 2 3 3 3 2 3 2 2" xfId="3068" xr:uid="{00000000-0005-0000-0000-0000E40A0000}"/>
    <cellStyle name="Calculation 2 3 3 3 2 3 3" xfId="3069" xr:uid="{00000000-0005-0000-0000-0000E50A0000}"/>
    <cellStyle name="Calculation 2 3 3 3 2 3 3 2" xfId="3070" xr:uid="{00000000-0005-0000-0000-0000E60A0000}"/>
    <cellStyle name="Calculation 2 3 3 3 2 3 4" xfId="3071" xr:uid="{00000000-0005-0000-0000-0000E70A0000}"/>
    <cellStyle name="Calculation 2 3 3 3 2 3 5" xfId="3072" xr:uid="{00000000-0005-0000-0000-0000E80A0000}"/>
    <cellStyle name="Calculation 2 3 3 3 2 3 6" xfId="3073" xr:uid="{00000000-0005-0000-0000-0000E90A0000}"/>
    <cellStyle name="Calculation 2 3 3 3 2 4" xfId="3074" xr:uid="{00000000-0005-0000-0000-0000EA0A0000}"/>
    <cellStyle name="Calculation 2 3 3 3 2 4 2" xfId="3075" xr:uid="{00000000-0005-0000-0000-0000EB0A0000}"/>
    <cellStyle name="Calculation 2 3 3 3 2 5" xfId="3076" xr:uid="{00000000-0005-0000-0000-0000EC0A0000}"/>
    <cellStyle name="Calculation 2 3 3 3 2 5 2" xfId="3077" xr:uid="{00000000-0005-0000-0000-0000ED0A0000}"/>
    <cellStyle name="Calculation 2 3 3 3 2 6" xfId="3078" xr:uid="{00000000-0005-0000-0000-0000EE0A0000}"/>
    <cellStyle name="Calculation 2 3 3 3 2 7" xfId="3079" xr:uid="{00000000-0005-0000-0000-0000EF0A0000}"/>
    <cellStyle name="Calculation 2 3 3 3 2 8" xfId="3080" xr:uid="{00000000-0005-0000-0000-0000F00A0000}"/>
    <cellStyle name="Calculation 2 3 3 3 3" xfId="3081" xr:uid="{00000000-0005-0000-0000-0000F10A0000}"/>
    <cellStyle name="Calculation 2 3 3 3 3 2" xfId="3082" xr:uid="{00000000-0005-0000-0000-0000F20A0000}"/>
    <cellStyle name="Calculation 2 3 3 3 3 2 2" xfId="3083" xr:uid="{00000000-0005-0000-0000-0000F30A0000}"/>
    <cellStyle name="Calculation 2 3 3 3 3 2 2 2" xfId="3084" xr:uid="{00000000-0005-0000-0000-0000F40A0000}"/>
    <cellStyle name="Calculation 2 3 3 3 3 2 2 2 2" xfId="3085" xr:uid="{00000000-0005-0000-0000-0000F50A0000}"/>
    <cellStyle name="Calculation 2 3 3 3 3 2 2 3" xfId="3086" xr:uid="{00000000-0005-0000-0000-0000F60A0000}"/>
    <cellStyle name="Calculation 2 3 3 3 3 2 2 3 2" xfId="3087" xr:uid="{00000000-0005-0000-0000-0000F70A0000}"/>
    <cellStyle name="Calculation 2 3 3 3 3 2 2 4" xfId="3088" xr:uid="{00000000-0005-0000-0000-0000F80A0000}"/>
    <cellStyle name="Calculation 2 3 3 3 3 2 2 5" xfId="3089" xr:uid="{00000000-0005-0000-0000-0000F90A0000}"/>
    <cellStyle name="Calculation 2 3 3 3 3 2 2 6" xfId="3090" xr:uid="{00000000-0005-0000-0000-0000FA0A0000}"/>
    <cellStyle name="Calculation 2 3 3 3 3 2 3" xfId="3091" xr:uid="{00000000-0005-0000-0000-0000FB0A0000}"/>
    <cellStyle name="Calculation 2 3 3 3 3 2 3 2" xfId="3092" xr:uid="{00000000-0005-0000-0000-0000FC0A0000}"/>
    <cellStyle name="Calculation 2 3 3 3 3 2 4" xfId="3093" xr:uid="{00000000-0005-0000-0000-0000FD0A0000}"/>
    <cellStyle name="Calculation 2 3 3 3 3 2 4 2" xfId="3094" xr:uid="{00000000-0005-0000-0000-0000FE0A0000}"/>
    <cellStyle name="Calculation 2 3 3 3 3 2 5" xfId="3095" xr:uid="{00000000-0005-0000-0000-0000FF0A0000}"/>
    <cellStyle name="Calculation 2 3 3 3 3 2 6" xfId="3096" xr:uid="{00000000-0005-0000-0000-0000000B0000}"/>
    <cellStyle name="Calculation 2 3 3 3 3 2 7" xfId="3097" xr:uid="{00000000-0005-0000-0000-0000010B0000}"/>
    <cellStyle name="Calculation 2 3 3 3 3 3" xfId="3098" xr:uid="{00000000-0005-0000-0000-0000020B0000}"/>
    <cellStyle name="Calculation 2 3 3 3 3 3 2" xfId="3099" xr:uid="{00000000-0005-0000-0000-0000030B0000}"/>
    <cellStyle name="Calculation 2 3 3 3 3 3 2 2" xfId="3100" xr:uid="{00000000-0005-0000-0000-0000040B0000}"/>
    <cellStyle name="Calculation 2 3 3 3 3 3 3" xfId="3101" xr:uid="{00000000-0005-0000-0000-0000050B0000}"/>
    <cellStyle name="Calculation 2 3 3 3 3 3 3 2" xfId="3102" xr:uid="{00000000-0005-0000-0000-0000060B0000}"/>
    <cellStyle name="Calculation 2 3 3 3 3 3 4" xfId="3103" xr:uid="{00000000-0005-0000-0000-0000070B0000}"/>
    <cellStyle name="Calculation 2 3 3 3 3 3 5" xfId="3104" xr:uid="{00000000-0005-0000-0000-0000080B0000}"/>
    <cellStyle name="Calculation 2 3 3 3 3 3 6" xfId="3105" xr:uid="{00000000-0005-0000-0000-0000090B0000}"/>
    <cellStyle name="Calculation 2 3 3 3 3 4" xfId="3106" xr:uid="{00000000-0005-0000-0000-00000A0B0000}"/>
    <cellStyle name="Calculation 2 3 3 3 3 4 2" xfId="3107" xr:uid="{00000000-0005-0000-0000-00000B0B0000}"/>
    <cellStyle name="Calculation 2 3 3 3 3 5" xfId="3108" xr:uid="{00000000-0005-0000-0000-00000C0B0000}"/>
    <cellStyle name="Calculation 2 3 3 3 3 5 2" xfId="3109" xr:uid="{00000000-0005-0000-0000-00000D0B0000}"/>
    <cellStyle name="Calculation 2 3 3 3 3 6" xfId="3110" xr:uid="{00000000-0005-0000-0000-00000E0B0000}"/>
    <cellStyle name="Calculation 2 3 3 3 3 7" xfId="3111" xr:uid="{00000000-0005-0000-0000-00000F0B0000}"/>
    <cellStyle name="Calculation 2 3 3 3 3 8" xfId="3112" xr:uid="{00000000-0005-0000-0000-0000100B0000}"/>
    <cellStyle name="Calculation 2 3 3 3 4" xfId="3113" xr:uid="{00000000-0005-0000-0000-0000110B0000}"/>
    <cellStyle name="Calculation 2 3 3 3 4 2" xfId="3114" xr:uid="{00000000-0005-0000-0000-0000120B0000}"/>
    <cellStyle name="Calculation 2 3 3 3 4 2 2" xfId="3115" xr:uid="{00000000-0005-0000-0000-0000130B0000}"/>
    <cellStyle name="Calculation 2 3 3 3 4 2 2 2" xfId="3116" xr:uid="{00000000-0005-0000-0000-0000140B0000}"/>
    <cellStyle name="Calculation 2 3 3 3 4 2 3" xfId="3117" xr:uid="{00000000-0005-0000-0000-0000150B0000}"/>
    <cellStyle name="Calculation 2 3 3 3 4 2 3 2" xfId="3118" xr:uid="{00000000-0005-0000-0000-0000160B0000}"/>
    <cellStyle name="Calculation 2 3 3 3 4 2 4" xfId="3119" xr:uid="{00000000-0005-0000-0000-0000170B0000}"/>
    <cellStyle name="Calculation 2 3 3 3 4 2 5" xfId="3120" xr:uid="{00000000-0005-0000-0000-0000180B0000}"/>
    <cellStyle name="Calculation 2 3 3 3 4 2 6" xfId="3121" xr:uid="{00000000-0005-0000-0000-0000190B0000}"/>
    <cellStyle name="Calculation 2 3 3 3 4 3" xfId="3122" xr:uid="{00000000-0005-0000-0000-00001A0B0000}"/>
    <cellStyle name="Calculation 2 3 3 3 4 3 2" xfId="3123" xr:uid="{00000000-0005-0000-0000-00001B0B0000}"/>
    <cellStyle name="Calculation 2 3 3 3 4 4" xfId="3124" xr:uid="{00000000-0005-0000-0000-00001C0B0000}"/>
    <cellStyle name="Calculation 2 3 3 3 4 4 2" xfId="3125" xr:uid="{00000000-0005-0000-0000-00001D0B0000}"/>
    <cellStyle name="Calculation 2 3 3 3 4 5" xfId="3126" xr:uid="{00000000-0005-0000-0000-00001E0B0000}"/>
    <cellStyle name="Calculation 2 3 3 3 4 6" xfId="3127" xr:uid="{00000000-0005-0000-0000-00001F0B0000}"/>
    <cellStyle name="Calculation 2 3 3 3 4 7" xfId="3128" xr:uid="{00000000-0005-0000-0000-0000200B0000}"/>
    <cellStyle name="Calculation 2 3 3 3 5" xfId="3129" xr:uid="{00000000-0005-0000-0000-0000210B0000}"/>
    <cellStyle name="Calculation 2 3 3 3 5 2" xfId="3130" xr:uid="{00000000-0005-0000-0000-0000220B0000}"/>
    <cellStyle name="Calculation 2 3 3 3 5 2 2" xfId="3131" xr:uid="{00000000-0005-0000-0000-0000230B0000}"/>
    <cellStyle name="Calculation 2 3 3 3 5 3" xfId="3132" xr:uid="{00000000-0005-0000-0000-0000240B0000}"/>
    <cellStyle name="Calculation 2 3 3 3 5 3 2" xfId="3133" xr:uid="{00000000-0005-0000-0000-0000250B0000}"/>
    <cellStyle name="Calculation 2 3 3 3 5 4" xfId="3134" xr:uid="{00000000-0005-0000-0000-0000260B0000}"/>
    <cellStyle name="Calculation 2 3 3 3 5 5" xfId="3135" xr:uid="{00000000-0005-0000-0000-0000270B0000}"/>
    <cellStyle name="Calculation 2 3 3 3 5 6" xfId="3136" xr:uid="{00000000-0005-0000-0000-0000280B0000}"/>
    <cellStyle name="Calculation 2 3 3 3 6" xfId="3137" xr:uid="{00000000-0005-0000-0000-0000290B0000}"/>
    <cellStyle name="Calculation 2 3 3 3 6 2" xfId="3138" xr:uid="{00000000-0005-0000-0000-00002A0B0000}"/>
    <cellStyle name="Calculation 2 3 3 3 7" xfId="3139" xr:uid="{00000000-0005-0000-0000-00002B0B0000}"/>
    <cellStyle name="Calculation 2 3 3 3 7 2" xfId="3140" xr:uid="{00000000-0005-0000-0000-00002C0B0000}"/>
    <cellStyle name="Calculation 2 3 3 3 8" xfId="3141" xr:uid="{00000000-0005-0000-0000-00002D0B0000}"/>
    <cellStyle name="Calculation 2 3 3 3 9" xfId="3142" xr:uid="{00000000-0005-0000-0000-00002E0B0000}"/>
    <cellStyle name="Calculation 2 3 3 4" xfId="3143" xr:uid="{00000000-0005-0000-0000-00002F0B0000}"/>
    <cellStyle name="Calculation 2 3 3 4 2" xfId="3144" xr:uid="{00000000-0005-0000-0000-0000300B0000}"/>
    <cellStyle name="Calculation 2 3 3 4 2 2" xfId="3145" xr:uid="{00000000-0005-0000-0000-0000310B0000}"/>
    <cellStyle name="Calculation 2 3 3 4 2 2 2" xfId="3146" xr:uid="{00000000-0005-0000-0000-0000320B0000}"/>
    <cellStyle name="Calculation 2 3 3 4 2 2 2 2" xfId="3147" xr:uid="{00000000-0005-0000-0000-0000330B0000}"/>
    <cellStyle name="Calculation 2 3 3 4 2 2 3" xfId="3148" xr:uid="{00000000-0005-0000-0000-0000340B0000}"/>
    <cellStyle name="Calculation 2 3 3 4 2 2 3 2" xfId="3149" xr:uid="{00000000-0005-0000-0000-0000350B0000}"/>
    <cellStyle name="Calculation 2 3 3 4 2 2 4" xfId="3150" xr:uid="{00000000-0005-0000-0000-0000360B0000}"/>
    <cellStyle name="Calculation 2 3 3 4 2 2 5" xfId="3151" xr:uid="{00000000-0005-0000-0000-0000370B0000}"/>
    <cellStyle name="Calculation 2 3 3 4 2 2 6" xfId="3152" xr:uid="{00000000-0005-0000-0000-0000380B0000}"/>
    <cellStyle name="Calculation 2 3 3 4 2 3" xfId="3153" xr:uid="{00000000-0005-0000-0000-0000390B0000}"/>
    <cellStyle name="Calculation 2 3 3 4 2 3 2" xfId="3154" xr:uid="{00000000-0005-0000-0000-00003A0B0000}"/>
    <cellStyle name="Calculation 2 3 3 4 2 4" xfId="3155" xr:uid="{00000000-0005-0000-0000-00003B0B0000}"/>
    <cellStyle name="Calculation 2 3 3 4 2 4 2" xfId="3156" xr:uid="{00000000-0005-0000-0000-00003C0B0000}"/>
    <cellStyle name="Calculation 2 3 3 4 2 5" xfId="3157" xr:uid="{00000000-0005-0000-0000-00003D0B0000}"/>
    <cellStyle name="Calculation 2 3 3 4 2 6" xfId="3158" xr:uid="{00000000-0005-0000-0000-00003E0B0000}"/>
    <cellStyle name="Calculation 2 3 3 4 2 7" xfId="3159" xr:uid="{00000000-0005-0000-0000-00003F0B0000}"/>
    <cellStyle name="Calculation 2 3 3 4 3" xfId="3160" xr:uid="{00000000-0005-0000-0000-0000400B0000}"/>
    <cellStyle name="Calculation 2 3 3 4 3 2" xfId="3161" xr:uid="{00000000-0005-0000-0000-0000410B0000}"/>
    <cellStyle name="Calculation 2 3 3 4 3 2 2" xfId="3162" xr:uid="{00000000-0005-0000-0000-0000420B0000}"/>
    <cellStyle name="Calculation 2 3 3 4 3 3" xfId="3163" xr:uid="{00000000-0005-0000-0000-0000430B0000}"/>
    <cellStyle name="Calculation 2 3 3 4 3 3 2" xfId="3164" xr:uid="{00000000-0005-0000-0000-0000440B0000}"/>
    <cellStyle name="Calculation 2 3 3 4 3 4" xfId="3165" xr:uid="{00000000-0005-0000-0000-0000450B0000}"/>
    <cellStyle name="Calculation 2 3 3 4 3 5" xfId="3166" xr:uid="{00000000-0005-0000-0000-0000460B0000}"/>
    <cellStyle name="Calculation 2 3 3 4 3 6" xfId="3167" xr:uid="{00000000-0005-0000-0000-0000470B0000}"/>
    <cellStyle name="Calculation 2 3 3 4 4" xfId="3168" xr:uid="{00000000-0005-0000-0000-0000480B0000}"/>
    <cellStyle name="Calculation 2 3 3 4 4 2" xfId="3169" xr:uid="{00000000-0005-0000-0000-0000490B0000}"/>
    <cellStyle name="Calculation 2 3 3 4 5" xfId="3170" xr:uid="{00000000-0005-0000-0000-00004A0B0000}"/>
    <cellStyle name="Calculation 2 3 3 4 5 2" xfId="3171" xr:uid="{00000000-0005-0000-0000-00004B0B0000}"/>
    <cellStyle name="Calculation 2 3 3 4 6" xfId="3172" xr:uid="{00000000-0005-0000-0000-00004C0B0000}"/>
    <cellStyle name="Calculation 2 3 3 4 7" xfId="3173" xr:uid="{00000000-0005-0000-0000-00004D0B0000}"/>
    <cellStyle name="Calculation 2 3 3 4 8" xfId="3174" xr:uid="{00000000-0005-0000-0000-00004E0B0000}"/>
    <cellStyle name="Calculation 2 3 3 5" xfId="3175" xr:uid="{00000000-0005-0000-0000-00004F0B0000}"/>
    <cellStyle name="Calculation 2 3 3 5 2" xfId="3176" xr:uid="{00000000-0005-0000-0000-0000500B0000}"/>
    <cellStyle name="Calculation 2 3 3 5 2 2" xfId="3177" xr:uid="{00000000-0005-0000-0000-0000510B0000}"/>
    <cellStyle name="Calculation 2 3 3 5 2 2 2" xfId="3178" xr:uid="{00000000-0005-0000-0000-0000520B0000}"/>
    <cellStyle name="Calculation 2 3 3 5 2 3" xfId="3179" xr:uid="{00000000-0005-0000-0000-0000530B0000}"/>
    <cellStyle name="Calculation 2 3 3 5 2 3 2" xfId="3180" xr:uid="{00000000-0005-0000-0000-0000540B0000}"/>
    <cellStyle name="Calculation 2 3 3 5 2 4" xfId="3181" xr:uid="{00000000-0005-0000-0000-0000550B0000}"/>
    <cellStyle name="Calculation 2 3 3 5 2 5" xfId="3182" xr:uid="{00000000-0005-0000-0000-0000560B0000}"/>
    <cellStyle name="Calculation 2 3 3 5 2 6" xfId="3183" xr:uid="{00000000-0005-0000-0000-0000570B0000}"/>
    <cellStyle name="Calculation 2 3 3 5 3" xfId="3184" xr:uid="{00000000-0005-0000-0000-0000580B0000}"/>
    <cellStyle name="Calculation 2 3 3 5 3 2" xfId="3185" xr:uid="{00000000-0005-0000-0000-0000590B0000}"/>
    <cellStyle name="Calculation 2 3 3 5 4" xfId="3186" xr:uid="{00000000-0005-0000-0000-00005A0B0000}"/>
    <cellStyle name="Calculation 2 3 3 5 4 2" xfId="3187" xr:uid="{00000000-0005-0000-0000-00005B0B0000}"/>
    <cellStyle name="Calculation 2 3 3 5 5" xfId="3188" xr:uid="{00000000-0005-0000-0000-00005C0B0000}"/>
    <cellStyle name="Calculation 2 3 3 5 6" xfId="3189" xr:uid="{00000000-0005-0000-0000-00005D0B0000}"/>
    <cellStyle name="Calculation 2 3 3 5 7" xfId="3190" xr:uid="{00000000-0005-0000-0000-00005E0B0000}"/>
    <cellStyle name="Calculation 2 3 3 6" xfId="3191" xr:uid="{00000000-0005-0000-0000-00005F0B0000}"/>
    <cellStyle name="Calculation 2 3 3 6 2" xfId="3192" xr:uid="{00000000-0005-0000-0000-0000600B0000}"/>
    <cellStyle name="Calculation 2 3 3 6 2 2" xfId="3193" xr:uid="{00000000-0005-0000-0000-0000610B0000}"/>
    <cellStyle name="Calculation 2 3 3 6 3" xfId="3194" xr:uid="{00000000-0005-0000-0000-0000620B0000}"/>
    <cellStyle name="Calculation 2 3 3 6 3 2" xfId="3195" xr:uid="{00000000-0005-0000-0000-0000630B0000}"/>
    <cellStyle name="Calculation 2 3 3 6 4" xfId="3196" xr:uid="{00000000-0005-0000-0000-0000640B0000}"/>
    <cellStyle name="Calculation 2 3 3 6 5" xfId="3197" xr:uid="{00000000-0005-0000-0000-0000650B0000}"/>
    <cellStyle name="Calculation 2 3 3 6 6" xfId="3198" xr:uid="{00000000-0005-0000-0000-0000660B0000}"/>
    <cellStyle name="Calculation 2 3 3 7" xfId="3199" xr:uid="{00000000-0005-0000-0000-0000670B0000}"/>
    <cellStyle name="Calculation 2 3 3 7 2" xfId="3200" xr:uid="{00000000-0005-0000-0000-0000680B0000}"/>
    <cellStyle name="Calculation 2 3 3 8" xfId="3201" xr:uid="{00000000-0005-0000-0000-0000690B0000}"/>
    <cellStyle name="Calculation 2 3 3 8 2" xfId="3202" xr:uid="{00000000-0005-0000-0000-00006A0B0000}"/>
    <cellStyle name="Calculation 2 3 3 9" xfId="3203" xr:uid="{00000000-0005-0000-0000-00006B0B0000}"/>
    <cellStyle name="Calculation 2 3 4" xfId="3204" xr:uid="{00000000-0005-0000-0000-00006C0B0000}"/>
    <cellStyle name="Calculation 2 3 4 10" xfId="3205" xr:uid="{00000000-0005-0000-0000-00006D0B0000}"/>
    <cellStyle name="Calculation 2 3 4 11" xfId="3206" xr:uid="{00000000-0005-0000-0000-00006E0B0000}"/>
    <cellStyle name="Calculation 2 3 4 2" xfId="3207" xr:uid="{00000000-0005-0000-0000-00006F0B0000}"/>
    <cellStyle name="Calculation 2 3 4 2 10" xfId="3208" xr:uid="{00000000-0005-0000-0000-0000700B0000}"/>
    <cellStyle name="Calculation 2 3 4 2 2" xfId="3209" xr:uid="{00000000-0005-0000-0000-0000710B0000}"/>
    <cellStyle name="Calculation 2 3 4 2 2 2" xfId="3210" xr:uid="{00000000-0005-0000-0000-0000720B0000}"/>
    <cellStyle name="Calculation 2 3 4 2 2 2 2" xfId="3211" xr:uid="{00000000-0005-0000-0000-0000730B0000}"/>
    <cellStyle name="Calculation 2 3 4 2 2 2 2 2" xfId="3212" xr:uid="{00000000-0005-0000-0000-0000740B0000}"/>
    <cellStyle name="Calculation 2 3 4 2 2 2 2 2 2" xfId="3213" xr:uid="{00000000-0005-0000-0000-0000750B0000}"/>
    <cellStyle name="Calculation 2 3 4 2 2 2 2 3" xfId="3214" xr:uid="{00000000-0005-0000-0000-0000760B0000}"/>
    <cellStyle name="Calculation 2 3 4 2 2 2 2 3 2" xfId="3215" xr:uid="{00000000-0005-0000-0000-0000770B0000}"/>
    <cellStyle name="Calculation 2 3 4 2 2 2 2 4" xfId="3216" xr:uid="{00000000-0005-0000-0000-0000780B0000}"/>
    <cellStyle name="Calculation 2 3 4 2 2 2 2 5" xfId="3217" xr:uid="{00000000-0005-0000-0000-0000790B0000}"/>
    <cellStyle name="Calculation 2 3 4 2 2 2 2 6" xfId="3218" xr:uid="{00000000-0005-0000-0000-00007A0B0000}"/>
    <cellStyle name="Calculation 2 3 4 2 2 2 3" xfId="3219" xr:uid="{00000000-0005-0000-0000-00007B0B0000}"/>
    <cellStyle name="Calculation 2 3 4 2 2 2 3 2" xfId="3220" xr:uid="{00000000-0005-0000-0000-00007C0B0000}"/>
    <cellStyle name="Calculation 2 3 4 2 2 2 4" xfId="3221" xr:uid="{00000000-0005-0000-0000-00007D0B0000}"/>
    <cellStyle name="Calculation 2 3 4 2 2 2 4 2" xfId="3222" xr:uid="{00000000-0005-0000-0000-00007E0B0000}"/>
    <cellStyle name="Calculation 2 3 4 2 2 2 5" xfId="3223" xr:uid="{00000000-0005-0000-0000-00007F0B0000}"/>
    <cellStyle name="Calculation 2 3 4 2 2 2 6" xfId="3224" xr:uid="{00000000-0005-0000-0000-0000800B0000}"/>
    <cellStyle name="Calculation 2 3 4 2 2 2 7" xfId="3225" xr:uid="{00000000-0005-0000-0000-0000810B0000}"/>
    <cellStyle name="Calculation 2 3 4 2 2 3" xfId="3226" xr:uid="{00000000-0005-0000-0000-0000820B0000}"/>
    <cellStyle name="Calculation 2 3 4 2 2 3 2" xfId="3227" xr:uid="{00000000-0005-0000-0000-0000830B0000}"/>
    <cellStyle name="Calculation 2 3 4 2 2 3 2 2" xfId="3228" xr:uid="{00000000-0005-0000-0000-0000840B0000}"/>
    <cellStyle name="Calculation 2 3 4 2 2 3 3" xfId="3229" xr:uid="{00000000-0005-0000-0000-0000850B0000}"/>
    <cellStyle name="Calculation 2 3 4 2 2 3 3 2" xfId="3230" xr:uid="{00000000-0005-0000-0000-0000860B0000}"/>
    <cellStyle name="Calculation 2 3 4 2 2 3 4" xfId="3231" xr:uid="{00000000-0005-0000-0000-0000870B0000}"/>
    <cellStyle name="Calculation 2 3 4 2 2 3 5" xfId="3232" xr:uid="{00000000-0005-0000-0000-0000880B0000}"/>
    <cellStyle name="Calculation 2 3 4 2 2 3 6" xfId="3233" xr:uid="{00000000-0005-0000-0000-0000890B0000}"/>
    <cellStyle name="Calculation 2 3 4 2 2 4" xfId="3234" xr:uid="{00000000-0005-0000-0000-00008A0B0000}"/>
    <cellStyle name="Calculation 2 3 4 2 2 4 2" xfId="3235" xr:uid="{00000000-0005-0000-0000-00008B0B0000}"/>
    <cellStyle name="Calculation 2 3 4 2 2 5" xfId="3236" xr:uid="{00000000-0005-0000-0000-00008C0B0000}"/>
    <cellStyle name="Calculation 2 3 4 2 2 5 2" xfId="3237" xr:uid="{00000000-0005-0000-0000-00008D0B0000}"/>
    <cellStyle name="Calculation 2 3 4 2 2 6" xfId="3238" xr:uid="{00000000-0005-0000-0000-00008E0B0000}"/>
    <cellStyle name="Calculation 2 3 4 2 2 7" xfId="3239" xr:uid="{00000000-0005-0000-0000-00008F0B0000}"/>
    <cellStyle name="Calculation 2 3 4 2 2 8" xfId="3240" xr:uid="{00000000-0005-0000-0000-0000900B0000}"/>
    <cellStyle name="Calculation 2 3 4 2 3" xfId="3241" xr:uid="{00000000-0005-0000-0000-0000910B0000}"/>
    <cellStyle name="Calculation 2 3 4 2 3 2" xfId="3242" xr:uid="{00000000-0005-0000-0000-0000920B0000}"/>
    <cellStyle name="Calculation 2 3 4 2 3 2 2" xfId="3243" xr:uid="{00000000-0005-0000-0000-0000930B0000}"/>
    <cellStyle name="Calculation 2 3 4 2 3 2 2 2" xfId="3244" xr:uid="{00000000-0005-0000-0000-0000940B0000}"/>
    <cellStyle name="Calculation 2 3 4 2 3 2 2 2 2" xfId="3245" xr:uid="{00000000-0005-0000-0000-0000950B0000}"/>
    <cellStyle name="Calculation 2 3 4 2 3 2 2 3" xfId="3246" xr:uid="{00000000-0005-0000-0000-0000960B0000}"/>
    <cellStyle name="Calculation 2 3 4 2 3 2 2 3 2" xfId="3247" xr:uid="{00000000-0005-0000-0000-0000970B0000}"/>
    <cellStyle name="Calculation 2 3 4 2 3 2 2 4" xfId="3248" xr:uid="{00000000-0005-0000-0000-0000980B0000}"/>
    <cellStyle name="Calculation 2 3 4 2 3 2 2 5" xfId="3249" xr:uid="{00000000-0005-0000-0000-0000990B0000}"/>
    <cellStyle name="Calculation 2 3 4 2 3 2 2 6" xfId="3250" xr:uid="{00000000-0005-0000-0000-00009A0B0000}"/>
    <cellStyle name="Calculation 2 3 4 2 3 2 3" xfId="3251" xr:uid="{00000000-0005-0000-0000-00009B0B0000}"/>
    <cellStyle name="Calculation 2 3 4 2 3 2 3 2" xfId="3252" xr:uid="{00000000-0005-0000-0000-00009C0B0000}"/>
    <cellStyle name="Calculation 2 3 4 2 3 2 4" xfId="3253" xr:uid="{00000000-0005-0000-0000-00009D0B0000}"/>
    <cellStyle name="Calculation 2 3 4 2 3 2 4 2" xfId="3254" xr:uid="{00000000-0005-0000-0000-00009E0B0000}"/>
    <cellStyle name="Calculation 2 3 4 2 3 2 5" xfId="3255" xr:uid="{00000000-0005-0000-0000-00009F0B0000}"/>
    <cellStyle name="Calculation 2 3 4 2 3 2 6" xfId="3256" xr:uid="{00000000-0005-0000-0000-0000A00B0000}"/>
    <cellStyle name="Calculation 2 3 4 2 3 2 7" xfId="3257" xr:uid="{00000000-0005-0000-0000-0000A10B0000}"/>
    <cellStyle name="Calculation 2 3 4 2 3 3" xfId="3258" xr:uid="{00000000-0005-0000-0000-0000A20B0000}"/>
    <cellStyle name="Calculation 2 3 4 2 3 3 2" xfId="3259" xr:uid="{00000000-0005-0000-0000-0000A30B0000}"/>
    <cellStyle name="Calculation 2 3 4 2 3 3 2 2" xfId="3260" xr:uid="{00000000-0005-0000-0000-0000A40B0000}"/>
    <cellStyle name="Calculation 2 3 4 2 3 3 3" xfId="3261" xr:uid="{00000000-0005-0000-0000-0000A50B0000}"/>
    <cellStyle name="Calculation 2 3 4 2 3 3 3 2" xfId="3262" xr:uid="{00000000-0005-0000-0000-0000A60B0000}"/>
    <cellStyle name="Calculation 2 3 4 2 3 3 4" xfId="3263" xr:uid="{00000000-0005-0000-0000-0000A70B0000}"/>
    <cellStyle name="Calculation 2 3 4 2 3 3 5" xfId="3264" xr:uid="{00000000-0005-0000-0000-0000A80B0000}"/>
    <cellStyle name="Calculation 2 3 4 2 3 3 6" xfId="3265" xr:uid="{00000000-0005-0000-0000-0000A90B0000}"/>
    <cellStyle name="Calculation 2 3 4 2 3 4" xfId="3266" xr:uid="{00000000-0005-0000-0000-0000AA0B0000}"/>
    <cellStyle name="Calculation 2 3 4 2 3 4 2" xfId="3267" xr:uid="{00000000-0005-0000-0000-0000AB0B0000}"/>
    <cellStyle name="Calculation 2 3 4 2 3 5" xfId="3268" xr:uid="{00000000-0005-0000-0000-0000AC0B0000}"/>
    <cellStyle name="Calculation 2 3 4 2 3 5 2" xfId="3269" xr:uid="{00000000-0005-0000-0000-0000AD0B0000}"/>
    <cellStyle name="Calculation 2 3 4 2 3 6" xfId="3270" xr:uid="{00000000-0005-0000-0000-0000AE0B0000}"/>
    <cellStyle name="Calculation 2 3 4 2 3 7" xfId="3271" xr:uid="{00000000-0005-0000-0000-0000AF0B0000}"/>
    <cellStyle name="Calculation 2 3 4 2 3 8" xfId="3272" xr:uid="{00000000-0005-0000-0000-0000B00B0000}"/>
    <cellStyle name="Calculation 2 3 4 2 4" xfId="3273" xr:uid="{00000000-0005-0000-0000-0000B10B0000}"/>
    <cellStyle name="Calculation 2 3 4 2 4 2" xfId="3274" xr:uid="{00000000-0005-0000-0000-0000B20B0000}"/>
    <cellStyle name="Calculation 2 3 4 2 4 2 2" xfId="3275" xr:uid="{00000000-0005-0000-0000-0000B30B0000}"/>
    <cellStyle name="Calculation 2 3 4 2 4 2 2 2" xfId="3276" xr:uid="{00000000-0005-0000-0000-0000B40B0000}"/>
    <cellStyle name="Calculation 2 3 4 2 4 2 3" xfId="3277" xr:uid="{00000000-0005-0000-0000-0000B50B0000}"/>
    <cellStyle name="Calculation 2 3 4 2 4 2 3 2" xfId="3278" xr:uid="{00000000-0005-0000-0000-0000B60B0000}"/>
    <cellStyle name="Calculation 2 3 4 2 4 2 4" xfId="3279" xr:uid="{00000000-0005-0000-0000-0000B70B0000}"/>
    <cellStyle name="Calculation 2 3 4 2 4 2 5" xfId="3280" xr:uid="{00000000-0005-0000-0000-0000B80B0000}"/>
    <cellStyle name="Calculation 2 3 4 2 4 2 6" xfId="3281" xr:uid="{00000000-0005-0000-0000-0000B90B0000}"/>
    <cellStyle name="Calculation 2 3 4 2 4 3" xfId="3282" xr:uid="{00000000-0005-0000-0000-0000BA0B0000}"/>
    <cellStyle name="Calculation 2 3 4 2 4 3 2" xfId="3283" xr:uid="{00000000-0005-0000-0000-0000BB0B0000}"/>
    <cellStyle name="Calculation 2 3 4 2 4 4" xfId="3284" xr:uid="{00000000-0005-0000-0000-0000BC0B0000}"/>
    <cellStyle name="Calculation 2 3 4 2 4 4 2" xfId="3285" xr:uid="{00000000-0005-0000-0000-0000BD0B0000}"/>
    <cellStyle name="Calculation 2 3 4 2 4 5" xfId="3286" xr:uid="{00000000-0005-0000-0000-0000BE0B0000}"/>
    <cellStyle name="Calculation 2 3 4 2 4 6" xfId="3287" xr:uid="{00000000-0005-0000-0000-0000BF0B0000}"/>
    <cellStyle name="Calculation 2 3 4 2 4 7" xfId="3288" xr:uid="{00000000-0005-0000-0000-0000C00B0000}"/>
    <cellStyle name="Calculation 2 3 4 2 5" xfId="3289" xr:uid="{00000000-0005-0000-0000-0000C10B0000}"/>
    <cellStyle name="Calculation 2 3 4 2 5 2" xfId="3290" xr:uid="{00000000-0005-0000-0000-0000C20B0000}"/>
    <cellStyle name="Calculation 2 3 4 2 5 2 2" xfId="3291" xr:uid="{00000000-0005-0000-0000-0000C30B0000}"/>
    <cellStyle name="Calculation 2 3 4 2 5 3" xfId="3292" xr:uid="{00000000-0005-0000-0000-0000C40B0000}"/>
    <cellStyle name="Calculation 2 3 4 2 5 3 2" xfId="3293" xr:uid="{00000000-0005-0000-0000-0000C50B0000}"/>
    <cellStyle name="Calculation 2 3 4 2 5 4" xfId="3294" xr:uid="{00000000-0005-0000-0000-0000C60B0000}"/>
    <cellStyle name="Calculation 2 3 4 2 5 5" xfId="3295" xr:uid="{00000000-0005-0000-0000-0000C70B0000}"/>
    <cellStyle name="Calculation 2 3 4 2 5 6" xfId="3296" xr:uid="{00000000-0005-0000-0000-0000C80B0000}"/>
    <cellStyle name="Calculation 2 3 4 2 6" xfId="3297" xr:uid="{00000000-0005-0000-0000-0000C90B0000}"/>
    <cellStyle name="Calculation 2 3 4 2 6 2" xfId="3298" xr:uid="{00000000-0005-0000-0000-0000CA0B0000}"/>
    <cellStyle name="Calculation 2 3 4 2 7" xfId="3299" xr:uid="{00000000-0005-0000-0000-0000CB0B0000}"/>
    <cellStyle name="Calculation 2 3 4 2 7 2" xfId="3300" xr:uid="{00000000-0005-0000-0000-0000CC0B0000}"/>
    <cellStyle name="Calculation 2 3 4 2 8" xfId="3301" xr:uid="{00000000-0005-0000-0000-0000CD0B0000}"/>
    <cellStyle name="Calculation 2 3 4 2 9" xfId="3302" xr:uid="{00000000-0005-0000-0000-0000CE0B0000}"/>
    <cellStyle name="Calculation 2 3 4 3" xfId="3303" xr:uid="{00000000-0005-0000-0000-0000CF0B0000}"/>
    <cellStyle name="Calculation 2 3 4 3 2" xfId="3304" xr:uid="{00000000-0005-0000-0000-0000D00B0000}"/>
    <cellStyle name="Calculation 2 3 4 3 2 2" xfId="3305" xr:uid="{00000000-0005-0000-0000-0000D10B0000}"/>
    <cellStyle name="Calculation 2 3 4 3 2 2 2" xfId="3306" xr:uid="{00000000-0005-0000-0000-0000D20B0000}"/>
    <cellStyle name="Calculation 2 3 4 3 2 2 2 2" xfId="3307" xr:uid="{00000000-0005-0000-0000-0000D30B0000}"/>
    <cellStyle name="Calculation 2 3 4 3 2 2 3" xfId="3308" xr:uid="{00000000-0005-0000-0000-0000D40B0000}"/>
    <cellStyle name="Calculation 2 3 4 3 2 2 3 2" xfId="3309" xr:uid="{00000000-0005-0000-0000-0000D50B0000}"/>
    <cellStyle name="Calculation 2 3 4 3 2 2 4" xfId="3310" xr:uid="{00000000-0005-0000-0000-0000D60B0000}"/>
    <cellStyle name="Calculation 2 3 4 3 2 2 5" xfId="3311" xr:uid="{00000000-0005-0000-0000-0000D70B0000}"/>
    <cellStyle name="Calculation 2 3 4 3 2 2 6" xfId="3312" xr:uid="{00000000-0005-0000-0000-0000D80B0000}"/>
    <cellStyle name="Calculation 2 3 4 3 2 3" xfId="3313" xr:uid="{00000000-0005-0000-0000-0000D90B0000}"/>
    <cellStyle name="Calculation 2 3 4 3 2 3 2" xfId="3314" xr:uid="{00000000-0005-0000-0000-0000DA0B0000}"/>
    <cellStyle name="Calculation 2 3 4 3 2 4" xfId="3315" xr:uid="{00000000-0005-0000-0000-0000DB0B0000}"/>
    <cellStyle name="Calculation 2 3 4 3 2 4 2" xfId="3316" xr:uid="{00000000-0005-0000-0000-0000DC0B0000}"/>
    <cellStyle name="Calculation 2 3 4 3 2 5" xfId="3317" xr:uid="{00000000-0005-0000-0000-0000DD0B0000}"/>
    <cellStyle name="Calculation 2 3 4 3 2 6" xfId="3318" xr:uid="{00000000-0005-0000-0000-0000DE0B0000}"/>
    <cellStyle name="Calculation 2 3 4 3 2 7" xfId="3319" xr:uid="{00000000-0005-0000-0000-0000DF0B0000}"/>
    <cellStyle name="Calculation 2 3 4 3 3" xfId="3320" xr:uid="{00000000-0005-0000-0000-0000E00B0000}"/>
    <cellStyle name="Calculation 2 3 4 3 3 2" xfId="3321" xr:uid="{00000000-0005-0000-0000-0000E10B0000}"/>
    <cellStyle name="Calculation 2 3 4 3 3 2 2" xfId="3322" xr:uid="{00000000-0005-0000-0000-0000E20B0000}"/>
    <cellStyle name="Calculation 2 3 4 3 3 3" xfId="3323" xr:uid="{00000000-0005-0000-0000-0000E30B0000}"/>
    <cellStyle name="Calculation 2 3 4 3 3 3 2" xfId="3324" xr:uid="{00000000-0005-0000-0000-0000E40B0000}"/>
    <cellStyle name="Calculation 2 3 4 3 3 4" xfId="3325" xr:uid="{00000000-0005-0000-0000-0000E50B0000}"/>
    <cellStyle name="Calculation 2 3 4 3 3 5" xfId="3326" xr:uid="{00000000-0005-0000-0000-0000E60B0000}"/>
    <cellStyle name="Calculation 2 3 4 3 3 6" xfId="3327" xr:uid="{00000000-0005-0000-0000-0000E70B0000}"/>
    <cellStyle name="Calculation 2 3 4 3 4" xfId="3328" xr:uid="{00000000-0005-0000-0000-0000E80B0000}"/>
    <cellStyle name="Calculation 2 3 4 3 4 2" xfId="3329" xr:uid="{00000000-0005-0000-0000-0000E90B0000}"/>
    <cellStyle name="Calculation 2 3 4 3 5" xfId="3330" xr:uid="{00000000-0005-0000-0000-0000EA0B0000}"/>
    <cellStyle name="Calculation 2 3 4 3 5 2" xfId="3331" xr:uid="{00000000-0005-0000-0000-0000EB0B0000}"/>
    <cellStyle name="Calculation 2 3 4 3 6" xfId="3332" xr:uid="{00000000-0005-0000-0000-0000EC0B0000}"/>
    <cellStyle name="Calculation 2 3 4 3 7" xfId="3333" xr:uid="{00000000-0005-0000-0000-0000ED0B0000}"/>
    <cellStyle name="Calculation 2 3 4 3 8" xfId="3334" xr:uid="{00000000-0005-0000-0000-0000EE0B0000}"/>
    <cellStyle name="Calculation 2 3 4 4" xfId="3335" xr:uid="{00000000-0005-0000-0000-0000EF0B0000}"/>
    <cellStyle name="Calculation 2 3 4 4 2" xfId="3336" xr:uid="{00000000-0005-0000-0000-0000F00B0000}"/>
    <cellStyle name="Calculation 2 3 4 4 2 2" xfId="3337" xr:uid="{00000000-0005-0000-0000-0000F10B0000}"/>
    <cellStyle name="Calculation 2 3 4 4 2 2 2" xfId="3338" xr:uid="{00000000-0005-0000-0000-0000F20B0000}"/>
    <cellStyle name="Calculation 2 3 4 4 2 2 2 2" xfId="3339" xr:uid="{00000000-0005-0000-0000-0000F30B0000}"/>
    <cellStyle name="Calculation 2 3 4 4 2 2 3" xfId="3340" xr:uid="{00000000-0005-0000-0000-0000F40B0000}"/>
    <cellStyle name="Calculation 2 3 4 4 2 2 3 2" xfId="3341" xr:uid="{00000000-0005-0000-0000-0000F50B0000}"/>
    <cellStyle name="Calculation 2 3 4 4 2 2 4" xfId="3342" xr:uid="{00000000-0005-0000-0000-0000F60B0000}"/>
    <cellStyle name="Calculation 2 3 4 4 2 2 5" xfId="3343" xr:uid="{00000000-0005-0000-0000-0000F70B0000}"/>
    <cellStyle name="Calculation 2 3 4 4 2 2 6" xfId="3344" xr:uid="{00000000-0005-0000-0000-0000F80B0000}"/>
    <cellStyle name="Calculation 2 3 4 4 2 3" xfId="3345" xr:uid="{00000000-0005-0000-0000-0000F90B0000}"/>
    <cellStyle name="Calculation 2 3 4 4 2 3 2" xfId="3346" xr:uid="{00000000-0005-0000-0000-0000FA0B0000}"/>
    <cellStyle name="Calculation 2 3 4 4 2 4" xfId="3347" xr:uid="{00000000-0005-0000-0000-0000FB0B0000}"/>
    <cellStyle name="Calculation 2 3 4 4 2 4 2" xfId="3348" xr:uid="{00000000-0005-0000-0000-0000FC0B0000}"/>
    <cellStyle name="Calculation 2 3 4 4 2 5" xfId="3349" xr:uid="{00000000-0005-0000-0000-0000FD0B0000}"/>
    <cellStyle name="Calculation 2 3 4 4 2 6" xfId="3350" xr:uid="{00000000-0005-0000-0000-0000FE0B0000}"/>
    <cellStyle name="Calculation 2 3 4 4 2 7" xfId="3351" xr:uid="{00000000-0005-0000-0000-0000FF0B0000}"/>
    <cellStyle name="Calculation 2 3 4 4 3" xfId="3352" xr:uid="{00000000-0005-0000-0000-0000000C0000}"/>
    <cellStyle name="Calculation 2 3 4 4 3 2" xfId="3353" xr:uid="{00000000-0005-0000-0000-0000010C0000}"/>
    <cellStyle name="Calculation 2 3 4 4 3 2 2" xfId="3354" xr:uid="{00000000-0005-0000-0000-0000020C0000}"/>
    <cellStyle name="Calculation 2 3 4 4 3 3" xfId="3355" xr:uid="{00000000-0005-0000-0000-0000030C0000}"/>
    <cellStyle name="Calculation 2 3 4 4 3 3 2" xfId="3356" xr:uid="{00000000-0005-0000-0000-0000040C0000}"/>
    <cellStyle name="Calculation 2 3 4 4 3 4" xfId="3357" xr:uid="{00000000-0005-0000-0000-0000050C0000}"/>
    <cellStyle name="Calculation 2 3 4 4 3 5" xfId="3358" xr:uid="{00000000-0005-0000-0000-0000060C0000}"/>
    <cellStyle name="Calculation 2 3 4 4 3 6" xfId="3359" xr:uid="{00000000-0005-0000-0000-0000070C0000}"/>
    <cellStyle name="Calculation 2 3 4 4 4" xfId="3360" xr:uid="{00000000-0005-0000-0000-0000080C0000}"/>
    <cellStyle name="Calculation 2 3 4 4 4 2" xfId="3361" xr:uid="{00000000-0005-0000-0000-0000090C0000}"/>
    <cellStyle name="Calculation 2 3 4 4 5" xfId="3362" xr:uid="{00000000-0005-0000-0000-00000A0C0000}"/>
    <cellStyle name="Calculation 2 3 4 4 5 2" xfId="3363" xr:uid="{00000000-0005-0000-0000-00000B0C0000}"/>
    <cellStyle name="Calculation 2 3 4 4 6" xfId="3364" xr:uid="{00000000-0005-0000-0000-00000C0C0000}"/>
    <cellStyle name="Calculation 2 3 4 4 7" xfId="3365" xr:uid="{00000000-0005-0000-0000-00000D0C0000}"/>
    <cellStyle name="Calculation 2 3 4 4 8" xfId="3366" xr:uid="{00000000-0005-0000-0000-00000E0C0000}"/>
    <cellStyle name="Calculation 2 3 4 5" xfId="3367" xr:uid="{00000000-0005-0000-0000-00000F0C0000}"/>
    <cellStyle name="Calculation 2 3 4 5 2" xfId="3368" xr:uid="{00000000-0005-0000-0000-0000100C0000}"/>
    <cellStyle name="Calculation 2 3 4 5 2 2" xfId="3369" xr:uid="{00000000-0005-0000-0000-0000110C0000}"/>
    <cellStyle name="Calculation 2 3 4 5 2 2 2" xfId="3370" xr:uid="{00000000-0005-0000-0000-0000120C0000}"/>
    <cellStyle name="Calculation 2 3 4 5 2 3" xfId="3371" xr:uid="{00000000-0005-0000-0000-0000130C0000}"/>
    <cellStyle name="Calculation 2 3 4 5 2 3 2" xfId="3372" xr:uid="{00000000-0005-0000-0000-0000140C0000}"/>
    <cellStyle name="Calculation 2 3 4 5 2 4" xfId="3373" xr:uid="{00000000-0005-0000-0000-0000150C0000}"/>
    <cellStyle name="Calculation 2 3 4 5 2 5" xfId="3374" xr:uid="{00000000-0005-0000-0000-0000160C0000}"/>
    <cellStyle name="Calculation 2 3 4 5 2 6" xfId="3375" xr:uid="{00000000-0005-0000-0000-0000170C0000}"/>
    <cellStyle name="Calculation 2 3 4 5 3" xfId="3376" xr:uid="{00000000-0005-0000-0000-0000180C0000}"/>
    <cellStyle name="Calculation 2 3 4 5 3 2" xfId="3377" xr:uid="{00000000-0005-0000-0000-0000190C0000}"/>
    <cellStyle name="Calculation 2 3 4 5 4" xfId="3378" xr:uid="{00000000-0005-0000-0000-00001A0C0000}"/>
    <cellStyle name="Calculation 2 3 4 5 4 2" xfId="3379" xr:uid="{00000000-0005-0000-0000-00001B0C0000}"/>
    <cellStyle name="Calculation 2 3 4 5 5" xfId="3380" xr:uid="{00000000-0005-0000-0000-00001C0C0000}"/>
    <cellStyle name="Calculation 2 3 4 5 6" xfId="3381" xr:uid="{00000000-0005-0000-0000-00001D0C0000}"/>
    <cellStyle name="Calculation 2 3 4 5 7" xfId="3382" xr:uid="{00000000-0005-0000-0000-00001E0C0000}"/>
    <cellStyle name="Calculation 2 3 4 6" xfId="3383" xr:uid="{00000000-0005-0000-0000-00001F0C0000}"/>
    <cellStyle name="Calculation 2 3 4 6 2" xfId="3384" xr:uid="{00000000-0005-0000-0000-0000200C0000}"/>
    <cellStyle name="Calculation 2 3 4 6 2 2" xfId="3385" xr:uid="{00000000-0005-0000-0000-0000210C0000}"/>
    <cellStyle name="Calculation 2 3 4 6 3" xfId="3386" xr:uid="{00000000-0005-0000-0000-0000220C0000}"/>
    <cellStyle name="Calculation 2 3 4 6 3 2" xfId="3387" xr:uid="{00000000-0005-0000-0000-0000230C0000}"/>
    <cellStyle name="Calculation 2 3 4 6 4" xfId="3388" xr:uid="{00000000-0005-0000-0000-0000240C0000}"/>
    <cellStyle name="Calculation 2 3 4 6 5" xfId="3389" xr:uid="{00000000-0005-0000-0000-0000250C0000}"/>
    <cellStyle name="Calculation 2 3 4 6 6" xfId="3390" xr:uid="{00000000-0005-0000-0000-0000260C0000}"/>
    <cellStyle name="Calculation 2 3 4 7" xfId="3391" xr:uid="{00000000-0005-0000-0000-0000270C0000}"/>
    <cellStyle name="Calculation 2 3 4 7 2" xfId="3392" xr:uid="{00000000-0005-0000-0000-0000280C0000}"/>
    <cellStyle name="Calculation 2 3 4 8" xfId="3393" xr:uid="{00000000-0005-0000-0000-0000290C0000}"/>
    <cellStyle name="Calculation 2 3 4 8 2" xfId="3394" xr:uid="{00000000-0005-0000-0000-00002A0C0000}"/>
    <cellStyle name="Calculation 2 3 4 9" xfId="3395" xr:uid="{00000000-0005-0000-0000-00002B0C0000}"/>
    <cellStyle name="Calculation 2 3 5" xfId="3396" xr:uid="{00000000-0005-0000-0000-00002C0C0000}"/>
    <cellStyle name="Calculation 2 3 5 10" xfId="3397" xr:uid="{00000000-0005-0000-0000-00002D0C0000}"/>
    <cellStyle name="Calculation 2 3 5 2" xfId="3398" xr:uid="{00000000-0005-0000-0000-00002E0C0000}"/>
    <cellStyle name="Calculation 2 3 5 2 2" xfId="3399" xr:uid="{00000000-0005-0000-0000-00002F0C0000}"/>
    <cellStyle name="Calculation 2 3 5 2 2 2" xfId="3400" xr:uid="{00000000-0005-0000-0000-0000300C0000}"/>
    <cellStyle name="Calculation 2 3 5 2 2 2 2" xfId="3401" xr:uid="{00000000-0005-0000-0000-0000310C0000}"/>
    <cellStyle name="Calculation 2 3 5 2 2 2 2 2" xfId="3402" xr:uid="{00000000-0005-0000-0000-0000320C0000}"/>
    <cellStyle name="Calculation 2 3 5 2 2 2 3" xfId="3403" xr:uid="{00000000-0005-0000-0000-0000330C0000}"/>
    <cellStyle name="Calculation 2 3 5 2 2 2 3 2" xfId="3404" xr:uid="{00000000-0005-0000-0000-0000340C0000}"/>
    <cellStyle name="Calculation 2 3 5 2 2 2 4" xfId="3405" xr:uid="{00000000-0005-0000-0000-0000350C0000}"/>
    <cellStyle name="Calculation 2 3 5 2 2 2 5" xfId="3406" xr:uid="{00000000-0005-0000-0000-0000360C0000}"/>
    <cellStyle name="Calculation 2 3 5 2 2 2 6" xfId="3407" xr:uid="{00000000-0005-0000-0000-0000370C0000}"/>
    <cellStyle name="Calculation 2 3 5 2 2 3" xfId="3408" xr:uid="{00000000-0005-0000-0000-0000380C0000}"/>
    <cellStyle name="Calculation 2 3 5 2 2 3 2" xfId="3409" xr:uid="{00000000-0005-0000-0000-0000390C0000}"/>
    <cellStyle name="Calculation 2 3 5 2 2 4" xfId="3410" xr:uid="{00000000-0005-0000-0000-00003A0C0000}"/>
    <cellStyle name="Calculation 2 3 5 2 2 4 2" xfId="3411" xr:uid="{00000000-0005-0000-0000-00003B0C0000}"/>
    <cellStyle name="Calculation 2 3 5 2 2 5" xfId="3412" xr:uid="{00000000-0005-0000-0000-00003C0C0000}"/>
    <cellStyle name="Calculation 2 3 5 2 2 6" xfId="3413" xr:uid="{00000000-0005-0000-0000-00003D0C0000}"/>
    <cellStyle name="Calculation 2 3 5 2 2 7" xfId="3414" xr:uid="{00000000-0005-0000-0000-00003E0C0000}"/>
    <cellStyle name="Calculation 2 3 5 2 3" xfId="3415" xr:uid="{00000000-0005-0000-0000-00003F0C0000}"/>
    <cellStyle name="Calculation 2 3 5 2 3 2" xfId="3416" xr:uid="{00000000-0005-0000-0000-0000400C0000}"/>
    <cellStyle name="Calculation 2 3 5 2 3 2 2" xfId="3417" xr:uid="{00000000-0005-0000-0000-0000410C0000}"/>
    <cellStyle name="Calculation 2 3 5 2 3 3" xfId="3418" xr:uid="{00000000-0005-0000-0000-0000420C0000}"/>
    <cellStyle name="Calculation 2 3 5 2 3 3 2" xfId="3419" xr:uid="{00000000-0005-0000-0000-0000430C0000}"/>
    <cellStyle name="Calculation 2 3 5 2 3 4" xfId="3420" xr:uid="{00000000-0005-0000-0000-0000440C0000}"/>
    <cellStyle name="Calculation 2 3 5 2 3 5" xfId="3421" xr:uid="{00000000-0005-0000-0000-0000450C0000}"/>
    <cellStyle name="Calculation 2 3 5 2 3 6" xfId="3422" xr:uid="{00000000-0005-0000-0000-0000460C0000}"/>
    <cellStyle name="Calculation 2 3 5 2 4" xfId="3423" xr:uid="{00000000-0005-0000-0000-0000470C0000}"/>
    <cellStyle name="Calculation 2 3 5 2 4 2" xfId="3424" xr:uid="{00000000-0005-0000-0000-0000480C0000}"/>
    <cellStyle name="Calculation 2 3 5 2 5" xfId="3425" xr:uid="{00000000-0005-0000-0000-0000490C0000}"/>
    <cellStyle name="Calculation 2 3 5 2 5 2" xfId="3426" xr:uid="{00000000-0005-0000-0000-00004A0C0000}"/>
    <cellStyle name="Calculation 2 3 5 2 6" xfId="3427" xr:uid="{00000000-0005-0000-0000-00004B0C0000}"/>
    <cellStyle name="Calculation 2 3 5 2 7" xfId="3428" xr:uid="{00000000-0005-0000-0000-00004C0C0000}"/>
    <cellStyle name="Calculation 2 3 5 2 8" xfId="3429" xr:uid="{00000000-0005-0000-0000-00004D0C0000}"/>
    <cellStyle name="Calculation 2 3 5 3" xfId="3430" xr:uid="{00000000-0005-0000-0000-00004E0C0000}"/>
    <cellStyle name="Calculation 2 3 5 3 2" xfId="3431" xr:uid="{00000000-0005-0000-0000-00004F0C0000}"/>
    <cellStyle name="Calculation 2 3 5 3 2 2" xfId="3432" xr:uid="{00000000-0005-0000-0000-0000500C0000}"/>
    <cellStyle name="Calculation 2 3 5 3 2 2 2" xfId="3433" xr:uid="{00000000-0005-0000-0000-0000510C0000}"/>
    <cellStyle name="Calculation 2 3 5 3 2 2 2 2" xfId="3434" xr:uid="{00000000-0005-0000-0000-0000520C0000}"/>
    <cellStyle name="Calculation 2 3 5 3 2 2 3" xfId="3435" xr:uid="{00000000-0005-0000-0000-0000530C0000}"/>
    <cellStyle name="Calculation 2 3 5 3 2 2 3 2" xfId="3436" xr:uid="{00000000-0005-0000-0000-0000540C0000}"/>
    <cellStyle name="Calculation 2 3 5 3 2 2 4" xfId="3437" xr:uid="{00000000-0005-0000-0000-0000550C0000}"/>
    <cellStyle name="Calculation 2 3 5 3 2 2 5" xfId="3438" xr:uid="{00000000-0005-0000-0000-0000560C0000}"/>
    <cellStyle name="Calculation 2 3 5 3 2 2 6" xfId="3439" xr:uid="{00000000-0005-0000-0000-0000570C0000}"/>
    <cellStyle name="Calculation 2 3 5 3 2 3" xfId="3440" xr:uid="{00000000-0005-0000-0000-0000580C0000}"/>
    <cellStyle name="Calculation 2 3 5 3 2 3 2" xfId="3441" xr:uid="{00000000-0005-0000-0000-0000590C0000}"/>
    <cellStyle name="Calculation 2 3 5 3 2 4" xfId="3442" xr:uid="{00000000-0005-0000-0000-00005A0C0000}"/>
    <cellStyle name="Calculation 2 3 5 3 2 4 2" xfId="3443" xr:uid="{00000000-0005-0000-0000-00005B0C0000}"/>
    <cellStyle name="Calculation 2 3 5 3 2 5" xfId="3444" xr:uid="{00000000-0005-0000-0000-00005C0C0000}"/>
    <cellStyle name="Calculation 2 3 5 3 2 6" xfId="3445" xr:uid="{00000000-0005-0000-0000-00005D0C0000}"/>
    <cellStyle name="Calculation 2 3 5 3 2 7" xfId="3446" xr:uid="{00000000-0005-0000-0000-00005E0C0000}"/>
    <cellStyle name="Calculation 2 3 5 3 3" xfId="3447" xr:uid="{00000000-0005-0000-0000-00005F0C0000}"/>
    <cellStyle name="Calculation 2 3 5 3 3 2" xfId="3448" xr:uid="{00000000-0005-0000-0000-0000600C0000}"/>
    <cellStyle name="Calculation 2 3 5 3 3 2 2" xfId="3449" xr:uid="{00000000-0005-0000-0000-0000610C0000}"/>
    <cellStyle name="Calculation 2 3 5 3 3 3" xfId="3450" xr:uid="{00000000-0005-0000-0000-0000620C0000}"/>
    <cellStyle name="Calculation 2 3 5 3 3 3 2" xfId="3451" xr:uid="{00000000-0005-0000-0000-0000630C0000}"/>
    <cellStyle name="Calculation 2 3 5 3 3 4" xfId="3452" xr:uid="{00000000-0005-0000-0000-0000640C0000}"/>
    <cellStyle name="Calculation 2 3 5 3 3 5" xfId="3453" xr:uid="{00000000-0005-0000-0000-0000650C0000}"/>
    <cellStyle name="Calculation 2 3 5 3 3 6" xfId="3454" xr:uid="{00000000-0005-0000-0000-0000660C0000}"/>
    <cellStyle name="Calculation 2 3 5 3 4" xfId="3455" xr:uid="{00000000-0005-0000-0000-0000670C0000}"/>
    <cellStyle name="Calculation 2 3 5 3 4 2" xfId="3456" xr:uid="{00000000-0005-0000-0000-0000680C0000}"/>
    <cellStyle name="Calculation 2 3 5 3 5" xfId="3457" xr:uid="{00000000-0005-0000-0000-0000690C0000}"/>
    <cellStyle name="Calculation 2 3 5 3 5 2" xfId="3458" xr:uid="{00000000-0005-0000-0000-00006A0C0000}"/>
    <cellStyle name="Calculation 2 3 5 3 6" xfId="3459" xr:uid="{00000000-0005-0000-0000-00006B0C0000}"/>
    <cellStyle name="Calculation 2 3 5 3 7" xfId="3460" xr:uid="{00000000-0005-0000-0000-00006C0C0000}"/>
    <cellStyle name="Calculation 2 3 5 3 8" xfId="3461" xr:uid="{00000000-0005-0000-0000-00006D0C0000}"/>
    <cellStyle name="Calculation 2 3 5 4" xfId="3462" xr:uid="{00000000-0005-0000-0000-00006E0C0000}"/>
    <cellStyle name="Calculation 2 3 5 4 2" xfId="3463" xr:uid="{00000000-0005-0000-0000-00006F0C0000}"/>
    <cellStyle name="Calculation 2 3 5 4 2 2" xfId="3464" xr:uid="{00000000-0005-0000-0000-0000700C0000}"/>
    <cellStyle name="Calculation 2 3 5 4 2 2 2" xfId="3465" xr:uid="{00000000-0005-0000-0000-0000710C0000}"/>
    <cellStyle name="Calculation 2 3 5 4 2 3" xfId="3466" xr:uid="{00000000-0005-0000-0000-0000720C0000}"/>
    <cellStyle name="Calculation 2 3 5 4 2 3 2" xfId="3467" xr:uid="{00000000-0005-0000-0000-0000730C0000}"/>
    <cellStyle name="Calculation 2 3 5 4 2 4" xfId="3468" xr:uid="{00000000-0005-0000-0000-0000740C0000}"/>
    <cellStyle name="Calculation 2 3 5 4 2 5" xfId="3469" xr:uid="{00000000-0005-0000-0000-0000750C0000}"/>
    <cellStyle name="Calculation 2 3 5 4 2 6" xfId="3470" xr:uid="{00000000-0005-0000-0000-0000760C0000}"/>
    <cellStyle name="Calculation 2 3 5 4 3" xfId="3471" xr:uid="{00000000-0005-0000-0000-0000770C0000}"/>
    <cellStyle name="Calculation 2 3 5 4 3 2" xfId="3472" xr:uid="{00000000-0005-0000-0000-0000780C0000}"/>
    <cellStyle name="Calculation 2 3 5 4 4" xfId="3473" xr:uid="{00000000-0005-0000-0000-0000790C0000}"/>
    <cellStyle name="Calculation 2 3 5 4 4 2" xfId="3474" xr:uid="{00000000-0005-0000-0000-00007A0C0000}"/>
    <cellStyle name="Calculation 2 3 5 4 5" xfId="3475" xr:uid="{00000000-0005-0000-0000-00007B0C0000}"/>
    <cellStyle name="Calculation 2 3 5 4 6" xfId="3476" xr:uid="{00000000-0005-0000-0000-00007C0C0000}"/>
    <cellStyle name="Calculation 2 3 5 4 7" xfId="3477" xr:uid="{00000000-0005-0000-0000-00007D0C0000}"/>
    <cellStyle name="Calculation 2 3 5 5" xfId="3478" xr:uid="{00000000-0005-0000-0000-00007E0C0000}"/>
    <cellStyle name="Calculation 2 3 5 5 2" xfId="3479" xr:uid="{00000000-0005-0000-0000-00007F0C0000}"/>
    <cellStyle name="Calculation 2 3 5 5 2 2" xfId="3480" xr:uid="{00000000-0005-0000-0000-0000800C0000}"/>
    <cellStyle name="Calculation 2 3 5 5 3" xfId="3481" xr:uid="{00000000-0005-0000-0000-0000810C0000}"/>
    <cellStyle name="Calculation 2 3 5 5 3 2" xfId="3482" xr:uid="{00000000-0005-0000-0000-0000820C0000}"/>
    <cellStyle name="Calculation 2 3 5 5 4" xfId="3483" xr:uid="{00000000-0005-0000-0000-0000830C0000}"/>
    <cellStyle name="Calculation 2 3 5 5 5" xfId="3484" xr:uid="{00000000-0005-0000-0000-0000840C0000}"/>
    <cellStyle name="Calculation 2 3 5 5 6" xfId="3485" xr:uid="{00000000-0005-0000-0000-0000850C0000}"/>
    <cellStyle name="Calculation 2 3 5 6" xfId="3486" xr:uid="{00000000-0005-0000-0000-0000860C0000}"/>
    <cellStyle name="Calculation 2 3 5 6 2" xfId="3487" xr:uid="{00000000-0005-0000-0000-0000870C0000}"/>
    <cellStyle name="Calculation 2 3 5 7" xfId="3488" xr:uid="{00000000-0005-0000-0000-0000880C0000}"/>
    <cellStyle name="Calculation 2 3 5 7 2" xfId="3489" xr:uid="{00000000-0005-0000-0000-0000890C0000}"/>
    <cellStyle name="Calculation 2 3 5 8" xfId="3490" xr:uid="{00000000-0005-0000-0000-00008A0C0000}"/>
    <cellStyle name="Calculation 2 3 5 9" xfId="3491" xr:uid="{00000000-0005-0000-0000-00008B0C0000}"/>
    <cellStyle name="Calculation 2 3 6" xfId="3492" xr:uid="{00000000-0005-0000-0000-00008C0C0000}"/>
    <cellStyle name="Calculation 2 3 6 2" xfId="3493" xr:uid="{00000000-0005-0000-0000-00008D0C0000}"/>
    <cellStyle name="Calculation 2 3 6 2 2" xfId="3494" xr:uid="{00000000-0005-0000-0000-00008E0C0000}"/>
    <cellStyle name="Calculation 2 3 6 2 2 2" xfId="3495" xr:uid="{00000000-0005-0000-0000-00008F0C0000}"/>
    <cellStyle name="Calculation 2 3 6 2 2 2 2" xfId="3496" xr:uid="{00000000-0005-0000-0000-0000900C0000}"/>
    <cellStyle name="Calculation 2 3 6 2 2 3" xfId="3497" xr:uid="{00000000-0005-0000-0000-0000910C0000}"/>
    <cellStyle name="Calculation 2 3 6 2 2 3 2" xfId="3498" xr:uid="{00000000-0005-0000-0000-0000920C0000}"/>
    <cellStyle name="Calculation 2 3 6 2 2 4" xfId="3499" xr:uid="{00000000-0005-0000-0000-0000930C0000}"/>
    <cellStyle name="Calculation 2 3 6 2 2 5" xfId="3500" xr:uid="{00000000-0005-0000-0000-0000940C0000}"/>
    <cellStyle name="Calculation 2 3 6 2 2 6" xfId="3501" xr:uid="{00000000-0005-0000-0000-0000950C0000}"/>
    <cellStyle name="Calculation 2 3 6 2 3" xfId="3502" xr:uid="{00000000-0005-0000-0000-0000960C0000}"/>
    <cellStyle name="Calculation 2 3 6 2 3 2" xfId="3503" xr:uid="{00000000-0005-0000-0000-0000970C0000}"/>
    <cellStyle name="Calculation 2 3 6 2 4" xfId="3504" xr:uid="{00000000-0005-0000-0000-0000980C0000}"/>
    <cellStyle name="Calculation 2 3 6 2 4 2" xfId="3505" xr:uid="{00000000-0005-0000-0000-0000990C0000}"/>
    <cellStyle name="Calculation 2 3 6 2 5" xfId="3506" xr:uid="{00000000-0005-0000-0000-00009A0C0000}"/>
    <cellStyle name="Calculation 2 3 6 2 6" xfId="3507" xr:uid="{00000000-0005-0000-0000-00009B0C0000}"/>
    <cellStyle name="Calculation 2 3 6 2 7" xfId="3508" xr:uid="{00000000-0005-0000-0000-00009C0C0000}"/>
    <cellStyle name="Calculation 2 3 6 3" xfId="3509" xr:uid="{00000000-0005-0000-0000-00009D0C0000}"/>
    <cellStyle name="Calculation 2 3 6 3 2" xfId="3510" xr:uid="{00000000-0005-0000-0000-00009E0C0000}"/>
    <cellStyle name="Calculation 2 3 6 3 2 2" xfId="3511" xr:uid="{00000000-0005-0000-0000-00009F0C0000}"/>
    <cellStyle name="Calculation 2 3 6 3 3" xfId="3512" xr:uid="{00000000-0005-0000-0000-0000A00C0000}"/>
    <cellStyle name="Calculation 2 3 6 3 3 2" xfId="3513" xr:uid="{00000000-0005-0000-0000-0000A10C0000}"/>
    <cellStyle name="Calculation 2 3 6 3 4" xfId="3514" xr:uid="{00000000-0005-0000-0000-0000A20C0000}"/>
    <cellStyle name="Calculation 2 3 6 3 5" xfId="3515" xr:uid="{00000000-0005-0000-0000-0000A30C0000}"/>
    <cellStyle name="Calculation 2 3 6 3 6" xfId="3516" xr:uid="{00000000-0005-0000-0000-0000A40C0000}"/>
    <cellStyle name="Calculation 2 3 6 4" xfId="3517" xr:uid="{00000000-0005-0000-0000-0000A50C0000}"/>
    <cellStyle name="Calculation 2 3 6 4 2" xfId="3518" xr:uid="{00000000-0005-0000-0000-0000A60C0000}"/>
    <cellStyle name="Calculation 2 3 6 5" xfId="3519" xr:uid="{00000000-0005-0000-0000-0000A70C0000}"/>
    <cellStyle name="Calculation 2 3 6 5 2" xfId="3520" xr:uid="{00000000-0005-0000-0000-0000A80C0000}"/>
    <cellStyle name="Calculation 2 3 6 6" xfId="3521" xr:uid="{00000000-0005-0000-0000-0000A90C0000}"/>
    <cellStyle name="Calculation 2 3 6 7" xfId="3522" xr:uid="{00000000-0005-0000-0000-0000AA0C0000}"/>
    <cellStyle name="Calculation 2 3 6 8" xfId="3523" xr:uid="{00000000-0005-0000-0000-0000AB0C0000}"/>
    <cellStyle name="Calculation 2 3 7" xfId="3524" xr:uid="{00000000-0005-0000-0000-0000AC0C0000}"/>
    <cellStyle name="Calculation 2 3 7 2" xfId="3525" xr:uid="{00000000-0005-0000-0000-0000AD0C0000}"/>
    <cellStyle name="Calculation 2 3 7 2 2" xfId="3526" xr:uid="{00000000-0005-0000-0000-0000AE0C0000}"/>
    <cellStyle name="Calculation 2 3 7 2 2 2" xfId="3527" xr:uid="{00000000-0005-0000-0000-0000AF0C0000}"/>
    <cellStyle name="Calculation 2 3 7 2 3" xfId="3528" xr:uid="{00000000-0005-0000-0000-0000B00C0000}"/>
    <cellStyle name="Calculation 2 3 7 2 3 2" xfId="3529" xr:uid="{00000000-0005-0000-0000-0000B10C0000}"/>
    <cellStyle name="Calculation 2 3 7 2 4" xfId="3530" xr:uid="{00000000-0005-0000-0000-0000B20C0000}"/>
    <cellStyle name="Calculation 2 3 7 2 5" xfId="3531" xr:uid="{00000000-0005-0000-0000-0000B30C0000}"/>
    <cellStyle name="Calculation 2 3 7 2 6" xfId="3532" xr:uid="{00000000-0005-0000-0000-0000B40C0000}"/>
    <cellStyle name="Calculation 2 3 7 3" xfId="3533" xr:uid="{00000000-0005-0000-0000-0000B50C0000}"/>
    <cellStyle name="Calculation 2 3 7 3 2" xfId="3534" xr:uid="{00000000-0005-0000-0000-0000B60C0000}"/>
    <cellStyle name="Calculation 2 3 7 4" xfId="3535" xr:uid="{00000000-0005-0000-0000-0000B70C0000}"/>
    <cellStyle name="Calculation 2 3 7 4 2" xfId="3536" xr:uid="{00000000-0005-0000-0000-0000B80C0000}"/>
    <cellStyle name="Calculation 2 3 7 5" xfId="3537" xr:uid="{00000000-0005-0000-0000-0000B90C0000}"/>
    <cellStyle name="Calculation 2 3 7 6" xfId="3538" xr:uid="{00000000-0005-0000-0000-0000BA0C0000}"/>
    <cellStyle name="Calculation 2 3 7 7" xfId="3539" xr:uid="{00000000-0005-0000-0000-0000BB0C0000}"/>
    <cellStyle name="Calculation 2 3 8" xfId="3540" xr:uid="{00000000-0005-0000-0000-0000BC0C0000}"/>
    <cellStyle name="Calculation 2 3 8 2" xfId="3541" xr:uid="{00000000-0005-0000-0000-0000BD0C0000}"/>
    <cellStyle name="Calculation 2 3 9" xfId="3542" xr:uid="{00000000-0005-0000-0000-0000BE0C0000}"/>
    <cellStyle name="Calculation 2 3 9 2" xfId="3543" xr:uid="{00000000-0005-0000-0000-0000BF0C0000}"/>
    <cellStyle name="Calculation 2 4" xfId="3544" xr:uid="{00000000-0005-0000-0000-0000C00C0000}"/>
    <cellStyle name="Calculation 2 4 10" xfId="3545" xr:uid="{00000000-0005-0000-0000-0000C10C0000}"/>
    <cellStyle name="Calculation 2 4 11" xfId="3546" xr:uid="{00000000-0005-0000-0000-0000C20C0000}"/>
    <cellStyle name="Calculation 2 4 12" xfId="3547" xr:uid="{00000000-0005-0000-0000-0000C30C0000}"/>
    <cellStyle name="Calculation 2 4 2" xfId="3548" xr:uid="{00000000-0005-0000-0000-0000C40C0000}"/>
    <cellStyle name="Calculation 2 4 2 10" xfId="3549" xr:uid="{00000000-0005-0000-0000-0000C50C0000}"/>
    <cellStyle name="Calculation 2 4 2 11" xfId="3550" xr:uid="{00000000-0005-0000-0000-0000C60C0000}"/>
    <cellStyle name="Calculation 2 4 2 2" xfId="3551" xr:uid="{00000000-0005-0000-0000-0000C70C0000}"/>
    <cellStyle name="Calculation 2 4 2 2 10" xfId="3552" xr:uid="{00000000-0005-0000-0000-0000C80C0000}"/>
    <cellStyle name="Calculation 2 4 2 2 2" xfId="3553" xr:uid="{00000000-0005-0000-0000-0000C90C0000}"/>
    <cellStyle name="Calculation 2 4 2 2 2 2" xfId="3554" xr:uid="{00000000-0005-0000-0000-0000CA0C0000}"/>
    <cellStyle name="Calculation 2 4 2 2 2 2 2" xfId="3555" xr:uid="{00000000-0005-0000-0000-0000CB0C0000}"/>
    <cellStyle name="Calculation 2 4 2 2 2 2 2 2" xfId="3556" xr:uid="{00000000-0005-0000-0000-0000CC0C0000}"/>
    <cellStyle name="Calculation 2 4 2 2 2 2 2 2 2" xfId="3557" xr:uid="{00000000-0005-0000-0000-0000CD0C0000}"/>
    <cellStyle name="Calculation 2 4 2 2 2 2 2 3" xfId="3558" xr:uid="{00000000-0005-0000-0000-0000CE0C0000}"/>
    <cellStyle name="Calculation 2 4 2 2 2 2 2 3 2" xfId="3559" xr:uid="{00000000-0005-0000-0000-0000CF0C0000}"/>
    <cellStyle name="Calculation 2 4 2 2 2 2 2 4" xfId="3560" xr:uid="{00000000-0005-0000-0000-0000D00C0000}"/>
    <cellStyle name="Calculation 2 4 2 2 2 2 2 5" xfId="3561" xr:uid="{00000000-0005-0000-0000-0000D10C0000}"/>
    <cellStyle name="Calculation 2 4 2 2 2 2 2 6" xfId="3562" xr:uid="{00000000-0005-0000-0000-0000D20C0000}"/>
    <cellStyle name="Calculation 2 4 2 2 2 2 3" xfId="3563" xr:uid="{00000000-0005-0000-0000-0000D30C0000}"/>
    <cellStyle name="Calculation 2 4 2 2 2 2 3 2" xfId="3564" xr:uid="{00000000-0005-0000-0000-0000D40C0000}"/>
    <cellStyle name="Calculation 2 4 2 2 2 2 4" xfId="3565" xr:uid="{00000000-0005-0000-0000-0000D50C0000}"/>
    <cellStyle name="Calculation 2 4 2 2 2 2 4 2" xfId="3566" xr:uid="{00000000-0005-0000-0000-0000D60C0000}"/>
    <cellStyle name="Calculation 2 4 2 2 2 2 5" xfId="3567" xr:uid="{00000000-0005-0000-0000-0000D70C0000}"/>
    <cellStyle name="Calculation 2 4 2 2 2 2 6" xfId="3568" xr:uid="{00000000-0005-0000-0000-0000D80C0000}"/>
    <cellStyle name="Calculation 2 4 2 2 2 2 7" xfId="3569" xr:uid="{00000000-0005-0000-0000-0000D90C0000}"/>
    <cellStyle name="Calculation 2 4 2 2 2 3" xfId="3570" xr:uid="{00000000-0005-0000-0000-0000DA0C0000}"/>
    <cellStyle name="Calculation 2 4 2 2 2 3 2" xfId="3571" xr:uid="{00000000-0005-0000-0000-0000DB0C0000}"/>
    <cellStyle name="Calculation 2 4 2 2 2 3 2 2" xfId="3572" xr:uid="{00000000-0005-0000-0000-0000DC0C0000}"/>
    <cellStyle name="Calculation 2 4 2 2 2 3 3" xfId="3573" xr:uid="{00000000-0005-0000-0000-0000DD0C0000}"/>
    <cellStyle name="Calculation 2 4 2 2 2 3 3 2" xfId="3574" xr:uid="{00000000-0005-0000-0000-0000DE0C0000}"/>
    <cellStyle name="Calculation 2 4 2 2 2 3 4" xfId="3575" xr:uid="{00000000-0005-0000-0000-0000DF0C0000}"/>
    <cellStyle name="Calculation 2 4 2 2 2 3 5" xfId="3576" xr:uid="{00000000-0005-0000-0000-0000E00C0000}"/>
    <cellStyle name="Calculation 2 4 2 2 2 3 6" xfId="3577" xr:uid="{00000000-0005-0000-0000-0000E10C0000}"/>
    <cellStyle name="Calculation 2 4 2 2 2 4" xfId="3578" xr:uid="{00000000-0005-0000-0000-0000E20C0000}"/>
    <cellStyle name="Calculation 2 4 2 2 2 4 2" xfId="3579" xr:uid="{00000000-0005-0000-0000-0000E30C0000}"/>
    <cellStyle name="Calculation 2 4 2 2 2 5" xfId="3580" xr:uid="{00000000-0005-0000-0000-0000E40C0000}"/>
    <cellStyle name="Calculation 2 4 2 2 2 5 2" xfId="3581" xr:uid="{00000000-0005-0000-0000-0000E50C0000}"/>
    <cellStyle name="Calculation 2 4 2 2 2 6" xfId="3582" xr:uid="{00000000-0005-0000-0000-0000E60C0000}"/>
    <cellStyle name="Calculation 2 4 2 2 2 7" xfId="3583" xr:uid="{00000000-0005-0000-0000-0000E70C0000}"/>
    <cellStyle name="Calculation 2 4 2 2 2 8" xfId="3584" xr:uid="{00000000-0005-0000-0000-0000E80C0000}"/>
    <cellStyle name="Calculation 2 4 2 2 3" xfId="3585" xr:uid="{00000000-0005-0000-0000-0000E90C0000}"/>
    <cellStyle name="Calculation 2 4 2 2 3 2" xfId="3586" xr:uid="{00000000-0005-0000-0000-0000EA0C0000}"/>
    <cellStyle name="Calculation 2 4 2 2 3 2 2" xfId="3587" xr:uid="{00000000-0005-0000-0000-0000EB0C0000}"/>
    <cellStyle name="Calculation 2 4 2 2 3 2 2 2" xfId="3588" xr:uid="{00000000-0005-0000-0000-0000EC0C0000}"/>
    <cellStyle name="Calculation 2 4 2 2 3 2 2 2 2" xfId="3589" xr:uid="{00000000-0005-0000-0000-0000ED0C0000}"/>
    <cellStyle name="Calculation 2 4 2 2 3 2 2 3" xfId="3590" xr:uid="{00000000-0005-0000-0000-0000EE0C0000}"/>
    <cellStyle name="Calculation 2 4 2 2 3 2 2 3 2" xfId="3591" xr:uid="{00000000-0005-0000-0000-0000EF0C0000}"/>
    <cellStyle name="Calculation 2 4 2 2 3 2 2 4" xfId="3592" xr:uid="{00000000-0005-0000-0000-0000F00C0000}"/>
    <cellStyle name="Calculation 2 4 2 2 3 2 2 5" xfId="3593" xr:uid="{00000000-0005-0000-0000-0000F10C0000}"/>
    <cellStyle name="Calculation 2 4 2 2 3 2 2 6" xfId="3594" xr:uid="{00000000-0005-0000-0000-0000F20C0000}"/>
    <cellStyle name="Calculation 2 4 2 2 3 2 3" xfId="3595" xr:uid="{00000000-0005-0000-0000-0000F30C0000}"/>
    <cellStyle name="Calculation 2 4 2 2 3 2 3 2" xfId="3596" xr:uid="{00000000-0005-0000-0000-0000F40C0000}"/>
    <cellStyle name="Calculation 2 4 2 2 3 2 4" xfId="3597" xr:uid="{00000000-0005-0000-0000-0000F50C0000}"/>
    <cellStyle name="Calculation 2 4 2 2 3 2 4 2" xfId="3598" xr:uid="{00000000-0005-0000-0000-0000F60C0000}"/>
    <cellStyle name="Calculation 2 4 2 2 3 2 5" xfId="3599" xr:uid="{00000000-0005-0000-0000-0000F70C0000}"/>
    <cellStyle name="Calculation 2 4 2 2 3 2 6" xfId="3600" xr:uid="{00000000-0005-0000-0000-0000F80C0000}"/>
    <cellStyle name="Calculation 2 4 2 2 3 2 7" xfId="3601" xr:uid="{00000000-0005-0000-0000-0000F90C0000}"/>
    <cellStyle name="Calculation 2 4 2 2 3 3" xfId="3602" xr:uid="{00000000-0005-0000-0000-0000FA0C0000}"/>
    <cellStyle name="Calculation 2 4 2 2 3 3 2" xfId="3603" xr:uid="{00000000-0005-0000-0000-0000FB0C0000}"/>
    <cellStyle name="Calculation 2 4 2 2 3 3 2 2" xfId="3604" xr:uid="{00000000-0005-0000-0000-0000FC0C0000}"/>
    <cellStyle name="Calculation 2 4 2 2 3 3 3" xfId="3605" xr:uid="{00000000-0005-0000-0000-0000FD0C0000}"/>
    <cellStyle name="Calculation 2 4 2 2 3 3 3 2" xfId="3606" xr:uid="{00000000-0005-0000-0000-0000FE0C0000}"/>
    <cellStyle name="Calculation 2 4 2 2 3 3 4" xfId="3607" xr:uid="{00000000-0005-0000-0000-0000FF0C0000}"/>
    <cellStyle name="Calculation 2 4 2 2 3 3 5" xfId="3608" xr:uid="{00000000-0005-0000-0000-0000000D0000}"/>
    <cellStyle name="Calculation 2 4 2 2 3 3 6" xfId="3609" xr:uid="{00000000-0005-0000-0000-0000010D0000}"/>
    <cellStyle name="Calculation 2 4 2 2 3 4" xfId="3610" xr:uid="{00000000-0005-0000-0000-0000020D0000}"/>
    <cellStyle name="Calculation 2 4 2 2 3 4 2" xfId="3611" xr:uid="{00000000-0005-0000-0000-0000030D0000}"/>
    <cellStyle name="Calculation 2 4 2 2 3 5" xfId="3612" xr:uid="{00000000-0005-0000-0000-0000040D0000}"/>
    <cellStyle name="Calculation 2 4 2 2 3 5 2" xfId="3613" xr:uid="{00000000-0005-0000-0000-0000050D0000}"/>
    <cellStyle name="Calculation 2 4 2 2 3 6" xfId="3614" xr:uid="{00000000-0005-0000-0000-0000060D0000}"/>
    <cellStyle name="Calculation 2 4 2 2 3 7" xfId="3615" xr:uid="{00000000-0005-0000-0000-0000070D0000}"/>
    <cellStyle name="Calculation 2 4 2 2 3 8" xfId="3616" xr:uid="{00000000-0005-0000-0000-0000080D0000}"/>
    <cellStyle name="Calculation 2 4 2 2 4" xfId="3617" xr:uid="{00000000-0005-0000-0000-0000090D0000}"/>
    <cellStyle name="Calculation 2 4 2 2 4 2" xfId="3618" xr:uid="{00000000-0005-0000-0000-00000A0D0000}"/>
    <cellStyle name="Calculation 2 4 2 2 4 2 2" xfId="3619" xr:uid="{00000000-0005-0000-0000-00000B0D0000}"/>
    <cellStyle name="Calculation 2 4 2 2 4 2 2 2" xfId="3620" xr:uid="{00000000-0005-0000-0000-00000C0D0000}"/>
    <cellStyle name="Calculation 2 4 2 2 4 2 3" xfId="3621" xr:uid="{00000000-0005-0000-0000-00000D0D0000}"/>
    <cellStyle name="Calculation 2 4 2 2 4 2 3 2" xfId="3622" xr:uid="{00000000-0005-0000-0000-00000E0D0000}"/>
    <cellStyle name="Calculation 2 4 2 2 4 2 4" xfId="3623" xr:uid="{00000000-0005-0000-0000-00000F0D0000}"/>
    <cellStyle name="Calculation 2 4 2 2 4 2 5" xfId="3624" xr:uid="{00000000-0005-0000-0000-0000100D0000}"/>
    <cellStyle name="Calculation 2 4 2 2 4 2 6" xfId="3625" xr:uid="{00000000-0005-0000-0000-0000110D0000}"/>
    <cellStyle name="Calculation 2 4 2 2 4 3" xfId="3626" xr:uid="{00000000-0005-0000-0000-0000120D0000}"/>
    <cellStyle name="Calculation 2 4 2 2 4 3 2" xfId="3627" xr:uid="{00000000-0005-0000-0000-0000130D0000}"/>
    <cellStyle name="Calculation 2 4 2 2 4 4" xfId="3628" xr:uid="{00000000-0005-0000-0000-0000140D0000}"/>
    <cellStyle name="Calculation 2 4 2 2 4 4 2" xfId="3629" xr:uid="{00000000-0005-0000-0000-0000150D0000}"/>
    <cellStyle name="Calculation 2 4 2 2 4 5" xfId="3630" xr:uid="{00000000-0005-0000-0000-0000160D0000}"/>
    <cellStyle name="Calculation 2 4 2 2 4 6" xfId="3631" xr:uid="{00000000-0005-0000-0000-0000170D0000}"/>
    <cellStyle name="Calculation 2 4 2 2 4 7" xfId="3632" xr:uid="{00000000-0005-0000-0000-0000180D0000}"/>
    <cellStyle name="Calculation 2 4 2 2 5" xfId="3633" xr:uid="{00000000-0005-0000-0000-0000190D0000}"/>
    <cellStyle name="Calculation 2 4 2 2 5 2" xfId="3634" xr:uid="{00000000-0005-0000-0000-00001A0D0000}"/>
    <cellStyle name="Calculation 2 4 2 2 5 2 2" xfId="3635" xr:uid="{00000000-0005-0000-0000-00001B0D0000}"/>
    <cellStyle name="Calculation 2 4 2 2 5 3" xfId="3636" xr:uid="{00000000-0005-0000-0000-00001C0D0000}"/>
    <cellStyle name="Calculation 2 4 2 2 5 3 2" xfId="3637" xr:uid="{00000000-0005-0000-0000-00001D0D0000}"/>
    <cellStyle name="Calculation 2 4 2 2 5 4" xfId="3638" xr:uid="{00000000-0005-0000-0000-00001E0D0000}"/>
    <cellStyle name="Calculation 2 4 2 2 5 5" xfId="3639" xr:uid="{00000000-0005-0000-0000-00001F0D0000}"/>
    <cellStyle name="Calculation 2 4 2 2 5 6" xfId="3640" xr:uid="{00000000-0005-0000-0000-0000200D0000}"/>
    <cellStyle name="Calculation 2 4 2 2 6" xfId="3641" xr:uid="{00000000-0005-0000-0000-0000210D0000}"/>
    <cellStyle name="Calculation 2 4 2 2 6 2" xfId="3642" xr:uid="{00000000-0005-0000-0000-0000220D0000}"/>
    <cellStyle name="Calculation 2 4 2 2 7" xfId="3643" xr:uid="{00000000-0005-0000-0000-0000230D0000}"/>
    <cellStyle name="Calculation 2 4 2 2 7 2" xfId="3644" xr:uid="{00000000-0005-0000-0000-0000240D0000}"/>
    <cellStyle name="Calculation 2 4 2 2 8" xfId="3645" xr:uid="{00000000-0005-0000-0000-0000250D0000}"/>
    <cellStyle name="Calculation 2 4 2 2 9" xfId="3646" xr:uid="{00000000-0005-0000-0000-0000260D0000}"/>
    <cellStyle name="Calculation 2 4 2 3" xfId="3647" xr:uid="{00000000-0005-0000-0000-0000270D0000}"/>
    <cellStyle name="Calculation 2 4 2 3 2" xfId="3648" xr:uid="{00000000-0005-0000-0000-0000280D0000}"/>
    <cellStyle name="Calculation 2 4 2 3 2 2" xfId="3649" xr:uid="{00000000-0005-0000-0000-0000290D0000}"/>
    <cellStyle name="Calculation 2 4 2 3 2 2 2" xfId="3650" xr:uid="{00000000-0005-0000-0000-00002A0D0000}"/>
    <cellStyle name="Calculation 2 4 2 3 2 2 2 2" xfId="3651" xr:uid="{00000000-0005-0000-0000-00002B0D0000}"/>
    <cellStyle name="Calculation 2 4 2 3 2 2 3" xfId="3652" xr:uid="{00000000-0005-0000-0000-00002C0D0000}"/>
    <cellStyle name="Calculation 2 4 2 3 2 2 3 2" xfId="3653" xr:uid="{00000000-0005-0000-0000-00002D0D0000}"/>
    <cellStyle name="Calculation 2 4 2 3 2 2 4" xfId="3654" xr:uid="{00000000-0005-0000-0000-00002E0D0000}"/>
    <cellStyle name="Calculation 2 4 2 3 2 2 5" xfId="3655" xr:uid="{00000000-0005-0000-0000-00002F0D0000}"/>
    <cellStyle name="Calculation 2 4 2 3 2 2 6" xfId="3656" xr:uid="{00000000-0005-0000-0000-0000300D0000}"/>
    <cellStyle name="Calculation 2 4 2 3 2 3" xfId="3657" xr:uid="{00000000-0005-0000-0000-0000310D0000}"/>
    <cellStyle name="Calculation 2 4 2 3 2 3 2" xfId="3658" xr:uid="{00000000-0005-0000-0000-0000320D0000}"/>
    <cellStyle name="Calculation 2 4 2 3 2 4" xfId="3659" xr:uid="{00000000-0005-0000-0000-0000330D0000}"/>
    <cellStyle name="Calculation 2 4 2 3 2 4 2" xfId="3660" xr:uid="{00000000-0005-0000-0000-0000340D0000}"/>
    <cellStyle name="Calculation 2 4 2 3 2 5" xfId="3661" xr:uid="{00000000-0005-0000-0000-0000350D0000}"/>
    <cellStyle name="Calculation 2 4 2 3 2 6" xfId="3662" xr:uid="{00000000-0005-0000-0000-0000360D0000}"/>
    <cellStyle name="Calculation 2 4 2 3 2 7" xfId="3663" xr:uid="{00000000-0005-0000-0000-0000370D0000}"/>
    <cellStyle name="Calculation 2 4 2 3 3" xfId="3664" xr:uid="{00000000-0005-0000-0000-0000380D0000}"/>
    <cellStyle name="Calculation 2 4 2 3 3 2" xfId="3665" xr:uid="{00000000-0005-0000-0000-0000390D0000}"/>
    <cellStyle name="Calculation 2 4 2 3 3 2 2" xfId="3666" xr:uid="{00000000-0005-0000-0000-00003A0D0000}"/>
    <cellStyle name="Calculation 2 4 2 3 3 3" xfId="3667" xr:uid="{00000000-0005-0000-0000-00003B0D0000}"/>
    <cellStyle name="Calculation 2 4 2 3 3 3 2" xfId="3668" xr:uid="{00000000-0005-0000-0000-00003C0D0000}"/>
    <cellStyle name="Calculation 2 4 2 3 3 4" xfId="3669" xr:uid="{00000000-0005-0000-0000-00003D0D0000}"/>
    <cellStyle name="Calculation 2 4 2 3 3 5" xfId="3670" xr:uid="{00000000-0005-0000-0000-00003E0D0000}"/>
    <cellStyle name="Calculation 2 4 2 3 3 6" xfId="3671" xr:uid="{00000000-0005-0000-0000-00003F0D0000}"/>
    <cellStyle name="Calculation 2 4 2 3 4" xfId="3672" xr:uid="{00000000-0005-0000-0000-0000400D0000}"/>
    <cellStyle name="Calculation 2 4 2 3 4 2" xfId="3673" xr:uid="{00000000-0005-0000-0000-0000410D0000}"/>
    <cellStyle name="Calculation 2 4 2 3 5" xfId="3674" xr:uid="{00000000-0005-0000-0000-0000420D0000}"/>
    <cellStyle name="Calculation 2 4 2 3 5 2" xfId="3675" xr:uid="{00000000-0005-0000-0000-0000430D0000}"/>
    <cellStyle name="Calculation 2 4 2 3 6" xfId="3676" xr:uid="{00000000-0005-0000-0000-0000440D0000}"/>
    <cellStyle name="Calculation 2 4 2 3 7" xfId="3677" xr:uid="{00000000-0005-0000-0000-0000450D0000}"/>
    <cellStyle name="Calculation 2 4 2 3 8" xfId="3678" xr:uid="{00000000-0005-0000-0000-0000460D0000}"/>
    <cellStyle name="Calculation 2 4 2 4" xfId="3679" xr:uid="{00000000-0005-0000-0000-0000470D0000}"/>
    <cellStyle name="Calculation 2 4 2 4 2" xfId="3680" xr:uid="{00000000-0005-0000-0000-0000480D0000}"/>
    <cellStyle name="Calculation 2 4 2 4 2 2" xfId="3681" xr:uid="{00000000-0005-0000-0000-0000490D0000}"/>
    <cellStyle name="Calculation 2 4 2 4 2 2 2" xfId="3682" xr:uid="{00000000-0005-0000-0000-00004A0D0000}"/>
    <cellStyle name="Calculation 2 4 2 4 2 2 2 2" xfId="3683" xr:uid="{00000000-0005-0000-0000-00004B0D0000}"/>
    <cellStyle name="Calculation 2 4 2 4 2 2 3" xfId="3684" xr:uid="{00000000-0005-0000-0000-00004C0D0000}"/>
    <cellStyle name="Calculation 2 4 2 4 2 2 3 2" xfId="3685" xr:uid="{00000000-0005-0000-0000-00004D0D0000}"/>
    <cellStyle name="Calculation 2 4 2 4 2 2 4" xfId="3686" xr:uid="{00000000-0005-0000-0000-00004E0D0000}"/>
    <cellStyle name="Calculation 2 4 2 4 2 2 5" xfId="3687" xr:uid="{00000000-0005-0000-0000-00004F0D0000}"/>
    <cellStyle name="Calculation 2 4 2 4 2 2 6" xfId="3688" xr:uid="{00000000-0005-0000-0000-0000500D0000}"/>
    <cellStyle name="Calculation 2 4 2 4 2 3" xfId="3689" xr:uid="{00000000-0005-0000-0000-0000510D0000}"/>
    <cellStyle name="Calculation 2 4 2 4 2 3 2" xfId="3690" xr:uid="{00000000-0005-0000-0000-0000520D0000}"/>
    <cellStyle name="Calculation 2 4 2 4 2 4" xfId="3691" xr:uid="{00000000-0005-0000-0000-0000530D0000}"/>
    <cellStyle name="Calculation 2 4 2 4 2 4 2" xfId="3692" xr:uid="{00000000-0005-0000-0000-0000540D0000}"/>
    <cellStyle name="Calculation 2 4 2 4 2 5" xfId="3693" xr:uid="{00000000-0005-0000-0000-0000550D0000}"/>
    <cellStyle name="Calculation 2 4 2 4 2 6" xfId="3694" xr:uid="{00000000-0005-0000-0000-0000560D0000}"/>
    <cellStyle name="Calculation 2 4 2 4 2 7" xfId="3695" xr:uid="{00000000-0005-0000-0000-0000570D0000}"/>
    <cellStyle name="Calculation 2 4 2 4 3" xfId="3696" xr:uid="{00000000-0005-0000-0000-0000580D0000}"/>
    <cellStyle name="Calculation 2 4 2 4 3 2" xfId="3697" xr:uid="{00000000-0005-0000-0000-0000590D0000}"/>
    <cellStyle name="Calculation 2 4 2 4 3 2 2" xfId="3698" xr:uid="{00000000-0005-0000-0000-00005A0D0000}"/>
    <cellStyle name="Calculation 2 4 2 4 3 3" xfId="3699" xr:uid="{00000000-0005-0000-0000-00005B0D0000}"/>
    <cellStyle name="Calculation 2 4 2 4 3 3 2" xfId="3700" xr:uid="{00000000-0005-0000-0000-00005C0D0000}"/>
    <cellStyle name="Calculation 2 4 2 4 3 4" xfId="3701" xr:uid="{00000000-0005-0000-0000-00005D0D0000}"/>
    <cellStyle name="Calculation 2 4 2 4 3 5" xfId="3702" xr:uid="{00000000-0005-0000-0000-00005E0D0000}"/>
    <cellStyle name="Calculation 2 4 2 4 3 6" xfId="3703" xr:uid="{00000000-0005-0000-0000-00005F0D0000}"/>
    <cellStyle name="Calculation 2 4 2 4 4" xfId="3704" xr:uid="{00000000-0005-0000-0000-0000600D0000}"/>
    <cellStyle name="Calculation 2 4 2 4 4 2" xfId="3705" xr:uid="{00000000-0005-0000-0000-0000610D0000}"/>
    <cellStyle name="Calculation 2 4 2 4 5" xfId="3706" xr:uid="{00000000-0005-0000-0000-0000620D0000}"/>
    <cellStyle name="Calculation 2 4 2 4 5 2" xfId="3707" xr:uid="{00000000-0005-0000-0000-0000630D0000}"/>
    <cellStyle name="Calculation 2 4 2 4 6" xfId="3708" xr:uid="{00000000-0005-0000-0000-0000640D0000}"/>
    <cellStyle name="Calculation 2 4 2 4 7" xfId="3709" xr:uid="{00000000-0005-0000-0000-0000650D0000}"/>
    <cellStyle name="Calculation 2 4 2 4 8" xfId="3710" xr:uid="{00000000-0005-0000-0000-0000660D0000}"/>
    <cellStyle name="Calculation 2 4 2 5" xfId="3711" xr:uid="{00000000-0005-0000-0000-0000670D0000}"/>
    <cellStyle name="Calculation 2 4 2 5 2" xfId="3712" xr:uid="{00000000-0005-0000-0000-0000680D0000}"/>
    <cellStyle name="Calculation 2 4 2 5 2 2" xfId="3713" xr:uid="{00000000-0005-0000-0000-0000690D0000}"/>
    <cellStyle name="Calculation 2 4 2 5 2 2 2" xfId="3714" xr:uid="{00000000-0005-0000-0000-00006A0D0000}"/>
    <cellStyle name="Calculation 2 4 2 5 2 3" xfId="3715" xr:uid="{00000000-0005-0000-0000-00006B0D0000}"/>
    <cellStyle name="Calculation 2 4 2 5 2 3 2" xfId="3716" xr:uid="{00000000-0005-0000-0000-00006C0D0000}"/>
    <cellStyle name="Calculation 2 4 2 5 2 4" xfId="3717" xr:uid="{00000000-0005-0000-0000-00006D0D0000}"/>
    <cellStyle name="Calculation 2 4 2 5 2 5" xfId="3718" xr:uid="{00000000-0005-0000-0000-00006E0D0000}"/>
    <cellStyle name="Calculation 2 4 2 5 2 6" xfId="3719" xr:uid="{00000000-0005-0000-0000-00006F0D0000}"/>
    <cellStyle name="Calculation 2 4 2 5 3" xfId="3720" xr:uid="{00000000-0005-0000-0000-0000700D0000}"/>
    <cellStyle name="Calculation 2 4 2 5 3 2" xfId="3721" xr:uid="{00000000-0005-0000-0000-0000710D0000}"/>
    <cellStyle name="Calculation 2 4 2 5 4" xfId="3722" xr:uid="{00000000-0005-0000-0000-0000720D0000}"/>
    <cellStyle name="Calculation 2 4 2 5 4 2" xfId="3723" xr:uid="{00000000-0005-0000-0000-0000730D0000}"/>
    <cellStyle name="Calculation 2 4 2 5 5" xfId="3724" xr:uid="{00000000-0005-0000-0000-0000740D0000}"/>
    <cellStyle name="Calculation 2 4 2 5 6" xfId="3725" xr:uid="{00000000-0005-0000-0000-0000750D0000}"/>
    <cellStyle name="Calculation 2 4 2 5 7" xfId="3726" xr:uid="{00000000-0005-0000-0000-0000760D0000}"/>
    <cellStyle name="Calculation 2 4 2 6" xfId="3727" xr:uid="{00000000-0005-0000-0000-0000770D0000}"/>
    <cellStyle name="Calculation 2 4 2 6 2" xfId="3728" xr:uid="{00000000-0005-0000-0000-0000780D0000}"/>
    <cellStyle name="Calculation 2 4 2 6 2 2" xfId="3729" xr:uid="{00000000-0005-0000-0000-0000790D0000}"/>
    <cellStyle name="Calculation 2 4 2 6 3" xfId="3730" xr:uid="{00000000-0005-0000-0000-00007A0D0000}"/>
    <cellStyle name="Calculation 2 4 2 6 3 2" xfId="3731" xr:uid="{00000000-0005-0000-0000-00007B0D0000}"/>
    <cellStyle name="Calculation 2 4 2 6 4" xfId="3732" xr:uid="{00000000-0005-0000-0000-00007C0D0000}"/>
    <cellStyle name="Calculation 2 4 2 6 5" xfId="3733" xr:uid="{00000000-0005-0000-0000-00007D0D0000}"/>
    <cellStyle name="Calculation 2 4 2 6 6" xfId="3734" xr:uid="{00000000-0005-0000-0000-00007E0D0000}"/>
    <cellStyle name="Calculation 2 4 2 7" xfId="3735" xr:uid="{00000000-0005-0000-0000-00007F0D0000}"/>
    <cellStyle name="Calculation 2 4 2 7 2" xfId="3736" xr:uid="{00000000-0005-0000-0000-0000800D0000}"/>
    <cellStyle name="Calculation 2 4 2 8" xfId="3737" xr:uid="{00000000-0005-0000-0000-0000810D0000}"/>
    <cellStyle name="Calculation 2 4 2 8 2" xfId="3738" xr:uid="{00000000-0005-0000-0000-0000820D0000}"/>
    <cellStyle name="Calculation 2 4 2 9" xfId="3739" xr:uid="{00000000-0005-0000-0000-0000830D0000}"/>
    <cellStyle name="Calculation 2 4 3" xfId="3740" xr:uid="{00000000-0005-0000-0000-0000840D0000}"/>
    <cellStyle name="Calculation 2 4 3 10" xfId="3741" xr:uid="{00000000-0005-0000-0000-0000850D0000}"/>
    <cellStyle name="Calculation 2 4 3 2" xfId="3742" xr:uid="{00000000-0005-0000-0000-0000860D0000}"/>
    <cellStyle name="Calculation 2 4 3 2 10" xfId="3743" xr:uid="{00000000-0005-0000-0000-0000870D0000}"/>
    <cellStyle name="Calculation 2 4 3 2 2" xfId="3744" xr:uid="{00000000-0005-0000-0000-0000880D0000}"/>
    <cellStyle name="Calculation 2 4 3 2 2 2" xfId="3745" xr:uid="{00000000-0005-0000-0000-0000890D0000}"/>
    <cellStyle name="Calculation 2 4 3 2 2 2 2" xfId="3746" xr:uid="{00000000-0005-0000-0000-00008A0D0000}"/>
    <cellStyle name="Calculation 2 4 3 2 2 2 2 2" xfId="3747" xr:uid="{00000000-0005-0000-0000-00008B0D0000}"/>
    <cellStyle name="Calculation 2 4 3 2 2 2 2 2 2" xfId="3748" xr:uid="{00000000-0005-0000-0000-00008C0D0000}"/>
    <cellStyle name="Calculation 2 4 3 2 2 2 2 3" xfId="3749" xr:uid="{00000000-0005-0000-0000-00008D0D0000}"/>
    <cellStyle name="Calculation 2 4 3 2 2 2 2 3 2" xfId="3750" xr:uid="{00000000-0005-0000-0000-00008E0D0000}"/>
    <cellStyle name="Calculation 2 4 3 2 2 2 2 4" xfId="3751" xr:uid="{00000000-0005-0000-0000-00008F0D0000}"/>
    <cellStyle name="Calculation 2 4 3 2 2 2 2 5" xfId="3752" xr:uid="{00000000-0005-0000-0000-0000900D0000}"/>
    <cellStyle name="Calculation 2 4 3 2 2 2 2 6" xfId="3753" xr:uid="{00000000-0005-0000-0000-0000910D0000}"/>
    <cellStyle name="Calculation 2 4 3 2 2 2 3" xfId="3754" xr:uid="{00000000-0005-0000-0000-0000920D0000}"/>
    <cellStyle name="Calculation 2 4 3 2 2 2 3 2" xfId="3755" xr:uid="{00000000-0005-0000-0000-0000930D0000}"/>
    <cellStyle name="Calculation 2 4 3 2 2 2 4" xfId="3756" xr:uid="{00000000-0005-0000-0000-0000940D0000}"/>
    <cellStyle name="Calculation 2 4 3 2 2 2 4 2" xfId="3757" xr:uid="{00000000-0005-0000-0000-0000950D0000}"/>
    <cellStyle name="Calculation 2 4 3 2 2 2 5" xfId="3758" xr:uid="{00000000-0005-0000-0000-0000960D0000}"/>
    <cellStyle name="Calculation 2 4 3 2 2 2 6" xfId="3759" xr:uid="{00000000-0005-0000-0000-0000970D0000}"/>
    <cellStyle name="Calculation 2 4 3 2 2 2 7" xfId="3760" xr:uid="{00000000-0005-0000-0000-0000980D0000}"/>
    <cellStyle name="Calculation 2 4 3 2 2 3" xfId="3761" xr:uid="{00000000-0005-0000-0000-0000990D0000}"/>
    <cellStyle name="Calculation 2 4 3 2 2 3 2" xfId="3762" xr:uid="{00000000-0005-0000-0000-00009A0D0000}"/>
    <cellStyle name="Calculation 2 4 3 2 2 3 2 2" xfId="3763" xr:uid="{00000000-0005-0000-0000-00009B0D0000}"/>
    <cellStyle name="Calculation 2 4 3 2 2 3 3" xfId="3764" xr:uid="{00000000-0005-0000-0000-00009C0D0000}"/>
    <cellStyle name="Calculation 2 4 3 2 2 3 3 2" xfId="3765" xr:uid="{00000000-0005-0000-0000-00009D0D0000}"/>
    <cellStyle name="Calculation 2 4 3 2 2 3 4" xfId="3766" xr:uid="{00000000-0005-0000-0000-00009E0D0000}"/>
    <cellStyle name="Calculation 2 4 3 2 2 3 5" xfId="3767" xr:uid="{00000000-0005-0000-0000-00009F0D0000}"/>
    <cellStyle name="Calculation 2 4 3 2 2 3 6" xfId="3768" xr:uid="{00000000-0005-0000-0000-0000A00D0000}"/>
    <cellStyle name="Calculation 2 4 3 2 2 4" xfId="3769" xr:uid="{00000000-0005-0000-0000-0000A10D0000}"/>
    <cellStyle name="Calculation 2 4 3 2 2 4 2" xfId="3770" xr:uid="{00000000-0005-0000-0000-0000A20D0000}"/>
    <cellStyle name="Calculation 2 4 3 2 2 5" xfId="3771" xr:uid="{00000000-0005-0000-0000-0000A30D0000}"/>
    <cellStyle name="Calculation 2 4 3 2 2 5 2" xfId="3772" xr:uid="{00000000-0005-0000-0000-0000A40D0000}"/>
    <cellStyle name="Calculation 2 4 3 2 2 6" xfId="3773" xr:uid="{00000000-0005-0000-0000-0000A50D0000}"/>
    <cellStyle name="Calculation 2 4 3 2 2 7" xfId="3774" xr:uid="{00000000-0005-0000-0000-0000A60D0000}"/>
    <cellStyle name="Calculation 2 4 3 2 2 8" xfId="3775" xr:uid="{00000000-0005-0000-0000-0000A70D0000}"/>
    <cellStyle name="Calculation 2 4 3 2 3" xfId="3776" xr:uid="{00000000-0005-0000-0000-0000A80D0000}"/>
    <cellStyle name="Calculation 2 4 3 2 3 2" xfId="3777" xr:uid="{00000000-0005-0000-0000-0000A90D0000}"/>
    <cellStyle name="Calculation 2 4 3 2 3 2 2" xfId="3778" xr:uid="{00000000-0005-0000-0000-0000AA0D0000}"/>
    <cellStyle name="Calculation 2 4 3 2 3 2 2 2" xfId="3779" xr:uid="{00000000-0005-0000-0000-0000AB0D0000}"/>
    <cellStyle name="Calculation 2 4 3 2 3 2 2 2 2" xfId="3780" xr:uid="{00000000-0005-0000-0000-0000AC0D0000}"/>
    <cellStyle name="Calculation 2 4 3 2 3 2 2 3" xfId="3781" xr:uid="{00000000-0005-0000-0000-0000AD0D0000}"/>
    <cellStyle name="Calculation 2 4 3 2 3 2 2 3 2" xfId="3782" xr:uid="{00000000-0005-0000-0000-0000AE0D0000}"/>
    <cellStyle name="Calculation 2 4 3 2 3 2 2 4" xfId="3783" xr:uid="{00000000-0005-0000-0000-0000AF0D0000}"/>
    <cellStyle name="Calculation 2 4 3 2 3 2 2 5" xfId="3784" xr:uid="{00000000-0005-0000-0000-0000B00D0000}"/>
    <cellStyle name="Calculation 2 4 3 2 3 2 2 6" xfId="3785" xr:uid="{00000000-0005-0000-0000-0000B10D0000}"/>
    <cellStyle name="Calculation 2 4 3 2 3 2 3" xfId="3786" xr:uid="{00000000-0005-0000-0000-0000B20D0000}"/>
    <cellStyle name="Calculation 2 4 3 2 3 2 3 2" xfId="3787" xr:uid="{00000000-0005-0000-0000-0000B30D0000}"/>
    <cellStyle name="Calculation 2 4 3 2 3 2 4" xfId="3788" xr:uid="{00000000-0005-0000-0000-0000B40D0000}"/>
    <cellStyle name="Calculation 2 4 3 2 3 2 4 2" xfId="3789" xr:uid="{00000000-0005-0000-0000-0000B50D0000}"/>
    <cellStyle name="Calculation 2 4 3 2 3 2 5" xfId="3790" xr:uid="{00000000-0005-0000-0000-0000B60D0000}"/>
    <cellStyle name="Calculation 2 4 3 2 3 2 6" xfId="3791" xr:uid="{00000000-0005-0000-0000-0000B70D0000}"/>
    <cellStyle name="Calculation 2 4 3 2 3 2 7" xfId="3792" xr:uid="{00000000-0005-0000-0000-0000B80D0000}"/>
    <cellStyle name="Calculation 2 4 3 2 3 3" xfId="3793" xr:uid="{00000000-0005-0000-0000-0000B90D0000}"/>
    <cellStyle name="Calculation 2 4 3 2 3 3 2" xfId="3794" xr:uid="{00000000-0005-0000-0000-0000BA0D0000}"/>
    <cellStyle name="Calculation 2 4 3 2 3 3 2 2" xfId="3795" xr:uid="{00000000-0005-0000-0000-0000BB0D0000}"/>
    <cellStyle name="Calculation 2 4 3 2 3 3 3" xfId="3796" xr:uid="{00000000-0005-0000-0000-0000BC0D0000}"/>
    <cellStyle name="Calculation 2 4 3 2 3 3 3 2" xfId="3797" xr:uid="{00000000-0005-0000-0000-0000BD0D0000}"/>
    <cellStyle name="Calculation 2 4 3 2 3 3 4" xfId="3798" xr:uid="{00000000-0005-0000-0000-0000BE0D0000}"/>
    <cellStyle name="Calculation 2 4 3 2 3 3 5" xfId="3799" xr:uid="{00000000-0005-0000-0000-0000BF0D0000}"/>
    <cellStyle name="Calculation 2 4 3 2 3 3 6" xfId="3800" xr:uid="{00000000-0005-0000-0000-0000C00D0000}"/>
    <cellStyle name="Calculation 2 4 3 2 3 4" xfId="3801" xr:uid="{00000000-0005-0000-0000-0000C10D0000}"/>
    <cellStyle name="Calculation 2 4 3 2 3 4 2" xfId="3802" xr:uid="{00000000-0005-0000-0000-0000C20D0000}"/>
    <cellStyle name="Calculation 2 4 3 2 3 5" xfId="3803" xr:uid="{00000000-0005-0000-0000-0000C30D0000}"/>
    <cellStyle name="Calculation 2 4 3 2 3 5 2" xfId="3804" xr:uid="{00000000-0005-0000-0000-0000C40D0000}"/>
    <cellStyle name="Calculation 2 4 3 2 3 6" xfId="3805" xr:uid="{00000000-0005-0000-0000-0000C50D0000}"/>
    <cellStyle name="Calculation 2 4 3 2 3 7" xfId="3806" xr:uid="{00000000-0005-0000-0000-0000C60D0000}"/>
    <cellStyle name="Calculation 2 4 3 2 3 8" xfId="3807" xr:uid="{00000000-0005-0000-0000-0000C70D0000}"/>
    <cellStyle name="Calculation 2 4 3 2 4" xfId="3808" xr:uid="{00000000-0005-0000-0000-0000C80D0000}"/>
    <cellStyle name="Calculation 2 4 3 2 4 2" xfId="3809" xr:uid="{00000000-0005-0000-0000-0000C90D0000}"/>
    <cellStyle name="Calculation 2 4 3 2 4 2 2" xfId="3810" xr:uid="{00000000-0005-0000-0000-0000CA0D0000}"/>
    <cellStyle name="Calculation 2 4 3 2 4 2 2 2" xfId="3811" xr:uid="{00000000-0005-0000-0000-0000CB0D0000}"/>
    <cellStyle name="Calculation 2 4 3 2 4 2 3" xfId="3812" xr:uid="{00000000-0005-0000-0000-0000CC0D0000}"/>
    <cellStyle name="Calculation 2 4 3 2 4 2 3 2" xfId="3813" xr:uid="{00000000-0005-0000-0000-0000CD0D0000}"/>
    <cellStyle name="Calculation 2 4 3 2 4 2 4" xfId="3814" xr:uid="{00000000-0005-0000-0000-0000CE0D0000}"/>
    <cellStyle name="Calculation 2 4 3 2 4 2 5" xfId="3815" xr:uid="{00000000-0005-0000-0000-0000CF0D0000}"/>
    <cellStyle name="Calculation 2 4 3 2 4 2 6" xfId="3816" xr:uid="{00000000-0005-0000-0000-0000D00D0000}"/>
    <cellStyle name="Calculation 2 4 3 2 4 3" xfId="3817" xr:uid="{00000000-0005-0000-0000-0000D10D0000}"/>
    <cellStyle name="Calculation 2 4 3 2 4 3 2" xfId="3818" xr:uid="{00000000-0005-0000-0000-0000D20D0000}"/>
    <cellStyle name="Calculation 2 4 3 2 4 4" xfId="3819" xr:uid="{00000000-0005-0000-0000-0000D30D0000}"/>
    <cellStyle name="Calculation 2 4 3 2 4 4 2" xfId="3820" xr:uid="{00000000-0005-0000-0000-0000D40D0000}"/>
    <cellStyle name="Calculation 2 4 3 2 4 5" xfId="3821" xr:uid="{00000000-0005-0000-0000-0000D50D0000}"/>
    <cellStyle name="Calculation 2 4 3 2 4 6" xfId="3822" xr:uid="{00000000-0005-0000-0000-0000D60D0000}"/>
    <cellStyle name="Calculation 2 4 3 2 4 7" xfId="3823" xr:uid="{00000000-0005-0000-0000-0000D70D0000}"/>
    <cellStyle name="Calculation 2 4 3 2 5" xfId="3824" xr:uid="{00000000-0005-0000-0000-0000D80D0000}"/>
    <cellStyle name="Calculation 2 4 3 2 5 2" xfId="3825" xr:uid="{00000000-0005-0000-0000-0000D90D0000}"/>
    <cellStyle name="Calculation 2 4 3 2 5 2 2" xfId="3826" xr:uid="{00000000-0005-0000-0000-0000DA0D0000}"/>
    <cellStyle name="Calculation 2 4 3 2 5 3" xfId="3827" xr:uid="{00000000-0005-0000-0000-0000DB0D0000}"/>
    <cellStyle name="Calculation 2 4 3 2 5 3 2" xfId="3828" xr:uid="{00000000-0005-0000-0000-0000DC0D0000}"/>
    <cellStyle name="Calculation 2 4 3 2 5 4" xfId="3829" xr:uid="{00000000-0005-0000-0000-0000DD0D0000}"/>
    <cellStyle name="Calculation 2 4 3 2 5 5" xfId="3830" xr:uid="{00000000-0005-0000-0000-0000DE0D0000}"/>
    <cellStyle name="Calculation 2 4 3 2 5 6" xfId="3831" xr:uid="{00000000-0005-0000-0000-0000DF0D0000}"/>
    <cellStyle name="Calculation 2 4 3 2 6" xfId="3832" xr:uid="{00000000-0005-0000-0000-0000E00D0000}"/>
    <cellStyle name="Calculation 2 4 3 2 6 2" xfId="3833" xr:uid="{00000000-0005-0000-0000-0000E10D0000}"/>
    <cellStyle name="Calculation 2 4 3 2 7" xfId="3834" xr:uid="{00000000-0005-0000-0000-0000E20D0000}"/>
    <cellStyle name="Calculation 2 4 3 2 7 2" xfId="3835" xr:uid="{00000000-0005-0000-0000-0000E30D0000}"/>
    <cellStyle name="Calculation 2 4 3 2 8" xfId="3836" xr:uid="{00000000-0005-0000-0000-0000E40D0000}"/>
    <cellStyle name="Calculation 2 4 3 2 9" xfId="3837" xr:uid="{00000000-0005-0000-0000-0000E50D0000}"/>
    <cellStyle name="Calculation 2 4 3 3" xfId="3838" xr:uid="{00000000-0005-0000-0000-0000E60D0000}"/>
    <cellStyle name="Calculation 2 4 3 3 2" xfId="3839" xr:uid="{00000000-0005-0000-0000-0000E70D0000}"/>
    <cellStyle name="Calculation 2 4 3 3 2 2" xfId="3840" xr:uid="{00000000-0005-0000-0000-0000E80D0000}"/>
    <cellStyle name="Calculation 2 4 3 3 2 2 2" xfId="3841" xr:uid="{00000000-0005-0000-0000-0000E90D0000}"/>
    <cellStyle name="Calculation 2 4 3 3 2 2 2 2" xfId="3842" xr:uid="{00000000-0005-0000-0000-0000EA0D0000}"/>
    <cellStyle name="Calculation 2 4 3 3 2 2 3" xfId="3843" xr:uid="{00000000-0005-0000-0000-0000EB0D0000}"/>
    <cellStyle name="Calculation 2 4 3 3 2 2 3 2" xfId="3844" xr:uid="{00000000-0005-0000-0000-0000EC0D0000}"/>
    <cellStyle name="Calculation 2 4 3 3 2 2 4" xfId="3845" xr:uid="{00000000-0005-0000-0000-0000ED0D0000}"/>
    <cellStyle name="Calculation 2 4 3 3 2 2 5" xfId="3846" xr:uid="{00000000-0005-0000-0000-0000EE0D0000}"/>
    <cellStyle name="Calculation 2 4 3 3 2 2 6" xfId="3847" xr:uid="{00000000-0005-0000-0000-0000EF0D0000}"/>
    <cellStyle name="Calculation 2 4 3 3 2 3" xfId="3848" xr:uid="{00000000-0005-0000-0000-0000F00D0000}"/>
    <cellStyle name="Calculation 2 4 3 3 2 3 2" xfId="3849" xr:uid="{00000000-0005-0000-0000-0000F10D0000}"/>
    <cellStyle name="Calculation 2 4 3 3 2 4" xfId="3850" xr:uid="{00000000-0005-0000-0000-0000F20D0000}"/>
    <cellStyle name="Calculation 2 4 3 3 2 4 2" xfId="3851" xr:uid="{00000000-0005-0000-0000-0000F30D0000}"/>
    <cellStyle name="Calculation 2 4 3 3 2 5" xfId="3852" xr:uid="{00000000-0005-0000-0000-0000F40D0000}"/>
    <cellStyle name="Calculation 2 4 3 3 2 6" xfId="3853" xr:uid="{00000000-0005-0000-0000-0000F50D0000}"/>
    <cellStyle name="Calculation 2 4 3 3 2 7" xfId="3854" xr:uid="{00000000-0005-0000-0000-0000F60D0000}"/>
    <cellStyle name="Calculation 2 4 3 3 3" xfId="3855" xr:uid="{00000000-0005-0000-0000-0000F70D0000}"/>
    <cellStyle name="Calculation 2 4 3 3 3 2" xfId="3856" xr:uid="{00000000-0005-0000-0000-0000F80D0000}"/>
    <cellStyle name="Calculation 2 4 3 3 3 2 2" xfId="3857" xr:uid="{00000000-0005-0000-0000-0000F90D0000}"/>
    <cellStyle name="Calculation 2 4 3 3 3 3" xfId="3858" xr:uid="{00000000-0005-0000-0000-0000FA0D0000}"/>
    <cellStyle name="Calculation 2 4 3 3 3 3 2" xfId="3859" xr:uid="{00000000-0005-0000-0000-0000FB0D0000}"/>
    <cellStyle name="Calculation 2 4 3 3 3 4" xfId="3860" xr:uid="{00000000-0005-0000-0000-0000FC0D0000}"/>
    <cellStyle name="Calculation 2 4 3 3 3 5" xfId="3861" xr:uid="{00000000-0005-0000-0000-0000FD0D0000}"/>
    <cellStyle name="Calculation 2 4 3 3 3 6" xfId="3862" xr:uid="{00000000-0005-0000-0000-0000FE0D0000}"/>
    <cellStyle name="Calculation 2 4 3 3 4" xfId="3863" xr:uid="{00000000-0005-0000-0000-0000FF0D0000}"/>
    <cellStyle name="Calculation 2 4 3 3 4 2" xfId="3864" xr:uid="{00000000-0005-0000-0000-0000000E0000}"/>
    <cellStyle name="Calculation 2 4 3 3 5" xfId="3865" xr:uid="{00000000-0005-0000-0000-0000010E0000}"/>
    <cellStyle name="Calculation 2 4 3 3 5 2" xfId="3866" xr:uid="{00000000-0005-0000-0000-0000020E0000}"/>
    <cellStyle name="Calculation 2 4 3 3 6" xfId="3867" xr:uid="{00000000-0005-0000-0000-0000030E0000}"/>
    <cellStyle name="Calculation 2 4 3 3 7" xfId="3868" xr:uid="{00000000-0005-0000-0000-0000040E0000}"/>
    <cellStyle name="Calculation 2 4 3 3 8" xfId="3869" xr:uid="{00000000-0005-0000-0000-0000050E0000}"/>
    <cellStyle name="Calculation 2 4 3 4" xfId="3870" xr:uid="{00000000-0005-0000-0000-0000060E0000}"/>
    <cellStyle name="Calculation 2 4 3 4 2" xfId="3871" xr:uid="{00000000-0005-0000-0000-0000070E0000}"/>
    <cellStyle name="Calculation 2 4 3 4 2 2" xfId="3872" xr:uid="{00000000-0005-0000-0000-0000080E0000}"/>
    <cellStyle name="Calculation 2 4 3 4 2 2 2" xfId="3873" xr:uid="{00000000-0005-0000-0000-0000090E0000}"/>
    <cellStyle name="Calculation 2 4 3 4 2 3" xfId="3874" xr:uid="{00000000-0005-0000-0000-00000A0E0000}"/>
    <cellStyle name="Calculation 2 4 3 4 2 3 2" xfId="3875" xr:uid="{00000000-0005-0000-0000-00000B0E0000}"/>
    <cellStyle name="Calculation 2 4 3 4 2 4" xfId="3876" xr:uid="{00000000-0005-0000-0000-00000C0E0000}"/>
    <cellStyle name="Calculation 2 4 3 4 2 5" xfId="3877" xr:uid="{00000000-0005-0000-0000-00000D0E0000}"/>
    <cellStyle name="Calculation 2 4 3 4 2 6" xfId="3878" xr:uid="{00000000-0005-0000-0000-00000E0E0000}"/>
    <cellStyle name="Calculation 2 4 3 4 3" xfId="3879" xr:uid="{00000000-0005-0000-0000-00000F0E0000}"/>
    <cellStyle name="Calculation 2 4 3 4 3 2" xfId="3880" xr:uid="{00000000-0005-0000-0000-0000100E0000}"/>
    <cellStyle name="Calculation 2 4 3 4 4" xfId="3881" xr:uid="{00000000-0005-0000-0000-0000110E0000}"/>
    <cellStyle name="Calculation 2 4 3 4 4 2" xfId="3882" xr:uid="{00000000-0005-0000-0000-0000120E0000}"/>
    <cellStyle name="Calculation 2 4 3 4 5" xfId="3883" xr:uid="{00000000-0005-0000-0000-0000130E0000}"/>
    <cellStyle name="Calculation 2 4 3 4 6" xfId="3884" xr:uid="{00000000-0005-0000-0000-0000140E0000}"/>
    <cellStyle name="Calculation 2 4 3 4 7" xfId="3885" xr:uid="{00000000-0005-0000-0000-0000150E0000}"/>
    <cellStyle name="Calculation 2 4 3 5" xfId="3886" xr:uid="{00000000-0005-0000-0000-0000160E0000}"/>
    <cellStyle name="Calculation 2 4 3 5 2" xfId="3887" xr:uid="{00000000-0005-0000-0000-0000170E0000}"/>
    <cellStyle name="Calculation 2 4 3 5 2 2" xfId="3888" xr:uid="{00000000-0005-0000-0000-0000180E0000}"/>
    <cellStyle name="Calculation 2 4 3 5 3" xfId="3889" xr:uid="{00000000-0005-0000-0000-0000190E0000}"/>
    <cellStyle name="Calculation 2 4 3 5 3 2" xfId="3890" xr:uid="{00000000-0005-0000-0000-00001A0E0000}"/>
    <cellStyle name="Calculation 2 4 3 5 4" xfId="3891" xr:uid="{00000000-0005-0000-0000-00001B0E0000}"/>
    <cellStyle name="Calculation 2 4 3 5 5" xfId="3892" xr:uid="{00000000-0005-0000-0000-00001C0E0000}"/>
    <cellStyle name="Calculation 2 4 3 5 6" xfId="3893" xr:uid="{00000000-0005-0000-0000-00001D0E0000}"/>
    <cellStyle name="Calculation 2 4 3 6" xfId="3894" xr:uid="{00000000-0005-0000-0000-00001E0E0000}"/>
    <cellStyle name="Calculation 2 4 3 6 2" xfId="3895" xr:uid="{00000000-0005-0000-0000-00001F0E0000}"/>
    <cellStyle name="Calculation 2 4 3 7" xfId="3896" xr:uid="{00000000-0005-0000-0000-0000200E0000}"/>
    <cellStyle name="Calculation 2 4 3 7 2" xfId="3897" xr:uid="{00000000-0005-0000-0000-0000210E0000}"/>
    <cellStyle name="Calculation 2 4 3 8" xfId="3898" xr:uid="{00000000-0005-0000-0000-0000220E0000}"/>
    <cellStyle name="Calculation 2 4 3 9" xfId="3899" xr:uid="{00000000-0005-0000-0000-0000230E0000}"/>
    <cellStyle name="Calculation 2 4 4" xfId="3900" xr:uid="{00000000-0005-0000-0000-0000240E0000}"/>
    <cellStyle name="Calculation 2 4 4 10" xfId="3901" xr:uid="{00000000-0005-0000-0000-0000250E0000}"/>
    <cellStyle name="Calculation 2 4 4 2" xfId="3902" xr:uid="{00000000-0005-0000-0000-0000260E0000}"/>
    <cellStyle name="Calculation 2 4 4 2 2" xfId="3903" xr:uid="{00000000-0005-0000-0000-0000270E0000}"/>
    <cellStyle name="Calculation 2 4 4 2 2 2" xfId="3904" xr:uid="{00000000-0005-0000-0000-0000280E0000}"/>
    <cellStyle name="Calculation 2 4 4 2 2 2 2" xfId="3905" xr:uid="{00000000-0005-0000-0000-0000290E0000}"/>
    <cellStyle name="Calculation 2 4 4 2 2 2 2 2" xfId="3906" xr:uid="{00000000-0005-0000-0000-00002A0E0000}"/>
    <cellStyle name="Calculation 2 4 4 2 2 2 3" xfId="3907" xr:uid="{00000000-0005-0000-0000-00002B0E0000}"/>
    <cellStyle name="Calculation 2 4 4 2 2 2 3 2" xfId="3908" xr:uid="{00000000-0005-0000-0000-00002C0E0000}"/>
    <cellStyle name="Calculation 2 4 4 2 2 2 4" xfId="3909" xr:uid="{00000000-0005-0000-0000-00002D0E0000}"/>
    <cellStyle name="Calculation 2 4 4 2 2 2 5" xfId="3910" xr:uid="{00000000-0005-0000-0000-00002E0E0000}"/>
    <cellStyle name="Calculation 2 4 4 2 2 2 6" xfId="3911" xr:uid="{00000000-0005-0000-0000-00002F0E0000}"/>
    <cellStyle name="Calculation 2 4 4 2 2 3" xfId="3912" xr:uid="{00000000-0005-0000-0000-0000300E0000}"/>
    <cellStyle name="Calculation 2 4 4 2 2 3 2" xfId="3913" xr:uid="{00000000-0005-0000-0000-0000310E0000}"/>
    <cellStyle name="Calculation 2 4 4 2 2 4" xfId="3914" xr:uid="{00000000-0005-0000-0000-0000320E0000}"/>
    <cellStyle name="Calculation 2 4 4 2 2 4 2" xfId="3915" xr:uid="{00000000-0005-0000-0000-0000330E0000}"/>
    <cellStyle name="Calculation 2 4 4 2 2 5" xfId="3916" xr:uid="{00000000-0005-0000-0000-0000340E0000}"/>
    <cellStyle name="Calculation 2 4 4 2 2 6" xfId="3917" xr:uid="{00000000-0005-0000-0000-0000350E0000}"/>
    <cellStyle name="Calculation 2 4 4 2 2 7" xfId="3918" xr:uid="{00000000-0005-0000-0000-0000360E0000}"/>
    <cellStyle name="Calculation 2 4 4 2 3" xfId="3919" xr:uid="{00000000-0005-0000-0000-0000370E0000}"/>
    <cellStyle name="Calculation 2 4 4 2 3 2" xfId="3920" xr:uid="{00000000-0005-0000-0000-0000380E0000}"/>
    <cellStyle name="Calculation 2 4 4 2 3 2 2" xfId="3921" xr:uid="{00000000-0005-0000-0000-0000390E0000}"/>
    <cellStyle name="Calculation 2 4 4 2 3 3" xfId="3922" xr:uid="{00000000-0005-0000-0000-00003A0E0000}"/>
    <cellStyle name="Calculation 2 4 4 2 3 3 2" xfId="3923" xr:uid="{00000000-0005-0000-0000-00003B0E0000}"/>
    <cellStyle name="Calculation 2 4 4 2 3 4" xfId="3924" xr:uid="{00000000-0005-0000-0000-00003C0E0000}"/>
    <cellStyle name="Calculation 2 4 4 2 3 5" xfId="3925" xr:uid="{00000000-0005-0000-0000-00003D0E0000}"/>
    <cellStyle name="Calculation 2 4 4 2 3 6" xfId="3926" xr:uid="{00000000-0005-0000-0000-00003E0E0000}"/>
    <cellStyle name="Calculation 2 4 4 2 4" xfId="3927" xr:uid="{00000000-0005-0000-0000-00003F0E0000}"/>
    <cellStyle name="Calculation 2 4 4 2 4 2" xfId="3928" xr:uid="{00000000-0005-0000-0000-0000400E0000}"/>
    <cellStyle name="Calculation 2 4 4 2 5" xfId="3929" xr:uid="{00000000-0005-0000-0000-0000410E0000}"/>
    <cellStyle name="Calculation 2 4 4 2 5 2" xfId="3930" xr:uid="{00000000-0005-0000-0000-0000420E0000}"/>
    <cellStyle name="Calculation 2 4 4 2 6" xfId="3931" xr:uid="{00000000-0005-0000-0000-0000430E0000}"/>
    <cellStyle name="Calculation 2 4 4 2 7" xfId="3932" xr:uid="{00000000-0005-0000-0000-0000440E0000}"/>
    <cellStyle name="Calculation 2 4 4 2 8" xfId="3933" xr:uid="{00000000-0005-0000-0000-0000450E0000}"/>
    <cellStyle name="Calculation 2 4 4 3" xfId="3934" xr:uid="{00000000-0005-0000-0000-0000460E0000}"/>
    <cellStyle name="Calculation 2 4 4 3 2" xfId="3935" xr:uid="{00000000-0005-0000-0000-0000470E0000}"/>
    <cellStyle name="Calculation 2 4 4 3 2 2" xfId="3936" xr:uid="{00000000-0005-0000-0000-0000480E0000}"/>
    <cellStyle name="Calculation 2 4 4 3 2 2 2" xfId="3937" xr:uid="{00000000-0005-0000-0000-0000490E0000}"/>
    <cellStyle name="Calculation 2 4 4 3 2 2 2 2" xfId="3938" xr:uid="{00000000-0005-0000-0000-00004A0E0000}"/>
    <cellStyle name="Calculation 2 4 4 3 2 2 3" xfId="3939" xr:uid="{00000000-0005-0000-0000-00004B0E0000}"/>
    <cellStyle name="Calculation 2 4 4 3 2 2 3 2" xfId="3940" xr:uid="{00000000-0005-0000-0000-00004C0E0000}"/>
    <cellStyle name="Calculation 2 4 4 3 2 2 4" xfId="3941" xr:uid="{00000000-0005-0000-0000-00004D0E0000}"/>
    <cellStyle name="Calculation 2 4 4 3 2 2 5" xfId="3942" xr:uid="{00000000-0005-0000-0000-00004E0E0000}"/>
    <cellStyle name="Calculation 2 4 4 3 2 2 6" xfId="3943" xr:uid="{00000000-0005-0000-0000-00004F0E0000}"/>
    <cellStyle name="Calculation 2 4 4 3 2 3" xfId="3944" xr:uid="{00000000-0005-0000-0000-0000500E0000}"/>
    <cellStyle name="Calculation 2 4 4 3 2 3 2" xfId="3945" xr:uid="{00000000-0005-0000-0000-0000510E0000}"/>
    <cellStyle name="Calculation 2 4 4 3 2 4" xfId="3946" xr:uid="{00000000-0005-0000-0000-0000520E0000}"/>
    <cellStyle name="Calculation 2 4 4 3 2 4 2" xfId="3947" xr:uid="{00000000-0005-0000-0000-0000530E0000}"/>
    <cellStyle name="Calculation 2 4 4 3 2 5" xfId="3948" xr:uid="{00000000-0005-0000-0000-0000540E0000}"/>
    <cellStyle name="Calculation 2 4 4 3 2 6" xfId="3949" xr:uid="{00000000-0005-0000-0000-0000550E0000}"/>
    <cellStyle name="Calculation 2 4 4 3 2 7" xfId="3950" xr:uid="{00000000-0005-0000-0000-0000560E0000}"/>
    <cellStyle name="Calculation 2 4 4 3 3" xfId="3951" xr:uid="{00000000-0005-0000-0000-0000570E0000}"/>
    <cellStyle name="Calculation 2 4 4 3 3 2" xfId="3952" xr:uid="{00000000-0005-0000-0000-0000580E0000}"/>
    <cellStyle name="Calculation 2 4 4 3 3 2 2" xfId="3953" xr:uid="{00000000-0005-0000-0000-0000590E0000}"/>
    <cellStyle name="Calculation 2 4 4 3 3 3" xfId="3954" xr:uid="{00000000-0005-0000-0000-00005A0E0000}"/>
    <cellStyle name="Calculation 2 4 4 3 3 3 2" xfId="3955" xr:uid="{00000000-0005-0000-0000-00005B0E0000}"/>
    <cellStyle name="Calculation 2 4 4 3 3 4" xfId="3956" xr:uid="{00000000-0005-0000-0000-00005C0E0000}"/>
    <cellStyle name="Calculation 2 4 4 3 3 5" xfId="3957" xr:uid="{00000000-0005-0000-0000-00005D0E0000}"/>
    <cellStyle name="Calculation 2 4 4 3 3 6" xfId="3958" xr:uid="{00000000-0005-0000-0000-00005E0E0000}"/>
    <cellStyle name="Calculation 2 4 4 3 4" xfId="3959" xr:uid="{00000000-0005-0000-0000-00005F0E0000}"/>
    <cellStyle name="Calculation 2 4 4 3 4 2" xfId="3960" xr:uid="{00000000-0005-0000-0000-0000600E0000}"/>
    <cellStyle name="Calculation 2 4 4 3 5" xfId="3961" xr:uid="{00000000-0005-0000-0000-0000610E0000}"/>
    <cellStyle name="Calculation 2 4 4 3 5 2" xfId="3962" xr:uid="{00000000-0005-0000-0000-0000620E0000}"/>
    <cellStyle name="Calculation 2 4 4 3 6" xfId="3963" xr:uid="{00000000-0005-0000-0000-0000630E0000}"/>
    <cellStyle name="Calculation 2 4 4 3 7" xfId="3964" xr:uid="{00000000-0005-0000-0000-0000640E0000}"/>
    <cellStyle name="Calculation 2 4 4 3 8" xfId="3965" xr:uid="{00000000-0005-0000-0000-0000650E0000}"/>
    <cellStyle name="Calculation 2 4 4 4" xfId="3966" xr:uid="{00000000-0005-0000-0000-0000660E0000}"/>
    <cellStyle name="Calculation 2 4 4 4 2" xfId="3967" xr:uid="{00000000-0005-0000-0000-0000670E0000}"/>
    <cellStyle name="Calculation 2 4 4 4 2 2" xfId="3968" xr:uid="{00000000-0005-0000-0000-0000680E0000}"/>
    <cellStyle name="Calculation 2 4 4 4 2 2 2" xfId="3969" xr:uid="{00000000-0005-0000-0000-0000690E0000}"/>
    <cellStyle name="Calculation 2 4 4 4 2 3" xfId="3970" xr:uid="{00000000-0005-0000-0000-00006A0E0000}"/>
    <cellStyle name="Calculation 2 4 4 4 2 3 2" xfId="3971" xr:uid="{00000000-0005-0000-0000-00006B0E0000}"/>
    <cellStyle name="Calculation 2 4 4 4 2 4" xfId="3972" xr:uid="{00000000-0005-0000-0000-00006C0E0000}"/>
    <cellStyle name="Calculation 2 4 4 4 2 5" xfId="3973" xr:uid="{00000000-0005-0000-0000-00006D0E0000}"/>
    <cellStyle name="Calculation 2 4 4 4 2 6" xfId="3974" xr:uid="{00000000-0005-0000-0000-00006E0E0000}"/>
    <cellStyle name="Calculation 2 4 4 4 3" xfId="3975" xr:uid="{00000000-0005-0000-0000-00006F0E0000}"/>
    <cellStyle name="Calculation 2 4 4 4 3 2" xfId="3976" xr:uid="{00000000-0005-0000-0000-0000700E0000}"/>
    <cellStyle name="Calculation 2 4 4 4 4" xfId="3977" xr:uid="{00000000-0005-0000-0000-0000710E0000}"/>
    <cellStyle name="Calculation 2 4 4 4 4 2" xfId="3978" xr:uid="{00000000-0005-0000-0000-0000720E0000}"/>
    <cellStyle name="Calculation 2 4 4 4 5" xfId="3979" xr:uid="{00000000-0005-0000-0000-0000730E0000}"/>
    <cellStyle name="Calculation 2 4 4 4 6" xfId="3980" xr:uid="{00000000-0005-0000-0000-0000740E0000}"/>
    <cellStyle name="Calculation 2 4 4 4 7" xfId="3981" xr:uid="{00000000-0005-0000-0000-0000750E0000}"/>
    <cellStyle name="Calculation 2 4 4 5" xfId="3982" xr:uid="{00000000-0005-0000-0000-0000760E0000}"/>
    <cellStyle name="Calculation 2 4 4 5 2" xfId="3983" xr:uid="{00000000-0005-0000-0000-0000770E0000}"/>
    <cellStyle name="Calculation 2 4 4 5 2 2" xfId="3984" xr:uid="{00000000-0005-0000-0000-0000780E0000}"/>
    <cellStyle name="Calculation 2 4 4 5 3" xfId="3985" xr:uid="{00000000-0005-0000-0000-0000790E0000}"/>
    <cellStyle name="Calculation 2 4 4 5 3 2" xfId="3986" xr:uid="{00000000-0005-0000-0000-00007A0E0000}"/>
    <cellStyle name="Calculation 2 4 4 5 4" xfId="3987" xr:uid="{00000000-0005-0000-0000-00007B0E0000}"/>
    <cellStyle name="Calculation 2 4 4 5 5" xfId="3988" xr:uid="{00000000-0005-0000-0000-00007C0E0000}"/>
    <cellStyle name="Calculation 2 4 4 5 6" xfId="3989" xr:uid="{00000000-0005-0000-0000-00007D0E0000}"/>
    <cellStyle name="Calculation 2 4 4 6" xfId="3990" xr:uid="{00000000-0005-0000-0000-00007E0E0000}"/>
    <cellStyle name="Calculation 2 4 4 6 2" xfId="3991" xr:uid="{00000000-0005-0000-0000-00007F0E0000}"/>
    <cellStyle name="Calculation 2 4 4 7" xfId="3992" xr:uid="{00000000-0005-0000-0000-0000800E0000}"/>
    <cellStyle name="Calculation 2 4 4 7 2" xfId="3993" xr:uid="{00000000-0005-0000-0000-0000810E0000}"/>
    <cellStyle name="Calculation 2 4 4 8" xfId="3994" xr:uid="{00000000-0005-0000-0000-0000820E0000}"/>
    <cellStyle name="Calculation 2 4 4 9" xfId="3995" xr:uid="{00000000-0005-0000-0000-0000830E0000}"/>
    <cellStyle name="Calculation 2 4 5" xfId="3996" xr:uid="{00000000-0005-0000-0000-0000840E0000}"/>
    <cellStyle name="Calculation 2 4 5 2" xfId="3997" xr:uid="{00000000-0005-0000-0000-0000850E0000}"/>
    <cellStyle name="Calculation 2 4 5 2 2" xfId="3998" xr:uid="{00000000-0005-0000-0000-0000860E0000}"/>
    <cellStyle name="Calculation 2 4 5 2 2 2" xfId="3999" xr:uid="{00000000-0005-0000-0000-0000870E0000}"/>
    <cellStyle name="Calculation 2 4 5 2 2 2 2" xfId="4000" xr:uid="{00000000-0005-0000-0000-0000880E0000}"/>
    <cellStyle name="Calculation 2 4 5 2 2 3" xfId="4001" xr:uid="{00000000-0005-0000-0000-0000890E0000}"/>
    <cellStyle name="Calculation 2 4 5 2 2 3 2" xfId="4002" xr:uid="{00000000-0005-0000-0000-00008A0E0000}"/>
    <cellStyle name="Calculation 2 4 5 2 2 4" xfId="4003" xr:uid="{00000000-0005-0000-0000-00008B0E0000}"/>
    <cellStyle name="Calculation 2 4 5 2 2 5" xfId="4004" xr:uid="{00000000-0005-0000-0000-00008C0E0000}"/>
    <cellStyle name="Calculation 2 4 5 2 2 6" xfId="4005" xr:uid="{00000000-0005-0000-0000-00008D0E0000}"/>
    <cellStyle name="Calculation 2 4 5 2 3" xfId="4006" xr:uid="{00000000-0005-0000-0000-00008E0E0000}"/>
    <cellStyle name="Calculation 2 4 5 2 3 2" xfId="4007" xr:uid="{00000000-0005-0000-0000-00008F0E0000}"/>
    <cellStyle name="Calculation 2 4 5 2 4" xfId="4008" xr:uid="{00000000-0005-0000-0000-0000900E0000}"/>
    <cellStyle name="Calculation 2 4 5 2 4 2" xfId="4009" xr:uid="{00000000-0005-0000-0000-0000910E0000}"/>
    <cellStyle name="Calculation 2 4 5 2 5" xfId="4010" xr:uid="{00000000-0005-0000-0000-0000920E0000}"/>
    <cellStyle name="Calculation 2 4 5 2 6" xfId="4011" xr:uid="{00000000-0005-0000-0000-0000930E0000}"/>
    <cellStyle name="Calculation 2 4 5 2 7" xfId="4012" xr:uid="{00000000-0005-0000-0000-0000940E0000}"/>
    <cellStyle name="Calculation 2 4 5 3" xfId="4013" xr:uid="{00000000-0005-0000-0000-0000950E0000}"/>
    <cellStyle name="Calculation 2 4 5 3 2" xfId="4014" xr:uid="{00000000-0005-0000-0000-0000960E0000}"/>
    <cellStyle name="Calculation 2 4 5 3 2 2" xfId="4015" xr:uid="{00000000-0005-0000-0000-0000970E0000}"/>
    <cellStyle name="Calculation 2 4 5 3 3" xfId="4016" xr:uid="{00000000-0005-0000-0000-0000980E0000}"/>
    <cellStyle name="Calculation 2 4 5 3 3 2" xfId="4017" xr:uid="{00000000-0005-0000-0000-0000990E0000}"/>
    <cellStyle name="Calculation 2 4 5 3 4" xfId="4018" xr:uid="{00000000-0005-0000-0000-00009A0E0000}"/>
    <cellStyle name="Calculation 2 4 5 3 5" xfId="4019" xr:uid="{00000000-0005-0000-0000-00009B0E0000}"/>
    <cellStyle name="Calculation 2 4 5 3 6" xfId="4020" xr:uid="{00000000-0005-0000-0000-00009C0E0000}"/>
    <cellStyle name="Calculation 2 4 5 4" xfId="4021" xr:uid="{00000000-0005-0000-0000-00009D0E0000}"/>
    <cellStyle name="Calculation 2 4 5 4 2" xfId="4022" xr:uid="{00000000-0005-0000-0000-00009E0E0000}"/>
    <cellStyle name="Calculation 2 4 5 5" xfId="4023" xr:uid="{00000000-0005-0000-0000-00009F0E0000}"/>
    <cellStyle name="Calculation 2 4 5 5 2" xfId="4024" xr:uid="{00000000-0005-0000-0000-0000A00E0000}"/>
    <cellStyle name="Calculation 2 4 5 6" xfId="4025" xr:uid="{00000000-0005-0000-0000-0000A10E0000}"/>
    <cellStyle name="Calculation 2 4 5 7" xfId="4026" xr:uid="{00000000-0005-0000-0000-0000A20E0000}"/>
    <cellStyle name="Calculation 2 4 5 8" xfId="4027" xr:uid="{00000000-0005-0000-0000-0000A30E0000}"/>
    <cellStyle name="Calculation 2 4 6" xfId="4028" xr:uid="{00000000-0005-0000-0000-0000A40E0000}"/>
    <cellStyle name="Calculation 2 4 6 2" xfId="4029" xr:uid="{00000000-0005-0000-0000-0000A50E0000}"/>
    <cellStyle name="Calculation 2 4 6 2 2" xfId="4030" xr:uid="{00000000-0005-0000-0000-0000A60E0000}"/>
    <cellStyle name="Calculation 2 4 6 2 2 2" xfId="4031" xr:uid="{00000000-0005-0000-0000-0000A70E0000}"/>
    <cellStyle name="Calculation 2 4 6 2 3" xfId="4032" xr:uid="{00000000-0005-0000-0000-0000A80E0000}"/>
    <cellStyle name="Calculation 2 4 6 2 3 2" xfId="4033" xr:uid="{00000000-0005-0000-0000-0000A90E0000}"/>
    <cellStyle name="Calculation 2 4 6 2 4" xfId="4034" xr:uid="{00000000-0005-0000-0000-0000AA0E0000}"/>
    <cellStyle name="Calculation 2 4 6 2 5" xfId="4035" xr:uid="{00000000-0005-0000-0000-0000AB0E0000}"/>
    <cellStyle name="Calculation 2 4 6 2 6" xfId="4036" xr:uid="{00000000-0005-0000-0000-0000AC0E0000}"/>
    <cellStyle name="Calculation 2 4 6 3" xfId="4037" xr:uid="{00000000-0005-0000-0000-0000AD0E0000}"/>
    <cellStyle name="Calculation 2 4 6 3 2" xfId="4038" xr:uid="{00000000-0005-0000-0000-0000AE0E0000}"/>
    <cellStyle name="Calculation 2 4 6 4" xfId="4039" xr:uid="{00000000-0005-0000-0000-0000AF0E0000}"/>
    <cellStyle name="Calculation 2 4 6 4 2" xfId="4040" xr:uid="{00000000-0005-0000-0000-0000B00E0000}"/>
    <cellStyle name="Calculation 2 4 6 5" xfId="4041" xr:uid="{00000000-0005-0000-0000-0000B10E0000}"/>
    <cellStyle name="Calculation 2 4 6 6" xfId="4042" xr:uid="{00000000-0005-0000-0000-0000B20E0000}"/>
    <cellStyle name="Calculation 2 4 6 7" xfId="4043" xr:uid="{00000000-0005-0000-0000-0000B30E0000}"/>
    <cellStyle name="Calculation 2 4 7" xfId="4044" xr:uid="{00000000-0005-0000-0000-0000B40E0000}"/>
    <cellStyle name="Calculation 2 4 7 2" xfId="4045" xr:uid="{00000000-0005-0000-0000-0000B50E0000}"/>
    <cellStyle name="Calculation 2 4 7 2 2" xfId="4046" xr:uid="{00000000-0005-0000-0000-0000B60E0000}"/>
    <cellStyle name="Calculation 2 4 7 3" xfId="4047" xr:uid="{00000000-0005-0000-0000-0000B70E0000}"/>
    <cellStyle name="Calculation 2 4 7 3 2" xfId="4048" xr:uid="{00000000-0005-0000-0000-0000B80E0000}"/>
    <cellStyle name="Calculation 2 4 7 4" xfId="4049" xr:uid="{00000000-0005-0000-0000-0000B90E0000}"/>
    <cellStyle name="Calculation 2 4 7 5" xfId="4050" xr:uid="{00000000-0005-0000-0000-0000BA0E0000}"/>
    <cellStyle name="Calculation 2 4 7 6" xfId="4051" xr:uid="{00000000-0005-0000-0000-0000BB0E0000}"/>
    <cellStyle name="Calculation 2 4 8" xfId="4052" xr:uid="{00000000-0005-0000-0000-0000BC0E0000}"/>
    <cellStyle name="Calculation 2 4 8 2" xfId="4053" xr:uid="{00000000-0005-0000-0000-0000BD0E0000}"/>
    <cellStyle name="Calculation 2 4 9" xfId="4054" xr:uid="{00000000-0005-0000-0000-0000BE0E0000}"/>
    <cellStyle name="Calculation 2 4 9 2" xfId="4055" xr:uid="{00000000-0005-0000-0000-0000BF0E0000}"/>
    <cellStyle name="Calculation 2 5" xfId="4056" xr:uid="{00000000-0005-0000-0000-0000C00E0000}"/>
    <cellStyle name="Calculation 2 5 10" xfId="4057" xr:uid="{00000000-0005-0000-0000-0000C10E0000}"/>
    <cellStyle name="Calculation 2 5 11" xfId="4058" xr:uid="{00000000-0005-0000-0000-0000C20E0000}"/>
    <cellStyle name="Calculation 2 5 2" xfId="4059" xr:uid="{00000000-0005-0000-0000-0000C30E0000}"/>
    <cellStyle name="Calculation 2 5 2 10" xfId="4060" xr:uid="{00000000-0005-0000-0000-0000C40E0000}"/>
    <cellStyle name="Calculation 2 5 2 2" xfId="4061" xr:uid="{00000000-0005-0000-0000-0000C50E0000}"/>
    <cellStyle name="Calculation 2 5 2 2 10" xfId="4062" xr:uid="{00000000-0005-0000-0000-0000C60E0000}"/>
    <cellStyle name="Calculation 2 5 2 2 2" xfId="4063" xr:uid="{00000000-0005-0000-0000-0000C70E0000}"/>
    <cellStyle name="Calculation 2 5 2 2 2 2" xfId="4064" xr:uid="{00000000-0005-0000-0000-0000C80E0000}"/>
    <cellStyle name="Calculation 2 5 2 2 2 2 2" xfId="4065" xr:uid="{00000000-0005-0000-0000-0000C90E0000}"/>
    <cellStyle name="Calculation 2 5 2 2 2 2 2 2" xfId="4066" xr:uid="{00000000-0005-0000-0000-0000CA0E0000}"/>
    <cellStyle name="Calculation 2 5 2 2 2 2 2 2 2" xfId="4067" xr:uid="{00000000-0005-0000-0000-0000CB0E0000}"/>
    <cellStyle name="Calculation 2 5 2 2 2 2 2 3" xfId="4068" xr:uid="{00000000-0005-0000-0000-0000CC0E0000}"/>
    <cellStyle name="Calculation 2 5 2 2 2 2 2 3 2" xfId="4069" xr:uid="{00000000-0005-0000-0000-0000CD0E0000}"/>
    <cellStyle name="Calculation 2 5 2 2 2 2 2 4" xfId="4070" xr:uid="{00000000-0005-0000-0000-0000CE0E0000}"/>
    <cellStyle name="Calculation 2 5 2 2 2 2 2 5" xfId="4071" xr:uid="{00000000-0005-0000-0000-0000CF0E0000}"/>
    <cellStyle name="Calculation 2 5 2 2 2 2 2 6" xfId="4072" xr:uid="{00000000-0005-0000-0000-0000D00E0000}"/>
    <cellStyle name="Calculation 2 5 2 2 2 2 3" xfId="4073" xr:uid="{00000000-0005-0000-0000-0000D10E0000}"/>
    <cellStyle name="Calculation 2 5 2 2 2 2 3 2" xfId="4074" xr:uid="{00000000-0005-0000-0000-0000D20E0000}"/>
    <cellStyle name="Calculation 2 5 2 2 2 2 4" xfId="4075" xr:uid="{00000000-0005-0000-0000-0000D30E0000}"/>
    <cellStyle name="Calculation 2 5 2 2 2 2 4 2" xfId="4076" xr:uid="{00000000-0005-0000-0000-0000D40E0000}"/>
    <cellStyle name="Calculation 2 5 2 2 2 2 5" xfId="4077" xr:uid="{00000000-0005-0000-0000-0000D50E0000}"/>
    <cellStyle name="Calculation 2 5 2 2 2 2 6" xfId="4078" xr:uid="{00000000-0005-0000-0000-0000D60E0000}"/>
    <cellStyle name="Calculation 2 5 2 2 2 2 7" xfId="4079" xr:uid="{00000000-0005-0000-0000-0000D70E0000}"/>
    <cellStyle name="Calculation 2 5 2 2 2 3" xfId="4080" xr:uid="{00000000-0005-0000-0000-0000D80E0000}"/>
    <cellStyle name="Calculation 2 5 2 2 2 3 2" xfId="4081" xr:uid="{00000000-0005-0000-0000-0000D90E0000}"/>
    <cellStyle name="Calculation 2 5 2 2 2 3 2 2" xfId="4082" xr:uid="{00000000-0005-0000-0000-0000DA0E0000}"/>
    <cellStyle name="Calculation 2 5 2 2 2 3 3" xfId="4083" xr:uid="{00000000-0005-0000-0000-0000DB0E0000}"/>
    <cellStyle name="Calculation 2 5 2 2 2 3 3 2" xfId="4084" xr:uid="{00000000-0005-0000-0000-0000DC0E0000}"/>
    <cellStyle name="Calculation 2 5 2 2 2 3 4" xfId="4085" xr:uid="{00000000-0005-0000-0000-0000DD0E0000}"/>
    <cellStyle name="Calculation 2 5 2 2 2 3 5" xfId="4086" xr:uid="{00000000-0005-0000-0000-0000DE0E0000}"/>
    <cellStyle name="Calculation 2 5 2 2 2 3 6" xfId="4087" xr:uid="{00000000-0005-0000-0000-0000DF0E0000}"/>
    <cellStyle name="Calculation 2 5 2 2 2 4" xfId="4088" xr:uid="{00000000-0005-0000-0000-0000E00E0000}"/>
    <cellStyle name="Calculation 2 5 2 2 2 4 2" xfId="4089" xr:uid="{00000000-0005-0000-0000-0000E10E0000}"/>
    <cellStyle name="Calculation 2 5 2 2 2 5" xfId="4090" xr:uid="{00000000-0005-0000-0000-0000E20E0000}"/>
    <cellStyle name="Calculation 2 5 2 2 2 5 2" xfId="4091" xr:uid="{00000000-0005-0000-0000-0000E30E0000}"/>
    <cellStyle name="Calculation 2 5 2 2 2 6" xfId="4092" xr:uid="{00000000-0005-0000-0000-0000E40E0000}"/>
    <cellStyle name="Calculation 2 5 2 2 2 7" xfId="4093" xr:uid="{00000000-0005-0000-0000-0000E50E0000}"/>
    <cellStyle name="Calculation 2 5 2 2 2 8" xfId="4094" xr:uid="{00000000-0005-0000-0000-0000E60E0000}"/>
    <cellStyle name="Calculation 2 5 2 2 3" xfId="4095" xr:uid="{00000000-0005-0000-0000-0000E70E0000}"/>
    <cellStyle name="Calculation 2 5 2 2 3 2" xfId="4096" xr:uid="{00000000-0005-0000-0000-0000E80E0000}"/>
    <cellStyle name="Calculation 2 5 2 2 3 2 2" xfId="4097" xr:uid="{00000000-0005-0000-0000-0000E90E0000}"/>
    <cellStyle name="Calculation 2 5 2 2 3 2 2 2" xfId="4098" xr:uid="{00000000-0005-0000-0000-0000EA0E0000}"/>
    <cellStyle name="Calculation 2 5 2 2 3 2 2 2 2" xfId="4099" xr:uid="{00000000-0005-0000-0000-0000EB0E0000}"/>
    <cellStyle name="Calculation 2 5 2 2 3 2 2 3" xfId="4100" xr:uid="{00000000-0005-0000-0000-0000EC0E0000}"/>
    <cellStyle name="Calculation 2 5 2 2 3 2 2 3 2" xfId="4101" xr:uid="{00000000-0005-0000-0000-0000ED0E0000}"/>
    <cellStyle name="Calculation 2 5 2 2 3 2 2 4" xfId="4102" xr:uid="{00000000-0005-0000-0000-0000EE0E0000}"/>
    <cellStyle name="Calculation 2 5 2 2 3 2 2 5" xfId="4103" xr:uid="{00000000-0005-0000-0000-0000EF0E0000}"/>
    <cellStyle name="Calculation 2 5 2 2 3 2 2 6" xfId="4104" xr:uid="{00000000-0005-0000-0000-0000F00E0000}"/>
    <cellStyle name="Calculation 2 5 2 2 3 2 3" xfId="4105" xr:uid="{00000000-0005-0000-0000-0000F10E0000}"/>
    <cellStyle name="Calculation 2 5 2 2 3 2 3 2" xfId="4106" xr:uid="{00000000-0005-0000-0000-0000F20E0000}"/>
    <cellStyle name="Calculation 2 5 2 2 3 2 4" xfId="4107" xr:uid="{00000000-0005-0000-0000-0000F30E0000}"/>
    <cellStyle name="Calculation 2 5 2 2 3 2 4 2" xfId="4108" xr:uid="{00000000-0005-0000-0000-0000F40E0000}"/>
    <cellStyle name="Calculation 2 5 2 2 3 2 5" xfId="4109" xr:uid="{00000000-0005-0000-0000-0000F50E0000}"/>
    <cellStyle name="Calculation 2 5 2 2 3 2 6" xfId="4110" xr:uid="{00000000-0005-0000-0000-0000F60E0000}"/>
    <cellStyle name="Calculation 2 5 2 2 3 2 7" xfId="4111" xr:uid="{00000000-0005-0000-0000-0000F70E0000}"/>
    <cellStyle name="Calculation 2 5 2 2 3 3" xfId="4112" xr:uid="{00000000-0005-0000-0000-0000F80E0000}"/>
    <cellStyle name="Calculation 2 5 2 2 3 3 2" xfId="4113" xr:uid="{00000000-0005-0000-0000-0000F90E0000}"/>
    <cellStyle name="Calculation 2 5 2 2 3 3 2 2" xfId="4114" xr:uid="{00000000-0005-0000-0000-0000FA0E0000}"/>
    <cellStyle name="Calculation 2 5 2 2 3 3 3" xfId="4115" xr:uid="{00000000-0005-0000-0000-0000FB0E0000}"/>
    <cellStyle name="Calculation 2 5 2 2 3 3 3 2" xfId="4116" xr:uid="{00000000-0005-0000-0000-0000FC0E0000}"/>
    <cellStyle name="Calculation 2 5 2 2 3 3 4" xfId="4117" xr:uid="{00000000-0005-0000-0000-0000FD0E0000}"/>
    <cellStyle name="Calculation 2 5 2 2 3 3 5" xfId="4118" xr:uid="{00000000-0005-0000-0000-0000FE0E0000}"/>
    <cellStyle name="Calculation 2 5 2 2 3 3 6" xfId="4119" xr:uid="{00000000-0005-0000-0000-0000FF0E0000}"/>
    <cellStyle name="Calculation 2 5 2 2 3 4" xfId="4120" xr:uid="{00000000-0005-0000-0000-0000000F0000}"/>
    <cellStyle name="Calculation 2 5 2 2 3 4 2" xfId="4121" xr:uid="{00000000-0005-0000-0000-0000010F0000}"/>
    <cellStyle name="Calculation 2 5 2 2 3 5" xfId="4122" xr:uid="{00000000-0005-0000-0000-0000020F0000}"/>
    <cellStyle name="Calculation 2 5 2 2 3 5 2" xfId="4123" xr:uid="{00000000-0005-0000-0000-0000030F0000}"/>
    <cellStyle name="Calculation 2 5 2 2 3 6" xfId="4124" xr:uid="{00000000-0005-0000-0000-0000040F0000}"/>
    <cellStyle name="Calculation 2 5 2 2 3 7" xfId="4125" xr:uid="{00000000-0005-0000-0000-0000050F0000}"/>
    <cellStyle name="Calculation 2 5 2 2 3 8" xfId="4126" xr:uid="{00000000-0005-0000-0000-0000060F0000}"/>
    <cellStyle name="Calculation 2 5 2 2 4" xfId="4127" xr:uid="{00000000-0005-0000-0000-0000070F0000}"/>
    <cellStyle name="Calculation 2 5 2 2 4 2" xfId="4128" xr:uid="{00000000-0005-0000-0000-0000080F0000}"/>
    <cellStyle name="Calculation 2 5 2 2 4 2 2" xfId="4129" xr:uid="{00000000-0005-0000-0000-0000090F0000}"/>
    <cellStyle name="Calculation 2 5 2 2 4 2 2 2" xfId="4130" xr:uid="{00000000-0005-0000-0000-00000A0F0000}"/>
    <cellStyle name="Calculation 2 5 2 2 4 2 3" xfId="4131" xr:uid="{00000000-0005-0000-0000-00000B0F0000}"/>
    <cellStyle name="Calculation 2 5 2 2 4 2 3 2" xfId="4132" xr:uid="{00000000-0005-0000-0000-00000C0F0000}"/>
    <cellStyle name="Calculation 2 5 2 2 4 2 4" xfId="4133" xr:uid="{00000000-0005-0000-0000-00000D0F0000}"/>
    <cellStyle name="Calculation 2 5 2 2 4 2 5" xfId="4134" xr:uid="{00000000-0005-0000-0000-00000E0F0000}"/>
    <cellStyle name="Calculation 2 5 2 2 4 2 6" xfId="4135" xr:uid="{00000000-0005-0000-0000-00000F0F0000}"/>
    <cellStyle name="Calculation 2 5 2 2 4 3" xfId="4136" xr:uid="{00000000-0005-0000-0000-0000100F0000}"/>
    <cellStyle name="Calculation 2 5 2 2 4 3 2" xfId="4137" xr:uid="{00000000-0005-0000-0000-0000110F0000}"/>
    <cellStyle name="Calculation 2 5 2 2 4 4" xfId="4138" xr:uid="{00000000-0005-0000-0000-0000120F0000}"/>
    <cellStyle name="Calculation 2 5 2 2 4 4 2" xfId="4139" xr:uid="{00000000-0005-0000-0000-0000130F0000}"/>
    <cellStyle name="Calculation 2 5 2 2 4 5" xfId="4140" xr:uid="{00000000-0005-0000-0000-0000140F0000}"/>
    <cellStyle name="Calculation 2 5 2 2 4 6" xfId="4141" xr:uid="{00000000-0005-0000-0000-0000150F0000}"/>
    <cellStyle name="Calculation 2 5 2 2 4 7" xfId="4142" xr:uid="{00000000-0005-0000-0000-0000160F0000}"/>
    <cellStyle name="Calculation 2 5 2 2 5" xfId="4143" xr:uid="{00000000-0005-0000-0000-0000170F0000}"/>
    <cellStyle name="Calculation 2 5 2 2 5 2" xfId="4144" xr:uid="{00000000-0005-0000-0000-0000180F0000}"/>
    <cellStyle name="Calculation 2 5 2 2 5 2 2" xfId="4145" xr:uid="{00000000-0005-0000-0000-0000190F0000}"/>
    <cellStyle name="Calculation 2 5 2 2 5 3" xfId="4146" xr:uid="{00000000-0005-0000-0000-00001A0F0000}"/>
    <cellStyle name="Calculation 2 5 2 2 5 3 2" xfId="4147" xr:uid="{00000000-0005-0000-0000-00001B0F0000}"/>
    <cellStyle name="Calculation 2 5 2 2 5 4" xfId="4148" xr:uid="{00000000-0005-0000-0000-00001C0F0000}"/>
    <cellStyle name="Calculation 2 5 2 2 5 5" xfId="4149" xr:uid="{00000000-0005-0000-0000-00001D0F0000}"/>
    <cellStyle name="Calculation 2 5 2 2 5 6" xfId="4150" xr:uid="{00000000-0005-0000-0000-00001E0F0000}"/>
    <cellStyle name="Calculation 2 5 2 2 6" xfId="4151" xr:uid="{00000000-0005-0000-0000-00001F0F0000}"/>
    <cellStyle name="Calculation 2 5 2 2 6 2" xfId="4152" xr:uid="{00000000-0005-0000-0000-0000200F0000}"/>
    <cellStyle name="Calculation 2 5 2 2 7" xfId="4153" xr:uid="{00000000-0005-0000-0000-0000210F0000}"/>
    <cellStyle name="Calculation 2 5 2 2 7 2" xfId="4154" xr:uid="{00000000-0005-0000-0000-0000220F0000}"/>
    <cellStyle name="Calculation 2 5 2 2 8" xfId="4155" xr:uid="{00000000-0005-0000-0000-0000230F0000}"/>
    <cellStyle name="Calculation 2 5 2 2 9" xfId="4156" xr:uid="{00000000-0005-0000-0000-0000240F0000}"/>
    <cellStyle name="Calculation 2 5 2 3" xfId="4157" xr:uid="{00000000-0005-0000-0000-0000250F0000}"/>
    <cellStyle name="Calculation 2 5 2 3 2" xfId="4158" xr:uid="{00000000-0005-0000-0000-0000260F0000}"/>
    <cellStyle name="Calculation 2 5 2 3 2 2" xfId="4159" xr:uid="{00000000-0005-0000-0000-0000270F0000}"/>
    <cellStyle name="Calculation 2 5 2 3 2 2 2" xfId="4160" xr:uid="{00000000-0005-0000-0000-0000280F0000}"/>
    <cellStyle name="Calculation 2 5 2 3 2 2 2 2" xfId="4161" xr:uid="{00000000-0005-0000-0000-0000290F0000}"/>
    <cellStyle name="Calculation 2 5 2 3 2 2 3" xfId="4162" xr:uid="{00000000-0005-0000-0000-00002A0F0000}"/>
    <cellStyle name="Calculation 2 5 2 3 2 2 3 2" xfId="4163" xr:uid="{00000000-0005-0000-0000-00002B0F0000}"/>
    <cellStyle name="Calculation 2 5 2 3 2 2 4" xfId="4164" xr:uid="{00000000-0005-0000-0000-00002C0F0000}"/>
    <cellStyle name="Calculation 2 5 2 3 2 2 5" xfId="4165" xr:uid="{00000000-0005-0000-0000-00002D0F0000}"/>
    <cellStyle name="Calculation 2 5 2 3 2 2 6" xfId="4166" xr:uid="{00000000-0005-0000-0000-00002E0F0000}"/>
    <cellStyle name="Calculation 2 5 2 3 2 3" xfId="4167" xr:uid="{00000000-0005-0000-0000-00002F0F0000}"/>
    <cellStyle name="Calculation 2 5 2 3 2 3 2" xfId="4168" xr:uid="{00000000-0005-0000-0000-0000300F0000}"/>
    <cellStyle name="Calculation 2 5 2 3 2 4" xfId="4169" xr:uid="{00000000-0005-0000-0000-0000310F0000}"/>
    <cellStyle name="Calculation 2 5 2 3 2 4 2" xfId="4170" xr:uid="{00000000-0005-0000-0000-0000320F0000}"/>
    <cellStyle name="Calculation 2 5 2 3 2 5" xfId="4171" xr:uid="{00000000-0005-0000-0000-0000330F0000}"/>
    <cellStyle name="Calculation 2 5 2 3 2 6" xfId="4172" xr:uid="{00000000-0005-0000-0000-0000340F0000}"/>
    <cellStyle name="Calculation 2 5 2 3 2 7" xfId="4173" xr:uid="{00000000-0005-0000-0000-0000350F0000}"/>
    <cellStyle name="Calculation 2 5 2 3 3" xfId="4174" xr:uid="{00000000-0005-0000-0000-0000360F0000}"/>
    <cellStyle name="Calculation 2 5 2 3 3 2" xfId="4175" xr:uid="{00000000-0005-0000-0000-0000370F0000}"/>
    <cellStyle name="Calculation 2 5 2 3 3 2 2" xfId="4176" xr:uid="{00000000-0005-0000-0000-0000380F0000}"/>
    <cellStyle name="Calculation 2 5 2 3 3 3" xfId="4177" xr:uid="{00000000-0005-0000-0000-0000390F0000}"/>
    <cellStyle name="Calculation 2 5 2 3 3 3 2" xfId="4178" xr:uid="{00000000-0005-0000-0000-00003A0F0000}"/>
    <cellStyle name="Calculation 2 5 2 3 3 4" xfId="4179" xr:uid="{00000000-0005-0000-0000-00003B0F0000}"/>
    <cellStyle name="Calculation 2 5 2 3 3 5" xfId="4180" xr:uid="{00000000-0005-0000-0000-00003C0F0000}"/>
    <cellStyle name="Calculation 2 5 2 3 3 6" xfId="4181" xr:uid="{00000000-0005-0000-0000-00003D0F0000}"/>
    <cellStyle name="Calculation 2 5 2 3 4" xfId="4182" xr:uid="{00000000-0005-0000-0000-00003E0F0000}"/>
    <cellStyle name="Calculation 2 5 2 3 4 2" xfId="4183" xr:uid="{00000000-0005-0000-0000-00003F0F0000}"/>
    <cellStyle name="Calculation 2 5 2 3 5" xfId="4184" xr:uid="{00000000-0005-0000-0000-0000400F0000}"/>
    <cellStyle name="Calculation 2 5 2 3 5 2" xfId="4185" xr:uid="{00000000-0005-0000-0000-0000410F0000}"/>
    <cellStyle name="Calculation 2 5 2 3 6" xfId="4186" xr:uid="{00000000-0005-0000-0000-0000420F0000}"/>
    <cellStyle name="Calculation 2 5 2 3 7" xfId="4187" xr:uid="{00000000-0005-0000-0000-0000430F0000}"/>
    <cellStyle name="Calculation 2 5 2 3 8" xfId="4188" xr:uid="{00000000-0005-0000-0000-0000440F0000}"/>
    <cellStyle name="Calculation 2 5 2 4" xfId="4189" xr:uid="{00000000-0005-0000-0000-0000450F0000}"/>
    <cellStyle name="Calculation 2 5 2 4 2" xfId="4190" xr:uid="{00000000-0005-0000-0000-0000460F0000}"/>
    <cellStyle name="Calculation 2 5 2 4 2 2" xfId="4191" xr:uid="{00000000-0005-0000-0000-0000470F0000}"/>
    <cellStyle name="Calculation 2 5 2 4 2 2 2" xfId="4192" xr:uid="{00000000-0005-0000-0000-0000480F0000}"/>
    <cellStyle name="Calculation 2 5 2 4 2 3" xfId="4193" xr:uid="{00000000-0005-0000-0000-0000490F0000}"/>
    <cellStyle name="Calculation 2 5 2 4 2 3 2" xfId="4194" xr:uid="{00000000-0005-0000-0000-00004A0F0000}"/>
    <cellStyle name="Calculation 2 5 2 4 2 4" xfId="4195" xr:uid="{00000000-0005-0000-0000-00004B0F0000}"/>
    <cellStyle name="Calculation 2 5 2 4 2 5" xfId="4196" xr:uid="{00000000-0005-0000-0000-00004C0F0000}"/>
    <cellStyle name="Calculation 2 5 2 4 2 6" xfId="4197" xr:uid="{00000000-0005-0000-0000-00004D0F0000}"/>
    <cellStyle name="Calculation 2 5 2 4 3" xfId="4198" xr:uid="{00000000-0005-0000-0000-00004E0F0000}"/>
    <cellStyle name="Calculation 2 5 2 4 3 2" xfId="4199" xr:uid="{00000000-0005-0000-0000-00004F0F0000}"/>
    <cellStyle name="Calculation 2 5 2 4 4" xfId="4200" xr:uid="{00000000-0005-0000-0000-0000500F0000}"/>
    <cellStyle name="Calculation 2 5 2 4 4 2" xfId="4201" xr:uid="{00000000-0005-0000-0000-0000510F0000}"/>
    <cellStyle name="Calculation 2 5 2 4 5" xfId="4202" xr:uid="{00000000-0005-0000-0000-0000520F0000}"/>
    <cellStyle name="Calculation 2 5 2 4 6" xfId="4203" xr:uid="{00000000-0005-0000-0000-0000530F0000}"/>
    <cellStyle name="Calculation 2 5 2 4 7" xfId="4204" xr:uid="{00000000-0005-0000-0000-0000540F0000}"/>
    <cellStyle name="Calculation 2 5 2 5" xfId="4205" xr:uid="{00000000-0005-0000-0000-0000550F0000}"/>
    <cellStyle name="Calculation 2 5 2 5 2" xfId="4206" xr:uid="{00000000-0005-0000-0000-0000560F0000}"/>
    <cellStyle name="Calculation 2 5 2 5 2 2" xfId="4207" xr:uid="{00000000-0005-0000-0000-0000570F0000}"/>
    <cellStyle name="Calculation 2 5 2 5 3" xfId="4208" xr:uid="{00000000-0005-0000-0000-0000580F0000}"/>
    <cellStyle name="Calculation 2 5 2 5 3 2" xfId="4209" xr:uid="{00000000-0005-0000-0000-0000590F0000}"/>
    <cellStyle name="Calculation 2 5 2 5 4" xfId="4210" xr:uid="{00000000-0005-0000-0000-00005A0F0000}"/>
    <cellStyle name="Calculation 2 5 2 5 5" xfId="4211" xr:uid="{00000000-0005-0000-0000-00005B0F0000}"/>
    <cellStyle name="Calculation 2 5 2 5 6" xfId="4212" xr:uid="{00000000-0005-0000-0000-00005C0F0000}"/>
    <cellStyle name="Calculation 2 5 2 6" xfId="4213" xr:uid="{00000000-0005-0000-0000-00005D0F0000}"/>
    <cellStyle name="Calculation 2 5 2 6 2" xfId="4214" xr:uid="{00000000-0005-0000-0000-00005E0F0000}"/>
    <cellStyle name="Calculation 2 5 2 7" xfId="4215" xr:uid="{00000000-0005-0000-0000-00005F0F0000}"/>
    <cellStyle name="Calculation 2 5 2 7 2" xfId="4216" xr:uid="{00000000-0005-0000-0000-0000600F0000}"/>
    <cellStyle name="Calculation 2 5 2 8" xfId="4217" xr:uid="{00000000-0005-0000-0000-0000610F0000}"/>
    <cellStyle name="Calculation 2 5 2 9" xfId="4218" xr:uid="{00000000-0005-0000-0000-0000620F0000}"/>
    <cellStyle name="Calculation 2 5 3" xfId="4219" xr:uid="{00000000-0005-0000-0000-0000630F0000}"/>
    <cellStyle name="Calculation 2 5 3 10" xfId="4220" xr:uid="{00000000-0005-0000-0000-0000640F0000}"/>
    <cellStyle name="Calculation 2 5 3 2" xfId="4221" xr:uid="{00000000-0005-0000-0000-0000650F0000}"/>
    <cellStyle name="Calculation 2 5 3 2 2" xfId="4222" xr:uid="{00000000-0005-0000-0000-0000660F0000}"/>
    <cellStyle name="Calculation 2 5 3 2 2 2" xfId="4223" xr:uid="{00000000-0005-0000-0000-0000670F0000}"/>
    <cellStyle name="Calculation 2 5 3 2 2 2 2" xfId="4224" xr:uid="{00000000-0005-0000-0000-0000680F0000}"/>
    <cellStyle name="Calculation 2 5 3 2 2 2 2 2" xfId="4225" xr:uid="{00000000-0005-0000-0000-0000690F0000}"/>
    <cellStyle name="Calculation 2 5 3 2 2 2 3" xfId="4226" xr:uid="{00000000-0005-0000-0000-00006A0F0000}"/>
    <cellStyle name="Calculation 2 5 3 2 2 2 3 2" xfId="4227" xr:uid="{00000000-0005-0000-0000-00006B0F0000}"/>
    <cellStyle name="Calculation 2 5 3 2 2 2 4" xfId="4228" xr:uid="{00000000-0005-0000-0000-00006C0F0000}"/>
    <cellStyle name="Calculation 2 5 3 2 2 2 5" xfId="4229" xr:uid="{00000000-0005-0000-0000-00006D0F0000}"/>
    <cellStyle name="Calculation 2 5 3 2 2 2 6" xfId="4230" xr:uid="{00000000-0005-0000-0000-00006E0F0000}"/>
    <cellStyle name="Calculation 2 5 3 2 2 3" xfId="4231" xr:uid="{00000000-0005-0000-0000-00006F0F0000}"/>
    <cellStyle name="Calculation 2 5 3 2 2 3 2" xfId="4232" xr:uid="{00000000-0005-0000-0000-0000700F0000}"/>
    <cellStyle name="Calculation 2 5 3 2 2 4" xfId="4233" xr:uid="{00000000-0005-0000-0000-0000710F0000}"/>
    <cellStyle name="Calculation 2 5 3 2 2 4 2" xfId="4234" xr:uid="{00000000-0005-0000-0000-0000720F0000}"/>
    <cellStyle name="Calculation 2 5 3 2 2 5" xfId="4235" xr:uid="{00000000-0005-0000-0000-0000730F0000}"/>
    <cellStyle name="Calculation 2 5 3 2 2 6" xfId="4236" xr:uid="{00000000-0005-0000-0000-0000740F0000}"/>
    <cellStyle name="Calculation 2 5 3 2 2 7" xfId="4237" xr:uid="{00000000-0005-0000-0000-0000750F0000}"/>
    <cellStyle name="Calculation 2 5 3 2 3" xfId="4238" xr:uid="{00000000-0005-0000-0000-0000760F0000}"/>
    <cellStyle name="Calculation 2 5 3 2 3 2" xfId="4239" xr:uid="{00000000-0005-0000-0000-0000770F0000}"/>
    <cellStyle name="Calculation 2 5 3 2 3 2 2" xfId="4240" xr:uid="{00000000-0005-0000-0000-0000780F0000}"/>
    <cellStyle name="Calculation 2 5 3 2 3 3" xfId="4241" xr:uid="{00000000-0005-0000-0000-0000790F0000}"/>
    <cellStyle name="Calculation 2 5 3 2 3 3 2" xfId="4242" xr:uid="{00000000-0005-0000-0000-00007A0F0000}"/>
    <cellStyle name="Calculation 2 5 3 2 3 4" xfId="4243" xr:uid="{00000000-0005-0000-0000-00007B0F0000}"/>
    <cellStyle name="Calculation 2 5 3 2 3 5" xfId="4244" xr:uid="{00000000-0005-0000-0000-00007C0F0000}"/>
    <cellStyle name="Calculation 2 5 3 2 3 6" xfId="4245" xr:uid="{00000000-0005-0000-0000-00007D0F0000}"/>
    <cellStyle name="Calculation 2 5 3 2 4" xfId="4246" xr:uid="{00000000-0005-0000-0000-00007E0F0000}"/>
    <cellStyle name="Calculation 2 5 3 2 4 2" xfId="4247" xr:uid="{00000000-0005-0000-0000-00007F0F0000}"/>
    <cellStyle name="Calculation 2 5 3 2 5" xfId="4248" xr:uid="{00000000-0005-0000-0000-0000800F0000}"/>
    <cellStyle name="Calculation 2 5 3 2 5 2" xfId="4249" xr:uid="{00000000-0005-0000-0000-0000810F0000}"/>
    <cellStyle name="Calculation 2 5 3 2 6" xfId="4250" xr:uid="{00000000-0005-0000-0000-0000820F0000}"/>
    <cellStyle name="Calculation 2 5 3 2 7" xfId="4251" xr:uid="{00000000-0005-0000-0000-0000830F0000}"/>
    <cellStyle name="Calculation 2 5 3 2 8" xfId="4252" xr:uid="{00000000-0005-0000-0000-0000840F0000}"/>
    <cellStyle name="Calculation 2 5 3 3" xfId="4253" xr:uid="{00000000-0005-0000-0000-0000850F0000}"/>
    <cellStyle name="Calculation 2 5 3 3 2" xfId="4254" xr:uid="{00000000-0005-0000-0000-0000860F0000}"/>
    <cellStyle name="Calculation 2 5 3 3 2 2" xfId="4255" xr:uid="{00000000-0005-0000-0000-0000870F0000}"/>
    <cellStyle name="Calculation 2 5 3 3 2 2 2" xfId="4256" xr:uid="{00000000-0005-0000-0000-0000880F0000}"/>
    <cellStyle name="Calculation 2 5 3 3 2 2 2 2" xfId="4257" xr:uid="{00000000-0005-0000-0000-0000890F0000}"/>
    <cellStyle name="Calculation 2 5 3 3 2 2 3" xfId="4258" xr:uid="{00000000-0005-0000-0000-00008A0F0000}"/>
    <cellStyle name="Calculation 2 5 3 3 2 2 3 2" xfId="4259" xr:uid="{00000000-0005-0000-0000-00008B0F0000}"/>
    <cellStyle name="Calculation 2 5 3 3 2 2 4" xfId="4260" xr:uid="{00000000-0005-0000-0000-00008C0F0000}"/>
    <cellStyle name="Calculation 2 5 3 3 2 2 5" xfId="4261" xr:uid="{00000000-0005-0000-0000-00008D0F0000}"/>
    <cellStyle name="Calculation 2 5 3 3 2 2 6" xfId="4262" xr:uid="{00000000-0005-0000-0000-00008E0F0000}"/>
    <cellStyle name="Calculation 2 5 3 3 2 3" xfId="4263" xr:uid="{00000000-0005-0000-0000-00008F0F0000}"/>
    <cellStyle name="Calculation 2 5 3 3 2 3 2" xfId="4264" xr:uid="{00000000-0005-0000-0000-0000900F0000}"/>
    <cellStyle name="Calculation 2 5 3 3 2 4" xfId="4265" xr:uid="{00000000-0005-0000-0000-0000910F0000}"/>
    <cellStyle name="Calculation 2 5 3 3 2 4 2" xfId="4266" xr:uid="{00000000-0005-0000-0000-0000920F0000}"/>
    <cellStyle name="Calculation 2 5 3 3 2 5" xfId="4267" xr:uid="{00000000-0005-0000-0000-0000930F0000}"/>
    <cellStyle name="Calculation 2 5 3 3 2 6" xfId="4268" xr:uid="{00000000-0005-0000-0000-0000940F0000}"/>
    <cellStyle name="Calculation 2 5 3 3 2 7" xfId="4269" xr:uid="{00000000-0005-0000-0000-0000950F0000}"/>
    <cellStyle name="Calculation 2 5 3 3 3" xfId="4270" xr:uid="{00000000-0005-0000-0000-0000960F0000}"/>
    <cellStyle name="Calculation 2 5 3 3 3 2" xfId="4271" xr:uid="{00000000-0005-0000-0000-0000970F0000}"/>
    <cellStyle name="Calculation 2 5 3 3 3 2 2" xfId="4272" xr:uid="{00000000-0005-0000-0000-0000980F0000}"/>
    <cellStyle name="Calculation 2 5 3 3 3 3" xfId="4273" xr:uid="{00000000-0005-0000-0000-0000990F0000}"/>
    <cellStyle name="Calculation 2 5 3 3 3 3 2" xfId="4274" xr:uid="{00000000-0005-0000-0000-00009A0F0000}"/>
    <cellStyle name="Calculation 2 5 3 3 3 4" xfId="4275" xr:uid="{00000000-0005-0000-0000-00009B0F0000}"/>
    <cellStyle name="Calculation 2 5 3 3 3 5" xfId="4276" xr:uid="{00000000-0005-0000-0000-00009C0F0000}"/>
    <cellStyle name="Calculation 2 5 3 3 3 6" xfId="4277" xr:uid="{00000000-0005-0000-0000-00009D0F0000}"/>
    <cellStyle name="Calculation 2 5 3 3 4" xfId="4278" xr:uid="{00000000-0005-0000-0000-00009E0F0000}"/>
    <cellStyle name="Calculation 2 5 3 3 4 2" xfId="4279" xr:uid="{00000000-0005-0000-0000-00009F0F0000}"/>
    <cellStyle name="Calculation 2 5 3 3 5" xfId="4280" xr:uid="{00000000-0005-0000-0000-0000A00F0000}"/>
    <cellStyle name="Calculation 2 5 3 3 5 2" xfId="4281" xr:uid="{00000000-0005-0000-0000-0000A10F0000}"/>
    <cellStyle name="Calculation 2 5 3 3 6" xfId="4282" xr:uid="{00000000-0005-0000-0000-0000A20F0000}"/>
    <cellStyle name="Calculation 2 5 3 3 7" xfId="4283" xr:uid="{00000000-0005-0000-0000-0000A30F0000}"/>
    <cellStyle name="Calculation 2 5 3 3 8" xfId="4284" xr:uid="{00000000-0005-0000-0000-0000A40F0000}"/>
    <cellStyle name="Calculation 2 5 3 4" xfId="4285" xr:uid="{00000000-0005-0000-0000-0000A50F0000}"/>
    <cellStyle name="Calculation 2 5 3 4 2" xfId="4286" xr:uid="{00000000-0005-0000-0000-0000A60F0000}"/>
    <cellStyle name="Calculation 2 5 3 4 2 2" xfId="4287" xr:uid="{00000000-0005-0000-0000-0000A70F0000}"/>
    <cellStyle name="Calculation 2 5 3 4 2 2 2" xfId="4288" xr:uid="{00000000-0005-0000-0000-0000A80F0000}"/>
    <cellStyle name="Calculation 2 5 3 4 2 3" xfId="4289" xr:uid="{00000000-0005-0000-0000-0000A90F0000}"/>
    <cellStyle name="Calculation 2 5 3 4 2 3 2" xfId="4290" xr:uid="{00000000-0005-0000-0000-0000AA0F0000}"/>
    <cellStyle name="Calculation 2 5 3 4 2 4" xfId="4291" xr:uid="{00000000-0005-0000-0000-0000AB0F0000}"/>
    <cellStyle name="Calculation 2 5 3 4 2 5" xfId="4292" xr:uid="{00000000-0005-0000-0000-0000AC0F0000}"/>
    <cellStyle name="Calculation 2 5 3 4 2 6" xfId="4293" xr:uid="{00000000-0005-0000-0000-0000AD0F0000}"/>
    <cellStyle name="Calculation 2 5 3 4 3" xfId="4294" xr:uid="{00000000-0005-0000-0000-0000AE0F0000}"/>
    <cellStyle name="Calculation 2 5 3 4 3 2" xfId="4295" xr:uid="{00000000-0005-0000-0000-0000AF0F0000}"/>
    <cellStyle name="Calculation 2 5 3 4 4" xfId="4296" xr:uid="{00000000-0005-0000-0000-0000B00F0000}"/>
    <cellStyle name="Calculation 2 5 3 4 4 2" xfId="4297" xr:uid="{00000000-0005-0000-0000-0000B10F0000}"/>
    <cellStyle name="Calculation 2 5 3 4 5" xfId="4298" xr:uid="{00000000-0005-0000-0000-0000B20F0000}"/>
    <cellStyle name="Calculation 2 5 3 4 6" xfId="4299" xr:uid="{00000000-0005-0000-0000-0000B30F0000}"/>
    <cellStyle name="Calculation 2 5 3 4 7" xfId="4300" xr:uid="{00000000-0005-0000-0000-0000B40F0000}"/>
    <cellStyle name="Calculation 2 5 3 5" xfId="4301" xr:uid="{00000000-0005-0000-0000-0000B50F0000}"/>
    <cellStyle name="Calculation 2 5 3 5 2" xfId="4302" xr:uid="{00000000-0005-0000-0000-0000B60F0000}"/>
    <cellStyle name="Calculation 2 5 3 5 2 2" xfId="4303" xr:uid="{00000000-0005-0000-0000-0000B70F0000}"/>
    <cellStyle name="Calculation 2 5 3 5 3" xfId="4304" xr:uid="{00000000-0005-0000-0000-0000B80F0000}"/>
    <cellStyle name="Calculation 2 5 3 5 3 2" xfId="4305" xr:uid="{00000000-0005-0000-0000-0000B90F0000}"/>
    <cellStyle name="Calculation 2 5 3 5 4" xfId="4306" xr:uid="{00000000-0005-0000-0000-0000BA0F0000}"/>
    <cellStyle name="Calculation 2 5 3 5 5" xfId="4307" xr:uid="{00000000-0005-0000-0000-0000BB0F0000}"/>
    <cellStyle name="Calculation 2 5 3 5 6" xfId="4308" xr:uid="{00000000-0005-0000-0000-0000BC0F0000}"/>
    <cellStyle name="Calculation 2 5 3 6" xfId="4309" xr:uid="{00000000-0005-0000-0000-0000BD0F0000}"/>
    <cellStyle name="Calculation 2 5 3 6 2" xfId="4310" xr:uid="{00000000-0005-0000-0000-0000BE0F0000}"/>
    <cellStyle name="Calculation 2 5 3 7" xfId="4311" xr:uid="{00000000-0005-0000-0000-0000BF0F0000}"/>
    <cellStyle name="Calculation 2 5 3 7 2" xfId="4312" xr:uid="{00000000-0005-0000-0000-0000C00F0000}"/>
    <cellStyle name="Calculation 2 5 3 8" xfId="4313" xr:uid="{00000000-0005-0000-0000-0000C10F0000}"/>
    <cellStyle name="Calculation 2 5 3 9" xfId="4314" xr:uid="{00000000-0005-0000-0000-0000C20F0000}"/>
    <cellStyle name="Calculation 2 5 4" xfId="4315" xr:uid="{00000000-0005-0000-0000-0000C30F0000}"/>
    <cellStyle name="Calculation 2 5 4 2" xfId="4316" xr:uid="{00000000-0005-0000-0000-0000C40F0000}"/>
    <cellStyle name="Calculation 2 5 4 2 2" xfId="4317" xr:uid="{00000000-0005-0000-0000-0000C50F0000}"/>
    <cellStyle name="Calculation 2 5 4 2 2 2" xfId="4318" xr:uid="{00000000-0005-0000-0000-0000C60F0000}"/>
    <cellStyle name="Calculation 2 5 4 2 2 2 2" xfId="4319" xr:uid="{00000000-0005-0000-0000-0000C70F0000}"/>
    <cellStyle name="Calculation 2 5 4 2 2 3" xfId="4320" xr:uid="{00000000-0005-0000-0000-0000C80F0000}"/>
    <cellStyle name="Calculation 2 5 4 2 2 3 2" xfId="4321" xr:uid="{00000000-0005-0000-0000-0000C90F0000}"/>
    <cellStyle name="Calculation 2 5 4 2 2 4" xfId="4322" xr:uid="{00000000-0005-0000-0000-0000CA0F0000}"/>
    <cellStyle name="Calculation 2 5 4 2 2 5" xfId="4323" xr:uid="{00000000-0005-0000-0000-0000CB0F0000}"/>
    <cellStyle name="Calculation 2 5 4 2 2 6" xfId="4324" xr:uid="{00000000-0005-0000-0000-0000CC0F0000}"/>
    <cellStyle name="Calculation 2 5 4 2 3" xfId="4325" xr:uid="{00000000-0005-0000-0000-0000CD0F0000}"/>
    <cellStyle name="Calculation 2 5 4 2 3 2" xfId="4326" xr:uid="{00000000-0005-0000-0000-0000CE0F0000}"/>
    <cellStyle name="Calculation 2 5 4 2 4" xfId="4327" xr:uid="{00000000-0005-0000-0000-0000CF0F0000}"/>
    <cellStyle name="Calculation 2 5 4 2 4 2" xfId="4328" xr:uid="{00000000-0005-0000-0000-0000D00F0000}"/>
    <cellStyle name="Calculation 2 5 4 2 5" xfId="4329" xr:uid="{00000000-0005-0000-0000-0000D10F0000}"/>
    <cellStyle name="Calculation 2 5 4 2 6" xfId="4330" xr:uid="{00000000-0005-0000-0000-0000D20F0000}"/>
    <cellStyle name="Calculation 2 5 4 2 7" xfId="4331" xr:uid="{00000000-0005-0000-0000-0000D30F0000}"/>
    <cellStyle name="Calculation 2 5 4 3" xfId="4332" xr:uid="{00000000-0005-0000-0000-0000D40F0000}"/>
    <cellStyle name="Calculation 2 5 4 3 2" xfId="4333" xr:uid="{00000000-0005-0000-0000-0000D50F0000}"/>
    <cellStyle name="Calculation 2 5 4 3 2 2" xfId="4334" xr:uid="{00000000-0005-0000-0000-0000D60F0000}"/>
    <cellStyle name="Calculation 2 5 4 3 3" xfId="4335" xr:uid="{00000000-0005-0000-0000-0000D70F0000}"/>
    <cellStyle name="Calculation 2 5 4 3 3 2" xfId="4336" xr:uid="{00000000-0005-0000-0000-0000D80F0000}"/>
    <cellStyle name="Calculation 2 5 4 3 4" xfId="4337" xr:uid="{00000000-0005-0000-0000-0000D90F0000}"/>
    <cellStyle name="Calculation 2 5 4 3 5" xfId="4338" xr:uid="{00000000-0005-0000-0000-0000DA0F0000}"/>
    <cellStyle name="Calculation 2 5 4 3 6" xfId="4339" xr:uid="{00000000-0005-0000-0000-0000DB0F0000}"/>
    <cellStyle name="Calculation 2 5 4 4" xfId="4340" xr:uid="{00000000-0005-0000-0000-0000DC0F0000}"/>
    <cellStyle name="Calculation 2 5 4 4 2" xfId="4341" xr:uid="{00000000-0005-0000-0000-0000DD0F0000}"/>
    <cellStyle name="Calculation 2 5 4 5" xfId="4342" xr:uid="{00000000-0005-0000-0000-0000DE0F0000}"/>
    <cellStyle name="Calculation 2 5 4 5 2" xfId="4343" xr:uid="{00000000-0005-0000-0000-0000DF0F0000}"/>
    <cellStyle name="Calculation 2 5 4 6" xfId="4344" xr:uid="{00000000-0005-0000-0000-0000E00F0000}"/>
    <cellStyle name="Calculation 2 5 4 7" xfId="4345" xr:uid="{00000000-0005-0000-0000-0000E10F0000}"/>
    <cellStyle name="Calculation 2 5 4 8" xfId="4346" xr:uid="{00000000-0005-0000-0000-0000E20F0000}"/>
    <cellStyle name="Calculation 2 5 5" xfId="4347" xr:uid="{00000000-0005-0000-0000-0000E30F0000}"/>
    <cellStyle name="Calculation 2 5 5 2" xfId="4348" xr:uid="{00000000-0005-0000-0000-0000E40F0000}"/>
    <cellStyle name="Calculation 2 5 5 2 2" xfId="4349" xr:uid="{00000000-0005-0000-0000-0000E50F0000}"/>
    <cellStyle name="Calculation 2 5 5 2 2 2" xfId="4350" xr:uid="{00000000-0005-0000-0000-0000E60F0000}"/>
    <cellStyle name="Calculation 2 5 5 2 3" xfId="4351" xr:uid="{00000000-0005-0000-0000-0000E70F0000}"/>
    <cellStyle name="Calculation 2 5 5 2 3 2" xfId="4352" xr:uid="{00000000-0005-0000-0000-0000E80F0000}"/>
    <cellStyle name="Calculation 2 5 5 2 4" xfId="4353" xr:uid="{00000000-0005-0000-0000-0000E90F0000}"/>
    <cellStyle name="Calculation 2 5 5 2 5" xfId="4354" xr:uid="{00000000-0005-0000-0000-0000EA0F0000}"/>
    <cellStyle name="Calculation 2 5 5 2 6" xfId="4355" xr:uid="{00000000-0005-0000-0000-0000EB0F0000}"/>
    <cellStyle name="Calculation 2 5 5 3" xfId="4356" xr:uid="{00000000-0005-0000-0000-0000EC0F0000}"/>
    <cellStyle name="Calculation 2 5 5 3 2" xfId="4357" xr:uid="{00000000-0005-0000-0000-0000ED0F0000}"/>
    <cellStyle name="Calculation 2 5 5 4" xfId="4358" xr:uid="{00000000-0005-0000-0000-0000EE0F0000}"/>
    <cellStyle name="Calculation 2 5 5 4 2" xfId="4359" xr:uid="{00000000-0005-0000-0000-0000EF0F0000}"/>
    <cellStyle name="Calculation 2 5 5 5" xfId="4360" xr:uid="{00000000-0005-0000-0000-0000F00F0000}"/>
    <cellStyle name="Calculation 2 5 5 6" xfId="4361" xr:uid="{00000000-0005-0000-0000-0000F10F0000}"/>
    <cellStyle name="Calculation 2 5 5 7" xfId="4362" xr:uid="{00000000-0005-0000-0000-0000F20F0000}"/>
    <cellStyle name="Calculation 2 5 6" xfId="4363" xr:uid="{00000000-0005-0000-0000-0000F30F0000}"/>
    <cellStyle name="Calculation 2 5 6 2" xfId="4364" xr:uid="{00000000-0005-0000-0000-0000F40F0000}"/>
    <cellStyle name="Calculation 2 5 6 2 2" xfId="4365" xr:uid="{00000000-0005-0000-0000-0000F50F0000}"/>
    <cellStyle name="Calculation 2 5 6 3" xfId="4366" xr:uid="{00000000-0005-0000-0000-0000F60F0000}"/>
    <cellStyle name="Calculation 2 5 6 3 2" xfId="4367" xr:uid="{00000000-0005-0000-0000-0000F70F0000}"/>
    <cellStyle name="Calculation 2 5 6 4" xfId="4368" xr:uid="{00000000-0005-0000-0000-0000F80F0000}"/>
    <cellStyle name="Calculation 2 5 6 5" xfId="4369" xr:uid="{00000000-0005-0000-0000-0000F90F0000}"/>
    <cellStyle name="Calculation 2 5 6 6" xfId="4370" xr:uid="{00000000-0005-0000-0000-0000FA0F0000}"/>
    <cellStyle name="Calculation 2 5 7" xfId="4371" xr:uid="{00000000-0005-0000-0000-0000FB0F0000}"/>
    <cellStyle name="Calculation 2 5 7 2" xfId="4372" xr:uid="{00000000-0005-0000-0000-0000FC0F0000}"/>
    <cellStyle name="Calculation 2 5 8" xfId="4373" xr:uid="{00000000-0005-0000-0000-0000FD0F0000}"/>
    <cellStyle name="Calculation 2 5 8 2" xfId="4374" xr:uid="{00000000-0005-0000-0000-0000FE0F0000}"/>
    <cellStyle name="Calculation 2 5 9" xfId="4375" xr:uid="{00000000-0005-0000-0000-0000FF0F0000}"/>
    <cellStyle name="Calculation 2 6" xfId="4376" xr:uid="{00000000-0005-0000-0000-000000100000}"/>
    <cellStyle name="Calculation 2 6 10" xfId="4377" xr:uid="{00000000-0005-0000-0000-000001100000}"/>
    <cellStyle name="Calculation 2 6 11" xfId="4378" xr:uid="{00000000-0005-0000-0000-000002100000}"/>
    <cellStyle name="Calculation 2 6 2" xfId="4379" xr:uid="{00000000-0005-0000-0000-000003100000}"/>
    <cellStyle name="Calculation 2 6 2 10" xfId="4380" xr:uid="{00000000-0005-0000-0000-000004100000}"/>
    <cellStyle name="Calculation 2 6 2 2" xfId="4381" xr:uid="{00000000-0005-0000-0000-000005100000}"/>
    <cellStyle name="Calculation 2 6 2 2 2" xfId="4382" xr:uid="{00000000-0005-0000-0000-000006100000}"/>
    <cellStyle name="Calculation 2 6 2 2 2 2" xfId="4383" xr:uid="{00000000-0005-0000-0000-000007100000}"/>
    <cellStyle name="Calculation 2 6 2 2 2 2 2" xfId="4384" xr:uid="{00000000-0005-0000-0000-000008100000}"/>
    <cellStyle name="Calculation 2 6 2 2 2 2 2 2" xfId="4385" xr:uid="{00000000-0005-0000-0000-000009100000}"/>
    <cellStyle name="Calculation 2 6 2 2 2 2 3" xfId="4386" xr:uid="{00000000-0005-0000-0000-00000A100000}"/>
    <cellStyle name="Calculation 2 6 2 2 2 2 3 2" xfId="4387" xr:uid="{00000000-0005-0000-0000-00000B100000}"/>
    <cellStyle name="Calculation 2 6 2 2 2 2 4" xfId="4388" xr:uid="{00000000-0005-0000-0000-00000C100000}"/>
    <cellStyle name="Calculation 2 6 2 2 2 2 5" xfId="4389" xr:uid="{00000000-0005-0000-0000-00000D100000}"/>
    <cellStyle name="Calculation 2 6 2 2 2 2 6" xfId="4390" xr:uid="{00000000-0005-0000-0000-00000E100000}"/>
    <cellStyle name="Calculation 2 6 2 2 2 3" xfId="4391" xr:uid="{00000000-0005-0000-0000-00000F100000}"/>
    <cellStyle name="Calculation 2 6 2 2 2 3 2" xfId="4392" xr:uid="{00000000-0005-0000-0000-000010100000}"/>
    <cellStyle name="Calculation 2 6 2 2 2 4" xfId="4393" xr:uid="{00000000-0005-0000-0000-000011100000}"/>
    <cellStyle name="Calculation 2 6 2 2 2 4 2" xfId="4394" xr:uid="{00000000-0005-0000-0000-000012100000}"/>
    <cellStyle name="Calculation 2 6 2 2 2 5" xfId="4395" xr:uid="{00000000-0005-0000-0000-000013100000}"/>
    <cellStyle name="Calculation 2 6 2 2 2 6" xfId="4396" xr:uid="{00000000-0005-0000-0000-000014100000}"/>
    <cellStyle name="Calculation 2 6 2 2 2 7" xfId="4397" xr:uid="{00000000-0005-0000-0000-000015100000}"/>
    <cellStyle name="Calculation 2 6 2 2 3" xfId="4398" xr:uid="{00000000-0005-0000-0000-000016100000}"/>
    <cellStyle name="Calculation 2 6 2 2 3 2" xfId="4399" xr:uid="{00000000-0005-0000-0000-000017100000}"/>
    <cellStyle name="Calculation 2 6 2 2 3 2 2" xfId="4400" xr:uid="{00000000-0005-0000-0000-000018100000}"/>
    <cellStyle name="Calculation 2 6 2 2 3 3" xfId="4401" xr:uid="{00000000-0005-0000-0000-000019100000}"/>
    <cellStyle name="Calculation 2 6 2 2 3 3 2" xfId="4402" xr:uid="{00000000-0005-0000-0000-00001A100000}"/>
    <cellStyle name="Calculation 2 6 2 2 3 4" xfId="4403" xr:uid="{00000000-0005-0000-0000-00001B100000}"/>
    <cellStyle name="Calculation 2 6 2 2 3 5" xfId="4404" xr:uid="{00000000-0005-0000-0000-00001C100000}"/>
    <cellStyle name="Calculation 2 6 2 2 3 6" xfId="4405" xr:uid="{00000000-0005-0000-0000-00001D100000}"/>
    <cellStyle name="Calculation 2 6 2 2 4" xfId="4406" xr:uid="{00000000-0005-0000-0000-00001E100000}"/>
    <cellStyle name="Calculation 2 6 2 2 4 2" xfId="4407" xr:uid="{00000000-0005-0000-0000-00001F100000}"/>
    <cellStyle name="Calculation 2 6 2 2 5" xfId="4408" xr:uid="{00000000-0005-0000-0000-000020100000}"/>
    <cellStyle name="Calculation 2 6 2 2 5 2" xfId="4409" xr:uid="{00000000-0005-0000-0000-000021100000}"/>
    <cellStyle name="Calculation 2 6 2 2 6" xfId="4410" xr:uid="{00000000-0005-0000-0000-000022100000}"/>
    <cellStyle name="Calculation 2 6 2 2 7" xfId="4411" xr:uid="{00000000-0005-0000-0000-000023100000}"/>
    <cellStyle name="Calculation 2 6 2 2 8" xfId="4412" xr:uid="{00000000-0005-0000-0000-000024100000}"/>
    <cellStyle name="Calculation 2 6 2 3" xfId="4413" xr:uid="{00000000-0005-0000-0000-000025100000}"/>
    <cellStyle name="Calculation 2 6 2 3 2" xfId="4414" xr:uid="{00000000-0005-0000-0000-000026100000}"/>
    <cellStyle name="Calculation 2 6 2 3 2 2" xfId="4415" xr:uid="{00000000-0005-0000-0000-000027100000}"/>
    <cellStyle name="Calculation 2 6 2 3 2 2 2" xfId="4416" xr:uid="{00000000-0005-0000-0000-000028100000}"/>
    <cellStyle name="Calculation 2 6 2 3 2 2 2 2" xfId="4417" xr:uid="{00000000-0005-0000-0000-000029100000}"/>
    <cellStyle name="Calculation 2 6 2 3 2 2 3" xfId="4418" xr:uid="{00000000-0005-0000-0000-00002A100000}"/>
    <cellStyle name="Calculation 2 6 2 3 2 2 3 2" xfId="4419" xr:uid="{00000000-0005-0000-0000-00002B100000}"/>
    <cellStyle name="Calculation 2 6 2 3 2 2 4" xfId="4420" xr:uid="{00000000-0005-0000-0000-00002C100000}"/>
    <cellStyle name="Calculation 2 6 2 3 2 2 5" xfId="4421" xr:uid="{00000000-0005-0000-0000-00002D100000}"/>
    <cellStyle name="Calculation 2 6 2 3 2 2 6" xfId="4422" xr:uid="{00000000-0005-0000-0000-00002E100000}"/>
    <cellStyle name="Calculation 2 6 2 3 2 3" xfId="4423" xr:uid="{00000000-0005-0000-0000-00002F100000}"/>
    <cellStyle name="Calculation 2 6 2 3 2 3 2" xfId="4424" xr:uid="{00000000-0005-0000-0000-000030100000}"/>
    <cellStyle name="Calculation 2 6 2 3 2 4" xfId="4425" xr:uid="{00000000-0005-0000-0000-000031100000}"/>
    <cellStyle name="Calculation 2 6 2 3 2 4 2" xfId="4426" xr:uid="{00000000-0005-0000-0000-000032100000}"/>
    <cellStyle name="Calculation 2 6 2 3 2 5" xfId="4427" xr:uid="{00000000-0005-0000-0000-000033100000}"/>
    <cellStyle name="Calculation 2 6 2 3 2 6" xfId="4428" xr:uid="{00000000-0005-0000-0000-000034100000}"/>
    <cellStyle name="Calculation 2 6 2 3 2 7" xfId="4429" xr:uid="{00000000-0005-0000-0000-000035100000}"/>
    <cellStyle name="Calculation 2 6 2 3 3" xfId="4430" xr:uid="{00000000-0005-0000-0000-000036100000}"/>
    <cellStyle name="Calculation 2 6 2 3 3 2" xfId="4431" xr:uid="{00000000-0005-0000-0000-000037100000}"/>
    <cellStyle name="Calculation 2 6 2 3 3 2 2" xfId="4432" xr:uid="{00000000-0005-0000-0000-000038100000}"/>
    <cellStyle name="Calculation 2 6 2 3 3 3" xfId="4433" xr:uid="{00000000-0005-0000-0000-000039100000}"/>
    <cellStyle name="Calculation 2 6 2 3 3 3 2" xfId="4434" xr:uid="{00000000-0005-0000-0000-00003A100000}"/>
    <cellStyle name="Calculation 2 6 2 3 3 4" xfId="4435" xr:uid="{00000000-0005-0000-0000-00003B100000}"/>
    <cellStyle name="Calculation 2 6 2 3 3 5" xfId="4436" xr:uid="{00000000-0005-0000-0000-00003C100000}"/>
    <cellStyle name="Calculation 2 6 2 3 3 6" xfId="4437" xr:uid="{00000000-0005-0000-0000-00003D100000}"/>
    <cellStyle name="Calculation 2 6 2 3 4" xfId="4438" xr:uid="{00000000-0005-0000-0000-00003E100000}"/>
    <cellStyle name="Calculation 2 6 2 3 4 2" xfId="4439" xr:uid="{00000000-0005-0000-0000-00003F100000}"/>
    <cellStyle name="Calculation 2 6 2 3 5" xfId="4440" xr:uid="{00000000-0005-0000-0000-000040100000}"/>
    <cellStyle name="Calculation 2 6 2 3 5 2" xfId="4441" xr:uid="{00000000-0005-0000-0000-000041100000}"/>
    <cellStyle name="Calculation 2 6 2 3 6" xfId="4442" xr:uid="{00000000-0005-0000-0000-000042100000}"/>
    <cellStyle name="Calculation 2 6 2 3 7" xfId="4443" xr:uid="{00000000-0005-0000-0000-000043100000}"/>
    <cellStyle name="Calculation 2 6 2 3 8" xfId="4444" xr:uid="{00000000-0005-0000-0000-000044100000}"/>
    <cellStyle name="Calculation 2 6 2 4" xfId="4445" xr:uid="{00000000-0005-0000-0000-000045100000}"/>
    <cellStyle name="Calculation 2 6 2 4 2" xfId="4446" xr:uid="{00000000-0005-0000-0000-000046100000}"/>
    <cellStyle name="Calculation 2 6 2 4 2 2" xfId="4447" xr:uid="{00000000-0005-0000-0000-000047100000}"/>
    <cellStyle name="Calculation 2 6 2 4 2 2 2" xfId="4448" xr:uid="{00000000-0005-0000-0000-000048100000}"/>
    <cellStyle name="Calculation 2 6 2 4 2 3" xfId="4449" xr:uid="{00000000-0005-0000-0000-000049100000}"/>
    <cellStyle name="Calculation 2 6 2 4 2 3 2" xfId="4450" xr:uid="{00000000-0005-0000-0000-00004A100000}"/>
    <cellStyle name="Calculation 2 6 2 4 2 4" xfId="4451" xr:uid="{00000000-0005-0000-0000-00004B100000}"/>
    <cellStyle name="Calculation 2 6 2 4 2 5" xfId="4452" xr:uid="{00000000-0005-0000-0000-00004C100000}"/>
    <cellStyle name="Calculation 2 6 2 4 2 6" xfId="4453" xr:uid="{00000000-0005-0000-0000-00004D100000}"/>
    <cellStyle name="Calculation 2 6 2 4 3" xfId="4454" xr:uid="{00000000-0005-0000-0000-00004E100000}"/>
    <cellStyle name="Calculation 2 6 2 4 3 2" xfId="4455" xr:uid="{00000000-0005-0000-0000-00004F100000}"/>
    <cellStyle name="Calculation 2 6 2 4 4" xfId="4456" xr:uid="{00000000-0005-0000-0000-000050100000}"/>
    <cellStyle name="Calculation 2 6 2 4 4 2" xfId="4457" xr:uid="{00000000-0005-0000-0000-000051100000}"/>
    <cellStyle name="Calculation 2 6 2 4 5" xfId="4458" xr:uid="{00000000-0005-0000-0000-000052100000}"/>
    <cellStyle name="Calculation 2 6 2 4 6" xfId="4459" xr:uid="{00000000-0005-0000-0000-000053100000}"/>
    <cellStyle name="Calculation 2 6 2 4 7" xfId="4460" xr:uid="{00000000-0005-0000-0000-000054100000}"/>
    <cellStyle name="Calculation 2 6 2 5" xfId="4461" xr:uid="{00000000-0005-0000-0000-000055100000}"/>
    <cellStyle name="Calculation 2 6 2 5 2" xfId="4462" xr:uid="{00000000-0005-0000-0000-000056100000}"/>
    <cellStyle name="Calculation 2 6 2 5 2 2" xfId="4463" xr:uid="{00000000-0005-0000-0000-000057100000}"/>
    <cellStyle name="Calculation 2 6 2 5 3" xfId="4464" xr:uid="{00000000-0005-0000-0000-000058100000}"/>
    <cellStyle name="Calculation 2 6 2 5 3 2" xfId="4465" xr:uid="{00000000-0005-0000-0000-000059100000}"/>
    <cellStyle name="Calculation 2 6 2 5 4" xfId="4466" xr:uid="{00000000-0005-0000-0000-00005A100000}"/>
    <cellStyle name="Calculation 2 6 2 5 5" xfId="4467" xr:uid="{00000000-0005-0000-0000-00005B100000}"/>
    <cellStyle name="Calculation 2 6 2 5 6" xfId="4468" xr:uid="{00000000-0005-0000-0000-00005C100000}"/>
    <cellStyle name="Calculation 2 6 2 6" xfId="4469" xr:uid="{00000000-0005-0000-0000-00005D100000}"/>
    <cellStyle name="Calculation 2 6 2 6 2" xfId="4470" xr:uid="{00000000-0005-0000-0000-00005E100000}"/>
    <cellStyle name="Calculation 2 6 2 7" xfId="4471" xr:uid="{00000000-0005-0000-0000-00005F100000}"/>
    <cellStyle name="Calculation 2 6 2 7 2" xfId="4472" xr:uid="{00000000-0005-0000-0000-000060100000}"/>
    <cellStyle name="Calculation 2 6 2 8" xfId="4473" xr:uid="{00000000-0005-0000-0000-000061100000}"/>
    <cellStyle name="Calculation 2 6 2 9" xfId="4474" xr:uid="{00000000-0005-0000-0000-000062100000}"/>
    <cellStyle name="Calculation 2 6 3" xfId="4475" xr:uid="{00000000-0005-0000-0000-000063100000}"/>
    <cellStyle name="Calculation 2 6 3 2" xfId="4476" xr:uid="{00000000-0005-0000-0000-000064100000}"/>
    <cellStyle name="Calculation 2 6 3 2 2" xfId="4477" xr:uid="{00000000-0005-0000-0000-000065100000}"/>
    <cellStyle name="Calculation 2 6 3 2 2 2" xfId="4478" xr:uid="{00000000-0005-0000-0000-000066100000}"/>
    <cellStyle name="Calculation 2 6 3 2 2 2 2" xfId="4479" xr:uid="{00000000-0005-0000-0000-000067100000}"/>
    <cellStyle name="Calculation 2 6 3 2 2 3" xfId="4480" xr:uid="{00000000-0005-0000-0000-000068100000}"/>
    <cellStyle name="Calculation 2 6 3 2 2 3 2" xfId="4481" xr:uid="{00000000-0005-0000-0000-000069100000}"/>
    <cellStyle name="Calculation 2 6 3 2 2 4" xfId="4482" xr:uid="{00000000-0005-0000-0000-00006A100000}"/>
    <cellStyle name="Calculation 2 6 3 2 2 5" xfId="4483" xr:uid="{00000000-0005-0000-0000-00006B100000}"/>
    <cellStyle name="Calculation 2 6 3 2 2 6" xfId="4484" xr:uid="{00000000-0005-0000-0000-00006C100000}"/>
    <cellStyle name="Calculation 2 6 3 2 3" xfId="4485" xr:uid="{00000000-0005-0000-0000-00006D100000}"/>
    <cellStyle name="Calculation 2 6 3 2 3 2" xfId="4486" xr:uid="{00000000-0005-0000-0000-00006E100000}"/>
    <cellStyle name="Calculation 2 6 3 2 4" xfId="4487" xr:uid="{00000000-0005-0000-0000-00006F100000}"/>
    <cellStyle name="Calculation 2 6 3 2 4 2" xfId="4488" xr:uid="{00000000-0005-0000-0000-000070100000}"/>
    <cellStyle name="Calculation 2 6 3 2 5" xfId="4489" xr:uid="{00000000-0005-0000-0000-000071100000}"/>
    <cellStyle name="Calculation 2 6 3 2 6" xfId="4490" xr:uid="{00000000-0005-0000-0000-000072100000}"/>
    <cellStyle name="Calculation 2 6 3 2 7" xfId="4491" xr:uid="{00000000-0005-0000-0000-000073100000}"/>
    <cellStyle name="Calculation 2 6 3 3" xfId="4492" xr:uid="{00000000-0005-0000-0000-000074100000}"/>
    <cellStyle name="Calculation 2 6 3 3 2" xfId="4493" xr:uid="{00000000-0005-0000-0000-000075100000}"/>
    <cellStyle name="Calculation 2 6 3 3 2 2" xfId="4494" xr:uid="{00000000-0005-0000-0000-000076100000}"/>
    <cellStyle name="Calculation 2 6 3 3 3" xfId="4495" xr:uid="{00000000-0005-0000-0000-000077100000}"/>
    <cellStyle name="Calculation 2 6 3 3 3 2" xfId="4496" xr:uid="{00000000-0005-0000-0000-000078100000}"/>
    <cellStyle name="Calculation 2 6 3 3 4" xfId="4497" xr:uid="{00000000-0005-0000-0000-000079100000}"/>
    <cellStyle name="Calculation 2 6 3 3 5" xfId="4498" xr:uid="{00000000-0005-0000-0000-00007A100000}"/>
    <cellStyle name="Calculation 2 6 3 3 6" xfId="4499" xr:uid="{00000000-0005-0000-0000-00007B100000}"/>
    <cellStyle name="Calculation 2 6 3 4" xfId="4500" xr:uid="{00000000-0005-0000-0000-00007C100000}"/>
    <cellStyle name="Calculation 2 6 3 4 2" xfId="4501" xr:uid="{00000000-0005-0000-0000-00007D100000}"/>
    <cellStyle name="Calculation 2 6 3 5" xfId="4502" xr:uid="{00000000-0005-0000-0000-00007E100000}"/>
    <cellStyle name="Calculation 2 6 3 5 2" xfId="4503" xr:uid="{00000000-0005-0000-0000-00007F100000}"/>
    <cellStyle name="Calculation 2 6 3 6" xfId="4504" xr:uid="{00000000-0005-0000-0000-000080100000}"/>
    <cellStyle name="Calculation 2 6 3 7" xfId="4505" xr:uid="{00000000-0005-0000-0000-000081100000}"/>
    <cellStyle name="Calculation 2 6 3 8" xfId="4506" xr:uid="{00000000-0005-0000-0000-000082100000}"/>
    <cellStyle name="Calculation 2 6 4" xfId="4507" xr:uid="{00000000-0005-0000-0000-000083100000}"/>
    <cellStyle name="Calculation 2 6 4 2" xfId="4508" xr:uid="{00000000-0005-0000-0000-000084100000}"/>
    <cellStyle name="Calculation 2 6 4 2 2" xfId="4509" xr:uid="{00000000-0005-0000-0000-000085100000}"/>
    <cellStyle name="Calculation 2 6 4 2 2 2" xfId="4510" xr:uid="{00000000-0005-0000-0000-000086100000}"/>
    <cellStyle name="Calculation 2 6 4 2 2 2 2" xfId="4511" xr:uid="{00000000-0005-0000-0000-000087100000}"/>
    <cellStyle name="Calculation 2 6 4 2 2 3" xfId="4512" xr:uid="{00000000-0005-0000-0000-000088100000}"/>
    <cellStyle name="Calculation 2 6 4 2 2 3 2" xfId="4513" xr:uid="{00000000-0005-0000-0000-000089100000}"/>
    <cellStyle name="Calculation 2 6 4 2 2 4" xfId="4514" xr:uid="{00000000-0005-0000-0000-00008A100000}"/>
    <cellStyle name="Calculation 2 6 4 2 2 5" xfId="4515" xr:uid="{00000000-0005-0000-0000-00008B100000}"/>
    <cellStyle name="Calculation 2 6 4 2 2 6" xfId="4516" xr:uid="{00000000-0005-0000-0000-00008C100000}"/>
    <cellStyle name="Calculation 2 6 4 2 3" xfId="4517" xr:uid="{00000000-0005-0000-0000-00008D100000}"/>
    <cellStyle name="Calculation 2 6 4 2 3 2" xfId="4518" xr:uid="{00000000-0005-0000-0000-00008E100000}"/>
    <cellStyle name="Calculation 2 6 4 2 4" xfId="4519" xr:uid="{00000000-0005-0000-0000-00008F100000}"/>
    <cellStyle name="Calculation 2 6 4 2 4 2" xfId="4520" xr:uid="{00000000-0005-0000-0000-000090100000}"/>
    <cellStyle name="Calculation 2 6 4 2 5" xfId="4521" xr:uid="{00000000-0005-0000-0000-000091100000}"/>
    <cellStyle name="Calculation 2 6 4 2 6" xfId="4522" xr:uid="{00000000-0005-0000-0000-000092100000}"/>
    <cellStyle name="Calculation 2 6 4 2 7" xfId="4523" xr:uid="{00000000-0005-0000-0000-000093100000}"/>
    <cellStyle name="Calculation 2 6 4 3" xfId="4524" xr:uid="{00000000-0005-0000-0000-000094100000}"/>
    <cellStyle name="Calculation 2 6 4 3 2" xfId="4525" xr:uid="{00000000-0005-0000-0000-000095100000}"/>
    <cellStyle name="Calculation 2 6 4 3 2 2" xfId="4526" xr:uid="{00000000-0005-0000-0000-000096100000}"/>
    <cellStyle name="Calculation 2 6 4 3 3" xfId="4527" xr:uid="{00000000-0005-0000-0000-000097100000}"/>
    <cellStyle name="Calculation 2 6 4 3 3 2" xfId="4528" xr:uid="{00000000-0005-0000-0000-000098100000}"/>
    <cellStyle name="Calculation 2 6 4 3 4" xfId="4529" xr:uid="{00000000-0005-0000-0000-000099100000}"/>
    <cellStyle name="Calculation 2 6 4 3 5" xfId="4530" xr:uid="{00000000-0005-0000-0000-00009A100000}"/>
    <cellStyle name="Calculation 2 6 4 3 6" xfId="4531" xr:uid="{00000000-0005-0000-0000-00009B100000}"/>
    <cellStyle name="Calculation 2 6 4 4" xfId="4532" xr:uid="{00000000-0005-0000-0000-00009C100000}"/>
    <cellStyle name="Calculation 2 6 4 4 2" xfId="4533" xr:uid="{00000000-0005-0000-0000-00009D100000}"/>
    <cellStyle name="Calculation 2 6 4 5" xfId="4534" xr:uid="{00000000-0005-0000-0000-00009E100000}"/>
    <cellStyle name="Calculation 2 6 4 5 2" xfId="4535" xr:uid="{00000000-0005-0000-0000-00009F100000}"/>
    <cellStyle name="Calculation 2 6 4 6" xfId="4536" xr:uid="{00000000-0005-0000-0000-0000A0100000}"/>
    <cellStyle name="Calculation 2 6 4 7" xfId="4537" xr:uid="{00000000-0005-0000-0000-0000A1100000}"/>
    <cellStyle name="Calculation 2 6 4 8" xfId="4538" xr:uid="{00000000-0005-0000-0000-0000A2100000}"/>
    <cellStyle name="Calculation 2 6 5" xfId="4539" xr:uid="{00000000-0005-0000-0000-0000A3100000}"/>
    <cellStyle name="Calculation 2 6 5 2" xfId="4540" xr:uid="{00000000-0005-0000-0000-0000A4100000}"/>
    <cellStyle name="Calculation 2 6 5 2 2" xfId="4541" xr:uid="{00000000-0005-0000-0000-0000A5100000}"/>
    <cellStyle name="Calculation 2 6 5 2 2 2" xfId="4542" xr:uid="{00000000-0005-0000-0000-0000A6100000}"/>
    <cellStyle name="Calculation 2 6 5 2 3" xfId="4543" xr:uid="{00000000-0005-0000-0000-0000A7100000}"/>
    <cellStyle name="Calculation 2 6 5 2 3 2" xfId="4544" xr:uid="{00000000-0005-0000-0000-0000A8100000}"/>
    <cellStyle name="Calculation 2 6 5 2 4" xfId="4545" xr:uid="{00000000-0005-0000-0000-0000A9100000}"/>
    <cellStyle name="Calculation 2 6 5 2 5" xfId="4546" xr:uid="{00000000-0005-0000-0000-0000AA100000}"/>
    <cellStyle name="Calculation 2 6 5 2 6" xfId="4547" xr:uid="{00000000-0005-0000-0000-0000AB100000}"/>
    <cellStyle name="Calculation 2 6 5 3" xfId="4548" xr:uid="{00000000-0005-0000-0000-0000AC100000}"/>
    <cellStyle name="Calculation 2 6 5 3 2" xfId="4549" xr:uid="{00000000-0005-0000-0000-0000AD100000}"/>
    <cellStyle name="Calculation 2 6 5 4" xfId="4550" xr:uid="{00000000-0005-0000-0000-0000AE100000}"/>
    <cellStyle name="Calculation 2 6 5 4 2" xfId="4551" xr:uid="{00000000-0005-0000-0000-0000AF100000}"/>
    <cellStyle name="Calculation 2 6 5 5" xfId="4552" xr:uid="{00000000-0005-0000-0000-0000B0100000}"/>
    <cellStyle name="Calculation 2 6 5 6" xfId="4553" xr:uid="{00000000-0005-0000-0000-0000B1100000}"/>
    <cellStyle name="Calculation 2 6 5 7" xfId="4554" xr:uid="{00000000-0005-0000-0000-0000B2100000}"/>
    <cellStyle name="Calculation 2 6 6" xfId="4555" xr:uid="{00000000-0005-0000-0000-0000B3100000}"/>
    <cellStyle name="Calculation 2 6 6 2" xfId="4556" xr:uid="{00000000-0005-0000-0000-0000B4100000}"/>
    <cellStyle name="Calculation 2 6 6 2 2" xfId="4557" xr:uid="{00000000-0005-0000-0000-0000B5100000}"/>
    <cellStyle name="Calculation 2 6 6 3" xfId="4558" xr:uid="{00000000-0005-0000-0000-0000B6100000}"/>
    <cellStyle name="Calculation 2 6 6 3 2" xfId="4559" xr:uid="{00000000-0005-0000-0000-0000B7100000}"/>
    <cellStyle name="Calculation 2 6 6 4" xfId="4560" xr:uid="{00000000-0005-0000-0000-0000B8100000}"/>
    <cellStyle name="Calculation 2 6 6 5" xfId="4561" xr:uid="{00000000-0005-0000-0000-0000B9100000}"/>
    <cellStyle name="Calculation 2 6 6 6" xfId="4562" xr:uid="{00000000-0005-0000-0000-0000BA100000}"/>
    <cellStyle name="Calculation 2 6 7" xfId="4563" xr:uid="{00000000-0005-0000-0000-0000BB100000}"/>
    <cellStyle name="Calculation 2 6 7 2" xfId="4564" xr:uid="{00000000-0005-0000-0000-0000BC100000}"/>
    <cellStyle name="Calculation 2 6 8" xfId="4565" xr:uid="{00000000-0005-0000-0000-0000BD100000}"/>
    <cellStyle name="Calculation 2 6 8 2" xfId="4566" xr:uid="{00000000-0005-0000-0000-0000BE100000}"/>
    <cellStyle name="Calculation 2 6 9" xfId="4567" xr:uid="{00000000-0005-0000-0000-0000BF100000}"/>
    <cellStyle name="Calculation 2 7" xfId="4568" xr:uid="{00000000-0005-0000-0000-0000C0100000}"/>
    <cellStyle name="Calculation 2 7 2" xfId="4569" xr:uid="{00000000-0005-0000-0000-0000C1100000}"/>
    <cellStyle name="Calculation 2 7 2 2" xfId="4570" xr:uid="{00000000-0005-0000-0000-0000C2100000}"/>
    <cellStyle name="Calculation 2 7 2 2 2" xfId="4571" xr:uid="{00000000-0005-0000-0000-0000C3100000}"/>
    <cellStyle name="Calculation 2 7 2 3" xfId="4572" xr:uid="{00000000-0005-0000-0000-0000C4100000}"/>
    <cellStyle name="Calculation 2 7 2 3 2" xfId="4573" xr:uid="{00000000-0005-0000-0000-0000C5100000}"/>
    <cellStyle name="Calculation 2 7 2 4" xfId="4574" xr:uid="{00000000-0005-0000-0000-0000C6100000}"/>
    <cellStyle name="Calculation 2 7 2 5" xfId="4575" xr:uid="{00000000-0005-0000-0000-0000C7100000}"/>
    <cellStyle name="Calculation 2 7 2 6" xfId="4576" xr:uid="{00000000-0005-0000-0000-0000C8100000}"/>
    <cellStyle name="Calculation 2 7 3" xfId="4577" xr:uid="{00000000-0005-0000-0000-0000C9100000}"/>
    <cellStyle name="Calculation 2 7 3 2" xfId="4578" xr:uid="{00000000-0005-0000-0000-0000CA100000}"/>
    <cellStyle name="Calculation 2 7 4" xfId="4579" xr:uid="{00000000-0005-0000-0000-0000CB100000}"/>
    <cellStyle name="Calculation 2 7 4 2" xfId="4580" xr:uid="{00000000-0005-0000-0000-0000CC100000}"/>
    <cellStyle name="Calculation 2 7 5" xfId="4581" xr:uid="{00000000-0005-0000-0000-0000CD100000}"/>
    <cellStyle name="Calculation 2 7 6" xfId="4582" xr:uid="{00000000-0005-0000-0000-0000CE100000}"/>
    <cellStyle name="Calculation 2 7 7" xfId="4583" xr:uid="{00000000-0005-0000-0000-0000CF100000}"/>
    <cellStyle name="Calculation 2 8" xfId="4584" xr:uid="{00000000-0005-0000-0000-0000D0100000}"/>
    <cellStyle name="Calculation 2 8 2" xfId="4585" xr:uid="{00000000-0005-0000-0000-0000D1100000}"/>
    <cellStyle name="Calculation 2 9" xfId="4586" xr:uid="{00000000-0005-0000-0000-0000D2100000}"/>
    <cellStyle name="Calculation 2 9 2" xfId="4587" xr:uid="{00000000-0005-0000-0000-0000D3100000}"/>
    <cellStyle name="Calculation 3" xfId="4588" xr:uid="{00000000-0005-0000-0000-0000D4100000}"/>
    <cellStyle name="Calculation 3 10" xfId="4589" xr:uid="{00000000-0005-0000-0000-0000D5100000}"/>
    <cellStyle name="Calculation 3 11" xfId="4590" xr:uid="{00000000-0005-0000-0000-0000D6100000}"/>
    <cellStyle name="Calculation 3 2" xfId="4591" xr:uid="{00000000-0005-0000-0000-0000D7100000}"/>
    <cellStyle name="Calculation 3 2 10" xfId="4592" xr:uid="{00000000-0005-0000-0000-0000D8100000}"/>
    <cellStyle name="Calculation 3 2 11" xfId="4593" xr:uid="{00000000-0005-0000-0000-0000D9100000}"/>
    <cellStyle name="Calculation 3 2 12" xfId="4594" xr:uid="{00000000-0005-0000-0000-0000DA100000}"/>
    <cellStyle name="Calculation 3 2 2" xfId="4595" xr:uid="{00000000-0005-0000-0000-0000DB100000}"/>
    <cellStyle name="Calculation 3 2 2 10" xfId="4596" xr:uid="{00000000-0005-0000-0000-0000DC100000}"/>
    <cellStyle name="Calculation 3 2 2 11" xfId="4597" xr:uid="{00000000-0005-0000-0000-0000DD100000}"/>
    <cellStyle name="Calculation 3 2 2 12" xfId="4598" xr:uid="{00000000-0005-0000-0000-0000DE100000}"/>
    <cellStyle name="Calculation 3 2 2 2" xfId="4599" xr:uid="{00000000-0005-0000-0000-0000DF100000}"/>
    <cellStyle name="Calculation 3 2 2 2 10" xfId="4600" xr:uid="{00000000-0005-0000-0000-0000E0100000}"/>
    <cellStyle name="Calculation 3 2 2 2 11" xfId="4601" xr:uid="{00000000-0005-0000-0000-0000E1100000}"/>
    <cellStyle name="Calculation 3 2 2 2 2" xfId="4602" xr:uid="{00000000-0005-0000-0000-0000E2100000}"/>
    <cellStyle name="Calculation 3 2 2 2 2 10" xfId="4603" xr:uid="{00000000-0005-0000-0000-0000E3100000}"/>
    <cellStyle name="Calculation 3 2 2 2 2 2" xfId="4604" xr:uid="{00000000-0005-0000-0000-0000E4100000}"/>
    <cellStyle name="Calculation 3 2 2 2 2 2 2" xfId="4605" xr:uid="{00000000-0005-0000-0000-0000E5100000}"/>
    <cellStyle name="Calculation 3 2 2 2 2 2 2 2" xfId="4606" xr:uid="{00000000-0005-0000-0000-0000E6100000}"/>
    <cellStyle name="Calculation 3 2 2 2 2 2 2 2 2" xfId="4607" xr:uid="{00000000-0005-0000-0000-0000E7100000}"/>
    <cellStyle name="Calculation 3 2 2 2 2 2 2 2 2 2" xfId="4608" xr:uid="{00000000-0005-0000-0000-0000E8100000}"/>
    <cellStyle name="Calculation 3 2 2 2 2 2 2 2 3" xfId="4609" xr:uid="{00000000-0005-0000-0000-0000E9100000}"/>
    <cellStyle name="Calculation 3 2 2 2 2 2 2 2 3 2" xfId="4610" xr:uid="{00000000-0005-0000-0000-0000EA100000}"/>
    <cellStyle name="Calculation 3 2 2 2 2 2 2 2 4" xfId="4611" xr:uid="{00000000-0005-0000-0000-0000EB100000}"/>
    <cellStyle name="Calculation 3 2 2 2 2 2 2 2 5" xfId="4612" xr:uid="{00000000-0005-0000-0000-0000EC100000}"/>
    <cellStyle name="Calculation 3 2 2 2 2 2 2 2 6" xfId="4613" xr:uid="{00000000-0005-0000-0000-0000ED100000}"/>
    <cellStyle name="Calculation 3 2 2 2 2 2 2 3" xfId="4614" xr:uid="{00000000-0005-0000-0000-0000EE100000}"/>
    <cellStyle name="Calculation 3 2 2 2 2 2 2 3 2" xfId="4615" xr:uid="{00000000-0005-0000-0000-0000EF100000}"/>
    <cellStyle name="Calculation 3 2 2 2 2 2 2 4" xfId="4616" xr:uid="{00000000-0005-0000-0000-0000F0100000}"/>
    <cellStyle name="Calculation 3 2 2 2 2 2 2 4 2" xfId="4617" xr:uid="{00000000-0005-0000-0000-0000F1100000}"/>
    <cellStyle name="Calculation 3 2 2 2 2 2 2 5" xfId="4618" xr:uid="{00000000-0005-0000-0000-0000F2100000}"/>
    <cellStyle name="Calculation 3 2 2 2 2 2 2 6" xfId="4619" xr:uid="{00000000-0005-0000-0000-0000F3100000}"/>
    <cellStyle name="Calculation 3 2 2 2 2 2 2 7" xfId="4620" xr:uid="{00000000-0005-0000-0000-0000F4100000}"/>
    <cellStyle name="Calculation 3 2 2 2 2 2 3" xfId="4621" xr:uid="{00000000-0005-0000-0000-0000F5100000}"/>
    <cellStyle name="Calculation 3 2 2 2 2 2 3 2" xfId="4622" xr:uid="{00000000-0005-0000-0000-0000F6100000}"/>
    <cellStyle name="Calculation 3 2 2 2 2 2 3 2 2" xfId="4623" xr:uid="{00000000-0005-0000-0000-0000F7100000}"/>
    <cellStyle name="Calculation 3 2 2 2 2 2 3 3" xfId="4624" xr:uid="{00000000-0005-0000-0000-0000F8100000}"/>
    <cellStyle name="Calculation 3 2 2 2 2 2 3 3 2" xfId="4625" xr:uid="{00000000-0005-0000-0000-0000F9100000}"/>
    <cellStyle name="Calculation 3 2 2 2 2 2 3 4" xfId="4626" xr:uid="{00000000-0005-0000-0000-0000FA100000}"/>
    <cellStyle name="Calculation 3 2 2 2 2 2 3 5" xfId="4627" xr:uid="{00000000-0005-0000-0000-0000FB100000}"/>
    <cellStyle name="Calculation 3 2 2 2 2 2 3 6" xfId="4628" xr:uid="{00000000-0005-0000-0000-0000FC100000}"/>
    <cellStyle name="Calculation 3 2 2 2 2 2 4" xfId="4629" xr:uid="{00000000-0005-0000-0000-0000FD100000}"/>
    <cellStyle name="Calculation 3 2 2 2 2 2 4 2" xfId="4630" xr:uid="{00000000-0005-0000-0000-0000FE100000}"/>
    <cellStyle name="Calculation 3 2 2 2 2 2 5" xfId="4631" xr:uid="{00000000-0005-0000-0000-0000FF100000}"/>
    <cellStyle name="Calculation 3 2 2 2 2 2 5 2" xfId="4632" xr:uid="{00000000-0005-0000-0000-000000110000}"/>
    <cellStyle name="Calculation 3 2 2 2 2 2 6" xfId="4633" xr:uid="{00000000-0005-0000-0000-000001110000}"/>
    <cellStyle name="Calculation 3 2 2 2 2 2 7" xfId="4634" xr:uid="{00000000-0005-0000-0000-000002110000}"/>
    <cellStyle name="Calculation 3 2 2 2 2 2 8" xfId="4635" xr:uid="{00000000-0005-0000-0000-000003110000}"/>
    <cellStyle name="Calculation 3 2 2 2 2 3" xfId="4636" xr:uid="{00000000-0005-0000-0000-000004110000}"/>
    <cellStyle name="Calculation 3 2 2 2 2 3 2" xfId="4637" xr:uid="{00000000-0005-0000-0000-000005110000}"/>
    <cellStyle name="Calculation 3 2 2 2 2 3 2 2" xfId="4638" xr:uid="{00000000-0005-0000-0000-000006110000}"/>
    <cellStyle name="Calculation 3 2 2 2 2 3 2 2 2" xfId="4639" xr:uid="{00000000-0005-0000-0000-000007110000}"/>
    <cellStyle name="Calculation 3 2 2 2 2 3 2 2 2 2" xfId="4640" xr:uid="{00000000-0005-0000-0000-000008110000}"/>
    <cellStyle name="Calculation 3 2 2 2 2 3 2 2 3" xfId="4641" xr:uid="{00000000-0005-0000-0000-000009110000}"/>
    <cellStyle name="Calculation 3 2 2 2 2 3 2 2 3 2" xfId="4642" xr:uid="{00000000-0005-0000-0000-00000A110000}"/>
    <cellStyle name="Calculation 3 2 2 2 2 3 2 2 4" xfId="4643" xr:uid="{00000000-0005-0000-0000-00000B110000}"/>
    <cellStyle name="Calculation 3 2 2 2 2 3 2 2 5" xfId="4644" xr:uid="{00000000-0005-0000-0000-00000C110000}"/>
    <cellStyle name="Calculation 3 2 2 2 2 3 2 2 6" xfId="4645" xr:uid="{00000000-0005-0000-0000-00000D110000}"/>
    <cellStyle name="Calculation 3 2 2 2 2 3 2 3" xfId="4646" xr:uid="{00000000-0005-0000-0000-00000E110000}"/>
    <cellStyle name="Calculation 3 2 2 2 2 3 2 3 2" xfId="4647" xr:uid="{00000000-0005-0000-0000-00000F110000}"/>
    <cellStyle name="Calculation 3 2 2 2 2 3 2 4" xfId="4648" xr:uid="{00000000-0005-0000-0000-000010110000}"/>
    <cellStyle name="Calculation 3 2 2 2 2 3 2 4 2" xfId="4649" xr:uid="{00000000-0005-0000-0000-000011110000}"/>
    <cellStyle name="Calculation 3 2 2 2 2 3 2 5" xfId="4650" xr:uid="{00000000-0005-0000-0000-000012110000}"/>
    <cellStyle name="Calculation 3 2 2 2 2 3 2 6" xfId="4651" xr:uid="{00000000-0005-0000-0000-000013110000}"/>
    <cellStyle name="Calculation 3 2 2 2 2 3 2 7" xfId="4652" xr:uid="{00000000-0005-0000-0000-000014110000}"/>
    <cellStyle name="Calculation 3 2 2 2 2 3 3" xfId="4653" xr:uid="{00000000-0005-0000-0000-000015110000}"/>
    <cellStyle name="Calculation 3 2 2 2 2 3 3 2" xfId="4654" xr:uid="{00000000-0005-0000-0000-000016110000}"/>
    <cellStyle name="Calculation 3 2 2 2 2 3 3 2 2" xfId="4655" xr:uid="{00000000-0005-0000-0000-000017110000}"/>
    <cellStyle name="Calculation 3 2 2 2 2 3 3 3" xfId="4656" xr:uid="{00000000-0005-0000-0000-000018110000}"/>
    <cellStyle name="Calculation 3 2 2 2 2 3 3 3 2" xfId="4657" xr:uid="{00000000-0005-0000-0000-000019110000}"/>
    <cellStyle name="Calculation 3 2 2 2 2 3 3 4" xfId="4658" xr:uid="{00000000-0005-0000-0000-00001A110000}"/>
    <cellStyle name="Calculation 3 2 2 2 2 3 3 5" xfId="4659" xr:uid="{00000000-0005-0000-0000-00001B110000}"/>
    <cellStyle name="Calculation 3 2 2 2 2 3 3 6" xfId="4660" xr:uid="{00000000-0005-0000-0000-00001C110000}"/>
    <cellStyle name="Calculation 3 2 2 2 2 3 4" xfId="4661" xr:uid="{00000000-0005-0000-0000-00001D110000}"/>
    <cellStyle name="Calculation 3 2 2 2 2 3 4 2" xfId="4662" xr:uid="{00000000-0005-0000-0000-00001E110000}"/>
    <cellStyle name="Calculation 3 2 2 2 2 3 5" xfId="4663" xr:uid="{00000000-0005-0000-0000-00001F110000}"/>
    <cellStyle name="Calculation 3 2 2 2 2 3 5 2" xfId="4664" xr:uid="{00000000-0005-0000-0000-000020110000}"/>
    <cellStyle name="Calculation 3 2 2 2 2 3 6" xfId="4665" xr:uid="{00000000-0005-0000-0000-000021110000}"/>
    <cellStyle name="Calculation 3 2 2 2 2 3 7" xfId="4666" xr:uid="{00000000-0005-0000-0000-000022110000}"/>
    <cellStyle name="Calculation 3 2 2 2 2 3 8" xfId="4667" xr:uid="{00000000-0005-0000-0000-000023110000}"/>
    <cellStyle name="Calculation 3 2 2 2 2 4" xfId="4668" xr:uid="{00000000-0005-0000-0000-000024110000}"/>
    <cellStyle name="Calculation 3 2 2 2 2 4 2" xfId="4669" xr:uid="{00000000-0005-0000-0000-000025110000}"/>
    <cellStyle name="Calculation 3 2 2 2 2 4 2 2" xfId="4670" xr:uid="{00000000-0005-0000-0000-000026110000}"/>
    <cellStyle name="Calculation 3 2 2 2 2 4 2 2 2" xfId="4671" xr:uid="{00000000-0005-0000-0000-000027110000}"/>
    <cellStyle name="Calculation 3 2 2 2 2 4 2 3" xfId="4672" xr:uid="{00000000-0005-0000-0000-000028110000}"/>
    <cellStyle name="Calculation 3 2 2 2 2 4 2 3 2" xfId="4673" xr:uid="{00000000-0005-0000-0000-000029110000}"/>
    <cellStyle name="Calculation 3 2 2 2 2 4 2 4" xfId="4674" xr:uid="{00000000-0005-0000-0000-00002A110000}"/>
    <cellStyle name="Calculation 3 2 2 2 2 4 2 5" xfId="4675" xr:uid="{00000000-0005-0000-0000-00002B110000}"/>
    <cellStyle name="Calculation 3 2 2 2 2 4 2 6" xfId="4676" xr:uid="{00000000-0005-0000-0000-00002C110000}"/>
    <cellStyle name="Calculation 3 2 2 2 2 4 3" xfId="4677" xr:uid="{00000000-0005-0000-0000-00002D110000}"/>
    <cellStyle name="Calculation 3 2 2 2 2 4 3 2" xfId="4678" xr:uid="{00000000-0005-0000-0000-00002E110000}"/>
    <cellStyle name="Calculation 3 2 2 2 2 4 4" xfId="4679" xr:uid="{00000000-0005-0000-0000-00002F110000}"/>
    <cellStyle name="Calculation 3 2 2 2 2 4 4 2" xfId="4680" xr:uid="{00000000-0005-0000-0000-000030110000}"/>
    <cellStyle name="Calculation 3 2 2 2 2 4 5" xfId="4681" xr:uid="{00000000-0005-0000-0000-000031110000}"/>
    <cellStyle name="Calculation 3 2 2 2 2 4 6" xfId="4682" xr:uid="{00000000-0005-0000-0000-000032110000}"/>
    <cellStyle name="Calculation 3 2 2 2 2 4 7" xfId="4683" xr:uid="{00000000-0005-0000-0000-000033110000}"/>
    <cellStyle name="Calculation 3 2 2 2 2 5" xfId="4684" xr:uid="{00000000-0005-0000-0000-000034110000}"/>
    <cellStyle name="Calculation 3 2 2 2 2 5 2" xfId="4685" xr:uid="{00000000-0005-0000-0000-000035110000}"/>
    <cellStyle name="Calculation 3 2 2 2 2 5 2 2" xfId="4686" xr:uid="{00000000-0005-0000-0000-000036110000}"/>
    <cellStyle name="Calculation 3 2 2 2 2 5 3" xfId="4687" xr:uid="{00000000-0005-0000-0000-000037110000}"/>
    <cellStyle name="Calculation 3 2 2 2 2 5 3 2" xfId="4688" xr:uid="{00000000-0005-0000-0000-000038110000}"/>
    <cellStyle name="Calculation 3 2 2 2 2 5 4" xfId="4689" xr:uid="{00000000-0005-0000-0000-000039110000}"/>
    <cellStyle name="Calculation 3 2 2 2 2 5 5" xfId="4690" xr:uid="{00000000-0005-0000-0000-00003A110000}"/>
    <cellStyle name="Calculation 3 2 2 2 2 5 6" xfId="4691" xr:uid="{00000000-0005-0000-0000-00003B110000}"/>
    <cellStyle name="Calculation 3 2 2 2 2 6" xfId="4692" xr:uid="{00000000-0005-0000-0000-00003C110000}"/>
    <cellStyle name="Calculation 3 2 2 2 2 6 2" xfId="4693" xr:uid="{00000000-0005-0000-0000-00003D110000}"/>
    <cellStyle name="Calculation 3 2 2 2 2 7" xfId="4694" xr:uid="{00000000-0005-0000-0000-00003E110000}"/>
    <cellStyle name="Calculation 3 2 2 2 2 7 2" xfId="4695" xr:uid="{00000000-0005-0000-0000-00003F110000}"/>
    <cellStyle name="Calculation 3 2 2 2 2 8" xfId="4696" xr:uid="{00000000-0005-0000-0000-000040110000}"/>
    <cellStyle name="Calculation 3 2 2 2 2 9" xfId="4697" xr:uid="{00000000-0005-0000-0000-000041110000}"/>
    <cellStyle name="Calculation 3 2 2 2 3" xfId="4698" xr:uid="{00000000-0005-0000-0000-000042110000}"/>
    <cellStyle name="Calculation 3 2 2 2 3 2" xfId="4699" xr:uid="{00000000-0005-0000-0000-000043110000}"/>
    <cellStyle name="Calculation 3 2 2 2 3 2 2" xfId="4700" xr:uid="{00000000-0005-0000-0000-000044110000}"/>
    <cellStyle name="Calculation 3 2 2 2 3 2 2 2" xfId="4701" xr:uid="{00000000-0005-0000-0000-000045110000}"/>
    <cellStyle name="Calculation 3 2 2 2 3 2 2 2 2" xfId="4702" xr:uid="{00000000-0005-0000-0000-000046110000}"/>
    <cellStyle name="Calculation 3 2 2 2 3 2 2 3" xfId="4703" xr:uid="{00000000-0005-0000-0000-000047110000}"/>
    <cellStyle name="Calculation 3 2 2 2 3 2 2 3 2" xfId="4704" xr:uid="{00000000-0005-0000-0000-000048110000}"/>
    <cellStyle name="Calculation 3 2 2 2 3 2 2 4" xfId="4705" xr:uid="{00000000-0005-0000-0000-000049110000}"/>
    <cellStyle name="Calculation 3 2 2 2 3 2 2 5" xfId="4706" xr:uid="{00000000-0005-0000-0000-00004A110000}"/>
    <cellStyle name="Calculation 3 2 2 2 3 2 2 6" xfId="4707" xr:uid="{00000000-0005-0000-0000-00004B110000}"/>
    <cellStyle name="Calculation 3 2 2 2 3 2 3" xfId="4708" xr:uid="{00000000-0005-0000-0000-00004C110000}"/>
    <cellStyle name="Calculation 3 2 2 2 3 2 3 2" xfId="4709" xr:uid="{00000000-0005-0000-0000-00004D110000}"/>
    <cellStyle name="Calculation 3 2 2 2 3 2 4" xfId="4710" xr:uid="{00000000-0005-0000-0000-00004E110000}"/>
    <cellStyle name="Calculation 3 2 2 2 3 2 4 2" xfId="4711" xr:uid="{00000000-0005-0000-0000-00004F110000}"/>
    <cellStyle name="Calculation 3 2 2 2 3 2 5" xfId="4712" xr:uid="{00000000-0005-0000-0000-000050110000}"/>
    <cellStyle name="Calculation 3 2 2 2 3 2 6" xfId="4713" xr:uid="{00000000-0005-0000-0000-000051110000}"/>
    <cellStyle name="Calculation 3 2 2 2 3 2 7" xfId="4714" xr:uid="{00000000-0005-0000-0000-000052110000}"/>
    <cellStyle name="Calculation 3 2 2 2 3 3" xfId="4715" xr:uid="{00000000-0005-0000-0000-000053110000}"/>
    <cellStyle name="Calculation 3 2 2 2 3 3 2" xfId="4716" xr:uid="{00000000-0005-0000-0000-000054110000}"/>
    <cellStyle name="Calculation 3 2 2 2 3 3 2 2" xfId="4717" xr:uid="{00000000-0005-0000-0000-000055110000}"/>
    <cellStyle name="Calculation 3 2 2 2 3 3 3" xfId="4718" xr:uid="{00000000-0005-0000-0000-000056110000}"/>
    <cellStyle name="Calculation 3 2 2 2 3 3 3 2" xfId="4719" xr:uid="{00000000-0005-0000-0000-000057110000}"/>
    <cellStyle name="Calculation 3 2 2 2 3 3 4" xfId="4720" xr:uid="{00000000-0005-0000-0000-000058110000}"/>
    <cellStyle name="Calculation 3 2 2 2 3 3 5" xfId="4721" xr:uid="{00000000-0005-0000-0000-000059110000}"/>
    <cellStyle name="Calculation 3 2 2 2 3 3 6" xfId="4722" xr:uid="{00000000-0005-0000-0000-00005A110000}"/>
    <cellStyle name="Calculation 3 2 2 2 3 4" xfId="4723" xr:uid="{00000000-0005-0000-0000-00005B110000}"/>
    <cellStyle name="Calculation 3 2 2 2 3 4 2" xfId="4724" xr:uid="{00000000-0005-0000-0000-00005C110000}"/>
    <cellStyle name="Calculation 3 2 2 2 3 5" xfId="4725" xr:uid="{00000000-0005-0000-0000-00005D110000}"/>
    <cellStyle name="Calculation 3 2 2 2 3 5 2" xfId="4726" xr:uid="{00000000-0005-0000-0000-00005E110000}"/>
    <cellStyle name="Calculation 3 2 2 2 3 6" xfId="4727" xr:uid="{00000000-0005-0000-0000-00005F110000}"/>
    <cellStyle name="Calculation 3 2 2 2 3 7" xfId="4728" xr:uid="{00000000-0005-0000-0000-000060110000}"/>
    <cellStyle name="Calculation 3 2 2 2 3 8" xfId="4729" xr:uid="{00000000-0005-0000-0000-000061110000}"/>
    <cellStyle name="Calculation 3 2 2 2 4" xfId="4730" xr:uid="{00000000-0005-0000-0000-000062110000}"/>
    <cellStyle name="Calculation 3 2 2 2 4 2" xfId="4731" xr:uid="{00000000-0005-0000-0000-000063110000}"/>
    <cellStyle name="Calculation 3 2 2 2 4 2 2" xfId="4732" xr:uid="{00000000-0005-0000-0000-000064110000}"/>
    <cellStyle name="Calculation 3 2 2 2 4 2 2 2" xfId="4733" xr:uid="{00000000-0005-0000-0000-000065110000}"/>
    <cellStyle name="Calculation 3 2 2 2 4 2 2 2 2" xfId="4734" xr:uid="{00000000-0005-0000-0000-000066110000}"/>
    <cellStyle name="Calculation 3 2 2 2 4 2 2 3" xfId="4735" xr:uid="{00000000-0005-0000-0000-000067110000}"/>
    <cellStyle name="Calculation 3 2 2 2 4 2 2 3 2" xfId="4736" xr:uid="{00000000-0005-0000-0000-000068110000}"/>
    <cellStyle name="Calculation 3 2 2 2 4 2 2 4" xfId="4737" xr:uid="{00000000-0005-0000-0000-000069110000}"/>
    <cellStyle name="Calculation 3 2 2 2 4 2 2 5" xfId="4738" xr:uid="{00000000-0005-0000-0000-00006A110000}"/>
    <cellStyle name="Calculation 3 2 2 2 4 2 2 6" xfId="4739" xr:uid="{00000000-0005-0000-0000-00006B110000}"/>
    <cellStyle name="Calculation 3 2 2 2 4 2 3" xfId="4740" xr:uid="{00000000-0005-0000-0000-00006C110000}"/>
    <cellStyle name="Calculation 3 2 2 2 4 2 3 2" xfId="4741" xr:uid="{00000000-0005-0000-0000-00006D110000}"/>
    <cellStyle name="Calculation 3 2 2 2 4 2 4" xfId="4742" xr:uid="{00000000-0005-0000-0000-00006E110000}"/>
    <cellStyle name="Calculation 3 2 2 2 4 2 4 2" xfId="4743" xr:uid="{00000000-0005-0000-0000-00006F110000}"/>
    <cellStyle name="Calculation 3 2 2 2 4 2 5" xfId="4744" xr:uid="{00000000-0005-0000-0000-000070110000}"/>
    <cellStyle name="Calculation 3 2 2 2 4 2 6" xfId="4745" xr:uid="{00000000-0005-0000-0000-000071110000}"/>
    <cellStyle name="Calculation 3 2 2 2 4 2 7" xfId="4746" xr:uid="{00000000-0005-0000-0000-000072110000}"/>
    <cellStyle name="Calculation 3 2 2 2 4 3" xfId="4747" xr:uid="{00000000-0005-0000-0000-000073110000}"/>
    <cellStyle name="Calculation 3 2 2 2 4 3 2" xfId="4748" xr:uid="{00000000-0005-0000-0000-000074110000}"/>
    <cellStyle name="Calculation 3 2 2 2 4 3 2 2" xfId="4749" xr:uid="{00000000-0005-0000-0000-000075110000}"/>
    <cellStyle name="Calculation 3 2 2 2 4 3 3" xfId="4750" xr:uid="{00000000-0005-0000-0000-000076110000}"/>
    <cellStyle name="Calculation 3 2 2 2 4 3 3 2" xfId="4751" xr:uid="{00000000-0005-0000-0000-000077110000}"/>
    <cellStyle name="Calculation 3 2 2 2 4 3 4" xfId="4752" xr:uid="{00000000-0005-0000-0000-000078110000}"/>
    <cellStyle name="Calculation 3 2 2 2 4 3 5" xfId="4753" xr:uid="{00000000-0005-0000-0000-000079110000}"/>
    <cellStyle name="Calculation 3 2 2 2 4 3 6" xfId="4754" xr:uid="{00000000-0005-0000-0000-00007A110000}"/>
    <cellStyle name="Calculation 3 2 2 2 4 4" xfId="4755" xr:uid="{00000000-0005-0000-0000-00007B110000}"/>
    <cellStyle name="Calculation 3 2 2 2 4 4 2" xfId="4756" xr:uid="{00000000-0005-0000-0000-00007C110000}"/>
    <cellStyle name="Calculation 3 2 2 2 4 5" xfId="4757" xr:uid="{00000000-0005-0000-0000-00007D110000}"/>
    <cellStyle name="Calculation 3 2 2 2 4 5 2" xfId="4758" xr:uid="{00000000-0005-0000-0000-00007E110000}"/>
    <cellStyle name="Calculation 3 2 2 2 4 6" xfId="4759" xr:uid="{00000000-0005-0000-0000-00007F110000}"/>
    <cellStyle name="Calculation 3 2 2 2 4 7" xfId="4760" xr:uid="{00000000-0005-0000-0000-000080110000}"/>
    <cellStyle name="Calculation 3 2 2 2 4 8" xfId="4761" xr:uid="{00000000-0005-0000-0000-000081110000}"/>
    <cellStyle name="Calculation 3 2 2 2 5" xfId="4762" xr:uid="{00000000-0005-0000-0000-000082110000}"/>
    <cellStyle name="Calculation 3 2 2 2 5 2" xfId="4763" xr:uid="{00000000-0005-0000-0000-000083110000}"/>
    <cellStyle name="Calculation 3 2 2 2 5 2 2" xfId="4764" xr:uid="{00000000-0005-0000-0000-000084110000}"/>
    <cellStyle name="Calculation 3 2 2 2 5 2 2 2" xfId="4765" xr:uid="{00000000-0005-0000-0000-000085110000}"/>
    <cellStyle name="Calculation 3 2 2 2 5 2 3" xfId="4766" xr:uid="{00000000-0005-0000-0000-000086110000}"/>
    <cellStyle name="Calculation 3 2 2 2 5 2 3 2" xfId="4767" xr:uid="{00000000-0005-0000-0000-000087110000}"/>
    <cellStyle name="Calculation 3 2 2 2 5 2 4" xfId="4768" xr:uid="{00000000-0005-0000-0000-000088110000}"/>
    <cellStyle name="Calculation 3 2 2 2 5 2 5" xfId="4769" xr:uid="{00000000-0005-0000-0000-000089110000}"/>
    <cellStyle name="Calculation 3 2 2 2 5 2 6" xfId="4770" xr:uid="{00000000-0005-0000-0000-00008A110000}"/>
    <cellStyle name="Calculation 3 2 2 2 5 3" xfId="4771" xr:uid="{00000000-0005-0000-0000-00008B110000}"/>
    <cellStyle name="Calculation 3 2 2 2 5 3 2" xfId="4772" xr:uid="{00000000-0005-0000-0000-00008C110000}"/>
    <cellStyle name="Calculation 3 2 2 2 5 4" xfId="4773" xr:uid="{00000000-0005-0000-0000-00008D110000}"/>
    <cellStyle name="Calculation 3 2 2 2 5 4 2" xfId="4774" xr:uid="{00000000-0005-0000-0000-00008E110000}"/>
    <cellStyle name="Calculation 3 2 2 2 5 5" xfId="4775" xr:uid="{00000000-0005-0000-0000-00008F110000}"/>
    <cellStyle name="Calculation 3 2 2 2 5 6" xfId="4776" xr:uid="{00000000-0005-0000-0000-000090110000}"/>
    <cellStyle name="Calculation 3 2 2 2 5 7" xfId="4777" xr:uid="{00000000-0005-0000-0000-000091110000}"/>
    <cellStyle name="Calculation 3 2 2 2 6" xfId="4778" xr:uid="{00000000-0005-0000-0000-000092110000}"/>
    <cellStyle name="Calculation 3 2 2 2 6 2" xfId="4779" xr:uid="{00000000-0005-0000-0000-000093110000}"/>
    <cellStyle name="Calculation 3 2 2 2 6 2 2" xfId="4780" xr:uid="{00000000-0005-0000-0000-000094110000}"/>
    <cellStyle name="Calculation 3 2 2 2 6 3" xfId="4781" xr:uid="{00000000-0005-0000-0000-000095110000}"/>
    <cellStyle name="Calculation 3 2 2 2 6 3 2" xfId="4782" xr:uid="{00000000-0005-0000-0000-000096110000}"/>
    <cellStyle name="Calculation 3 2 2 2 6 4" xfId="4783" xr:uid="{00000000-0005-0000-0000-000097110000}"/>
    <cellStyle name="Calculation 3 2 2 2 6 5" xfId="4784" xr:uid="{00000000-0005-0000-0000-000098110000}"/>
    <cellStyle name="Calculation 3 2 2 2 6 6" xfId="4785" xr:uid="{00000000-0005-0000-0000-000099110000}"/>
    <cellStyle name="Calculation 3 2 2 2 7" xfId="4786" xr:uid="{00000000-0005-0000-0000-00009A110000}"/>
    <cellStyle name="Calculation 3 2 2 2 7 2" xfId="4787" xr:uid="{00000000-0005-0000-0000-00009B110000}"/>
    <cellStyle name="Calculation 3 2 2 2 8" xfId="4788" xr:uid="{00000000-0005-0000-0000-00009C110000}"/>
    <cellStyle name="Calculation 3 2 2 2 8 2" xfId="4789" xr:uid="{00000000-0005-0000-0000-00009D110000}"/>
    <cellStyle name="Calculation 3 2 2 2 9" xfId="4790" xr:uid="{00000000-0005-0000-0000-00009E110000}"/>
    <cellStyle name="Calculation 3 2 2 3" xfId="4791" xr:uid="{00000000-0005-0000-0000-00009F110000}"/>
    <cellStyle name="Calculation 3 2 2 3 10" xfId="4792" xr:uid="{00000000-0005-0000-0000-0000A0110000}"/>
    <cellStyle name="Calculation 3 2 2 3 2" xfId="4793" xr:uid="{00000000-0005-0000-0000-0000A1110000}"/>
    <cellStyle name="Calculation 3 2 2 3 2 10" xfId="4794" xr:uid="{00000000-0005-0000-0000-0000A2110000}"/>
    <cellStyle name="Calculation 3 2 2 3 2 2" xfId="4795" xr:uid="{00000000-0005-0000-0000-0000A3110000}"/>
    <cellStyle name="Calculation 3 2 2 3 2 2 2" xfId="4796" xr:uid="{00000000-0005-0000-0000-0000A4110000}"/>
    <cellStyle name="Calculation 3 2 2 3 2 2 2 2" xfId="4797" xr:uid="{00000000-0005-0000-0000-0000A5110000}"/>
    <cellStyle name="Calculation 3 2 2 3 2 2 2 2 2" xfId="4798" xr:uid="{00000000-0005-0000-0000-0000A6110000}"/>
    <cellStyle name="Calculation 3 2 2 3 2 2 2 2 2 2" xfId="4799" xr:uid="{00000000-0005-0000-0000-0000A7110000}"/>
    <cellStyle name="Calculation 3 2 2 3 2 2 2 2 3" xfId="4800" xr:uid="{00000000-0005-0000-0000-0000A8110000}"/>
    <cellStyle name="Calculation 3 2 2 3 2 2 2 2 3 2" xfId="4801" xr:uid="{00000000-0005-0000-0000-0000A9110000}"/>
    <cellStyle name="Calculation 3 2 2 3 2 2 2 2 4" xfId="4802" xr:uid="{00000000-0005-0000-0000-0000AA110000}"/>
    <cellStyle name="Calculation 3 2 2 3 2 2 2 2 5" xfId="4803" xr:uid="{00000000-0005-0000-0000-0000AB110000}"/>
    <cellStyle name="Calculation 3 2 2 3 2 2 2 2 6" xfId="4804" xr:uid="{00000000-0005-0000-0000-0000AC110000}"/>
    <cellStyle name="Calculation 3 2 2 3 2 2 2 3" xfId="4805" xr:uid="{00000000-0005-0000-0000-0000AD110000}"/>
    <cellStyle name="Calculation 3 2 2 3 2 2 2 3 2" xfId="4806" xr:uid="{00000000-0005-0000-0000-0000AE110000}"/>
    <cellStyle name="Calculation 3 2 2 3 2 2 2 4" xfId="4807" xr:uid="{00000000-0005-0000-0000-0000AF110000}"/>
    <cellStyle name="Calculation 3 2 2 3 2 2 2 4 2" xfId="4808" xr:uid="{00000000-0005-0000-0000-0000B0110000}"/>
    <cellStyle name="Calculation 3 2 2 3 2 2 2 5" xfId="4809" xr:uid="{00000000-0005-0000-0000-0000B1110000}"/>
    <cellStyle name="Calculation 3 2 2 3 2 2 2 6" xfId="4810" xr:uid="{00000000-0005-0000-0000-0000B2110000}"/>
    <cellStyle name="Calculation 3 2 2 3 2 2 2 7" xfId="4811" xr:uid="{00000000-0005-0000-0000-0000B3110000}"/>
    <cellStyle name="Calculation 3 2 2 3 2 2 3" xfId="4812" xr:uid="{00000000-0005-0000-0000-0000B4110000}"/>
    <cellStyle name="Calculation 3 2 2 3 2 2 3 2" xfId="4813" xr:uid="{00000000-0005-0000-0000-0000B5110000}"/>
    <cellStyle name="Calculation 3 2 2 3 2 2 3 2 2" xfId="4814" xr:uid="{00000000-0005-0000-0000-0000B6110000}"/>
    <cellStyle name="Calculation 3 2 2 3 2 2 3 3" xfId="4815" xr:uid="{00000000-0005-0000-0000-0000B7110000}"/>
    <cellStyle name="Calculation 3 2 2 3 2 2 3 3 2" xfId="4816" xr:uid="{00000000-0005-0000-0000-0000B8110000}"/>
    <cellStyle name="Calculation 3 2 2 3 2 2 3 4" xfId="4817" xr:uid="{00000000-0005-0000-0000-0000B9110000}"/>
    <cellStyle name="Calculation 3 2 2 3 2 2 3 5" xfId="4818" xr:uid="{00000000-0005-0000-0000-0000BA110000}"/>
    <cellStyle name="Calculation 3 2 2 3 2 2 3 6" xfId="4819" xr:uid="{00000000-0005-0000-0000-0000BB110000}"/>
    <cellStyle name="Calculation 3 2 2 3 2 2 4" xfId="4820" xr:uid="{00000000-0005-0000-0000-0000BC110000}"/>
    <cellStyle name="Calculation 3 2 2 3 2 2 4 2" xfId="4821" xr:uid="{00000000-0005-0000-0000-0000BD110000}"/>
    <cellStyle name="Calculation 3 2 2 3 2 2 5" xfId="4822" xr:uid="{00000000-0005-0000-0000-0000BE110000}"/>
    <cellStyle name="Calculation 3 2 2 3 2 2 5 2" xfId="4823" xr:uid="{00000000-0005-0000-0000-0000BF110000}"/>
    <cellStyle name="Calculation 3 2 2 3 2 2 6" xfId="4824" xr:uid="{00000000-0005-0000-0000-0000C0110000}"/>
    <cellStyle name="Calculation 3 2 2 3 2 2 7" xfId="4825" xr:uid="{00000000-0005-0000-0000-0000C1110000}"/>
    <cellStyle name="Calculation 3 2 2 3 2 2 8" xfId="4826" xr:uid="{00000000-0005-0000-0000-0000C2110000}"/>
    <cellStyle name="Calculation 3 2 2 3 2 3" xfId="4827" xr:uid="{00000000-0005-0000-0000-0000C3110000}"/>
    <cellStyle name="Calculation 3 2 2 3 2 3 2" xfId="4828" xr:uid="{00000000-0005-0000-0000-0000C4110000}"/>
    <cellStyle name="Calculation 3 2 2 3 2 3 2 2" xfId="4829" xr:uid="{00000000-0005-0000-0000-0000C5110000}"/>
    <cellStyle name="Calculation 3 2 2 3 2 3 2 2 2" xfId="4830" xr:uid="{00000000-0005-0000-0000-0000C6110000}"/>
    <cellStyle name="Calculation 3 2 2 3 2 3 2 2 2 2" xfId="4831" xr:uid="{00000000-0005-0000-0000-0000C7110000}"/>
    <cellStyle name="Calculation 3 2 2 3 2 3 2 2 3" xfId="4832" xr:uid="{00000000-0005-0000-0000-0000C8110000}"/>
    <cellStyle name="Calculation 3 2 2 3 2 3 2 2 3 2" xfId="4833" xr:uid="{00000000-0005-0000-0000-0000C9110000}"/>
    <cellStyle name="Calculation 3 2 2 3 2 3 2 2 4" xfId="4834" xr:uid="{00000000-0005-0000-0000-0000CA110000}"/>
    <cellStyle name="Calculation 3 2 2 3 2 3 2 2 5" xfId="4835" xr:uid="{00000000-0005-0000-0000-0000CB110000}"/>
    <cellStyle name="Calculation 3 2 2 3 2 3 2 2 6" xfId="4836" xr:uid="{00000000-0005-0000-0000-0000CC110000}"/>
    <cellStyle name="Calculation 3 2 2 3 2 3 2 3" xfId="4837" xr:uid="{00000000-0005-0000-0000-0000CD110000}"/>
    <cellStyle name="Calculation 3 2 2 3 2 3 2 3 2" xfId="4838" xr:uid="{00000000-0005-0000-0000-0000CE110000}"/>
    <cellStyle name="Calculation 3 2 2 3 2 3 2 4" xfId="4839" xr:uid="{00000000-0005-0000-0000-0000CF110000}"/>
    <cellStyle name="Calculation 3 2 2 3 2 3 2 4 2" xfId="4840" xr:uid="{00000000-0005-0000-0000-0000D0110000}"/>
    <cellStyle name="Calculation 3 2 2 3 2 3 2 5" xfId="4841" xr:uid="{00000000-0005-0000-0000-0000D1110000}"/>
    <cellStyle name="Calculation 3 2 2 3 2 3 2 6" xfId="4842" xr:uid="{00000000-0005-0000-0000-0000D2110000}"/>
    <cellStyle name="Calculation 3 2 2 3 2 3 2 7" xfId="4843" xr:uid="{00000000-0005-0000-0000-0000D3110000}"/>
    <cellStyle name="Calculation 3 2 2 3 2 3 3" xfId="4844" xr:uid="{00000000-0005-0000-0000-0000D4110000}"/>
    <cellStyle name="Calculation 3 2 2 3 2 3 3 2" xfId="4845" xr:uid="{00000000-0005-0000-0000-0000D5110000}"/>
    <cellStyle name="Calculation 3 2 2 3 2 3 3 2 2" xfId="4846" xr:uid="{00000000-0005-0000-0000-0000D6110000}"/>
    <cellStyle name="Calculation 3 2 2 3 2 3 3 3" xfId="4847" xr:uid="{00000000-0005-0000-0000-0000D7110000}"/>
    <cellStyle name="Calculation 3 2 2 3 2 3 3 3 2" xfId="4848" xr:uid="{00000000-0005-0000-0000-0000D8110000}"/>
    <cellStyle name="Calculation 3 2 2 3 2 3 3 4" xfId="4849" xr:uid="{00000000-0005-0000-0000-0000D9110000}"/>
    <cellStyle name="Calculation 3 2 2 3 2 3 3 5" xfId="4850" xr:uid="{00000000-0005-0000-0000-0000DA110000}"/>
    <cellStyle name="Calculation 3 2 2 3 2 3 3 6" xfId="4851" xr:uid="{00000000-0005-0000-0000-0000DB110000}"/>
    <cellStyle name="Calculation 3 2 2 3 2 3 4" xfId="4852" xr:uid="{00000000-0005-0000-0000-0000DC110000}"/>
    <cellStyle name="Calculation 3 2 2 3 2 3 4 2" xfId="4853" xr:uid="{00000000-0005-0000-0000-0000DD110000}"/>
    <cellStyle name="Calculation 3 2 2 3 2 3 5" xfId="4854" xr:uid="{00000000-0005-0000-0000-0000DE110000}"/>
    <cellStyle name="Calculation 3 2 2 3 2 3 5 2" xfId="4855" xr:uid="{00000000-0005-0000-0000-0000DF110000}"/>
    <cellStyle name="Calculation 3 2 2 3 2 3 6" xfId="4856" xr:uid="{00000000-0005-0000-0000-0000E0110000}"/>
    <cellStyle name="Calculation 3 2 2 3 2 3 7" xfId="4857" xr:uid="{00000000-0005-0000-0000-0000E1110000}"/>
    <cellStyle name="Calculation 3 2 2 3 2 3 8" xfId="4858" xr:uid="{00000000-0005-0000-0000-0000E2110000}"/>
    <cellStyle name="Calculation 3 2 2 3 2 4" xfId="4859" xr:uid="{00000000-0005-0000-0000-0000E3110000}"/>
    <cellStyle name="Calculation 3 2 2 3 2 4 2" xfId="4860" xr:uid="{00000000-0005-0000-0000-0000E4110000}"/>
    <cellStyle name="Calculation 3 2 2 3 2 4 2 2" xfId="4861" xr:uid="{00000000-0005-0000-0000-0000E5110000}"/>
    <cellStyle name="Calculation 3 2 2 3 2 4 2 2 2" xfId="4862" xr:uid="{00000000-0005-0000-0000-0000E6110000}"/>
    <cellStyle name="Calculation 3 2 2 3 2 4 2 3" xfId="4863" xr:uid="{00000000-0005-0000-0000-0000E7110000}"/>
    <cellStyle name="Calculation 3 2 2 3 2 4 2 3 2" xfId="4864" xr:uid="{00000000-0005-0000-0000-0000E8110000}"/>
    <cellStyle name="Calculation 3 2 2 3 2 4 2 4" xfId="4865" xr:uid="{00000000-0005-0000-0000-0000E9110000}"/>
    <cellStyle name="Calculation 3 2 2 3 2 4 2 5" xfId="4866" xr:uid="{00000000-0005-0000-0000-0000EA110000}"/>
    <cellStyle name="Calculation 3 2 2 3 2 4 2 6" xfId="4867" xr:uid="{00000000-0005-0000-0000-0000EB110000}"/>
    <cellStyle name="Calculation 3 2 2 3 2 4 3" xfId="4868" xr:uid="{00000000-0005-0000-0000-0000EC110000}"/>
    <cellStyle name="Calculation 3 2 2 3 2 4 3 2" xfId="4869" xr:uid="{00000000-0005-0000-0000-0000ED110000}"/>
    <cellStyle name="Calculation 3 2 2 3 2 4 4" xfId="4870" xr:uid="{00000000-0005-0000-0000-0000EE110000}"/>
    <cellStyle name="Calculation 3 2 2 3 2 4 4 2" xfId="4871" xr:uid="{00000000-0005-0000-0000-0000EF110000}"/>
    <cellStyle name="Calculation 3 2 2 3 2 4 5" xfId="4872" xr:uid="{00000000-0005-0000-0000-0000F0110000}"/>
    <cellStyle name="Calculation 3 2 2 3 2 4 6" xfId="4873" xr:uid="{00000000-0005-0000-0000-0000F1110000}"/>
    <cellStyle name="Calculation 3 2 2 3 2 4 7" xfId="4874" xr:uid="{00000000-0005-0000-0000-0000F2110000}"/>
    <cellStyle name="Calculation 3 2 2 3 2 5" xfId="4875" xr:uid="{00000000-0005-0000-0000-0000F3110000}"/>
    <cellStyle name="Calculation 3 2 2 3 2 5 2" xfId="4876" xr:uid="{00000000-0005-0000-0000-0000F4110000}"/>
    <cellStyle name="Calculation 3 2 2 3 2 5 2 2" xfId="4877" xr:uid="{00000000-0005-0000-0000-0000F5110000}"/>
    <cellStyle name="Calculation 3 2 2 3 2 5 3" xfId="4878" xr:uid="{00000000-0005-0000-0000-0000F6110000}"/>
    <cellStyle name="Calculation 3 2 2 3 2 5 3 2" xfId="4879" xr:uid="{00000000-0005-0000-0000-0000F7110000}"/>
    <cellStyle name="Calculation 3 2 2 3 2 5 4" xfId="4880" xr:uid="{00000000-0005-0000-0000-0000F8110000}"/>
    <cellStyle name="Calculation 3 2 2 3 2 5 5" xfId="4881" xr:uid="{00000000-0005-0000-0000-0000F9110000}"/>
    <cellStyle name="Calculation 3 2 2 3 2 5 6" xfId="4882" xr:uid="{00000000-0005-0000-0000-0000FA110000}"/>
    <cellStyle name="Calculation 3 2 2 3 2 6" xfId="4883" xr:uid="{00000000-0005-0000-0000-0000FB110000}"/>
    <cellStyle name="Calculation 3 2 2 3 2 6 2" xfId="4884" xr:uid="{00000000-0005-0000-0000-0000FC110000}"/>
    <cellStyle name="Calculation 3 2 2 3 2 7" xfId="4885" xr:uid="{00000000-0005-0000-0000-0000FD110000}"/>
    <cellStyle name="Calculation 3 2 2 3 2 7 2" xfId="4886" xr:uid="{00000000-0005-0000-0000-0000FE110000}"/>
    <cellStyle name="Calculation 3 2 2 3 2 8" xfId="4887" xr:uid="{00000000-0005-0000-0000-0000FF110000}"/>
    <cellStyle name="Calculation 3 2 2 3 2 9" xfId="4888" xr:uid="{00000000-0005-0000-0000-000000120000}"/>
    <cellStyle name="Calculation 3 2 2 3 3" xfId="4889" xr:uid="{00000000-0005-0000-0000-000001120000}"/>
    <cellStyle name="Calculation 3 2 2 3 3 2" xfId="4890" xr:uid="{00000000-0005-0000-0000-000002120000}"/>
    <cellStyle name="Calculation 3 2 2 3 3 2 2" xfId="4891" xr:uid="{00000000-0005-0000-0000-000003120000}"/>
    <cellStyle name="Calculation 3 2 2 3 3 2 2 2" xfId="4892" xr:uid="{00000000-0005-0000-0000-000004120000}"/>
    <cellStyle name="Calculation 3 2 2 3 3 2 2 2 2" xfId="4893" xr:uid="{00000000-0005-0000-0000-000005120000}"/>
    <cellStyle name="Calculation 3 2 2 3 3 2 2 3" xfId="4894" xr:uid="{00000000-0005-0000-0000-000006120000}"/>
    <cellStyle name="Calculation 3 2 2 3 3 2 2 3 2" xfId="4895" xr:uid="{00000000-0005-0000-0000-000007120000}"/>
    <cellStyle name="Calculation 3 2 2 3 3 2 2 4" xfId="4896" xr:uid="{00000000-0005-0000-0000-000008120000}"/>
    <cellStyle name="Calculation 3 2 2 3 3 2 2 5" xfId="4897" xr:uid="{00000000-0005-0000-0000-000009120000}"/>
    <cellStyle name="Calculation 3 2 2 3 3 2 2 6" xfId="4898" xr:uid="{00000000-0005-0000-0000-00000A120000}"/>
    <cellStyle name="Calculation 3 2 2 3 3 2 3" xfId="4899" xr:uid="{00000000-0005-0000-0000-00000B120000}"/>
    <cellStyle name="Calculation 3 2 2 3 3 2 3 2" xfId="4900" xr:uid="{00000000-0005-0000-0000-00000C120000}"/>
    <cellStyle name="Calculation 3 2 2 3 3 2 4" xfId="4901" xr:uid="{00000000-0005-0000-0000-00000D120000}"/>
    <cellStyle name="Calculation 3 2 2 3 3 2 4 2" xfId="4902" xr:uid="{00000000-0005-0000-0000-00000E120000}"/>
    <cellStyle name="Calculation 3 2 2 3 3 2 5" xfId="4903" xr:uid="{00000000-0005-0000-0000-00000F120000}"/>
    <cellStyle name="Calculation 3 2 2 3 3 2 6" xfId="4904" xr:uid="{00000000-0005-0000-0000-000010120000}"/>
    <cellStyle name="Calculation 3 2 2 3 3 2 7" xfId="4905" xr:uid="{00000000-0005-0000-0000-000011120000}"/>
    <cellStyle name="Calculation 3 2 2 3 3 3" xfId="4906" xr:uid="{00000000-0005-0000-0000-000012120000}"/>
    <cellStyle name="Calculation 3 2 2 3 3 3 2" xfId="4907" xr:uid="{00000000-0005-0000-0000-000013120000}"/>
    <cellStyle name="Calculation 3 2 2 3 3 3 2 2" xfId="4908" xr:uid="{00000000-0005-0000-0000-000014120000}"/>
    <cellStyle name="Calculation 3 2 2 3 3 3 3" xfId="4909" xr:uid="{00000000-0005-0000-0000-000015120000}"/>
    <cellStyle name="Calculation 3 2 2 3 3 3 3 2" xfId="4910" xr:uid="{00000000-0005-0000-0000-000016120000}"/>
    <cellStyle name="Calculation 3 2 2 3 3 3 4" xfId="4911" xr:uid="{00000000-0005-0000-0000-000017120000}"/>
    <cellStyle name="Calculation 3 2 2 3 3 3 5" xfId="4912" xr:uid="{00000000-0005-0000-0000-000018120000}"/>
    <cellStyle name="Calculation 3 2 2 3 3 3 6" xfId="4913" xr:uid="{00000000-0005-0000-0000-000019120000}"/>
    <cellStyle name="Calculation 3 2 2 3 3 4" xfId="4914" xr:uid="{00000000-0005-0000-0000-00001A120000}"/>
    <cellStyle name="Calculation 3 2 2 3 3 4 2" xfId="4915" xr:uid="{00000000-0005-0000-0000-00001B120000}"/>
    <cellStyle name="Calculation 3 2 2 3 3 5" xfId="4916" xr:uid="{00000000-0005-0000-0000-00001C120000}"/>
    <cellStyle name="Calculation 3 2 2 3 3 5 2" xfId="4917" xr:uid="{00000000-0005-0000-0000-00001D120000}"/>
    <cellStyle name="Calculation 3 2 2 3 3 6" xfId="4918" xr:uid="{00000000-0005-0000-0000-00001E120000}"/>
    <cellStyle name="Calculation 3 2 2 3 3 7" xfId="4919" xr:uid="{00000000-0005-0000-0000-00001F120000}"/>
    <cellStyle name="Calculation 3 2 2 3 3 8" xfId="4920" xr:uid="{00000000-0005-0000-0000-000020120000}"/>
    <cellStyle name="Calculation 3 2 2 3 4" xfId="4921" xr:uid="{00000000-0005-0000-0000-000021120000}"/>
    <cellStyle name="Calculation 3 2 2 3 4 2" xfId="4922" xr:uid="{00000000-0005-0000-0000-000022120000}"/>
    <cellStyle name="Calculation 3 2 2 3 4 2 2" xfId="4923" xr:uid="{00000000-0005-0000-0000-000023120000}"/>
    <cellStyle name="Calculation 3 2 2 3 4 2 2 2" xfId="4924" xr:uid="{00000000-0005-0000-0000-000024120000}"/>
    <cellStyle name="Calculation 3 2 2 3 4 2 3" xfId="4925" xr:uid="{00000000-0005-0000-0000-000025120000}"/>
    <cellStyle name="Calculation 3 2 2 3 4 2 3 2" xfId="4926" xr:uid="{00000000-0005-0000-0000-000026120000}"/>
    <cellStyle name="Calculation 3 2 2 3 4 2 4" xfId="4927" xr:uid="{00000000-0005-0000-0000-000027120000}"/>
    <cellStyle name="Calculation 3 2 2 3 4 2 5" xfId="4928" xr:uid="{00000000-0005-0000-0000-000028120000}"/>
    <cellStyle name="Calculation 3 2 2 3 4 2 6" xfId="4929" xr:uid="{00000000-0005-0000-0000-000029120000}"/>
    <cellStyle name="Calculation 3 2 2 3 4 3" xfId="4930" xr:uid="{00000000-0005-0000-0000-00002A120000}"/>
    <cellStyle name="Calculation 3 2 2 3 4 3 2" xfId="4931" xr:uid="{00000000-0005-0000-0000-00002B120000}"/>
    <cellStyle name="Calculation 3 2 2 3 4 4" xfId="4932" xr:uid="{00000000-0005-0000-0000-00002C120000}"/>
    <cellStyle name="Calculation 3 2 2 3 4 4 2" xfId="4933" xr:uid="{00000000-0005-0000-0000-00002D120000}"/>
    <cellStyle name="Calculation 3 2 2 3 4 5" xfId="4934" xr:uid="{00000000-0005-0000-0000-00002E120000}"/>
    <cellStyle name="Calculation 3 2 2 3 4 6" xfId="4935" xr:uid="{00000000-0005-0000-0000-00002F120000}"/>
    <cellStyle name="Calculation 3 2 2 3 4 7" xfId="4936" xr:uid="{00000000-0005-0000-0000-000030120000}"/>
    <cellStyle name="Calculation 3 2 2 3 5" xfId="4937" xr:uid="{00000000-0005-0000-0000-000031120000}"/>
    <cellStyle name="Calculation 3 2 2 3 5 2" xfId="4938" xr:uid="{00000000-0005-0000-0000-000032120000}"/>
    <cellStyle name="Calculation 3 2 2 3 5 2 2" xfId="4939" xr:uid="{00000000-0005-0000-0000-000033120000}"/>
    <cellStyle name="Calculation 3 2 2 3 5 3" xfId="4940" xr:uid="{00000000-0005-0000-0000-000034120000}"/>
    <cellStyle name="Calculation 3 2 2 3 5 3 2" xfId="4941" xr:uid="{00000000-0005-0000-0000-000035120000}"/>
    <cellStyle name="Calculation 3 2 2 3 5 4" xfId="4942" xr:uid="{00000000-0005-0000-0000-000036120000}"/>
    <cellStyle name="Calculation 3 2 2 3 5 5" xfId="4943" xr:uid="{00000000-0005-0000-0000-000037120000}"/>
    <cellStyle name="Calculation 3 2 2 3 5 6" xfId="4944" xr:uid="{00000000-0005-0000-0000-000038120000}"/>
    <cellStyle name="Calculation 3 2 2 3 6" xfId="4945" xr:uid="{00000000-0005-0000-0000-000039120000}"/>
    <cellStyle name="Calculation 3 2 2 3 6 2" xfId="4946" xr:uid="{00000000-0005-0000-0000-00003A120000}"/>
    <cellStyle name="Calculation 3 2 2 3 7" xfId="4947" xr:uid="{00000000-0005-0000-0000-00003B120000}"/>
    <cellStyle name="Calculation 3 2 2 3 7 2" xfId="4948" xr:uid="{00000000-0005-0000-0000-00003C120000}"/>
    <cellStyle name="Calculation 3 2 2 3 8" xfId="4949" xr:uid="{00000000-0005-0000-0000-00003D120000}"/>
    <cellStyle name="Calculation 3 2 2 3 9" xfId="4950" xr:uid="{00000000-0005-0000-0000-00003E120000}"/>
    <cellStyle name="Calculation 3 2 2 4" xfId="4951" xr:uid="{00000000-0005-0000-0000-00003F120000}"/>
    <cellStyle name="Calculation 3 2 2 4 10" xfId="4952" xr:uid="{00000000-0005-0000-0000-000040120000}"/>
    <cellStyle name="Calculation 3 2 2 4 2" xfId="4953" xr:uid="{00000000-0005-0000-0000-000041120000}"/>
    <cellStyle name="Calculation 3 2 2 4 2 2" xfId="4954" xr:uid="{00000000-0005-0000-0000-000042120000}"/>
    <cellStyle name="Calculation 3 2 2 4 2 2 2" xfId="4955" xr:uid="{00000000-0005-0000-0000-000043120000}"/>
    <cellStyle name="Calculation 3 2 2 4 2 2 2 2" xfId="4956" xr:uid="{00000000-0005-0000-0000-000044120000}"/>
    <cellStyle name="Calculation 3 2 2 4 2 2 2 2 2" xfId="4957" xr:uid="{00000000-0005-0000-0000-000045120000}"/>
    <cellStyle name="Calculation 3 2 2 4 2 2 2 3" xfId="4958" xr:uid="{00000000-0005-0000-0000-000046120000}"/>
    <cellStyle name="Calculation 3 2 2 4 2 2 2 3 2" xfId="4959" xr:uid="{00000000-0005-0000-0000-000047120000}"/>
    <cellStyle name="Calculation 3 2 2 4 2 2 2 4" xfId="4960" xr:uid="{00000000-0005-0000-0000-000048120000}"/>
    <cellStyle name="Calculation 3 2 2 4 2 2 2 5" xfId="4961" xr:uid="{00000000-0005-0000-0000-000049120000}"/>
    <cellStyle name="Calculation 3 2 2 4 2 2 2 6" xfId="4962" xr:uid="{00000000-0005-0000-0000-00004A120000}"/>
    <cellStyle name="Calculation 3 2 2 4 2 2 3" xfId="4963" xr:uid="{00000000-0005-0000-0000-00004B120000}"/>
    <cellStyle name="Calculation 3 2 2 4 2 2 3 2" xfId="4964" xr:uid="{00000000-0005-0000-0000-00004C120000}"/>
    <cellStyle name="Calculation 3 2 2 4 2 2 4" xfId="4965" xr:uid="{00000000-0005-0000-0000-00004D120000}"/>
    <cellStyle name="Calculation 3 2 2 4 2 2 4 2" xfId="4966" xr:uid="{00000000-0005-0000-0000-00004E120000}"/>
    <cellStyle name="Calculation 3 2 2 4 2 2 5" xfId="4967" xr:uid="{00000000-0005-0000-0000-00004F120000}"/>
    <cellStyle name="Calculation 3 2 2 4 2 2 6" xfId="4968" xr:uid="{00000000-0005-0000-0000-000050120000}"/>
    <cellStyle name="Calculation 3 2 2 4 2 2 7" xfId="4969" xr:uid="{00000000-0005-0000-0000-000051120000}"/>
    <cellStyle name="Calculation 3 2 2 4 2 3" xfId="4970" xr:uid="{00000000-0005-0000-0000-000052120000}"/>
    <cellStyle name="Calculation 3 2 2 4 2 3 2" xfId="4971" xr:uid="{00000000-0005-0000-0000-000053120000}"/>
    <cellStyle name="Calculation 3 2 2 4 2 3 2 2" xfId="4972" xr:uid="{00000000-0005-0000-0000-000054120000}"/>
    <cellStyle name="Calculation 3 2 2 4 2 3 3" xfId="4973" xr:uid="{00000000-0005-0000-0000-000055120000}"/>
    <cellStyle name="Calculation 3 2 2 4 2 3 3 2" xfId="4974" xr:uid="{00000000-0005-0000-0000-000056120000}"/>
    <cellStyle name="Calculation 3 2 2 4 2 3 4" xfId="4975" xr:uid="{00000000-0005-0000-0000-000057120000}"/>
    <cellStyle name="Calculation 3 2 2 4 2 3 5" xfId="4976" xr:uid="{00000000-0005-0000-0000-000058120000}"/>
    <cellStyle name="Calculation 3 2 2 4 2 3 6" xfId="4977" xr:uid="{00000000-0005-0000-0000-000059120000}"/>
    <cellStyle name="Calculation 3 2 2 4 2 4" xfId="4978" xr:uid="{00000000-0005-0000-0000-00005A120000}"/>
    <cellStyle name="Calculation 3 2 2 4 2 4 2" xfId="4979" xr:uid="{00000000-0005-0000-0000-00005B120000}"/>
    <cellStyle name="Calculation 3 2 2 4 2 5" xfId="4980" xr:uid="{00000000-0005-0000-0000-00005C120000}"/>
    <cellStyle name="Calculation 3 2 2 4 2 5 2" xfId="4981" xr:uid="{00000000-0005-0000-0000-00005D120000}"/>
    <cellStyle name="Calculation 3 2 2 4 2 6" xfId="4982" xr:uid="{00000000-0005-0000-0000-00005E120000}"/>
    <cellStyle name="Calculation 3 2 2 4 2 7" xfId="4983" xr:uid="{00000000-0005-0000-0000-00005F120000}"/>
    <cellStyle name="Calculation 3 2 2 4 2 8" xfId="4984" xr:uid="{00000000-0005-0000-0000-000060120000}"/>
    <cellStyle name="Calculation 3 2 2 4 3" xfId="4985" xr:uid="{00000000-0005-0000-0000-000061120000}"/>
    <cellStyle name="Calculation 3 2 2 4 3 2" xfId="4986" xr:uid="{00000000-0005-0000-0000-000062120000}"/>
    <cellStyle name="Calculation 3 2 2 4 3 2 2" xfId="4987" xr:uid="{00000000-0005-0000-0000-000063120000}"/>
    <cellStyle name="Calculation 3 2 2 4 3 2 2 2" xfId="4988" xr:uid="{00000000-0005-0000-0000-000064120000}"/>
    <cellStyle name="Calculation 3 2 2 4 3 2 2 2 2" xfId="4989" xr:uid="{00000000-0005-0000-0000-000065120000}"/>
    <cellStyle name="Calculation 3 2 2 4 3 2 2 3" xfId="4990" xr:uid="{00000000-0005-0000-0000-000066120000}"/>
    <cellStyle name="Calculation 3 2 2 4 3 2 2 3 2" xfId="4991" xr:uid="{00000000-0005-0000-0000-000067120000}"/>
    <cellStyle name="Calculation 3 2 2 4 3 2 2 4" xfId="4992" xr:uid="{00000000-0005-0000-0000-000068120000}"/>
    <cellStyle name="Calculation 3 2 2 4 3 2 2 5" xfId="4993" xr:uid="{00000000-0005-0000-0000-000069120000}"/>
    <cellStyle name="Calculation 3 2 2 4 3 2 2 6" xfId="4994" xr:uid="{00000000-0005-0000-0000-00006A120000}"/>
    <cellStyle name="Calculation 3 2 2 4 3 2 3" xfId="4995" xr:uid="{00000000-0005-0000-0000-00006B120000}"/>
    <cellStyle name="Calculation 3 2 2 4 3 2 3 2" xfId="4996" xr:uid="{00000000-0005-0000-0000-00006C120000}"/>
    <cellStyle name="Calculation 3 2 2 4 3 2 4" xfId="4997" xr:uid="{00000000-0005-0000-0000-00006D120000}"/>
    <cellStyle name="Calculation 3 2 2 4 3 2 4 2" xfId="4998" xr:uid="{00000000-0005-0000-0000-00006E120000}"/>
    <cellStyle name="Calculation 3 2 2 4 3 2 5" xfId="4999" xr:uid="{00000000-0005-0000-0000-00006F120000}"/>
    <cellStyle name="Calculation 3 2 2 4 3 2 6" xfId="5000" xr:uid="{00000000-0005-0000-0000-000070120000}"/>
    <cellStyle name="Calculation 3 2 2 4 3 2 7" xfId="5001" xr:uid="{00000000-0005-0000-0000-000071120000}"/>
    <cellStyle name="Calculation 3 2 2 4 3 3" xfId="5002" xr:uid="{00000000-0005-0000-0000-000072120000}"/>
    <cellStyle name="Calculation 3 2 2 4 3 3 2" xfId="5003" xr:uid="{00000000-0005-0000-0000-000073120000}"/>
    <cellStyle name="Calculation 3 2 2 4 3 3 2 2" xfId="5004" xr:uid="{00000000-0005-0000-0000-000074120000}"/>
    <cellStyle name="Calculation 3 2 2 4 3 3 3" xfId="5005" xr:uid="{00000000-0005-0000-0000-000075120000}"/>
    <cellStyle name="Calculation 3 2 2 4 3 3 3 2" xfId="5006" xr:uid="{00000000-0005-0000-0000-000076120000}"/>
    <cellStyle name="Calculation 3 2 2 4 3 3 4" xfId="5007" xr:uid="{00000000-0005-0000-0000-000077120000}"/>
    <cellStyle name="Calculation 3 2 2 4 3 3 5" xfId="5008" xr:uid="{00000000-0005-0000-0000-000078120000}"/>
    <cellStyle name="Calculation 3 2 2 4 3 3 6" xfId="5009" xr:uid="{00000000-0005-0000-0000-000079120000}"/>
    <cellStyle name="Calculation 3 2 2 4 3 4" xfId="5010" xr:uid="{00000000-0005-0000-0000-00007A120000}"/>
    <cellStyle name="Calculation 3 2 2 4 3 4 2" xfId="5011" xr:uid="{00000000-0005-0000-0000-00007B120000}"/>
    <cellStyle name="Calculation 3 2 2 4 3 5" xfId="5012" xr:uid="{00000000-0005-0000-0000-00007C120000}"/>
    <cellStyle name="Calculation 3 2 2 4 3 5 2" xfId="5013" xr:uid="{00000000-0005-0000-0000-00007D120000}"/>
    <cellStyle name="Calculation 3 2 2 4 3 6" xfId="5014" xr:uid="{00000000-0005-0000-0000-00007E120000}"/>
    <cellStyle name="Calculation 3 2 2 4 3 7" xfId="5015" xr:uid="{00000000-0005-0000-0000-00007F120000}"/>
    <cellStyle name="Calculation 3 2 2 4 3 8" xfId="5016" xr:uid="{00000000-0005-0000-0000-000080120000}"/>
    <cellStyle name="Calculation 3 2 2 4 4" xfId="5017" xr:uid="{00000000-0005-0000-0000-000081120000}"/>
    <cellStyle name="Calculation 3 2 2 4 4 2" xfId="5018" xr:uid="{00000000-0005-0000-0000-000082120000}"/>
    <cellStyle name="Calculation 3 2 2 4 4 2 2" xfId="5019" xr:uid="{00000000-0005-0000-0000-000083120000}"/>
    <cellStyle name="Calculation 3 2 2 4 4 2 2 2" xfId="5020" xr:uid="{00000000-0005-0000-0000-000084120000}"/>
    <cellStyle name="Calculation 3 2 2 4 4 2 3" xfId="5021" xr:uid="{00000000-0005-0000-0000-000085120000}"/>
    <cellStyle name="Calculation 3 2 2 4 4 2 3 2" xfId="5022" xr:uid="{00000000-0005-0000-0000-000086120000}"/>
    <cellStyle name="Calculation 3 2 2 4 4 2 4" xfId="5023" xr:uid="{00000000-0005-0000-0000-000087120000}"/>
    <cellStyle name="Calculation 3 2 2 4 4 2 5" xfId="5024" xr:uid="{00000000-0005-0000-0000-000088120000}"/>
    <cellStyle name="Calculation 3 2 2 4 4 2 6" xfId="5025" xr:uid="{00000000-0005-0000-0000-000089120000}"/>
    <cellStyle name="Calculation 3 2 2 4 4 3" xfId="5026" xr:uid="{00000000-0005-0000-0000-00008A120000}"/>
    <cellStyle name="Calculation 3 2 2 4 4 3 2" xfId="5027" xr:uid="{00000000-0005-0000-0000-00008B120000}"/>
    <cellStyle name="Calculation 3 2 2 4 4 4" xfId="5028" xr:uid="{00000000-0005-0000-0000-00008C120000}"/>
    <cellStyle name="Calculation 3 2 2 4 4 4 2" xfId="5029" xr:uid="{00000000-0005-0000-0000-00008D120000}"/>
    <cellStyle name="Calculation 3 2 2 4 4 5" xfId="5030" xr:uid="{00000000-0005-0000-0000-00008E120000}"/>
    <cellStyle name="Calculation 3 2 2 4 4 6" xfId="5031" xr:uid="{00000000-0005-0000-0000-00008F120000}"/>
    <cellStyle name="Calculation 3 2 2 4 4 7" xfId="5032" xr:uid="{00000000-0005-0000-0000-000090120000}"/>
    <cellStyle name="Calculation 3 2 2 4 5" xfId="5033" xr:uid="{00000000-0005-0000-0000-000091120000}"/>
    <cellStyle name="Calculation 3 2 2 4 5 2" xfId="5034" xr:uid="{00000000-0005-0000-0000-000092120000}"/>
    <cellStyle name="Calculation 3 2 2 4 5 2 2" xfId="5035" xr:uid="{00000000-0005-0000-0000-000093120000}"/>
    <cellStyle name="Calculation 3 2 2 4 5 3" xfId="5036" xr:uid="{00000000-0005-0000-0000-000094120000}"/>
    <cellStyle name="Calculation 3 2 2 4 5 3 2" xfId="5037" xr:uid="{00000000-0005-0000-0000-000095120000}"/>
    <cellStyle name="Calculation 3 2 2 4 5 4" xfId="5038" xr:uid="{00000000-0005-0000-0000-000096120000}"/>
    <cellStyle name="Calculation 3 2 2 4 5 5" xfId="5039" xr:uid="{00000000-0005-0000-0000-000097120000}"/>
    <cellStyle name="Calculation 3 2 2 4 5 6" xfId="5040" xr:uid="{00000000-0005-0000-0000-000098120000}"/>
    <cellStyle name="Calculation 3 2 2 4 6" xfId="5041" xr:uid="{00000000-0005-0000-0000-000099120000}"/>
    <cellStyle name="Calculation 3 2 2 4 6 2" xfId="5042" xr:uid="{00000000-0005-0000-0000-00009A120000}"/>
    <cellStyle name="Calculation 3 2 2 4 7" xfId="5043" xr:uid="{00000000-0005-0000-0000-00009B120000}"/>
    <cellStyle name="Calculation 3 2 2 4 7 2" xfId="5044" xr:uid="{00000000-0005-0000-0000-00009C120000}"/>
    <cellStyle name="Calculation 3 2 2 4 8" xfId="5045" xr:uid="{00000000-0005-0000-0000-00009D120000}"/>
    <cellStyle name="Calculation 3 2 2 4 9" xfId="5046" xr:uid="{00000000-0005-0000-0000-00009E120000}"/>
    <cellStyle name="Calculation 3 2 2 5" xfId="5047" xr:uid="{00000000-0005-0000-0000-00009F120000}"/>
    <cellStyle name="Calculation 3 2 2 5 2" xfId="5048" xr:uid="{00000000-0005-0000-0000-0000A0120000}"/>
    <cellStyle name="Calculation 3 2 2 5 2 2" xfId="5049" xr:uid="{00000000-0005-0000-0000-0000A1120000}"/>
    <cellStyle name="Calculation 3 2 2 5 2 2 2" xfId="5050" xr:uid="{00000000-0005-0000-0000-0000A2120000}"/>
    <cellStyle name="Calculation 3 2 2 5 2 2 2 2" xfId="5051" xr:uid="{00000000-0005-0000-0000-0000A3120000}"/>
    <cellStyle name="Calculation 3 2 2 5 2 2 3" xfId="5052" xr:uid="{00000000-0005-0000-0000-0000A4120000}"/>
    <cellStyle name="Calculation 3 2 2 5 2 2 3 2" xfId="5053" xr:uid="{00000000-0005-0000-0000-0000A5120000}"/>
    <cellStyle name="Calculation 3 2 2 5 2 2 4" xfId="5054" xr:uid="{00000000-0005-0000-0000-0000A6120000}"/>
    <cellStyle name="Calculation 3 2 2 5 2 2 5" xfId="5055" xr:uid="{00000000-0005-0000-0000-0000A7120000}"/>
    <cellStyle name="Calculation 3 2 2 5 2 2 6" xfId="5056" xr:uid="{00000000-0005-0000-0000-0000A8120000}"/>
    <cellStyle name="Calculation 3 2 2 5 2 3" xfId="5057" xr:uid="{00000000-0005-0000-0000-0000A9120000}"/>
    <cellStyle name="Calculation 3 2 2 5 2 3 2" xfId="5058" xr:uid="{00000000-0005-0000-0000-0000AA120000}"/>
    <cellStyle name="Calculation 3 2 2 5 2 4" xfId="5059" xr:uid="{00000000-0005-0000-0000-0000AB120000}"/>
    <cellStyle name="Calculation 3 2 2 5 2 4 2" xfId="5060" xr:uid="{00000000-0005-0000-0000-0000AC120000}"/>
    <cellStyle name="Calculation 3 2 2 5 2 5" xfId="5061" xr:uid="{00000000-0005-0000-0000-0000AD120000}"/>
    <cellStyle name="Calculation 3 2 2 5 2 6" xfId="5062" xr:uid="{00000000-0005-0000-0000-0000AE120000}"/>
    <cellStyle name="Calculation 3 2 2 5 2 7" xfId="5063" xr:uid="{00000000-0005-0000-0000-0000AF120000}"/>
    <cellStyle name="Calculation 3 2 2 5 3" xfId="5064" xr:uid="{00000000-0005-0000-0000-0000B0120000}"/>
    <cellStyle name="Calculation 3 2 2 5 3 2" xfId="5065" xr:uid="{00000000-0005-0000-0000-0000B1120000}"/>
    <cellStyle name="Calculation 3 2 2 5 3 2 2" xfId="5066" xr:uid="{00000000-0005-0000-0000-0000B2120000}"/>
    <cellStyle name="Calculation 3 2 2 5 3 3" xfId="5067" xr:uid="{00000000-0005-0000-0000-0000B3120000}"/>
    <cellStyle name="Calculation 3 2 2 5 3 3 2" xfId="5068" xr:uid="{00000000-0005-0000-0000-0000B4120000}"/>
    <cellStyle name="Calculation 3 2 2 5 3 4" xfId="5069" xr:uid="{00000000-0005-0000-0000-0000B5120000}"/>
    <cellStyle name="Calculation 3 2 2 5 3 5" xfId="5070" xr:uid="{00000000-0005-0000-0000-0000B6120000}"/>
    <cellStyle name="Calculation 3 2 2 5 3 6" xfId="5071" xr:uid="{00000000-0005-0000-0000-0000B7120000}"/>
    <cellStyle name="Calculation 3 2 2 5 4" xfId="5072" xr:uid="{00000000-0005-0000-0000-0000B8120000}"/>
    <cellStyle name="Calculation 3 2 2 5 4 2" xfId="5073" xr:uid="{00000000-0005-0000-0000-0000B9120000}"/>
    <cellStyle name="Calculation 3 2 2 5 5" xfId="5074" xr:uid="{00000000-0005-0000-0000-0000BA120000}"/>
    <cellStyle name="Calculation 3 2 2 5 5 2" xfId="5075" xr:uid="{00000000-0005-0000-0000-0000BB120000}"/>
    <cellStyle name="Calculation 3 2 2 5 6" xfId="5076" xr:uid="{00000000-0005-0000-0000-0000BC120000}"/>
    <cellStyle name="Calculation 3 2 2 5 7" xfId="5077" xr:uid="{00000000-0005-0000-0000-0000BD120000}"/>
    <cellStyle name="Calculation 3 2 2 5 8" xfId="5078" xr:uid="{00000000-0005-0000-0000-0000BE120000}"/>
    <cellStyle name="Calculation 3 2 2 6" xfId="5079" xr:uid="{00000000-0005-0000-0000-0000BF120000}"/>
    <cellStyle name="Calculation 3 2 2 6 2" xfId="5080" xr:uid="{00000000-0005-0000-0000-0000C0120000}"/>
    <cellStyle name="Calculation 3 2 2 6 2 2" xfId="5081" xr:uid="{00000000-0005-0000-0000-0000C1120000}"/>
    <cellStyle name="Calculation 3 2 2 6 2 2 2" xfId="5082" xr:uid="{00000000-0005-0000-0000-0000C2120000}"/>
    <cellStyle name="Calculation 3 2 2 6 2 3" xfId="5083" xr:uid="{00000000-0005-0000-0000-0000C3120000}"/>
    <cellStyle name="Calculation 3 2 2 6 2 3 2" xfId="5084" xr:uid="{00000000-0005-0000-0000-0000C4120000}"/>
    <cellStyle name="Calculation 3 2 2 6 2 4" xfId="5085" xr:uid="{00000000-0005-0000-0000-0000C5120000}"/>
    <cellStyle name="Calculation 3 2 2 6 2 5" xfId="5086" xr:uid="{00000000-0005-0000-0000-0000C6120000}"/>
    <cellStyle name="Calculation 3 2 2 6 2 6" xfId="5087" xr:uid="{00000000-0005-0000-0000-0000C7120000}"/>
    <cellStyle name="Calculation 3 2 2 6 3" xfId="5088" xr:uid="{00000000-0005-0000-0000-0000C8120000}"/>
    <cellStyle name="Calculation 3 2 2 6 3 2" xfId="5089" xr:uid="{00000000-0005-0000-0000-0000C9120000}"/>
    <cellStyle name="Calculation 3 2 2 6 4" xfId="5090" xr:uid="{00000000-0005-0000-0000-0000CA120000}"/>
    <cellStyle name="Calculation 3 2 2 6 4 2" xfId="5091" xr:uid="{00000000-0005-0000-0000-0000CB120000}"/>
    <cellStyle name="Calculation 3 2 2 6 5" xfId="5092" xr:uid="{00000000-0005-0000-0000-0000CC120000}"/>
    <cellStyle name="Calculation 3 2 2 6 6" xfId="5093" xr:uid="{00000000-0005-0000-0000-0000CD120000}"/>
    <cellStyle name="Calculation 3 2 2 6 7" xfId="5094" xr:uid="{00000000-0005-0000-0000-0000CE120000}"/>
    <cellStyle name="Calculation 3 2 2 7" xfId="5095" xr:uid="{00000000-0005-0000-0000-0000CF120000}"/>
    <cellStyle name="Calculation 3 2 2 7 2" xfId="5096" xr:uid="{00000000-0005-0000-0000-0000D0120000}"/>
    <cellStyle name="Calculation 3 2 2 7 2 2" xfId="5097" xr:uid="{00000000-0005-0000-0000-0000D1120000}"/>
    <cellStyle name="Calculation 3 2 2 7 3" xfId="5098" xr:uid="{00000000-0005-0000-0000-0000D2120000}"/>
    <cellStyle name="Calculation 3 2 2 7 3 2" xfId="5099" xr:uid="{00000000-0005-0000-0000-0000D3120000}"/>
    <cellStyle name="Calculation 3 2 2 7 4" xfId="5100" xr:uid="{00000000-0005-0000-0000-0000D4120000}"/>
    <cellStyle name="Calculation 3 2 2 7 5" xfId="5101" xr:uid="{00000000-0005-0000-0000-0000D5120000}"/>
    <cellStyle name="Calculation 3 2 2 7 6" xfId="5102" xr:uid="{00000000-0005-0000-0000-0000D6120000}"/>
    <cellStyle name="Calculation 3 2 2 8" xfId="5103" xr:uid="{00000000-0005-0000-0000-0000D7120000}"/>
    <cellStyle name="Calculation 3 2 2 8 2" xfId="5104" xr:uid="{00000000-0005-0000-0000-0000D8120000}"/>
    <cellStyle name="Calculation 3 2 2 9" xfId="5105" xr:uid="{00000000-0005-0000-0000-0000D9120000}"/>
    <cellStyle name="Calculation 3 2 2 9 2" xfId="5106" xr:uid="{00000000-0005-0000-0000-0000DA120000}"/>
    <cellStyle name="Calculation 3 2 3" xfId="5107" xr:uid="{00000000-0005-0000-0000-0000DB120000}"/>
    <cellStyle name="Calculation 3 2 3 10" xfId="5108" xr:uid="{00000000-0005-0000-0000-0000DC120000}"/>
    <cellStyle name="Calculation 3 2 3 11" xfId="5109" xr:uid="{00000000-0005-0000-0000-0000DD120000}"/>
    <cellStyle name="Calculation 3 2 3 12" xfId="5110" xr:uid="{00000000-0005-0000-0000-0000DE120000}"/>
    <cellStyle name="Calculation 3 2 3 2" xfId="5111" xr:uid="{00000000-0005-0000-0000-0000DF120000}"/>
    <cellStyle name="Calculation 3 2 3 2 10" xfId="5112" xr:uid="{00000000-0005-0000-0000-0000E0120000}"/>
    <cellStyle name="Calculation 3 2 3 2 11" xfId="5113" xr:uid="{00000000-0005-0000-0000-0000E1120000}"/>
    <cellStyle name="Calculation 3 2 3 2 2" xfId="5114" xr:uid="{00000000-0005-0000-0000-0000E2120000}"/>
    <cellStyle name="Calculation 3 2 3 2 2 10" xfId="5115" xr:uid="{00000000-0005-0000-0000-0000E3120000}"/>
    <cellStyle name="Calculation 3 2 3 2 2 2" xfId="5116" xr:uid="{00000000-0005-0000-0000-0000E4120000}"/>
    <cellStyle name="Calculation 3 2 3 2 2 2 2" xfId="5117" xr:uid="{00000000-0005-0000-0000-0000E5120000}"/>
    <cellStyle name="Calculation 3 2 3 2 2 2 2 2" xfId="5118" xr:uid="{00000000-0005-0000-0000-0000E6120000}"/>
    <cellStyle name="Calculation 3 2 3 2 2 2 2 2 2" xfId="5119" xr:uid="{00000000-0005-0000-0000-0000E7120000}"/>
    <cellStyle name="Calculation 3 2 3 2 2 2 2 2 2 2" xfId="5120" xr:uid="{00000000-0005-0000-0000-0000E8120000}"/>
    <cellStyle name="Calculation 3 2 3 2 2 2 2 2 3" xfId="5121" xr:uid="{00000000-0005-0000-0000-0000E9120000}"/>
    <cellStyle name="Calculation 3 2 3 2 2 2 2 2 3 2" xfId="5122" xr:uid="{00000000-0005-0000-0000-0000EA120000}"/>
    <cellStyle name="Calculation 3 2 3 2 2 2 2 2 4" xfId="5123" xr:uid="{00000000-0005-0000-0000-0000EB120000}"/>
    <cellStyle name="Calculation 3 2 3 2 2 2 2 2 5" xfId="5124" xr:uid="{00000000-0005-0000-0000-0000EC120000}"/>
    <cellStyle name="Calculation 3 2 3 2 2 2 2 2 6" xfId="5125" xr:uid="{00000000-0005-0000-0000-0000ED120000}"/>
    <cellStyle name="Calculation 3 2 3 2 2 2 2 3" xfId="5126" xr:uid="{00000000-0005-0000-0000-0000EE120000}"/>
    <cellStyle name="Calculation 3 2 3 2 2 2 2 3 2" xfId="5127" xr:uid="{00000000-0005-0000-0000-0000EF120000}"/>
    <cellStyle name="Calculation 3 2 3 2 2 2 2 4" xfId="5128" xr:uid="{00000000-0005-0000-0000-0000F0120000}"/>
    <cellStyle name="Calculation 3 2 3 2 2 2 2 4 2" xfId="5129" xr:uid="{00000000-0005-0000-0000-0000F1120000}"/>
    <cellStyle name="Calculation 3 2 3 2 2 2 2 5" xfId="5130" xr:uid="{00000000-0005-0000-0000-0000F2120000}"/>
    <cellStyle name="Calculation 3 2 3 2 2 2 2 6" xfId="5131" xr:uid="{00000000-0005-0000-0000-0000F3120000}"/>
    <cellStyle name="Calculation 3 2 3 2 2 2 2 7" xfId="5132" xr:uid="{00000000-0005-0000-0000-0000F4120000}"/>
    <cellStyle name="Calculation 3 2 3 2 2 2 3" xfId="5133" xr:uid="{00000000-0005-0000-0000-0000F5120000}"/>
    <cellStyle name="Calculation 3 2 3 2 2 2 3 2" xfId="5134" xr:uid="{00000000-0005-0000-0000-0000F6120000}"/>
    <cellStyle name="Calculation 3 2 3 2 2 2 3 2 2" xfId="5135" xr:uid="{00000000-0005-0000-0000-0000F7120000}"/>
    <cellStyle name="Calculation 3 2 3 2 2 2 3 3" xfId="5136" xr:uid="{00000000-0005-0000-0000-0000F8120000}"/>
    <cellStyle name="Calculation 3 2 3 2 2 2 3 3 2" xfId="5137" xr:uid="{00000000-0005-0000-0000-0000F9120000}"/>
    <cellStyle name="Calculation 3 2 3 2 2 2 3 4" xfId="5138" xr:uid="{00000000-0005-0000-0000-0000FA120000}"/>
    <cellStyle name="Calculation 3 2 3 2 2 2 3 5" xfId="5139" xr:uid="{00000000-0005-0000-0000-0000FB120000}"/>
    <cellStyle name="Calculation 3 2 3 2 2 2 3 6" xfId="5140" xr:uid="{00000000-0005-0000-0000-0000FC120000}"/>
    <cellStyle name="Calculation 3 2 3 2 2 2 4" xfId="5141" xr:uid="{00000000-0005-0000-0000-0000FD120000}"/>
    <cellStyle name="Calculation 3 2 3 2 2 2 4 2" xfId="5142" xr:uid="{00000000-0005-0000-0000-0000FE120000}"/>
    <cellStyle name="Calculation 3 2 3 2 2 2 5" xfId="5143" xr:uid="{00000000-0005-0000-0000-0000FF120000}"/>
    <cellStyle name="Calculation 3 2 3 2 2 2 5 2" xfId="5144" xr:uid="{00000000-0005-0000-0000-000000130000}"/>
    <cellStyle name="Calculation 3 2 3 2 2 2 6" xfId="5145" xr:uid="{00000000-0005-0000-0000-000001130000}"/>
    <cellStyle name="Calculation 3 2 3 2 2 2 7" xfId="5146" xr:uid="{00000000-0005-0000-0000-000002130000}"/>
    <cellStyle name="Calculation 3 2 3 2 2 2 8" xfId="5147" xr:uid="{00000000-0005-0000-0000-000003130000}"/>
    <cellStyle name="Calculation 3 2 3 2 2 3" xfId="5148" xr:uid="{00000000-0005-0000-0000-000004130000}"/>
    <cellStyle name="Calculation 3 2 3 2 2 3 2" xfId="5149" xr:uid="{00000000-0005-0000-0000-000005130000}"/>
    <cellStyle name="Calculation 3 2 3 2 2 3 2 2" xfId="5150" xr:uid="{00000000-0005-0000-0000-000006130000}"/>
    <cellStyle name="Calculation 3 2 3 2 2 3 2 2 2" xfId="5151" xr:uid="{00000000-0005-0000-0000-000007130000}"/>
    <cellStyle name="Calculation 3 2 3 2 2 3 2 2 2 2" xfId="5152" xr:uid="{00000000-0005-0000-0000-000008130000}"/>
    <cellStyle name="Calculation 3 2 3 2 2 3 2 2 3" xfId="5153" xr:uid="{00000000-0005-0000-0000-000009130000}"/>
    <cellStyle name="Calculation 3 2 3 2 2 3 2 2 3 2" xfId="5154" xr:uid="{00000000-0005-0000-0000-00000A130000}"/>
    <cellStyle name="Calculation 3 2 3 2 2 3 2 2 4" xfId="5155" xr:uid="{00000000-0005-0000-0000-00000B130000}"/>
    <cellStyle name="Calculation 3 2 3 2 2 3 2 2 5" xfId="5156" xr:uid="{00000000-0005-0000-0000-00000C130000}"/>
    <cellStyle name="Calculation 3 2 3 2 2 3 2 2 6" xfId="5157" xr:uid="{00000000-0005-0000-0000-00000D130000}"/>
    <cellStyle name="Calculation 3 2 3 2 2 3 2 3" xfId="5158" xr:uid="{00000000-0005-0000-0000-00000E130000}"/>
    <cellStyle name="Calculation 3 2 3 2 2 3 2 3 2" xfId="5159" xr:uid="{00000000-0005-0000-0000-00000F130000}"/>
    <cellStyle name="Calculation 3 2 3 2 2 3 2 4" xfId="5160" xr:uid="{00000000-0005-0000-0000-000010130000}"/>
    <cellStyle name="Calculation 3 2 3 2 2 3 2 4 2" xfId="5161" xr:uid="{00000000-0005-0000-0000-000011130000}"/>
    <cellStyle name="Calculation 3 2 3 2 2 3 2 5" xfId="5162" xr:uid="{00000000-0005-0000-0000-000012130000}"/>
    <cellStyle name="Calculation 3 2 3 2 2 3 2 6" xfId="5163" xr:uid="{00000000-0005-0000-0000-000013130000}"/>
    <cellStyle name="Calculation 3 2 3 2 2 3 2 7" xfId="5164" xr:uid="{00000000-0005-0000-0000-000014130000}"/>
    <cellStyle name="Calculation 3 2 3 2 2 3 3" xfId="5165" xr:uid="{00000000-0005-0000-0000-000015130000}"/>
    <cellStyle name="Calculation 3 2 3 2 2 3 3 2" xfId="5166" xr:uid="{00000000-0005-0000-0000-000016130000}"/>
    <cellStyle name="Calculation 3 2 3 2 2 3 3 2 2" xfId="5167" xr:uid="{00000000-0005-0000-0000-000017130000}"/>
    <cellStyle name="Calculation 3 2 3 2 2 3 3 3" xfId="5168" xr:uid="{00000000-0005-0000-0000-000018130000}"/>
    <cellStyle name="Calculation 3 2 3 2 2 3 3 3 2" xfId="5169" xr:uid="{00000000-0005-0000-0000-000019130000}"/>
    <cellStyle name="Calculation 3 2 3 2 2 3 3 4" xfId="5170" xr:uid="{00000000-0005-0000-0000-00001A130000}"/>
    <cellStyle name="Calculation 3 2 3 2 2 3 3 5" xfId="5171" xr:uid="{00000000-0005-0000-0000-00001B130000}"/>
    <cellStyle name="Calculation 3 2 3 2 2 3 3 6" xfId="5172" xr:uid="{00000000-0005-0000-0000-00001C130000}"/>
    <cellStyle name="Calculation 3 2 3 2 2 3 4" xfId="5173" xr:uid="{00000000-0005-0000-0000-00001D130000}"/>
    <cellStyle name="Calculation 3 2 3 2 2 3 4 2" xfId="5174" xr:uid="{00000000-0005-0000-0000-00001E130000}"/>
    <cellStyle name="Calculation 3 2 3 2 2 3 5" xfId="5175" xr:uid="{00000000-0005-0000-0000-00001F130000}"/>
    <cellStyle name="Calculation 3 2 3 2 2 3 5 2" xfId="5176" xr:uid="{00000000-0005-0000-0000-000020130000}"/>
    <cellStyle name="Calculation 3 2 3 2 2 3 6" xfId="5177" xr:uid="{00000000-0005-0000-0000-000021130000}"/>
    <cellStyle name="Calculation 3 2 3 2 2 3 7" xfId="5178" xr:uid="{00000000-0005-0000-0000-000022130000}"/>
    <cellStyle name="Calculation 3 2 3 2 2 3 8" xfId="5179" xr:uid="{00000000-0005-0000-0000-000023130000}"/>
    <cellStyle name="Calculation 3 2 3 2 2 4" xfId="5180" xr:uid="{00000000-0005-0000-0000-000024130000}"/>
    <cellStyle name="Calculation 3 2 3 2 2 4 2" xfId="5181" xr:uid="{00000000-0005-0000-0000-000025130000}"/>
    <cellStyle name="Calculation 3 2 3 2 2 4 2 2" xfId="5182" xr:uid="{00000000-0005-0000-0000-000026130000}"/>
    <cellStyle name="Calculation 3 2 3 2 2 4 2 2 2" xfId="5183" xr:uid="{00000000-0005-0000-0000-000027130000}"/>
    <cellStyle name="Calculation 3 2 3 2 2 4 2 3" xfId="5184" xr:uid="{00000000-0005-0000-0000-000028130000}"/>
    <cellStyle name="Calculation 3 2 3 2 2 4 2 3 2" xfId="5185" xr:uid="{00000000-0005-0000-0000-000029130000}"/>
    <cellStyle name="Calculation 3 2 3 2 2 4 2 4" xfId="5186" xr:uid="{00000000-0005-0000-0000-00002A130000}"/>
    <cellStyle name="Calculation 3 2 3 2 2 4 2 5" xfId="5187" xr:uid="{00000000-0005-0000-0000-00002B130000}"/>
    <cellStyle name="Calculation 3 2 3 2 2 4 2 6" xfId="5188" xr:uid="{00000000-0005-0000-0000-00002C130000}"/>
    <cellStyle name="Calculation 3 2 3 2 2 4 3" xfId="5189" xr:uid="{00000000-0005-0000-0000-00002D130000}"/>
    <cellStyle name="Calculation 3 2 3 2 2 4 3 2" xfId="5190" xr:uid="{00000000-0005-0000-0000-00002E130000}"/>
    <cellStyle name="Calculation 3 2 3 2 2 4 4" xfId="5191" xr:uid="{00000000-0005-0000-0000-00002F130000}"/>
    <cellStyle name="Calculation 3 2 3 2 2 4 4 2" xfId="5192" xr:uid="{00000000-0005-0000-0000-000030130000}"/>
    <cellStyle name="Calculation 3 2 3 2 2 4 5" xfId="5193" xr:uid="{00000000-0005-0000-0000-000031130000}"/>
    <cellStyle name="Calculation 3 2 3 2 2 4 6" xfId="5194" xr:uid="{00000000-0005-0000-0000-000032130000}"/>
    <cellStyle name="Calculation 3 2 3 2 2 4 7" xfId="5195" xr:uid="{00000000-0005-0000-0000-000033130000}"/>
    <cellStyle name="Calculation 3 2 3 2 2 5" xfId="5196" xr:uid="{00000000-0005-0000-0000-000034130000}"/>
    <cellStyle name="Calculation 3 2 3 2 2 5 2" xfId="5197" xr:uid="{00000000-0005-0000-0000-000035130000}"/>
    <cellStyle name="Calculation 3 2 3 2 2 5 2 2" xfId="5198" xr:uid="{00000000-0005-0000-0000-000036130000}"/>
    <cellStyle name="Calculation 3 2 3 2 2 5 3" xfId="5199" xr:uid="{00000000-0005-0000-0000-000037130000}"/>
    <cellStyle name="Calculation 3 2 3 2 2 5 3 2" xfId="5200" xr:uid="{00000000-0005-0000-0000-000038130000}"/>
    <cellStyle name="Calculation 3 2 3 2 2 5 4" xfId="5201" xr:uid="{00000000-0005-0000-0000-000039130000}"/>
    <cellStyle name="Calculation 3 2 3 2 2 5 5" xfId="5202" xr:uid="{00000000-0005-0000-0000-00003A130000}"/>
    <cellStyle name="Calculation 3 2 3 2 2 5 6" xfId="5203" xr:uid="{00000000-0005-0000-0000-00003B130000}"/>
    <cellStyle name="Calculation 3 2 3 2 2 6" xfId="5204" xr:uid="{00000000-0005-0000-0000-00003C130000}"/>
    <cellStyle name="Calculation 3 2 3 2 2 6 2" xfId="5205" xr:uid="{00000000-0005-0000-0000-00003D130000}"/>
    <cellStyle name="Calculation 3 2 3 2 2 7" xfId="5206" xr:uid="{00000000-0005-0000-0000-00003E130000}"/>
    <cellStyle name="Calculation 3 2 3 2 2 7 2" xfId="5207" xr:uid="{00000000-0005-0000-0000-00003F130000}"/>
    <cellStyle name="Calculation 3 2 3 2 2 8" xfId="5208" xr:uid="{00000000-0005-0000-0000-000040130000}"/>
    <cellStyle name="Calculation 3 2 3 2 2 9" xfId="5209" xr:uid="{00000000-0005-0000-0000-000041130000}"/>
    <cellStyle name="Calculation 3 2 3 2 3" xfId="5210" xr:uid="{00000000-0005-0000-0000-000042130000}"/>
    <cellStyle name="Calculation 3 2 3 2 3 2" xfId="5211" xr:uid="{00000000-0005-0000-0000-000043130000}"/>
    <cellStyle name="Calculation 3 2 3 2 3 2 2" xfId="5212" xr:uid="{00000000-0005-0000-0000-000044130000}"/>
    <cellStyle name="Calculation 3 2 3 2 3 2 2 2" xfId="5213" xr:uid="{00000000-0005-0000-0000-000045130000}"/>
    <cellStyle name="Calculation 3 2 3 2 3 2 2 2 2" xfId="5214" xr:uid="{00000000-0005-0000-0000-000046130000}"/>
    <cellStyle name="Calculation 3 2 3 2 3 2 2 3" xfId="5215" xr:uid="{00000000-0005-0000-0000-000047130000}"/>
    <cellStyle name="Calculation 3 2 3 2 3 2 2 3 2" xfId="5216" xr:uid="{00000000-0005-0000-0000-000048130000}"/>
    <cellStyle name="Calculation 3 2 3 2 3 2 2 4" xfId="5217" xr:uid="{00000000-0005-0000-0000-000049130000}"/>
    <cellStyle name="Calculation 3 2 3 2 3 2 2 5" xfId="5218" xr:uid="{00000000-0005-0000-0000-00004A130000}"/>
    <cellStyle name="Calculation 3 2 3 2 3 2 2 6" xfId="5219" xr:uid="{00000000-0005-0000-0000-00004B130000}"/>
    <cellStyle name="Calculation 3 2 3 2 3 2 3" xfId="5220" xr:uid="{00000000-0005-0000-0000-00004C130000}"/>
    <cellStyle name="Calculation 3 2 3 2 3 2 3 2" xfId="5221" xr:uid="{00000000-0005-0000-0000-00004D130000}"/>
    <cellStyle name="Calculation 3 2 3 2 3 2 4" xfId="5222" xr:uid="{00000000-0005-0000-0000-00004E130000}"/>
    <cellStyle name="Calculation 3 2 3 2 3 2 4 2" xfId="5223" xr:uid="{00000000-0005-0000-0000-00004F130000}"/>
    <cellStyle name="Calculation 3 2 3 2 3 2 5" xfId="5224" xr:uid="{00000000-0005-0000-0000-000050130000}"/>
    <cellStyle name="Calculation 3 2 3 2 3 2 6" xfId="5225" xr:uid="{00000000-0005-0000-0000-000051130000}"/>
    <cellStyle name="Calculation 3 2 3 2 3 2 7" xfId="5226" xr:uid="{00000000-0005-0000-0000-000052130000}"/>
    <cellStyle name="Calculation 3 2 3 2 3 3" xfId="5227" xr:uid="{00000000-0005-0000-0000-000053130000}"/>
    <cellStyle name="Calculation 3 2 3 2 3 3 2" xfId="5228" xr:uid="{00000000-0005-0000-0000-000054130000}"/>
    <cellStyle name="Calculation 3 2 3 2 3 3 2 2" xfId="5229" xr:uid="{00000000-0005-0000-0000-000055130000}"/>
    <cellStyle name="Calculation 3 2 3 2 3 3 3" xfId="5230" xr:uid="{00000000-0005-0000-0000-000056130000}"/>
    <cellStyle name="Calculation 3 2 3 2 3 3 3 2" xfId="5231" xr:uid="{00000000-0005-0000-0000-000057130000}"/>
    <cellStyle name="Calculation 3 2 3 2 3 3 4" xfId="5232" xr:uid="{00000000-0005-0000-0000-000058130000}"/>
    <cellStyle name="Calculation 3 2 3 2 3 3 5" xfId="5233" xr:uid="{00000000-0005-0000-0000-000059130000}"/>
    <cellStyle name="Calculation 3 2 3 2 3 3 6" xfId="5234" xr:uid="{00000000-0005-0000-0000-00005A130000}"/>
    <cellStyle name="Calculation 3 2 3 2 3 4" xfId="5235" xr:uid="{00000000-0005-0000-0000-00005B130000}"/>
    <cellStyle name="Calculation 3 2 3 2 3 4 2" xfId="5236" xr:uid="{00000000-0005-0000-0000-00005C130000}"/>
    <cellStyle name="Calculation 3 2 3 2 3 5" xfId="5237" xr:uid="{00000000-0005-0000-0000-00005D130000}"/>
    <cellStyle name="Calculation 3 2 3 2 3 5 2" xfId="5238" xr:uid="{00000000-0005-0000-0000-00005E130000}"/>
    <cellStyle name="Calculation 3 2 3 2 3 6" xfId="5239" xr:uid="{00000000-0005-0000-0000-00005F130000}"/>
    <cellStyle name="Calculation 3 2 3 2 3 7" xfId="5240" xr:uid="{00000000-0005-0000-0000-000060130000}"/>
    <cellStyle name="Calculation 3 2 3 2 3 8" xfId="5241" xr:uid="{00000000-0005-0000-0000-000061130000}"/>
    <cellStyle name="Calculation 3 2 3 2 4" xfId="5242" xr:uid="{00000000-0005-0000-0000-000062130000}"/>
    <cellStyle name="Calculation 3 2 3 2 4 2" xfId="5243" xr:uid="{00000000-0005-0000-0000-000063130000}"/>
    <cellStyle name="Calculation 3 2 3 2 4 2 2" xfId="5244" xr:uid="{00000000-0005-0000-0000-000064130000}"/>
    <cellStyle name="Calculation 3 2 3 2 4 2 2 2" xfId="5245" xr:uid="{00000000-0005-0000-0000-000065130000}"/>
    <cellStyle name="Calculation 3 2 3 2 4 2 2 2 2" xfId="5246" xr:uid="{00000000-0005-0000-0000-000066130000}"/>
    <cellStyle name="Calculation 3 2 3 2 4 2 2 3" xfId="5247" xr:uid="{00000000-0005-0000-0000-000067130000}"/>
    <cellStyle name="Calculation 3 2 3 2 4 2 2 3 2" xfId="5248" xr:uid="{00000000-0005-0000-0000-000068130000}"/>
    <cellStyle name="Calculation 3 2 3 2 4 2 2 4" xfId="5249" xr:uid="{00000000-0005-0000-0000-000069130000}"/>
    <cellStyle name="Calculation 3 2 3 2 4 2 2 5" xfId="5250" xr:uid="{00000000-0005-0000-0000-00006A130000}"/>
    <cellStyle name="Calculation 3 2 3 2 4 2 2 6" xfId="5251" xr:uid="{00000000-0005-0000-0000-00006B130000}"/>
    <cellStyle name="Calculation 3 2 3 2 4 2 3" xfId="5252" xr:uid="{00000000-0005-0000-0000-00006C130000}"/>
    <cellStyle name="Calculation 3 2 3 2 4 2 3 2" xfId="5253" xr:uid="{00000000-0005-0000-0000-00006D130000}"/>
    <cellStyle name="Calculation 3 2 3 2 4 2 4" xfId="5254" xr:uid="{00000000-0005-0000-0000-00006E130000}"/>
    <cellStyle name="Calculation 3 2 3 2 4 2 4 2" xfId="5255" xr:uid="{00000000-0005-0000-0000-00006F130000}"/>
    <cellStyle name="Calculation 3 2 3 2 4 2 5" xfId="5256" xr:uid="{00000000-0005-0000-0000-000070130000}"/>
    <cellStyle name="Calculation 3 2 3 2 4 2 6" xfId="5257" xr:uid="{00000000-0005-0000-0000-000071130000}"/>
    <cellStyle name="Calculation 3 2 3 2 4 2 7" xfId="5258" xr:uid="{00000000-0005-0000-0000-000072130000}"/>
    <cellStyle name="Calculation 3 2 3 2 4 3" xfId="5259" xr:uid="{00000000-0005-0000-0000-000073130000}"/>
    <cellStyle name="Calculation 3 2 3 2 4 3 2" xfId="5260" xr:uid="{00000000-0005-0000-0000-000074130000}"/>
    <cellStyle name="Calculation 3 2 3 2 4 3 2 2" xfId="5261" xr:uid="{00000000-0005-0000-0000-000075130000}"/>
    <cellStyle name="Calculation 3 2 3 2 4 3 3" xfId="5262" xr:uid="{00000000-0005-0000-0000-000076130000}"/>
    <cellStyle name="Calculation 3 2 3 2 4 3 3 2" xfId="5263" xr:uid="{00000000-0005-0000-0000-000077130000}"/>
    <cellStyle name="Calculation 3 2 3 2 4 3 4" xfId="5264" xr:uid="{00000000-0005-0000-0000-000078130000}"/>
    <cellStyle name="Calculation 3 2 3 2 4 3 5" xfId="5265" xr:uid="{00000000-0005-0000-0000-000079130000}"/>
    <cellStyle name="Calculation 3 2 3 2 4 3 6" xfId="5266" xr:uid="{00000000-0005-0000-0000-00007A130000}"/>
    <cellStyle name="Calculation 3 2 3 2 4 4" xfId="5267" xr:uid="{00000000-0005-0000-0000-00007B130000}"/>
    <cellStyle name="Calculation 3 2 3 2 4 4 2" xfId="5268" xr:uid="{00000000-0005-0000-0000-00007C130000}"/>
    <cellStyle name="Calculation 3 2 3 2 4 5" xfId="5269" xr:uid="{00000000-0005-0000-0000-00007D130000}"/>
    <cellStyle name="Calculation 3 2 3 2 4 5 2" xfId="5270" xr:uid="{00000000-0005-0000-0000-00007E130000}"/>
    <cellStyle name="Calculation 3 2 3 2 4 6" xfId="5271" xr:uid="{00000000-0005-0000-0000-00007F130000}"/>
    <cellStyle name="Calculation 3 2 3 2 4 7" xfId="5272" xr:uid="{00000000-0005-0000-0000-000080130000}"/>
    <cellStyle name="Calculation 3 2 3 2 4 8" xfId="5273" xr:uid="{00000000-0005-0000-0000-000081130000}"/>
    <cellStyle name="Calculation 3 2 3 2 5" xfId="5274" xr:uid="{00000000-0005-0000-0000-000082130000}"/>
    <cellStyle name="Calculation 3 2 3 2 5 2" xfId="5275" xr:uid="{00000000-0005-0000-0000-000083130000}"/>
    <cellStyle name="Calculation 3 2 3 2 5 2 2" xfId="5276" xr:uid="{00000000-0005-0000-0000-000084130000}"/>
    <cellStyle name="Calculation 3 2 3 2 5 2 2 2" xfId="5277" xr:uid="{00000000-0005-0000-0000-000085130000}"/>
    <cellStyle name="Calculation 3 2 3 2 5 2 3" xfId="5278" xr:uid="{00000000-0005-0000-0000-000086130000}"/>
    <cellStyle name="Calculation 3 2 3 2 5 2 3 2" xfId="5279" xr:uid="{00000000-0005-0000-0000-000087130000}"/>
    <cellStyle name="Calculation 3 2 3 2 5 2 4" xfId="5280" xr:uid="{00000000-0005-0000-0000-000088130000}"/>
    <cellStyle name="Calculation 3 2 3 2 5 2 5" xfId="5281" xr:uid="{00000000-0005-0000-0000-000089130000}"/>
    <cellStyle name="Calculation 3 2 3 2 5 2 6" xfId="5282" xr:uid="{00000000-0005-0000-0000-00008A130000}"/>
    <cellStyle name="Calculation 3 2 3 2 5 3" xfId="5283" xr:uid="{00000000-0005-0000-0000-00008B130000}"/>
    <cellStyle name="Calculation 3 2 3 2 5 3 2" xfId="5284" xr:uid="{00000000-0005-0000-0000-00008C130000}"/>
    <cellStyle name="Calculation 3 2 3 2 5 4" xfId="5285" xr:uid="{00000000-0005-0000-0000-00008D130000}"/>
    <cellStyle name="Calculation 3 2 3 2 5 4 2" xfId="5286" xr:uid="{00000000-0005-0000-0000-00008E130000}"/>
    <cellStyle name="Calculation 3 2 3 2 5 5" xfId="5287" xr:uid="{00000000-0005-0000-0000-00008F130000}"/>
    <cellStyle name="Calculation 3 2 3 2 5 6" xfId="5288" xr:uid="{00000000-0005-0000-0000-000090130000}"/>
    <cellStyle name="Calculation 3 2 3 2 5 7" xfId="5289" xr:uid="{00000000-0005-0000-0000-000091130000}"/>
    <cellStyle name="Calculation 3 2 3 2 6" xfId="5290" xr:uid="{00000000-0005-0000-0000-000092130000}"/>
    <cellStyle name="Calculation 3 2 3 2 6 2" xfId="5291" xr:uid="{00000000-0005-0000-0000-000093130000}"/>
    <cellStyle name="Calculation 3 2 3 2 6 2 2" xfId="5292" xr:uid="{00000000-0005-0000-0000-000094130000}"/>
    <cellStyle name="Calculation 3 2 3 2 6 3" xfId="5293" xr:uid="{00000000-0005-0000-0000-000095130000}"/>
    <cellStyle name="Calculation 3 2 3 2 6 3 2" xfId="5294" xr:uid="{00000000-0005-0000-0000-000096130000}"/>
    <cellStyle name="Calculation 3 2 3 2 6 4" xfId="5295" xr:uid="{00000000-0005-0000-0000-000097130000}"/>
    <cellStyle name="Calculation 3 2 3 2 6 5" xfId="5296" xr:uid="{00000000-0005-0000-0000-000098130000}"/>
    <cellStyle name="Calculation 3 2 3 2 6 6" xfId="5297" xr:uid="{00000000-0005-0000-0000-000099130000}"/>
    <cellStyle name="Calculation 3 2 3 2 7" xfId="5298" xr:uid="{00000000-0005-0000-0000-00009A130000}"/>
    <cellStyle name="Calculation 3 2 3 2 7 2" xfId="5299" xr:uid="{00000000-0005-0000-0000-00009B130000}"/>
    <cellStyle name="Calculation 3 2 3 2 8" xfId="5300" xr:uid="{00000000-0005-0000-0000-00009C130000}"/>
    <cellStyle name="Calculation 3 2 3 2 8 2" xfId="5301" xr:uid="{00000000-0005-0000-0000-00009D130000}"/>
    <cellStyle name="Calculation 3 2 3 2 9" xfId="5302" xr:uid="{00000000-0005-0000-0000-00009E130000}"/>
    <cellStyle name="Calculation 3 2 3 3" xfId="5303" xr:uid="{00000000-0005-0000-0000-00009F130000}"/>
    <cellStyle name="Calculation 3 2 3 3 10" xfId="5304" xr:uid="{00000000-0005-0000-0000-0000A0130000}"/>
    <cellStyle name="Calculation 3 2 3 3 2" xfId="5305" xr:uid="{00000000-0005-0000-0000-0000A1130000}"/>
    <cellStyle name="Calculation 3 2 3 3 2 10" xfId="5306" xr:uid="{00000000-0005-0000-0000-0000A2130000}"/>
    <cellStyle name="Calculation 3 2 3 3 2 2" xfId="5307" xr:uid="{00000000-0005-0000-0000-0000A3130000}"/>
    <cellStyle name="Calculation 3 2 3 3 2 2 2" xfId="5308" xr:uid="{00000000-0005-0000-0000-0000A4130000}"/>
    <cellStyle name="Calculation 3 2 3 3 2 2 2 2" xfId="5309" xr:uid="{00000000-0005-0000-0000-0000A5130000}"/>
    <cellStyle name="Calculation 3 2 3 3 2 2 2 2 2" xfId="5310" xr:uid="{00000000-0005-0000-0000-0000A6130000}"/>
    <cellStyle name="Calculation 3 2 3 3 2 2 2 2 2 2" xfId="5311" xr:uid="{00000000-0005-0000-0000-0000A7130000}"/>
    <cellStyle name="Calculation 3 2 3 3 2 2 2 2 3" xfId="5312" xr:uid="{00000000-0005-0000-0000-0000A8130000}"/>
    <cellStyle name="Calculation 3 2 3 3 2 2 2 2 3 2" xfId="5313" xr:uid="{00000000-0005-0000-0000-0000A9130000}"/>
    <cellStyle name="Calculation 3 2 3 3 2 2 2 2 4" xfId="5314" xr:uid="{00000000-0005-0000-0000-0000AA130000}"/>
    <cellStyle name="Calculation 3 2 3 3 2 2 2 2 5" xfId="5315" xr:uid="{00000000-0005-0000-0000-0000AB130000}"/>
    <cellStyle name="Calculation 3 2 3 3 2 2 2 2 6" xfId="5316" xr:uid="{00000000-0005-0000-0000-0000AC130000}"/>
    <cellStyle name="Calculation 3 2 3 3 2 2 2 3" xfId="5317" xr:uid="{00000000-0005-0000-0000-0000AD130000}"/>
    <cellStyle name="Calculation 3 2 3 3 2 2 2 3 2" xfId="5318" xr:uid="{00000000-0005-0000-0000-0000AE130000}"/>
    <cellStyle name="Calculation 3 2 3 3 2 2 2 4" xfId="5319" xr:uid="{00000000-0005-0000-0000-0000AF130000}"/>
    <cellStyle name="Calculation 3 2 3 3 2 2 2 4 2" xfId="5320" xr:uid="{00000000-0005-0000-0000-0000B0130000}"/>
    <cellStyle name="Calculation 3 2 3 3 2 2 2 5" xfId="5321" xr:uid="{00000000-0005-0000-0000-0000B1130000}"/>
    <cellStyle name="Calculation 3 2 3 3 2 2 2 6" xfId="5322" xr:uid="{00000000-0005-0000-0000-0000B2130000}"/>
    <cellStyle name="Calculation 3 2 3 3 2 2 2 7" xfId="5323" xr:uid="{00000000-0005-0000-0000-0000B3130000}"/>
    <cellStyle name="Calculation 3 2 3 3 2 2 3" xfId="5324" xr:uid="{00000000-0005-0000-0000-0000B4130000}"/>
    <cellStyle name="Calculation 3 2 3 3 2 2 3 2" xfId="5325" xr:uid="{00000000-0005-0000-0000-0000B5130000}"/>
    <cellStyle name="Calculation 3 2 3 3 2 2 3 2 2" xfId="5326" xr:uid="{00000000-0005-0000-0000-0000B6130000}"/>
    <cellStyle name="Calculation 3 2 3 3 2 2 3 3" xfId="5327" xr:uid="{00000000-0005-0000-0000-0000B7130000}"/>
    <cellStyle name="Calculation 3 2 3 3 2 2 3 3 2" xfId="5328" xr:uid="{00000000-0005-0000-0000-0000B8130000}"/>
    <cellStyle name="Calculation 3 2 3 3 2 2 3 4" xfId="5329" xr:uid="{00000000-0005-0000-0000-0000B9130000}"/>
    <cellStyle name="Calculation 3 2 3 3 2 2 3 5" xfId="5330" xr:uid="{00000000-0005-0000-0000-0000BA130000}"/>
    <cellStyle name="Calculation 3 2 3 3 2 2 3 6" xfId="5331" xr:uid="{00000000-0005-0000-0000-0000BB130000}"/>
    <cellStyle name="Calculation 3 2 3 3 2 2 4" xfId="5332" xr:uid="{00000000-0005-0000-0000-0000BC130000}"/>
    <cellStyle name="Calculation 3 2 3 3 2 2 4 2" xfId="5333" xr:uid="{00000000-0005-0000-0000-0000BD130000}"/>
    <cellStyle name="Calculation 3 2 3 3 2 2 5" xfId="5334" xr:uid="{00000000-0005-0000-0000-0000BE130000}"/>
    <cellStyle name="Calculation 3 2 3 3 2 2 5 2" xfId="5335" xr:uid="{00000000-0005-0000-0000-0000BF130000}"/>
    <cellStyle name="Calculation 3 2 3 3 2 2 6" xfId="5336" xr:uid="{00000000-0005-0000-0000-0000C0130000}"/>
    <cellStyle name="Calculation 3 2 3 3 2 2 7" xfId="5337" xr:uid="{00000000-0005-0000-0000-0000C1130000}"/>
    <cellStyle name="Calculation 3 2 3 3 2 2 8" xfId="5338" xr:uid="{00000000-0005-0000-0000-0000C2130000}"/>
    <cellStyle name="Calculation 3 2 3 3 2 3" xfId="5339" xr:uid="{00000000-0005-0000-0000-0000C3130000}"/>
    <cellStyle name="Calculation 3 2 3 3 2 3 2" xfId="5340" xr:uid="{00000000-0005-0000-0000-0000C4130000}"/>
    <cellStyle name="Calculation 3 2 3 3 2 3 2 2" xfId="5341" xr:uid="{00000000-0005-0000-0000-0000C5130000}"/>
    <cellStyle name="Calculation 3 2 3 3 2 3 2 2 2" xfId="5342" xr:uid="{00000000-0005-0000-0000-0000C6130000}"/>
    <cellStyle name="Calculation 3 2 3 3 2 3 2 2 2 2" xfId="5343" xr:uid="{00000000-0005-0000-0000-0000C7130000}"/>
    <cellStyle name="Calculation 3 2 3 3 2 3 2 2 3" xfId="5344" xr:uid="{00000000-0005-0000-0000-0000C8130000}"/>
    <cellStyle name="Calculation 3 2 3 3 2 3 2 2 3 2" xfId="5345" xr:uid="{00000000-0005-0000-0000-0000C9130000}"/>
    <cellStyle name="Calculation 3 2 3 3 2 3 2 2 4" xfId="5346" xr:uid="{00000000-0005-0000-0000-0000CA130000}"/>
    <cellStyle name="Calculation 3 2 3 3 2 3 2 2 5" xfId="5347" xr:uid="{00000000-0005-0000-0000-0000CB130000}"/>
    <cellStyle name="Calculation 3 2 3 3 2 3 2 2 6" xfId="5348" xr:uid="{00000000-0005-0000-0000-0000CC130000}"/>
    <cellStyle name="Calculation 3 2 3 3 2 3 2 3" xfId="5349" xr:uid="{00000000-0005-0000-0000-0000CD130000}"/>
    <cellStyle name="Calculation 3 2 3 3 2 3 2 3 2" xfId="5350" xr:uid="{00000000-0005-0000-0000-0000CE130000}"/>
    <cellStyle name="Calculation 3 2 3 3 2 3 2 4" xfId="5351" xr:uid="{00000000-0005-0000-0000-0000CF130000}"/>
    <cellStyle name="Calculation 3 2 3 3 2 3 2 4 2" xfId="5352" xr:uid="{00000000-0005-0000-0000-0000D0130000}"/>
    <cellStyle name="Calculation 3 2 3 3 2 3 2 5" xfId="5353" xr:uid="{00000000-0005-0000-0000-0000D1130000}"/>
    <cellStyle name="Calculation 3 2 3 3 2 3 2 6" xfId="5354" xr:uid="{00000000-0005-0000-0000-0000D2130000}"/>
    <cellStyle name="Calculation 3 2 3 3 2 3 2 7" xfId="5355" xr:uid="{00000000-0005-0000-0000-0000D3130000}"/>
    <cellStyle name="Calculation 3 2 3 3 2 3 3" xfId="5356" xr:uid="{00000000-0005-0000-0000-0000D4130000}"/>
    <cellStyle name="Calculation 3 2 3 3 2 3 3 2" xfId="5357" xr:uid="{00000000-0005-0000-0000-0000D5130000}"/>
    <cellStyle name="Calculation 3 2 3 3 2 3 3 2 2" xfId="5358" xr:uid="{00000000-0005-0000-0000-0000D6130000}"/>
    <cellStyle name="Calculation 3 2 3 3 2 3 3 3" xfId="5359" xr:uid="{00000000-0005-0000-0000-0000D7130000}"/>
    <cellStyle name="Calculation 3 2 3 3 2 3 3 3 2" xfId="5360" xr:uid="{00000000-0005-0000-0000-0000D8130000}"/>
    <cellStyle name="Calculation 3 2 3 3 2 3 3 4" xfId="5361" xr:uid="{00000000-0005-0000-0000-0000D9130000}"/>
    <cellStyle name="Calculation 3 2 3 3 2 3 3 5" xfId="5362" xr:uid="{00000000-0005-0000-0000-0000DA130000}"/>
    <cellStyle name="Calculation 3 2 3 3 2 3 3 6" xfId="5363" xr:uid="{00000000-0005-0000-0000-0000DB130000}"/>
    <cellStyle name="Calculation 3 2 3 3 2 3 4" xfId="5364" xr:uid="{00000000-0005-0000-0000-0000DC130000}"/>
    <cellStyle name="Calculation 3 2 3 3 2 3 4 2" xfId="5365" xr:uid="{00000000-0005-0000-0000-0000DD130000}"/>
    <cellStyle name="Calculation 3 2 3 3 2 3 5" xfId="5366" xr:uid="{00000000-0005-0000-0000-0000DE130000}"/>
    <cellStyle name="Calculation 3 2 3 3 2 3 5 2" xfId="5367" xr:uid="{00000000-0005-0000-0000-0000DF130000}"/>
    <cellStyle name="Calculation 3 2 3 3 2 3 6" xfId="5368" xr:uid="{00000000-0005-0000-0000-0000E0130000}"/>
    <cellStyle name="Calculation 3 2 3 3 2 3 7" xfId="5369" xr:uid="{00000000-0005-0000-0000-0000E1130000}"/>
    <cellStyle name="Calculation 3 2 3 3 2 3 8" xfId="5370" xr:uid="{00000000-0005-0000-0000-0000E2130000}"/>
    <cellStyle name="Calculation 3 2 3 3 2 4" xfId="5371" xr:uid="{00000000-0005-0000-0000-0000E3130000}"/>
    <cellStyle name="Calculation 3 2 3 3 2 4 2" xfId="5372" xr:uid="{00000000-0005-0000-0000-0000E4130000}"/>
    <cellStyle name="Calculation 3 2 3 3 2 4 2 2" xfId="5373" xr:uid="{00000000-0005-0000-0000-0000E5130000}"/>
    <cellStyle name="Calculation 3 2 3 3 2 4 2 2 2" xfId="5374" xr:uid="{00000000-0005-0000-0000-0000E6130000}"/>
    <cellStyle name="Calculation 3 2 3 3 2 4 2 3" xfId="5375" xr:uid="{00000000-0005-0000-0000-0000E7130000}"/>
    <cellStyle name="Calculation 3 2 3 3 2 4 2 3 2" xfId="5376" xr:uid="{00000000-0005-0000-0000-0000E8130000}"/>
    <cellStyle name="Calculation 3 2 3 3 2 4 2 4" xfId="5377" xr:uid="{00000000-0005-0000-0000-0000E9130000}"/>
    <cellStyle name="Calculation 3 2 3 3 2 4 2 5" xfId="5378" xr:uid="{00000000-0005-0000-0000-0000EA130000}"/>
    <cellStyle name="Calculation 3 2 3 3 2 4 2 6" xfId="5379" xr:uid="{00000000-0005-0000-0000-0000EB130000}"/>
    <cellStyle name="Calculation 3 2 3 3 2 4 3" xfId="5380" xr:uid="{00000000-0005-0000-0000-0000EC130000}"/>
    <cellStyle name="Calculation 3 2 3 3 2 4 3 2" xfId="5381" xr:uid="{00000000-0005-0000-0000-0000ED130000}"/>
    <cellStyle name="Calculation 3 2 3 3 2 4 4" xfId="5382" xr:uid="{00000000-0005-0000-0000-0000EE130000}"/>
    <cellStyle name="Calculation 3 2 3 3 2 4 4 2" xfId="5383" xr:uid="{00000000-0005-0000-0000-0000EF130000}"/>
    <cellStyle name="Calculation 3 2 3 3 2 4 5" xfId="5384" xr:uid="{00000000-0005-0000-0000-0000F0130000}"/>
    <cellStyle name="Calculation 3 2 3 3 2 4 6" xfId="5385" xr:uid="{00000000-0005-0000-0000-0000F1130000}"/>
    <cellStyle name="Calculation 3 2 3 3 2 4 7" xfId="5386" xr:uid="{00000000-0005-0000-0000-0000F2130000}"/>
    <cellStyle name="Calculation 3 2 3 3 2 5" xfId="5387" xr:uid="{00000000-0005-0000-0000-0000F3130000}"/>
    <cellStyle name="Calculation 3 2 3 3 2 5 2" xfId="5388" xr:uid="{00000000-0005-0000-0000-0000F4130000}"/>
    <cellStyle name="Calculation 3 2 3 3 2 5 2 2" xfId="5389" xr:uid="{00000000-0005-0000-0000-0000F5130000}"/>
    <cellStyle name="Calculation 3 2 3 3 2 5 3" xfId="5390" xr:uid="{00000000-0005-0000-0000-0000F6130000}"/>
    <cellStyle name="Calculation 3 2 3 3 2 5 3 2" xfId="5391" xr:uid="{00000000-0005-0000-0000-0000F7130000}"/>
    <cellStyle name="Calculation 3 2 3 3 2 5 4" xfId="5392" xr:uid="{00000000-0005-0000-0000-0000F8130000}"/>
    <cellStyle name="Calculation 3 2 3 3 2 5 5" xfId="5393" xr:uid="{00000000-0005-0000-0000-0000F9130000}"/>
    <cellStyle name="Calculation 3 2 3 3 2 5 6" xfId="5394" xr:uid="{00000000-0005-0000-0000-0000FA130000}"/>
    <cellStyle name="Calculation 3 2 3 3 2 6" xfId="5395" xr:uid="{00000000-0005-0000-0000-0000FB130000}"/>
    <cellStyle name="Calculation 3 2 3 3 2 6 2" xfId="5396" xr:uid="{00000000-0005-0000-0000-0000FC130000}"/>
    <cellStyle name="Calculation 3 2 3 3 2 7" xfId="5397" xr:uid="{00000000-0005-0000-0000-0000FD130000}"/>
    <cellStyle name="Calculation 3 2 3 3 2 7 2" xfId="5398" xr:uid="{00000000-0005-0000-0000-0000FE130000}"/>
    <cellStyle name="Calculation 3 2 3 3 2 8" xfId="5399" xr:uid="{00000000-0005-0000-0000-0000FF130000}"/>
    <cellStyle name="Calculation 3 2 3 3 2 9" xfId="5400" xr:uid="{00000000-0005-0000-0000-000000140000}"/>
    <cellStyle name="Calculation 3 2 3 3 3" xfId="5401" xr:uid="{00000000-0005-0000-0000-000001140000}"/>
    <cellStyle name="Calculation 3 2 3 3 3 2" xfId="5402" xr:uid="{00000000-0005-0000-0000-000002140000}"/>
    <cellStyle name="Calculation 3 2 3 3 3 2 2" xfId="5403" xr:uid="{00000000-0005-0000-0000-000003140000}"/>
    <cellStyle name="Calculation 3 2 3 3 3 2 2 2" xfId="5404" xr:uid="{00000000-0005-0000-0000-000004140000}"/>
    <cellStyle name="Calculation 3 2 3 3 3 2 2 2 2" xfId="5405" xr:uid="{00000000-0005-0000-0000-000005140000}"/>
    <cellStyle name="Calculation 3 2 3 3 3 2 2 3" xfId="5406" xr:uid="{00000000-0005-0000-0000-000006140000}"/>
    <cellStyle name="Calculation 3 2 3 3 3 2 2 3 2" xfId="5407" xr:uid="{00000000-0005-0000-0000-000007140000}"/>
    <cellStyle name="Calculation 3 2 3 3 3 2 2 4" xfId="5408" xr:uid="{00000000-0005-0000-0000-000008140000}"/>
    <cellStyle name="Calculation 3 2 3 3 3 2 2 5" xfId="5409" xr:uid="{00000000-0005-0000-0000-000009140000}"/>
    <cellStyle name="Calculation 3 2 3 3 3 2 2 6" xfId="5410" xr:uid="{00000000-0005-0000-0000-00000A140000}"/>
    <cellStyle name="Calculation 3 2 3 3 3 2 3" xfId="5411" xr:uid="{00000000-0005-0000-0000-00000B140000}"/>
    <cellStyle name="Calculation 3 2 3 3 3 2 3 2" xfId="5412" xr:uid="{00000000-0005-0000-0000-00000C140000}"/>
    <cellStyle name="Calculation 3 2 3 3 3 2 4" xfId="5413" xr:uid="{00000000-0005-0000-0000-00000D140000}"/>
    <cellStyle name="Calculation 3 2 3 3 3 2 4 2" xfId="5414" xr:uid="{00000000-0005-0000-0000-00000E140000}"/>
    <cellStyle name="Calculation 3 2 3 3 3 2 5" xfId="5415" xr:uid="{00000000-0005-0000-0000-00000F140000}"/>
    <cellStyle name="Calculation 3 2 3 3 3 2 6" xfId="5416" xr:uid="{00000000-0005-0000-0000-000010140000}"/>
    <cellStyle name="Calculation 3 2 3 3 3 2 7" xfId="5417" xr:uid="{00000000-0005-0000-0000-000011140000}"/>
    <cellStyle name="Calculation 3 2 3 3 3 3" xfId="5418" xr:uid="{00000000-0005-0000-0000-000012140000}"/>
    <cellStyle name="Calculation 3 2 3 3 3 3 2" xfId="5419" xr:uid="{00000000-0005-0000-0000-000013140000}"/>
    <cellStyle name="Calculation 3 2 3 3 3 3 2 2" xfId="5420" xr:uid="{00000000-0005-0000-0000-000014140000}"/>
    <cellStyle name="Calculation 3 2 3 3 3 3 3" xfId="5421" xr:uid="{00000000-0005-0000-0000-000015140000}"/>
    <cellStyle name="Calculation 3 2 3 3 3 3 3 2" xfId="5422" xr:uid="{00000000-0005-0000-0000-000016140000}"/>
    <cellStyle name="Calculation 3 2 3 3 3 3 4" xfId="5423" xr:uid="{00000000-0005-0000-0000-000017140000}"/>
    <cellStyle name="Calculation 3 2 3 3 3 3 5" xfId="5424" xr:uid="{00000000-0005-0000-0000-000018140000}"/>
    <cellStyle name="Calculation 3 2 3 3 3 3 6" xfId="5425" xr:uid="{00000000-0005-0000-0000-000019140000}"/>
    <cellStyle name="Calculation 3 2 3 3 3 4" xfId="5426" xr:uid="{00000000-0005-0000-0000-00001A140000}"/>
    <cellStyle name="Calculation 3 2 3 3 3 4 2" xfId="5427" xr:uid="{00000000-0005-0000-0000-00001B140000}"/>
    <cellStyle name="Calculation 3 2 3 3 3 5" xfId="5428" xr:uid="{00000000-0005-0000-0000-00001C140000}"/>
    <cellStyle name="Calculation 3 2 3 3 3 5 2" xfId="5429" xr:uid="{00000000-0005-0000-0000-00001D140000}"/>
    <cellStyle name="Calculation 3 2 3 3 3 6" xfId="5430" xr:uid="{00000000-0005-0000-0000-00001E140000}"/>
    <cellStyle name="Calculation 3 2 3 3 3 7" xfId="5431" xr:uid="{00000000-0005-0000-0000-00001F140000}"/>
    <cellStyle name="Calculation 3 2 3 3 3 8" xfId="5432" xr:uid="{00000000-0005-0000-0000-000020140000}"/>
    <cellStyle name="Calculation 3 2 3 3 4" xfId="5433" xr:uid="{00000000-0005-0000-0000-000021140000}"/>
    <cellStyle name="Calculation 3 2 3 3 4 2" xfId="5434" xr:uid="{00000000-0005-0000-0000-000022140000}"/>
    <cellStyle name="Calculation 3 2 3 3 4 2 2" xfId="5435" xr:uid="{00000000-0005-0000-0000-000023140000}"/>
    <cellStyle name="Calculation 3 2 3 3 4 2 2 2" xfId="5436" xr:uid="{00000000-0005-0000-0000-000024140000}"/>
    <cellStyle name="Calculation 3 2 3 3 4 2 3" xfId="5437" xr:uid="{00000000-0005-0000-0000-000025140000}"/>
    <cellStyle name="Calculation 3 2 3 3 4 2 3 2" xfId="5438" xr:uid="{00000000-0005-0000-0000-000026140000}"/>
    <cellStyle name="Calculation 3 2 3 3 4 2 4" xfId="5439" xr:uid="{00000000-0005-0000-0000-000027140000}"/>
    <cellStyle name="Calculation 3 2 3 3 4 2 5" xfId="5440" xr:uid="{00000000-0005-0000-0000-000028140000}"/>
    <cellStyle name="Calculation 3 2 3 3 4 2 6" xfId="5441" xr:uid="{00000000-0005-0000-0000-000029140000}"/>
    <cellStyle name="Calculation 3 2 3 3 4 3" xfId="5442" xr:uid="{00000000-0005-0000-0000-00002A140000}"/>
    <cellStyle name="Calculation 3 2 3 3 4 3 2" xfId="5443" xr:uid="{00000000-0005-0000-0000-00002B140000}"/>
    <cellStyle name="Calculation 3 2 3 3 4 4" xfId="5444" xr:uid="{00000000-0005-0000-0000-00002C140000}"/>
    <cellStyle name="Calculation 3 2 3 3 4 4 2" xfId="5445" xr:uid="{00000000-0005-0000-0000-00002D140000}"/>
    <cellStyle name="Calculation 3 2 3 3 4 5" xfId="5446" xr:uid="{00000000-0005-0000-0000-00002E140000}"/>
    <cellStyle name="Calculation 3 2 3 3 4 6" xfId="5447" xr:uid="{00000000-0005-0000-0000-00002F140000}"/>
    <cellStyle name="Calculation 3 2 3 3 4 7" xfId="5448" xr:uid="{00000000-0005-0000-0000-000030140000}"/>
    <cellStyle name="Calculation 3 2 3 3 5" xfId="5449" xr:uid="{00000000-0005-0000-0000-000031140000}"/>
    <cellStyle name="Calculation 3 2 3 3 5 2" xfId="5450" xr:uid="{00000000-0005-0000-0000-000032140000}"/>
    <cellStyle name="Calculation 3 2 3 3 5 2 2" xfId="5451" xr:uid="{00000000-0005-0000-0000-000033140000}"/>
    <cellStyle name="Calculation 3 2 3 3 5 3" xfId="5452" xr:uid="{00000000-0005-0000-0000-000034140000}"/>
    <cellStyle name="Calculation 3 2 3 3 5 3 2" xfId="5453" xr:uid="{00000000-0005-0000-0000-000035140000}"/>
    <cellStyle name="Calculation 3 2 3 3 5 4" xfId="5454" xr:uid="{00000000-0005-0000-0000-000036140000}"/>
    <cellStyle name="Calculation 3 2 3 3 5 5" xfId="5455" xr:uid="{00000000-0005-0000-0000-000037140000}"/>
    <cellStyle name="Calculation 3 2 3 3 5 6" xfId="5456" xr:uid="{00000000-0005-0000-0000-000038140000}"/>
    <cellStyle name="Calculation 3 2 3 3 6" xfId="5457" xr:uid="{00000000-0005-0000-0000-000039140000}"/>
    <cellStyle name="Calculation 3 2 3 3 6 2" xfId="5458" xr:uid="{00000000-0005-0000-0000-00003A140000}"/>
    <cellStyle name="Calculation 3 2 3 3 7" xfId="5459" xr:uid="{00000000-0005-0000-0000-00003B140000}"/>
    <cellStyle name="Calculation 3 2 3 3 7 2" xfId="5460" xr:uid="{00000000-0005-0000-0000-00003C140000}"/>
    <cellStyle name="Calculation 3 2 3 3 8" xfId="5461" xr:uid="{00000000-0005-0000-0000-00003D140000}"/>
    <cellStyle name="Calculation 3 2 3 3 9" xfId="5462" xr:uid="{00000000-0005-0000-0000-00003E140000}"/>
    <cellStyle name="Calculation 3 2 3 4" xfId="5463" xr:uid="{00000000-0005-0000-0000-00003F140000}"/>
    <cellStyle name="Calculation 3 2 3 4 10" xfId="5464" xr:uid="{00000000-0005-0000-0000-000040140000}"/>
    <cellStyle name="Calculation 3 2 3 4 2" xfId="5465" xr:uid="{00000000-0005-0000-0000-000041140000}"/>
    <cellStyle name="Calculation 3 2 3 4 2 2" xfId="5466" xr:uid="{00000000-0005-0000-0000-000042140000}"/>
    <cellStyle name="Calculation 3 2 3 4 2 2 2" xfId="5467" xr:uid="{00000000-0005-0000-0000-000043140000}"/>
    <cellStyle name="Calculation 3 2 3 4 2 2 2 2" xfId="5468" xr:uid="{00000000-0005-0000-0000-000044140000}"/>
    <cellStyle name="Calculation 3 2 3 4 2 2 2 2 2" xfId="5469" xr:uid="{00000000-0005-0000-0000-000045140000}"/>
    <cellStyle name="Calculation 3 2 3 4 2 2 2 3" xfId="5470" xr:uid="{00000000-0005-0000-0000-000046140000}"/>
    <cellStyle name="Calculation 3 2 3 4 2 2 2 3 2" xfId="5471" xr:uid="{00000000-0005-0000-0000-000047140000}"/>
    <cellStyle name="Calculation 3 2 3 4 2 2 2 4" xfId="5472" xr:uid="{00000000-0005-0000-0000-000048140000}"/>
    <cellStyle name="Calculation 3 2 3 4 2 2 2 5" xfId="5473" xr:uid="{00000000-0005-0000-0000-000049140000}"/>
    <cellStyle name="Calculation 3 2 3 4 2 2 2 6" xfId="5474" xr:uid="{00000000-0005-0000-0000-00004A140000}"/>
    <cellStyle name="Calculation 3 2 3 4 2 2 3" xfId="5475" xr:uid="{00000000-0005-0000-0000-00004B140000}"/>
    <cellStyle name="Calculation 3 2 3 4 2 2 3 2" xfId="5476" xr:uid="{00000000-0005-0000-0000-00004C140000}"/>
    <cellStyle name="Calculation 3 2 3 4 2 2 4" xfId="5477" xr:uid="{00000000-0005-0000-0000-00004D140000}"/>
    <cellStyle name="Calculation 3 2 3 4 2 2 4 2" xfId="5478" xr:uid="{00000000-0005-0000-0000-00004E140000}"/>
    <cellStyle name="Calculation 3 2 3 4 2 2 5" xfId="5479" xr:uid="{00000000-0005-0000-0000-00004F140000}"/>
    <cellStyle name="Calculation 3 2 3 4 2 2 6" xfId="5480" xr:uid="{00000000-0005-0000-0000-000050140000}"/>
    <cellStyle name="Calculation 3 2 3 4 2 2 7" xfId="5481" xr:uid="{00000000-0005-0000-0000-000051140000}"/>
    <cellStyle name="Calculation 3 2 3 4 2 3" xfId="5482" xr:uid="{00000000-0005-0000-0000-000052140000}"/>
    <cellStyle name="Calculation 3 2 3 4 2 3 2" xfId="5483" xr:uid="{00000000-0005-0000-0000-000053140000}"/>
    <cellStyle name="Calculation 3 2 3 4 2 3 2 2" xfId="5484" xr:uid="{00000000-0005-0000-0000-000054140000}"/>
    <cellStyle name="Calculation 3 2 3 4 2 3 3" xfId="5485" xr:uid="{00000000-0005-0000-0000-000055140000}"/>
    <cellStyle name="Calculation 3 2 3 4 2 3 3 2" xfId="5486" xr:uid="{00000000-0005-0000-0000-000056140000}"/>
    <cellStyle name="Calculation 3 2 3 4 2 3 4" xfId="5487" xr:uid="{00000000-0005-0000-0000-000057140000}"/>
    <cellStyle name="Calculation 3 2 3 4 2 3 5" xfId="5488" xr:uid="{00000000-0005-0000-0000-000058140000}"/>
    <cellStyle name="Calculation 3 2 3 4 2 3 6" xfId="5489" xr:uid="{00000000-0005-0000-0000-000059140000}"/>
    <cellStyle name="Calculation 3 2 3 4 2 4" xfId="5490" xr:uid="{00000000-0005-0000-0000-00005A140000}"/>
    <cellStyle name="Calculation 3 2 3 4 2 4 2" xfId="5491" xr:uid="{00000000-0005-0000-0000-00005B140000}"/>
    <cellStyle name="Calculation 3 2 3 4 2 5" xfId="5492" xr:uid="{00000000-0005-0000-0000-00005C140000}"/>
    <cellStyle name="Calculation 3 2 3 4 2 5 2" xfId="5493" xr:uid="{00000000-0005-0000-0000-00005D140000}"/>
    <cellStyle name="Calculation 3 2 3 4 2 6" xfId="5494" xr:uid="{00000000-0005-0000-0000-00005E140000}"/>
    <cellStyle name="Calculation 3 2 3 4 2 7" xfId="5495" xr:uid="{00000000-0005-0000-0000-00005F140000}"/>
    <cellStyle name="Calculation 3 2 3 4 2 8" xfId="5496" xr:uid="{00000000-0005-0000-0000-000060140000}"/>
    <cellStyle name="Calculation 3 2 3 4 3" xfId="5497" xr:uid="{00000000-0005-0000-0000-000061140000}"/>
    <cellStyle name="Calculation 3 2 3 4 3 2" xfId="5498" xr:uid="{00000000-0005-0000-0000-000062140000}"/>
    <cellStyle name="Calculation 3 2 3 4 3 2 2" xfId="5499" xr:uid="{00000000-0005-0000-0000-000063140000}"/>
    <cellStyle name="Calculation 3 2 3 4 3 2 2 2" xfId="5500" xr:uid="{00000000-0005-0000-0000-000064140000}"/>
    <cellStyle name="Calculation 3 2 3 4 3 2 2 2 2" xfId="5501" xr:uid="{00000000-0005-0000-0000-000065140000}"/>
    <cellStyle name="Calculation 3 2 3 4 3 2 2 3" xfId="5502" xr:uid="{00000000-0005-0000-0000-000066140000}"/>
    <cellStyle name="Calculation 3 2 3 4 3 2 2 3 2" xfId="5503" xr:uid="{00000000-0005-0000-0000-000067140000}"/>
    <cellStyle name="Calculation 3 2 3 4 3 2 2 4" xfId="5504" xr:uid="{00000000-0005-0000-0000-000068140000}"/>
    <cellStyle name="Calculation 3 2 3 4 3 2 2 5" xfId="5505" xr:uid="{00000000-0005-0000-0000-000069140000}"/>
    <cellStyle name="Calculation 3 2 3 4 3 2 2 6" xfId="5506" xr:uid="{00000000-0005-0000-0000-00006A140000}"/>
    <cellStyle name="Calculation 3 2 3 4 3 2 3" xfId="5507" xr:uid="{00000000-0005-0000-0000-00006B140000}"/>
    <cellStyle name="Calculation 3 2 3 4 3 2 3 2" xfId="5508" xr:uid="{00000000-0005-0000-0000-00006C140000}"/>
    <cellStyle name="Calculation 3 2 3 4 3 2 4" xfId="5509" xr:uid="{00000000-0005-0000-0000-00006D140000}"/>
    <cellStyle name="Calculation 3 2 3 4 3 2 4 2" xfId="5510" xr:uid="{00000000-0005-0000-0000-00006E140000}"/>
    <cellStyle name="Calculation 3 2 3 4 3 2 5" xfId="5511" xr:uid="{00000000-0005-0000-0000-00006F140000}"/>
    <cellStyle name="Calculation 3 2 3 4 3 2 6" xfId="5512" xr:uid="{00000000-0005-0000-0000-000070140000}"/>
    <cellStyle name="Calculation 3 2 3 4 3 2 7" xfId="5513" xr:uid="{00000000-0005-0000-0000-000071140000}"/>
    <cellStyle name="Calculation 3 2 3 4 3 3" xfId="5514" xr:uid="{00000000-0005-0000-0000-000072140000}"/>
    <cellStyle name="Calculation 3 2 3 4 3 3 2" xfId="5515" xr:uid="{00000000-0005-0000-0000-000073140000}"/>
    <cellStyle name="Calculation 3 2 3 4 3 3 2 2" xfId="5516" xr:uid="{00000000-0005-0000-0000-000074140000}"/>
    <cellStyle name="Calculation 3 2 3 4 3 3 3" xfId="5517" xr:uid="{00000000-0005-0000-0000-000075140000}"/>
    <cellStyle name="Calculation 3 2 3 4 3 3 3 2" xfId="5518" xr:uid="{00000000-0005-0000-0000-000076140000}"/>
    <cellStyle name="Calculation 3 2 3 4 3 3 4" xfId="5519" xr:uid="{00000000-0005-0000-0000-000077140000}"/>
    <cellStyle name="Calculation 3 2 3 4 3 3 5" xfId="5520" xr:uid="{00000000-0005-0000-0000-000078140000}"/>
    <cellStyle name="Calculation 3 2 3 4 3 3 6" xfId="5521" xr:uid="{00000000-0005-0000-0000-000079140000}"/>
    <cellStyle name="Calculation 3 2 3 4 3 4" xfId="5522" xr:uid="{00000000-0005-0000-0000-00007A140000}"/>
    <cellStyle name="Calculation 3 2 3 4 3 4 2" xfId="5523" xr:uid="{00000000-0005-0000-0000-00007B140000}"/>
    <cellStyle name="Calculation 3 2 3 4 3 5" xfId="5524" xr:uid="{00000000-0005-0000-0000-00007C140000}"/>
    <cellStyle name="Calculation 3 2 3 4 3 5 2" xfId="5525" xr:uid="{00000000-0005-0000-0000-00007D140000}"/>
    <cellStyle name="Calculation 3 2 3 4 3 6" xfId="5526" xr:uid="{00000000-0005-0000-0000-00007E140000}"/>
    <cellStyle name="Calculation 3 2 3 4 3 7" xfId="5527" xr:uid="{00000000-0005-0000-0000-00007F140000}"/>
    <cellStyle name="Calculation 3 2 3 4 3 8" xfId="5528" xr:uid="{00000000-0005-0000-0000-000080140000}"/>
    <cellStyle name="Calculation 3 2 3 4 4" xfId="5529" xr:uid="{00000000-0005-0000-0000-000081140000}"/>
    <cellStyle name="Calculation 3 2 3 4 4 2" xfId="5530" xr:uid="{00000000-0005-0000-0000-000082140000}"/>
    <cellStyle name="Calculation 3 2 3 4 4 2 2" xfId="5531" xr:uid="{00000000-0005-0000-0000-000083140000}"/>
    <cellStyle name="Calculation 3 2 3 4 4 2 2 2" xfId="5532" xr:uid="{00000000-0005-0000-0000-000084140000}"/>
    <cellStyle name="Calculation 3 2 3 4 4 2 3" xfId="5533" xr:uid="{00000000-0005-0000-0000-000085140000}"/>
    <cellStyle name="Calculation 3 2 3 4 4 2 3 2" xfId="5534" xr:uid="{00000000-0005-0000-0000-000086140000}"/>
    <cellStyle name="Calculation 3 2 3 4 4 2 4" xfId="5535" xr:uid="{00000000-0005-0000-0000-000087140000}"/>
    <cellStyle name="Calculation 3 2 3 4 4 2 5" xfId="5536" xr:uid="{00000000-0005-0000-0000-000088140000}"/>
    <cellStyle name="Calculation 3 2 3 4 4 2 6" xfId="5537" xr:uid="{00000000-0005-0000-0000-000089140000}"/>
    <cellStyle name="Calculation 3 2 3 4 4 3" xfId="5538" xr:uid="{00000000-0005-0000-0000-00008A140000}"/>
    <cellStyle name="Calculation 3 2 3 4 4 3 2" xfId="5539" xr:uid="{00000000-0005-0000-0000-00008B140000}"/>
    <cellStyle name="Calculation 3 2 3 4 4 4" xfId="5540" xr:uid="{00000000-0005-0000-0000-00008C140000}"/>
    <cellStyle name="Calculation 3 2 3 4 4 4 2" xfId="5541" xr:uid="{00000000-0005-0000-0000-00008D140000}"/>
    <cellStyle name="Calculation 3 2 3 4 4 5" xfId="5542" xr:uid="{00000000-0005-0000-0000-00008E140000}"/>
    <cellStyle name="Calculation 3 2 3 4 4 6" xfId="5543" xr:uid="{00000000-0005-0000-0000-00008F140000}"/>
    <cellStyle name="Calculation 3 2 3 4 4 7" xfId="5544" xr:uid="{00000000-0005-0000-0000-000090140000}"/>
    <cellStyle name="Calculation 3 2 3 4 5" xfId="5545" xr:uid="{00000000-0005-0000-0000-000091140000}"/>
    <cellStyle name="Calculation 3 2 3 4 5 2" xfId="5546" xr:uid="{00000000-0005-0000-0000-000092140000}"/>
    <cellStyle name="Calculation 3 2 3 4 5 2 2" xfId="5547" xr:uid="{00000000-0005-0000-0000-000093140000}"/>
    <cellStyle name="Calculation 3 2 3 4 5 3" xfId="5548" xr:uid="{00000000-0005-0000-0000-000094140000}"/>
    <cellStyle name="Calculation 3 2 3 4 5 3 2" xfId="5549" xr:uid="{00000000-0005-0000-0000-000095140000}"/>
    <cellStyle name="Calculation 3 2 3 4 5 4" xfId="5550" xr:uid="{00000000-0005-0000-0000-000096140000}"/>
    <cellStyle name="Calculation 3 2 3 4 5 5" xfId="5551" xr:uid="{00000000-0005-0000-0000-000097140000}"/>
    <cellStyle name="Calculation 3 2 3 4 5 6" xfId="5552" xr:uid="{00000000-0005-0000-0000-000098140000}"/>
    <cellStyle name="Calculation 3 2 3 4 6" xfId="5553" xr:uid="{00000000-0005-0000-0000-000099140000}"/>
    <cellStyle name="Calculation 3 2 3 4 6 2" xfId="5554" xr:uid="{00000000-0005-0000-0000-00009A140000}"/>
    <cellStyle name="Calculation 3 2 3 4 7" xfId="5555" xr:uid="{00000000-0005-0000-0000-00009B140000}"/>
    <cellStyle name="Calculation 3 2 3 4 7 2" xfId="5556" xr:uid="{00000000-0005-0000-0000-00009C140000}"/>
    <cellStyle name="Calculation 3 2 3 4 8" xfId="5557" xr:uid="{00000000-0005-0000-0000-00009D140000}"/>
    <cellStyle name="Calculation 3 2 3 4 9" xfId="5558" xr:uid="{00000000-0005-0000-0000-00009E140000}"/>
    <cellStyle name="Calculation 3 2 3 5" xfId="5559" xr:uid="{00000000-0005-0000-0000-00009F140000}"/>
    <cellStyle name="Calculation 3 2 3 5 2" xfId="5560" xr:uid="{00000000-0005-0000-0000-0000A0140000}"/>
    <cellStyle name="Calculation 3 2 3 5 2 2" xfId="5561" xr:uid="{00000000-0005-0000-0000-0000A1140000}"/>
    <cellStyle name="Calculation 3 2 3 5 2 2 2" xfId="5562" xr:uid="{00000000-0005-0000-0000-0000A2140000}"/>
    <cellStyle name="Calculation 3 2 3 5 2 2 2 2" xfId="5563" xr:uid="{00000000-0005-0000-0000-0000A3140000}"/>
    <cellStyle name="Calculation 3 2 3 5 2 2 3" xfId="5564" xr:uid="{00000000-0005-0000-0000-0000A4140000}"/>
    <cellStyle name="Calculation 3 2 3 5 2 2 3 2" xfId="5565" xr:uid="{00000000-0005-0000-0000-0000A5140000}"/>
    <cellStyle name="Calculation 3 2 3 5 2 2 4" xfId="5566" xr:uid="{00000000-0005-0000-0000-0000A6140000}"/>
    <cellStyle name="Calculation 3 2 3 5 2 2 5" xfId="5567" xr:uid="{00000000-0005-0000-0000-0000A7140000}"/>
    <cellStyle name="Calculation 3 2 3 5 2 2 6" xfId="5568" xr:uid="{00000000-0005-0000-0000-0000A8140000}"/>
    <cellStyle name="Calculation 3 2 3 5 2 3" xfId="5569" xr:uid="{00000000-0005-0000-0000-0000A9140000}"/>
    <cellStyle name="Calculation 3 2 3 5 2 3 2" xfId="5570" xr:uid="{00000000-0005-0000-0000-0000AA140000}"/>
    <cellStyle name="Calculation 3 2 3 5 2 4" xfId="5571" xr:uid="{00000000-0005-0000-0000-0000AB140000}"/>
    <cellStyle name="Calculation 3 2 3 5 2 4 2" xfId="5572" xr:uid="{00000000-0005-0000-0000-0000AC140000}"/>
    <cellStyle name="Calculation 3 2 3 5 2 5" xfId="5573" xr:uid="{00000000-0005-0000-0000-0000AD140000}"/>
    <cellStyle name="Calculation 3 2 3 5 2 6" xfId="5574" xr:uid="{00000000-0005-0000-0000-0000AE140000}"/>
    <cellStyle name="Calculation 3 2 3 5 2 7" xfId="5575" xr:uid="{00000000-0005-0000-0000-0000AF140000}"/>
    <cellStyle name="Calculation 3 2 3 5 3" xfId="5576" xr:uid="{00000000-0005-0000-0000-0000B0140000}"/>
    <cellStyle name="Calculation 3 2 3 5 3 2" xfId="5577" xr:uid="{00000000-0005-0000-0000-0000B1140000}"/>
    <cellStyle name="Calculation 3 2 3 5 3 2 2" xfId="5578" xr:uid="{00000000-0005-0000-0000-0000B2140000}"/>
    <cellStyle name="Calculation 3 2 3 5 3 3" xfId="5579" xr:uid="{00000000-0005-0000-0000-0000B3140000}"/>
    <cellStyle name="Calculation 3 2 3 5 3 3 2" xfId="5580" xr:uid="{00000000-0005-0000-0000-0000B4140000}"/>
    <cellStyle name="Calculation 3 2 3 5 3 4" xfId="5581" xr:uid="{00000000-0005-0000-0000-0000B5140000}"/>
    <cellStyle name="Calculation 3 2 3 5 3 5" xfId="5582" xr:uid="{00000000-0005-0000-0000-0000B6140000}"/>
    <cellStyle name="Calculation 3 2 3 5 3 6" xfId="5583" xr:uid="{00000000-0005-0000-0000-0000B7140000}"/>
    <cellStyle name="Calculation 3 2 3 5 4" xfId="5584" xr:uid="{00000000-0005-0000-0000-0000B8140000}"/>
    <cellStyle name="Calculation 3 2 3 5 4 2" xfId="5585" xr:uid="{00000000-0005-0000-0000-0000B9140000}"/>
    <cellStyle name="Calculation 3 2 3 5 5" xfId="5586" xr:uid="{00000000-0005-0000-0000-0000BA140000}"/>
    <cellStyle name="Calculation 3 2 3 5 5 2" xfId="5587" xr:uid="{00000000-0005-0000-0000-0000BB140000}"/>
    <cellStyle name="Calculation 3 2 3 5 6" xfId="5588" xr:uid="{00000000-0005-0000-0000-0000BC140000}"/>
    <cellStyle name="Calculation 3 2 3 5 7" xfId="5589" xr:uid="{00000000-0005-0000-0000-0000BD140000}"/>
    <cellStyle name="Calculation 3 2 3 5 8" xfId="5590" xr:uid="{00000000-0005-0000-0000-0000BE140000}"/>
    <cellStyle name="Calculation 3 2 3 6" xfId="5591" xr:uid="{00000000-0005-0000-0000-0000BF140000}"/>
    <cellStyle name="Calculation 3 2 3 6 2" xfId="5592" xr:uid="{00000000-0005-0000-0000-0000C0140000}"/>
    <cellStyle name="Calculation 3 2 3 6 2 2" xfId="5593" xr:uid="{00000000-0005-0000-0000-0000C1140000}"/>
    <cellStyle name="Calculation 3 2 3 6 2 2 2" xfId="5594" xr:uid="{00000000-0005-0000-0000-0000C2140000}"/>
    <cellStyle name="Calculation 3 2 3 6 2 3" xfId="5595" xr:uid="{00000000-0005-0000-0000-0000C3140000}"/>
    <cellStyle name="Calculation 3 2 3 6 2 3 2" xfId="5596" xr:uid="{00000000-0005-0000-0000-0000C4140000}"/>
    <cellStyle name="Calculation 3 2 3 6 2 4" xfId="5597" xr:uid="{00000000-0005-0000-0000-0000C5140000}"/>
    <cellStyle name="Calculation 3 2 3 6 2 5" xfId="5598" xr:uid="{00000000-0005-0000-0000-0000C6140000}"/>
    <cellStyle name="Calculation 3 2 3 6 2 6" xfId="5599" xr:uid="{00000000-0005-0000-0000-0000C7140000}"/>
    <cellStyle name="Calculation 3 2 3 6 3" xfId="5600" xr:uid="{00000000-0005-0000-0000-0000C8140000}"/>
    <cellStyle name="Calculation 3 2 3 6 3 2" xfId="5601" xr:uid="{00000000-0005-0000-0000-0000C9140000}"/>
    <cellStyle name="Calculation 3 2 3 6 4" xfId="5602" xr:uid="{00000000-0005-0000-0000-0000CA140000}"/>
    <cellStyle name="Calculation 3 2 3 6 4 2" xfId="5603" xr:uid="{00000000-0005-0000-0000-0000CB140000}"/>
    <cellStyle name="Calculation 3 2 3 6 5" xfId="5604" xr:uid="{00000000-0005-0000-0000-0000CC140000}"/>
    <cellStyle name="Calculation 3 2 3 6 6" xfId="5605" xr:uid="{00000000-0005-0000-0000-0000CD140000}"/>
    <cellStyle name="Calculation 3 2 3 6 7" xfId="5606" xr:uid="{00000000-0005-0000-0000-0000CE140000}"/>
    <cellStyle name="Calculation 3 2 3 7" xfId="5607" xr:uid="{00000000-0005-0000-0000-0000CF140000}"/>
    <cellStyle name="Calculation 3 2 3 7 2" xfId="5608" xr:uid="{00000000-0005-0000-0000-0000D0140000}"/>
    <cellStyle name="Calculation 3 2 3 7 2 2" xfId="5609" xr:uid="{00000000-0005-0000-0000-0000D1140000}"/>
    <cellStyle name="Calculation 3 2 3 7 3" xfId="5610" xr:uid="{00000000-0005-0000-0000-0000D2140000}"/>
    <cellStyle name="Calculation 3 2 3 7 3 2" xfId="5611" xr:uid="{00000000-0005-0000-0000-0000D3140000}"/>
    <cellStyle name="Calculation 3 2 3 7 4" xfId="5612" xr:uid="{00000000-0005-0000-0000-0000D4140000}"/>
    <cellStyle name="Calculation 3 2 3 7 5" xfId="5613" xr:uid="{00000000-0005-0000-0000-0000D5140000}"/>
    <cellStyle name="Calculation 3 2 3 7 6" xfId="5614" xr:uid="{00000000-0005-0000-0000-0000D6140000}"/>
    <cellStyle name="Calculation 3 2 3 8" xfId="5615" xr:uid="{00000000-0005-0000-0000-0000D7140000}"/>
    <cellStyle name="Calculation 3 2 3 8 2" xfId="5616" xr:uid="{00000000-0005-0000-0000-0000D8140000}"/>
    <cellStyle name="Calculation 3 2 3 9" xfId="5617" xr:uid="{00000000-0005-0000-0000-0000D9140000}"/>
    <cellStyle name="Calculation 3 2 3 9 2" xfId="5618" xr:uid="{00000000-0005-0000-0000-0000DA140000}"/>
    <cellStyle name="Calculation 3 2 4" xfId="5619" xr:uid="{00000000-0005-0000-0000-0000DB140000}"/>
    <cellStyle name="Calculation 3 2 4 10" xfId="5620" xr:uid="{00000000-0005-0000-0000-0000DC140000}"/>
    <cellStyle name="Calculation 3 2 4 11" xfId="5621" xr:uid="{00000000-0005-0000-0000-0000DD140000}"/>
    <cellStyle name="Calculation 3 2 4 2" xfId="5622" xr:uid="{00000000-0005-0000-0000-0000DE140000}"/>
    <cellStyle name="Calculation 3 2 4 2 10" xfId="5623" xr:uid="{00000000-0005-0000-0000-0000DF140000}"/>
    <cellStyle name="Calculation 3 2 4 2 2" xfId="5624" xr:uid="{00000000-0005-0000-0000-0000E0140000}"/>
    <cellStyle name="Calculation 3 2 4 2 2 10" xfId="5625" xr:uid="{00000000-0005-0000-0000-0000E1140000}"/>
    <cellStyle name="Calculation 3 2 4 2 2 2" xfId="5626" xr:uid="{00000000-0005-0000-0000-0000E2140000}"/>
    <cellStyle name="Calculation 3 2 4 2 2 2 2" xfId="5627" xr:uid="{00000000-0005-0000-0000-0000E3140000}"/>
    <cellStyle name="Calculation 3 2 4 2 2 2 2 2" xfId="5628" xr:uid="{00000000-0005-0000-0000-0000E4140000}"/>
    <cellStyle name="Calculation 3 2 4 2 2 2 2 2 2" xfId="5629" xr:uid="{00000000-0005-0000-0000-0000E5140000}"/>
    <cellStyle name="Calculation 3 2 4 2 2 2 2 2 2 2" xfId="5630" xr:uid="{00000000-0005-0000-0000-0000E6140000}"/>
    <cellStyle name="Calculation 3 2 4 2 2 2 2 2 3" xfId="5631" xr:uid="{00000000-0005-0000-0000-0000E7140000}"/>
    <cellStyle name="Calculation 3 2 4 2 2 2 2 2 3 2" xfId="5632" xr:uid="{00000000-0005-0000-0000-0000E8140000}"/>
    <cellStyle name="Calculation 3 2 4 2 2 2 2 2 4" xfId="5633" xr:uid="{00000000-0005-0000-0000-0000E9140000}"/>
    <cellStyle name="Calculation 3 2 4 2 2 2 2 2 5" xfId="5634" xr:uid="{00000000-0005-0000-0000-0000EA140000}"/>
    <cellStyle name="Calculation 3 2 4 2 2 2 2 2 6" xfId="5635" xr:uid="{00000000-0005-0000-0000-0000EB140000}"/>
    <cellStyle name="Calculation 3 2 4 2 2 2 2 3" xfId="5636" xr:uid="{00000000-0005-0000-0000-0000EC140000}"/>
    <cellStyle name="Calculation 3 2 4 2 2 2 2 3 2" xfId="5637" xr:uid="{00000000-0005-0000-0000-0000ED140000}"/>
    <cellStyle name="Calculation 3 2 4 2 2 2 2 4" xfId="5638" xr:uid="{00000000-0005-0000-0000-0000EE140000}"/>
    <cellStyle name="Calculation 3 2 4 2 2 2 2 4 2" xfId="5639" xr:uid="{00000000-0005-0000-0000-0000EF140000}"/>
    <cellStyle name="Calculation 3 2 4 2 2 2 2 5" xfId="5640" xr:uid="{00000000-0005-0000-0000-0000F0140000}"/>
    <cellStyle name="Calculation 3 2 4 2 2 2 2 6" xfId="5641" xr:uid="{00000000-0005-0000-0000-0000F1140000}"/>
    <cellStyle name="Calculation 3 2 4 2 2 2 2 7" xfId="5642" xr:uid="{00000000-0005-0000-0000-0000F2140000}"/>
    <cellStyle name="Calculation 3 2 4 2 2 2 3" xfId="5643" xr:uid="{00000000-0005-0000-0000-0000F3140000}"/>
    <cellStyle name="Calculation 3 2 4 2 2 2 3 2" xfId="5644" xr:uid="{00000000-0005-0000-0000-0000F4140000}"/>
    <cellStyle name="Calculation 3 2 4 2 2 2 3 2 2" xfId="5645" xr:uid="{00000000-0005-0000-0000-0000F5140000}"/>
    <cellStyle name="Calculation 3 2 4 2 2 2 3 3" xfId="5646" xr:uid="{00000000-0005-0000-0000-0000F6140000}"/>
    <cellStyle name="Calculation 3 2 4 2 2 2 3 3 2" xfId="5647" xr:uid="{00000000-0005-0000-0000-0000F7140000}"/>
    <cellStyle name="Calculation 3 2 4 2 2 2 3 4" xfId="5648" xr:uid="{00000000-0005-0000-0000-0000F8140000}"/>
    <cellStyle name="Calculation 3 2 4 2 2 2 3 5" xfId="5649" xr:uid="{00000000-0005-0000-0000-0000F9140000}"/>
    <cellStyle name="Calculation 3 2 4 2 2 2 3 6" xfId="5650" xr:uid="{00000000-0005-0000-0000-0000FA140000}"/>
    <cellStyle name="Calculation 3 2 4 2 2 2 4" xfId="5651" xr:uid="{00000000-0005-0000-0000-0000FB140000}"/>
    <cellStyle name="Calculation 3 2 4 2 2 2 4 2" xfId="5652" xr:uid="{00000000-0005-0000-0000-0000FC140000}"/>
    <cellStyle name="Calculation 3 2 4 2 2 2 5" xfId="5653" xr:uid="{00000000-0005-0000-0000-0000FD140000}"/>
    <cellStyle name="Calculation 3 2 4 2 2 2 5 2" xfId="5654" xr:uid="{00000000-0005-0000-0000-0000FE140000}"/>
    <cellStyle name="Calculation 3 2 4 2 2 2 6" xfId="5655" xr:uid="{00000000-0005-0000-0000-0000FF140000}"/>
    <cellStyle name="Calculation 3 2 4 2 2 2 7" xfId="5656" xr:uid="{00000000-0005-0000-0000-000000150000}"/>
    <cellStyle name="Calculation 3 2 4 2 2 2 8" xfId="5657" xr:uid="{00000000-0005-0000-0000-000001150000}"/>
    <cellStyle name="Calculation 3 2 4 2 2 3" xfId="5658" xr:uid="{00000000-0005-0000-0000-000002150000}"/>
    <cellStyle name="Calculation 3 2 4 2 2 3 2" xfId="5659" xr:uid="{00000000-0005-0000-0000-000003150000}"/>
    <cellStyle name="Calculation 3 2 4 2 2 3 2 2" xfId="5660" xr:uid="{00000000-0005-0000-0000-000004150000}"/>
    <cellStyle name="Calculation 3 2 4 2 2 3 2 2 2" xfId="5661" xr:uid="{00000000-0005-0000-0000-000005150000}"/>
    <cellStyle name="Calculation 3 2 4 2 2 3 2 2 2 2" xfId="5662" xr:uid="{00000000-0005-0000-0000-000006150000}"/>
    <cellStyle name="Calculation 3 2 4 2 2 3 2 2 3" xfId="5663" xr:uid="{00000000-0005-0000-0000-000007150000}"/>
    <cellStyle name="Calculation 3 2 4 2 2 3 2 2 3 2" xfId="5664" xr:uid="{00000000-0005-0000-0000-000008150000}"/>
    <cellStyle name="Calculation 3 2 4 2 2 3 2 2 4" xfId="5665" xr:uid="{00000000-0005-0000-0000-000009150000}"/>
    <cellStyle name="Calculation 3 2 4 2 2 3 2 2 5" xfId="5666" xr:uid="{00000000-0005-0000-0000-00000A150000}"/>
    <cellStyle name="Calculation 3 2 4 2 2 3 2 2 6" xfId="5667" xr:uid="{00000000-0005-0000-0000-00000B150000}"/>
    <cellStyle name="Calculation 3 2 4 2 2 3 2 3" xfId="5668" xr:uid="{00000000-0005-0000-0000-00000C150000}"/>
    <cellStyle name="Calculation 3 2 4 2 2 3 2 3 2" xfId="5669" xr:uid="{00000000-0005-0000-0000-00000D150000}"/>
    <cellStyle name="Calculation 3 2 4 2 2 3 2 4" xfId="5670" xr:uid="{00000000-0005-0000-0000-00000E150000}"/>
    <cellStyle name="Calculation 3 2 4 2 2 3 2 4 2" xfId="5671" xr:uid="{00000000-0005-0000-0000-00000F150000}"/>
    <cellStyle name="Calculation 3 2 4 2 2 3 2 5" xfId="5672" xr:uid="{00000000-0005-0000-0000-000010150000}"/>
    <cellStyle name="Calculation 3 2 4 2 2 3 2 6" xfId="5673" xr:uid="{00000000-0005-0000-0000-000011150000}"/>
    <cellStyle name="Calculation 3 2 4 2 2 3 2 7" xfId="5674" xr:uid="{00000000-0005-0000-0000-000012150000}"/>
    <cellStyle name="Calculation 3 2 4 2 2 3 3" xfId="5675" xr:uid="{00000000-0005-0000-0000-000013150000}"/>
    <cellStyle name="Calculation 3 2 4 2 2 3 3 2" xfId="5676" xr:uid="{00000000-0005-0000-0000-000014150000}"/>
    <cellStyle name="Calculation 3 2 4 2 2 3 3 2 2" xfId="5677" xr:uid="{00000000-0005-0000-0000-000015150000}"/>
    <cellStyle name="Calculation 3 2 4 2 2 3 3 3" xfId="5678" xr:uid="{00000000-0005-0000-0000-000016150000}"/>
    <cellStyle name="Calculation 3 2 4 2 2 3 3 3 2" xfId="5679" xr:uid="{00000000-0005-0000-0000-000017150000}"/>
    <cellStyle name="Calculation 3 2 4 2 2 3 3 4" xfId="5680" xr:uid="{00000000-0005-0000-0000-000018150000}"/>
    <cellStyle name="Calculation 3 2 4 2 2 3 3 5" xfId="5681" xr:uid="{00000000-0005-0000-0000-000019150000}"/>
    <cellStyle name="Calculation 3 2 4 2 2 3 3 6" xfId="5682" xr:uid="{00000000-0005-0000-0000-00001A150000}"/>
    <cellStyle name="Calculation 3 2 4 2 2 3 4" xfId="5683" xr:uid="{00000000-0005-0000-0000-00001B150000}"/>
    <cellStyle name="Calculation 3 2 4 2 2 3 4 2" xfId="5684" xr:uid="{00000000-0005-0000-0000-00001C150000}"/>
    <cellStyle name="Calculation 3 2 4 2 2 3 5" xfId="5685" xr:uid="{00000000-0005-0000-0000-00001D150000}"/>
    <cellStyle name="Calculation 3 2 4 2 2 3 5 2" xfId="5686" xr:uid="{00000000-0005-0000-0000-00001E150000}"/>
    <cellStyle name="Calculation 3 2 4 2 2 3 6" xfId="5687" xr:uid="{00000000-0005-0000-0000-00001F150000}"/>
    <cellStyle name="Calculation 3 2 4 2 2 3 7" xfId="5688" xr:uid="{00000000-0005-0000-0000-000020150000}"/>
    <cellStyle name="Calculation 3 2 4 2 2 3 8" xfId="5689" xr:uid="{00000000-0005-0000-0000-000021150000}"/>
    <cellStyle name="Calculation 3 2 4 2 2 4" xfId="5690" xr:uid="{00000000-0005-0000-0000-000022150000}"/>
    <cellStyle name="Calculation 3 2 4 2 2 4 2" xfId="5691" xr:uid="{00000000-0005-0000-0000-000023150000}"/>
    <cellStyle name="Calculation 3 2 4 2 2 4 2 2" xfId="5692" xr:uid="{00000000-0005-0000-0000-000024150000}"/>
    <cellStyle name="Calculation 3 2 4 2 2 4 2 2 2" xfId="5693" xr:uid="{00000000-0005-0000-0000-000025150000}"/>
    <cellStyle name="Calculation 3 2 4 2 2 4 2 3" xfId="5694" xr:uid="{00000000-0005-0000-0000-000026150000}"/>
    <cellStyle name="Calculation 3 2 4 2 2 4 2 3 2" xfId="5695" xr:uid="{00000000-0005-0000-0000-000027150000}"/>
    <cellStyle name="Calculation 3 2 4 2 2 4 2 4" xfId="5696" xr:uid="{00000000-0005-0000-0000-000028150000}"/>
    <cellStyle name="Calculation 3 2 4 2 2 4 2 5" xfId="5697" xr:uid="{00000000-0005-0000-0000-000029150000}"/>
    <cellStyle name="Calculation 3 2 4 2 2 4 2 6" xfId="5698" xr:uid="{00000000-0005-0000-0000-00002A150000}"/>
    <cellStyle name="Calculation 3 2 4 2 2 4 3" xfId="5699" xr:uid="{00000000-0005-0000-0000-00002B150000}"/>
    <cellStyle name="Calculation 3 2 4 2 2 4 3 2" xfId="5700" xr:uid="{00000000-0005-0000-0000-00002C150000}"/>
    <cellStyle name="Calculation 3 2 4 2 2 4 4" xfId="5701" xr:uid="{00000000-0005-0000-0000-00002D150000}"/>
    <cellStyle name="Calculation 3 2 4 2 2 4 4 2" xfId="5702" xr:uid="{00000000-0005-0000-0000-00002E150000}"/>
    <cellStyle name="Calculation 3 2 4 2 2 4 5" xfId="5703" xr:uid="{00000000-0005-0000-0000-00002F150000}"/>
    <cellStyle name="Calculation 3 2 4 2 2 4 6" xfId="5704" xr:uid="{00000000-0005-0000-0000-000030150000}"/>
    <cellStyle name="Calculation 3 2 4 2 2 4 7" xfId="5705" xr:uid="{00000000-0005-0000-0000-000031150000}"/>
    <cellStyle name="Calculation 3 2 4 2 2 5" xfId="5706" xr:uid="{00000000-0005-0000-0000-000032150000}"/>
    <cellStyle name="Calculation 3 2 4 2 2 5 2" xfId="5707" xr:uid="{00000000-0005-0000-0000-000033150000}"/>
    <cellStyle name="Calculation 3 2 4 2 2 5 2 2" xfId="5708" xr:uid="{00000000-0005-0000-0000-000034150000}"/>
    <cellStyle name="Calculation 3 2 4 2 2 5 3" xfId="5709" xr:uid="{00000000-0005-0000-0000-000035150000}"/>
    <cellStyle name="Calculation 3 2 4 2 2 5 3 2" xfId="5710" xr:uid="{00000000-0005-0000-0000-000036150000}"/>
    <cellStyle name="Calculation 3 2 4 2 2 5 4" xfId="5711" xr:uid="{00000000-0005-0000-0000-000037150000}"/>
    <cellStyle name="Calculation 3 2 4 2 2 5 5" xfId="5712" xr:uid="{00000000-0005-0000-0000-000038150000}"/>
    <cellStyle name="Calculation 3 2 4 2 2 5 6" xfId="5713" xr:uid="{00000000-0005-0000-0000-000039150000}"/>
    <cellStyle name="Calculation 3 2 4 2 2 6" xfId="5714" xr:uid="{00000000-0005-0000-0000-00003A150000}"/>
    <cellStyle name="Calculation 3 2 4 2 2 6 2" xfId="5715" xr:uid="{00000000-0005-0000-0000-00003B150000}"/>
    <cellStyle name="Calculation 3 2 4 2 2 7" xfId="5716" xr:uid="{00000000-0005-0000-0000-00003C150000}"/>
    <cellStyle name="Calculation 3 2 4 2 2 7 2" xfId="5717" xr:uid="{00000000-0005-0000-0000-00003D150000}"/>
    <cellStyle name="Calculation 3 2 4 2 2 8" xfId="5718" xr:uid="{00000000-0005-0000-0000-00003E150000}"/>
    <cellStyle name="Calculation 3 2 4 2 2 9" xfId="5719" xr:uid="{00000000-0005-0000-0000-00003F150000}"/>
    <cellStyle name="Calculation 3 2 4 2 3" xfId="5720" xr:uid="{00000000-0005-0000-0000-000040150000}"/>
    <cellStyle name="Calculation 3 2 4 2 3 2" xfId="5721" xr:uid="{00000000-0005-0000-0000-000041150000}"/>
    <cellStyle name="Calculation 3 2 4 2 3 2 2" xfId="5722" xr:uid="{00000000-0005-0000-0000-000042150000}"/>
    <cellStyle name="Calculation 3 2 4 2 3 2 2 2" xfId="5723" xr:uid="{00000000-0005-0000-0000-000043150000}"/>
    <cellStyle name="Calculation 3 2 4 2 3 2 2 2 2" xfId="5724" xr:uid="{00000000-0005-0000-0000-000044150000}"/>
    <cellStyle name="Calculation 3 2 4 2 3 2 2 3" xfId="5725" xr:uid="{00000000-0005-0000-0000-000045150000}"/>
    <cellStyle name="Calculation 3 2 4 2 3 2 2 3 2" xfId="5726" xr:uid="{00000000-0005-0000-0000-000046150000}"/>
    <cellStyle name="Calculation 3 2 4 2 3 2 2 4" xfId="5727" xr:uid="{00000000-0005-0000-0000-000047150000}"/>
    <cellStyle name="Calculation 3 2 4 2 3 2 2 5" xfId="5728" xr:uid="{00000000-0005-0000-0000-000048150000}"/>
    <cellStyle name="Calculation 3 2 4 2 3 2 2 6" xfId="5729" xr:uid="{00000000-0005-0000-0000-000049150000}"/>
    <cellStyle name="Calculation 3 2 4 2 3 2 3" xfId="5730" xr:uid="{00000000-0005-0000-0000-00004A150000}"/>
    <cellStyle name="Calculation 3 2 4 2 3 2 3 2" xfId="5731" xr:uid="{00000000-0005-0000-0000-00004B150000}"/>
    <cellStyle name="Calculation 3 2 4 2 3 2 4" xfId="5732" xr:uid="{00000000-0005-0000-0000-00004C150000}"/>
    <cellStyle name="Calculation 3 2 4 2 3 2 4 2" xfId="5733" xr:uid="{00000000-0005-0000-0000-00004D150000}"/>
    <cellStyle name="Calculation 3 2 4 2 3 2 5" xfId="5734" xr:uid="{00000000-0005-0000-0000-00004E150000}"/>
    <cellStyle name="Calculation 3 2 4 2 3 2 6" xfId="5735" xr:uid="{00000000-0005-0000-0000-00004F150000}"/>
    <cellStyle name="Calculation 3 2 4 2 3 2 7" xfId="5736" xr:uid="{00000000-0005-0000-0000-000050150000}"/>
    <cellStyle name="Calculation 3 2 4 2 3 3" xfId="5737" xr:uid="{00000000-0005-0000-0000-000051150000}"/>
    <cellStyle name="Calculation 3 2 4 2 3 3 2" xfId="5738" xr:uid="{00000000-0005-0000-0000-000052150000}"/>
    <cellStyle name="Calculation 3 2 4 2 3 3 2 2" xfId="5739" xr:uid="{00000000-0005-0000-0000-000053150000}"/>
    <cellStyle name="Calculation 3 2 4 2 3 3 3" xfId="5740" xr:uid="{00000000-0005-0000-0000-000054150000}"/>
    <cellStyle name="Calculation 3 2 4 2 3 3 3 2" xfId="5741" xr:uid="{00000000-0005-0000-0000-000055150000}"/>
    <cellStyle name="Calculation 3 2 4 2 3 3 4" xfId="5742" xr:uid="{00000000-0005-0000-0000-000056150000}"/>
    <cellStyle name="Calculation 3 2 4 2 3 3 5" xfId="5743" xr:uid="{00000000-0005-0000-0000-000057150000}"/>
    <cellStyle name="Calculation 3 2 4 2 3 3 6" xfId="5744" xr:uid="{00000000-0005-0000-0000-000058150000}"/>
    <cellStyle name="Calculation 3 2 4 2 3 4" xfId="5745" xr:uid="{00000000-0005-0000-0000-000059150000}"/>
    <cellStyle name="Calculation 3 2 4 2 3 4 2" xfId="5746" xr:uid="{00000000-0005-0000-0000-00005A150000}"/>
    <cellStyle name="Calculation 3 2 4 2 3 5" xfId="5747" xr:uid="{00000000-0005-0000-0000-00005B150000}"/>
    <cellStyle name="Calculation 3 2 4 2 3 5 2" xfId="5748" xr:uid="{00000000-0005-0000-0000-00005C150000}"/>
    <cellStyle name="Calculation 3 2 4 2 3 6" xfId="5749" xr:uid="{00000000-0005-0000-0000-00005D150000}"/>
    <cellStyle name="Calculation 3 2 4 2 3 7" xfId="5750" xr:uid="{00000000-0005-0000-0000-00005E150000}"/>
    <cellStyle name="Calculation 3 2 4 2 3 8" xfId="5751" xr:uid="{00000000-0005-0000-0000-00005F150000}"/>
    <cellStyle name="Calculation 3 2 4 2 4" xfId="5752" xr:uid="{00000000-0005-0000-0000-000060150000}"/>
    <cellStyle name="Calculation 3 2 4 2 4 2" xfId="5753" xr:uid="{00000000-0005-0000-0000-000061150000}"/>
    <cellStyle name="Calculation 3 2 4 2 4 2 2" xfId="5754" xr:uid="{00000000-0005-0000-0000-000062150000}"/>
    <cellStyle name="Calculation 3 2 4 2 4 2 2 2" xfId="5755" xr:uid="{00000000-0005-0000-0000-000063150000}"/>
    <cellStyle name="Calculation 3 2 4 2 4 2 3" xfId="5756" xr:uid="{00000000-0005-0000-0000-000064150000}"/>
    <cellStyle name="Calculation 3 2 4 2 4 2 3 2" xfId="5757" xr:uid="{00000000-0005-0000-0000-000065150000}"/>
    <cellStyle name="Calculation 3 2 4 2 4 2 4" xfId="5758" xr:uid="{00000000-0005-0000-0000-000066150000}"/>
    <cellStyle name="Calculation 3 2 4 2 4 2 5" xfId="5759" xr:uid="{00000000-0005-0000-0000-000067150000}"/>
    <cellStyle name="Calculation 3 2 4 2 4 2 6" xfId="5760" xr:uid="{00000000-0005-0000-0000-000068150000}"/>
    <cellStyle name="Calculation 3 2 4 2 4 3" xfId="5761" xr:uid="{00000000-0005-0000-0000-000069150000}"/>
    <cellStyle name="Calculation 3 2 4 2 4 3 2" xfId="5762" xr:uid="{00000000-0005-0000-0000-00006A150000}"/>
    <cellStyle name="Calculation 3 2 4 2 4 4" xfId="5763" xr:uid="{00000000-0005-0000-0000-00006B150000}"/>
    <cellStyle name="Calculation 3 2 4 2 4 4 2" xfId="5764" xr:uid="{00000000-0005-0000-0000-00006C150000}"/>
    <cellStyle name="Calculation 3 2 4 2 4 5" xfId="5765" xr:uid="{00000000-0005-0000-0000-00006D150000}"/>
    <cellStyle name="Calculation 3 2 4 2 4 6" xfId="5766" xr:uid="{00000000-0005-0000-0000-00006E150000}"/>
    <cellStyle name="Calculation 3 2 4 2 4 7" xfId="5767" xr:uid="{00000000-0005-0000-0000-00006F150000}"/>
    <cellStyle name="Calculation 3 2 4 2 5" xfId="5768" xr:uid="{00000000-0005-0000-0000-000070150000}"/>
    <cellStyle name="Calculation 3 2 4 2 5 2" xfId="5769" xr:uid="{00000000-0005-0000-0000-000071150000}"/>
    <cellStyle name="Calculation 3 2 4 2 5 2 2" xfId="5770" xr:uid="{00000000-0005-0000-0000-000072150000}"/>
    <cellStyle name="Calculation 3 2 4 2 5 3" xfId="5771" xr:uid="{00000000-0005-0000-0000-000073150000}"/>
    <cellStyle name="Calculation 3 2 4 2 5 3 2" xfId="5772" xr:uid="{00000000-0005-0000-0000-000074150000}"/>
    <cellStyle name="Calculation 3 2 4 2 5 4" xfId="5773" xr:uid="{00000000-0005-0000-0000-000075150000}"/>
    <cellStyle name="Calculation 3 2 4 2 5 5" xfId="5774" xr:uid="{00000000-0005-0000-0000-000076150000}"/>
    <cellStyle name="Calculation 3 2 4 2 5 6" xfId="5775" xr:uid="{00000000-0005-0000-0000-000077150000}"/>
    <cellStyle name="Calculation 3 2 4 2 6" xfId="5776" xr:uid="{00000000-0005-0000-0000-000078150000}"/>
    <cellStyle name="Calculation 3 2 4 2 6 2" xfId="5777" xr:uid="{00000000-0005-0000-0000-000079150000}"/>
    <cellStyle name="Calculation 3 2 4 2 7" xfId="5778" xr:uid="{00000000-0005-0000-0000-00007A150000}"/>
    <cellStyle name="Calculation 3 2 4 2 7 2" xfId="5779" xr:uid="{00000000-0005-0000-0000-00007B150000}"/>
    <cellStyle name="Calculation 3 2 4 2 8" xfId="5780" xr:uid="{00000000-0005-0000-0000-00007C150000}"/>
    <cellStyle name="Calculation 3 2 4 2 9" xfId="5781" xr:uid="{00000000-0005-0000-0000-00007D150000}"/>
    <cellStyle name="Calculation 3 2 4 3" xfId="5782" xr:uid="{00000000-0005-0000-0000-00007E150000}"/>
    <cellStyle name="Calculation 3 2 4 3 10" xfId="5783" xr:uid="{00000000-0005-0000-0000-00007F150000}"/>
    <cellStyle name="Calculation 3 2 4 3 2" xfId="5784" xr:uid="{00000000-0005-0000-0000-000080150000}"/>
    <cellStyle name="Calculation 3 2 4 3 2 2" xfId="5785" xr:uid="{00000000-0005-0000-0000-000081150000}"/>
    <cellStyle name="Calculation 3 2 4 3 2 2 2" xfId="5786" xr:uid="{00000000-0005-0000-0000-000082150000}"/>
    <cellStyle name="Calculation 3 2 4 3 2 2 2 2" xfId="5787" xr:uid="{00000000-0005-0000-0000-000083150000}"/>
    <cellStyle name="Calculation 3 2 4 3 2 2 2 2 2" xfId="5788" xr:uid="{00000000-0005-0000-0000-000084150000}"/>
    <cellStyle name="Calculation 3 2 4 3 2 2 2 3" xfId="5789" xr:uid="{00000000-0005-0000-0000-000085150000}"/>
    <cellStyle name="Calculation 3 2 4 3 2 2 2 3 2" xfId="5790" xr:uid="{00000000-0005-0000-0000-000086150000}"/>
    <cellStyle name="Calculation 3 2 4 3 2 2 2 4" xfId="5791" xr:uid="{00000000-0005-0000-0000-000087150000}"/>
    <cellStyle name="Calculation 3 2 4 3 2 2 2 5" xfId="5792" xr:uid="{00000000-0005-0000-0000-000088150000}"/>
    <cellStyle name="Calculation 3 2 4 3 2 2 2 6" xfId="5793" xr:uid="{00000000-0005-0000-0000-000089150000}"/>
    <cellStyle name="Calculation 3 2 4 3 2 2 3" xfId="5794" xr:uid="{00000000-0005-0000-0000-00008A150000}"/>
    <cellStyle name="Calculation 3 2 4 3 2 2 3 2" xfId="5795" xr:uid="{00000000-0005-0000-0000-00008B150000}"/>
    <cellStyle name="Calculation 3 2 4 3 2 2 4" xfId="5796" xr:uid="{00000000-0005-0000-0000-00008C150000}"/>
    <cellStyle name="Calculation 3 2 4 3 2 2 4 2" xfId="5797" xr:uid="{00000000-0005-0000-0000-00008D150000}"/>
    <cellStyle name="Calculation 3 2 4 3 2 2 5" xfId="5798" xr:uid="{00000000-0005-0000-0000-00008E150000}"/>
    <cellStyle name="Calculation 3 2 4 3 2 2 6" xfId="5799" xr:uid="{00000000-0005-0000-0000-00008F150000}"/>
    <cellStyle name="Calculation 3 2 4 3 2 2 7" xfId="5800" xr:uid="{00000000-0005-0000-0000-000090150000}"/>
    <cellStyle name="Calculation 3 2 4 3 2 3" xfId="5801" xr:uid="{00000000-0005-0000-0000-000091150000}"/>
    <cellStyle name="Calculation 3 2 4 3 2 3 2" xfId="5802" xr:uid="{00000000-0005-0000-0000-000092150000}"/>
    <cellStyle name="Calculation 3 2 4 3 2 3 2 2" xfId="5803" xr:uid="{00000000-0005-0000-0000-000093150000}"/>
    <cellStyle name="Calculation 3 2 4 3 2 3 3" xfId="5804" xr:uid="{00000000-0005-0000-0000-000094150000}"/>
    <cellStyle name="Calculation 3 2 4 3 2 3 3 2" xfId="5805" xr:uid="{00000000-0005-0000-0000-000095150000}"/>
    <cellStyle name="Calculation 3 2 4 3 2 3 4" xfId="5806" xr:uid="{00000000-0005-0000-0000-000096150000}"/>
    <cellStyle name="Calculation 3 2 4 3 2 3 5" xfId="5807" xr:uid="{00000000-0005-0000-0000-000097150000}"/>
    <cellStyle name="Calculation 3 2 4 3 2 3 6" xfId="5808" xr:uid="{00000000-0005-0000-0000-000098150000}"/>
    <cellStyle name="Calculation 3 2 4 3 2 4" xfId="5809" xr:uid="{00000000-0005-0000-0000-000099150000}"/>
    <cellStyle name="Calculation 3 2 4 3 2 4 2" xfId="5810" xr:uid="{00000000-0005-0000-0000-00009A150000}"/>
    <cellStyle name="Calculation 3 2 4 3 2 5" xfId="5811" xr:uid="{00000000-0005-0000-0000-00009B150000}"/>
    <cellStyle name="Calculation 3 2 4 3 2 5 2" xfId="5812" xr:uid="{00000000-0005-0000-0000-00009C150000}"/>
    <cellStyle name="Calculation 3 2 4 3 2 6" xfId="5813" xr:uid="{00000000-0005-0000-0000-00009D150000}"/>
    <cellStyle name="Calculation 3 2 4 3 2 7" xfId="5814" xr:uid="{00000000-0005-0000-0000-00009E150000}"/>
    <cellStyle name="Calculation 3 2 4 3 2 8" xfId="5815" xr:uid="{00000000-0005-0000-0000-00009F150000}"/>
    <cellStyle name="Calculation 3 2 4 3 3" xfId="5816" xr:uid="{00000000-0005-0000-0000-0000A0150000}"/>
    <cellStyle name="Calculation 3 2 4 3 3 2" xfId="5817" xr:uid="{00000000-0005-0000-0000-0000A1150000}"/>
    <cellStyle name="Calculation 3 2 4 3 3 2 2" xfId="5818" xr:uid="{00000000-0005-0000-0000-0000A2150000}"/>
    <cellStyle name="Calculation 3 2 4 3 3 2 2 2" xfId="5819" xr:uid="{00000000-0005-0000-0000-0000A3150000}"/>
    <cellStyle name="Calculation 3 2 4 3 3 2 2 2 2" xfId="5820" xr:uid="{00000000-0005-0000-0000-0000A4150000}"/>
    <cellStyle name="Calculation 3 2 4 3 3 2 2 3" xfId="5821" xr:uid="{00000000-0005-0000-0000-0000A5150000}"/>
    <cellStyle name="Calculation 3 2 4 3 3 2 2 3 2" xfId="5822" xr:uid="{00000000-0005-0000-0000-0000A6150000}"/>
    <cellStyle name="Calculation 3 2 4 3 3 2 2 4" xfId="5823" xr:uid="{00000000-0005-0000-0000-0000A7150000}"/>
    <cellStyle name="Calculation 3 2 4 3 3 2 2 5" xfId="5824" xr:uid="{00000000-0005-0000-0000-0000A8150000}"/>
    <cellStyle name="Calculation 3 2 4 3 3 2 2 6" xfId="5825" xr:uid="{00000000-0005-0000-0000-0000A9150000}"/>
    <cellStyle name="Calculation 3 2 4 3 3 2 3" xfId="5826" xr:uid="{00000000-0005-0000-0000-0000AA150000}"/>
    <cellStyle name="Calculation 3 2 4 3 3 2 3 2" xfId="5827" xr:uid="{00000000-0005-0000-0000-0000AB150000}"/>
    <cellStyle name="Calculation 3 2 4 3 3 2 4" xfId="5828" xr:uid="{00000000-0005-0000-0000-0000AC150000}"/>
    <cellStyle name="Calculation 3 2 4 3 3 2 4 2" xfId="5829" xr:uid="{00000000-0005-0000-0000-0000AD150000}"/>
    <cellStyle name="Calculation 3 2 4 3 3 2 5" xfId="5830" xr:uid="{00000000-0005-0000-0000-0000AE150000}"/>
    <cellStyle name="Calculation 3 2 4 3 3 2 6" xfId="5831" xr:uid="{00000000-0005-0000-0000-0000AF150000}"/>
    <cellStyle name="Calculation 3 2 4 3 3 2 7" xfId="5832" xr:uid="{00000000-0005-0000-0000-0000B0150000}"/>
    <cellStyle name="Calculation 3 2 4 3 3 3" xfId="5833" xr:uid="{00000000-0005-0000-0000-0000B1150000}"/>
    <cellStyle name="Calculation 3 2 4 3 3 3 2" xfId="5834" xr:uid="{00000000-0005-0000-0000-0000B2150000}"/>
    <cellStyle name="Calculation 3 2 4 3 3 3 2 2" xfId="5835" xr:uid="{00000000-0005-0000-0000-0000B3150000}"/>
    <cellStyle name="Calculation 3 2 4 3 3 3 3" xfId="5836" xr:uid="{00000000-0005-0000-0000-0000B4150000}"/>
    <cellStyle name="Calculation 3 2 4 3 3 3 3 2" xfId="5837" xr:uid="{00000000-0005-0000-0000-0000B5150000}"/>
    <cellStyle name="Calculation 3 2 4 3 3 3 4" xfId="5838" xr:uid="{00000000-0005-0000-0000-0000B6150000}"/>
    <cellStyle name="Calculation 3 2 4 3 3 3 5" xfId="5839" xr:uid="{00000000-0005-0000-0000-0000B7150000}"/>
    <cellStyle name="Calculation 3 2 4 3 3 3 6" xfId="5840" xr:uid="{00000000-0005-0000-0000-0000B8150000}"/>
    <cellStyle name="Calculation 3 2 4 3 3 4" xfId="5841" xr:uid="{00000000-0005-0000-0000-0000B9150000}"/>
    <cellStyle name="Calculation 3 2 4 3 3 4 2" xfId="5842" xr:uid="{00000000-0005-0000-0000-0000BA150000}"/>
    <cellStyle name="Calculation 3 2 4 3 3 5" xfId="5843" xr:uid="{00000000-0005-0000-0000-0000BB150000}"/>
    <cellStyle name="Calculation 3 2 4 3 3 5 2" xfId="5844" xr:uid="{00000000-0005-0000-0000-0000BC150000}"/>
    <cellStyle name="Calculation 3 2 4 3 3 6" xfId="5845" xr:uid="{00000000-0005-0000-0000-0000BD150000}"/>
    <cellStyle name="Calculation 3 2 4 3 3 7" xfId="5846" xr:uid="{00000000-0005-0000-0000-0000BE150000}"/>
    <cellStyle name="Calculation 3 2 4 3 3 8" xfId="5847" xr:uid="{00000000-0005-0000-0000-0000BF150000}"/>
    <cellStyle name="Calculation 3 2 4 3 4" xfId="5848" xr:uid="{00000000-0005-0000-0000-0000C0150000}"/>
    <cellStyle name="Calculation 3 2 4 3 4 2" xfId="5849" xr:uid="{00000000-0005-0000-0000-0000C1150000}"/>
    <cellStyle name="Calculation 3 2 4 3 4 2 2" xfId="5850" xr:uid="{00000000-0005-0000-0000-0000C2150000}"/>
    <cellStyle name="Calculation 3 2 4 3 4 2 2 2" xfId="5851" xr:uid="{00000000-0005-0000-0000-0000C3150000}"/>
    <cellStyle name="Calculation 3 2 4 3 4 2 3" xfId="5852" xr:uid="{00000000-0005-0000-0000-0000C4150000}"/>
    <cellStyle name="Calculation 3 2 4 3 4 2 3 2" xfId="5853" xr:uid="{00000000-0005-0000-0000-0000C5150000}"/>
    <cellStyle name="Calculation 3 2 4 3 4 2 4" xfId="5854" xr:uid="{00000000-0005-0000-0000-0000C6150000}"/>
    <cellStyle name="Calculation 3 2 4 3 4 2 5" xfId="5855" xr:uid="{00000000-0005-0000-0000-0000C7150000}"/>
    <cellStyle name="Calculation 3 2 4 3 4 2 6" xfId="5856" xr:uid="{00000000-0005-0000-0000-0000C8150000}"/>
    <cellStyle name="Calculation 3 2 4 3 4 3" xfId="5857" xr:uid="{00000000-0005-0000-0000-0000C9150000}"/>
    <cellStyle name="Calculation 3 2 4 3 4 3 2" xfId="5858" xr:uid="{00000000-0005-0000-0000-0000CA150000}"/>
    <cellStyle name="Calculation 3 2 4 3 4 4" xfId="5859" xr:uid="{00000000-0005-0000-0000-0000CB150000}"/>
    <cellStyle name="Calculation 3 2 4 3 4 4 2" xfId="5860" xr:uid="{00000000-0005-0000-0000-0000CC150000}"/>
    <cellStyle name="Calculation 3 2 4 3 4 5" xfId="5861" xr:uid="{00000000-0005-0000-0000-0000CD150000}"/>
    <cellStyle name="Calculation 3 2 4 3 4 6" xfId="5862" xr:uid="{00000000-0005-0000-0000-0000CE150000}"/>
    <cellStyle name="Calculation 3 2 4 3 4 7" xfId="5863" xr:uid="{00000000-0005-0000-0000-0000CF150000}"/>
    <cellStyle name="Calculation 3 2 4 3 5" xfId="5864" xr:uid="{00000000-0005-0000-0000-0000D0150000}"/>
    <cellStyle name="Calculation 3 2 4 3 5 2" xfId="5865" xr:uid="{00000000-0005-0000-0000-0000D1150000}"/>
    <cellStyle name="Calculation 3 2 4 3 5 2 2" xfId="5866" xr:uid="{00000000-0005-0000-0000-0000D2150000}"/>
    <cellStyle name="Calculation 3 2 4 3 5 3" xfId="5867" xr:uid="{00000000-0005-0000-0000-0000D3150000}"/>
    <cellStyle name="Calculation 3 2 4 3 5 3 2" xfId="5868" xr:uid="{00000000-0005-0000-0000-0000D4150000}"/>
    <cellStyle name="Calculation 3 2 4 3 5 4" xfId="5869" xr:uid="{00000000-0005-0000-0000-0000D5150000}"/>
    <cellStyle name="Calculation 3 2 4 3 5 5" xfId="5870" xr:uid="{00000000-0005-0000-0000-0000D6150000}"/>
    <cellStyle name="Calculation 3 2 4 3 5 6" xfId="5871" xr:uid="{00000000-0005-0000-0000-0000D7150000}"/>
    <cellStyle name="Calculation 3 2 4 3 6" xfId="5872" xr:uid="{00000000-0005-0000-0000-0000D8150000}"/>
    <cellStyle name="Calculation 3 2 4 3 6 2" xfId="5873" xr:uid="{00000000-0005-0000-0000-0000D9150000}"/>
    <cellStyle name="Calculation 3 2 4 3 7" xfId="5874" xr:uid="{00000000-0005-0000-0000-0000DA150000}"/>
    <cellStyle name="Calculation 3 2 4 3 7 2" xfId="5875" xr:uid="{00000000-0005-0000-0000-0000DB150000}"/>
    <cellStyle name="Calculation 3 2 4 3 8" xfId="5876" xr:uid="{00000000-0005-0000-0000-0000DC150000}"/>
    <cellStyle name="Calculation 3 2 4 3 9" xfId="5877" xr:uid="{00000000-0005-0000-0000-0000DD150000}"/>
    <cellStyle name="Calculation 3 2 4 4" xfId="5878" xr:uid="{00000000-0005-0000-0000-0000DE150000}"/>
    <cellStyle name="Calculation 3 2 4 4 2" xfId="5879" xr:uid="{00000000-0005-0000-0000-0000DF150000}"/>
    <cellStyle name="Calculation 3 2 4 4 2 2" xfId="5880" xr:uid="{00000000-0005-0000-0000-0000E0150000}"/>
    <cellStyle name="Calculation 3 2 4 4 2 2 2" xfId="5881" xr:uid="{00000000-0005-0000-0000-0000E1150000}"/>
    <cellStyle name="Calculation 3 2 4 4 2 2 2 2" xfId="5882" xr:uid="{00000000-0005-0000-0000-0000E2150000}"/>
    <cellStyle name="Calculation 3 2 4 4 2 2 3" xfId="5883" xr:uid="{00000000-0005-0000-0000-0000E3150000}"/>
    <cellStyle name="Calculation 3 2 4 4 2 2 3 2" xfId="5884" xr:uid="{00000000-0005-0000-0000-0000E4150000}"/>
    <cellStyle name="Calculation 3 2 4 4 2 2 4" xfId="5885" xr:uid="{00000000-0005-0000-0000-0000E5150000}"/>
    <cellStyle name="Calculation 3 2 4 4 2 2 5" xfId="5886" xr:uid="{00000000-0005-0000-0000-0000E6150000}"/>
    <cellStyle name="Calculation 3 2 4 4 2 2 6" xfId="5887" xr:uid="{00000000-0005-0000-0000-0000E7150000}"/>
    <cellStyle name="Calculation 3 2 4 4 2 3" xfId="5888" xr:uid="{00000000-0005-0000-0000-0000E8150000}"/>
    <cellStyle name="Calculation 3 2 4 4 2 3 2" xfId="5889" xr:uid="{00000000-0005-0000-0000-0000E9150000}"/>
    <cellStyle name="Calculation 3 2 4 4 2 4" xfId="5890" xr:uid="{00000000-0005-0000-0000-0000EA150000}"/>
    <cellStyle name="Calculation 3 2 4 4 2 4 2" xfId="5891" xr:uid="{00000000-0005-0000-0000-0000EB150000}"/>
    <cellStyle name="Calculation 3 2 4 4 2 5" xfId="5892" xr:uid="{00000000-0005-0000-0000-0000EC150000}"/>
    <cellStyle name="Calculation 3 2 4 4 2 6" xfId="5893" xr:uid="{00000000-0005-0000-0000-0000ED150000}"/>
    <cellStyle name="Calculation 3 2 4 4 2 7" xfId="5894" xr:uid="{00000000-0005-0000-0000-0000EE150000}"/>
    <cellStyle name="Calculation 3 2 4 4 3" xfId="5895" xr:uid="{00000000-0005-0000-0000-0000EF150000}"/>
    <cellStyle name="Calculation 3 2 4 4 3 2" xfId="5896" xr:uid="{00000000-0005-0000-0000-0000F0150000}"/>
    <cellStyle name="Calculation 3 2 4 4 3 2 2" xfId="5897" xr:uid="{00000000-0005-0000-0000-0000F1150000}"/>
    <cellStyle name="Calculation 3 2 4 4 3 3" xfId="5898" xr:uid="{00000000-0005-0000-0000-0000F2150000}"/>
    <cellStyle name="Calculation 3 2 4 4 3 3 2" xfId="5899" xr:uid="{00000000-0005-0000-0000-0000F3150000}"/>
    <cellStyle name="Calculation 3 2 4 4 3 4" xfId="5900" xr:uid="{00000000-0005-0000-0000-0000F4150000}"/>
    <cellStyle name="Calculation 3 2 4 4 3 5" xfId="5901" xr:uid="{00000000-0005-0000-0000-0000F5150000}"/>
    <cellStyle name="Calculation 3 2 4 4 3 6" xfId="5902" xr:uid="{00000000-0005-0000-0000-0000F6150000}"/>
    <cellStyle name="Calculation 3 2 4 4 4" xfId="5903" xr:uid="{00000000-0005-0000-0000-0000F7150000}"/>
    <cellStyle name="Calculation 3 2 4 4 4 2" xfId="5904" xr:uid="{00000000-0005-0000-0000-0000F8150000}"/>
    <cellStyle name="Calculation 3 2 4 4 5" xfId="5905" xr:uid="{00000000-0005-0000-0000-0000F9150000}"/>
    <cellStyle name="Calculation 3 2 4 4 5 2" xfId="5906" xr:uid="{00000000-0005-0000-0000-0000FA150000}"/>
    <cellStyle name="Calculation 3 2 4 4 6" xfId="5907" xr:uid="{00000000-0005-0000-0000-0000FB150000}"/>
    <cellStyle name="Calculation 3 2 4 4 7" xfId="5908" xr:uid="{00000000-0005-0000-0000-0000FC150000}"/>
    <cellStyle name="Calculation 3 2 4 4 8" xfId="5909" xr:uid="{00000000-0005-0000-0000-0000FD150000}"/>
    <cellStyle name="Calculation 3 2 4 5" xfId="5910" xr:uid="{00000000-0005-0000-0000-0000FE150000}"/>
    <cellStyle name="Calculation 3 2 4 5 2" xfId="5911" xr:uid="{00000000-0005-0000-0000-0000FF150000}"/>
    <cellStyle name="Calculation 3 2 4 5 2 2" xfId="5912" xr:uid="{00000000-0005-0000-0000-000000160000}"/>
    <cellStyle name="Calculation 3 2 4 5 2 2 2" xfId="5913" xr:uid="{00000000-0005-0000-0000-000001160000}"/>
    <cellStyle name="Calculation 3 2 4 5 2 3" xfId="5914" xr:uid="{00000000-0005-0000-0000-000002160000}"/>
    <cellStyle name="Calculation 3 2 4 5 2 3 2" xfId="5915" xr:uid="{00000000-0005-0000-0000-000003160000}"/>
    <cellStyle name="Calculation 3 2 4 5 2 4" xfId="5916" xr:uid="{00000000-0005-0000-0000-000004160000}"/>
    <cellStyle name="Calculation 3 2 4 5 2 5" xfId="5917" xr:uid="{00000000-0005-0000-0000-000005160000}"/>
    <cellStyle name="Calculation 3 2 4 5 2 6" xfId="5918" xr:uid="{00000000-0005-0000-0000-000006160000}"/>
    <cellStyle name="Calculation 3 2 4 5 3" xfId="5919" xr:uid="{00000000-0005-0000-0000-000007160000}"/>
    <cellStyle name="Calculation 3 2 4 5 3 2" xfId="5920" xr:uid="{00000000-0005-0000-0000-000008160000}"/>
    <cellStyle name="Calculation 3 2 4 5 4" xfId="5921" xr:uid="{00000000-0005-0000-0000-000009160000}"/>
    <cellStyle name="Calculation 3 2 4 5 4 2" xfId="5922" xr:uid="{00000000-0005-0000-0000-00000A160000}"/>
    <cellStyle name="Calculation 3 2 4 5 5" xfId="5923" xr:uid="{00000000-0005-0000-0000-00000B160000}"/>
    <cellStyle name="Calculation 3 2 4 5 6" xfId="5924" xr:uid="{00000000-0005-0000-0000-00000C160000}"/>
    <cellStyle name="Calculation 3 2 4 5 7" xfId="5925" xr:uid="{00000000-0005-0000-0000-00000D160000}"/>
    <cellStyle name="Calculation 3 2 4 6" xfId="5926" xr:uid="{00000000-0005-0000-0000-00000E160000}"/>
    <cellStyle name="Calculation 3 2 4 6 2" xfId="5927" xr:uid="{00000000-0005-0000-0000-00000F160000}"/>
    <cellStyle name="Calculation 3 2 4 6 2 2" xfId="5928" xr:uid="{00000000-0005-0000-0000-000010160000}"/>
    <cellStyle name="Calculation 3 2 4 6 3" xfId="5929" xr:uid="{00000000-0005-0000-0000-000011160000}"/>
    <cellStyle name="Calculation 3 2 4 6 3 2" xfId="5930" xr:uid="{00000000-0005-0000-0000-000012160000}"/>
    <cellStyle name="Calculation 3 2 4 6 4" xfId="5931" xr:uid="{00000000-0005-0000-0000-000013160000}"/>
    <cellStyle name="Calculation 3 2 4 6 5" xfId="5932" xr:uid="{00000000-0005-0000-0000-000014160000}"/>
    <cellStyle name="Calculation 3 2 4 6 6" xfId="5933" xr:uid="{00000000-0005-0000-0000-000015160000}"/>
    <cellStyle name="Calculation 3 2 4 7" xfId="5934" xr:uid="{00000000-0005-0000-0000-000016160000}"/>
    <cellStyle name="Calculation 3 2 4 7 2" xfId="5935" xr:uid="{00000000-0005-0000-0000-000017160000}"/>
    <cellStyle name="Calculation 3 2 4 8" xfId="5936" xr:uid="{00000000-0005-0000-0000-000018160000}"/>
    <cellStyle name="Calculation 3 2 4 8 2" xfId="5937" xr:uid="{00000000-0005-0000-0000-000019160000}"/>
    <cellStyle name="Calculation 3 2 4 9" xfId="5938" xr:uid="{00000000-0005-0000-0000-00001A160000}"/>
    <cellStyle name="Calculation 3 2 5" xfId="5939" xr:uid="{00000000-0005-0000-0000-00001B160000}"/>
    <cellStyle name="Calculation 3 2 5 10" xfId="5940" xr:uid="{00000000-0005-0000-0000-00001C160000}"/>
    <cellStyle name="Calculation 3 2 5 2" xfId="5941" xr:uid="{00000000-0005-0000-0000-00001D160000}"/>
    <cellStyle name="Calculation 3 2 5 2 2" xfId="5942" xr:uid="{00000000-0005-0000-0000-00001E160000}"/>
    <cellStyle name="Calculation 3 2 5 2 2 2" xfId="5943" xr:uid="{00000000-0005-0000-0000-00001F160000}"/>
    <cellStyle name="Calculation 3 2 5 2 2 2 2" xfId="5944" xr:uid="{00000000-0005-0000-0000-000020160000}"/>
    <cellStyle name="Calculation 3 2 5 2 2 2 2 2" xfId="5945" xr:uid="{00000000-0005-0000-0000-000021160000}"/>
    <cellStyle name="Calculation 3 2 5 2 2 2 3" xfId="5946" xr:uid="{00000000-0005-0000-0000-000022160000}"/>
    <cellStyle name="Calculation 3 2 5 2 2 2 3 2" xfId="5947" xr:uid="{00000000-0005-0000-0000-000023160000}"/>
    <cellStyle name="Calculation 3 2 5 2 2 2 4" xfId="5948" xr:uid="{00000000-0005-0000-0000-000024160000}"/>
    <cellStyle name="Calculation 3 2 5 2 2 2 5" xfId="5949" xr:uid="{00000000-0005-0000-0000-000025160000}"/>
    <cellStyle name="Calculation 3 2 5 2 2 2 6" xfId="5950" xr:uid="{00000000-0005-0000-0000-000026160000}"/>
    <cellStyle name="Calculation 3 2 5 2 2 3" xfId="5951" xr:uid="{00000000-0005-0000-0000-000027160000}"/>
    <cellStyle name="Calculation 3 2 5 2 2 3 2" xfId="5952" xr:uid="{00000000-0005-0000-0000-000028160000}"/>
    <cellStyle name="Calculation 3 2 5 2 2 4" xfId="5953" xr:uid="{00000000-0005-0000-0000-000029160000}"/>
    <cellStyle name="Calculation 3 2 5 2 2 4 2" xfId="5954" xr:uid="{00000000-0005-0000-0000-00002A160000}"/>
    <cellStyle name="Calculation 3 2 5 2 2 5" xfId="5955" xr:uid="{00000000-0005-0000-0000-00002B160000}"/>
    <cellStyle name="Calculation 3 2 5 2 2 6" xfId="5956" xr:uid="{00000000-0005-0000-0000-00002C160000}"/>
    <cellStyle name="Calculation 3 2 5 2 2 7" xfId="5957" xr:uid="{00000000-0005-0000-0000-00002D160000}"/>
    <cellStyle name="Calculation 3 2 5 2 3" xfId="5958" xr:uid="{00000000-0005-0000-0000-00002E160000}"/>
    <cellStyle name="Calculation 3 2 5 2 3 2" xfId="5959" xr:uid="{00000000-0005-0000-0000-00002F160000}"/>
    <cellStyle name="Calculation 3 2 5 2 3 2 2" xfId="5960" xr:uid="{00000000-0005-0000-0000-000030160000}"/>
    <cellStyle name="Calculation 3 2 5 2 3 3" xfId="5961" xr:uid="{00000000-0005-0000-0000-000031160000}"/>
    <cellStyle name="Calculation 3 2 5 2 3 3 2" xfId="5962" xr:uid="{00000000-0005-0000-0000-000032160000}"/>
    <cellStyle name="Calculation 3 2 5 2 3 4" xfId="5963" xr:uid="{00000000-0005-0000-0000-000033160000}"/>
    <cellStyle name="Calculation 3 2 5 2 3 5" xfId="5964" xr:uid="{00000000-0005-0000-0000-000034160000}"/>
    <cellStyle name="Calculation 3 2 5 2 3 6" xfId="5965" xr:uid="{00000000-0005-0000-0000-000035160000}"/>
    <cellStyle name="Calculation 3 2 5 2 4" xfId="5966" xr:uid="{00000000-0005-0000-0000-000036160000}"/>
    <cellStyle name="Calculation 3 2 5 2 4 2" xfId="5967" xr:uid="{00000000-0005-0000-0000-000037160000}"/>
    <cellStyle name="Calculation 3 2 5 2 5" xfId="5968" xr:uid="{00000000-0005-0000-0000-000038160000}"/>
    <cellStyle name="Calculation 3 2 5 2 5 2" xfId="5969" xr:uid="{00000000-0005-0000-0000-000039160000}"/>
    <cellStyle name="Calculation 3 2 5 2 6" xfId="5970" xr:uid="{00000000-0005-0000-0000-00003A160000}"/>
    <cellStyle name="Calculation 3 2 5 2 7" xfId="5971" xr:uid="{00000000-0005-0000-0000-00003B160000}"/>
    <cellStyle name="Calculation 3 2 5 2 8" xfId="5972" xr:uid="{00000000-0005-0000-0000-00003C160000}"/>
    <cellStyle name="Calculation 3 2 5 3" xfId="5973" xr:uid="{00000000-0005-0000-0000-00003D160000}"/>
    <cellStyle name="Calculation 3 2 5 3 2" xfId="5974" xr:uid="{00000000-0005-0000-0000-00003E160000}"/>
    <cellStyle name="Calculation 3 2 5 3 2 2" xfId="5975" xr:uid="{00000000-0005-0000-0000-00003F160000}"/>
    <cellStyle name="Calculation 3 2 5 3 2 2 2" xfId="5976" xr:uid="{00000000-0005-0000-0000-000040160000}"/>
    <cellStyle name="Calculation 3 2 5 3 2 2 2 2" xfId="5977" xr:uid="{00000000-0005-0000-0000-000041160000}"/>
    <cellStyle name="Calculation 3 2 5 3 2 2 3" xfId="5978" xr:uid="{00000000-0005-0000-0000-000042160000}"/>
    <cellStyle name="Calculation 3 2 5 3 2 2 3 2" xfId="5979" xr:uid="{00000000-0005-0000-0000-000043160000}"/>
    <cellStyle name="Calculation 3 2 5 3 2 2 4" xfId="5980" xr:uid="{00000000-0005-0000-0000-000044160000}"/>
    <cellStyle name="Calculation 3 2 5 3 2 2 5" xfId="5981" xr:uid="{00000000-0005-0000-0000-000045160000}"/>
    <cellStyle name="Calculation 3 2 5 3 2 2 6" xfId="5982" xr:uid="{00000000-0005-0000-0000-000046160000}"/>
    <cellStyle name="Calculation 3 2 5 3 2 3" xfId="5983" xr:uid="{00000000-0005-0000-0000-000047160000}"/>
    <cellStyle name="Calculation 3 2 5 3 2 3 2" xfId="5984" xr:uid="{00000000-0005-0000-0000-000048160000}"/>
    <cellStyle name="Calculation 3 2 5 3 2 4" xfId="5985" xr:uid="{00000000-0005-0000-0000-000049160000}"/>
    <cellStyle name="Calculation 3 2 5 3 2 4 2" xfId="5986" xr:uid="{00000000-0005-0000-0000-00004A160000}"/>
    <cellStyle name="Calculation 3 2 5 3 2 5" xfId="5987" xr:uid="{00000000-0005-0000-0000-00004B160000}"/>
    <cellStyle name="Calculation 3 2 5 3 2 6" xfId="5988" xr:uid="{00000000-0005-0000-0000-00004C160000}"/>
    <cellStyle name="Calculation 3 2 5 3 2 7" xfId="5989" xr:uid="{00000000-0005-0000-0000-00004D160000}"/>
    <cellStyle name="Calculation 3 2 5 3 3" xfId="5990" xr:uid="{00000000-0005-0000-0000-00004E160000}"/>
    <cellStyle name="Calculation 3 2 5 3 3 2" xfId="5991" xr:uid="{00000000-0005-0000-0000-00004F160000}"/>
    <cellStyle name="Calculation 3 2 5 3 3 2 2" xfId="5992" xr:uid="{00000000-0005-0000-0000-000050160000}"/>
    <cellStyle name="Calculation 3 2 5 3 3 3" xfId="5993" xr:uid="{00000000-0005-0000-0000-000051160000}"/>
    <cellStyle name="Calculation 3 2 5 3 3 3 2" xfId="5994" xr:uid="{00000000-0005-0000-0000-000052160000}"/>
    <cellStyle name="Calculation 3 2 5 3 3 4" xfId="5995" xr:uid="{00000000-0005-0000-0000-000053160000}"/>
    <cellStyle name="Calculation 3 2 5 3 3 5" xfId="5996" xr:uid="{00000000-0005-0000-0000-000054160000}"/>
    <cellStyle name="Calculation 3 2 5 3 3 6" xfId="5997" xr:uid="{00000000-0005-0000-0000-000055160000}"/>
    <cellStyle name="Calculation 3 2 5 3 4" xfId="5998" xr:uid="{00000000-0005-0000-0000-000056160000}"/>
    <cellStyle name="Calculation 3 2 5 3 4 2" xfId="5999" xr:uid="{00000000-0005-0000-0000-000057160000}"/>
    <cellStyle name="Calculation 3 2 5 3 5" xfId="6000" xr:uid="{00000000-0005-0000-0000-000058160000}"/>
    <cellStyle name="Calculation 3 2 5 3 5 2" xfId="6001" xr:uid="{00000000-0005-0000-0000-000059160000}"/>
    <cellStyle name="Calculation 3 2 5 3 6" xfId="6002" xr:uid="{00000000-0005-0000-0000-00005A160000}"/>
    <cellStyle name="Calculation 3 2 5 3 7" xfId="6003" xr:uid="{00000000-0005-0000-0000-00005B160000}"/>
    <cellStyle name="Calculation 3 2 5 3 8" xfId="6004" xr:uid="{00000000-0005-0000-0000-00005C160000}"/>
    <cellStyle name="Calculation 3 2 5 4" xfId="6005" xr:uid="{00000000-0005-0000-0000-00005D160000}"/>
    <cellStyle name="Calculation 3 2 5 4 2" xfId="6006" xr:uid="{00000000-0005-0000-0000-00005E160000}"/>
    <cellStyle name="Calculation 3 2 5 4 2 2" xfId="6007" xr:uid="{00000000-0005-0000-0000-00005F160000}"/>
    <cellStyle name="Calculation 3 2 5 4 2 2 2" xfId="6008" xr:uid="{00000000-0005-0000-0000-000060160000}"/>
    <cellStyle name="Calculation 3 2 5 4 2 3" xfId="6009" xr:uid="{00000000-0005-0000-0000-000061160000}"/>
    <cellStyle name="Calculation 3 2 5 4 2 3 2" xfId="6010" xr:uid="{00000000-0005-0000-0000-000062160000}"/>
    <cellStyle name="Calculation 3 2 5 4 2 4" xfId="6011" xr:uid="{00000000-0005-0000-0000-000063160000}"/>
    <cellStyle name="Calculation 3 2 5 4 2 5" xfId="6012" xr:uid="{00000000-0005-0000-0000-000064160000}"/>
    <cellStyle name="Calculation 3 2 5 4 2 6" xfId="6013" xr:uid="{00000000-0005-0000-0000-000065160000}"/>
    <cellStyle name="Calculation 3 2 5 4 3" xfId="6014" xr:uid="{00000000-0005-0000-0000-000066160000}"/>
    <cellStyle name="Calculation 3 2 5 4 3 2" xfId="6015" xr:uid="{00000000-0005-0000-0000-000067160000}"/>
    <cellStyle name="Calculation 3 2 5 4 4" xfId="6016" xr:uid="{00000000-0005-0000-0000-000068160000}"/>
    <cellStyle name="Calculation 3 2 5 4 4 2" xfId="6017" xr:uid="{00000000-0005-0000-0000-000069160000}"/>
    <cellStyle name="Calculation 3 2 5 4 5" xfId="6018" xr:uid="{00000000-0005-0000-0000-00006A160000}"/>
    <cellStyle name="Calculation 3 2 5 4 6" xfId="6019" xr:uid="{00000000-0005-0000-0000-00006B160000}"/>
    <cellStyle name="Calculation 3 2 5 4 7" xfId="6020" xr:uid="{00000000-0005-0000-0000-00006C160000}"/>
    <cellStyle name="Calculation 3 2 5 5" xfId="6021" xr:uid="{00000000-0005-0000-0000-00006D160000}"/>
    <cellStyle name="Calculation 3 2 5 5 2" xfId="6022" xr:uid="{00000000-0005-0000-0000-00006E160000}"/>
    <cellStyle name="Calculation 3 2 5 5 2 2" xfId="6023" xr:uid="{00000000-0005-0000-0000-00006F160000}"/>
    <cellStyle name="Calculation 3 2 5 5 3" xfId="6024" xr:uid="{00000000-0005-0000-0000-000070160000}"/>
    <cellStyle name="Calculation 3 2 5 5 3 2" xfId="6025" xr:uid="{00000000-0005-0000-0000-000071160000}"/>
    <cellStyle name="Calculation 3 2 5 5 4" xfId="6026" xr:uid="{00000000-0005-0000-0000-000072160000}"/>
    <cellStyle name="Calculation 3 2 5 5 5" xfId="6027" xr:uid="{00000000-0005-0000-0000-000073160000}"/>
    <cellStyle name="Calculation 3 2 5 5 6" xfId="6028" xr:uid="{00000000-0005-0000-0000-000074160000}"/>
    <cellStyle name="Calculation 3 2 5 6" xfId="6029" xr:uid="{00000000-0005-0000-0000-000075160000}"/>
    <cellStyle name="Calculation 3 2 5 6 2" xfId="6030" xr:uid="{00000000-0005-0000-0000-000076160000}"/>
    <cellStyle name="Calculation 3 2 5 7" xfId="6031" xr:uid="{00000000-0005-0000-0000-000077160000}"/>
    <cellStyle name="Calculation 3 2 5 7 2" xfId="6032" xr:uid="{00000000-0005-0000-0000-000078160000}"/>
    <cellStyle name="Calculation 3 2 5 8" xfId="6033" xr:uid="{00000000-0005-0000-0000-000079160000}"/>
    <cellStyle name="Calculation 3 2 5 9" xfId="6034" xr:uid="{00000000-0005-0000-0000-00007A160000}"/>
    <cellStyle name="Calculation 3 2 6" xfId="6035" xr:uid="{00000000-0005-0000-0000-00007B160000}"/>
    <cellStyle name="Calculation 3 2 6 2" xfId="6036" xr:uid="{00000000-0005-0000-0000-00007C160000}"/>
    <cellStyle name="Calculation 3 2 6 2 2" xfId="6037" xr:uid="{00000000-0005-0000-0000-00007D160000}"/>
    <cellStyle name="Calculation 3 2 6 2 2 2" xfId="6038" xr:uid="{00000000-0005-0000-0000-00007E160000}"/>
    <cellStyle name="Calculation 3 2 6 2 2 2 2" xfId="6039" xr:uid="{00000000-0005-0000-0000-00007F160000}"/>
    <cellStyle name="Calculation 3 2 6 2 2 3" xfId="6040" xr:uid="{00000000-0005-0000-0000-000080160000}"/>
    <cellStyle name="Calculation 3 2 6 2 2 3 2" xfId="6041" xr:uid="{00000000-0005-0000-0000-000081160000}"/>
    <cellStyle name="Calculation 3 2 6 2 2 4" xfId="6042" xr:uid="{00000000-0005-0000-0000-000082160000}"/>
    <cellStyle name="Calculation 3 2 6 2 2 5" xfId="6043" xr:uid="{00000000-0005-0000-0000-000083160000}"/>
    <cellStyle name="Calculation 3 2 6 2 2 6" xfId="6044" xr:uid="{00000000-0005-0000-0000-000084160000}"/>
    <cellStyle name="Calculation 3 2 6 2 3" xfId="6045" xr:uid="{00000000-0005-0000-0000-000085160000}"/>
    <cellStyle name="Calculation 3 2 6 2 3 2" xfId="6046" xr:uid="{00000000-0005-0000-0000-000086160000}"/>
    <cellStyle name="Calculation 3 2 6 2 4" xfId="6047" xr:uid="{00000000-0005-0000-0000-000087160000}"/>
    <cellStyle name="Calculation 3 2 6 2 4 2" xfId="6048" xr:uid="{00000000-0005-0000-0000-000088160000}"/>
    <cellStyle name="Calculation 3 2 6 2 5" xfId="6049" xr:uid="{00000000-0005-0000-0000-000089160000}"/>
    <cellStyle name="Calculation 3 2 6 2 6" xfId="6050" xr:uid="{00000000-0005-0000-0000-00008A160000}"/>
    <cellStyle name="Calculation 3 2 6 2 7" xfId="6051" xr:uid="{00000000-0005-0000-0000-00008B160000}"/>
    <cellStyle name="Calculation 3 2 6 3" xfId="6052" xr:uid="{00000000-0005-0000-0000-00008C160000}"/>
    <cellStyle name="Calculation 3 2 6 3 2" xfId="6053" xr:uid="{00000000-0005-0000-0000-00008D160000}"/>
    <cellStyle name="Calculation 3 2 6 3 2 2" xfId="6054" xr:uid="{00000000-0005-0000-0000-00008E160000}"/>
    <cellStyle name="Calculation 3 2 6 3 3" xfId="6055" xr:uid="{00000000-0005-0000-0000-00008F160000}"/>
    <cellStyle name="Calculation 3 2 6 3 3 2" xfId="6056" xr:uid="{00000000-0005-0000-0000-000090160000}"/>
    <cellStyle name="Calculation 3 2 6 3 4" xfId="6057" xr:uid="{00000000-0005-0000-0000-000091160000}"/>
    <cellStyle name="Calculation 3 2 6 3 5" xfId="6058" xr:uid="{00000000-0005-0000-0000-000092160000}"/>
    <cellStyle name="Calculation 3 2 6 3 6" xfId="6059" xr:uid="{00000000-0005-0000-0000-000093160000}"/>
    <cellStyle name="Calculation 3 2 6 4" xfId="6060" xr:uid="{00000000-0005-0000-0000-000094160000}"/>
    <cellStyle name="Calculation 3 2 6 4 2" xfId="6061" xr:uid="{00000000-0005-0000-0000-000095160000}"/>
    <cellStyle name="Calculation 3 2 6 5" xfId="6062" xr:uid="{00000000-0005-0000-0000-000096160000}"/>
    <cellStyle name="Calculation 3 2 6 5 2" xfId="6063" xr:uid="{00000000-0005-0000-0000-000097160000}"/>
    <cellStyle name="Calculation 3 2 6 6" xfId="6064" xr:uid="{00000000-0005-0000-0000-000098160000}"/>
    <cellStyle name="Calculation 3 2 6 7" xfId="6065" xr:uid="{00000000-0005-0000-0000-000099160000}"/>
    <cellStyle name="Calculation 3 2 6 8" xfId="6066" xr:uid="{00000000-0005-0000-0000-00009A160000}"/>
    <cellStyle name="Calculation 3 2 7" xfId="6067" xr:uid="{00000000-0005-0000-0000-00009B160000}"/>
    <cellStyle name="Calculation 3 2 7 2" xfId="6068" xr:uid="{00000000-0005-0000-0000-00009C160000}"/>
    <cellStyle name="Calculation 3 2 7 2 2" xfId="6069" xr:uid="{00000000-0005-0000-0000-00009D160000}"/>
    <cellStyle name="Calculation 3 2 7 2 2 2" xfId="6070" xr:uid="{00000000-0005-0000-0000-00009E160000}"/>
    <cellStyle name="Calculation 3 2 7 2 3" xfId="6071" xr:uid="{00000000-0005-0000-0000-00009F160000}"/>
    <cellStyle name="Calculation 3 2 7 2 3 2" xfId="6072" xr:uid="{00000000-0005-0000-0000-0000A0160000}"/>
    <cellStyle name="Calculation 3 2 7 2 4" xfId="6073" xr:uid="{00000000-0005-0000-0000-0000A1160000}"/>
    <cellStyle name="Calculation 3 2 7 2 5" xfId="6074" xr:uid="{00000000-0005-0000-0000-0000A2160000}"/>
    <cellStyle name="Calculation 3 2 7 2 6" xfId="6075" xr:uid="{00000000-0005-0000-0000-0000A3160000}"/>
    <cellStyle name="Calculation 3 2 7 3" xfId="6076" xr:uid="{00000000-0005-0000-0000-0000A4160000}"/>
    <cellStyle name="Calculation 3 2 7 3 2" xfId="6077" xr:uid="{00000000-0005-0000-0000-0000A5160000}"/>
    <cellStyle name="Calculation 3 2 7 4" xfId="6078" xr:uid="{00000000-0005-0000-0000-0000A6160000}"/>
    <cellStyle name="Calculation 3 2 7 4 2" xfId="6079" xr:uid="{00000000-0005-0000-0000-0000A7160000}"/>
    <cellStyle name="Calculation 3 2 7 5" xfId="6080" xr:uid="{00000000-0005-0000-0000-0000A8160000}"/>
    <cellStyle name="Calculation 3 2 7 6" xfId="6081" xr:uid="{00000000-0005-0000-0000-0000A9160000}"/>
    <cellStyle name="Calculation 3 2 7 7" xfId="6082" xr:uid="{00000000-0005-0000-0000-0000AA160000}"/>
    <cellStyle name="Calculation 3 2 8" xfId="6083" xr:uid="{00000000-0005-0000-0000-0000AB160000}"/>
    <cellStyle name="Calculation 3 2 8 2" xfId="6084" xr:uid="{00000000-0005-0000-0000-0000AC160000}"/>
    <cellStyle name="Calculation 3 2 9" xfId="6085" xr:uid="{00000000-0005-0000-0000-0000AD160000}"/>
    <cellStyle name="Calculation 3 2 9 2" xfId="6086" xr:uid="{00000000-0005-0000-0000-0000AE160000}"/>
    <cellStyle name="Calculation 3 3" xfId="6087" xr:uid="{00000000-0005-0000-0000-0000AF160000}"/>
    <cellStyle name="Calculation 3 3 10" xfId="6088" xr:uid="{00000000-0005-0000-0000-0000B0160000}"/>
    <cellStyle name="Calculation 3 3 11" xfId="6089" xr:uid="{00000000-0005-0000-0000-0000B1160000}"/>
    <cellStyle name="Calculation 3 3 12" xfId="6090" xr:uid="{00000000-0005-0000-0000-0000B2160000}"/>
    <cellStyle name="Calculation 3 3 2" xfId="6091" xr:uid="{00000000-0005-0000-0000-0000B3160000}"/>
    <cellStyle name="Calculation 3 3 2 10" xfId="6092" xr:uid="{00000000-0005-0000-0000-0000B4160000}"/>
    <cellStyle name="Calculation 3 3 2 11" xfId="6093" xr:uid="{00000000-0005-0000-0000-0000B5160000}"/>
    <cellStyle name="Calculation 3 3 2 2" xfId="6094" xr:uid="{00000000-0005-0000-0000-0000B6160000}"/>
    <cellStyle name="Calculation 3 3 2 2 10" xfId="6095" xr:uid="{00000000-0005-0000-0000-0000B7160000}"/>
    <cellStyle name="Calculation 3 3 2 2 2" xfId="6096" xr:uid="{00000000-0005-0000-0000-0000B8160000}"/>
    <cellStyle name="Calculation 3 3 2 2 2 2" xfId="6097" xr:uid="{00000000-0005-0000-0000-0000B9160000}"/>
    <cellStyle name="Calculation 3 3 2 2 2 2 2" xfId="6098" xr:uid="{00000000-0005-0000-0000-0000BA160000}"/>
    <cellStyle name="Calculation 3 3 2 2 2 2 2 2" xfId="6099" xr:uid="{00000000-0005-0000-0000-0000BB160000}"/>
    <cellStyle name="Calculation 3 3 2 2 2 2 2 2 2" xfId="6100" xr:uid="{00000000-0005-0000-0000-0000BC160000}"/>
    <cellStyle name="Calculation 3 3 2 2 2 2 2 3" xfId="6101" xr:uid="{00000000-0005-0000-0000-0000BD160000}"/>
    <cellStyle name="Calculation 3 3 2 2 2 2 2 3 2" xfId="6102" xr:uid="{00000000-0005-0000-0000-0000BE160000}"/>
    <cellStyle name="Calculation 3 3 2 2 2 2 2 4" xfId="6103" xr:uid="{00000000-0005-0000-0000-0000BF160000}"/>
    <cellStyle name="Calculation 3 3 2 2 2 2 2 5" xfId="6104" xr:uid="{00000000-0005-0000-0000-0000C0160000}"/>
    <cellStyle name="Calculation 3 3 2 2 2 2 2 6" xfId="6105" xr:uid="{00000000-0005-0000-0000-0000C1160000}"/>
    <cellStyle name="Calculation 3 3 2 2 2 2 3" xfId="6106" xr:uid="{00000000-0005-0000-0000-0000C2160000}"/>
    <cellStyle name="Calculation 3 3 2 2 2 2 3 2" xfId="6107" xr:uid="{00000000-0005-0000-0000-0000C3160000}"/>
    <cellStyle name="Calculation 3 3 2 2 2 2 4" xfId="6108" xr:uid="{00000000-0005-0000-0000-0000C4160000}"/>
    <cellStyle name="Calculation 3 3 2 2 2 2 4 2" xfId="6109" xr:uid="{00000000-0005-0000-0000-0000C5160000}"/>
    <cellStyle name="Calculation 3 3 2 2 2 2 5" xfId="6110" xr:uid="{00000000-0005-0000-0000-0000C6160000}"/>
    <cellStyle name="Calculation 3 3 2 2 2 2 6" xfId="6111" xr:uid="{00000000-0005-0000-0000-0000C7160000}"/>
    <cellStyle name="Calculation 3 3 2 2 2 2 7" xfId="6112" xr:uid="{00000000-0005-0000-0000-0000C8160000}"/>
    <cellStyle name="Calculation 3 3 2 2 2 3" xfId="6113" xr:uid="{00000000-0005-0000-0000-0000C9160000}"/>
    <cellStyle name="Calculation 3 3 2 2 2 3 2" xfId="6114" xr:uid="{00000000-0005-0000-0000-0000CA160000}"/>
    <cellStyle name="Calculation 3 3 2 2 2 3 2 2" xfId="6115" xr:uid="{00000000-0005-0000-0000-0000CB160000}"/>
    <cellStyle name="Calculation 3 3 2 2 2 3 3" xfId="6116" xr:uid="{00000000-0005-0000-0000-0000CC160000}"/>
    <cellStyle name="Calculation 3 3 2 2 2 3 3 2" xfId="6117" xr:uid="{00000000-0005-0000-0000-0000CD160000}"/>
    <cellStyle name="Calculation 3 3 2 2 2 3 4" xfId="6118" xr:uid="{00000000-0005-0000-0000-0000CE160000}"/>
    <cellStyle name="Calculation 3 3 2 2 2 3 5" xfId="6119" xr:uid="{00000000-0005-0000-0000-0000CF160000}"/>
    <cellStyle name="Calculation 3 3 2 2 2 3 6" xfId="6120" xr:uid="{00000000-0005-0000-0000-0000D0160000}"/>
    <cellStyle name="Calculation 3 3 2 2 2 4" xfId="6121" xr:uid="{00000000-0005-0000-0000-0000D1160000}"/>
    <cellStyle name="Calculation 3 3 2 2 2 4 2" xfId="6122" xr:uid="{00000000-0005-0000-0000-0000D2160000}"/>
    <cellStyle name="Calculation 3 3 2 2 2 5" xfId="6123" xr:uid="{00000000-0005-0000-0000-0000D3160000}"/>
    <cellStyle name="Calculation 3 3 2 2 2 5 2" xfId="6124" xr:uid="{00000000-0005-0000-0000-0000D4160000}"/>
    <cellStyle name="Calculation 3 3 2 2 2 6" xfId="6125" xr:uid="{00000000-0005-0000-0000-0000D5160000}"/>
    <cellStyle name="Calculation 3 3 2 2 2 7" xfId="6126" xr:uid="{00000000-0005-0000-0000-0000D6160000}"/>
    <cellStyle name="Calculation 3 3 2 2 2 8" xfId="6127" xr:uid="{00000000-0005-0000-0000-0000D7160000}"/>
    <cellStyle name="Calculation 3 3 2 2 3" xfId="6128" xr:uid="{00000000-0005-0000-0000-0000D8160000}"/>
    <cellStyle name="Calculation 3 3 2 2 3 2" xfId="6129" xr:uid="{00000000-0005-0000-0000-0000D9160000}"/>
    <cellStyle name="Calculation 3 3 2 2 3 2 2" xfId="6130" xr:uid="{00000000-0005-0000-0000-0000DA160000}"/>
    <cellStyle name="Calculation 3 3 2 2 3 2 2 2" xfId="6131" xr:uid="{00000000-0005-0000-0000-0000DB160000}"/>
    <cellStyle name="Calculation 3 3 2 2 3 2 2 2 2" xfId="6132" xr:uid="{00000000-0005-0000-0000-0000DC160000}"/>
    <cellStyle name="Calculation 3 3 2 2 3 2 2 3" xfId="6133" xr:uid="{00000000-0005-0000-0000-0000DD160000}"/>
    <cellStyle name="Calculation 3 3 2 2 3 2 2 3 2" xfId="6134" xr:uid="{00000000-0005-0000-0000-0000DE160000}"/>
    <cellStyle name="Calculation 3 3 2 2 3 2 2 4" xfId="6135" xr:uid="{00000000-0005-0000-0000-0000DF160000}"/>
    <cellStyle name="Calculation 3 3 2 2 3 2 2 5" xfId="6136" xr:uid="{00000000-0005-0000-0000-0000E0160000}"/>
    <cellStyle name="Calculation 3 3 2 2 3 2 2 6" xfId="6137" xr:uid="{00000000-0005-0000-0000-0000E1160000}"/>
    <cellStyle name="Calculation 3 3 2 2 3 2 3" xfId="6138" xr:uid="{00000000-0005-0000-0000-0000E2160000}"/>
    <cellStyle name="Calculation 3 3 2 2 3 2 3 2" xfId="6139" xr:uid="{00000000-0005-0000-0000-0000E3160000}"/>
    <cellStyle name="Calculation 3 3 2 2 3 2 4" xfId="6140" xr:uid="{00000000-0005-0000-0000-0000E4160000}"/>
    <cellStyle name="Calculation 3 3 2 2 3 2 4 2" xfId="6141" xr:uid="{00000000-0005-0000-0000-0000E5160000}"/>
    <cellStyle name="Calculation 3 3 2 2 3 2 5" xfId="6142" xr:uid="{00000000-0005-0000-0000-0000E6160000}"/>
    <cellStyle name="Calculation 3 3 2 2 3 2 6" xfId="6143" xr:uid="{00000000-0005-0000-0000-0000E7160000}"/>
    <cellStyle name="Calculation 3 3 2 2 3 2 7" xfId="6144" xr:uid="{00000000-0005-0000-0000-0000E8160000}"/>
    <cellStyle name="Calculation 3 3 2 2 3 3" xfId="6145" xr:uid="{00000000-0005-0000-0000-0000E9160000}"/>
    <cellStyle name="Calculation 3 3 2 2 3 3 2" xfId="6146" xr:uid="{00000000-0005-0000-0000-0000EA160000}"/>
    <cellStyle name="Calculation 3 3 2 2 3 3 2 2" xfId="6147" xr:uid="{00000000-0005-0000-0000-0000EB160000}"/>
    <cellStyle name="Calculation 3 3 2 2 3 3 3" xfId="6148" xr:uid="{00000000-0005-0000-0000-0000EC160000}"/>
    <cellStyle name="Calculation 3 3 2 2 3 3 3 2" xfId="6149" xr:uid="{00000000-0005-0000-0000-0000ED160000}"/>
    <cellStyle name="Calculation 3 3 2 2 3 3 4" xfId="6150" xr:uid="{00000000-0005-0000-0000-0000EE160000}"/>
    <cellStyle name="Calculation 3 3 2 2 3 3 5" xfId="6151" xr:uid="{00000000-0005-0000-0000-0000EF160000}"/>
    <cellStyle name="Calculation 3 3 2 2 3 3 6" xfId="6152" xr:uid="{00000000-0005-0000-0000-0000F0160000}"/>
    <cellStyle name="Calculation 3 3 2 2 3 4" xfId="6153" xr:uid="{00000000-0005-0000-0000-0000F1160000}"/>
    <cellStyle name="Calculation 3 3 2 2 3 4 2" xfId="6154" xr:uid="{00000000-0005-0000-0000-0000F2160000}"/>
    <cellStyle name="Calculation 3 3 2 2 3 5" xfId="6155" xr:uid="{00000000-0005-0000-0000-0000F3160000}"/>
    <cellStyle name="Calculation 3 3 2 2 3 5 2" xfId="6156" xr:uid="{00000000-0005-0000-0000-0000F4160000}"/>
    <cellStyle name="Calculation 3 3 2 2 3 6" xfId="6157" xr:uid="{00000000-0005-0000-0000-0000F5160000}"/>
    <cellStyle name="Calculation 3 3 2 2 3 7" xfId="6158" xr:uid="{00000000-0005-0000-0000-0000F6160000}"/>
    <cellStyle name="Calculation 3 3 2 2 3 8" xfId="6159" xr:uid="{00000000-0005-0000-0000-0000F7160000}"/>
    <cellStyle name="Calculation 3 3 2 2 4" xfId="6160" xr:uid="{00000000-0005-0000-0000-0000F8160000}"/>
    <cellStyle name="Calculation 3 3 2 2 4 2" xfId="6161" xr:uid="{00000000-0005-0000-0000-0000F9160000}"/>
    <cellStyle name="Calculation 3 3 2 2 4 2 2" xfId="6162" xr:uid="{00000000-0005-0000-0000-0000FA160000}"/>
    <cellStyle name="Calculation 3 3 2 2 4 2 2 2" xfId="6163" xr:uid="{00000000-0005-0000-0000-0000FB160000}"/>
    <cellStyle name="Calculation 3 3 2 2 4 2 3" xfId="6164" xr:uid="{00000000-0005-0000-0000-0000FC160000}"/>
    <cellStyle name="Calculation 3 3 2 2 4 2 3 2" xfId="6165" xr:uid="{00000000-0005-0000-0000-0000FD160000}"/>
    <cellStyle name="Calculation 3 3 2 2 4 2 4" xfId="6166" xr:uid="{00000000-0005-0000-0000-0000FE160000}"/>
    <cellStyle name="Calculation 3 3 2 2 4 2 5" xfId="6167" xr:uid="{00000000-0005-0000-0000-0000FF160000}"/>
    <cellStyle name="Calculation 3 3 2 2 4 2 6" xfId="6168" xr:uid="{00000000-0005-0000-0000-000000170000}"/>
    <cellStyle name="Calculation 3 3 2 2 4 3" xfId="6169" xr:uid="{00000000-0005-0000-0000-000001170000}"/>
    <cellStyle name="Calculation 3 3 2 2 4 3 2" xfId="6170" xr:uid="{00000000-0005-0000-0000-000002170000}"/>
    <cellStyle name="Calculation 3 3 2 2 4 4" xfId="6171" xr:uid="{00000000-0005-0000-0000-000003170000}"/>
    <cellStyle name="Calculation 3 3 2 2 4 4 2" xfId="6172" xr:uid="{00000000-0005-0000-0000-000004170000}"/>
    <cellStyle name="Calculation 3 3 2 2 4 5" xfId="6173" xr:uid="{00000000-0005-0000-0000-000005170000}"/>
    <cellStyle name="Calculation 3 3 2 2 4 6" xfId="6174" xr:uid="{00000000-0005-0000-0000-000006170000}"/>
    <cellStyle name="Calculation 3 3 2 2 4 7" xfId="6175" xr:uid="{00000000-0005-0000-0000-000007170000}"/>
    <cellStyle name="Calculation 3 3 2 2 5" xfId="6176" xr:uid="{00000000-0005-0000-0000-000008170000}"/>
    <cellStyle name="Calculation 3 3 2 2 5 2" xfId="6177" xr:uid="{00000000-0005-0000-0000-000009170000}"/>
    <cellStyle name="Calculation 3 3 2 2 5 2 2" xfId="6178" xr:uid="{00000000-0005-0000-0000-00000A170000}"/>
    <cellStyle name="Calculation 3 3 2 2 5 3" xfId="6179" xr:uid="{00000000-0005-0000-0000-00000B170000}"/>
    <cellStyle name="Calculation 3 3 2 2 5 3 2" xfId="6180" xr:uid="{00000000-0005-0000-0000-00000C170000}"/>
    <cellStyle name="Calculation 3 3 2 2 5 4" xfId="6181" xr:uid="{00000000-0005-0000-0000-00000D170000}"/>
    <cellStyle name="Calculation 3 3 2 2 5 5" xfId="6182" xr:uid="{00000000-0005-0000-0000-00000E170000}"/>
    <cellStyle name="Calculation 3 3 2 2 5 6" xfId="6183" xr:uid="{00000000-0005-0000-0000-00000F170000}"/>
    <cellStyle name="Calculation 3 3 2 2 6" xfId="6184" xr:uid="{00000000-0005-0000-0000-000010170000}"/>
    <cellStyle name="Calculation 3 3 2 2 6 2" xfId="6185" xr:uid="{00000000-0005-0000-0000-000011170000}"/>
    <cellStyle name="Calculation 3 3 2 2 7" xfId="6186" xr:uid="{00000000-0005-0000-0000-000012170000}"/>
    <cellStyle name="Calculation 3 3 2 2 7 2" xfId="6187" xr:uid="{00000000-0005-0000-0000-000013170000}"/>
    <cellStyle name="Calculation 3 3 2 2 8" xfId="6188" xr:uid="{00000000-0005-0000-0000-000014170000}"/>
    <cellStyle name="Calculation 3 3 2 2 9" xfId="6189" xr:uid="{00000000-0005-0000-0000-000015170000}"/>
    <cellStyle name="Calculation 3 3 2 3" xfId="6190" xr:uid="{00000000-0005-0000-0000-000016170000}"/>
    <cellStyle name="Calculation 3 3 2 3 2" xfId="6191" xr:uid="{00000000-0005-0000-0000-000017170000}"/>
    <cellStyle name="Calculation 3 3 2 3 2 2" xfId="6192" xr:uid="{00000000-0005-0000-0000-000018170000}"/>
    <cellStyle name="Calculation 3 3 2 3 2 2 2" xfId="6193" xr:uid="{00000000-0005-0000-0000-000019170000}"/>
    <cellStyle name="Calculation 3 3 2 3 2 2 2 2" xfId="6194" xr:uid="{00000000-0005-0000-0000-00001A170000}"/>
    <cellStyle name="Calculation 3 3 2 3 2 2 3" xfId="6195" xr:uid="{00000000-0005-0000-0000-00001B170000}"/>
    <cellStyle name="Calculation 3 3 2 3 2 2 3 2" xfId="6196" xr:uid="{00000000-0005-0000-0000-00001C170000}"/>
    <cellStyle name="Calculation 3 3 2 3 2 2 4" xfId="6197" xr:uid="{00000000-0005-0000-0000-00001D170000}"/>
    <cellStyle name="Calculation 3 3 2 3 2 2 5" xfId="6198" xr:uid="{00000000-0005-0000-0000-00001E170000}"/>
    <cellStyle name="Calculation 3 3 2 3 2 2 6" xfId="6199" xr:uid="{00000000-0005-0000-0000-00001F170000}"/>
    <cellStyle name="Calculation 3 3 2 3 2 3" xfId="6200" xr:uid="{00000000-0005-0000-0000-000020170000}"/>
    <cellStyle name="Calculation 3 3 2 3 2 3 2" xfId="6201" xr:uid="{00000000-0005-0000-0000-000021170000}"/>
    <cellStyle name="Calculation 3 3 2 3 2 4" xfId="6202" xr:uid="{00000000-0005-0000-0000-000022170000}"/>
    <cellStyle name="Calculation 3 3 2 3 2 4 2" xfId="6203" xr:uid="{00000000-0005-0000-0000-000023170000}"/>
    <cellStyle name="Calculation 3 3 2 3 2 5" xfId="6204" xr:uid="{00000000-0005-0000-0000-000024170000}"/>
    <cellStyle name="Calculation 3 3 2 3 2 6" xfId="6205" xr:uid="{00000000-0005-0000-0000-000025170000}"/>
    <cellStyle name="Calculation 3 3 2 3 2 7" xfId="6206" xr:uid="{00000000-0005-0000-0000-000026170000}"/>
    <cellStyle name="Calculation 3 3 2 3 3" xfId="6207" xr:uid="{00000000-0005-0000-0000-000027170000}"/>
    <cellStyle name="Calculation 3 3 2 3 3 2" xfId="6208" xr:uid="{00000000-0005-0000-0000-000028170000}"/>
    <cellStyle name="Calculation 3 3 2 3 3 2 2" xfId="6209" xr:uid="{00000000-0005-0000-0000-000029170000}"/>
    <cellStyle name="Calculation 3 3 2 3 3 3" xfId="6210" xr:uid="{00000000-0005-0000-0000-00002A170000}"/>
    <cellStyle name="Calculation 3 3 2 3 3 3 2" xfId="6211" xr:uid="{00000000-0005-0000-0000-00002B170000}"/>
    <cellStyle name="Calculation 3 3 2 3 3 4" xfId="6212" xr:uid="{00000000-0005-0000-0000-00002C170000}"/>
    <cellStyle name="Calculation 3 3 2 3 3 5" xfId="6213" xr:uid="{00000000-0005-0000-0000-00002D170000}"/>
    <cellStyle name="Calculation 3 3 2 3 3 6" xfId="6214" xr:uid="{00000000-0005-0000-0000-00002E170000}"/>
    <cellStyle name="Calculation 3 3 2 3 4" xfId="6215" xr:uid="{00000000-0005-0000-0000-00002F170000}"/>
    <cellStyle name="Calculation 3 3 2 3 4 2" xfId="6216" xr:uid="{00000000-0005-0000-0000-000030170000}"/>
    <cellStyle name="Calculation 3 3 2 3 5" xfId="6217" xr:uid="{00000000-0005-0000-0000-000031170000}"/>
    <cellStyle name="Calculation 3 3 2 3 5 2" xfId="6218" xr:uid="{00000000-0005-0000-0000-000032170000}"/>
    <cellStyle name="Calculation 3 3 2 3 6" xfId="6219" xr:uid="{00000000-0005-0000-0000-000033170000}"/>
    <cellStyle name="Calculation 3 3 2 3 7" xfId="6220" xr:uid="{00000000-0005-0000-0000-000034170000}"/>
    <cellStyle name="Calculation 3 3 2 3 8" xfId="6221" xr:uid="{00000000-0005-0000-0000-000035170000}"/>
    <cellStyle name="Calculation 3 3 2 4" xfId="6222" xr:uid="{00000000-0005-0000-0000-000036170000}"/>
    <cellStyle name="Calculation 3 3 2 4 2" xfId="6223" xr:uid="{00000000-0005-0000-0000-000037170000}"/>
    <cellStyle name="Calculation 3 3 2 4 2 2" xfId="6224" xr:uid="{00000000-0005-0000-0000-000038170000}"/>
    <cellStyle name="Calculation 3 3 2 4 2 2 2" xfId="6225" xr:uid="{00000000-0005-0000-0000-000039170000}"/>
    <cellStyle name="Calculation 3 3 2 4 2 2 2 2" xfId="6226" xr:uid="{00000000-0005-0000-0000-00003A170000}"/>
    <cellStyle name="Calculation 3 3 2 4 2 2 3" xfId="6227" xr:uid="{00000000-0005-0000-0000-00003B170000}"/>
    <cellStyle name="Calculation 3 3 2 4 2 2 3 2" xfId="6228" xr:uid="{00000000-0005-0000-0000-00003C170000}"/>
    <cellStyle name="Calculation 3 3 2 4 2 2 4" xfId="6229" xr:uid="{00000000-0005-0000-0000-00003D170000}"/>
    <cellStyle name="Calculation 3 3 2 4 2 2 5" xfId="6230" xr:uid="{00000000-0005-0000-0000-00003E170000}"/>
    <cellStyle name="Calculation 3 3 2 4 2 2 6" xfId="6231" xr:uid="{00000000-0005-0000-0000-00003F170000}"/>
    <cellStyle name="Calculation 3 3 2 4 2 3" xfId="6232" xr:uid="{00000000-0005-0000-0000-000040170000}"/>
    <cellStyle name="Calculation 3 3 2 4 2 3 2" xfId="6233" xr:uid="{00000000-0005-0000-0000-000041170000}"/>
    <cellStyle name="Calculation 3 3 2 4 2 4" xfId="6234" xr:uid="{00000000-0005-0000-0000-000042170000}"/>
    <cellStyle name="Calculation 3 3 2 4 2 4 2" xfId="6235" xr:uid="{00000000-0005-0000-0000-000043170000}"/>
    <cellStyle name="Calculation 3 3 2 4 2 5" xfId="6236" xr:uid="{00000000-0005-0000-0000-000044170000}"/>
    <cellStyle name="Calculation 3 3 2 4 2 6" xfId="6237" xr:uid="{00000000-0005-0000-0000-000045170000}"/>
    <cellStyle name="Calculation 3 3 2 4 2 7" xfId="6238" xr:uid="{00000000-0005-0000-0000-000046170000}"/>
    <cellStyle name="Calculation 3 3 2 4 3" xfId="6239" xr:uid="{00000000-0005-0000-0000-000047170000}"/>
    <cellStyle name="Calculation 3 3 2 4 3 2" xfId="6240" xr:uid="{00000000-0005-0000-0000-000048170000}"/>
    <cellStyle name="Calculation 3 3 2 4 3 2 2" xfId="6241" xr:uid="{00000000-0005-0000-0000-000049170000}"/>
    <cellStyle name="Calculation 3 3 2 4 3 3" xfId="6242" xr:uid="{00000000-0005-0000-0000-00004A170000}"/>
    <cellStyle name="Calculation 3 3 2 4 3 3 2" xfId="6243" xr:uid="{00000000-0005-0000-0000-00004B170000}"/>
    <cellStyle name="Calculation 3 3 2 4 3 4" xfId="6244" xr:uid="{00000000-0005-0000-0000-00004C170000}"/>
    <cellStyle name="Calculation 3 3 2 4 3 5" xfId="6245" xr:uid="{00000000-0005-0000-0000-00004D170000}"/>
    <cellStyle name="Calculation 3 3 2 4 3 6" xfId="6246" xr:uid="{00000000-0005-0000-0000-00004E170000}"/>
    <cellStyle name="Calculation 3 3 2 4 4" xfId="6247" xr:uid="{00000000-0005-0000-0000-00004F170000}"/>
    <cellStyle name="Calculation 3 3 2 4 4 2" xfId="6248" xr:uid="{00000000-0005-0000-0000-000050170000}"/>
    <cellStyle name="Calculation 3 3 2 4 5" xfId="6249" xr:uid="{00000000-0005-0000-0000-000051170000}"/>
    <cellStyle name="Calculation 3 3 2 4 5 2" xfId="6250" xr:uid="{00000000-0005-0000-0000-000052170000}"/>
    <cellStyle name="Calculation 3 3 2 4 6" xfId="6251" xr:uid="{00000000-0005-0000-0000-000053170000}"/>
    <cellStyle name="Calculation 3 3 2 4 7" xfId="6252" xr:uid="{00000000-0005-0000-0000-000054170000}"/>
    <cellStyle name="Calculation 3 3 2 4 8" xfId="6253" xr:uid="{00000000-0005-0000-0000-000055170000}"/>
    <cellStyle name="Calculation 3 3 2 5" xfId="6254" xr:uid="{00000000-0005-0000-0000-000056170000}"/>
    <cellStyle name="Calculation 3 3 2 5 2" xfId="6255" xr:uid="{00000000-0005-0000-0000-000057170000}"/>
    <cellStyle name="Calculation 3 3 2 5 2 2" xfId="6256" xr:uid="{00000000-0005-0000-0000-000058170000}"/>
    <cellStyle name="Calculation 3 3 2 5 2 2 2" xfId="6257" xr:uid="{00000000-0005-0000-0000-000059170000}"/>
    <cellStyle name="Calculation 3 3 2 5 2 3" xfId="6258" xr:uid="{00000000-0005-0000-0000-00005A170000}"/>
    <cellStyle name="Calculation 3 3 2 5 2 3 2" xfId="6259" xr:uid="{00000000-0005-0000-0000-00005B170000}"/>
    <cellStyle name="Calculation 3 3 2 5 2 4" xfId="6260" xr:uid="{00000000-0005-0000-0000-00005C170000}"/>
    <cellStyle name="Calculation 3 3 2 5 2 5" xfId="6261" xr:uid="{00000000-0005-0000-0000-00005D170000}"/>
    <cellStyle name="Calculation 3 3 2 5 2 6" xfId="6262" xr:uid="{00000000-0005-0000-0000-00005E170000}"/>
    <cellStyle name="Calculation 3 3 2 5 3" xfId="6263" xr:uid="{00000000-0005-0000-0000-00005F170000}"/>
    <cellStyle name="Calculation 3 3 2 5 3 2" xfId="6264" xr:uid="{00000000-0005-0000-0000-000060170000}"/>
    <cellStyle name="Calculation 3 3 2 5 4" xfId="6265" xr:uid="{00000000-0005-0000-0000-000061170000}"/>
    <cellStyle name="Calculation 3 3 2 5 4 2" xfId="6266" xr:uid="{00000000-0005-0000-0000-000062170000}"/>
    <cellStyle name="Calculation 3 3 2 5 5" xfId="6267" xr:uid="{00000000-0005-0000-0000-000063170000}"/>
    <cellStyle name="Calculation 3 3 2 5 6" xfId="6268" xr:uid="{00000000-0005-0000-0000-000064170000}"/>
    <cellStyle name="Calculation 3 3 2 5 7" xfId="6269" xr:uid="{00000000-0005-0000-0000-000065170000}"/>
    <cellStyle name="Calculation 3 3 2 6" xfId="6270" xr:uid="{00000000-0005-0000-0000-000066170000}"/>
    <cellStyle name="Calculation 3 3 2 6 2" xfId="6271" xr:uid="{00000000-0005-0000-0000-000067170000}"/>
    <cellStyle name="Calculation 3 3 2 6 2 2" xfId="6272" xr:uid="{00000000-0005-0000-0000-000068170000}"/>
    <cellStyle name="Calculation 3 3 2 6 3" xfId="6273" xr:uid="{00000000-0005-0000-0000-000069170000}"/>
    <cellStyle name="Calculation 3 3 2 6 3 2" xfId="6274" xr:uid="{00000000-0005-0000-0000-00006A170000}"/>
    <cellStyle name="Calculation 3 3 2 6 4" xfId="6275" xr:uid="{00000000-0005-0000-0000-00006B170000}"/>
    <cellStyle name="Calculation 3 3 2 6 5" xfId="6276" xr:uid="{00000000-0005-0000-0000-00006C170000}"/>
    <cellStyle name="Calculation 3 3 2 6 6" xfId="6277" xr:uid="{00000000-0005-0000-0000-00006D170000}"/>
    <cellStyle name="Calculation 3 3 2 7" xfId="6278" xr:uid="{00000000-0005-0000-0000-00006E170000}"/>
    <cellStyle name="Calculation 3 3 2 7 2" xfId="6279" xr:uid="{00000000-0005-0000-0000-00006F170000}"/>
    <cellStyle name="Calculation 3 3 2 8" xfId="6280" xr:uid="{00000000-0005-0000-0000-000070170000}"/>
    <cellStyle name="Calculation 3 3 2 8 2" xfId="6281" xr:uid="{00000000-0005-0000-0000-000071170000}"/>
    <cellStyle name="Calculation 3 3 2 9" xfId="6282" xr:uid="{00000000-0005-0000-0000-000072170000}"/>
    <cellStyle name="Calculation 3 3 3" xfId="6283" xr:uid="{00000000-0005-0000-0000-000073170000}"/>
    <cellStyle name="Calculation 3 3 3 10" xfId="6284" xr:uid="{00000000-0005-0000-0000-000074170000}"/>
    <cellStyle name="Calculation 3 3 3 2" xfId="6285" xr:uid="{00000000-0005-0000-0000-000075170000}"/>
    <cellStyle name="Calculation 3 3 3 2 10" xfId="6286" xr:uid="{00000000-0005-0000-0000-000076170000}"/>
    <cellStyle name="Calculation 3 3 3 2 2" xfId="6287" xr:uid="{00000000-0005-0000-0000-000077170000}"/>
    <cellStyle name="Calculation 3 3 3 2 2 2" xfId="6288" xr:uid="{00000000-0005-0000-0000-000078170000}"/>
    <cellStyle name="Calculation 3 3 3 2 2 2 2" xfId="6289" xr:uid="{00000000-0005-0000-0000-000079170000}"/>
    <cellStyle name="Calculation 3 3 3 2 2 2 2 2" xfId="6290" xr:uid="{00000000-0005-0000-0000-00007A170000}"/>
    <cellStyle name="Calculation 3 3 3 2 2 2 2 2 2" xfId="6291" xr:uid="{00000000-0005-0000-0000-00007B170000}"/>
    <cellStyle name="Calculation 3 3 3 2 2 2 2 3" xfId="6292" xr:uid="{00000000-0005-0000-0000-00007C170000}"/>
    <cellStyle name="Calculation 3 3 3 2 2 2 2 3 2" xfId="6293" xr:uid="{00000000-0005-0000-0000-00007D170000}"/>
    <cellStyle name="Calculation 3 3 3 2 2 2 2 4" xfId="6294" xr:uid="{00000000-0005-0000-0000-00007E170000}"/>
    <cellStyle name="Calculation 3 3 3 2 2 2 2 5" xfId="6295" xr:uid="{00000000-0005-0000-0000-00007F170000}"/>
    <cellStyle name="Calculation 3 3 3 2 2 2 2 6" xfId="6296" xr:uid="{00000000-0005-0000-0000-000080170000}"/>
    <cellStyle name="Calculation 3 3 3 2 2 2 3" xfId="6297" xr:uid="{00000000-0005-0000-0000-000081170000}"/>
    <cellStyle name="Calculation 3 3 3 2 2 2 3 2" xfId="6298" xr:uid="{00000000-0005-0000-0000-000082170000}"/>
    <cellStyle name="Calculation 3 3 3 2 2 2 4" xfId="6299" xr:uid="{00000000-0005-0000-0000-000083170000}"/>
    <cellStyle name="Calculation 3 3 3 2 2 2 4 2" xfId="6300" xr:uid="{00000000-0005-0000-0000-000084170000}"/>
    <cellStyle name="Calculation 3 3 3 2 2 2 5" xfId="6301" xr:uid="{00000000-0005-0000-0000-000085170000}"/>
    <cellStyle name="Calculation 3 3 3 2 2 2 6" xfId="6302" xr:uid="{00000000-0005-0000-0000-000086170000}"/>
    <cellStyle name="Calculation 3 3 3 2 2 2 7" xfId="6303" xr:uid="{00000000-0005-0000-0000-000087170000}"/>
    <cellStyle name="Calculation 3 3 3 2 2 3" xfId="6304" xr:uid="{00000000-0005-0000-0000-000088170000}"/>
    <cellStyle name="Calculation 3 3 3 2 2 3 2" xfId="6305" xr:uid="{00000000-0005-0000-0000-000089170000}"/>
    <cellStyle name="Calculation 3 3 3 2 2 3 2 2" xfId="6306" xr:uid="{00000000-0005-0000-0000-00008A170000}"/>
    <cellStyle name="Calculation 3 3 3 2 2 3 3" xfId="6307" xr:uid="{00000000-0005-0000-0000-00008B170000}"/>
    <cellStyle name="Calculation 3 3 3 2 2 3 3 2" xfId="6308" xr:uid="{00000000-0005-0000-0000-00008C170000}"/>
    <cellStyle name="Calculation 3 3 3 2 2 3 4" xfId="6309" xr:uid="{00000000-0005-0000-0000-00008D170000}"/>
    <cellStyle name="Calculation 3 3 3 2 2 3 5" xfId="6310" xr:uid="{00000000-0005-0000-0000-00008E170000}"/>
    <cellStyle name="Calculation 3 3 3 2 2 3 6" xfId="6311" xr:uid="{00000000-0005-0000-0000-00008F170000}"/>
    <cellStyle name="Calculation 3 3 3 2 2 4" xfId="6312" xr:uid="{00000000-0005-0000-0000-000090170000}"/>
    <cellStyle name="Calculation 3 3 3 2 2 4 2" xfId="6313" xr:uid="{00000000-0005-0000-0000-000091170000}"/>
    <cellStyle name="Calculation 3 3 3 2 2 5" xfId="6314" xr:uid="{00000000-0005-0000-0000-000092170000}"/>
    <cellStyle name="Calculation 3 3 3 2 2 5 2" xfId="6315" xr:uid="{00000000-0005-0000-0000-000093170000}"/>
    <cellStyle name="Calculation 3 3 3 2 2 6" xfId="6316" xr:uid="{00000000-0005-0000-0000-000094170000}"/>
    <cellStyle name="Calculation 3 3 3 2 2 7" xfId="6317" xr:uid="{00000000-0005-0000-0000-000095170000}"/>
    <cellStyle name="Calculation 3 3 3 2 2 8" xfId="6318" xr:uid="{00000000-0005-0000-0000-000096170000}"/>
    <cellStyle name="Calculation 3 3 3 2 3" xfId="6319" xr:uid="{00000000-0005-0000-0000-000097170000}"/>
    <cellStyle name="Calculation 3 3 3 2 3 2" xfId="6320" xr:uid="{00000000-0005-0000-0000-000098170000}"/>
    <cellStyle name="Calculation 3 3 3 2 3 2 2" xfId="6321" xr:uid="{00000000-0005-0000-0000-000099170000}"/>
    <cellStyle name="Calculation 3 3 3 2 3 2 2 2" xfId="6322" xr:uid="{00000000-0005-0000-0000-00009A170000}"/>
    <cellStyle name="Calculation 3 3 3 2 3 2 2 2 2" xfId="6323" xr:uid="{00000000-0005-0000-0000-00009B170000}"/>
    <cellStyle name="Calculation 3 3 3 2 3 2 2 3" xfId="6324" xr:uid="{00000000-0005-0000-0000-00009C170000}"/>
    <cellStyle name="Calculation 3 3 3 2 3 2 2 3 2" xfId="6325" xr:uid="{00000000-0005-0000-0000-00009D170000}"/>
    <cellStyle name="Calculation 3 3 3 2 3 2 2 4" xfId="6326" xr:uid="{00000000-0005-0000-0000-00009E170000}"/>
    <cellStyle name="Calculation 3 3 3 2 3 2 2 5" xfId="6327" xr:uid="{00000000-0005-0000-0000-00009F170000}"/>
    <cellStyle name="Calculation 3 3 3 2 3 2 2 6" xfId="6328" xr:uid="{00000000-0005-0000-0000-0000A0170000}"/>
    <cellStyle name="Calculation 3 3 3 2 3 2 3" xfId="6329" xr:uid="{00000000-0005-0000-0000-0000A1170000}"/>
    <cellStyle name="Calculation 3 3 3 2 3 2 3 2" xfId="6330" xr:uid="{00000000-0005-0000-0000-0000A2170000}"/>
    <cellStyle name="Calculation 3 3 3 2 3 2 4" xfId="6331" xr:uid="{00000000-0005-0000-0000-0000A3170000}"/>
    <cellStyle name="Calculation 3 3 3 2 3 2 4 2" xfId="6332" xr:uid="{00000000-0005-0000-0000-0000A4170000}"/>
    <cellStyle name="Calculation 3 3 3 2 3 2 5" xfId="6333" xr:uid="{00000000-0005-0000-0000-0000A5170000}"/>
    <cellStyle name="Calculation 3 3 3 2 3 2 6" xfId="6334" xr:uid="{00000000-0005-0000-0000-0000A6170000}"/>
    <cellStyle name="Calculation 3 3 3 2 3 2 7" xfId="6335" xr:uid="{00000000-0005-0000-0000-0000A7170000}"/>
    <cellStyle name="Calculation 3 3 3 2 3 3" xfId="6336" xr:uid="{00000000-0005-0000-0000-0000A8170000}"/>
    <cellStyle name="Calculation 3 3 3 2 3 3 2" xfId="6337" xr:uid="{00000000-0005-0000-0000-0000A9170000}"/>
    <cellStyle name="Calculation 3 3 3 2 3 3 2 2" xfId="6338" xr:uid="{00000000-0005-0000-0000-0000AA170000}"/>
    <cellStyle name="Calculation 3 3 3 2 3 3 3" xfId="6339" xr:uid="{00000000-0005-0000-0000-0000AB170000}"/>
    <cellStyle name="Calculation 3 3 3 2 3 3 3 2" xfId="6340" xr:uid="{00000000-0005-0000-0000-0000AC170000}"/>
    <cellStyle name="Calculation 3 3 3 2 3 3 4" xfId="6341" xr:uid="{00000000-0005-0000-0000-0000AD170000}"/>
    <cellStyle name="Calculation 3 3 3 2 3 3 5" xfId="6342" xr:uid="{00000000-0005-0000-0000-0000AE170000}"/>
    <cellStyle name="Calculation 3 3 3 2 3 3 6" xfId="6343" xr:uid="{00000000-0005-0000-0000-0000AF170000}"/>
    <cellStyle name="Calculation 3 3 3 2 3 4" xfId="6344" xr:uid="{00000000-0005-0000-0000-0000B0170000}"/>
    <cellStyle name="Calculation 3 3 3 2 3 4 2" xfId="6345" xr:uid="{00000000-0005-0000-0000-0000B1170000}"/>
    <cellStyle name="Calculation 3 3 3 2 3 5" xfId="6346" xr:uid="{00000000-0005-0000-0000-0000B2170000}"/>
    <cellStyle name="Calculation 3 3 3 2 3 5 2" xfId="6347" xr:uid="{00000000-0005-0000-0000-0000B3170000}"/>
    <cellStyle name="Calculation 3 3 3 2 3 6" xfId="6348" xr:uid="{00000000-0005-0000-0000-0000B4170000}"/>
    <cellStyle name="Calculation 3 3 3 2 3 7" xfId="6349" xr:uid="{00000000-0005-0000-0000-0000B5170000}"/>
    <cellStyle name="Calculation 3 3 3 2 3 8" xfId="6350" xr:uid="{00000000-0005-0000-0000-0000B6170000}"/>
    <cellStyle name="Calculation 3 3 3 2 4" xfId="6351" xr:uid="{00000000-0005-0000-0000-0000B7170000}"/>
    <cellStyle name="Calculation 3 3 3 2 4 2" xfId="6352" xr:uid="{00000000-0005-0000-0000-0000B8170000}"/>
    <cellStyle name="Calculation 3 3 3 2 4 2 2" xfId="6353" xr:uid="{00000000-0005-0000-0000-0000B9170000}"/>
    <cellStyle name="Calculation 3 3 3 2 4 2 2 2" xfId="6354" xr:uid="{00000000-0005-0000-0000-0000BA170000}"/>
    <cellStyle name="Calculation 3 3 3 2 4 2 3" xfId="6355" xr:uid="{00000000-0005-0000-0000-0000BB170000}"/>
    <cellStyle name="Calculation 3 3 3 2 4 2 3 2" xfId="6356" xr:uid="{00000000-0005-0000-0000-0000BC170000}"/>
    <cellStyle name="Calculation 3 3 3 2 4 2 4" xfId="6357" xr:uid="{00000000-0005-0000-0000-0000BD170000}"/>
    <cellStyle name="Calculation 3 3 3 2 4 2 5" xfId="6358" xr:uid="{00000000-0005-0000-0000-0000BE170000}"/>
    <cellStyle name="Calculation 3 3 3 2 4 2 6" xfId="6359" xr:uid="{00000000-0005-0000-0000-0000BF170000}"/>
    <cellStyle name="Calculation 3 3 3 2 4 3" xfId="6360" xr:uid="{00000000-0005-0000-0000-0000C0170000}"/>
    <cellStyle name="Calculation 3 3 3 2 4 3 2" xfId="6361" xr:uid="{00000000-0005-0000-0000-0000C1170000}"/>
    <cellStyle name="Calculation 3 3 3 2 4 4" xfId="6362" xr:uid="{00000000-0005-0000-0000-0000C2170000}"/>
    <cellStyle name="Calculation 3 3 3 2 4 4 2" xfId="6363" xr:uid="{00000000-0005-0000-0000-0000C3170000}"/>
    <cellStyle name="Calculation 3 3 3 2 4 5" xfId="6364" xr:uid="{00000000-0005-0000-0000-0000C4170000}"/>
    <cellStyle name="Calculation 3 3 3 2 4 6" xfId="6365" xr:uid="{00000000-0005-0000-0000-0000C5170000}"/>
    <cellStyle name="Calculation 3 3 3 2 4 7" xfId="6366" xr:uid="{00000000-0005-0000-0000-0000C6170000}"/>
    <cellStyle name="Calculation 3 3 3 2 5" xfId="6367" xr:uid="{00000000-0005-0000-0000-0000C7170000}"/>
    <cellStyle name="Calculation 3 3 3 2 5 2" xfId="6368" xr:uid="{00000000-0005-0000-0000-0000C8170000}"/>
    <cellStyle name="Calculation 3 3 3 2 5 2 2" xfId="6369" xr:uid="{00000000-0005-0000-0000-0000C9170000}"/>
    <cellStyle name="Calculation 3 3 3 2 5 3" xfId="6370" xr:uid="{00000000-0005-0000-0000-0000CA170000}"/>
    <cellStyle name="Calculation 3 3 3 2 5 3 2" xfId="6371" xr:uid="{00000000-0005-0000-0000-0000CB170000}"/>
    <cellStyle name="Calculation 3 3 3 2 5 4" xfId="6372" xr:uid="{00000000-0005-0000-0000-0000CC170000}"/>
    <cellStyle name="Calculation 3 3 3 2 5 5" xfId="6373" xr:uid="{00000000-0005-0000-0000-0000CD170000}"/>
    <cellStyle name="Calculation 3 3 3 2 5 6" xfId="6374" xr:uid="{00000000-0005-0000-0000-0000CE170000}"/>
    <cellStyle name="Calculation 3 3 3 2 6" xfId="6375" xr:uid="{00000000-0005-0000-0000-0000CF170000}"/>
    <cellStyle name="Calculation 3 3 3 2 6 2" xfId="6376" xr:uid="{00000000-0005-0000-0000-0000D0170000}"/>
    <cellStyle name="Calculation 3 3 3 2 7" xfId="6377" xr:uid="{00000000-0005-0000-0000-0000D1170000}"/>
    <cellStyle name="Calculation 3 3 3 2 7 2" xfId="6378" xr:uid="{00000000-0005-0000-0000-0000D2170000}"/>
    <cellStyle name="Calculation 3 3 3 2 8" xfId="6379" xr:uid="{00000000-0005-0000-0000-0000D3170000}"/>
    <cellStyle name="Calculation 3 3 3 2 9" xfId="6380" xr:uid="{00000000-0005-0000-0000-0000D4170000}"/>
    <cellStyle name="Calculation 3 3 3 3" xfId="6381" xr:uid="{00000000-0005-0000-0000-0000D5170000}"/>
    <cellStyle name="Calculation 3 3 3 3 2" xfId="6382" xr:uid="{00000000-0005-0000-0000-0000D6170000}"/>
    <cellStyle name="Calculation 3 3 3 3 2 2" xfId="6383" xr:uid="{00000000-0005-0000-0000-0000D7170000}"/>
    <cellStyle name="Calculation 3 3 3 3 2 2 2" xfId="6384" xr:uid="{00000000-0005-0000-0000-0000D8170000}"/>
    <cellStyle name="Calculation 3 3 3 3 2 2 2 2" xfId="6385" xr:uid="{00000000-0005-0000-0000-0000D9170000}"/>
    <cellStyle name="Calculation 3 3 3 3 2 2 3" xfId="6386" xr:uid="{00000000-0005-0000-0000-0000DA170000}"/>
    <cellStyle name="Calculation 3 3 3 3 2 2 3 2" xfId="6387" xr:uid="{00000000-0005-0000-0000-0000DB170000}"/>
    <cellStyle name="Calculation 3 3 3 3 2 2 4" xfId="6388" xr:uid="{00000000-0005-0000-0000-0000DC170000}"/>
    <cellStyle name="Calculation 3 3 3 3 2 2 5" xfId="6389" xr:uid="{00000000-0005-0000-0000-0000DD170000}"/>
    <cellStyle name="Calculation 3 3 3 3 2 2 6" xfId="6390" xr:uid="{00000000-0005-0000-0000-0000DE170000}"/>
    <cellStyle name="Calculation 3 3 3 3 2 3" xfId="6391" xr:uid="{00000000-0005-0000-0000-0000DF170000}"/>
    <cellStyle name="Calculation 3 3 3 3 2 3 2" xfId="6392" xr:uid="{00000000-0005-0000-0000-0000E0170000}"/>
    <cellStyle name="Calculation 3 3 3 3 2 4" xfId="6393" xr:uid="{00000000-0005-0000-0000-0000E1170000}"/>
    <cellStyle name="Calculation 3 3 3 3 2 4 2" xfId="6394" xr:uid="{00000000-0005-0000-0000-0000E2170000}"/>
    <cellStyle name="Calculation 3 3 3 3 2 5" xfId="6395" xr:uid="{00000000-0005-0000-0000-0000E3170000}"/>
    <cellStyle name="Calculation 3 3 3 3 2 6" xfId="6396" xr:uid="{00000000-0005-0000-0000-0000E4170000}"/>
    <cellStyle name="Calculation 3 3 3 3 2 7" xfId="6397" xr:uid="{00000000-0005-0000-0000-0000E5170000}"/>
    <cellStyle name="Calculation 3 3 3 3 3" xfId="6398" xr:uid="{00000000-0005-0000-0000-0000E6170000}"/>
    <cellStyle name="Calculation 3 3 3 3 3 2" xfId="6399" xr:uid="{00000000-0005-0000-0000-0000E7170000}"/>
    <cellStyle name="Calculation 3 3 3 3 3 2 2" xfId="6400" xr:uid="{00000000-0005-0000-0000-0000E8170000}"/>
    <cellStyle name="Calculation 3 3 3 3 3 3" xfId="6401" xr:uid="{00000000-0005-0000-0000-0000E9170000}"/>
    <cellStyle name="Calculation 3 3 3 3 3 3 2" xfId="6402" xr:uid="{00000000-0005-0000-0000-0000EA170000}"/>
    <cellStyle name="Calculation 3 3 3 3 3 4" xfId="6403" xr:uid="{00000000-0005-0000-0000-0000EB170000}"/>
    <cellStyle name="Calculation 3 3 3 3 3 5" xfId="6404" xr:uid="{00000000-0005-0000-0000-0000EC170000}"/>
    <cellStyle name="Calculation 3 3 3 3 3 6" xfId="6405" xr:uid="{00000000-0005-0000-0000-0000ED170000}"/>
    <cellStyle name="Calculation 3 3 3 3 4" xfId="6406" xr:uid="{00000000-0005-0000-0000-0000EE170000}"/>
    <cellStyle name="Calculation 3 3 3 3 4 2" xfId="6407" xr:uid="{00000000-0005-0000-0000-0000EF170000}"/>
    <cellStyle name="Calculation 3 3 3 3 5" xfId="6408" xr:uid="{00000000-0005-0000-0000-0000F0170000}"/>
    <cellStyle name="Calculation 3 3 3 3 5 2" xfId="6409" xr:uid="{00000000-0005-0000-0000-0000F1170000}"/>
    <cellStyle name="Calculation 3 3 3 3 6" xfId="6410" xr:uid="{00000000-0005-0000-0000-0000F2170000}"/>
    <cellStyle name="Calculation 3 3 3 3 7" xfId="6411" xr:uid="{00000000-0005-0000-0000-0000F3170000}"/>
    <cellStyle name="Calculation 3 3 3 3 8" xfId="6412" xr:uid="{00000000-0005-0000-0000-0000F4170000}"/>
    <cellStyle name="Calculation 3 3 3 4" xfId="6413" xr:uid="{00000000-0005-0000-0000-0000F5170000}"/>
    <cellStyle name="Calculation 3 3 3 4 2" xfId="6414" xr:uid="{00000000-0005-0000-0000-0000F6170000}"/>
    <cellStyle name="Calculation 3 3 3 4 2 2" xfId="6415" xr:uid="{00000000-0005-0000-0000-0000F7170000}"/>
    <cellStyle name="Calculation 3 3 3 4 2 2 2" xfId="6416" xr:uid="{00000000-0005-0000-0000-0000F8170000}"/>
    <cellStyle name="Calculation 3 3 3 4 2 3" xfId="6417" xr:uid="{00000000-0005-0000-0000-0000F9170000}"/>
    <cellStyle name="Calculation 3 3 3 4 2 3 2" xfId="6418" xr:uid="{00000000-0005-0000-0000-0000FA170000}"/>
    <cellStyle name="Calculation 3 3 3 4 2 4" xfId="6419" xr:uid="{00000000-0005-0000-0000-0000FB170000}"/>
    <cellStyle name="Calculation 3 3 3 4 2 5" xfId="6420" xr:uid="{00000000-0005-0000-0000-0000FC170000}"/>
    <cellStyle name="Calculation 3 3 3 4 2 6" xfId="6421" xr:uid="{00000000-0005-0000-0000-0000FD170000}"/>
    <cellStyle name="Calculation 3 3 3 4 3" xfId="6422" xr:uid="{00000000-0005-0000-0000-0000FE170000}"/>
    <cellStyle name="Calculation 3 3 3 4 3 2" xfId="6423" xr:uid="{00000000-0005-0000-0000-0000FF170000}"/>
    <cellStyle name="Calculation 3 3 3 4 4" xfId="6424" xr:uid="{00000000-0005-0000-0000-000000180000}"/>
    <cellStyle name="Calculation 3 3 3 4 4 2" xfId="6425" xr:uid="{00000000-0005-0000-0000-000001180000}"/>
    <cellStyle name="Calculation 3 3 3 4 5" xfId="6426" xr:uid="{00000000-0005-0000-0000-000002180000}"/>
    <cellStyle name="Calculation 3 3 3 4 6" xfId="6427" xr:uid="{00000000-0005-0000-0000-000003180000}"/>
    <cellStyle name="Calculation 3 3 3 4 7" xfId="6428" xr:uid="{00000000-0005-0000-0000-000004180000}"/>
    <cellStyle name="Calculation 3 3 3 5" xfId="6429" xr:uid="{00000000-0005-0000-0000-000005180000}"/>
    <cellStyle name="Calculation 3 3 3 5 2" xfId="6430" xr:uid="{00000000-0005-0000-0000-000006180000}"/>
    <cellStyle name="Calculation 3 3 3 5 2 2" xfId="6431" xr:uid="{00000000-0005-0000-0000-000007180000}"/>
    <cellStyle name="Calculation 3 3 3 5 3" xfId="6432" xr:uid="{00000000-0005-0000-0000-000008180000}"/>
    <cellStyle name="Calculation 3 3 3 5 3 2" xfId="6433" xr:uid="{00000000-0005-0000-0000-000009180000}"/>
    <cellStyle name="Calculation 3 3 3 5 4" xfId="6434" xr:uid="{00000000-0005-0000-0000-00000A180000}"/>
    <cellStyle name="Calculation 3 3 3 5 5" xfId="6435" xr:uid="{00000000-0005-0000-0000-00000B180000}"/>
    <cellStyle name="Calculation 3 3 3 5 6" xfId="6436" xr:uid="{00000000-0005-0000-0000-00000C180000}"/>
    <cellStyle name="Calculation 3 3 3 6" xfId="6437" xr:uid="{00000000-0005-0000-0000-00000D180000}"/>
    <cellStyle name="Calculation 3 3 3 6 2" xfId="6438" xr:uid="{00000000-0005-0000-0000-00000E180000}"/>
    <cellStyle name="Calculation 3 3 3 7" xfId="6439" xr:uid="{00000000-0005-0000-0000-00000F180000}"/>
    <cellStyle name="Calculation 3 3 3 7 2" xfId="6440" xr:uid="{00000000-0005-0000-0000-000010180000}"/>
    <cellStyle name="Calculation 3 3 3 8" xfId="6441" xr:uid="{00000000-0005-0000-0000-000011180000}"/>
    <cellStyle name="Calculation 3 3 3 9" xfId="6442" xr:uid="{00000000-0005-0000-0000-000012180000}"/>
    <cellStyle name="Calculation 3 3 4" xfId="6443" xr:uid="{00000000-0005-0000-0000-000013180000}"/>
    <cellStyle name="Calculation 3 3 4 10" xfId="6444" xr:uid="{00000000-0005-0000-0000-000014180000}"/>
    <cellStyle name="Calculation 3 3 4 2" xfId="6445" xr:uid="{00000000-0005-0000-0000-000015180000}"/>
    <cellStyle name="Calculation 3 3 4 2 2" xfId="6446" xr:uid="{00000000-0005-0000-0000-000016180000}"/>
    <cellStyle name="Calculation 3 3 4 2 2 2" xfId="6447" xr:uid="{00000000-0005-0000-0000-000017180000}"/>
    <cellStyle name="Calculation 3 3 4 2 2 2 2" xfId="6448" xr:uid="{00000000-0005-0000-0000-000018180000}"/>
    <cellStyle name="Calculation 3 3 4 2 2 2 2 2" xfId="6449" xr:uid="{00000000-0005-0000-0000-000019180000}"/>
    <cellStyle name="Calculation 3 3 4 2 2 2 3" xfId="6450" xr:uid="{00000000-0005-0000-0000-00001A180000}"/>
    <cellStyle name="Calculation 3 3 4 2 2 2 3 2" xfId="6451" xr:uid="{00000000-0005-0000-0000-00001B180000}"/>
    <cellStyle name="Calculation 3 3 4 2 2 2 4" xfId="6452" xr:uid="{00000000-0005-0000-0000-00001C180000}"/>
    <cellStyle name="Calculation 3 3 4 2 2 2 5" xfId="6453" xr:uid="{00000000-0005-0000-0000-00001D180000}"/>
    <cellStyle name="Calculation 3 3 4 2 2 2 6" xfId="6454" xr:uid="{00000000-0005-0000-0000-00001E180000}"/>
    <cellStyle name="Calculation 3 3 4 2 2 3" xfId="6455" xr:uid="{00000000-0005-0000-0000-00001F180000}"/>
    <cellStyle name="Calculation 3 3 4 2 2 3 2" xfId="6456" xr:uid="{00000000-0005-0000-0000-000020180000}"/>
    <cellStyle name="Calculation 3 3 4 2 2 4" xfId="6457" xr:uid="{00000000-0005-0000-0000-000021180000}"/>
    <cellStyle name="Calculation 3 3 4 2 2 4 2" xfId="6458" xr:uid="{00000000-0005-0000-0000-000022180000}"/>
    <cellStyle name="Calculation 3 3 4 2 2 5" xfId="6459" xr:uid="{00000000-0005-0000-0000-000023180000}"/>
    <cellStyle name="Calculation 3 3 4 2 2 6" xfId="6460" xr:uid="{00000000-0005-0000-0000-000024180000}"/>
    <cellStyle name="Calculation 3 3 4 2 2 7" xfId="6461" xr:uid="{00000000-0005-0000-0000-000025180000}"/>
    <cellStyle name="Calculation 3 3 4 2 3" xfId="6462" xr:uid="{00000000-0005-0000-0000-000026180000}"/>
    <cellStyle name="Calculation 3 3 4 2 3 2" xfId="6463" xr:uid="{00000000-0005-0000-0000-000027180000}"/>
    <cellStyle name="Calculation 3 3 4 2 3 2 2" xfId="6464" xr:uid="{00000000-0005-0000-0000-000028180000}"/>
    <cellStyle name="Calculation 3 3 4 2 3 3" xfId="6465" xr:uid="{00000000-0005-0000-0000-000029180000}"/>
    <cellStyle name="Calculation 3 3 4 2 3 3 2" xfId="6466" xr:uid="{00000000-0005-0000-0000-00002A180000}"/>
    <cellStyle name="Calculation 3 3 4 2 3 4" xfId="6467" xr:uid="{00000000-0005-0000-0000-00002B180000}"/>
    <cellStyle name="Calculation 3 3 4 2 3 5" xfId="6468" xr:uid="{00000000-0005-0000-0000-00002C180000}"/>
    <cellStyle name="Calculation 3 3 4 2 3 6" xfId="6469" xr:uid="{00000000-0005-0000-0000-00002D180000}"/>
    <cellStyle name="Calculation 3 3 4 2 4" xfId="6470" xr:uid="{00000000-0005-0000-0000-00002E180000}"/>
    <cellStyle name="Calculation 3 3 4 2 4 2" xfId="6471" xr:uid="{00000000-0005-0000-0000-00002F180000}"/>
    <cellStyle name="Calculation 3 3 4 2 5" xfId="6472" xr:uid="{00000000-0005-0000-0000-000030180000}"/>
    <cellStyle name="Calculation 3 3 4 2 5 2" xfId="6473" xr:uid="{00000000-0005-0000-0000-000031180000}"/>
    <cellStyle name="Calculation 3 3 4 2 6" xfId="6474" xr:uid="{00000000-0005-0000-0000-000032180000}"/>
    <cellStyle name="Calculation 3 3 4 2 7" xfId="6475" xr:uid="{00000000-0005-0000-0000-000033180000}"/>
    <cellStyle name="Calculation 3 3 4 2 8" xfId="6476" xr:uid="{00000000-0005-0000-0000-000034180000}"/>
    <cellStyle name="Calculation 3 3 4 3" xfId="6477" xr:uid="{00000000-0005-0000-0000-000035180000}"/>
    <cellStyle name="Calculation 3 3 4 3 2" xfId="6478" xr:uid="{00000000-0005-0000-0000-000036180000}"/>
    <cellStyle name="Calculation 3 3 4 3 2 2" xfId="6479" xr:uid="{00000000-0005-0000-0000-000037180000}"/>
    <cellStyle name="Calculation 3 3 4 3 2 2 2" xfId="6480" xr:uid="{00000000-0005-0000-0000-000038180000}"/>
    <cellStyle name="Calculation 3 3 4 3 2 2 2 2" xfId="6481" xr:uid="{00000000-0005-0000-0000-000039180000}"/>
    <cellStyle name="Calculation 3 3 4 3 2 2 3" xfId="6482" xr:uid="{00000000-0005-0000-0000-00003A180000}"/>
    <cellStyle name="Calculation 3 3 4 3 2 2 3 2" xfId="6483" xr:uid="{00000000-0005-0000-0000-00003B180000}"/>
    <cellStyle name="Calculation 3 3 4 3 2 2 4" xfId="6484" xr:uid="{00000000-0005-0000-0000-00003C180000}"/>
    <cellStyle name="Calculation 3 3 4 3 2 2 5" xfId="6485" xr:uid="{00000000-0005-0000-0000-00003D180000}"/>
    <cellStyle name="Calculation 3 3 4 3 2 2 6" xfId="6486" xr:uid="{00000000-0005-0000-0000-00003E180000}"/>
    <cellStyle name="Calculation 3 3 4 3 2 3" xfId="6487" xr:uid="{00000000-0005-0000-0000-00003F180000}"/>
    <cellStyle name="Calculation 3 3 4 3 2 3 2" xfId="6488" xr:uid="{00000000-0005-0000-0000-000040180000}"/>
    <cellStyle name="Calculation 3 3 4 3 2 4" xfId="6489" xr:uid="{00000000-0005-0000-0000-000041180000}"/>
    <cellStyle name="Calculation 3 3 4 3 2 4 2" xfId="6490" xr:uid="{00000000-0005-0000-0000-000042180000}"/>
    <cellStyle name="Calculation 3 3 4 3 2 5" xfId="6491" xr:uid="{00000000-0005-0000-0000-000043180000}"/>
    <cellStyle name="Calculation 3 3 4 3 2 6" xfId="6492" xr:uid="{00000000-0005-0000-0000-000044180000}"/>
    <cellStyle name="Calculation 3 3 4 3 2 7" xfId="6493" xr:uid="{00000000-0005-0000-0000-000045180000}"/>
    <cellStyle name="Calculation 3 3 4 3 3" xfId="6494" xr:uid="{00000000-0005-0000-0000-000046180000}"/>
    <cellStyle name="Calculation 3 3 4 3 3 2" xfId="6495" xr:uid="{00000000-0005-0000-0000-000047180000}"/>
    <cellStyle name="Calculation 3 3 4 3 3 2 2" xfId="6496" xr:uid="{00000000-0005-0000-0000-000048180000}"/>
    <cellStyle name="Calculation 3 3 4 3 3 3" xfId="6497" xr:uid="{00000000-0005-0000-0000-000049180000}"/>
    <cellStyle name="Calculation 3 3 4 3 3 3 2" xfId="6498" xr:uid="{00000000-0005-0000-0000-00004A180000}"/>
    <cellStyle name="Calculation 3 3 4 3 3 4" xfId="6499" xr:uid="{00000000-0005-0000-0000-00004B180000}"/>
    <cellStyle name="Calculation 3 3 4 3 3 5" xfId="6500" xr:uid="{00000000-0005-0000-0000-00004C180000}"/>
    <cellStyle name="Calculation 3 3 4 3 3 6" xfId="6501" xr:uid="{00000000-0005-0000-0000-00004D180000}"/>
    <cellStyle name="Calculation 3 3 4 3 4" xfId="6502" xr:uid="{00000000-0005-0000-0000-00004E180000}"/>
    <cellStyle name="Calculation 3 3 4 3 4 2" xfId="6503" xr:uid="{00000000-0005-0000-0000-00004F180000}"/>
    <cellStyle name="Calculation 3 3 4 3 5" xfId="6504" xr:uid="{00000000-0005-0000-0000-000050180000}"/>
    <cellStyle name="Calculation 3 3 4 3 5 2" xfId="6505" xr:uid="{00000000-0005-0000-0000-000051180000}"/>
    <cellStyle name="Calculation 3 3 4 3 6" xfId="6506" xr:uid="{00000000-0005-0000-0000-000052180000}"/>
    <cellStyle name="Calculation 3 3 4 3 7" xfId="6507" xr:uid="{00000000-0005-0000-0000-000053180000}"/>
    <cellStyle name="Calculation 3 3 4 3 8" xfId="6508" xr:uid="{00000000-0005-0000-0000-000054180000}"/>
    <cellStyle name="Calculation 3 3 4 4" xfId="6509" xr:uid="{00000000-0005-0000-0000-000055180000}"/>
    <cellStyle name="Calculation 3 3 4 4 2" xfId="6510" xr:uid="{00000000-0005-0000-0000-000056180000}"/>
    <cellStyle name="Calculation 3 3 4 4 2 2" xfId="6511" xr:uid="{00000000-0005-0000-0000-000057180000}"/>
    <cellStyle name="Calculation 3 3 4 4 2 2 2" xfId="6512" xr:uid="{00000000-0005-0000-0000-000058180000}"/>
    <cellStyle name="Calculation 3 3 4 4 2 3" xfId="6513" xr:uid="{00000000-0005-0000-0000-000059180000}"/>
    <cellStyle name="Calculation 3 3 4 4 2 3 2" xfId="6514" xr:uid="{00000000-0005-0000-0000-00005A180000}"/>
    <cellStyle name="Calculation 3 3 4 4 2 4" xfId="6515" xr:uid="{00000000-0005-0000-0000-00005B180000}"/>
    <cellStyle name="Calculation 3 3 4 4 2 5" xfId="6516" xr:uid="{00000000-0005-0000-0000-00005C180000}"/>
    <cellStyle name="Calculation 3 3 4 4 2 6" xfId="6517" xr:uid="{00000000-0005-0000-0000-00005D180000}"/>
    <cellStyle name="Calculation 3 3 4 4 3" xfId="6518" xr:uid="{00000000-0005-0000-0000-00005E180000}"/>
    <cellStyle name="Calculation 3 3 4 4 3 2" xfId="6519" xr:uid="{00000000-0005-0000-0000-00005F180000}"/>
    <cellStyle name="Calculation 3 3 4 4 4" xfId="6520" xr:uid="{00000000-0005-0000-0000-000060180000}"/>
    <cellStyle name="Calculation 3 3 4 4 4 2" xfId="6521" xr:uid="{00000000-0005-0000-0000-000061180000}"/>
    <cellStyle name="Calculation 3 3 4 4 5" xfId="6522" xr:uid="{00000000-0005-0000-0000-000062180000}"/>
    <cellStyle name="Calculation 3 3 4 4 6" xfId="6523" xr:uid="{00000000-0005-0000-0000-000063180000}"/>
    <cellStyle name="Calculation 3 3 4 4 7" xfId="6524" xr:uid="{00000000-0005-0000-0000-000064180000}"/>
    <cellStyle name="Calculation 3 3 4 5" xfId="6525" xr:uid="{00000000-0005-0000-0000-000065180000}"/>
    <cellStyle name="Calculation 3 3 4 5 2" xfId="6526" xr:uid="{00000000-0005-0000-0000-000066180000}"/>
    <cellStyle name="Calculation 3 3 4 5 2 2" xfId="6527" xr:uid="{00000000-0005-0000-0000-000067180000}"/>
    <cellStyle name="Calculation 3 3 4 5 3" xfId="6528" xr:uid="{00000000-0005-0000-0000-000068180000}"/>
    <cellStyle name="Calculation 3 3 4 5 3 2" xfId="6529" xr:uid="{00000000-0005-0000-0000-000069180000}"/>
    <cellStyle name="Calculation 3 3 4 5 4" xfId="6530" xr:uid="{00000000-0005-0000-0000-00006A180000}"/>
    <cellStyle name="Calculation 3 3 4 5 5" xfId="6531" xr:uid="{00000000-0005-0000-0000-00006B180000}"/>
    <cellStyle name="Calculation 3 3 4 5 6" xfId="6532" xr:uid="{00000000-0005-0000-0000-00006C180000}"/>
    <cellStyle name="Calculation 3 3 4 6" xfId="6533" xr:uid="{00000000-0005-0000-0000-00006D180000}"/>
    <cellStyle name="Calculation 3 3 4 6 2" xfId="6534" xr:uid="{00000000-0005-0000-0000-00006E180000}"/>
    <cellStyle name="Calculation 3 3 4 7" xfId="6535" xr:uid="{00000000-0005-0000-0000-00006F180000}"/>
    <cellStyle name="Calculation 3 3 4 7 2" xfId="6536" xr:uid="{00000000-0005-0000-0000-000070180000}"/>
    <cellStyle name="Calculation 3 3 4 8" xfId="6537" xr:uid="{00000000-0005-0000-0000-000071180000}"/>
    <cellStyle name="Calculation 3 3 4 9" xfId="6538" xr:uid="{00000000-0005-0000-0000-000072180000}"/>
    <cellStyle name="Calculation 3 3 5" xfId="6539" xr:uid="{00000000-0005-0000-0000-000073180000}"/>
    <cellStyle name="Calculation 3 3 5 2" xfId="6540" xr:uid="{00000000-0005-0000-0000-000074180000}"/>
    <cellStyle name="Calculation 3 3 5 2 2" xfId="6541" xr:uid="{00000000-0005-0000-0000-000075180000}"/>
    <cellStyle name="Calculation 3 3 5 2 2 2" xfId="6542" xr:uid="{00000000-0005-0000-0000-000076180000}"/>
    <cellStyle name="Calculation 3 3 5 2 2 2 2" xfId="6543" xr:uid="{00000000-0005-0000-0000-000077180000}"/>
    <cellStyle name="Calculation 3 3 5 2 2 3" xfId="6544" xr:uid="{00000000-0005-0000-0000-000078180000}"/>
    <cellStyle name="Calculation 3 3 5 2 2 3 2" xfId="6545" xr:uid="{00000000-0005-0000-0000-000079180000}"/>
    <cellStyle name="Calculation 3 3 5 2 2 4" xfId="6546" xr:uid="{00000000-0005-0000-0000-00007A180000}"/>
    <cellStyle name="Calculation 3 3 5 2 2 5" xfId="6547" xr:uid="{00000000-0005-0000-0000-00007B180000}"/>
    <cellStyle name="Calculation 3 3 5 2 2 6" xfId="6548" xr:uid="{00000000-0005-0000-0000-00007C180000}"/>
    <cellStyle name="Calculation 3 3 5 2 3" xfId="6549" xr:uid="{00000000-0005-0000-0000-00007D180000}"/>
    <cellStyle name="Calculation 3 3 5 2 3 2" xfId="6550" xr:uid="{00000000-0005-0000-0000-00007E180000}"/>
    <cellStyle name="Calculation 3 3 5 2 4" xfId="6551" xr:uid="{00000000-0005-0000-0000-00007F180000}"/>
    <cellStyle name="Calculation 3 3 5 2 4 2" xfId="6552" xr:uid="{00000000-0005-0000-0000-000080180000}"/>
    <cellStyle name="Calculation 3 3 5 2 5" xfId="6553" xr:uid="{00000000-0005-0000-0000-000081180000}"/>
    <cellStyle name="Calculation 3 3 5 2 6" xfId="6554" xr:uid="{00000000-0005-0000-0000-000082180000}"/>
    <cellStyle name="Calculation 3 3 5 2 7" xfId="6555" xr:uid="{00000000-0005-0000-0000-000083180000}"/>
    <cellStyle name="Calculation 3 3 5 3" xfId="6556" xr:uid="{00000000-0005-0000-0000-000084180000}"/>
    <cellStyle name="Calculation 3 3 5 3 2" xfId="6557" xr:uid="{00000000-0005-0000-0000-000085180000}"/>
    <cellStyle name="Calculation 3 3 5 3 2 2" xfId="6558" xr:uid="{00000000-0005-0000-0000-000086180000}"/>
    <cellStyle name="Calculation 3 3 5 3 3" xfId="6559" xr:uid="{00000000-0005-0000-0000-000087180000}"/>
    <cellStyle name="Calculation 3 3 5 3 3 2" xfId="6560" xr:uid="{00000000-0005-0000-0000-000088180000}"/>
    <cellStyle name="Calculation 3 3 5 3 4" xfId="6561" xr:uid="{00000000-0005-0000-0000-000089180000}"/>
    <cellStyle name="Calculation 3 3 5 3 5" xfId="6562" xr:uid="{00000000-0005-0000-0000-00008A180000}"/>
    <cellStyle name="Calculation 3 3 5 3 6" xfId="6563" xr:uid="{00000000-0005-0000-0000-00008B180000}"/>
    <cellStyle name="Calculation 3 3 5 4" xfId="6564" xr:uid="{00000000-0005-0000-0000-00008C180000}"/>
    <cellStyle name="Calculation 3 3 5 4 2" xfId="6565" xr:uid="{00000000-0005-0000-0000-00008D180000}"/>
    <cellStyle name="Calculation 3 3 5 5" xfId="6566" xr:uid="{00000000-0005-0000-0000-00008E180000}"/>
    <cellStyle name="Calculation 3 3 5 5 2" xfId="6567" xr:uid="{00000000-0005-0000-0000-00008F180000}"/>
    <cellStyle name="Calculation 3 3 5 6" xfId="6568" xr:uid="{00000000-0005-0000-0000-000090180000}"/>
    <cellStyle name="Calculation 3 3 5 7" xfId="6569" xr:uid="{00000000-0005-0000-0000-000091180000}"/>
    <cellStyle name="Calculation 3 3 5 8" xfId="6570" xr:uid="{00000000-0005-0000-0000-000092180000}"/>
    <cellStyle name="Calculation 3 3 6" xfId="6571" xr:uid="{00000000-0005-0000-0000-000093180000}"/>
    <cellStyle name="Calculation 3 3 6 2" xfId="6572" xr:uid="{00000000-0005-0000-0000-000094180000}"/>
    <cellStyle name="Calculation 3 3 6 2 2" xfId="6573" xr:uid="{00000000-0005-0000-0000-000095180000}"/>
    <cellStyle name="Calculation 3 3 6 2 2 2" xfId="6574" xr:uid="{00000000-0005-0000-0000-000096180000}"/>
    <cellStyle name="Calculation 3 3 6 2 3" xfId="6575" xr:uid="{00000000-0005-0000-0000-000097180000}"/>
    <cellStyle name="Calculation 3 3 6 2 3 2" xfId="6576" xr:uid="{00000000-0005-0000-0000-000098180000}"/>
    <cellStyle name="Calculation 3 3 6 2 4" xfId="6577" xr:uid="{00000000-0005-0000-0000-000099180000}"/>
    <cellStyle name="Calculation 3 3 6 2 5" xfId="6578" xr:uid="{00000000-0005-0000-0000-00009A180000}"/>
    <cellStyle name="Calculation 3 3 6 2 6" xfId="6579" xr:uid="{00000000-0005-0000-0000-00009B180000}"/>
    <cellStyle name="Calculation 3 3 6 3" xfId="6580" xr:uid="{00000000-0005-0000-0000-00009C180000}"/>
    <cellStyle name="Calculation 3 3 6 3 2" xfId="6581" xr:uid="{00000000-0005-0000-0000-00009D180000}"/>
    <cellStyle name="Calculation 3 3 6 4" xfId="6582" xr:uid="{00000000-0005-0000-0000-00009E180000}"/>
    <cellStyle name="Calculation 3 3 6 4 2" xfId="6583" xr:uid="{00000000-0005-0000-0000-00009F180000}"/>
    <cellStyle name="Calculation 3 3 6 5" xfId="6584" xr:uid="{00000000-0005-0000-0000-0000A0180000}"/>
    <cellStyle name="Calculation 3 3 6 6" xfId="6585" xr:uid="{00000000-0005-0000-0000-0000A1180000}"/>
    <cellStyle name="Calculation 3 3 6 7" xfId="6586" xr:uid="{00000000-0005-0000-0000-0000A2180000}"/>
    <cellStyle name="Calculation 3 3 7" xfId="6587" xr:uid="{00000000-0005-0000-0000-0000A3180000}"/>
    <cellStyle name="Calculation 3 3 7 2" xfId="6588" xr:uid="{00000000-0005-0000-0000-0000A4180000}"/>
    <cellStyle name="Calculation 3 3 7 2 2" xfId="6589" xr:uid="{00000000-0005-0000-0000-0000A5180000}"/>
    <cellStyle name="Calculation 3 3 7 3" xfId="6590" xr:uid="{00000000-0005-0000-0000-0000A6180000}"/>
    <cellStyle name="Calculation 3 3 7 3 2" xfId="6591" xr:uid="{00000000-0005-0000-0000-0000A7180000}"/>
    <cellStyle name="Calculation 3 3 7 4" xfId="6592" xr:uid="{00000000-0005-0000-0000-0000A8180000}"/>
    <cellStyle name="Calculation 3 3 7 5" xfId="6593" xr:uid="{00000000-0005-0000-0000-0000A9180000}"/>
    <cellStyle name="Calculation 3 3 7 6" xfId="6594" xr:uid="{00000000-0005-0000-0000-0000AA180000}"/>
    <cellStyle name="Calculation 3 3 8" xfId="6595" xr:uid="{00000000-0005-0000-0000-0000AB180000}"/>
    <cellStyle name="Calculation 3 3 8 2" xfId="6596" xr:uid="{00000000-0005-0000-0000-0000AC180000}"/>
    <cellStyle name="Calculation 3 3 9" xfId="6597" xr:uid="{00000000-0005-0000-0000-0000AD180000}"/>
    <cellStyle name="Calculation 3 3 9 2" xfId="6598" xr:uid="{00000000-0005-0000-0000-0000AE180000}"/>
    <cellStyle name="Calculation 3 4" xfId="6599" xr:uid="{00000000-0005-0000-0000-0000AF180000}"/>
    <cellStyle name="Calculation 3 4 10" xfId="6600" xr:uid="{00000000-0005-0000-0000-0000B0180000}"/>
    <cellStyle name="Calculation 3 4 11" xfId="6601" xr:uid="{00000000-0005-0000-0000-0000B1180000}"/>
    <cellStyle name="Calculation 3 4 2" xfId="6602" xr:uid="{00000000-0005-0000-0000-0000B2180000}"/>
    <cellStyle name="Calculation 3 4 2 10" xfId="6603" xr:uid="{00000000-0005-0000-0000-0000B3180000}"/>
    <cellStyle name="Calculation 3 4 2 2" xfId="6604" xr:uid="{00000000-0005-0000-0000-0000B4180000}"/>
    <cellStyle name="Calculation 3 4 2 2 10" xfId="6605" xr:uid="{00000000-0005-0000-0000-0000B5180000}"/>
    <cellStyle name="Calculation 3 4 2 2 2" xfId="6606" xr:uid="{00000000-0005-0000-0000-0000B6180000}"/>
    <cellStyle name="Calculation 3 4 2 2 2 2" xfId="6607" xr:uid="{00000000-0005-0000-0000-0000B7180000}"/>
    <cellStyle name="Calculation 3 4 2 2 2 2 2" xfId="6608" xr:uid="{00000000-0005-0000-0000-0000B8180000}"/>
    <cellStyle name="Calculation 3 4 2 2 2 2 2 2" xfId="6609" xr:uid="{00000000-0005-0000-0000-0000B9180000}"/>
    <cellStyle name="Calculation 3 4 2 2 2 2 2 2 2" xfId="6610" xr:uid="{00000000-0005-0000-0000-0000BA180000}"/>
    <cellStyle name="Calculation 3 4 2 2 2 2 2 3" xfId="6611" xr:uid="{00000000-0005-0000-0000-0000BB180000}"/>
    <cellStyle name="Calculation 3 4 2 2 2 2 2 3 2" xfId="6612" xr:uid="{00000000-0005-0000-0000-0000BC180000}"/>
    <cellStyle name="Calculation 3 4 2 2 2 2 2 4" xfId="6613" xr:uid="{00000000-0005-0000-0000-0000BD180000}"/>
    <cellStyle name="Calculation 3 4 2 2 2 2 2 5" xfId="6614" xr:uid="{00000000-0005-0000-0000-0000BE180000}"/>
    <cellStyle name="Calculation 3 4 2 2 2 2 2 6" xfId="6615" xr:uid="{00000000-0005-0000-0000-0000BF180000}"/>
    <cellStyle name="Calculation 3 4 2 2 2 2 3" xfId="6616" xr:uid="{00000000-0005-0000-0000-0000C0180000}"/>
    <cellStyle name="Calculation 3 4 2 2 2 2 3 2" xfId="6617" xr:uid="{00000000-0005-0000-0000-0000C1180000}"/>
    <cellStyle name="Calculation 3 4 2 2 2 2 4" xfId="6618" xr:uid="{00000000-0005-0000-0000-0000C2180000}"/>
    <cellStyle name="Calculation 3 4 2 2 2 2 4 2" xfId="6619" xr:uid="{00000000-0005-0000-0000-0000C3180000}"/>
    <cellStyle name="Calculation 3 4 2 2 2 2 5" xfId="6620" xr:uid="{00000000-0005-0000-0000-0000C4180000}"/>
    <cellStyle name="Calculation 3 4 2 2 2 2 6" xfId="6621" xr:uid="{00000000-0005-0000-0000-0000C5180000}"/>
    <cellStyle name="Calculation 3 4 2 2 2 2 7" xfId="6622" xr:uid="{00000000-0005-0000-0000-0000C6180000}"/>
    <cellStyle name="Calculation 3 4 2 2 2 3" xfId="6623" xr:uid="{00000000-0005-0000-0000-0000C7180000}"/>
    <cellStyle name="Calculation 3 4 2 2 2 3 2" xfId="6624" xr:uid="{00000000-0005-0000-0000-0000C8180000}"/>
    <cellStyle name="Calculation 3 4 2 2 2 3 2 2" xfId="6625" xr:uid="{00000000-0005-0000-0000-0000C9180000}"/>
    <cellStyle name="Calculation 3 4 2 2 2 3 3" xfId="6626" xr:uid="{00000000-0005-0000-0000-0000CA180000}"/>
    <cellStyle name="Calculation 3 4 2 2 2 3 3 2" xfId="6627" xr:uid="{00000000-0005-0000-0000-0000CB180000}"/>
    <cellStyle name="Calculation 3 4 2 2 2 3 4" xfId="6628" xr:uid="{00000000-0005-0000-0000-0000CC180000}"/>
    <cellStyle name="Calculation 3 4 2 2 2 3 5" xfId="6629" xr:uid="{00000000-0005-0000-0000-0000CD180000}"/>
    <cellStyle name="Calculation 3 4 2 2 2 3 6" xfId="6630" xr:uid="{00000000-0005-0000-0000-0000CE180000}"/>
    <cellStyle name="Calculation 3 4 2 2 2 4" xfId="6631" xr:uid="{00000000-0005-0000-0000-0000CF180000}"/>
    <cellStyle name="Calculation 3 4 2 2 2 4 2" xfId="6632" xr:uid="{00000000-0005-0000-0000-0000D0180000}"/>
    <cellStyle name="Calculation 3 4 2 2 2 5" xfId="6633" xr:uid="{00000000-0005-0000-0000-0000D1180000}"/>
    <cellStyle name="Calculation 3 4 2 2 2 5 2" xfId="6634" xr:uid="{00000000-0005-0000-0000-0000D2180000}"/>
    <cellStyle name="Calculation 3 4 2 2 2 6" xfId="6635" xr:uid="{00000000-0005-0000-0000-0000D3180000}"/>
    <cellStyle name="Calculation 3 4 2 2 2 7" xfId="6636" xr:uid="{00000000-0005-0000-0000-0000D4180000}"/>
    <cellStyle name="Calculation 3 4 2 2 2 8" xfId="6637" xr:uid="{00000000-0005-0000-0000-0000D5180000}"/>
    <cellStyle name="Calculation 3 4 2 2 3" xfId="6638" xr:uid="{00000000-0005-0000-0000-0000D6180000}"/>
    <cellStyle name="Calculation 3 4 2 2 3 2" xfId="6639" xr:uid="{00000000-0005-0000-0000-0000D7180000}"/>
    <cellStyle name="Calculation 3 4 2 2 3 2 2" xfId="6640" xr:uid="{00000000-0005-0000-0000-0000D8180000}"/>
    <cellStyle name="Calculation 3 4 2 2 3 2 2 2" xfId="6641" xr:uid="{00000000-0005-0000-0000-0000D9180000}"/>
    <cellStyle name="Calculation 3 4 2 2 3 2 2 2 2" xfId="6642" xr:uid="{00000000-0005-0000-0000-0000DA180000}"/>
    <cellStyle name="Calculation 3 4 2 2 3 2 2 3" xfId="6643" xr:uid="{00000000-0005-0000-0000-0000DB180000}"/>
    <cellStyle name="Calculation 3 4 2 2 3 2 2 3 2" xfId="6644" xr:uid="{00000000-0005-0000-0000-0000DC180000}"/>
    <cellStyle name="Calculation 3 4 2 2 3 2 2 4" xfId="6645" xr:uid="{00000000-0005-0000-0000-0000DD180000}"/>
    <cellStyle name="Calculation 3 4 2 2 3 2 2 5" xfId="6646" xr:uid="{00000000-0005-0000-0000-0000DE180000}"/>
    <cellStyle name="Calculation 3 4 2 2 3 2 2 6" xfId="6647" xr:uid="{00000000-0005-0000-0000-0000DF180000}"/>
    <cellStyle name="Calculation 3 4 2 2 3 2 3" xfId="6648" xr:uid="{00000000-0005-0000-0000-0000E0180000}"/>
    <cellStyle name="Calculation 3 4 2 2 3 2 3 2" xfId="6649" xr:uid="{00000000-0005-0000-0000-0000E1180000}"/>
    <cellStyle name="Calculation 3 4 2 2 3 2 4" xfId="6650" xr:uid="{00000000-0005-0000-0000-0000E2180000}"/>
    <cellStyle name="Calculation 3 4 2 2 3 2 4 2" xfId="6651" xr:uid="{00000000-0005-0000-0000-0000E3180000}"/>
    <cellStyle name="Calculation 3 4 2 2 3 2 5" xfId="6652" xr:uid="{00000000-0005-0000-0000-0000E4180000}"/>
    <cellStyle name="Calculation 3 4 2 2 3 2 6" xfId="6653" xr:uid="{00000000-0005-0000-0000-0000E5180000}"/>
    <cellStyle name="Calculation 3 4 2 2 3 2 7" xfId="6654" xr:uid="{00000000-0005-0000-0000-0000E6180000}"/>
    <cellStyle name="Calculation 3 4 2 2 3 3" xfId="6655" xr:uid="{00000000-0005-0000-0000-0000E7180000}"/>
    <cellStyle name="Calculation 3 4 2 2 3 3 2" xfId="6656" xr:uid="{00000000-0005-0000-0000-0000E8180000}"/>
    <cellStyle name="Calculation 3 4 2 2 3 3 2 2" xfId="6657" xr:uid="{00000000-0005-0000-0000-0000E9180000}"/>
    <cellStyle name="Calculation 3 4 2 2 3 3 3" xfId="6658" xr:uid="{00000000-0005-0000-0000-0000EA180000}"/>
    <cellStyle name="Calculation 3 4 2 2 3 3 3 2" xfId="6659" xr:uid="{00000000-0005-0000-0000-0000EB180000}"/>
    <cellStyle name="Calculation 3 4 2 2 3 3 4" xfId="6660" xr:uid="{00000000-0005-0000-0000-0000EC180000}"/>
    <cellStyle name="Calculation 3 4 2 2 3 3 5" xfId="6661" xr:uid="{00000000-0005-0000-0000-0000ED180000}"/>
    <cellStyle name="Calculation 3 4 2 2 3 3 6" xfId="6662" xr:uid="{00000000-0005-0000-0000-0000EE180000}"/>
    <cellStyle name="Calculation 3 4 2 2 3 4" xfId="6663" xr:uid="{00000000-0005-0000-0000-0000EF180000}"/>
    <cellStyle name="Calculation 3 4 2 2 3 4 2" xfId="6664" xr:uid="{00000000-0005-0000-0000-0000F0180000}"/>
    <cellStyle name="Calculation 3 4 2 2 3 5" xfId="6665" xr:uid="{00000000-0005-0000-0000-0000F1180000}"/>
    <cellStyle name="Calculation 3 4 2 2 3 5 2" xfId="6666" xr:uid="{00000000-0005-0000-0000-0000F2180000}"/>
    <cellStyle name="Calculation 3 4 2 2 3 6" xfId="6667" xr:uid="{00000000-0005-0000-0000-0000F3180000}"/>
    <cellStyle name="Calculation 3 4 2 2 3 7" xfId="6668" xr:uid="{00000000-0005-0000-0000-0000F4180000}"/>
    <cellStyle name="Calculation 3 4 2 2 3 8" xfId="6669" xr:uid="{00000000-0005-0000-0000-0000F5180000}"/>
    <cellStyle name="Calculation 3 4 2 2 4" xfId="6670" xr:uid="{00000000-0005-0000-0000-0000F6180000}"/>
    <cellStyle name="Calculation 3 4 2 2 4 2" xfId="6671" xr:uid="{00000000-0005-0000-0000-0000F7180000}"/>
    <cellStyle name="Calculation 3 4 2 2 4 2 2" xfId="6672" xr:uid="{00000000-0005-0000-0000-0000F8180000}"/>
    <cellStyle name="Calculation 3 4 2 2 4 2 2 2" xfId="6673" xr:uid="{00000000-0005-0000-0000-0000F9180000}"/>
    <cellStyle name="Calculation 3 4 2 2 4 2 3" xfId="6674" xr:uid="{00000000-0005-0000-0000-0000FA180000}"/>
    <cellStyle name="Calculation 3 4 2 2 4 2 3 2" xfId="6675" xr:uid="{00000000-0005-0000-0000-0000FB180000}"/>
    <cellStyle name="Calculation 3 4 2 2 4 2 4" xfId="6676" xr:uid="{00000000-0005-0000-0000-0000FC180000}"/>
    <cellStyle name="Calculation 3 4 2 2 4 2 5" xfId="6677" xr:uid="{00000000-0005-0000-0000-0000FD180000}"/>
    <cellStyle name="Calculation 3 4 2 2 4 2 6" xfId="6678" xr:uid="{00000000-0005-0000-0000-0000FE180000}"/>
    <cellStyle name="Calculation 3 4 2 2 4 3" xfId="6679" xr:uid="{00000000-0005-0000-0000-0000FF180000}"/>
    <cellStyle name="Calculation 3 4 2 2 4 3 2" xfId="6680" xr:uid="{00000000-0005-0000-0000-000000190000}"/>
    <cellStyle name="Calculation 3 4 2 2 4 4" xfId="6681" xr:uid="{00000000-0005-0000-0000-000001190000}"/>
    <cellStyle name="Calculation 3 4 2 2 4 4 2" xfId="6682" xr:uid="{00000000-0005-0000-0000-000002190000}"/>
    <cellStyle name="Calculation 3 4 2 2 4 5" xfId="6683" xr:uid="{00000000-0005-0000-0000-000003190000}"/>
    <cellStyle name="Calculation 3 4 2 2 4 6" xfId="6684" xr:uid="{00000000-0005-0000-0000-000004190000}"/>
    <cellStyle name="Calculation 3 4 2 2 4 7" xfId="6685" xr:uid="{00000000-0005-0000-0000-000005190000}"/>
    <cellStyle name="Calculation 3 4 2 2 5" xfId="6686" xr:uid="{00000000-0005-0000-0000-000006190000}"/>
    <cellStyle name="Calculation 3 4 2 2 5 2" xfId="6687" xr:uid="{00000000-0005-0000-0000-000007190000}"/>
    <cellStyle name="Calculation 3 4 2 2 5 2 2" xfId="6688" xr:uid="{00000000-0005-0000-0000-000008190000}"/>
    <cellStyle name="Calculation 3 4 2 2 5 3" xfId="6689" xr:uid="{00000000-0005-0000-0000-000009190000}"/>
    <cellStyle name="Calculation 3 4 2 2 5 3 2" xfId="6690" xr:uid="{00000000-0005-0000-0000-00000A190000}"/>
    <cellStyle name="Calculation 3 4 2 2 5 4" xfId="6691" xr:uid="{00000000-0005-0000-0000-00000B190000}"/>
    <cellStyle name="Calculation 3 4 2 2 5 5" xfId="6692" xr:uid="{00000000-0005-0000-0000-00000C190000}"/>
    <cellStyle name="Calculation 3 4 2 2 5 6" xfId="6693" xr:uid="{00000000-0005-0000-0000-00000D190000}"/>
    <cellStyle name="Calculation 3 4 2 2 6" xfId="6694" xr:uid="{00000000-0005-0000-0000-00000E190000}"/>
    <cellStyle name="Calculation 3 4 2 2 6 2" xfId="6695" xr:uid="{00000000-0005-0000-0000-00000F190000}"/>
    <cellStyle name="Calculation 3 4 2 2 7" xfId="6696" xr:uid="{00000000-0005-0000-0000-000010190000}"/>
    <cellStyle name="Calculation 3 4 2 2 7 2" xfId="6697" xr:uid="{00000000-0005-0000-0000-000011190000}"/>
    <cellStyle name="Calculation 3 4 2 2 8" xfId="6698" xr:uid="{00000000-0005-0000-0000-000012190000}"/>
    <cellStyle name="Calculation 3 4 2 2 9" xfId="6699" xr:uid="{00000000-0005-0000-0000-000013190000}"/>
    <cellStyle name="Calculation 3 4 2 3" xfId="6700" xr:uid="{00000000-0005-0000-0000-000014190000}"/>
    <cellStyle name="Calculation 3 4 2 3 2" xfId="6701" xr:uid="{00000000-0005-0000-0000-000015190000}"/>
    <cellStyle name="Calculation 3 4 2 3 2 2" xfId="6702" xr:uid="{00000000-0005-0000-0000-000016190000}"/>
    <cellStyle name="Calculation 3 4 2 3 2 2 2" xfId="6703" xr:uid="{00000000-0005-0000-0000-000017190000}"/>
    <cellStyle name="Calculation 3 4 2 3 2 2 2 2" xfId="6704" xr:uid="{00000000-0005-0000-0000-000018190000}"/>
    <cellStyle name="Calculation 3 4 2 3 2 2 3" xfId="6705" xr:uid="{00000000-0005-0000-0000-000019190000}"/>
    <cellStyle name="Calculation 3 4 2 3 2 2 3 2" xfId="6706" xr:uid="{00000000-0005-0000-0000-00001A190000}"/>
    <cellStyle name="Calculation 3 4 2 3 2 2 4" xfId="6707" xr:uid="{00000000-0005-0000-0000-00001B190000}"/>
    <cellStyle name="Calculation 3 4 2 3 2 2 5" xfId="6708" xr:uid="{00000000-0005-0000-0000-00001C190000}"/>
    <cellStyle name="Calculation 3 4 2 3 2 2 6" xfId="6709" xr:uid="{00000000-0005-0000-0000-00001D190000}"/>
    <cellStyle name="Calculation 3 4 2 3 2 3" xfId="6710" xr:uid="{00000000-0005-0000-0000-00001E190000}"/>
    <cellStyle name="Calculation 3 4 2 3 2 3 2" xfId="6711" xr:uid="{00000000-0005-0000-0000-00001F190000}"/>
    <cellStyle name="Calculation 3 4 2 3 2 4" xfId="6712" xr:uid="{00000000-0005-0000-0000-000020190000}"/>
    <cellStyle name="Calculation 3 4 2 3 2 4 2" xfId="6713" xr:uid="{00000000-0005-0000-0000-000021190000}"/>
    <cellStyle name="Calculation 3 4 2 3 2 5" xfId="6714" xr:uid="{00000000-0005-0000-0000-000022190000}"/>
    <cellStyle name="Calculation 3 4 2 3 2 6" xfId="6715" xr:uid="{00000000-0005-0000-0000-000023190000}"/>
    <cellStyle name="Calculation 3 4 2 3 2 7" xfId="6716" xr:uid="{00000000-0005-0000-0000-000024190000}"/>
    <cellStyle name="Calculation 3 4 2 3 3" xfId="6717" xr:uid="{00000000-0005-0000-0000-000025190000}"/>
    <cellStyle name="Calculation 3 4 2 3 3 2" xfId="6718" xr:uid="{00000000-0005-0000-0000-000026190000}"/>
    <cellStyle name="Calculation 3 4 2 3 3 2 2" xfId="6719" xr:uid="{00000000-0005-0000-0000-000027190000}"/>
    <cellStyle name="Calculation 3 4 2 3 3 3" xfId="6720" xr:uid="{00000000-0005-0000-0000-000028190000}"/>
    <cellStyle name="Calculation 3 4 2 3 3 3 2" xfId="6721" xr:uid="{00000000-0005-0000-0000-000029190000}"/>
    <cellStyle name="Calculation 3 4 2 3 3 4" xfId="6722" xr:uid="{00000000-0005-0000-0000-00002A190000}"/>
    <cellStyle name="Calculation 3 4 2 3 3 5" xfId="6723" xr:uid="{00000000-0005-0000-0000-00002B190000}"/>
    <cellStyle name="Calculation 3 4 2 3 3 6" xfId="6724" xr:uid="{00000000-0005-0000-0000-00002C190000}"/>
    <cellStyle name="Calculation 3 4 2 3 4" xfId="6725" xr:uid="{00000000-0005-0000-0000-00002D190000}"/>
    <cellStyle name="Calculation 3 4 2 3 4 2" xfId="6726" xr:uid="{00000000-0005-0000-0000-00002E190000}"/>
    <cellStyle name="Calculation 3 4 2 3 5" xfId="6727" xr:uid="{00000000-0005-0000-0000-00002F190000}"/>
    <cellStyle name="Calculation 3 4 2 3 5 2" xfId="6728" xr:uid="{00000000-0005-0000-0000-000030190000}"/>
    <cellStyle name="Calculation 3 4 2 3 6" xfId="6729" xr:uid="{00000000-0005-0000-0000-000031190000}"/>
    <cellStyle name="Calculation 3 4 2 3 7" xfId="6730" xr:uid="{00000000-0005-0000-0000-000032190000}"/>
    <cellStyle name="Calculation 3 4 2 3 8" xfId="6731" xr:uid="{00000000-0005-0000-0000-000033190000}"/>
    <cellStyle name="Calculation 3 4 2 4" xfId="6732" xr:uid="{00000000-0005-0000-0000-000034190000}"/>
    <cellStyle name="Calculation 3 4 2 4 2" xfId="6733" xr:uid="{00000000-0005-0000-0000-000035190000}"/>
    <cellStyle name="Calculation 3 4 2 4 2 2" xfId="6734" xr:uid="{00000000-0005-0000-0000-000036190000}"/>
    <cellStyle name="Calculation 3 4 2 4 2 2 2" xfId="6735" xr:uid="{00000000-0005-0000-0000-000037190000}"/>
    <cellStyle name="Calculation 3 4 2 4 2 3" xfId="6736" xr:uid="{00000000-0005-0000-0000-000038190000}"/>
    <cellStyle name="Calculation 3 4 2 4 2 3 2" xfId="6737" xr:uid="{00000000-0005-0000-0000-000039190000}"/>
    <cellStyle name="Calculation 3 4 2 4 2 4" xfId="6738" xr:uid="{00000000-0005-0000-0000-00003A190000}"/>
    <cellStyle name="Calculation 3 4 2 4 2 5" xfId="6739" xr:uid="{00000000-0005-0000-0000-00003B190000}"/>
    <cellStyle name="Calculation 3 4 2 4 2 6" xfId="6740" xr:uid="{00000000-0005-0000-0000-00003C190000}"/>
    <cellStyle name="Calculation 3 4 2 4 3" xfId="6741" xr:uid="{00000000-0005-0000-0000-00003D190000}"/>
    <cellStyle name="Calculation 3 4 2 4 3 2" xfId="6742" xr:uid="{00000000-0005-0000-0000-00003E190000}"/>
    <cellStyle name="Calculation 3 4 2 4 4" xfId="6743" xr:uid="{00000000-0005-0000-0000-00003F190000}"/>
    <cellStyle name="Calculation 3 4 2 4 4 2" xfId="6744" xr:uid="{00000000-0005-0000-0000-000040190000}"/>
    <cellStyle name="Calculation 3 4 2 4 5" xfId="6745" xr:uid="{00000000-0005-0000-0000-000041190000}"/>
    <cellStyle name="Calculation 3 4 2 4 6" xfId="6746" xr:uid="{00000000-0005-0000-0000-000042190000}"/>
    <cellStyle name="Calculation 3 4 2 4 7" xfId="6747" xr:uid="{00000000-0005-0000-0000-000043190000}"/>
    <cellStyle name="Calculation 3 4 2 5" xfId="6748" xr:uid="{00000000-0005-0000-0000-000044190000}"/>
    <cellStyle name="Calculation 3 4 2 5 2" xfId="6749" xr:uid="{00000000-0005-0000-0000-000045190000}"/>
    <cellStyle name="Calculation 3 4 2 5 2 2" xfId="6750" xr:uid="{00000000-0005-0000-0000-000046190000}"/>
    <cellStyle name="Calculation 3 4 2 5 3" xfId="6751" xr:uid="{00000000-0005-0000-0000-000047190000}"/>
    <cellStyle name="Calculation 3 4 2 5 3 2" xfId="6752" xr:uid="{00000000-0005-0000-0000-000048190000}"/>
    <cellStyle name="Calculation 3 4 2 5 4" xfId="6753" xr:uid="{00000000-0005-0000-0000-000049190000}"/>
    <cellStyle name="Calculation 3 4 2 5 5" xfId="6754" xr:uid="{00000000-0005-0000-0000-00004A190000}"/>
    <cellStyle name="Calculation 3 4 2 5 6" xfId="6755" xr:uid="{00000000-0005-0000-0000-00004B190000}"/>
    <cellStyle name="Calculation 3 4 2 6" xfId="6756" xr:uid="{00000000-0005-0000-0000-00004C190000}"/>
    <cellStyle name="Calculation 3 4 2 6 2" xfId="6757" xr:uid="{00000000-0005-0000-0000-00004D190000}"/>
    <cellStyle name="Calculation 3 4 2 7" xfId="6758" xr:uid="{00000000-0005-0000-0000-00004E190000}"/>
    <cellStyle name="Calculation 3 4 2 7 2" xfId="6759" xr:uid="{00000000-0005-0000-0000-00004F190000}"/>
    <cellStyle name="Calculation 3 4 2 8" xfId="6760" xr:uid="{00000000-0005-0000-0000-000050190000}"/>
    <cellStyle name="Calculation 3 4 2 9" xfId="6761" xr:uid="{00000000-0005-0000-0000-000051190000}"/>
    <cellStyle name="Calculation 3 4 3" xfId="6762" xr:uid="{00000000-0005-0000-0000-000052190000}"/>
    <cellStyle name="Calculation 3 4 3 10" xfId="6763" xr:uid="{00000000-0005-0000-0000-000053190000}"/>
    <cellStyle name="Calculation 3 4 3 2" xfId="6764" xr:uid="{00000000-0005-0000-0000-000054190000}"/>
    <cellStyle name="Calculation 3 4 3 2 2" xfId="6765" xr:uid="{00000000-0005-0000-0000-000055190000}"/>
    <cellStyle name="Calculation 3 4 3 2 2 2" xfId="6766" xr:uid="{00000000-0005-0000-0000-000056190000}"/>
    <cellStyle name="Calculation 3 4 3 2 2 2 2" xfId="6767" xr:uid="{00000000-0005-0000-0000-000057190000}"/>
    <cellStyle name="Calculation 3 4 3 2 2 2 2 2" xfId="6768" xr:uid="{00000000-0005-0000-0000-000058190000}"/>
    <cellStyle name="Calculation 3 4 3 2 2 2 3" xfId="6769" xr:uid="{00000000-0005-0000-0000-000059190000}"/>
    <cellStyle name="Calculation 3 4 3 2 2 2 3 2" xfId="6770" xr:uid="{00000000-0005-0000-0000-00005A190000}"/>
    <cellStyle name="Calculation 3 4 3 2 2 2 4" xfId="6771" xr:uid="{00000000-0005-0000-0000-00005B190000}"/>
    <cellStyle name="Calculation 3 4 3 2 2 2 5" xfId="6772" xr:uid="{00000000-0005-0000-0000-00005C190000}"/>
    <cellStyle name="Calculation 3 4 3 2 2 2 6" xfId="6773" xr:uid="{00000000-0005-0000-0000-00005D190000}"/>
    <cellStyle name="Calculation 3 4 3 2 2 3" xfId="6774" xr:uid="{00000000-0005-0000-0000-00005E190000}"/>
    <cellStyle name="Calculation 3 4 3 2 2 3 2" xfId="6775" xr:uid="{00000000-0005-0000-0000-00005F190000}"/>
    <cellStyle name="Calculation 3 4 3 2 2 4" xfId="6776" xr:uid="{00000000-0005-0000-0000-000060190000}"/>
    <cellStyle name="Calculation 3 4 3 2 2 4 2" xfId="6777" xr:uid="{00000000-0005-0000-0000-000061190000}"/>
    <cellStyle name="Calculation 3 4 3 2 2 5" xfId="6778" xr:uid="{00000000-0005-0000-0000-000062190000}"/>
    <cellStyle name="Calculation 3 4 3 2 2 6" xfId="6779" xr:uid="{00000000-0005-0000-0000-000063190000}"/>
    <cellStyle name="Calculation 3 4 3 2 2 7" xfId="6780" xr:uid="{00000000-0005-0000-0000-000064190000}"/>
    <cellStyle name="Calculation 3 4 3 2 3" xfId="6781" xr:uid="{00000000-0005-0000-0000-000065190000}"/>
    <cellStyle name="Calculation 3 4 3 2 3 2" xfId="6782" xr:uid="{00000000-0005-0000-0000-000066190000}"/>
    <cellStyle name="Calculation 3 4 3 2 3 2 2" xfId="6783" xr:uid="{00000000-0005-0000-0000-000067190000}"/>
    <cellStyle name="Calculation 3 4 3 2 3 3" xfId="6784" xr:uid="{00000000-0005-0000-0000-000068190000}"/>
    <cellStyle name="Calculation 3 4 3 2 3 3 2" xfId="6785" xr:uid="{00000000-0005-0000-0000-000069190000}"/>
    <cellStyle name="Calculation 3 4 3 2 3 4" xfId="6786" xr:uid="{00000000-0005-0000-0000-00006A190000}"/>
    <cellStyle name="Calculation 3 4 3 2 3 5" xfId="6787" xr:uid="{00000000-0005-0000-0000-00006B190000}"/>
    <cellStyle name="Calculation 3 4 3 2 3 6" xfId="6788" xr:uid="{00000000-0005-0000-0000-00006C190000}"/>
    <cellStyle name="Calculation 3 4 3 2 4" xfId="6789" xr:uid="{00000000-0005-0000-0000-00006D190000}"/>
    <cellStyle name="Calculation 3 4 3 2 4 2" xfId="6790" xr:uid="{00000000-0005-0000-0000-00006E190000}"/>
    <cellStyle name="Calculation 3 4 3 2 5" xfId="6791" xr:uid="{00000000-0005-0000-0000-00006F190000}"/>
    <cellStyle name="Calculation 3 4 3 2 5 2" xfId="6792" xr:uid="{00000000-0005-0000-0000-000070190000}"/>
    <cellStyle name="Calculation 3 4 3 2 6" xfId="6793" xr:uid="{00000000-0005-0000-0000-000071190000}"/>
    <cellStyle name="Calculation 3 4 3 2 7" xfId="6794" xr:uid="{00000000-0005-0000-0000-000072190000}"/>
    <cellStyle name="Calculation 3 4 3 2 8" xfId="6795" xr:uid="{00000000-0005-0000-0000-000073190000}"/>
    <cellStyle name="Calculation 3 4 3 3" xfId="6796" xr:uid="{00000000-0005-0000-0000-000074190000}"/>
    <cellStyle name="Calculation 3 4 3 3 2" xfId="6797" xr:uid="{00000000-0005-0000-0000-000075190000}"/>
    <cellStyle name="Calculation 3 4 3 3 2 2" xfId="6798" xr:uid="{00000000-0005-0000-0000-000076190000}"/>
    <cellStyle name="Calculation 3 4 3 3 2 2 2" xfId="6799" xr:uid="{00000000-0005-0000-0000-000077190000}"/>
    <cellStyle name="Calculation 3 4 3 3 2 2 2 2" xfId="6800" xr:uid="{00000000-0005-0000-0000-000078190000}"/>
    <cellStyle name="Calculation 3 4 3 3 2 2 3" xfId="6801" xr:uid="{00000000-0005-0000-0000-000079190000}"/>
    <cellStyle name="Calculation 3 4 3 3 2 2 3 2" xfId="6802" xr:uid="{00000000-0005-0000-0000-00007A190000}"/>
    <cellStyle name="Calculation 3 4 3 3 2 2 4" xfId="6803" xr:uid="{00000000-0005-0000-0000-00007B190000}"/>
    <cellStyle name="Calculation 3 4 3 3 2 2 5" xfId="6804" xr:uid="{00000000-0005-0000-0000-00007C190000}"/>
    <cellStyle name="Calculation 3 4 3 3 2 2 6" xfId="6805" xr:uid="{00000000-0005-0000-0000-00007D190000}"/>
    <cellStyle name="Calculation 3 4 3 3 2 3" xfId="6806" xr:uid="{00000000-0005-0000-0000-00007E190000}"/>
    <cellStyle name="Calculation 3 4 3 3 2 3 2" xfId="6807" xr:uid="{00000000-0005-0000-0000-00007F190000}"/>
    <cellStyle name="Calculation 3 4 3 3 2 4" xfId="6808" xr:uid="{00000000-0005-0000-0000-000080190000}"/>
    <cellStyle name="Calculation 3 4 3 3 2 4 2" xfId="6809" xr:uid="{00000000-0005-0000-0000-000081190000}"/>
    <cellStyle name="Calculation 3 4 3 3 2 5" xfId="6810" xr:uid="{00000000-0005-0000-0000-000082190000}"/>
    <cellStyle name="Calculation 3 4 3 3 2 6" xfId="6811" xr:uid="{00000000-0005-0000-0000-000083190000}"/>
    <cellStyle name="Calculation 3 4 3 3 2 7" xfId="6812" xr:uid="{00000000-0005-0000-0000-000084190000}"/>
    <cellStyle name="Calculation 3 4 3 3 3" xfId="6813" xr:uid="{00000000-0005-0000-0000-000085190000}"/>
    <cellStyle name="Calculation 3 4 3 3 3 2" xfId="6814" xr:uid="{00000000-0005-0000-0000-000086190000}"/>
    <cellStyle name="Calculation 3 4 3 3 3 2 2" xfId="6815" xr:uid="{00000000-0005-0000-0000-000087190000}"/>
    <cellStyle name="Calculation 3 4 3 3 3 3" xfId="6816" xr:uid="{00000000-0005-0000-0000-000088190000}"/>
    <cellStyle name="Calculation 3 4 3 3 3 3 2" xfId="6817" xr:uid="{00000000-0005-0000-0000-000089190000}"/>
    <cellStyle name="Calculation 3 4 3 3 3 4" xfId="6818" xr:uid="{00000000-0005-0000-0000-00008A190000}"/>
    <cellStyle name="Calculation 3 4 3 3 3 5" xfId="6819" xr:uid="{00000000-0005-0000-0000-00008B190000}"/>
    <cellStyle name="Calculation 3 4 3 3 3 6" xfId="6820" xr:uid="{00000000-0005-0000-0000-00008C190000}"/>
    <cellStyle name="Calculation 3 4 3 3 4" xfId="6821" xr:uid="{00000000-0005-0000-0000-00008D190000}"/>
    <cellStyle name="Calculation 3 4 3 3 4 2" xfId="6822" xr:uid="{00000000-0005-0000-0000-00008E190000}"/>
    <cellStyle name="Calculation 3 4 3 3 5" xfId="6823" xr:uid="{00000000-0005-0000-0000-00008F190000}"/>
    <cellStyle name="Calculation 3 4 3 3 5 2" xfId="6824" xr:uid="{00000000-0005-0000-0000-000090190000}"/>
    <cellStyle name="Calculation 3 4 3 3 6" xfId="6825" xr:uid="{00000000-0005-0000-0000-000091190000}"/>
    <cellStyle name="Calculation 3 4 3 3 7" xfId="6826" xr:uid="{00000000-0005-0000-0000-000092190000}"/>
    <cellStyle name="Calculation 3 4 3 3 8" xfId="6827" xr:uid="{00000000-0005-0000-0000-000093190000}"/>
    <cellStyle name="Calculation 3 4 3 4" xfId="6828" xr:uid="{00000000-0005-0000-0000-000094190000}"/>
    <cellStyle name="Calculation 3 4 3 4 2" xfId="6829" xr:uid="{00000000-0005-0000-0000-000095190000}"/>
    <cellStyle name="Calculation 3 4 3 4 2 2" xfId="6830" xr:uid="{00000000-0005-0000-0000-000096190000}"/>
    <cellStyle name="Calculation 3 4 3 4 2 2 2" xfId="6831" xr:uid="{00000000-0005-0000-0000-000097190000}"/>
    <cellStyle name="Calculation 3 4 3 4 2 3" xfId="6832" xr:uid="{00000000-0005-0000-0000-000098190000}"/>
    <cellStyle name="Calculation 3 4 3 4 2 3 2" xfId="6833" xr:uid="{00000000-0005-0000-0000-000099190000}"/>
    <cellStyle name="Calculation 3 4 3 4 2 4" xfId="6834" xr:uid="{00000000-0005-0000-0000-00009A190000}"/>
    <cellStyle name="Calculation 3 4 3 4 2 5" xfId="6835" xr:uid="{00000000-0005-0000-0000-00009B190000}"/>
    <cellStyle name="Calculation 3 4 3 4 2 6" xfId="6836" xr:uid="{00000000-0005-0000-0000-00009C190000}"/>
    <cellStyle name="Calculation 3 4 3 4 3" xfId="6837" xr:uid="{00000000-0005-0000-0000-00009D190000}"/>
    <cellStyle name="Calculation 3 4 3 4 3 2" xfId="6838" xr:uid="{00000000-0005-0000-0000-00009E190000}"/>
    <cellStyle name="Calculation 3 4 3 4 4" xfId="6839" xr:uid="{00000000-0005-0000-0000-00009F190000}"/>
    <cellStyle name="Calculation 3 4 3 4 4 2" xfId="6840" xr:uid="{00000000-0005-0000-0000-0000A0190000}"/>
    <cellStyle name="Calculation 3 4 3 4 5" xfId="6841" xr:uid="{00000000-0005-0000-0000-0000A1190000}"/>
    <cellStyle name="Calculation 3 4 3 4 6" xfId="6842" xr:uid="{00000000-0005-0000-0000-0000A2190000}"/>
    <cellStyle name="Calculation 3 4 3 4 7" xfId="6843" xr:uid="{00000000-0005-0000-0000-0000A3190000}"/>
    <cellStyle name="Calculation 3 4 3 5" xfId="6844" xr:uid="{00000000-0005-0000-0000-0000A4190000}"/>
    <cellStyle name="Calculation 3 4 3 5 2" xfId="6845" xr:uid="{00000000-0005-0000-0000-0000A5190000}"/>
    <cellStyle name="Calculation 3 4 3 5 2 2" xfId="6846" xr:uid="{00000000-0005-0000-0000-0000A6190000}"/>
    <cellStyle name="Calculation 3 4 3 5 3" xfId="6847" xr:uid="{00000000-0005-0000-0000-0000A7190000}"/>
    <cellStyle name="Calculation 3 4 3 5 3 2" xfId="6848" xr:uid="{00000000-0005-0000-0000-0000A8190000}"/>
    <cellStyle name="Calculation 3 4 3 5 4" xfId="6849" xr:uid="{00000000-0005-0000-0000-0000A9190000}"/>
    <cellStyle name="Calculation 3 4 3 5 5" xfId="6850" xr:uid="{00000000-0005-0000-0000-0000AA190000}"/>
    <cellStyle name="Calculation 3 4 3 5 6" xfId="6851" xr:uid="{00000000-0005-0000-0000-0000AB190000}"/>
    <cellStyle name="Calculation 3 4 3 6" xfId="6852" xr:uid="{00000000-0005-0000-0000-0000AC190000}"/>
    <cellStyle name="Calculation 3 4 3 6 2" xfId="6853" xr:uid="{00000000-0005-0000-0000-0000AD190000}"/>
    <cellStyle name="Calculation 3 4 3 7" xfId="6854" xr:uid="{00000000-0005-0000-0000-0000AE190000}"/>
    <cellStyle name="Calculation 3 4 3 7 2" xfId="6855" xr:uid="{00000000-0005-0000-0000-0000AF190000}"/>
    <cellStyle name="Calculation 3 4 3 8" xfId="6856" xr:uid="{00000000-0005-0000-0000-0000B0190000}"/>
    <cellStyle name="Calculation 3 4 3 9" xfId="6857" xr:uid="{00000000-0005-0000-0000-0000B1190000}"/>
    <cellStyle name="Calculation 3 4 4" xfId="6858" xr:uid="{00000000-0005-0000-0000-0000B2190000}"/>
    <cellStyle name="Calculation 3 4 4 2" xfId="6859" xr:uid="{00000000-0005-0000-0000-0000B3190000}"/>
    <cellStyle name="Calculation 3 4 4 2 2" xfId="6860" xr:uid="{00000000-0005-0000-0000-0000B4190000}"/>
    <cellStyle name="Calculation 3 4 4 2 2 2" xfId="6861" xr:uid="{00000000-0005-0000-0000-0000B5190000}"/>
    <cellStyle name="Calculation 3 4 4 2 2 2 2" xfId="6862" xr:uid="{00000000-0005-0000-0000-0000B6190000}"/>
    <cellStyle name="Calculation 3 4 4 2 2 3" xfId="6863" xr:uid="{00000000-0005-0000-0000-0000B7190000}"/>
    <cellStyle name="Calculation 3 4 4 2 2 3 2" xfId="6864" xr:uid="{00000000-0005-0000-0000-0000B8190000}"/>
    <cellStyle name="Calculation 3 4 4 2 2 4" xfId="6865" xr:uid="{00000000-0005-0000-0000-0000B9190000}"/>
    <cellStyle name="Calculation 3 4 4 2 2 5" xfId="6866" xr:uid="{00000000-0005-0000-0000-0000BA190000}"/>
    <cellStyle name="Calculation 3 4 4 2 2 6" xfId="6867" xr:uid="{00000000-0005-0000-0000-0000BB190000}"/>
    <cellStyle name="Calculation 3 4 4 2 3" xfId="6868" xr:uid="{00000000-0005-0000-0000-0000BC190000}"/>
    <cellStyle name="Calculation 3 4 4 2 3 2" xfId="6869" xr:uid="{00000000-0005-0000-0000-0000BD190000}"/>
    <cellStyle name="Calculation 3 4 4 2 4" xfId="6870" xr:uid="{00000000-0005-0000-0000-0000BE190000}"/>
    <cellStyle name="Calculation 3 4 4 2 4 2" xfId="6871" xr:uid="{00000000-0005-0000-0000-0000BF190000}"/>
    <cellStyle name="Calculation 3 4 4 2 5" xfId="6872" xr:uid="{00000000-0005-0000-0000-0000C0190000}"/>
    <cellStyle name="Calculation 3 4 4 2 6" xfId="6873" xr:uid="{00000000-0005-0000-0000-0000C1190000}"/>
    <cellStyle name="Calculation 3 4 4 2 7" xfId="6874" xr:uid="{00000000-0005-0000-0000-0000C2190000}"/>
    <cellStyle name="Calculation 3 4 4 3" xfId="6875" xr:uid="{00000000-0005-0000-0000-0000C3190000}"/>
    <cellStyle name="Calculation 3 4 4 3 2" xfId="6876" xr:uid="{00000000-0005-0000-0000-0000C4190000}"/>
    <cellStyle name="Calculation 3 4 4 3 2 2" xfId="6877" xr:uid="{00000000-0005-0000-0000-0000C5190000}"/>
    <cellStyle name="Calculation 3 4 4 3 3" xfId="6878" xr:uid="{00000000-0005-0000-0000-0000C6190000}"/>
    <cellStyle name="Calculation 3 4 4 3 3 2" xfId="6879" xr:uid="{00000000-0005-0000-0000-0000C7190000}"/>
    <cellStyle name="Calculation 3 4 4 3 4" xfId="6880" xr:uid="{00000000-0005-0000-0000-0000C8190000}"/>
    <cellStyle name="Calculation 3 4 4 3 5" xfId="6881" xr:uid="{00000000-0005-0000-0000-0000C9190000}"/>
    <cellStyle name="Calculation 3 4 4 3 6" xfId="6882" xr:uid="{00000000-0005-0000-0000-0000CA190000}"/>
    <cellStyle name="Calculation 3 4 4 4" xfId="6883" xr:uid="{00000000-0005-0000-0000-0000CB190000}"/>
    <cellStyle name="Calculation 3 4 4 4 2" xfId="6884" xr:uid="{00000000-0005-0000-0000-0000CC190000}"/>
    <cellStyle name="Calculation 3 4 4 5" xfId="6885" xr:uid="{00000000-0005-0000-0000-0000CD190000}"/>
    <cellStyle name="Calculation 3 4 4 5 2" xfId="6886" xr:uid="{00000000-0005-0000-0000-0000CE190000}"/>
    <cellStyle name="Calculation 3 4 4 6" xfId="6887" xr:uid="{00000000-0005-0000-0000-0000CF190000}"/>
    <cellStyle name="Calculation 3 4 4 7" xfId="6888" xr:uid="{00000000-0005-0000-0000-0000D0190000}"/>
    <cellStyle name="Calculation 3 4 4 8" xfId="6889" xr:uid="{00000000-0005-0000-0000-0000D1190000}"/>
    <cellStyle name="Calculation 3 4 5" xfId="6890" xr:uid="{00000000-0005-0000-0000-0000D2190000}"/>
    <cellStyle name="Calculation 3 4 5 2" xfId="6891" xr:uid="{00000000-0005-0000-0000-0000D3190000}"/>
    <cellStyle name="Calculation 3 4 5 2 2" xfId="6892" xr:uid="{00000000-0005-0000-0000-0000D4190000}"/>
    <cellStyle name="Calculation 3 4 5 2 2 2" xfId="6893" xr:uid="{00000000-0005-0000-0000-0000D5190000}"/>
    <cellStyle name="Calculation 3 4 5 2 3" xfId="6894" xr:uid="{00000000-0005-0000-0000-0000D6190000}"/>
    <cellStyle name="Calculation 3 4 5 2 3 2" xfId="6895" xr:uid="{00000000-0005-0000-0000-0000D7190000}"/>
    <cellStyle name="Calculation 3 4 5 2 4" xfId="6896" xr:uid="{00000000-0005-0000-0000-0000D8190000}"/>
    <cellStyle name="Calculation 3 4 5 2 5" xfId="6897" xr:uid="{00000000-0005-0000-0000-0000D9190000}"/>
    <cellStyle name="Calculation 3 4 5 2 6" xfId="6898" xr:uid="{00000000-0005-0000-0000-0000DA190000}"/>
    <cellStyle name="Calculation 3 4 5 3" xfId="6899" xr:uid="{00000000-0005-0000-0000-0000DB190000}"/>
    <cellStyle name="Calculation 3 4 5 3 2" xfId="6900" xr:uid="{00000000-0005-0000-0000-0000DC190000}"/>
    <cellStyle name="Calculation 3 4 5 4" xfId="6901" xr:uid="{00000000-0005-0000-0000-0000DD190000}"/>
    <cellStyle name="Calculation 3 4 5 4 2" xfId="6902" xr:uid="{00000000-0005-0000-0000-0000DE190000}"/>
    <cellStyle name="Calculation 3 4 5 5" xfId="6903" xr:uid="{00000000-0005-0000-0000-0000DF190000}"/>
    <cellStyle name="Calculation 3 4 5 6" xfId="6904" xr:uid="{00000000-0005-0000-0000-0000E0190000}"/>
    <cellStyle name="Calculation 3 4 5 7" xfId="6905" xr:uid="{00000000-0005-0000-0000-0000E1190000}"/>
    <cellStyle name="Calculation 3 4 6" xfId="6906" xr:uid="{00000000-0005-0000-0000-0000E2190000}"/>
    <cellStyle name="Calculation 3 4 6 2" xfId="6907" xr:uid="{00000000-0005-0000-0000-0000E3190000}"/>
    <cellStyle name="Calculation 3 4 6 2 2" xfId="6908" xr:uid="{00000000-0005-0000-0000-0000E4190000}"/>
    <cellStyle name="Calculation 3 4 6 3" xfId="6909" xr:uid="{00000000-0005-0000-0000-0000E5190000}"/>
    <cellStyle name="Calculation 3 4 6 3 2" xfId="6910" xr:uid="{00000000-0005-0000-0000-0000E6190000}"/>
    <cellStyle name="Calculation 3 4 6 4" xfId="6911" xr:uid="{00000000-0005-0000-0000-0000E7190000}"/>
    <cellStyle name="Calculation 3 4 6 5" xfId="6912" xr:uid="{00000000-0005-0000-0000-0000E8190000}"/>
    <cellStyle name="Calculation 3 4 6 6" xfId="6913" xr:uid="{00000000-0005-0000-0000-0000E9190000}"/>
    <cellStyle name="Calculation 3 4 7" xfId="6914" xr:uid="{00000000-0005-0000-0000-0000EA190000}"/>
    <cellStyle name="Calculation 3 4 7 2" xfId="6915" xr:uid="{00000000-0005-0000-0000-0000EB190000}"/>
    <cellStyle name="Calculation 3 4 8" xfId="6916" xr:uid="{00000000-0005-0000-0000-0000EC190000}"/>
    <cellStyle name="Calculation 3 4 8 2" xfId="6917" xr:uid="{00000000-0005-0000-0000-0000ED190000}"/>
    <cellStyle name="Calculation 3 4 9" xfId="6918" xr:uid="{00000000-0005-0000-0000-0000EE190000}"/>
    <cellStyle name="Calculation 3 5" xfId="6919" xr:uid="{00000000-0005-0000-0000-0000EF190000}"/>
    <cellStyle name="Calculation 3 5 10" xfId="6920" xr:uid="{00000000-0005-0000-0000-0000F0190000}"/>
    <cellStyle name="Calculation 3 5 11" xfId="6921" xr:uid="{00000000-0005-0000-0000-0000F1190000}"/>
    <cellStyle name="Calculation 3 5 2" xfId="6922" xr:uid="{00000000-0005-0000-0000-0000F2190000}"/>
    <cellStyle name="Calculation 3 5 2 10" xfId="6923" xr:uid="{00000000-0005-0000-0000-0000F3190000}"/>
    <cellStyle name="Calculation 3 5 2 2" xfId="6924" xr:uid="{00000000-0005-0000-0000-0000F4190000}"/>
    <cellStyle name="Calculation 3 5 2 2 2" xfId="6925" xr:uid="{00000000-0005-0000-0000-0000F5190000}"/>
    <cellStyle name="Calculation 3 5 2 2 2 2" xfId="6926" xr:uid="{00000000-0005-0000-0000-0000F6190000}"/>
    <cellStyle name="Calculation 3 5 2 2 2 2 2" xfId="6927" xr:uid="{00000000-0005-0000-0000-0000F7190000}"/>
    <cellStyle name="Calculation 3 5 2 2 2 2 2 2" xfId="6928" xr:uid="{00000000-0005-0000-0000-0000F8190000}"/>
    <cellStyle name="Calculation 3 5 2 2 2 2 3" xfId="6929" xr:uid="{00000000-0005-0000-0000-0000F9190000}"/>
    <cellStyle name="Calculation 3 5 2 2 2 2 3 2" xfId="6930" xr:uid="{00000000-0005-0000-0000-0000FA190000}"/>
    <cellStyle name="Calculation 3 5 2 2 2 2 4" xfId="6931" xr:uid="{00000000-0005-0000-0000-0000FB190000}"/>
    <cellStyle name="Calculation 3 5 2 2 2 2 5" xfId="6932" xr:uid="{00000000-0005-0000-0000-0000FC190000}"/>
    <cellStyle name="Calculation 3 5 2 2 2 2 6" xfId="6933" xr:uid="{00000000-0005-0000-0000-0000FD190000}"/>
    <cellStyle name="Calculation 3 5 2 2 2 3" xfId="6934" xr:uid="{00000000-0005-0000-0000-0000FE190000}"/>
    <cellStyle name="Calculation 3 5 2 2 2 3 2" xfId="6935" xr:uid="{00000000-0005-0000-0000-0000FF190000}"/>
    <cellStyle name="Calculation 3 5 2 2 2 4" xfId="6936" xr:uid="{00000000-0005-0000-0000-0000001A0000}"/>
    <cellStyle name="Calculation 3 5 2 2 2 4 2" xfId="6937" xr:uid="{00000000-0005-0000-0000-0000011A0000}"/>
    <cellStyle name="Calculation 3 5 2 2 2 5" xfId="6938" xr:uid="{00000000-0005-0000-0000-0000021A0000}"/>
    <cellStyle name="Calculation 3 5 2 2 2 6" xfId="6939" xr:uid="{00000000-0005-0000-0000-0000031A0000}"/>
    <cellStyle name="Calculation 3 5 2 2 2 7" xfId="6940" xr:uid="{00000000-0005-0000-0000-0000041A0000}"/>
    <cellStyle name="Calculation 3 5 2 2 3" xfId="6941" xr:uid="{00000000-0005-0000-0000-0000051A0000}"/>
    <cellStyle name="Calculation 3 5 2 2 3 2" xfId="6942" xr:uid="{00000000-0005-0000-0000-0000061A0000}"/>
    <cellStyle name="Calculation 3 5 2 2 3 2 2" xfId="6943" xr:uid="{00000000-0005-0000-0000-0000071A0000}"/>
    <cellStyle name="Calculation 3 5 2 2 3 3" xfId="6944" xr:uid="{00000000-0005-0000-0000-0000081A0000}"/>
    <cellStyle name="Calculation 3 5 2 2 3 3 2" xfId="6945" xr:uid="{00000000-0005-0000-0000-0000091A0000}"/>
    <cellStyle name="Calculation 3 5 2 2 3 4" xfId="6946" xr:uid="{00000000-0005-0000-0000-00000A1A0000}"/>
    <cellStyle name="Calculation 3 5 2 2 3 5" xfId="6947" xr:uid="{00000000-0005-0000-0000-00000B1A0000}"/>
    <cellStyle name="Calculation 3 5 2 2 3 6" xfId="6948" xr:uid="{00000000-0005-0000-0000-00000C1A0000}"/>
    <cellStyle name="Calculation 3 5 2 2 4" xfId="6949" xr:uid="{00000000-0005-0000-0000-00000D1A0000}"/>
    <cellStyle name="Calculation 3 5 2 2 4 2" xfId="6950" xr:uid="{00000000-0005-0000-0000-00000E1A0000}"/>
    <cellStyle name="Calculation 3 5 2 2 5" xfId="6951" xr:uid="{00000000-0005-0000-0000-00000F1A0000}"/>
    <cellStyle name="Calculation 3 5 2 2 5 2" xfId="6952" xr:uid="{00000000-0005-0000-0000-0000101A0000}"/>
    <cellStyle name="Calculation 3 5 2 2 6" xfId="6953" xr:uid="{00000000-0005-0000-0000-0000111A0000}"/>
    <cellStyle name="Calculation 3 5 2 2 7" xfId="6954" xr:uid="{00000000-0005-0000-0000-0000121A0000}"/>
    <cellStyle name="Calculation 3 5 2 2 8" xfId="6955" xr:uid="{00000000-0005-0000-0000-0000131A0000}"/>
    <cellStyle name="Calculation 3 5 2 3" xfId="6956" xr:uid="{00000000-0005-0000-0000-0000141A0000}"/>
    <cellStyle name="Calculation 3 5 2 3 2" xfId="6957" xr:uid="{00000000-0005-0000-0000-0000151A0000}"/>
    <cellStyle name="Calculation 3 5 2 3 2 2" xfId="6958" xr:uid="{00000000-0005-0000-0000-0000161A0000}"/>
    <cellStyle name="Calculation 3 5 2 3 2 2 2" xfId="6959" xr:uid="{00000000-0005-0000-0000-0000171A0000}"/>
    <cellStyle name="Calculation 3 5 2 3 2 2 2 2" xfId="6960" xr:uid="{00000000-0005-0000-0000-0000181A0000}"/>
    <cellStyle name="Calculation 3 5 2 3 2 2 3" xfId="6961" xr:uid="{00000000-0005-0000-0000-0000191A0000}"/>
    <cellStyle name="Calculation 3 5 2 3 2 2 3 2" xfId="6962" xr:uid="{00000000-0005-0000-0000-00001A1A0000}"/>
    <cellStyle name="Calculation 3 5 2 3 2 2 4" xfId="6963" xr:uid="{00000000-0005-0000-0000-00001B1A0000}"/>
    <cellStyle name="Calculation 3 5 2 3 2 2 5" xfId="6964" xr:uid="{00000000-0005-0000-0000-00001C1A0000}"/>
    <cellStyle name="Calculation 3 5 2 3 2 2 6" xfId="6965" xr:uid="{00000000-0005-0000-0000-00001D1A0000}"/>
    <cellStyle name="Calculation 3 5 2 3 2 3" xfId="6966" xr:uid="{00000000-0005-0000-0000-00001E1A0000}"/>
    <cellStyle name="Calculation 3 5 2 3 2 3 2" xfId="6967" xr:uid="{00000000-0005-0000-0000-00001F1A0000}"/>
    <cellStyle name="Calculation 3 5 2 3 2 4" xfId="6968" xr:uid="{00000000-0005-0000-0000-0000201A0000}"/>
    <cellStyle name="Calculation 3 5 2 3 2 4 2" xfId="6969" xr:uid="{00000000-0005-0000-0000-0000211A0000}"/>
    <cellStyle name="Calculation 3 5 2 3 2 5" xfId="6970" xr:uid="{00000000-0005-0000-0000-0000221A0000}"/>
    <cellStyle name="Calculation 3 5 2 3 2 6" xfId="6971" xr:uid="{00000000-0005-0000-0000-0000231A0000}"/>
    <cellStyle name="Calculation 3 5 2 3 2 7" xfId="6972" xr:uid="{00000000-0005-0000-0000-0000241A0000}"/>
    <cellStyle name="Calculation 3 5 2 3 3" xfId="6973" xr:uid="{00000000-0005-0000-0000-0000251A0000}"/>
    <cellStyle name="Calculation 3 5 2 3 3 2" xfId="6974" xr:uid="{00000000-0005-0000-0000-0000261A0000}"/>
    <cellStyle name="Calculation 3 5 2 3 3 2 2" xfId="6975" xr:uid="{00000000-0005-0000-0000-0000271A0000}"/>
    <cellStyle name="Calculation 3 5 2 3 3 3" xfId="6976" xr:uid="{00000000-0005-0000-0000-0000281A0000}"/>
    <cellStyle name="Calculation 3 5 2 3 3 3 2" xfId="6977" xr:uid="{00000000-0005-0000-0000-0000291A0000}"/>
    <cellStyle name="Calculation 3 5 2 3 3 4" xfId="6978" xr:uid="{00000000-0005-0000-0000-00002A1A0000}"/>
    <cellStyle name="Calculation 3 5 2 3 3 5" xfId="6979" xr:uid="{00000000-0005-0000-0000-00002B1A0000}"/>
    <cellStyle name="Calculation 3 5 2 3 3 6" xfId="6980" xr:uid="{00000000-0005-0000-0000-00002C1A0000}"/>
    <cellStyle name="Calculation 3 5 2 3 4" xfId="6981" xr:uid="{00000000-0005-0000-0000-00002D1A0000}"/>
    <cellStyle name="Calculation 3 5 2 3 4 2" xfId="6982" xr:uid="{00000000-0005-0000-0000-00002E1A0000}"/>
    <cellStyle name="Calculation 3 5 2 3 5" xfId="6983" xr:uid="{00000000-0005-0000-0000-00002F1A0000}"/>
    <cellStyle name="Calculation 3 5 2 3 5 2" xfId="6984" xr:uid="{00000000-0005-0000-0000-0000301A0000}"/>
    <cellStyle name="Calculation 3 5 2 3 6" xfId="6985" xr:uid="{00000000-0005-0000-0000-0000311A0000}"/>
    <cellStyle name="Calculation 3 5 2 3 7" xfId="6986" xr:uid="{00000000-0005-0000-0000-0000321A0000}"/>
    <cellStyle name="Calculation 3 5 2 3 8" xfId="6987" xr:uid="{00000000-0005-0000-0000-0000331A0000}"/>
    <cellStyle name="Calculation 3 5 2 4" xfId="6988" xr:uid="{00000000-0005-0000-0000-0000341A0000}"/>
    <cellStyle name="Calculation 3 5 2 4 2" xfId="6989" xr:uid="{00000000-0005-0000-0000-0000351A0000}"/>
    <cellStyle name="Calculation 3 5 2 4 2 2" xfId="6990" xr:uid="{00000000-0005-0000-0000-0000361A0000}"/>
    <cellStyle name="Calculation 3 5 2 4 2 2 2" xfId="6991" xr:uid="{00000000-0005-0000-0000-0000371A0000}"/>
    <cellStyle name="Calculation 3 5 2 4 2 3" xfId="6992" xr:uid="{00000000-0005-0000-0000-0000381A0000}"/>
    <cellStyle name="Calculation 3 5 2 4 2 3 2" xfId="6993" xr:uid="{00000000-0005-0000-0000-0000391A0000}"/>
    <cellStyle name="Calculation 3 5 2 4 2 4" xfId="6994" xr:uid="{00000000-0005-0000-0000-00003A1A0000}"/>
    <cellStyle name="Calculation 3 5 2 4 2 5" xfId="6995" xr:uid="{00000000-0005-0000-0000-00003B1A0000}"/>
    <cellStyle name="Calculation 3 5 2 4 2 6" xfId="6996" xr:uid="{00000000-0005-0000-0000-00003C1A0000}"/>
    <cellStyle name="Calculation 3 5 2 4 3" xfId="6997" xr:uid="{00000000-0005-0000-0000-00003D1A0000}"/>
    <cellStyle name="Calculation 3 5 2 4 3 2" xfId="6998" xr:uid="{00000000-0005-0000-0000-00003E1A0000}"/>
    <cellStyle name="Calculation 3 5 2 4 4" xfId="6999" xr:uid="{00000000-0005-0000-0000-00003F1A0000}"/>
    <cellStyle name="Calculation 3 5 2 4 4 2" xfId="7000" xr:uid="{00000000-0005-0000-0000-0000401A0000}"/>
    <cellStyle name="Calculation 3 5 2 4 5" xfId="7001" xr:uid="{00000000-0005-0000-0000-0000411A0000}"/>
    <cellStyle name="Calculation 3 5 2 4 6" xfId="7002" xr:uid="{00000000-0005-0000-0000-0000421A0000}"/>
    <cellStyle name="Calculation 3 5 2 4 7" xfId="7003" xr:uid="{00000000-0005-0000-0000-0000431A0000}"/>
    <cellStyle name="Calculation 3 5 2 5" xfId="7004" xr:uid="{00000000-0005-0000-0000-0000441A0000}"/>
    <cellStyle name="Calculation 3 5 2 5 2" xfId="7005" xr:uid="{00000000-0005-0000-0000-0000451A0000}"/>
    <cellStyle name="Calculation 3 5 2 5 2 2" xfId="7006" xr:uid="{00000000-0005-0000-0000-0000461A0000}"/>
    <cellStyle name="Calculation 3 5 2 5 3" xfId="7007" xr:uid="{00000000-0005-0000-0000-0000471A0000}"/>
    <cellStyle name="Calculation 3 5 2 5 3 2" xfId="7008" xr:uid="{00000000-0005-0000-0000-0000481A0000}"/>
    <cellStyle name="Calculation 3 5 2 5 4" xfId="7009" xr:uid="{00000000-0005-0000-0000-0000491A0000}"/>
    <cellStyle name="Calculation 3 5 2 5 5" xfId="7010" xr:uid="{00000000-0005-0000-0000-00004A1A0000}"/>
    <cellStyle name="Calculation 3 5 2 5 6" xfId="7011" xr:uid="{00000000-0005-0000-0000-00004B1A0000}"/>
    <cellStyle name="Calculation 3 5 2 6" xfId="7012" xr:uid="{00000000-0005-0000-0000-00004C1A0000}"/>
    <cellStyle name="Calculation 3 5 2 6 2" xfId="7013" xr:uid="{00000000-0005-0000-0000-00004D1A0000}"/>
    <cellStyle name="Calculation 3 5 2 7" xfId="7014" xr:uid="{00000000-0005-0000-0000-00004E1A0000}"/>
    <cellStyle name="Calculation 3 5 2 7 2" xfId="7015" xr:uid="{00000000-0005-0000-0000-00004F1A0000}"/>
    <cellStyle name="Calculation 3 5 2 8" xfId="7016" xr:uid="{00000000-0005-0000-0000-0000501A0000}"/>
    <cellStyle name="Calculation 3 5 2 9" xfId="7017" xr:uid="{00000000-0005-0000-0000-0000511A0000}"/>
    <cellStyle name="Calculation 3 5 3" xfId="7018" xr:uid="{00000000-0005-0000-0000-0000521A0000}"/>
    <cellStyle name="Calculation 3 5 3 2" xfId="7019" xr:uid="{00000000-0005-0000-0000-0000531A0000}"/>
    <cellStyle name="Calculation 3 5 3 2 2" xfId="7020" xr:uid="{00000000-0005-0000-0000-0000541A0000}"/>
    <cellStyle name="Calculation 3 5 3 2 2 2" xfId="7021" xr:uid="{00000000-0005-0000-0000-0000551A0000}"/>
    <cellStyle name="Calculation 3 5 3 2 2 2 2" xfId="7022" xr:uid="{00000000-0005-0000-0000-0000561A0000}"/>
    <cellStyle name="Calculation 3 5 3 2 2 3" xfId="7023" xr:uid="{00000000-0005-0000-0000-0000571A0000}"/>
    <cellStyle name="Calculation 3 5 3 2 2 3 2" xfId="7024" xr:uid="{00000000-0005-0000-0000-0000581A0000}"/>
    <cellStyle name="Calculation 3 5 3 2 2 4" xfId="7025" xr:uid="{00000000-0005-0000-0000-0000591A0000}"/>
    <cellStyle name="Calculation 3 5 3 2 2 5" xfId="7026" xr:uid="{00000000-0005-0000-0000-00005A1A0000}"/>
    <cellStyle name="Calculation 3 5 3 2 2 6" xfId="7027" xr:uid="{00000000-0005-0000-0000-00005B1A0000}"/>
    <cellStyle name="Calculation 3 5 3 2 3" xfId="7028" xr:uid="{00000000-0005-0000-0000-00005C1A0000}"/>
    <cellStyle name="Calculation 3 5 3 2 3 2" xfId="7029" xr:uid="{00000000-0005-0000-0000-00005D1A0000}"/>
    <cellStyle name="Calculation 3 5 3 2 4" xfId="7030" xr:uid="{00000000-0005-0000-0000-00005E1A0000}"/>
    <cellStyle name="Calculation 3 5 3 2 4 2" xfId="7031" xr:uid="{00000000-0005-0000-0000-00005F1A0000}"/>
    <cellStyle name="Calculation 3 5 3 2 5" xfId="7032" xr:uid="{00000000-0005-0000-0000-0000601A0000}"/>
    <cellStyle name="Calculation 3 5 3 2 6" xfId="7033" xr:uid="{00000000-0005-0000-0000-0000611A0000}"/>
    <cellStyle name="Calculation 3 5 3 2 7" xfId="7034" xr:uid="{00000000-0005-0000-0000-0000621A0000}"/>
    <cellStyle name="Calculation 3 5 3 3" xfId="7035" xr:uid="{00000000-0005-0000-0000-0000631A0000}"/>
    <cellStyle name="Calculation 3 5 3 3 2" xfId="7036" xr:uid="{00000000-0005-0000-0000-0000641A0000}"/>
    <cellStyle name="Calculation 3 5 3 3 2 2" xfId="7037" xr:uid="{00000000-0005-0000-0000-0000651A0000}"/>
    <cellStyle name="Calculation 3 5 3 3 3" xfId="7038" xr:uid="{00000000-0005-0000-0000-0000661A0000}"/>
    <cellStyle name="Calculation 3 5 3 3 3 2" xfId="7039" xr:uid="{00000000-0005-0000-0000-0000671A0000}"/>
    <cellStyle name="Calculation 3 5 3 3 4" xfId="7040" xr:uid="{00000000-0005-0000-0000-0000681A0000}"/>
    <cellStyle name="Calculation 3 5 3 3 5" xfId="7041" xr:uid="{00000000-0005-0000-0000-0000691A0000}"/>
    <cellStyle name="Calculation 3 5 3 3 6" xfId="7042" xr:uid="{00000000-0005-0000-0000-00006A1A0000}"/>
    <cellStyle name="Calculation 3 5 3 4" xfId="7043" xr:uid="{00000000-0005-0000-0000-00006B1A0000}"/>
    <cellStyle name="Calculation 3 5 3 4 2" xfId="7044" xr:uid="{00000000-0005-0000-0000-00006C1A0000}"/>
    <cellStyle name="Calculation 3 5 3 5" xfId="7045" xr:uid="{00000000-0005-0000-0000-00006D1A0000}"/>
    <cellStyle name="Calculation 3 5 3 5 2" xfId="7046" xr:uid="{00000000-0005-0000-0000-00006E1A0000}"/>
    <cellStyle name="Calculation 3 5 3 6" xfId="7047" xr:uid="{00000000-0005-0000-0000-00006F1A0000}"/>
    <cellStyle name="Calculation 3 5 3 7" xfId="7048" xr:uid="{00000000-0005-0000-0000-0000701A0000}"/>
    <cellStyle name="Calculation 3 5 3 8" xfId="7049" xr:uid="{00000000-0005-0000-0000-0000711A0000}"/>
    <cellStyle name="Calculation 3 5 4" xfId="7050" xr:uid="{00000000-0005-0000-0000-0000721A0000}"/>
    <cellStyle name="Calculation 3 5 4 2" xfId="7051" xr:uid="{00000000-0005-0000-0000-0000731A0000}"/>
    <cellStyle name="Calculation 3 5 4 2 2" xfId="7052" xr:uid="{00000000-0005-0000-0000-0000741A0000}"/>
    <cellStyle name="Calculation 3 5 4 2 2 2" xfId="7053" xr:uid="{00000000-0005-0000-0000-0000751A0000}"/>
    <cellStyle name="Calculation 3 5 4 2 2 2 2" xfId="7054" xr:uid="{00000000-0005-0000-0000-0000761A0000}"/>
    <cellStyle name="Calculation 3 5 4 2 2 3" xfId="7055" xr:uid="{00000000-0005-0000-0000-0000771A0000}"/>
    <cellStyle name="Calculation 3 5 4 2 2 3 2" xfId="7056" xr:uid="{00000000-0005-0000-0000-0000781A0000}"/>
    <cellStyle name="Calculation 3 5 4 2 2 4" xfId="7057" xr:uid="{00000000-0005-0000-0000-0000791A0000}"/>
    <cellStyle name="Calculation 3 5 4 2 2 5" xfId="7058" xr:uid="{00000000-0005-0000-0000-00007A1A0000}"/>
    <cellStyle name="Calculation 3 5 4 2 2 6" xfId="7059" xr:uid="{00000000-0005-0000-0000-00007B1A0000}"/>
    <cellStyle name="Calculation 3 5 4 2 3" xfId="7060" xr:uid="{00000000-0005-0000-0000-00007C1A0000}"/>
    <cellStyle name="Calculation 3 5 4 2 3 2" xfId="7061" xr:uid="{00000000-0005-0000-0000-00007D1A0000}"/>
    <cellStyle name="Calculation 3 5 4 2 4" xfId="7062" xr:uid="{00000000-0005-0000-0000-00007E1A0000}"/>
    <cellStyle name="Calculation 3 5 4 2 4 2" xfId="7063" xr:uid="{00000000-0005-0000-0000-00007F1A0000}"/>
    <cellStyle name="Calculation 3 5 4 2 5" xfId="7064" xr:uid="{00000000-0005-0000-0000-0000801A0000}"/>
    <cellStyle name="Calculation 3 5 4 2 6" xfId="7065" xr:uid="{00000000-0005-0000-0000-0000811A0000}"/>
    <cellStyle name="Calculation 3 5 4 2 7" xfId="7066" xr:uid="{00000000-0005-0000-0000-0000821A0000}"/>
    <cellStyle name="Calculation 3 5 4 3" xfId="7067" xr:uid="{00000000-0005-0000-0000-0000831A0000}"/>
    <cellStyle name="Calculation 3 5 4 3 2" xfId="7068" xr:uid="{00000000-0005-0000-0000-0000841A0000}"/>
    <cellStyle name="Calculation 3 5 4 3 2 2" xfId="7069" xr:uid="{00000000-0005-0000-0000-0000851A0000}"/>
    <cellStyle name="Calculation 3 5 4 3 3" xfId="7070" xr:uid="{00000000-0005-0000-0000-0000861A0000}"/>
    <cellStyle name="Calculation 3 5 4 3 3 2" xfId="7071" xr:uid="{00000000-0005-0000-0000-0000871A0000}"/>
    <cellStyle name="Calculation 3 5 4 3 4" xfId="7072" xr:uid="{00000000-0005-0000-0000-0000881A0000}"/>
    <cellStyle name="Calculation 3 5 4 3 5" xfId="7073" xr:uid="{00000000-0005-0000-0000-0000891A0000}"/>
    <cellStyle name="Calculation 3 5 4 3 6" xfId="7074" xr:uid="{00000000-0005-0000-0000-00008A1A0000}"/>
    <cellStyle name="Calculation 3 5 4 4" xfId="7075" xr:uid="{00000000-0005-0000-0000-00008B1A0000}"/>
    <cellStyle name="Calculation 3 5 4 4 2" xfId="7076" xr:uid="{00000000-0005-0000-0000-00008C1A0000}"/>
    <cellStyle name="Calculation 3 5 4 5" xfId="7077" xr:uid="{00000000-0005-0000-0000-00008D1A0000}"/>
    <cellStyle name="Calculation 3 5 4 5 2" xfId="7078" xr:uid="{00000000-0005-0000-0000-00008E1A0000}"/>
    <cellStyle name="Calculation 3 5 4 6" xfId="7079" xr:uid="{00000000-0005-0000-0000-00008F1A0000}"/>
    <cellStyle name="Calculation 3 5 4 7" xfId="7080" xr:uid="{00000000-0005-0000-0000-0000901A0000}"/>
    <cellStyle name="Calculation 3 5 4 8" xfId="7081" xr:uid="{00000000-0005-0000-0000-0000911A0000}"/>
    <cellStyle name="Calculation 3 5 5" xfId="7082" xr:uid="{00000000-0005-0000-0000-0000921A0000}"/>
    <cellStyle name="Calculation 3 5 5 2" xfId="7083" xr:uid="{00000000-0005-0000-0000-0000931A0000}"/>
    <cellStyle name="Calculation 3 5 5 2 2" xfId="7084" xr:uid="{00000000-0005-0000-0000-0000941A0000}"/>
    <cellStyle name="Calculation 3 5 5 2 2 2" xfId="7085" xr:uid="{00000000-0005-0000-0000-0000951A0000}"/>
    <cellStyle name="Calculation 3 5 5 2 3" xfId="7086" xr:uid="{00000000-0005-0000-0000-0000961A0000}"/>
    <cellStyle name="Calculation 3 5 5 2 3 2" xfId="7087" xr:uid="{00000000-0005-0000-0000-0000971A0000}"/>
    <cellStyle name="Calculation 3 5 5 2 4" xfId="7088" xr:uid="{00000000-0005-0000-0000-0000981A0000}"/>
    <cellStyle name="Calculation 3 5 5 2 5" xfId="7089" xr:uid="{00000000-0005-0000-0000-0000991A0000}"/>
    <cellStyle name="Calculation 3 5 5 2 6" xfId="7090" xr:uid="{00000000-0005-0000-0000-00009A1A0000}"/>
    <cellStyle name="Calculation 3 5 5 3" xfId="7091" xr:uid="{00000000-0005-0000-0000-00009B1A0000}"/>
    <cellStyle name="Calculation 3 5 5 3 2" xfId="7092" xr:uid="{00000000-0005-0000-0000-00009C1A0000}"/>
    <cellStyle name="Calculation 3 5 5 4" xfId="7093" xr:uid="{00000000-0005-0000-0000-00009D1A0000}"/>
    <cellStyle name="Calculation 3 5 5 4 2" xfId="7094" xr:uid="{00000000-0005-0000-0000-00009E1A0000}"/>
    <cellStyle name="Calculation 3 5 5 5" xfId="7095" xr:uid="{00000000-0005-0000-0000-00009F1A0000}"/>
    <cellStyle name="Calculation 3 5 5 6" xfId="7096" xr:uid="{00000000-0005-0000-0000-0000A01A0000}"/>
    <cellStyle name="Calculation 3 5 5 7" xfId="7097" xr:uid="{00000000-0005-0000-0000-0000A11A0000}"/>
    <cellStyle name="Calculation 3 5 6" xfId="7098" xr:uid="{00000000-0005-0000-0000-0000A21A0000}"/>
    <cellStyle name="Calculation 3 5 6 2" xfId="7099" xr:uid="{00000000-0005-0000-0000-0000A31A0000}"/>
    <cellStyle name="Calculation 3 5 6 2 2" xfId="7100" xr:uid="{00000000-0005-0000-0000-0000A41A0000}"/>
    <cellStyle name="Calculation 3 5 6 3" xfId="7101" xr:uid="{00000000-0005-0000-0000-0000A51A0000}"/>
    <cellStyle name="Calculation 3 5 6 3 2" xfId="7102" xr:uid="{00000000-0005-0000-0000-0000A61A0000}"/>
    <cellStyle name="Calculation 3 5 6 4" xfId="7103" xr:uid="{00000000-0005-0000-0000-0000A71A0000}"/>
    <cellStyle name="Calculation 3 5 6 5" xfId="7104" xr:uid="{00000000-0005-0000-0000-0000A81A0000}"/>
    <cellStyle name="Calculation 3 5 6 6" xfId="7105" xr:uid="{00000000-0005-0000-0000-0000A91A0000}"/>
    <cellStyle name="Calculation 3 5 7" xfId="7106" xr:uid="{00000000-0005-0000-0000-0000AA1A0000}"/>
    <cellStyle name="Calculation 3 5 7 2" xfId="7107" xr:uid="{00000000-0005-0000-0000-0000AB1A0000}"/>
    <cellStyle name="Calculation 3 5 8" xfId="7108" xr:uid="{00000000-0005-0000-0000-0000AC1A0000}"/>
    <cellStyle name="Calculation 3 5 8 2" xfId="7109" xr:uid="{00000000-0005-0000-0000-0000AD1A0000}"/>
    <cellStyle name="Calculation 3 5 9" xfId="7110" xr:uid="{00000000-0005-0000-0000-0000AE1A0000}"/>
    <cellStyle name="Calculation 3 6" xfId="7111" xr:uid="{00000000-0005-0000-0000-0000AF1A0000}"/>
    <cellStyle name="Calculation 3 6 2" xfId="7112" xr:uid="{00000000-0005-0000-0000-0000B01A0000}"/>
    <cellStyle name="Calculation 3 6 2 2" xfId="7113" xr:uid="{00000000-0005-0000-0000-0000B11A0000}"/>
    <cellStyle name="Calculation 3 6 2 2 2" xfId="7114" xr:uid="{00000000-0005-0000-0000-0000B21A0000}"/>
    <cellStyle name="Calculation 3 6 2 3" xfId="7115" xr:uid="{00000000-0005-0000-0000-0000B31A0000}"/>
    <cellStyle name="Calculation 3 6 2 3 2" xfId="7116" xr:uid="{00000000-0005-0000-0000-0000B41A0000}"/>
    <cellStyle name="Calculation 3 6 2 4" xfId="7117" xr:uid="{00000000-0005-0000-0000-0000B51A0000}"/>
    <cellStyle name="Calculation 3 6 2 5" xfId="7118" xr:uid="{00000000-0005-0000-0000-0000B61A0000}"/>
    <cellStyle name="Calculation 3 6 2 6" xfId="7119" xr:uid="{00000000-0005-0000-0000-0000B71A0000}"/>
    <cellStyle name="Calculation 3 6 3" xfId="7120" xr:uid="{00000000-0005-0000-0000-0000B81A0000}"/>
    <cellStyle name="Calculation 3 6 3 2" xfId="7121" xr:uid="{00000000-0005-0000-0000-0000B91A0000}"/>
    <cellStyle name="Calculation 3 6 4" xfId="7122" xr:uid="{00000000-0005-0000-0000-0000BA1A0000}"/>
    <cellStyle name="Calculation 3 6 4 2" xfId="7123" xr:uid="{00000000-0005-0000-0000-0000BB1A0000}"/>
    <cellStyle name="Calculation 3 6 5" xfId="7124" xr:uid="{00000000-0005-0000-0000-0000BC1A0000}"/>
    <cellStyle name="Calculation 3 6 6" xfId="7125" xr:uid="{00000000-0005-0000-0000-0000BD1A0000}"/>
    <cellStyle name="Calculation 3 6 7" xfId="7126" xr:uid="{00000000-0005-0000-0000-0000BE1A0000}"/>
    <cellStyle name="Calculation 3 7" xfId="7127" xr:uid="{00000000-0005-0000-0000-0000BF1A0000}"/>
    <cellStyle name="Calculation 3 7 2" xfId="7128" xr:uid="{00000000-0005-0000-0000-0000C01A0000}"/>
    <cellStyle name="Calculation 3 8" xfId="7129" xr:uid="{00000000-0005-0000-0000-0000C11A0000}"/>
    <cellStyle name="Calculation 3 8 2" xfId="7130" xr:uid="{00000000-0005-0000-0000-0000C21A0000}"/>
    <cellStyle name="Calculation 3 9" xfId="7131" xr:uid="{00000000-0005-0000-0000-0000C31A0000}"/>
    <cellStyle name="Calculation 4" xfId="7132" xr:uid="{00000000-0005-0000-0000-0000C41A0000}"/>
    <cellStyle name="Calculation 4 10" xfId="7133" xr:uid="{00000000-0005-0000-0000-0000C51A0000}"/>
    <cellStyle name="Calculation 4 11" xfId="7134" xr:uid="{00000000-0005-0000-0000-0000C61A0000}"/>
    <cellStyle name="Calculation 4 12" xfId="7135" xr:uid="{00000000-0005-0000-0000-0000C71A0000}"/>
    <cellStyle name="Calculation 4 2" xfId="7136" xr:uid="{00000000-0005-0000-0000-0000C81A0000}"/>
    <cellStyle name="Calculation 4 2 10" xfId="7137" xr:uid="{00000000-0005-0000-0000-0000C91A0000}"/>
    <cellStyle name="Calculation 4 2 11" xfId="7138" xr:uid="{00000000-0005-0000-0000-0000CA1A0000}"/>
    <cellStyle name="Calculation 4 2 2" xfId="7139" xr:uid="{00000000-0005-0000-0000-0000CB1A0000}"/>
    <cellStyle name="Calculation 4 2 2 10" xfId="7140" xr:uid="{00000000-0005-0000-0000-0000CC1A0000}"/>
    <cellStyle name="Calculation 4 2 2 2" xfId="7141" xr:uid="{00000000-0005-0000-0000-0000CD1A0000}"/>
    <cellStyle name="Calculation 4 2 2 2 2" xfId="7142" xr:uid="{00000000-0005-0000-0000-0000CE1A0000}"/>
    <cellStyle name="Calculation 4 2 2 2 2 2" xfId="7143" xr:uid="{00000000-0005-0000-0000-0000CF1A0000}"/>
    <cellStyle name="Calculation 4 2 2 2 2 2 2" xfId="7144" xr:uid="{00000000-0005-0000-0000-0000D01A0000}"/>
    <cellStyle name="Calculation 4 2 2 2 2 2 2 2" xfId="7145" xr:uid="{00000000-0005-0000-0000-0000D11A0000}"/>
    <cellStyle name="Calculation 4 2 2 2 2 2 3" xfId="7146" xr:uid="{00000000-0005-0000-0000-0000D21A0000}"/>
    <cellStyle name="Calculation 4 2 2 2 2 2 3 2" xfId="7147" xr:uid="{00000000-0005-0000-0000-0000D31A0000}"/>
    <cellStyle name="Calculation 4 2 2 2 2 2 4" xfId="7148" xr:uid="{00000000-0005-0000-0000-0000D41A0000}"/>
    <cellStyle name="Calculation 4 2 2 2 2 2 5" xfId="7149" xr:uid="{00000000-0005-0000-0000-0000D51A0000}"/>
    <cellStyle name="Calculation 4 2 2 2 2 2 6" xfId="7150" xr:uid="{00000000-0005-0000-0000-0000D61A0000}"/>
    <cellStyle name="Calculation 4 2 2 2 2 3" xfId="7151" xr:uid="{00000000-0005-0000-0000-0000D71A0000}"/>
    <cellStyle name="Calculation 4 2 2 2 2 3 2" xfId="7152" xr:uid="{00000000-0005-0000-0000-0000D81A0000}"/>
    <cellStyle name="Calculation 4 2 2 2 2 4" xfId="7153" xr:uid="{00000000-0005-0000-0000-0000D91A0000}"/>
    <cellStyle name="Calculation 4 2 2 2 2 4 2" xfId="7154" xr:uid="{00000000-0005-0000-0000-0000DA1A0000}"/>
    <cellStyle name="Calculation 4 2 2 2 2 5" xfId="7155" xr:uid="{00000000-0005-0000-0000-0000DB1A0000}"/>
    <cellStyle name="Calculation 4 2 2 2 2 6" xfId="7156" xr:uid="{00000000-0005-0000-0000-0000DC1A0000}"/>
    <cellStyle name="Calculation 4 2 2 2 2 7" xfId="7157" xr:uid="{00000000-0005-0000-0000-0000DD1A0000}"/>
    <cellStyle name="Calculation 4 2 2 2 3" xfId="7158" xr:uid="{00000000-0005-0000-0000-0000DE1A0000}"/>
    <cellStyle name="Calculation 4 2 2 2 3 2" xfId="7159" xr:uid="{00000000-0005-0000-0000-0000DF1A0000}"/>
    <cellStyle name="Calculation 4 2 2 2 3 2 2" xfId="7160" xr:uid="{00000000-0005-0000-0000-0000E01A0000}"/>
    <cellStyle name="Calculation 4 2 2 2 3 3" xfId="7161" xr:uid="{00000000-0005-0000-0000-0000E11A0000}"/>
    <cellStyle name="Calculation 4 2 2 2 3 3 2" xfId="7162" xr:uid="{00000000-0005-0000-0000-0000E21A0000}"/>
    <cellStyle name="Calculation 4 2 2 2 3 4" xfId="7163" xr:uid="{00000000-0005-0000-0000-0000E31A0000}"/>
    <cellStyle name="Calculation 4 2 2 2 3 5" xfId="7164" xr:uid="{00000000-0005-0000-0000-0000E41A0000}"/>
    <cellStyle name="Calculation 4 2 2 2 3 6" xfId="7165" xr:uid="{00000000-0005-0000-0000-0000E51A0000}"/>
    <cellStyle name="Calculation 4 2 2 2 4" xfId="7166" xr:uid="{00000000-0005-0000-0000-0000E61A0000}"/>
    <cellStyle name="Calculation 4 2 2 2 4 2" xfId="7167" xr:uid="{00000000-0005-0000-0000-0000E71A0000}"/>
    <cellStyle name="Calculation 4 2 2 2 5" xfId="7168" xr:uid="{00000000-0005-0000-0000-0000E81A0000}"/>
    <cellStyle name="Calculation 4 2 2 2 5 2" xfId="7169" xr:uid="{00000000-0005-0000-0000-0000E91A0000}"/>
    <cellStyle name="Calculation 4 2 2 2 6" xfId="7170" xr:uid="{00000000-0005-0000-0000-0000EA1A0000}"/>
    <cellStyle name="Calculation 4 2 2 2 7" xfId="7171" xr:uid="{00000000-0005-0000-0000-0000EB1A0000}"/>
    <cellStyle name="Calculation 4 2 2 2 8" xfId="7172" xr:uid="{00000000-0005-0000-0000-0000EC1A0000}"/>
    <cellStyle name="Calculation 4 2 2 3" xfId="7173" xr:uid="{00000000-0005-0000-0000-0000ED1A0000}"/>
    <cellStyle name="Calculation 4 2 2 3 2" xfId="7174" xr:uid="{00000000-0005-0000-0000-0000EE1A0000}"/>
    <cellStyle name="Calculation 4 2 2 3 2 2" xfId="7175" xr:uid="{00000000-0005-0000-0000-0000EF1A0000}"/>
    <cellStyle name="Calculation 4 2 2 3 2 2 2" xfId="7176" xr:uid="{00000000-0005-0000-0000-0000F01A0000}"/>
    <cellStyle name="Calculation 4 2 2 3 2 2 2 2" xfId="7177" xr:uid="{00000000-0005-0000-0000-0000F11A0000}"/>
    <cellStyle name="Calculation 4 2 2 3 2 2 3" xfId="7178" xr:uid="{00000000-0005-0000-0000-0000F21A0000}"/>
    <cellStyle name="Calculation 4 2 2 3 2 2 3 2" xfId="7179" xr:uid="{00000000-0005-0000-0000-0000F31A0000}"/>
    <cellStyle name="Calculation 4 2 2 3 2 2 4" xfId="7180" xr:uid="{00000000-0005-0000-0000-0000F41A0000}"/>
    <cellStyle name="Calculation 4 2 2 3 2 2 5" xfId="7181" xr:uid="{00000000-0005-0000-0000-0000F51A0000}"/>
    <cellStyle name="Calculation 4 2 2 3 2 2 6" xfId="7182" xr:uid="{00000000-0005-0000-0000-0000F61A0000}"/>
    <cellStyle name="Calculation 4 2 2 3 2 3" xfId="7183" xr:uid="{00000000-0005-0000-0000-0000F71A0000}"/>
    <cellStyle name="Calculation 4 2 2 3 2 3 2" xfId="7184" xr:uid="{00000000-0005-0000-0000-0000F81A0000}"/>
    <cellStyle name="Calculation 4 2 2 3 2 4" xfId="7185" xr:uid="{00000000-0005-0000-0000-0000F91A0000}"/>
    <cellStyle name="Calculation 4 2 2 3 2 4 2" xfId="7186" xr:uid="{00000000-0005-0000-0000-0000FA1A0000}"/>
    <cellStyle name="Calculation 4 2 2 3 2 5" xfId="7187" xr:uid="{00000000-0005-0000-0000-0000FB1A0000}"/>
    <cellStyle name="Calculation 4 2 2 3 2 6" xfId="7188" xr:uid="{00000000-0005-0000-0000-0000FC1A0000}"/>
    <cellStyle name="Calculation 4 2 2 3 2 7" xfId="7189" xr:uid="{00000000-0005-0000-0000-0000FD1A0000}"/>
    <cellStyle name="Calculation 4 2 2 3 3" xfId="7190" xr:uid="{00000000-0005-0000-0000-0000FE1A0000}"/>
    <cellStyle name="Calculation 4 2 2 3 3 2" xfId="7191" xr:uid="{00000000-0005-0000-0000-0000FF1A0000}"/>
    <cellStyle name="Calculation 4 2 2 3 3 2 2" xfId="7192" xr:uid="{00000000-0005-0000-0000-0000001B0000}"/>
    <cellStyle name="Calculation 4 2 2 3 3 3" xfId="7193" xr:uid="{00000000-0005-0000-0000-0000011B0000}"/>
    <cellStyle name="Calculation 4 2 2 3 3 3 2" xfId="7194" xr:uid="{00000000-0005-0000-0000-0000021B0000}"/>
    <cellStyle name="Calculation 4 2 2 3 3 4" xfId="7195" xr:uid="{00000000-0005-0000-0000-0000031B0000}"/>
    <cellStyle name="Calculation 4 2 2 3 3 5" xfId="7196" xr:uid="{00000000-0005-0000-0000-0000041B0000}"/>
    <cellStyle name="Calculation 4 2 2 3 3 6" xfId="7197" xr:uid="{00000000-0005-0000-0000-0000051B0000}"/>
    <cellStyle name="Calculation 4 2 2 3 4" xfId="7198" xr:uid="{00000000-0005-0000-0000-0000061B0000}"/>
    <cellStyle name="Calculation 4 2 2 3 4 2" xfId="7199" xr:uid="{00000000-0005-0000-0000-0000071B0000}"/>
    <cellStyle name="Calculation 4 2 2 3 5" xfId="7200" xr:uid="{00000000-0005-0000-0000-0000081B0000}"/>
    <cellStyle name="Calculation 4 2 2 3 5 2" xfId="7201" xr:uid="{00000000-0005-0000-0000-0000091B0000}"/>
    <cellStyle name="Calculation 4 2 2 3 6" xfId="7202" xr:uid="{00000000-0005-0000-0000-00000A1B0000}"/>
    <cellStyle name="Calculation 4 2 2 3 7" xfId="7203" xr:uid="{00000000-0005-0000-0000-00000B1B0000}"/>
    <cellStyle name="Calculation 4 2 2 3 8" xfId="7204" xr:uid="{00000000-0005-0000-0000-00000C1B0000}"/>
    <cellStyle name="Calculation 4 2 2 4" xfId="7205" xr:uid="{00000000-0005-0000-0000-00000D1B0000}"/>
    <cellStyle name="Calculation 4 2 2 4 2" xfId="7206" xr:uid="{00000000-0005-0000-0000-00000E1B0000}"/>
    <cellStyle name="Calculation 4 2 2 4 2 2" xfId="7207" xr:uid="{00000000-0005-0000-0000-00000F1B0000}"/>
    <cellStyle name="Calculation 4 2 2 4 2 2 2" xfId="7208" xr:uid="{00000000-0005-0000-0000-0000101B0000}"/>
    <cellStyle name="Calculation 4 2 2 4 2 3" xfId="7209" xr:uid="{00000000-0005-0000-0000-0000111B0000}"/>
    <cellStyle name="Calculation 4 2 2 4 2 3 2" xfId="7210" xr:uid="{00000000-0005-0000-0000-0000121B0000}"/>
    <cellStyle name="Calculation 4 2 2 4 2 4" xfId="7211" xr:uid="{00000000-0005-0000-0000-0000131B0000}"/>
    <cellStyle name="Calculation 4 2 2 4 2 5" xfId="7212" xr:uid="{00000000-0005-0000-0000-0000141B0000}"/>
    <cellStyle name="Calculation 4 2 2 4 2 6" xfId="7213" xr:uid="{00000000-0005-0000-0000-0000151B0000}"/>
    <cellStyle name="Calculation 4 2 2 4 3" xfId="7214" xr:uid="{00000000-0005-0000-0000-0000161B0000}"/>
    <cellStyle name="Calculation 4 2 2 4 3 2" xfId="7215" xr:uid="{00000000-0005-0000-0000-0000171B0000}"/>
    <cellStyle name="Calculation 4 2 2 4 4" xfId="7216" xr:uid="{00000000-0005-0000-0000-0000181B0000}"/>
    <cellStyle name="Calculation 4 2 2 4 4 2" xfId="7217" xr:uid="{00000000-0005-0000-0000-0000191B0000}"/>
    <cellStyle name="Calculation 4 2 2 4 5" xfId="7218" xr:uid="{00000000-0005-0000-0000-00001A1B0000}"/>
    <cellStyle name="Calculation 4 2 2 4 6" xfId="7219" xr:uid="{00000000-0005-0000-0000-00001B1B0000}"/>
    <cellStyle name="Calculation 4 2 2 4 7" xfId="7220" xr:uid="{00000000-0005-0000-0000-00001C1B0000}"/>
    <cellStyle name="Calculation 4 2 2 5" xfId="7221" xr:uid="{00000000-0005-0000-0000-00001D1B0000}"/>
    <cellStyle name="Calculation 4 2 2 5 2" xfId="7222" xr:uid="{00000000-0005-0000-0000-00001E1B0000}"/>
    <cellStyle name="Calculation 4 2 2 5 2 2" xfId="7223" xr:uid="{00000000-0005-0000-0000-00001F1B0000}"/>
    <cellStyle name="Calculation 4 2 2 5 3" xfId="7224" xr:uid="{00000000-0005-0000-0000-0000201B0000}"/>
    <cellStyle name="Calculation 4 2 2 5 3 2" xfId="7225" xr:uid="{00000000-0005-0000-0000-0000211B0000}"/>
    <cellStyle name="Calculation 4 2 2 5 4" xfId="7226" xr:uid="{00000000-0005-0000-0000-0000221B0000}"/>
    <cellStyle name="Calculation 4 2 2 5 5" xfId="7227" xr:uid="{00000000-0005-0000-0000-0000231B0000}"/>
    <cellStyle name="Calculation 4 2 2 5 6" xfId="7228" xr:uid="{00000000-0005-0000-0000-0000241B0000}"/>
    <cellStyle name="Calculation 4 2 2 6" xfId="7229" xr:uid="{00000000-0005-0000-0000-0000251B0000}"/>
    <cellStyle name="Calculation 4 2 2 6 2" xfId="7230" xr:uid="{00000000-0005-0000-0000-0000261B0000}"/>
    <cellStyle name="Calculation 4 2 2 7" xfId="7231" xr:uid="{00000000-0005-0000-0000-0000271B0000}"/>
    <cellStyle name="Calculation 4 2 2 7 2" xfId="7232" xr:uid="{00000000-0005-0000-0000-0000281B0000}"/>
    <cellStyle name="Calculation 4 2 2 8" xfId="7233" xr:uid="{00000000-0005-0000-0000-0000291B0000}"/>
    <cellStyle name="Calculation 4 2 2 9" xfId="7234" xr:uid="{00000000-0005-0000-0000-00002A1B0000}"/>
    <cellStyle name="Calculation 4 2 3" xfId="7235" xr:uid="{00000000-0005-0000-0000-00002B1B0000}"/>
    <cellStyle name="Calculation 4 2 3 2" xfId="7236" xr:uid="{00000000-0005-0000-0000-00002C1B0000}"/>
    <cellStyle name="Calculation 4 2 3 2 2" xfId="7237" xr:uid="{00000000-0005-0000-0000-00002D1B0000}"/>
    <cellStyle name="Calculation 4 2 3 2 2 2" xfId="7238" xr:uid="{00000000-0005-0000-0000-00002E1B0000}"/>
    <cellStyle name="Calculation 4 2 3 2 2 2 2" xfId="7239" xr:uid="{00000000-0005-0000-0000-00002F1B0000}"/>
    <cellStyle name="Calculation 4 2 3 2 2 3" xfId="7240" xr:uid="{00000000-0005-0000-0000-0000301B0000}"/>
    <cellStyle name="Calculation 4 2 3 2 2 3 2" xfId="7241" xr:uid="{00000000-0005-0000-0000-0000311B0000}"/>
    <cellStyle name="Calculation 4 2 3 2 2 4" xfId="7242" xr:uid="{00000000-0005-0000-0000-0000321B0000}"/>
    <cellStyle name="Calculation 4 2 3 2 2 5" xfId="7243" xr:uid="{00000000-0005-0000-0000-0000331B0000}"/>
    <cellStyle name="Calculation 4 2 3 2 2 6" xfId="7244" xr:uid="{00000000-0005-0000-0000-0000341B0000}"/>
    <cellStyle name="Calculation 4 2 3 2 3" xfId="7245" xr:uid="{00000000-0005-0000-0000-0000351B0000}"/>
    <cellStyle name="Calculation 4 2 3 2 3 2" xfId="7246" xr:uid="{00000000-0005-0000-0000-0000361B0000}"/>
    <cellStyle name="Calculation 4 2 3 2 4" xfId="7247" xr:uid="{00000000-0005-0000-0000-0000371B0000}"/>
    <cellStyle name="Calculation 4 2 3 2 4 2" xfId="7248" xr:uid="{00000000-0005-0000-0000-0000381B0000}"/>
    <cellStyle name="Calculation 4 2 3 2 5" xfId="7249" xr:uid="{00000000-0005-0000-0000-0000391B0000}"/>
    <cellStyle name="Calculation 4 2 3 2 6" xfId="7250" xr:uid="{00000000-0005-0000-0000-00003A1B0000}"/>
    <cellStyle name="Calculation 4 2 3 2 7" xfId="7251" xr:uid="{00000000-0005-0000-0000-00003B1B0000}"/>
    <cellStyle name="Calculation 4 2 3 3" xfId="7252" xr:uid="{00000000-0005-0000-0000-00003C1B0000}"/>
    <cellStyle name="Calculation 4 2 3 3 2" xfId="7253" xr:uid="{00000000-0005-0000-0000-00003D1B0000}"/>
    <cellStyle name="Calculation 4 2 3 3 2 2" xfId="7254" xr:uid="{00000000-0005-0000-0000-00003E1B0000}"/>
    <cellStyle name="Calculation 4 2 3 3 3" xfId="7255" xr:uid="{00000000-0005-0000-0000-00003F1B0000}"/>
    <cellStyle name="Calculation 4 2 3 3 3 2" xfId="7256" xr:uid="{00000000-0005-0000-0000-0000401B0000}"/>
    <cellStyle name="Calculation 4 2 3 3 4" xfId="7257" xr:uid="{00000000-0005-0000-0000-0000411B0000}"/>
    <cellStyle name="Calculation 4 2 3 3 5" xfId="7258" xr:uid="{00000000-0005-0000-0000-0000421B0000}"/>
    <cellStyle name="Calculation 4 2 3 3 6" xfId="7259" xr:uid="{00000000-0005-0000-0000-0000431B0000}"/>
    <cellStyle name="Calculation 4 2 3 4" xfId="7260" xr:uid="{00000000-0005-0000-0000-0000441B0000}"/>
    <cellStyle name="Calculation 4 2 3 4 2" xfId="7261" xr:uid="{00000000-0005-0000-0000-0000451B0000}"/>
    <cellStyle name="Calculation 4 2 3 5" xfId="7262" xr:uid="{00000000-0005-0000-0000-0000461B0000}"/>
    <cellStyle name="Calculation 4 2 3 5 2" xfId="7263" xr:uid="{00000000-0005-0000-0000-0000471B0000}"/>
    <cellStyle name="Calculation 4 2 3 6" xfId="7264" xr:uid="{00000000-0005-0000-0000-0000481B0000}"/>
    <cellStyle name="Calculation 4 2 3 7" xfId="7265" xr:uid="{00000000-0005-0000-0000-0000491B0000}"/>
    <cellStyle name="Calculation 4 2 3 8" xfId="7266" xr:uid="{00000000-0005-0000-0000-00004A1B0000}"/>
    <cellStyle name="Calculation 4 2 4" xfId="7267" xr:uid="{00000000-0005-0000-0000-00004B1B0000}"/>
    <cellStyle name="Calculation 4 2 4 2" xfId="7268" xr:uid="{00000000-0005-0000-0000-00004C1B0000}"/>
    <cellStyle name="Calculation 4 2 4 2 2" xfId="7269" xr:uid="{00000000-0005-0000-0000-00004D1B0000}"/>
    <cellStyle name="Calculation 4 2 4 2 2 2" xfId="7270" xr:uid="{00000000-0005-0000-0000-00004E1B0000}"/>
    <cellStyle name="Calculation 4 2 4 2 2 2 2" xfId="7271" xr:uid="{00000000-0005-0000-0000-00004F1B0000}"/>
    <cellStyle name="Calculation 4 2 4 2 2 3" xfId="7272" xr:uid="{00000000-0005-0000-0000-0000501B0000}"/>
    <cellStyle name="Calculation 4 2 4 2 2 3 2" xfId="7273" xr:uid="{00000000-0005-0000-0000-0000511B0000}"/>
    <cellStyle name="Calculation 4 2 4 2 2 4" xfId="7274" xr:uid="{00000000-0005-0000-0000-0000521B0000}"/>
    <cellStyle name="Calculation 4 2 4 2 2 5" xfId="7275" xr:uid="{00000000-0005-0000-0000-0000531B0000}"/>
    <cellStyle name="Calculation 4 2 4 2 2 6" xfId="7276" xr:uid="{00000000-0005-0000-0000-0000541B0000}"/>
    <cellStyle name="Calculation 4 2 4 2 3" xfId="7277" xr:uid="{00000000-0005-0000-0000-0000551B0000}"/>
    <cellStyle name="Calculation 4 2 4 2 3 2" xfId="7278" xr:uid="{00000000-0005-0000-0000-0000561B0000}"/>
    <cellStyle name="Calculation 4 2 4 2 4" xfId="7279" xr:uid="{00000000-0005-0000-0000-0000571B0000}"/>
    <cellStyle name="Calculation 4 2 4 2 4 2" xfId="7280" xr:uid="{00000000-0005-0000-0000-0000581B0000}"/>
    <cellStyle name="Calculation 4 2 4 2 5" xfId="7281" xr:uid="{00000000-0005-0000-0000-0000591B0000}"/>
    <cellStyle name="Calculation 4 2 4 2 6" xfId="7282" xr:uid="{00000000-0005-0000-0000-00005A1B0000}"/>
    <cellStyle name="Calculation 4 2 4 2 7" xfId="7283" xr:uid="{00000000-0005-0000-0000-00005B1B0000}"/>
    <cellStyle name="Calculation 4 2 4 3" xfId="7284" xr:uid="{00000000-0005-0000-0000-00005C1B0000}"/>
    <cellStyle name="Calculation 4 2 4 3 2" xfId="7285" xr:uid="{00000000-0005-0000-0000-00005D1B0000}"/>
    <cellStyle name="Calculation 4 2 4 3 2 2" xfId="7286" xr:uid="{00000000-0005-0000-0000-00005E1B0000}"/>
    <cellStyle name="Calculation 4 2 4 3 3" xfId="7287" xr:uid="{00000000-0005-0000-0000-00005F1B0000}"/>
    <cellStyle name="Calculation 4 2 4 3 3 2" xfId="7288" xr:uid="{00000000-0005-0000-0000-0000601B0000}"/>
    <cellStyle name="Calculation 4 2 4 3 4" xfId="7289" xr:uid="{00000000-0005-0000-0000-0000611B0000}"/>
    <cellStyle name="Calculation 4 2 4 3 5" xfId="7290" xr:uid="{00000000-0005-0000-0000-0000621B0000}"/>
    <cellStyle name="Calculation 4 2 4 3 6" xfId="7291" xr:uid="{00000000-0005-0000-0000-0000631B0000}"/>
    <cellStyle name="Calculation 4 2 4 4" xfId="7292" xr:uid="{00000000-0005-0000-0000-0000641B0000}"/>
    <cellStyle name="Calculation 4 2 4 4 2" xfId="7293" xr:uid="{00000000-0005-0000-0000-0000651B0000}"/>
    <cellStyle name="Calculation 4 2 4 5" xfId="7294" xr:uid="{00000000-0005-0000-0000-0000661B0000}"/>
    <cellStyle name="Calculation 4 2 4 5 2" xfId="7295" xr:uid="{00000000-0005-0000-0000-0000671B0000}"/>
    <cellStyle name="Calculation 4 2 4 6" xfId="7296" xr:uid="{00000000-0005-0000-0000-0000681B0000}"/>
    <cellStyle name="Calculation 4 2 4 7" xfId="7297" xr:uid="{00000000-0005-0000-0000-0000691B0000}"/>
    <cellStyle name="Calculation 4 2 4 8" xfId="7298" xr:uid="{00000000-0005-0000-0000-00006A1B0000}"/>
    <cellStyle name="Calculation 4 2 5" xfId="7299" xr:uid="{00000000-0005-0000-0000-00006B1B0000}"/>
    <cellStyle name="Calculation 4 2 5 2" xfId="7300" xr:uid="{00000000-0005-0000-0000-00006C1B0000}"/>
    <cellStyle name="Calculation 4 2 5 2 2" xfId="7301" xr:uid="{00000000-0005-0000-0000-00006D1B0000}"/>
    <cellStyle name="Calculation 4 2 5 2 2 2" xfId="7302" xr:uid="{00000000-0005-0000-0000-00006E1B0000}"/>
    <cellStyle name="Calculation 4 2 5 2 3" xfId="7303" xr:uid="{00000000-0005-0000-0000-00006F1B0000}"/>
    <cellStyle name="Calculation 4 2 5 2 3 2" xfId="7304" xr:uid="{00000000-0005-0000-0000-0000701B0000}"/>
    <cellStyle name="Calculation 4 2 5 2 4" xfId="7305" xr:uid="{00000000-0005-0000-0000-0000711B0000}"/>
    <cellStyle name="Calculation 4 2 5 2 5" xfId="7306" xr:uid="{00000000-0005-0000-0000-0000721B0000}"/>
    <cellStyle name="Calculation 4 2 5 2 6" xfId="7307" xr:uid="{00000000-0005-0000-0000-0000731B0000}"/>
    <cellStyle name="Calculation 4 2 5 3" xfId="7308" xr:uid="{00000000-0005-0000-0000-0000741B0000}"/>
    <cellStyle name="Calculation 4 2 5 3 2" xfId="7309" xr:uid="{00000000-0005-0000-0000-0000751B0000}"/>
    <cellStyle name="Calculation 4 2 5 4" xfId="7310" xr:uid="{00000000-0005-0000-0000-0000761B0000}"/>
    <cellStyle name="Calculation 4 2 5 4 2" xfId="7311" xr:uid="{00000000-0005-0000-0000-0000771B0000}"/>
    <cellStyle name="Calculation 4 2 5 5" xfId="7312" xr:uid="{00000000-0005-0000-0000-0000781B0000}"/>
    <cellStyle name="Calculation 4 2 5 6" xfId="7313" xr:uid="{00000000-0005-0000-0000-0000791B0000}"/>
    <cellStyle name="Calculation 4 2 5 7" xfId="7314" xr:uid="{00000000-0005-0000-0000-00007A1B0000}"/>
    <cellStyle name="Calculation 4 2 6" xfId="7315" xr:uid="{00000000-0005-0000-0000-00007B1B0000}"/>
    <cellStyle name="Calculation 4 2 6 2" xfId="7316" xr:uid="{00000000-0005-0000-0000-00007C1B0000}"/>
    <cellStyle name="Calculation 4 2 6 2 2" xfId="7317" xr:uid="{00000000-0005-0000-0000-00007D1B0000}"/>
    <cellStyle name="Calculation 4 2 6 3" xfId="7318" xr:uid="{00000000-0005-0000-0000-00007E1B0000}"/>
    <cellStyle name="Calculation 4 2 6 3 2" xfId="7319" xr:uid="{00000000-0005-0000-0000-00007F1B0000}"/>
    <cellStyle name="Calculation 4 2 6 4" xfId="7320" xr:uid="{00000000-0005-0000-0000-0000801B0000}"/>
    <cellStyle name="Calculation 4 2 6 5" xfId="7321" xr:uid="{00000000-0005-0000-0000-0000811B0000}"/>
    <cellStyle name="Calculation 4 2 6 6" xfId="7322" xr:uid="{00000000-0005-0000-0000-0000821B0000}"/>
    <cellStyle name="Calculation 4 2 7" xfId="7323" xr:uid="{00000000-0005-0000-0000-0000831B0000}"/>
    <cellStyle name="Calculation 4 2 7 2" xfId="7324" xr:uid="{00000000-0005-0000-0000-0000841B0000}"/>
    <cellStyle name="Calculation 4 2 8" xfId="7325" xr:uid="{00000000-0005-0000-0000-0000851B0000}"/>
    <cellStyle name="Calculation 4 2 8 2" xfId="7326" xr:uid="{00000000-0005-0000-0000-0000861B0000}"/>
    <cellStyle name="Calculation 4 2 9" xfId="7327" xr:uid="{00000000-0005-0000-0000-0000871B0000}"/>
    <cellStyle name="Calculation 4 3" xfId="7328" xr:uid="{00000000-0005-0000-0000-0000881B0000}"/>
    <cellStyle name="Calculation 4 3 10" xfId="7329" xr:uid="{00000000-0005-0000-0000-0000891B0000}"/>
    <cellStyle name="Calculation 4 3 2" xfId="7330" xr:uid="{00000000-0005-0000-0000-00008A1B0000}"/>
    <cellStyle name="Calculation 4 3 2 10" xfId="7331" xr:uid="{00000000-0005-0000-0000-00008B1B0000}"/>
    <cellStyle name="Calculation 4 3 2 2" xfId="7332" xr:uid="{00000000-0005-0000-0000-00008C1B0000}"/>
    <cellStyle name="Calculation 4 3 2 2 2" xfId="7333" xr:uid="{00000000-0005-0000-0000-00008D1B0000}"/>
    <cellStyle name="Calculation 4 3 2 2 2 2" xfId="7334" xr:uid="{00000000-0005-0000-0000-00008E1B0000}"/>
    <cellStyle name="Calculation 4 3 2 2 2 2 2" xfId="7335" xr:uid="{00000000-0005-0000-0000-00008F1B0000}"/>
    <cellStyle name="Calculation 4 3 2 2 2 2 2 2" xfId="7336" xr:uid="{00000000-0005-0000-0000-0000901B0000}"/>
    <cellStyle name="Calculation 4 3 2 2 2 2 3" xfId="7337" xr:uid="{00000000-0005-0000-0000-0000911B0000}"/>
    <cellStyle name="Calculation 4 3 2 2 2 2 3 2" xfId="7338" xr:uid="{00000000-0005-0000-0000-0000921B0000}"/>
    <cellStyle name="Calculation 4 3 2 2 2 2 4" xfId="7339" xr:uid="{00000000-0005-0000-0000-0000931B0000}"/>
    <cellStyle name="Calculation 4 3 2 2 2 2 5" xfId="7340" xr:uid="{00000000-0005-0000-0000-0000941B0000}"/>
    <cellStyle name="Calculation 4 3 2 2 2 2 6" xfId="7341" xr:uid="{00000000-0005-0000-0000-0000951B0000}"/>
    <cellStyle name="Calculation 4 3 2 2 2 3" xfId="7342" xr:uid="{00000000-0005-0000-0000-0000961B0000}"/>
    <cellStyle name="Calculation 4 3 2 2 2 3 2" xfId="7343" xr:uid="{00000000-0005-0000-0000-0000971B0000}"/>
    <cellStyle name="Calculation 4 3 2 2 2 4" xfId="7344" xr:uid="{00000000-0005-0000-0000-0000981B0000}"/>
    <cellStyle name="Calculation 4 3 2 2 2 4 2" xfId="7345" xr:uid="{00000000-0005-0000-0000-0000991B0000}"/>
    <cellStyle name="Calculation 4 3 2 2 2 5" xfId="7346" xr:uid="{00000000-0005-0000-0000-00009A1B0000}"/>
    <cellStyle name="Calculation 4 3 2 2 2 6" xfId="7347" xr:uid="{00000000-0005-0000-0000-00009B1B0000}"/>
    <cellStyle name="Calculation 4 3 2 2 2 7" xfId="7348" xr:uid="{00000000-0005-0000-0000-00009C1B0000}"/>
    <cellStyle name="Calculation 4 3 2 2 3" xfId="7349" xr:uid="{00000000-0005-0000-0000-00009D1B0000}"/>
    <cellStyle name="Calculation 4 3 2 2 3 2" xfId="7350" xr:uid="{00000000-0005-0000-0000-00009E1B0000}"/>
    <cellStyle name="Calculation 4 3 2 2 3 2 2" xfId="7351" xr:uid="{00000000-0005-0000-0000-00009F1B0000}"/>
    <cellStyle name="Calculation 4 3 2 2 3 3" xfId="7352" xr:uid="{00000000-0005-0000-0000-0000A01B0000}"/>
    <cellStyle name="Calculation 4 3 2 2 3 3 2" xfId="7353" xr:uid="{00000000-0005-0000-0000-0000A11B0000}"/>
    <cellStyle name="Calculation 4 3 2 2 3 4" xfId="7354" xr:uid="{00000000-0005-0000-0000-0000A21B0000}"/>
    <cellStyle name="Calculation 4 3 2 2 3 5" xfId="7355" xr:uid="{00000000-0005-0000-0000-0000A31B0000}"/>
    <cellStyle name="Calculation 4 3 2 2 3 6" xfId="7356" xr:uid="{00000000-0005-0000-0000-0000A41B0000}"/>
    <cellStyle name="Calculation 4 3 2 2 4" xfId="7357" xr:uid="{00000000-0005-0000-0000-0000A51B0000}"/>
    <cellStyle name="Calculation 4 3 2 2 4 2" xfId="7358" xr:uid="{00000000-0005-0000-0000-0000A61B0000}"/>
    <cellStyle name="Calculation 4 3 2 2 5" xfId="7359" xr:uid="{00000000-0005-0000-0000-0000A71B0000}"/>
    <cellStyle name="Calculation 4 3 2 2 5 2" xfId="7360" xr:uid="{00000000-0005-0000-0000-0000A81B0000}"/>
    <cellStyle name="Calculation 4 3 2 2 6" xfId="7361" xr:uid="{00000000-0005-0000-0000-0000A91B0000}"/>
    <cellStyle name="Calculation 4 3 2 2 7" xfId="7362" xr:uid="{00000000-0005-0000-0000-0000AA1B0000}"/>
    <cellStyle name="Calculation 4 3 2 2 8" xfId="7363" xr:uid="{00000000-0005-0000-0000-0000AB1B0000}"/>
    <cellStyle name="Calculation 4 3 2 3" xfId="7364" xr:uid="{00000000-0005-0000-0000-0000AC1B0000}"/>
    <cellStyle name="Calculation 4 3 2 3 2" xfId="7365" xr:uid="{00000000-0005-0000-0000-0000AD1B0000}"/>
    <cellStyle name="Calculation 4 3 2 3 2 2" xfId="7366" xr:uid="{00000000-0005-0000-0000-0000AE1B0000}"/>
    <cellStyle name="Calculation 4 3 2 3 2 2 2" xfId="7367" xr:uid="{00000000-0005-0000-0000-0000AF1B0000}"/>
    <cellStyle name="Calculation 4 3 2 3 2 2 2 2" xfId="7368" xr:uid="{00000000-0005-0000-0000-0000B01B0000}"/>
    <cellStyle name="Calculation 4 3 2 3 2 2 3" xfId="7369" xr:uid="{00000000-0005-0000-0000-0000B11B0000}"/>
    <cellStyle name="Calculation 4 3 2 3 2 2 3 2" xfId="7370" xr:uid="{00000000-0005-0000-0000-0000B21B0000}"/>
    <cellStyle name="Calculation 4 3 2 3 2 2 4" xfId="7371" xr:uid="{00000000-0005-0000-0000-0000B31B0000}"/>
    <cellStyle name="Calculation 4 3 2 3 2 2 5" xfId="7372" xr:uid="{00000000-0005-0000-0000-0000B41B0000}"/>
    <cellStyle name="Calculation 4 3 2 3 2 2 6" xfId="7373" xr:uid="{00000000-0005-0000-0000-0000B51B0000}"/>
    <cellStyle name="Calculation 4 3 2 3 2 3" xfId="7374" xr:uid="{00000000-0005-0000-0000-0000B61B0000}"/>
    <cellStyle name="Calculation 4 3 2 3 2 3 2" xfId="7375" xr:uid="{00000000-0005-0000-0000-0000B71B0000}"/>
    <cellStyle name="Calculation 4 3 2 3 2 4" xfId="7376" xr:uid="{00000000-0005-0000-0000-0000B81B0000}"/>
    <cellStyle name="Calculation 4 3 2 3 2 4 2" xfId="7377" xr:uid="{00000000-0005-0000-0000-0000B91B0000}"/>
    <cellStyle name="Calculation 4 3 2 3 2 5" xfId="7378" xr:uid="{00000000-0005-0000-0000-0000BA1B0000}"/>
    <cellStyle name="Calculation 4 3 2 3 2 6" xfId="7379" xr:uid="{00000000-0005-0000-0000-0000BB1B0000}"/>
    <cellStyle name="Calculation 4 3 2 3 2 7" xfId="7380" xr:uid="{00000000-0005-0000-0000-0000BC1B0000}"/>
    <cellStyle name="Calculation 4 3 2 3 3" xfId="7381" xr:uid="{00000000-0005-0000-0000-0000BD1B0000}"/>
    <cellStyle name="Calculation 4 3 2 3 3 2" xfId="7382" xr:uid="{00000000-0005-0000-0000-0000BE1B0000}"/>
    <cellStyle name="Calculation 4 3 2 3 3 2 2" xfId="7383" xr:uid="{00000000-0005-0000-0000-0000BF1B0000}"/>
    <cellStyle name="Calculation 4 3 2 3 3 3" xfId="7384" xr:uid="{00000000-0005-0000-0000-0000C01B0000}"/>
    <cellStyle name="Calculation 4 3 2 3 3 3 2" xfId="7385" xr:uid="{00000000-0005-0000-0000-0000C11B0000}"/>
    <cellStyle name="Calculation 4 3 2 3 3 4" xfId="7386" xr:uid="{00000000-0005-0000-0000-0000C21B0000}"/>
    <cellStyle name="Calculation 4 3 2 3 3 5" xfId="7387" xr:uid="{00000000-0005-0000-0000-0000C31B0000}"/>
    <cellStyle name="Calculation 4 3 2 3 3 6" xfId="7388" xr:uid="{00000000-0005-0000-0000-0000C41B0000}"/>
    <cellStyle name="Calculation 4 3 2 3 4" xfId="7389" xr:uid="{00000000-0005-0000-0000-0000C51B0000}"/>
    <cellStyle name="Calculation 4 3 2 3 4 2" xfId="7390" xr:uid="{00000000-0005-0000-0000-0000C61B0000}"/>
    <cellStyle name="Calculation 4 3 2 3 5" xfId="7391" xr:uid="{00000000-0005-0000-0000-0000C71B0000}"/>
    <cellStyle name="Calculation 4 3 2 3 5 2" xfId="7392" xr:uid="{00000000-0005-0000-0000-0000C81B0000}"/>
    <cellStyle name="Calculation 4 3 2 3 6" xfId="7393" xr:uid="{00000000-0005-0000-0000-0000C91B0000}"/>
    <cellStyle name="Calculation 4 3 2 3 7" xfId="7394" xr:uid="{00000000-0005-0000-0000-0000CA1B0000}"/>
    <cellStyle name="Calculation 4 3 2 3 8" xfId="7395" xr:uid="{00000000-0005-0000-0000-0000CB1B0000}"/>
    <cellStyle name="Calculation 4 3 2 4" xfId="7396" xr:uid="{00000000-0005-0000-0000-0000CC1B0000}"/>
    <cellStyle name="Calculation 4 3 2 4 2" xfId="7397" xr:uid="{00000000-0005-0000-0000-0000CD1B0000}"/>
    <cellStyle name="Calculation 4 3 2 4 2 2" xfId="7398" xr:uid="{00000000-0005-0000-0000-0000CE1B0000}"/>
    <cellStyle name="Calculation 4 3 2 4 2 2 2" xfId="7399" xr:uid="{00000000-0005-0000-0000-0000CF1B0000}"/>
    <cellStyle name="Calculation 4 3 2 4 2 3" xfId="7400" xr:uid="{00000000-0005-0000-0000-0000D01B0000}"/>
    <cellStyle name="Calculation 4 3 2 4 2 3 2" xfId="7401" xr:uid="{00000000-0005-0000-0000-0000D11B0000}"/>
    <cellStyle name="Calculation 4 3 2 4 2 4" xfId="7402" xr:uid="{00000000-0005-0000-0000-0000D21B0000}"/>
    <cellStyle name="Calculation 4 3 2 4 2 5" xfId="7403" xr:uid="{00000000-0005-0000-0000-0000D31B0000}"/>
    <cellStyle name="Calculation 4 3 2 4 2 6" xfId="7404" xr:uid="{00000000-0005-0000-0000-0000D41B0000}"/>
    <cellStyle name="Calculation 4 3 2 4 3" xfId="7405" xr:uid="{00000000-0005-0000-0000-0000D51B0000}"/>
    <cellStyle name="Calculation 4 3 2 4 3 2" xfId="7406" xr:uid="{00000000-0005-0000-0000-0000D61B0000}"/>
    <cellStyle name="Calculation 4 3 2 4 4" xfId="7407" xr:uid="{00000000-0005-0000-0000-0000D71B0000}"/>
    <cellStyle name="Calculation 4 3 2 4 4 2" xfId="7408" xr:uid="{00000000-0005-0000-0000-0000D81B0000}"/>
    <cellStyle name="Calculation 4 3 2 4 5" xfId="7409" xr:uid="{00000000-0005-0000-0000-0000D91B0000}"/>
    <cellStyle name="Calculation 4 3 2 4 6" xfId="7410" xr:uid="{00000000-0005-0000-0000-0000DA1B0000}"/>
    <cellStyle name="Calculation 4 3 2 4 7" xfId="7411" xr:uid="{00000000-0005-0000-0000-0000DB1B0000}"/>
    <cellStyle name="Calculation 4 3 2 5" xfId="7412" xr:uid="{00000000-0005-0000-0000-0000DC1B0000}"/>
    <cellStyle name="Calculation 4 3 2 5 2" xfId="7413" xr:uid="{00000000-0005-0000-0000-0000DD1B0000}"/>
    <cellStyle name="Calculation 4 3 2 5 2 2" xfId="7414" xr:uid="{00000000-0005-0000-0000-0000DE1B0000}"/>
    <cellStyle name="Calculation 4 3 2 5 3" xfId="7415" xr:uid="{00000000-0005-0000-0000-0000DF1B0000}"/>
    <cellStyle name="Calculation 4 3 2 5 3 2" xfId="7416" xr:uid="{00000000-0005-0000-0000-0000E01B0000}"/>
    <cellStyle name="Calculation 4 3 2 5 4" xfId="7417" xr:uid="{00000000-0005-0000-0000-0000E11B0000}"/>
    <cellStyle name="Calculation 4 3 2 5 5" xfId="7418" xr:uid="{00000000-0005-0000-0000-0000E21B0000}"/>
    <cellStyle name="Calculation 4 3 2 5 6" xfId="7419" xr:uid="{00000000-0005-0000-0000-0000E31B0000}"/>
    <cellStyle name="Calculation 4 3 2 6" xfId="7420" xr:uid="{00000000-0005-0000-0000-0000E41B0000}"/>
    <cellStyle name="Calculation 4 3 2 6 2" xfId="7421" xr:uid="{00000000-0005-0000-0000-0000E51B0000}"/>
    <cellStyle name="Calculation 4 3 2 7" xfId="7422" xr:uid="{00000000-0005-0000-0000-0000E61B0000}"/>
    <cellStyle name="Calculation 4 3 2 7 2" xfId="7423" xr:uid="{00000000-0005-0000-0000-0000E71B0000}"/>
    <cellStyle name="Calculation 4 3 2 8" xfId="7424" xr:uid="{00000000-0005-0000-0000-0000E81B0000}"/>
    <cellStyle name="Calculation 4 3 2 9" xfId="7425" xr:uid="{00000000-0005-0000-0000-0000E91B0000}"/>
    <cellStyle name="Calculation 4 3 3" xfId="7426" xr:uid="{00000000-0005-0000-0000-0000EA1B0000}"/>
    <cellStyle name="Calculation 4 3 3 2" xfId="7427" xr:uid="{00000000-0005-0000-0000-0000EB1B0000}"/>
    <cellStyle name="Calculation 4 3 3 2 2" xfId="7428" xr:uid="{00000000-0005-0000-0000-0000EC1B0000}"/>
    <cellStyle name="Calculation 4 3 3 2 2 2" xfId="7429" xr:uid="{00000000-0005-0000-0000-0000ED1B0000}"/>
    <cellStyle name="Calculation 4 3 3 2 2 2 2" xfId="7430" xr:uid="{00000000-0005-0000-0000-0000EE1B0000}"/>
    <cellStyle name="Calculation 4 3 3 2 2 3" xfId="7431" xr:uid="{00000000-0005-0000-0000-0000EF1B0000}"/>
    <cellStyle name="Calculation 4 3 3 2 2 3 2" xfId="7432" xr:uid="{00000000-0005-0000-0000-0000F01B0000}"/>
    <cellStyle name="Calculation 4 3 3 2 2 4" xfId="7433" xr:uid="{00000000-0005-0000-0000-0000F11B0000}"/>
    <cellStyle name="Calculation 4 3 3 2 2 5" xfId="7434" xr:uid="{00000000-0005-0000-0000-0000F21B0000}"/>
    <cellStyle name="Calculation 4 3 3 2 2 6" xfId="7435" xr:uid="{00000000-0005-0000-0000-0000F31B0000}"/>
    <cellStyle name="Calculation 4 3 3 2 3" xfId="7436" xr:uid="{00000000-0005-0000-0000-0000F41B0000}"/>
    <cellStyle name="Calculation 4 3 3 2 3 2" xfId="7437" xr:uid="{00000000-0005-0000-0000-0000F51B0000}"/>
    <cellStyle name="Calculation 4 3 3 2 4" xfId="7438" xr:uid="{00000000-0005-0000-0000-0000F61B0000}"/>
    <cellStyle name="Calculation 4 3 3 2 4 2" xfId="7439" xr:uid="{00000000-0005-0000-0000-0000F71B0000}"/>
    <cellStyle name="Calculation 4 3 3 2 5" xfId="7440" xr:uid="{00000000-0005-0000-0000-0000F81B0000}"/>
    <cellStyle name="Calculation 4 3 3 2 6" xfId="7441" xr:uid="{00000000-0005-0000-0000-0000F91B0000}"/>
    <cellStyle name="Calculation 4 3 3 2 7" xfId="7442" xr:uid="{00000000-0005-0000-0000-0000FA1B0000}"/>
    <cellStyle name="Calculation 4 3 3 3" xfId="7443" xr:uid="{00000000-0005-0000-0000-0000FB1B0000}"/>
    <cellStyle name="Calculation 4 3 3 3 2" xfId="7444" xr:uid="{00000000-0005-0000-0000-0000FC1B0000}"/>
    <cellStyle name="Calculation 4 3 3 3 2 2" xfId="7445" xr:uid="{00000000-0005-0000-0000-0000FD1B0000}"/>
    <cellStyle name="Calculation 4 3 3 3 3" xfId="7446" xr:uid="{00000000-0005-0000-0000-0000FE1B0000}"/>
    <cellStyle name="Calculation 4 3 3 3 3 2" xfId="7447" xr:uid="{00000000-0005-0000-0000-0000FF1B0000}"/>
    <cellStyle name="Calculation 4 3 3 3 4" xfId="7448" xr:uid="{00000000-0005-0000-0000-0000001C0000}"/>
    <cellStyle name="Calculation 4 3 3 3 5" xfId="7449" xr:uid="{00000000-0005-0000-0000-0000011C0000}"/>
    <cellStyle name="Calculation 4 3 3 3 6" xfId="7450" xr:uid="{00000000-0005-0000-0000-0000021C0000}"/>
    <cellStyle name="Calculation 4 3 3 4" xfId="7451" xr:uid="{00000000-0005-0000-0000-0000031C0000}"/>
    <cellStyle name="Calculation 4 3 3 4 2" xfId="7452" xr:uid="{00000000-0005-0000-0000-0000041C0000}"/>
    <cellStyle name="Calculation 4 3 3 5" xfId="7453" xr:uid="{00000000-0005-0000-0000-0000051C0000}"/>
    <cellStyle name="Calculation 4 3 3 5 2" xfId="7454" xr:uid="{00000000-0005-0000-0000-0000061C0000}"/>
    <cellStyle name="Calculation 4 3 3 6" xfId="7455" xr:uid="{00000000-0005-0000-0000-0000071C0000}"/>
    <cellStyle name="Calculation 4 3 3 7" xfId="7456" xr:uid="{00000000-0005-0000-0000-0000081C0000}"/>
    <cellStyle name="Calculation 4 3 3 8" xfId="7457" xr:uid="{00000000-0005-0000-0000-0000091C0000}"/>
    <cellStyle name="Calculation 4 3 4" xfId="7458" xr:uid="{00000000-0005-0000-0000-00000A1C0000}"/>
    <cellStyle name="Calculation 4 3 4 2" xfId="7459" xr:uid="{00000000-0005-0000-0000-00000B1C0000}"/>
    <cellStyle name="Calculation 4 3 4 2 2" xfId="7460" xr:uid="{00000000-0005-0000-0000-00000C1C0000}"/>
    <cellStyle name="Calculation 4 3 4 2 2 2" xfId="7461" xr:uid="{00000000-0005-0000-0000-00000D1C0000}"/>
    <cellStyle name="Calculation 4 3 4 2 3" xfId="7462" xr:uid="{00000000-0005-0000-0000-00000E1C0000}"/>
    <cellStyle name="Calculation 4 3 4 2 3 2" xfId="7463" xr:uid="{00000000-0005-0000-0000-00000F1C0000}"/>
    <cellStyle name="Calculation 4 3 4 2 4" xfId="7464" xr:uid="{00000000-0005-0000-0000-0000101C0000}"/>
    <cellStyle name="Calculation 4 3 4 2 5" xfId="7465" xr:uid="{00000000-0005-0000-0000-0000111C0000}"/>
    <cellStyle name="Calculation 4 3 4 2 6" xfId="7466" xr:uid="{00000000-0005-0000-0000-0000121C0000}"/>
    <cellStyle name="Calculation 4 3 4 3" xfId="7467" xr:uid="{00000000-0005-0000-0000-0000131C0000}"/>
    <cellStyle name="Calculation 4 3 4 3 2" xfId="7468" xr:uid="{00000000-0005-0000-0000-0000141C0000}"/>
    <cellStyle name="Calculation 4 3 4 4" xfId="7469" xr:uid="{00000000-0005-0000-0000-0000151C0000}"/>
    <cellStyle name="Calculation 4 3 4 4 2" xfId="7470" xr:uid="{00000000-0005-0000-0000-0000161C0000}"/>
    <cellStyle name="Calculation 4 3 4 5" xfId="7471" xr:uid="{00000000-0005-0000-0000-0000171C0000}"/>
    <cellStyle name="Calculation 4 3 4 6" xfId="7472" xr:uid="{00000000-0005-0000-0000-0000181C0000}"/>
    <cellStyle name="Calculation 4 3 4 7" xfId="7473" xr:uid="{00000000-0005-0000-0000-0000191C0000}"/>
    <cellStyle name="Calculation 4 3 5" xfId="7474" xr:uid="{00000000-0005-0000-0000-00001A1C0000}"/>
    <cellStyle name="Calculation 4 3 5 2" xfId="7475" xr:uid="{00000000-0005-0000-0000-00001B1C0000}"/>
    <cellStyle name="Calculation 4 3 5 2 2" xfId="7476" xr:uid="{00000000-0005-0000-0000-00001C1C0000}"/>
    <cellStyle name="Calculation 4 3 5 3" xfId="7477" xr:uid="{00000000-0005-0000-0000-00001D1C0000}"/>
    <cellStyle name="Calculation 4 3 5 3 2" xfId="7478" xr:uid="{00000000-0005-0000-0000-00001E1C0000}"/>
    <cellStyle name="Calculation 4 3 5 4" xfId="7479" xr:uid="{00000000-0005-0000-0000-00001F1C0000}"/>
    <cellStyle name="Calculation 4 3 5 5" xfId="7480" xr:uid="{00000000-0005-0000-0000-0000201C0000}"/>
    <cellStyle name="Calculation 4 3 5 6" xfId="7481" xr:uid="{00000000-0005-0000-0000-0000211C0000}"/>
    <cellStyle name="Calculation 4 3 6" xfId="7482" xr:uid="{00000000-0005-0000-0000-0000221C0000}"/>
    <cellStyle name="Calculation 4 3 6 2" xfId="7483" xr:uid="{00000000-0005-0000-0000-0000231C0000}"/>
    <cellStyle name="Calculation 4 3 7" xfId="7484" xr:uid="{00000000-0005-0000-0000-0000241C0000}"/>
    <cellStyle name="Calculation 4 3 7 2" xfId="7485" xr:uid="{00000000-0005-0000-0000-0000251C0000}"/>
    <cellStyle name="Calculation 4 3 8" xfId="7486" xr:uid="{00000000-0005-0000-0000-0000261C0000}"/>
    <cellStyle name="Calculation 4 3 9" xfId="7487" xr:uid="{00000000-0005-0000-0000-0000271C0000}"/>
    <cellStyle name="Calculation 4 4" xfId="7488" xr:uid="{00000000-0005-0000-0000-0000281C0000}"/>
    <cellStyle name="Calculation 4 4 10" xfId="7489" xr:uid="{00000000-0005-0000-0000-0000291C0000}"/>
    <cellStyle name="Calculation 4 4 2" xfId="7490" xr:uid="{00000000-0005-0000-0000-00002A1C0000}"/>
    <cellStyle name="Calculation 4 4 2 2" xfId="7491" xr:uid="{00000000-0005-0000-0000-00002B1C0000}"/>
    <cellStyle name="Calculation 4 4 2 2 2" xfId="7492" xr:uid="{00000000-0005-0000-0000-00002C1C0000}"/>
    <cellStyle name="Calculation 4 4 2 2 2 2" xfId="7493" xr:uid="{00000000-0005-0000-0000-00002D1C0000}"/>
    <cellStyle name="Calculation 4 4 2 2 2 2 2" xfId="7494" xr:uid="{00000000-0005-0000-0000-00002E1C0000}"/>
    <cellStyle name="Calculation 4 4 2 2 2 3" xfId="7495" xr:uid="{00000000-0005-0000-0000-00002F1C0000}"/>
    <cellStyle name="Calculation 4 4 2 2 2 3 2" xfId="7496" xr:uid="{00000000-0005-0000-0000-0000301C0000}"/>
    <cellStyle name="Calculation 4 4 2 2 2 4" xfId="7497" xr:uid="{00000000-0005-0000-0000-0000311C0000}"/>
    <cellStyle name="Calculation 4 4 2 2 2 5" xfId="7498" xr:uid="{00000000-0005-0000-0000-0000321C0000}"/>
    <cellStyle name="Calculation 4 4 2 2 2 6" xfId="7499" xr:uid="{00000000-0005-0000-0000-0000331C0000}"/>
    <cellStyle name="Calculation 4 4 2 2 3" xfId="7500" xr:uid="{00000000-0005-0000-0000-0000341C0000}"/>
    <cellStyle name="Calculation 4 4 2 2 3 2" xfId="7501" xr:uid="{00000000-0005-0000-0000-0000351C0000}"/>
    <cellStyle name="Calculation 4 4 2 2 4" xfId="7502" xr:uid="{00000000-0005-0000-0000-0000361C0000}"/>
    <cellStyle name="Calculation 4 4 2 2 4 2" xfId="7503" xr:uid="{00000000-0005-0000-0000-0000371C0000}"/>
    <cellStyle name="Calculation 4 4 2 2 5" xfId="7504" xr:uid="{00000000-0005-0000-0000-0000381C0000}"/>
    <cellStyle name="Calculation 4 4 2 2 6" xfId="7505" xr:uid="{00000000-0005-0000-0000-0000391C0000}"/>
    <cellStyle name="Calculation 4 4 2 2 7" xfId="7506" xr:uid="{00000000-0005-0000-0000-00003A1C0000}"/>
    <cellStyle name="Calculation 4 4 2 3" xfId="7507" xr:uid="{00000000-0005-0000-0000-00003B1C0000}"/>
    <cellStyle name="Calculation 4 4 2 3 2" xfId="7508" xr:uid="{00000000-0005-0000-0000-00003C1C0000}"/>
    <cellStyle name="Calculation 4 4 2 3 2 2" xfId="7509" xr:uid="{00000000-0005-0000-0000-00003D1C0000}"/>
    <cellStyle name="Calculation 4 4 2 3 3" xfId="7510" xr:uid="{00000000-0005-0000-0000-00003E1C0000}"/>
    <cellStyle name="Calculation 4 4 2 3 3 2" xfId="7511" xr:uid="{00000000-0005-0000-0000-00003F1C0000}"/>
    <cellStyle name="Calculation 4 4 2 3 4" xfId="7512" xr:uid="{00000000-0005-0000-0000-0000401C0000}"/>
    <cellStyle name="Calculation 4 4 2 3 5" xfId="7513" xr:uid="{00000000-0005-0000-0000-0000411C0000}"/>
    <cellStyle name="Calculation 4 4 2 3 6" xfId="7514" xr:uid="{00000000-0005-0000-0000-0000421C0000}"/>
    <cellStyle name="Calculation 4 4 2 4" xfId="7515" xr:uid="{00000000-0005-0000-0000-0000431C0000}"/>
    <cellStyle name="Calculation 4 4 2 4 2" xfId="7516" xr:uid="{00000000-0005-0000-0000-0000441C0000}"/>
    <cellStyle name="Calculation 4 4 2 5" xfId="7517" xr:uid="{00000000-0005-0000-0000-0000451C0000}"/>
    <cellStyle name="Calculation 4 4 2 5 2" xfId="7518" xr:uid="{00000000-0005-0000-0000-0000461C0000}"/>
    <cellStyle name="Calculation 4 4 2 6" xfId="7519" xr:uid="{00000000-0005-0000-0000-0000471C0000}"/>
    <cellStyle name="Calculation 4 4 2 7" xfId="7520" xr:uid="{00000000-0005-0000-0000-0000481C0000}"/>
    <cellStyle name="Calculation 4 4 2 8" xfId="7521" xr:uid="{00000000-0005-0000-0000-0000491C0000}"/>
    <cellStyle name="Calculation 4 4 3" xfId="7522" xr:uid="{00000000-0005-0000-0000-00004A1C0000}"/>
    <cellStyle name="Calculation 4 4 3 2" xfId="7523" xr:uid="{00000000-0005-0000-0000-00004B1C0000}"/>
    <cellStyle name="Calculation 4 4 3 2 2" xfId="7524" xr:uid="{00000000-0005-0000-0000-00004C1C0000}"/>
    <cellStyle name="Calculation 4 4 3 2 2 2" xfId="7525" xr:uid="{00000000-0005-0000-0000-00004D1C0000}"/>
    <cellStyle name="Calculation 4 4 3 2 2 2 2" xfId="7526" xr:uid="{00000000-0005-0000-0000-00004E1C0000}"/>
    <cellStyle name="Calculation 4 4 3 2 2 3" xfId="7527" xr:uid="{00000000-0005-0000-0000-00004F1C0000}"/>
    <cellStyle name="Calculation 4 4 3 2 2 3 2" xfId="7528" xr:uid="{00000000-0005-0000-0000-0000501C0000}"/>
    <cellStyle name="Calculation 4 4 3 2 2 4" xfId="7529" xr:uid="{00000000-0005-0000-0000-0000511C0000}"/>
    <cellStyle name="Calculation 4 4 3 2 2 5" xfId="7530" xr:uid="{00000000-0005-0000-0000-0000521C0000}"/>
    <cellStyle name="Calculation 4 4 3 2 2 6" xfId="7531" xr:uid="{00000000-0005-0000-0000-0000531C0000}"/>
    <cellStyle name="Calculation 4 4 3 2 3" xfId="7532" xr:uid="{00000000-0005-0000-0000-0000541C0000}"/>
    <cellStyle name="Calculation 4 4 3 2 3 2" xfId="7533" xr:uid="{00000000-0005-0000-0000-0000551C0000}"/>
    <cellStyle name="Calculation 4 4 3 2 4" xfId="7534" xr:uid="{00000000-0005-0000-0000-0000561C0000}"/>
    <cellStyle name="Calculation 4 4 3 2 4 2" xfId="7535" xr:uid="{00000000-0005-0000-0000-0000571C0000}"/>
    <cellStyle name="Calculation 4 4 3 2 5" xfId="7536" xr:uid="{00000000-0005-0000-0000-0000581C0000}"/>
    <cellStyle name="Calculation 4 4 3 2 6" xfId="7537" xr:uid="{00000000-0005-0000-0000-0000591C0000}"/>
    <cellStyle name="Calculation 4 4 3 2 7" xfId="7538" xr:uid="{00000000-0005-0000-0000-00005A1C0000}"/>
    <cellStyle name="Calculation 4 4 3 3" xfId="7539" xr:uid="{00000000-0005-0000-0000-00005B1C0000}"/>
    <cellStyle name="Calculation 4 4 3 3 2" xfId="7540" xr:uid="{00000000-0005-0000-0000-00005C1C0000}"/>
    <cellStyle name="Calculation 4 4 3 3 2 2" xfId="7541" xr:uid="{00000000-0005-0000-0000-00005D1C0000}"/>
    <cellStyle name="Calculation 4 4 3 3 3" xfId="7542" xr:uid="{00000000-0005-0000-0000-00005E1C0000}"/>
    <cellStyle name="Calculation 4 4 3 3 3 2" xfId="7543" xr:uid="{00000000-0005-0000-0000-00005F1C0000}"/>
    <cellStyle name="Calculation 4 4 3 3 4" xfId="7544" xr:uid="{00000000-0005-0000-0000-0000601C0000}"/>
    <cellStyle name="Calculation 4 4 3 3 5" xfId="7545" xr:uid="{00000000-0005-0000-0000-0000611C0000}"/>
    <cellStyle name="Calculation 4 4 3 3 6" xfId="7546" xr:uid="{00000000-0005-0000-0000-0000621C0000}"/>
    <cellStyle name="Calculation 4 4 3 4" xfId="7547" xr:uid="{00000000-0005-0000-0000-0000631C0000}"/>
    <cellStyle name="Calculation 4 4 3 4 2" xfId="7548" xr:uid="{00000000-0005-0000-0000-0000641C0000}"/>
    <cellStyle name="Calculation 4 4 3 5" xfId="7549" xr:uid="{00000000-0005-0000-0000-0000651C0000}"/>
    <cellStyle name="Calculation 4 4 3 5 2" xfId="7550" xr:uid="{00000000-0005-0000-0000-0000661C0000}"/>
    <cellStyle name="Calculation 4 4 3 6" xfId="7551" xr:uid="{00000000-0005-0000-0000-0000671C0000}"/>
    <cellStyle name="Calculation 4 4 3 7" xfId="7552" xr:uid="{00000000-0005-0000-0000-0000681C0000}"/>
    <cellStyle name="Calculation 4 4 3 8" xfId="7553" xr:uid="{00000000-0005-0000-0000-0000691C0000}"/>
    <cellStyle name="Calculation 4 4 4" xfId="7554" xr:uid="{00000000-0005-0000-0000-00006A1C0000}"/>
    <cellStyle name="Calculation 4 4 4 2" xfId="7555" xr:uid="{00000000-0005-0000-0000-00006B1C0000}"/>
    <cellStyle name="Calculation 4 4 4 2 2" xfId="7556" xr:uid="{00000000-0005-0000-0000-00006C1C0000}"/>
    <cellStyle name="Calculation 4 4 4 2 2 2" xfId="7557" xr:uid="{00000000-0005-0000-0000-00006D1C0000}"/>
    <cellStyle name="Calculation 4 4 4 2 3" xfId="7558" xr:uid="{00000000-0005-0000-0000-00006E1C0000}"/>
    <cellStyle name="Calculation 4 4 4 2 3 2" xfId="7559" xr:uid="{00000000-0005-0000-0000-00006F1C0000}"/>
    <cellStyle name="Calculation 4 4 4 2 4" xfId="7560" xr:uid="{00000000-0005-0000-0000-0000701C0000}"/>
    <cellStyle name="Calculation 4 4 4 2 5" xfId="7561" xr:uid="{00000000-0005-0000-0000-0000711C0000}"/>
    <cellStyle name="Calculation 4 4 4 2 6" xfId="7562" xr:uid="{00000000-0005-0000-0000-0000721C0000}"/>
    <cellStyle name="Calculation 4 4 4 3" xfId="7563" xr:uid="{00000000-0005-0000-0000-0000731C0000}"/>
    <cellStyle name="Calculation 4 4 4 3 2" xfId="7564" xr:uid="{00000000-0005-0000-0000-0000741C0000}"/>
    <cellStyle name="Calculation 4 4 4 4" xfId="7565" xr:uid="{00000000-0005-0000-0000-0000751C0000}"/>
    <cellStyle name="Calculation 4 4 4 4 2" xfId="7566" xr:uid="{00000000-0005-0000-0000-0000761C0000}"/>
    <cellStyle name="Calculation 4 4 4 5" xfId="7567" xr:uid="{00000000-0005-0000-0000-0000771C0000}"/>
    <cellStyle name="Calculation 4 4 4 6" xfId="7568" xr:uid="{00000000-0005-0000-0000-0000781C0000}"/>
    <cellStyle name="Calculation 4 4 4 7" xfId="7569" xr:uid="{00000000-0005-0000-0000-0000791C0000}"/>
    <cellStyle name="Calculation 4 4 5" xfId="7570" xr:uid="{00000000-0005-0000-0000-00007A1C0000}"/>
    <cellStyle name="Calculation 4 4 5 2" xfId="7571" xr:uid="{00000000-0005-0000-0000-00007B1C0000}"/>
    <cellStyle name="Calculation 4 4 5 2 2" xfId="7572" xr:uid="{00000000-0005-0000-0000-00007C1C0000}"/>
    <cellStyle name="Calculation 4 4 5 3" xfId="7573" xr:uid="{00000000-0005-0000-0000-00007D1C0000}"/>
    <cellStyle name="Calculation 4 4 5 3 2" xfId="7574" xr:uid="{00000000-0005-0000-0000-00007E1C0000}"/>
    <cellStyle name="Calculation 4 4 5 4" xfId="7575" xr:uid="{00000000-0005-0000-0000-00007F1C0000}"/>
    <cellStyle name="Calculation 4 4 5 5" xfId="7576" xr:uid="{00000000-0005-0000-0000-0000801C0000}"/>
    <cellStyle name="Calculation 4 4 5 6" xfId="7577" xr:uid="{00000000-0005-0000-0000-0000811C0000}"/>
    <cellStyle name="Calculation 4 4 6" xfId="7578" xr:uid="{00000000-0005-0000-0000-0000821C0000}"/>
    <cellStyle name="Calculation 4 4 6 2" xfId="7579" xr:uid="{00000000-0005-0000-0000-0000831C0000}"/>
    <cellStyle name="Calculation 4 4 7" xfId="7580" xr:uid="{00000000-0005-0000-0000-0000841C0000}"/>
    <cellStyle name="Calculation 4 4 7 2" xfId="7581" xr:uid="{00000000-0005-0000-0000-0000851C0000}"/>
    <cellStyle name="Calculation 4 4 8" xfId="7582" xr:uid="{00000000-0005-0000-0000-0000861C0000}"/>
    <cellStyle name="Calculation 4 4 9" xfId="7583" xr:uid="{00000000-0005-0000-0000-0000871C0000}"/>
    <cellStyle name="Calculation 4 5" xfId="7584" xr:uid="{00000000-0005-0000-0000-0000881C0000}"/>
    <cellStyle name="Calculation 4 5 2" xfId="7585" xr:uid="{00000000-0005-0000-0000-0000891C0000}"/>
    <cellStyle name="Calculation 4 5 2 2" xfId="7586" xr:uid="{00000000-0005-0000-0000-00008A1C0000}"/>
    <cellStyle name="Calculation 4 5 2 2 2" xfId="7587" xr:uid="{00000000-0005-0000-0000-00008B1C0000}"/>
    <cellStyle name="Calculation 4 5 2 2 2 2" xfId="7588" xr:uid="{00000000-0005-0000-0000-00008C1C0000}"/>
    <cellStyle name="Calculation 4 5 2 2 3" xfId="7589" xr:uid="{00000000-0005-0000-0000-00008D1C0000}"/>
    <cellStyle name="Calculation 4 5 2 2 3 2" xfId="7590" xr:uid="{00000000-0005-0000-0000-00008E1C0000}"/>
    <cellStyle name="Calculation 4 5 2 2 4" xfId="7591" xr:uid="{00000000-0005-0000-0000-00008F1C0000}"/>
    <cellStyle name="Calculation 4 5 2 2 5" xfId="7592" xr:uid="{00000000-0005-0000-0000-0000901C0000}"/>
    <cellStyle name="Calculation 4 5 2 2 6" xfId="7593" xr:uid="{00000000-0005-0000-0000-0000911C0000}"/>
    <cellStyle name="Calculation 4 5 2 3" xfId="7594" xr:uid="{00000000-0005-0000-0000-0000921C0000}"/>
    <cellStyle name="Calculation 4 5 2 3 2" xfId="7595" xr:uid="{00000000-0005-0000-0000-0000931C0000}"/>
    <cellStyle name="Calculation 4 5 2 4" xfId="7596" xr:uid="{00000000-0005-0000-0000-0000941C0000}"/>
    <cellStyle name="Calculation 4 5 2 4 2" xfId="7597" xr:uid="{00000000-0005-0000-0000-0000951C0000}"/>
    <cellStyle name="Calculation 4 5 2 5" xfId="7598" xr:uid="{00000000-0005-0000-0000-0000961C0000}"/>
    <cellStyle name="Calculation 4 5 2 6" xfId="7599" xr:uid="{00000000-0005-0000-0000-0000971C0000}"/>
    <cellStyle name="Calculation 4 5 2 7" xfId="7600" xr:uid="{00000000-0005-0000-0000-0000981C0000}"/>
    <cellStyle name="Calculation 4 5 3" xfId="7601" xr:uid="{00000000-0005-0000-0000-0000991C0000}"/>
    <cellStyle name="Calculation 4 5 3 2" xfId="7602" xr:uid="{00000000-0005-0000-0000-00009A1C0000}"/>
    <cellStyle name="Calculation 4 5 3 2 2" xfId="7603" xr:uid="{00000000-0005-0000-0000-00009B1C0000}"/>
    <cellStyle name="Calculation 4 5 3 3" xfId="7604" xr:uid="{00000000-0005-0000-0000-00009C1C0000}"/>
    <cellStyle name="Calculation 4 5 3 3 2" xfId="7605" xr:uid="{00000000-0005-0000-0000-00009D1C0000}"/>
    <cellStyle name="Calculation 4 5 3 4" xfId="7606" xr:uid="{00000000-0005-0000-0000-00009E1C0000}"/>
    <cellStyle name="Calculation 4 5 3 5" xfId="7607" xr:uid="{00000000-0005-0000-0000-00009F1C0000}"/>
    <cellStyle name="Calculation 4 5 3 6" xfId="7608" xr:uid="{00000000-0005-0000-0000-0000A01C0000}"/>
    <cellStyle name="Calculation 4 5 4" xfId="7609" xr:uid="{00000000-0005-0000-0000-0000A11C0000}"/>
    <cellStyle name="Calculation 4 5 4 2" xfId="7610" xr:uid="{00000000-0005-0000-0000-0000A21C0000}"/>
    <cellStyle name="Calculation 4 5 5" xfId="7611" xr:uid="{00000000-0005-0000-0000-0000A31C0000}"/>
    <cellStyle name="Calculation 4 5 5 2" xfId="7612" xr:uid="{00000000-0005-0000-0000-0000A41C0000}"/>
    <cellStyle name="Calculation 4 5 6" xfId="7613" xr:uid="{00000000-0005-0000-0000-0000A51C0000}"/>
    <cellStyle name="Calculation 4 5 7" xfId="7614" xr:uid="{00000000-0005-0000-0000-0000A61C0000}"/>
    <cellStyle name="Calculation 4 5 8" xfId="7615" xr:uid="{00000000-0005-0000-0000-0000A71C0000}"/>
    <cellStyle name="Calculation 4 6" xfId="7616" xr:uid="{00000000-0005-0000-0000-0000A81C0000}"/>
    <cellStyle name="Calculation 4 6 2" xfId="7617" xr:uid="{00000000-0005-0000-0000-0000A91C0000}"/>
    <cellStyle name="Calculation 4 6 2 2" xfId="7618" xr:uid="{00000000-0005-0000-0000-0000AA1C0000}"/>
    <cellStyle name="Calculation 4 6 2 2 2" xfId="7619" xr:uid="{00000000-0005-0000-0000-0000AB1C0000}"/>
    <cellStyle name="Calculation 4 6 2 3" xfId="7620" xr:uid="{00000000-0005-0000-0000-0000AC1C0000}"/>
    <cellStyle name="Calculation 4 6 2 3 2" xfId="7621" xr:uid="{00000000-0005-0000-0000-0000AD1C0000}"/>
    <cellStyle name="Calculation 4 6 2 4" xfId="7622" xr:uid="{00000000-0005-0000-0000-0000AE1C0000}"/>
    <cellStyle name="Calculation 4 6 2 5" xfId="7623" xr:uid="{00000000-0005-0000-0000-0000AF1C0000}"/>
    <cellStyle name="Calculation 4 6 2 6" xfId="7624" xr:uid="{00000000-0005-0000-0000-0000B01C0000}"/>
    <cellStyle name="Calculation 4 6 3" xfId="7625" xr:uid="{00000000-0005-0000-0000-0000B11C0000}"/>
    <cellStyle name="Calculation 4 6 3 2" xfId="7626" xr:uid="{00000000-0005-0000-0000-0000B21C0000}"/>
    <cellStyle name="Calculation 4 6 4" xfId="7627" xr:uid="{00000000-0005-0000-0000-0000B31C0000}"/>
    <cellStyle name="Calculation 4 6 4 2" xfId="7628" xr:uid="{00000000-0005-0000-0000-0000B41C0000}"/>
    <cellStyle name="Calculation 4 6 5" xfId="7629" xr:uid="{00000000-0005-0000-0000-0000B51C0000}"/>
    <cellStyle name="Calculation 4 6 6" xfId="7630" xr:uid="{00000000-0005-0000-0000-0000B61C0000}"/>
    <cellStyle name="Calculation 4 6 7" xfId="7631" xr:uid="{00000000-0005-0000-0000-0000B71C0000}"/>
    <cellStyle name="Calculation 4 7" xfId="7632" xr:uid="{00000000-0005-0000-0000-0000B81C0000}"/>
    <cellStyle name="Calculation 4 7 2" xfId="7633" xr:uid="{00000000-0005-0000-0000-0000B91C0000}"/>
    <cellStyle name="Calculation 4 7 2 2" xfId="7634" xr:uid="{00000000-0005-0000-0000-0000BA1C0000}"/>
    <cellStyle name="Calculation 4 7 3" xfId="7635" xr:uid="{00000000-0005-0000-0000-0000BB1C0000}"/>
    <cellStyle name="Calculation 4 7 3 2" xfId="7636" xr:uid="{00000000-0005-0000-0000-0000BC1C0000}"/>
    <cellStyle name="Calculation 4 7 4" xfId="7637" xr:uid="{00000000-0005-0000-0000-0000BD1C0000}"/>
    <cellStyle name="Calculation 4 7 5" xfId="7638" xr:uid="{00000000-0005-0000-0000-0000BE1C0000}"/>
    <cellStyle name="Calculation 4 7 6" xfId="7639" xr:uid="{00000000-0005-0000-0000-0000BF1C0000}"/>
    <cellStyle name="Calculation 4 8" xfId="7640" xr:uid="{00000000-0005-0000-0000-0000C01C0000}"/>
    <cellStyle name="Calculation 4 8 2" xfId="7641" xr:uid="{00000000-0005-0000-0000-0000C11C0000}"/>
    <cellStyle name="Calculation 4 9" xfId="7642" xr:uid="{00000000-0005-0000-0000-0000C21C0000}"/>
    <cellStyle name="Calculation 4 9 2" xfId="7643" xr:uid="{00000000-0005-0000-0000-0000C31C0000}"/>
    <cellStyle name="Calculation 5" xfId="7644" xr:uid="{00000000-0005-0000-0000-0000C41C0000}"/>
    <cellStyle name="Calculation 5 10" xfId="7645" xr:uid="{00000000-0005-0000-0000-0000C51C0000}"/>
    <cellStyle name="Calculation 5 11" xfId="7646" xr:uid="{00000000-0005-0000-0000-0000C61C0000}"/>
    <cellStyle name="Calculation 5 2" xfId="7647" xr:uid="{00000000-0005-0000-0000-0000C71C0000}"/>
    <cellStyle name="Calculation 5 2 10" xfId="7648" xr:uid="{00000000-0005-0000-0000-0000C81C0000}"/>
    <cellStyle name="Calculation 5 2 2" xfId="7649" xr:uid="{00000000-0005-0000-0000-0000C91C0000}"/>
    <cellStyle name="Calculation 5 2 2 10" xfId="7650" xr:uid="{00000000-0005-0000-0000-0000CA1C0000}"/>
    <cellStyle name="Calculation 5 2 2 2" xfId="7651" xr:uid="{00000000-0005-0000-0000-0000CB1C0000}"/>
    <cellStyle name="Calculation 5 2 2 2 2" xfId="7652" xr:uid="{00000000-0005-0000-0000-0000CC1C0000}"/>
    <cellStyle name="Calculation 5 2 2 2 2 2" xfId="7653" xr:uid="{00000000-0005-0000-0000-0000CD1C0000}"/>
    <cellStyle name="Calculation 5 2 2 2 2 2 2" xfId="7654" xr:uid="{00000000-0005-0000-0000-0000CE1C0000}"/>
    <cellStyle name="Calculation 5 2 2 2 2 2 2 2" xfId="7655" xr:uid="{00000000-0005-0000-0000-0000CF1C0000}"/>
    <cellStyle name="Calculation 5 2 2 2 2 2 3" xfId="7656" xr:uid="{00000000-0005-0000-0000-0000D01C0000}"/>
    <cellStyle name="Calculation 5 2 2 2 2 2 3 2" xfId="7657" xr:uid="{00000000-0005-0000-0000-0000D11C0000}"/>
    <cellStyle name="Calculation 5 2 2 2 2 2 4" xfId="7658" xr:uid="{00000000-0005-0000-0000-0000D21C0000}"/>
    <cellStyle name="Calculation 5 2 2 2 2 2 5" xfId="7659" xr:uid="{00000000-0005-0000-0000-0000D31C0000}"/>
    <cellStyle name="Calculation 5 2 2 2 2 2 6" xfId="7660" xr:uid="{00000000-0005-0000-0000-0000D41C0000}"/>
    <cellStyle name="Calculation 5 2 2 2 2 3" xfId="7661" xr:uid="{00000000-0005-0000-0000-0000D51C0000}"/>
    <cellStyle name="Calculation 5 2 2 2 2 3 2" xfId="7662" xr:uid="{00000000-0005-0000-0000-0000D61C0000}"/>
    <cellStyle name="Calculation 5 2 2 2 2 4" xfId="7663" xr:uid="{00000000-0005-0000-0000-0000D71C0000}"/>
    <cellStyle name="Calculation 5 2 2 2 2 4 2" xfId="7664" xr:uid="{00000000-0005-0000-0000-0000D81C0000}"/>
    <cellStyle name="Calculation 5 2 2 2 2 5" xfId="7665" xr:uid="{00000000-0005-0000-0000-0000D91C0000}"/>
    <cellStyle name="Calculation 5 2 2 2 2 6" xfId="7666" xr:uid="{00000000-0005-0000-0000-0000DA1C0000}"/>
    <cellStyle name="Calculation 5 2 2 2 2 7" xfId="7667" xr:uid="{00000000-0005-0000-0000-0000DB1C0000}"/>
    <cellStyle name="Calculation 5 2 2 2 3" xfId="7668" xr:uid="{00000000-0005-0000-0000-0000DC1C0000}"/>
    <cellStyle name="Calculation 5 2 2 2 3 2" xfId="7669" xr:uid="{00000000-0005-0000-0000-0000DD1C0000}"/>
    <cellStyle name="Calculation 5 2 2 2 3 2 2" xfId="7670" xr:uid="{00000000-0005-0000-0000-0000DE1C0000}"/>
    <cellStyle name="Calculation 5 2 2 2 3 3" xfId="7671" xr:uid="{00000000-0005-0000-0000-0000DF1C0000}"/>
    <cellStyle name="Calculation 5 2 2 2 3 3 2" xfId="7672" xr:uid="{00000000-0005-0000-0000-0000E01C0000}"/>
    <cellStyle name="Calculation 5 2 2 2 3 4" xfId="7673" xr:uid="{00000000-0005-0000-0000-0000E11C0000}"/>
    <cellStyle name="Calculation 5 2 2 2 3 5" xfId="7674" xr:uid="{00000000-0005-0000-0000-0000E21C0000}"/>
    <cellStyle name="Calculation 5 2 2 2 3 6" xfId="7675" xr:uid="{00000000-0005-0000-0000-0000E31C0000}"/>
    <cellStyle name="Calculation 5 2 2 2 4" xfId="7676" xr:uid="{00000000-0005-0000-0000-0000E41C0000}"/>
    <cellStyle name="Calculation 5 2 2 2 4 2" xfId="7677" xr:uid="{00000000-0005-0000-0000-0000E51C0000}"/>
    <cellStyle name="Calculation 5 2 2 2 5" xfId="7678" xr:uid="{00000000-0005-0000-0000-0000E61C0000}"/>
    <cellStyle name="Calculation 5 2 2 2 5 2" xfId="7679" xr:uid="{00000000-0005-0000-0000-0000E71C0000}"/>
    <cellStyle name="Calculation 5 2 2 2 6" xfId="7680" xr:uid="{00000000-0005-0000-0000-0000E81C0000}"/>
    <cellStyle name="Calculation 5 2 2 2 7" xfId="7681" xr:uid="{00000000-0005-0000-0000-0000E91C0000}"/>
    <cellStyle name="Calculation 5 2 2 2 8" xfId="7682" xr:uid="{00000000-0005-0000-0000-0000EA1C0000}"/>
    <cellStyle name="Calculation 5 2 2 3" xfId="7683" xr:uid="{00000000-0005-0000-0000-0000EB1C0000}"/>
    <cellStyle name="Calculation 5 2 2 3 2" xfId="7684" xr:uid="{00000000-0005-0000-0000-0000EC1C0000}"/>
    <cellStyle name="Calculation 5 2 2 3 2 2" xfId="7685" xr:uid="{00000000-0005-0000-0000-0000ED1C0000}"/>
    <cellStyle name="Calculation 5 2 2 3 2 2 2" xfId="7686" xr:uid="{00000000-0005-0000-0000-0000EE1C0000}"/>
    <cellStyle name="Calculation 5 2 2 3 2 2 2 2" xfId="7687" xr:uid="{00000000-0005-0000-0000-0000EF1C0000}"/>
    <cellStyle name="Calculation 5 2 2 3 2 2 3" xfId="7688" xr:uid="{00000000-0005-0000-0000-0000F01C0000}"/>
    <cellStyle name="Calculation 5 2 2 3 2 2 3 2" xfId="7689" xr:uid="{00000000-0005-0000-0000-0000F11C0000}"/>
    <cellStyle name="Calculation 5 2 2 3 2 2 4" xfId="7690" xr:uid="{00000000-0005-0000-0000-0000F21C0000}"/>
    <cellStyle name="Calculation 5 2 2 3 2 2 5" xfId="7691" xr:uid="{00000000-0005-0000-0000-0000F31C0000}"/>
    <cellStyle name="Calculation 5 2 2 3 2 2 6" xfId="7692" xr:uid="{00000000-0005-0000-0000-0000F41C0000}"/>
    <cellStyle name="Calculation 5 2 2 3 2 3" xfId="7693" xr:uid="{00000000-0005-0000-0000-0000F51C0000}"/>
    <cellStyle name="Calculation 5 2 2 3 2 3 2" xfId="7694" xr:uid="{00000000-0005-0000-0000-0000F61C0000}"/>
    <cellStyle name="Calculation 5 2 2 3 2 4" xfId="7695" xr:uid="{00000000-0005-0000-0000-0000F71C0000}"/>
    <cellStyle name="Calculation 5 2 2 3 2 4 2" xfId="7696" xr:uid="{00000000-0005-0000-0000-0000F81C0000}"/>
    <cellStyle name="Calculation 5 2 2 3 2 5" xfId="7697" xr:uid="{00000000-0005-0000-0000-0000F91C0000}"/>
    <cellStyle name="Calculation 5 2 2 3 2 6" xfId="7698" xr:uid="{00000000-0005-0000-0000-0000FA1C0000}"/>
    <cellStyle name="Calculation 5 2 2 3 2 7" xfId="7699" xr:uid="{00000000-0005-0000-0000-0000FB1C0000}"/>
    <cellStyle name="Calculation 5 2 2 3 3" xfId="7700" xr:uid="{00000000-0005-0000-0000-0000FC1C0000}"/>
    <cellStyle name="Calculation 5 2 2 3 3 2" xfId="7701" xr:uid="{00000000-0005-0000-0000-0000FD1C0000}"/>
    <cellStyle name="Calculation 5 2 2 3 3 2 2" xfId="7702" xr:uid="{00000000-0005-0000-0000-0000FE1C0000}"/>
    <cellStyle name="Calculation 5 2 2 3 3 3" xfId="7703" xr:uid="{00000000-0005-0000-0000-0000FF1C0000}"/>
    <cellStyle name="Calculation 5 2 2 3 3 3 2" xfId="7704" xr:uid="{00000000-0005-0000-0000-0000001D0000}"/>
    <cellStyle name="Calculation 5 2 2 3 3 4" xfId="7705" xr:uid="{00000000-0005-0000-0000-0000011D0000}"/>
    <cellStyle name="Calculation 5 2 2 3 3 5" xfId="7706" xr:uid="{00000000-0005-0000-0000-0000021D0000}"/>
    <cellStyle name="Calculation 5 2 2 3 3 6" xfId="7707" xr:uid="{00000000-0005-0000-0000-0000031D0000}"/>
    <cellStyle name="Calculation 5 2 2 3 4" xfId="7708" xr:uid="{00000000-0005-0000-0000-0000041D0000}"/>
    <cellStyle name="Calculation 5 2 2 3 4 2" xfId="7709" xr:uid="{00000000-0005-0000-0000-0000051D0000}"/>
    <cellStyle name="Calculation 5 2 2 3 5" xfId="7710" xr:uid="{00000000-0005-0000-0000-0000061D0000}"/>
    <cellStyle name="Calculation 5 2 2 3 5 2" xfId="7711" xr:uid="{00000000-0005-0000-0000-0000071D0000}"/>
    <cellStyle name="Calculation 5 2 2 3 6" xfId="7712" xr:uid="{00000000-0005-0000-0000-0000081D0000}"/>
    <cellStyle name="Calculation 5 2 2 3 7" xfId="7713" xr:uid="{00000000-0005-0000-0000-0000091D0000}"/>
    <cellStyle name="Calculation 5 2 2 3 8" xfId="7714" xr:uid="{00000000-0005-0000-0000-00000A1D0000}"/>
    <cellStyle name="Calculation 5 2 2 4" xfId="7715" xr:uid="{00000000-0005-0000-0000-00000B1D0000}"/>
    <cellStyle name="Calculation 5 2 2 4 2" xfId="7716" xr:uid="{00000000-0005-0000-0000-00000C1D0000}"/>
    <cellStyle name="Calculation 5 2 2 4 2 2" xfId="7717" xr:uid="{00000000-0005-0000-0000-00000D1D0000}"/>
    <cellStyle name="Calculation 5 2 2 4 2 2 2" xfId="7718" xr:uid="{00000000-0005-0000-0000-00000E1D0000}"/>
    <cellStyle name="Calculation 5 2 2 4 2 3" xfId="7719" xr:uid="{00000000-0005-0000-0000-00000F1D0000}"/>
    <cellStyle name="Calculation 5 2 2 4 2 3 2" xfId="7720" xr:uid="{00000000-0005-0000-0000-0000101D0000}"/>
    <cellStyle name="Calculation 5 2 2 4 2 4" xfId="7721" xr:uid="{00000000-0005-0000-0000-0000111D0000}"/>
    <cellStyle name="Calculation 5 2 2 4 2 5" xfId="7722" xr:uid="{00000000-0005-0000-0000-0000121D0000}"/>
    <cellStyle name="Calculation 5 2 2 4 2 6" xfId="7723" xr:uid="{00000000-0005-0000-0000-0000131D0000}"/>
    <cellStyle name="Calculation 5 2 2 4 3" xfId="7724" xr:uid="{00000000-0005-0000-0000-0000141D0000}"/>
    <cellStyle name="Calculation 5 2 2 4 3 2" xfId="7725" xr:uid="{00000000-0005-0000-0000-0000151D0000}"/>
    <cellStyle name="Calculation 5 2 2 4 4" xfId="7726" xr:uid="{00000000-0005-0000-0000-0000161D0000}"/>
    <cellStyle name="Calculation 5 2 2 4 4 2" xfId="7727" xr:uid="{00000000-0005-0000-0000-0000171D0000}"/>
    <cellStyle name="Calculation 5 2 2 4 5" xfId="7728" xr:uid="{00000000-0005-0000-0000-0000181D0000}"/>
    <cellStyle name="Calculation 5 2 2 4 6" xfId="7729" xr:uid="{00000000-0005-0000-0000-0000191D0000}"/>
    <cellStyle name="Calculation 5 2 2 4 7" xfId="7730" xr:uid="{00000000-0005-0000-0000-00001A1D0000}"/>
    <cellStyle name="Calculation 5 2 2 5" xfId="7731" xr:uid="{00000000-0005-0000-0000-00001B1D0000}"/>
    <cellStyle name="Calculation 5 2 2 5 2" xfId="7732" xr:uid="{00000000-0005-0000-0000-00001C1D0000}"/>
    <cellStyle name="Calculation 5 2 2 5 2 2" xfId="7733" xr:uid="{00000000-0005-0000-0000-00001D1D0000}"/>
    <cellStyle name="Calculation 5 2 2 5 3" xfId="7734" xr:uid="{00000000-0005-0000-0000-00001E1D0000}"/>
    <cellStyle name="Calculation 5 2 2 5 3 2" xfId="7735" xr:uid="{00000000-0005-0000-0000-00001F1D0000}"/>
    <cellStyle name="Calculation 5 2 2 5 4" xfId="7736" xr:uid="{00000000-0005-0000-0000-0000201D0000}"/>
    <cellStyle name="Calculation 5 2 2 5 5" xfId="7737" xr:uid="{00000000-0005-0000-0000-0000211D0000}"/>
    <cellStyle name="Calculation 5 2 2 5 6" xfId="7738" xr:uid="{00000000-0005-0000-0000-0000221D0000}"/>
    <cellStyle name="Calculation 5 2 2 6" xfId="7739" xr:uid="{00000000-0005-0000-0000-0000231D0000}"/>
    <cellStyle name="Calculation 5 2 2 6 2" xfId="7740" xr:uid="{00000000-0005-0000-0000-0000241D0000}"/>
    <cellStyle name="Calculation 5 2 2 7" xfId="7741" xr:uid="{00000000-0005-0000-0000-0000251D0000}"/>
    <cellStyle name="Calculation 5 2 2 7 2" xfId="7742" xr:uid="{00000000-0005-0000-0000-0000261D0000}"/>
    <cellStyle name="Calculation 5 2 2 8" xfId="7743" xr:uid="{00000000-0005-0000-0000-0000271D0000}"/>
    <cellStyle name="Calculation 5 2 2 9" xfId="7744" xr:uid="{00000000-0005-0000-0000-0000281D0000}"/>
    <cellStyle name="Calculation 5 2 3" xfId="7745" xr:uid="{00000000-0005-0000-0000-0000291D0000}"/>
    <cellStyle name="Calculation 5 2 3 2" xfId="7746" xr:uid="{00000000-0005-0000-0000-00002A1D0000}"/>
    <cellStyle name="Calculation 5 2 3 2 2" xfId="7747" xr:uid="{00000000-0005-0000-0000-00002B1D0000}"/>
    <cellStyle name="Calculation 5 2 3 2 2 2" xfId="7748" xr:uid="{00000000-0005-0000-0000-00002C1D0000}"/>
    <cellStyle name="Calculation 5 2 3 2 2 2 2" xfId="7749" xr:uid="{00000000-0005-0000-0000-00002D1D0000}"/>
    <cellStyle name="Calculation 5 2 3 2 2 3" xfId="7750" xr:uid="{00000000-0005-0000-0000-00002E1D0000}"/>
    <cellStyle name="Calculation 5 2 3 2 2 3 2" xfId="7751" xr:uid="{00000000-0005-0000-0000-00002F1D0000}"/>
    <cellStyle name="Calculation 5 2 3 2 2 4" xfId="7752" xr:uid="{00000000-0005-0000-0000-0000301D0000}"/>
    <cellStyle name="Calculation 5 2 3 2 2 5" xfId="7753" xr:uid="{00000000-0005-0000-0000-0000311D0000}"/>
    <cellStyle name="Calculation 5 2 3 2 2 6" xfId="7754" xr:uid="{00000000-0005-0000-0000-0000321D0000}"/>
    <cellStyle name="Calculation 5 2 3 2 3" xfId="7755" xr:uid="{00000000-0005-0000-0000-0000331D0000}"/>
    <cellStyle name="Calculation 5 2 3 2 3 2" xfId="7756" xr:uid="{00000000-0005-0000-0000-0000341D0000}"/>
    <cellStyle name="Calculation 5 2 3 2 4" xfId="7757" xr:uid="{00000000-0005-0000-0000-0000351D0000}"/>
    <cellStyle name="Calculation 5 2 3 2 4 2" xfId="7758" xr:uid="{00000000-0005-0000-0000-0000361D0000}"/>
    <cellStyle name="Calculation 5 2 3 2 5" xfId="7759" xr:uid="{00000000-0005-0000-0000-0000371D0000}"/>
    <cellStyle name="Calculation 5 2 3 2 6" xfId="7760" xr:uid="{00000000-0005-0000-0000-0000381D0000}"/>
    <cellStyle name="Calculation 5 2 3 2 7" xfId="7761" xr:uid="{00000000-0005-0000-0000-0000391D0000}"/>
    <cellStyle name="Calculation 5 2 3 3" xfId="7762" xr:uid="{00000000-0005-0000-0000-00003A1D0000}"/>
    <cellStyle name="Calculation 5 2 3 3 2" xfId="7763" xr:uid="{00000000-0005-0000-0000-00003B1D0000}"/>
    <cellStyle name="Calculation 5 2 3 3 2 2" xfId="7764" xr:uid="{00000000-0005-0000-0000-00003C1D0000}"/>
    <cellStyle name="Calculation 5 2 3 3 3" xfId="7765" xr:uid="{00000000-0005-0000-0000-00003D1D0000}"/>
    <cellStyle name="Calculation 5 2 3 3 3 2" xfId="7766" xr:uid="{00000000-0005-0000-0000-00003E1D0000}"/>
    <cellStyle name="Calculation 5 2 3 3 4" xfId="7767" xr:uid="{00000000-0005-0000-0000-00003F1D0000}"/>
    <cellStyle name="Calculation 5 2 3 3 5" xfId="7768" xr:uid="{00000000-0005-0000-0000-0000401D0000}"/>
    <cellStyle name="Calculation 5 2 3 3 6" xfId="7769" xr:uid="{00000000-0005-0000-0000-0000411D0000}"/>
    <cellStyle name="Calculation 5 2 3 4" xfId="7770" xr:uid="{00000000-0005-0000-0000-0000421D0000}"/>
    <cellStyle name="Calculation 5 2 3 4 2" xfId="7771" xr:uid="{00000000-0005-0000-0000-0000431D0000}"/>
    <cellStyle name="Calculation 5 2 3 5" xfId="7772" xr:uid="{00000000-0005-0000-0000-0000441D0000}"/>
    <cellStyle name="Calculation 5 2 3 5 2" xfId="7773" xr:uid="{00000000-0005-0000-0000-0000451D0000}"/>
    <cellStyle name="Calculation 5 2 3 6" xfId="7774" xr:uid="{00000000-0005-0000-0000-0000461D0000}"/>
    <cellStyle name="Calculation 5 2 3 7" xfId="7775" xr:uid="{00000000-0005-0000-0000-0000471D0000}"/>
    <cellStyle name="Calculation 5 2 3 8" xfId="7776" xr:uid="{00000000-0005-0000-0000-0000481D0000}"/>
    <cellStyle name="Calculation 5 2 4" xfId="7777" xr:uid="{00000000-0005-0000-0000-0000491D0000}"/>
    <cellStyle name="Calculation 5 2 4 2" xfId="7778" xr:uid="{00000000-0005-0000-0000-00004A1D0000}"/>
    <cellStyle name="Calculation 5 2 4 2 2" xfId="7779" xr:uid="{00000000-0005-0000-0000-00004B1D0000}"/>
    <cellStyle name="Calculation 5 2 4 2 2 2" xfId="7780" xr:uid="{00000000-0005-0000-0000-00004C1D0000}"/>
    <cellStyle name="Calculation 5 2 4 2 3" xfId="7781" xr:uid="{00000000-0005-0000-0000-00004D1D0000}"/>
    <cellStyle name="Calculation 5 2 4 2 3 2" xfId="7782" xr:uid="{00000000-0005-0000-0000-00004E1D0000}"/>
    <cellStyle name="Calculation 5 2 4 2 4" xfId="7783" xr:uid="{00000000-0005-0000-0000-00004F1D0000}"/>
    <cellStyle name="Calculation 5 2 4 2 5" xfId="7784" xr:uid="{00000000-0005-0000-0000-0000501D0000}"/>
    <cellStyle name="Calculation 5 2 4 2 6" xfId="7785" xr:uid="{00000000-0005-0000-0000-0000511D0000}"/>
    <cellStyle name="Calculation 5 2 4 3" xfId="7786" xr:uid="{00000000-0005-0000-0000-0000521D0000}"/>
    <cellStyle name="Calculation 5 2 4 3 2" xfId="7787" xr:uid="{00000000-0005-0000-0000-0000531D0000}"/>
    <cellStyle name="Calculation 5 2 4 4" xfId="7788" xr:uid="{00000000-0005-0000-0000-0000541D0000}"/>
    <cellStyle name="Calculation 5 2 4 4 2" xfId="7789" xr:uid="{00000000-0005-0000-0000-0000551D0000}"/>
    <cellStyle name="Calculation 5 2 4 5" xfId="7790" xr:uid="{00000000-0005-0000-0000-0000561D0000}"/>
    <cellStyle name="Calculation 5 2 4 6" xfId="7791" xr:uid="{00000000-0005-0000-0000-0000571D0000}"/>
    <cellStyle name="Calculation 5 2 4 7" xfId="7792" xr:uid="{00000000-0005-0000-0000-0000581D0000}"/>
    <cellStyle name="Calculation 5 2 5" xfId="7793" xr:uid="{00000000-0005-0000-0000-0000591D0000}"/>
    <cellStyle name="Calculation 5 2 5 2" xfId="7794" xr:uid="{00000000-0005-0000-0000-00005A1D0000}"/>
    <cellStyle name="Calculation 5 2 5 2 2" xfId="7795" xr:uid="{00000000-0005-0000-0000-00005B1D0000}"/>
    <cellStyle name="Calculation 5 2 5 3" xfId="7796" xr:uid="{00000000-0005-0000-0000-00005C1D0000}"/>
    <cellStyle name="Calculation 5 2 5 3 2" xfId="7797" xr:uid="{00000000-0005-0000-0000-00005D1D0000}"/>
    <cellStyle name="Calculation 5 2 5 4" xfId="7798" xr:uid="{00000000-0005-0000-0000-00005E1D0000}"/>
    <cellStyle name="Calculation 5 2 5 5" xfId="7799" xr:uid="{00000000-0005-0000-0000-00005F1D0000}"/>
    <cellStyle name="Calculation 5 2 5 6" xfId="7800" xr:uid="{00000000-0005-0000-0000-0000601D0000}"/>
    <cellStyle name="Calculation 5 2 6" xfId="7801" xr:uid="{00000000-0005-0000-0000-0000611D0000}"/>
    <cellStyle name="Calculation 5 2 6 2" xfId="7802" xr:uid="{00000000-0005-0000-0000-0000621D0000}"/>
    <cellStyle name="Calculation 5 2 7" xfId="7803" xr:uid="{00000000-0005-0000-0000-0000631D0000}"/>
    <cellStyle name="Calculation 5 2 7 2" xfId="7804" xr:uid="{00000000-0005-0000-0000-0000641D0000}"/>
    <cellStyle name="Calculation 5 2 8" xfId="7805" xr:uid="{00000000-0005-0000-0000-0000651D0000}"/>
    <cellStyle name="Calculation 5 2 9" xfId="7806" xr:uid="{00000000-0005-0000-0000-0000661D0000}"/>
    <cellStyle name="Calculation 5 3" xfId="7807" xr:uid="{00000000-0005-0000-0000-0000671D0000}"/>
    <cellStyle name="Calculation 5 3 10" xfId="7808" xr:uid="{00000000-0005-0000-0000-0000681D0000}"/>
    <cellStyle name="Calculation 5 3 2" xfId="7809" xr:uid="{00000000-0005-0000-0000-0000691D0000}"/>
    <cellStyle name="Calculation 5 3 2 2" xfId="7810" xr:uid="{00000000-0005-0000-0000-00006A1D0000}"/>
    <cellStyle name="Calculation 5 3 2 2 2" xfId="7811" xr:uid="{00000000-0005-0000-0000-00006B1D0000}"/>
    <cellStyle name="Calculation 5 3 2 2 2 2" xfId="7812" xr:uid="{00000000-0005-0000-0000-00006C1D0000}"/>
    <cellStyle name="Calculation 5 3 2 2 2 2 2" xfId="7813" xr:uid="{00000000-0005-0000-0000-00006D1D0000}"/>
    <cellStyle name="Calculation 5 3 2 2 2 3" xfId="7814" xr:uid="{00000000-0005-0000-0000-00006E1D0000}"/>
    <cellStyle name="Calculation 5 3 2 2 2 3 2" xfId="7815" xr:uid="{00000000-0005-0000-0000-00006F1D0000}"/>
    <cellStyle name="Calculation 5 3 2 2 2 4" xfId="7816" xr:uid="{00000000-0005-0000-0000-0000701D0000}"/>
    <cellStyle name="Calculation 5 3 2 2 2 5" xfId="7817" xr:uid="{00000000-0005-0000-0000-0000711D0000}"/>
    <cellStyle name="Calculation 5 3 2 2 2 6" xfId="7818" xr:uid="{00000000-0005-0000-0000-0000721D0000}"/>
    <cellStyle name="Calculation 5 3 2 2 3" xfId="7819" xr:uid="{00000000-0005-0000-0000-0000731D0000}"/>
    <cellStyle name="Calculation 5 3 2 2 3 2" xfId="7820" xr:uid="{00000000-0005-0000-0000-0000741D0000}"/>
    <cellStyle name="Calculation 5 3 2 2 4" xfId="7821" xr:uid="{00000000-0005-0000-0000-0000751D0000}"/>
    <cellStyle name="Calculation 5 3 2 2 4 2" xfId="7822" xr:uid="{00000000-0005-0000-0000-0000761D0000}"/>
    <cellStyle name="Calculation 5 3 2 2 5" xfId="7823" xr:uid="{00000000-0005-0000-0000-0000771D0000}"/>
    <cellStyle name="Calculation 5 3 2 2 6" xfId="7824" xr:uid="{00000000-0005-0000-0000-0000781D0000}"/>
    <cellStyle name="Calculation 5 3 2 2 7" xfId="7825" xr:uid="{00000000-0005-0000-0000-0000791D0000}"/>
    <cellStyle name="Calculation 5 3 2 3" xfId="7826" xr:uid="{00000000-0005-0000-0000-00007A1D0000}"/>
    <cellStyle name="Calculation 5 3 2 3 2" xfId="7827" xr:uid="{00000000-0005-0000-0000-00007B1D0000}"/>
    <cellStyle name="Calculation 5 3 2 3 2 2" xfId="7828" xr:uid="{00000000-0005-0000-0000-00007C1D0000}"/>
    <cellStyle name="Calculation 5 3 2 3 3" xfId="7829" xr:uid="{00000000-0005-0000-0000-00007D1D0000}"/>
    <cellStyle name="Calculation 5 3 2 3 3 2" xfId="7830" xr:uid="{00000000-0005-0000-0000-00007E1D0000}"/>
    <cellStyle name="Calculation 5 3 2 3 4" xfId="7831" xr:uid="{00000000-0005-0000-0000-00007F1D0000}"/>
    <cellStyle name="Calculation 5 3 2 3 5" xfId="7832" xr:uid="{00000000-0005-0000-0000-0000801D0000}"/>
    <cellStyle name="Calculation 5 3 2 3 6" xfId="7833" xr:uid="{00000000-0005-0000-0000-0000811D0000}"/>
    <cellStyle name="Calculation 5 3 2 4" xfId="7834" xr:uid="{00000000-0005-0000-0000-0000821D0000}"/>
    <cellStyle name="Calculation 5 3 2 4 2" xfId="7835" xr:uid="{00000000-0005-0000-0000-0000831D0000}"/>
    <cellStyle name="Calculation 5 3 2 5" xfId="7836" xr:uid="{00000000-0005-0000-0000-0000841D0000}"/>
    <cellStyle name="Calculation 5 3 2 5 2" xfId="7837" xr:uid="{00000000-0005-0000-0000-0000851D0000}"/>
    <cellStyle name="Calculation 5 3 2 6" xfId="7838" xr:uid="{00000000-0005-0000-0000-0000861D0000}"/>
    <cellStyle name="Calculation 5 3 2 7" xfId="7839" xr:uid="{00000000-0005-0000-0000-0000871D0000}"/>
    <cellStyle name="Calculation 5 3 2 8" xfId="7840" xr:uid="{00000000-0005-0000-0000-0000881D0000}"/>
    <cellStyle name="Calculation 5 3 3" xfId="7841" xr:uid="{00000000-0005-0000-0000-0000891D0000}"/>
    <cellStyle name="Calculation 5 3 3 2" xfId="7842" xr:uid="{00000000-0005-0000-0000-00008A1D0000}"/>
    <cellStyle name="Calculation 5 3 3 2 2" xfId="7843" xr:uid="{00000000-0005-0000-0000-00008B1D0000}"/>
    <cellStyle name="Calculation 5 3 3 2 2 2" xfId="7844" xr:uid="{00000000-0005-0000-0000-00008C1D0000}"/>
    <cellStyle name="Calculation 5 3 3 2 2 2 2" xfId="7845" xr:uid="{00000000-0005-0000-0000-00008D1D0000}"/>
    <cellStyle name="Calculation 5 3 3 2 2 3" xfId="7846" xr:uid="{00000000-0005-0000-0000-00008E1D0000}"/>
    <cellStyle name="Calculation 5 3 3 2 2 3 2" xfId="7847" xr:uid="{00000000-0005-0000-0000-00008F1D0000}"/>
    <cellStyle name="Calculation 5 3 3 2 2 4" xfId="7848" xr:uid="{00000000-0005-0000-0000-0000901D0000}"/>
    <cellStyle name="Calculation 5 3 3 2 2 5" xfId="7849" xr:uid="{00000000-0005-0000-0000-0000911D0000}"/>
    <cellStyle name="Calculation 5 3 3 2 2 6" xfId="7850" xr:uid="{00000000-0005-0000-0000-0000921D0000}"/>
    <cellStyle name="Calculation 5 3 3 2 3" xfId="7851" xr:uid="{00000000-0005-0000-0000-0000931D0000}"/>
    <cellStyle name="Calculation 5 3 3 2 3 2" xfId="7852" xr:uid="{00000000-0005-0000-0000-0000941D0000}"/>
    <cellStyle name="Calculation 5 3 3 2 4" xfId="7853" xr:uid="{00000000-0005-0000-0000-0000951D0000}"/>
    <cellStyle name="Calculation 5 3 3 2 4 2" xfId="7854" xr:uid="{00000000-0005-0000-0000-0000961D0000}"/>
    <cellStyle name="Calculation 5 3 3 2 5" xfId="7855" xr:uid="{00000000-0005-0000-0000-0000971D0000}"/>
    <cellStyle name="Calculation 5 3 3 2 6" xfId="7856" xr:uid="{00000000-0005-0000-0000-0000981D0000}"/>
    <cellStyle name="Calculation 5 3 3 2 7" xfId="7857" xr:uid="{00000000-0005-0000-0000-0000991D0000}"/>
    <cellStyle name="Calculation 5 3 3 3" xfId="7858" xr:uid="{00000000-0005-0000-0000-00009A1D0000}"/>
    <cellStyle name="Calculation 5 3 3 3 2" xfId="7859" xr:uid="{00000000-0005-0000-0000-00009B1D0000}"/>
    <cellStyle name="Calculation 5 3 3 3 2 2" xfId="7860" xr:uid="{00000000-0005-0000-0000-00009C1D0000}"/>
    <cellStyle name="Calculation 5 3 3 3 3" xfId="7861" xr:uid="{00000000-0005-0000-0000-00009D1D0000}"/>
    <cellStyle name="Calculation 5 3 3 3 3 2" xfId="7862" xr:uid="{00000000-0005-0000-0000-00009E1D0000}"/>
    <cellStyle name="Calculation 5 3 3 3 4" xfId="7863" xr:uid="{00000000-0005-0000-0000-00009F1D0000}"/>
    <cellStyle name="Calculation 5 3 3 3 5" xfId="7864" xr:uid="{00000000-0005-0000-0000-0000A01D0000}"/>
    <cellStyle name="Calculation 5 3 3 3 6" xfId="7865" xr:uid="{00000000-0005-0000-0000-0000A11D0000}"/>
    <cellStyle name="Calculation 5 3 3 4" xfId="7866" xr:uid="{00000000-0005-0000-0000-0000A21D0000}"/>
    <cellStyle name="Calculation 5 3 3 4 2" xfId="7867" xr:uid="{00000000-0005-0000-0000-0000A31D0000}"/>
    <cellStyle name="Calculation 5 3 3 5" xfId="7868" xr:uid="{00000000-0005-0000-0000-0000A41D0000}"/>
    <cellStyle name="Calculation 5 3 3 5 2" xfId="7869" xr:uid="{00000000-0005-0000-0000-0000A51D0000}"/>
    <cellStyle name="Calculation 5 3 3 6" xfId="7870" xr:uid="{00000000-0005-0000-0000-0000A61D0000}"/>
    <cellStyle name="Calculation 5 3 3 7" xfId="7871" xr:uid="{00000000-0005-0000-0000-0000A71D0000}"/>
    <cellStyle name="Calculation 5 3 3 8" xfId="7872" xr:uid="{00000000-0005-0000-0000-0000A81D0000}"/>
    <cellStyle name="Calculation 5 3 4" xfId="7873" xr:uid="{00000000-0005-0000-0000-0000A91D0000}"/>
    <cellStyle name="Calculation 5 3 4 2" xfId="7874" xr:uid="{00000000-0005-0000-0000-0000AA1D0000}"/>
    <cellStyle name="Calculation 5 3 4 2 2" xfId="7875" xr:uid="{00000000-0005-0000-0000-0000AB1D0000}"/>
    <cellStyle name="Calculation 5 3 4 2 2 2" xfId="7876" xr:uid="{00000000-0005-0000-0000-0000AC1D0000}"/>
    <cellStyle name="Calculation 5 3 4 2 3" xfId="7877" xr:uid="{00000000-0005-0000-0000-0000AD1D0000}"/>
    <cellStyle name="Calculation 5 3 4 2 3 2" xfId="7878" xr:uid="{00000000-0005-0000-0000-0000AE1D0000}"/>
    <cellStyle name="Calculation 5 3 4 2 4" xfId="7879" xr:uid="{00000000-0005-0000-0000-0000AF1D0000}"/>
    <cellStyle name="Calculation 5 3 4 2 5" xfId="7880" xr:uid="{00000000-0005-0000-0000-0000B01D0000}"/>
    <cellStyle name="Calculation 5 3 4 2 6" xfId="7881" xr:uid="{00000000-0005-0000-0000-0000B11D0000}"/>
    <cellStyle name="Calculation 5 3 4 3" xfId="7882" xr:uid="{00000000-0005-0000-0000-0000B21D0000}"/>
    <cellStyle name="Calculation 5 3 4 3 2" xfId="7883" xr:uid="{00000000-0005-0000-0000-0000B31D0000}"/>
    <cellStyle name="Calculation 5 3 4 4" xfId="7884" xr:uid="{00000000-0005-0000-0000-0000B41D0000}"/>
    <cellStyle name="Calculation 5 3 4 4 2" xfId="7885" xr:uid="{00000000-0005-0000-0000-0000B51D0000}"/>
    <cellStyle name="Calculation 5 3 4 5" xfId="7886" xr:uid="{00000000-0005-0000-0000-0000B61D0000}"/>
    <cellStyle name="Calculation 5 3 4 6" xfId="7887" xr:uid="{00000000-0005-0000-0000-0000B71D0000}"/>
    <cellStyle name="Calculation 5 3 4 7" xfId="7888" xr:uid="{00000000-0005-0000-0000-0000B81D0000}"/>
    <cellStyle name="Calculation 5 3 5" xfId="7889" xr:uid="{00000000-0005-0000-0000-0000B91D0000}"/>
    <cellStyle name="Calculation 5 3 5 2" xfId="7890" xr:uid="{00000000-0005-0000-0000-0000BA1D0000}"/>
    <cellStyle name="Calculation 5 3 5 2 2" xfId="7891" xr:uid="{00000000-0005-0000-0000-0000BB1D0000}"/>
    <cellStyle name="Calculation 5 3 5 3" xfId="7892" xr:uid="{00000000-0005-0000-0000-0000BC1D0000}"/>
    <cellStyle name="Calculation 5 3 5 3 2" xfId="7893" xr:uid="{00000000-0005-0000-0000-0000BD1D0000}"/>
    <cellStyle name="Calculation 5 3 5 4" xfId="7894" xr:uid="{00000000-0005-0000-0000-0000BE1D0000}"/>
    <cellStyle name="Calculation 5 3 5 5" xfId="7895" xr:uid="{00000000-0005-0000-0000-0000BF1D0000}"/>
    <cellStyle name="Calculation 5 3 5 6" xfId="7896" xr:uid="{00000000-0005-0000-0000-0000C01D0000}"/>
    <cellStyle name="Calculation 5 3 6" xfId="7897" xr:uid="{00000000-0005-0000-0000-0000C11D0000}"/>
    <cellStyle name="Calculation 5 3 6 2" xfId="7898" xr:uid="{00000000-0005-0000-0000-0000C21D0000}"/>
    <cellStyle name="Calculation 5 3 7" xfId="7899" xr:uid="{00000000-0005-0000-0000-0000C31D0000}"/>
    <cellStyle name="Calculation 5 3 7 2" xfId="7900" xr:uid="{00000000-0005-0000-0000-0000C41D0000}"/>
    <cellStyle name="Calculation 5 3 8" xfId="7901" xr:uid="{00000000-0005-0000-0000-0000C51D0000}"/>
    <cellStyle name="Calculation 5 3 9" xfId="7902" xr:uid="{00000000-0005-0000-0000-0000C61D0000}"/>
    <cellStyle name="Calculation 5 4" xfId="7903" xr:uid="{00000000-0005-0000-0000-0000C71D0000}"/>
    <cellStyle name="Calculation 5 4 2" xfId="7904" xr:uid="{00000000-0005-0000-0000-0000C81D0000}"/>
    <cellStyle name="Calculation 5 4 2 2" xfId="7905" xr:uid="{00000000-0005-0000-0000-0000C91D0000}"/>
    <cellStyle name="Calculation 5 4 2 2 2" xfId="7906" xr:uid="{00000000-0005-0000-0000-0000CA1D0000}"/>
    <cellStyle name="Calculation 5 4 2 2 2 2" xfId="7907" xr:uid="{00000000-0005-0000-0000-0000CB1D0000}"/>
    <cellStyle name="Calculation 5 4 2 2 3" xfId="7908" xr:uid="{00000000-0005-0000-0000-0000CC1D0000}"/>
    <cellStyle name="Calculation 5 4 2 2 3 2" xfId="7909" xr:uid="{00000000-0005-0000-0000-0000CD1D0000}"/>
    <cellStyle name="Calculation 5 4 2 2 4" xfId="7910" xr:uid="{00000000-0005-0000-0000-0000CE1D0000}"/>
    <cellStyle name="Calculation 5 4 2 2 5" xfId="7911" xr:uid="{00000000-0005-0000-0000-0000CF1D0000}"/>
    <cellStyle name="Calculation 5 4 2 2 6" xfId="7912" xr:uid="{00000000-0005-0000-0000-0000D01D0000}"/>
    <cellStyle name="Calculation 5 4 2 3" xfId="7913" xr:uid="{00000000-0005-0000-0000-0000D11D0000}"/>
    <cellStyle name="Calculation 5 4 2 3 2" xfId="7914" xr:uid="{00000000-0005-0000-0000-0000D21D0000}"/>
    <cellStyle name="Calculation 5 4 2 4" xfId="7915" xr:uid="{00000000-0005-0000-0000-0000D31D0000}"/>
    <cellStyle name="Calculation 5 4 2 4 2" xfId="7916" xr:uid="{00000000-0005-0000-0000-0000D41D0000}"/>
    <cellStyle name="Calculation 5 4 2 5" xfId="7917" xr:uid="{00000000-0005-0000-0000-0000D51D0000}"/>
    <cellStyle name="Calculation 5 4 2 6" xfId="7918" xr:uid="{00000000-0005-0000-0000-0000D61D0000}"/>
    <cellStyle name="Calculation 5 4 2 7" xfId="7919" xr:uid="{00000000-0005-0000-0000-0000D71D0000}"/>
    <cellStyle name="Calculation 5 4 3" xfId="7920" xr:uid="{00000000-0005-0000-0000-0000D81D0000}"/>
    <cellStyle name="Calculation 5 4 3 2" xfId="7921" xr:uid="{00000000-0005-0000-0000-0000D91D0000}"/>
    <cellStyle name="Calculation 5 4 3 2 2" xfId="7922" xr:uid="{00000000-0005-0000-0000-0000DA1D0000}"/>
    <cellStyle name="Calculation 5 4 3 3" xfId="7923" xr:uid="{00000000-0005-0000-0000-0000DB1D0000}"/>
    <cellStyle name="Calculation 5 4 3 3 2" xfId="7924" xr:uid="{00000000-0005-0000-0000-0000DC1D0000}"/>
    <cellStyle name="Calculation 5 4 3 4" xfId="7925" xr:uid="{00000000-0005-0000-0000-0000DD1D0000}"/>
    <cellStyle name="Calculation 5 4 3 5" xfId="7926" xr:uid="{00000000-0005-0000-0000-0000DE1D0000}"/>
    <cellStyle name="Calculation 5 4 3 6" xfId="7927" xr:uid="{00000000-0005-0000-0000-0000DF1D0000}"/>
    <cellStyle name="Calculation 5 4 4" xfId="7928" xr:uid="{00000000-0005-0000-0000-0000E01D0000}"/>
    <cellStyle name="Calculation 5 4 4 2" xfId="7929" xr:uid="{00000000-0005-0000-0000-0000E11D0000}"/>
    <cellStyle name="Calculation 5 4 5" xfId="7930" xr:uid="{00000000-0005-0000-0000-0000E21D0000}"/>
    <cellStyle name="Calculation 5 4 5 2" xfId="7931" xr:uid="{00000000-0005-0000-0000-0000E31D0000}"/>
    <cellStyle name="Calculation 5 4 6" xfId="7932" xr:uid="{00000000-0005-0000-0000-0000E41D0000}"/>
    <cellStyle name="Calculation 5 4 7" xfId="7933" xr:uid="{00000000-0005-0000-0000-0000E51D0000}"/>
    <cellStyle name="Calculation 5 4 8" xfId="7934" xr:uid="{00000000-0005-0000-0000-0000E61D0000}"/>
    <cellStyle name="Calculation 5 5" xfId="7935" xr:uid="{00000000-0005-0000-0000-0000E71D0000}"/>
    <cellStyle name="Calculation 5 5 2" xfId="7936" xr:uid="{00000000-0005-0000-0000-0000E81D0000}"/>
    <cellStyle name="Calculation 5 5 2 2" xfId="7937" xr:uid="{00000000-0005-0000-0000-0000E91D0000}"/>
    <cellStyle name="Calculation 5 5 2 2 2" xfId="7938" xr:uid="{00000000-0005-0000-0000-0000EA1D0000}"/>
    <cellStyle name="Calculation 5 5 2 3" xfId="7939" xr:uid="{00000000-0005-0000-0000-0000EB1D0000}"/>
    <cellStyle name="Calculation 5 5 2 3 2" xfId="7940" xr:uid="{00000000-0005-0000-0000-0000EC1D0000}"/>
    <cellStyle name="Calculation 5 5 2 4" xfId="7941" xr:uid="{00000000-0005-0000-0000-0000ED1D0000}"/>
    <cellStyle name="Calculation 5 5 2 5" xfId="7942" xr:uid="{00000000-0005-0000-0000-0000EE1D0000}"/>
    <cellStyle name="Calculation 5 5 2 6" xfId="7943" xr:uid="{00000000-0005-0000-0000-0000EF1D0000}"/>
    <cellStyle name="Calculation 5 5 3" xfId="7944" xr:uid="{00000000-0005-0000-0000-0000F01D0000}"/>
    <cellStyle name="Calculation 5 5 3 2" xfId="7945" xr:uid="{00000000-0005-0000-0000-0000F11D0000}"/>
    <cellStyle name="Calculation 5 5 4" xfId="7946" xr:uid="{00000000-0005-0000-0000-0000F21D0000}"/>
    <cellStyle name="Calculation 5 5 4 2" xfId="7947" xr:uid="{00000000-0005-0000-0000-0000F31D0000}"/>
    <cellStyle name="Calculation 5 5 5" xfId="7948" xr:uid="{00000000-0005-0000-0000-0000F41D0000}"/>
    <cellStyle name="Calculation 5 5 6" xfId="7949" xr:uid="{00000000-0005-0000-0000-0000F51D0000}"/>
    <cellStyle name="Calculation 5 5 7" xfId="7950" xr:uid="{00000000-0005-0000-0000-0000F61D0000}"/>
    <cellStyle name="Calculation 5 6" xfId="7951" xr:uid="{00000000-0005-0000-0000-0000F71D0000}"/>
    <cellStyle name="Calculation 5 6 2" xfId="7952" xr:uid="{00000000-0005-0000-0000-0000F81D0000}"/>
    <cellStyle name="Calculation 5 6 2 2" xfId="7953" xr:uid="{00000000-0005-0000-0000-0000F91D0000}"/>
    <cellStyle name="Calculation 5 6 3" xfId="7954" xr:uid="{00000000-0005-0000-0000-0000FA1D0000}"/>
    <cellStyle name="Calculation 5 6 3 2" xfId="7955" xr:uid="{00000000-0005-0000-0000-0000FB1D0000}"/>
    <cellStyle name="Calculation 5 6 4" xfId="7956" xr:uid="{00000000-0005-0000-0000-0000FC1D0000}"/>
    <cellStyle name="Calculation 5 6 5" xfId="7957" xr:uid="{00000000-0005-0000-0000-0000FD1D0000}"/>
    <cellStyle name="Calculation 5 6 6" xfId="7958" xr:uid="{00000000-0005-0000-0000-0000FE1D0000}"/>
    <cellStyle name="Calculation 5 7" xfId="7959" xr:uid="{00000000-0005-0000-0000-0000FF1D0000}"/>
    <cellStyle name="Calculation 5 7 2" xfId="7960" xr:uid="{00000000-0005-0000-0000-0000001E0000}"/>
    <cellStyle name="Calculation 5 8" xfId="7961" xr:uid="{00000000-0005-0000-0000-0000011E0000}"/>
    <cellStyle name="Calculation 5 8 2" xfId="7962" xr:uid="{00000000-0005-0000-0000-0000021E0000}"/>
    <cellStyle name="Calculation 5 9" xfId="7963" xr:uid="{00000000-0005-0000-0000-0000031E0000}"/>
    <cellStyle name="Calculation 6" xfId="7964" xr:uid="{00000000-0005-0000-0000-0000041E0000}"/>
    <cellStyle name="Calculation 6 10" xfId="7965" xr:uid="{00000000-0005-0000-0000-0000051E0000}"/>
    <cellStyle name="Calculation 6 2" xfId="7966" xr:uid="{00000000-0005-0000-0000-0000061E0000}"/>
    <cellStyle name="Calculation 6 2 2" xfId="7967" xr:uid="{00000000-0005-0000-0000-0000071E0000}"/>
    <cellStyle name="Calculation 6 2 2 2" xfId="7968" xr:uid="{00000000-0005-0000-0000-0000081E0000}"/>
    <cellStyle name="Calculation 6 2 2 2 2" xfId="7969" xr:uid="{00000000-0005-0000-0000-0000091E0000}"/>
    <cellStyle name="Calculation 6 2 2 2 2 2" xfId="7970" xr:uid="{00000000-0005-0000-0000-00000A1E0000}"/>
    <cellStyle name="Calculation 6 2 2 2 3" xfId="7971" xr:uid="{00000000-0005-0000-0000-00000B1E0000}"/>
    <cellStyle name="Calculation 6 2 2 2 3 2" xfId="7972" xr:uid="{00000000-0005-0000-0000-00000C1E0000}"/>
    <cellStyle name="Calculation 6 2 2 2 4" xfId="7973" xr:uid="{00000000-0005-0000-0000-00000D1E0000}"/>
    <cellStyle name="Calculation 6 2 2 2 5" xfId="7974" xr:uid="{00000000-0005-0000-0000-00000E1E0000}"/>
    <cellStyle name="Calculation 6 2 2 2 6" xfId="7975" xr:uid="{00000000-0005-0000-0000-00000F1E0000}"/>
    <cellStyle name="Calculation 6 2 2 3" xfId="7976" xr:uid="{00000000-0005-0000-0000-0000101E0000}"/>
    <cellStyle name="Calculation 6 2 2 3 2" xfId="7977" xr:uid="{00000000-0005-0000-0000-0000111E0000}"/>
    <cellStyle name="Calculation 6 2 2 4" xfId="7978" xr:uid="{00000000-0005-0000-0000-0000121E0000}"/>
    <cellStyle name="Calculation 6 2 2 4 2" xfId="7979" xr:uid="{00000000-0005-0000-0000-0000131E0000}"/>
    <cellStyle name="Calculation 6 2 2 5" xfId="7980" xr:uid="{00000000-0005-0000-0000-0000141E0000}"/>
    <cellStyle name="Calculation 6 2 2 6" xfId="7981" xr:uid="{00000000-0005-0000-0000-0000151E0000}"/>
    <cellStyle name="Calculation 6 2 2 7" xfId="7982" xr:uid="{00000000-0005-0000-0000-0000161E0000}"/>
    <cellStyle name="Calculation 6 2 3" xfId="7983" xr:uid="{00000000-0005-0000-0000-0000171E0000}"/>
    <cellStyle name="Calculation 6 2 3 2" xfId="7984" xr:uid="{00000000-0005-0000-0000-0000181E0000}"/>
    <cellStyle name="Calculation 6 2 3 2 2" xfId="7985" xr:uid="{00000000-0005-0000-0000-0000191E0000}"/>
    <cellStyle name="Calculation 6 2 3 3" xfId="7986" xr:uid="{00000000-0005-0000-0000-00001A1E0000}"/>
    <cellStyle name="Calculation 6 2 3 3 2" xfId="7987" xr:uid="{00000000-0005-0000-0000-00001B1E0000}"/>
    <cellStyle name="Calculation 6 2 3 4" xfId="7988" xr:uid="{00000000-0005-0000-0000-00001C1E0000}"/>
    <cellStyle name="Calculation 6 2 3 5" xfId="7989" xr:uid="{00000000-0005-0000-0000-00001D1E0000}"/>
    <cellStyle name="Calculation 6 2 3 6" xfId="7990" xr:uid="{00000000-0005-0000-0000-00001E1E0000}"/>
    <cellStyle name="Calculation 6 2 4" xfId="7991" xr:uid="{00000000-0005-0000-0000-00001F1E0000}"/>
    <cellStyle name="Calculation 6 2 4 2" xfId="7992" xr:uid="{00000000-0005-0000-0000-0000201E0000}"/>
    <cellStyle name="Calculation 6 2 5" xfId="7993" xr:uid="{00000000-0005-0000-0000-0000211E0000}"/>
    <cellStyle name="Calculation 6 2 5 2" xfId="7994" xr:uid="{00000000-0005-0000-0000-0000221E0000}"/>
    <cellStyle name="Calculation 6 2 6" xfId="7995" xr:uid="{00000000-0005-0000-0000-0000231E0000}"/>
    <cellStyle name="Calculation 6 2 7" xfId="7996" xr:uid="{00000000-0005-0000-0000-0000241E0000}"/>
    <cellStyle name="Calculation 6 2 8" xfId="7997" xr:uid="{00000000-0005-0000-0000-0000251E0000}"/>
    <cellStyle name="Calculation 6 3" xfId="7998" xr:uid="{00000000-0005-0000-0000-0000261E0000}"/>
    <cellStyle name="Calculation 6 3 2" xfId="7999" xr:uid="{00000000-0005-0000-0000-0000271E0000}"/>
    <cellStyle name="Calculation 6 3 2 2" xfId="8000" xr:uid="{00000000-0005-0000-0000-0000281E0000}"/>
    <cellStyle name="Calculation 6 3 2 2 2" xfId="8001" xr:uid="{00000000-0005-0000-0000-0000291E0000}"/>
    <cellStyle name="Calculation 6 3 2 2 2 2" xfId="8002" xr:uid="{00000000-0005-0000-0000-00002A1E0000}"/>
    <cellStyle name="Calculation 6 3 2 2 3" xfId="8003" xr:uid="{00000000-0005-0000-0000-00002B1E0000}"/>
    <cellStyle name="Calculation 6 3 2 2 3 2" xfId="8004" xr:uid="{00000000-0005-0000-0000-00002C1E0000}"/>
    <cellStyle name="Calculation 6 3 2 2 4" xfId="8005" xr:uid="{00000000-0005-0000-0000-00002D1E0000}"/>
    <cellStyle name="Calculation 6 3 2 2 5" xfId="8006" xr:uid="{00000000-0005-0000-0000-00002E1E0000}"/>
    <cellStyle name="Calculation 6 3 2 2 6" xfId="8007" xr:uid="{00000000-0005-0000-0000-00002F1E0000}"/>
    <cellStyle name="Calculation 6 3 2 3" xfId="8008" xr:uid="{00000000-0005-0000-0000-0000301E0000}"/>
    <cellStyle name="Calculation 6 3 2 3 2" xfId="8009" xr:uid="{00000000-0005-0000-0000-0000311E0000}"/>
    <cellStyle name="Calculation 6 3 2 4" xfId="8010" xr:uid="{00000000-0005-0000-0000-0000321E0000}"/>
    <cellStyle name="Calculation 6 3 2 4 2" xfId="8011" xr:uid="{00000000-0005-0000-0000-0000331E0000}"/>
    <cellStyle name="Calculation 6 3 2 5" xfId="8012" xr:uid="{00000000-0005-0000-0000-0000341E0000}"/>
    <cellStyle name="Calculation 6 3 2 6" xfId="8013" xr:uid="{00000000-0005-0000-0000-0000351E0000}"/>
    <cellStyle name="Calculation 6 3 2 7" xfId="8014" xr:uid="{00000000-0005-0000-0000-0000361E0000}"/>
    <cellStyle name="Calculation 6 3 3" xfId="8015" xr:uid="{00000000-0005-0000-0000-0000371E0000}"/>
    <cellStyle name="Calculation 6 3 3 2" xfId="8016" xr:uid="{00000000-0005-0000-0000-0000381E0000}"/>
    <cellStyle name="Calculation 6 3 3 2 2" xfId="8017" xr:uid="{00000000-0005-0000-0000-0000391E0000}"/>
    <cellStyle name="Calculation 6 3 3 3" xfId="8018" xr:uid="{00000000-0005-0000-0000-00003A1E0000}"/>
    <cellStyle name="Calculation 6 3 3 3 2" xfId="8019" xr:uid="{00000000-0005-0000-0000-00003B1E0000}"/>
    <cellStyle name="Calculation 6 3 3 4" xfId="8020" xr:uid="{00000000-0005-0000-0000-00003C1E0000}"/>
    <cellStyle name="Calculation 6 3 3 5" xfId="8021" xr:uid="{00000000-0005-0000-0000-00003D1E0000}"/>
    <cellStyle name="Calculation 6 3 3 6" xfId="8022" xr:uid="{00000000-0005-0000-0000-00003E1E0000}"/>
    <cellStyle name="Calculation 6 3 4" xfId="8023" xr:uid="{00000000-0005-0000-0000-00003F1E0000}"/>
    <cellStyle name="Calculation 6 3 4 2" xfId="8024" xr:uid="{00000000-0005-0000-0000-0000401E0000}"/>
    <cellStyle name="Calculation 6 3 5" xfId="8025" xr:uid="{00000000-0005-0000-0000-0000411E0000}"/>
    <cellStyle name="Calculation 6 3 5 2" xfId="8026" xr:uid="{00000000-0005-0000-0000-0000421E0000}"/>
    <cellStyle name="Calculation 6 3 6" xfId="8027" xr:uid="{00000000-0005-0000-0000-0000431E0000}"/>
    <cellStyle name="Calculation 6 3 7" xfId="8028" xr:uid="{00000000-0005-0000-0000-0000441E0000}"/>
    <cellStyle name="Calculation 6 3 8" xfId="8029" xr:uid="{00000000-0005-0000-0000-0000451E0000}"/>
    <cellStyle name="Calculation 6 4" xfId="8030" xr:uid="{00000000-0005-0000-0000-0000461E0000}"/>
    <cellStyle name="Calculation 6 4 2" xfId="8031" xr:uid="{00000000-0005-0000-0000-0000471E0000}"/>
    <cellStyle name="Calculation 6 4 2 2" xfId="8032" xr:uid="{00000000-0005-0000-0000-0000481E0000}"/>
    <cellStyle name="Calculation 6 4 2 2 2" xfId="8033" xr:uid="{00000000-0005-0000-0000-0000491E0000}"/>
    <cellStyle name="Calculation 6 4 2 3" xfId="8034" xr:uid="{00000000-0005-0000-0000-00004A1E0000}"/>
    <cellStyle name="Calculation 6 4 2 3 2" xfId="8035" xr:uid="{00000000-0005-0000-0000-00004B1E0000}"/>
    <cellStyle name="Calculation 6 4 2 4" xfId="8036" xr:uid="{00000000-0005-0000-0000-00004C1E0000}"/>
    <cellStyle name="Calculation 6 4 2 5" xfId="8037" xr:uid="{00000000-0005-0000-0000-00004D1E0000}"/>
    <cellStyle name="Calculation 6 4 2 6" xfId="8038" xr:uid="{00000000-0005-0000-0000-00004E1E0000}"/>
    <cellStyle name="Calculation 6 4 3" xfId="8039" xr:uid="{00000000-0005-0000-0000-00004F1E0000}"/>
    <cellStyle name="Calculation 6 4 3 2" xfId="8040" xr:uid="{00000000-0005-0000-0000-0000501E0000}"/>
    <cellStyle name="Calculation 6 4 4" xfId="8041" xr:uid="{00000000-0005-0000-0000-0000511E0000}"/>
    <cellStyle name="Calculation 6 4 4 2" xfId="8042" xr:uid="{00000000-0005-0000-0000-0000521E0000}"/>
    <cellStyle name="Calculation 6 4 5" xfId="8043" xr:uid="{00000000-0005-0000-0000-0000531E0000}"/>
    <cellStyle name="Calculation 6 4 6" xfId="8044" xr:uid="{00000000-0005-0000-0000-0000541E0000}"/>
    <cellStyle name="Calculation 6 4 7" xfId="8045" xr:uid="{00000000-0005-0000-0000-0000551E0000}"/>
    <cellStyle name="Calculation 6 5" xfId="8046" xr:uid="{00000000-0005-0000-0000-0000561E0000}"/>
    <cellStyle name="Calculation 6 5 2" xfId="8047" xr:uid="{00000000-0005-0000-0000-0000571E0000}"/>
    <cellStyle name="Calculation 6 5 2 2" xfId="8048" xr:uid="{00000000-0005-0000-0000-0000581E0000}"/>
    <cellStyle name="Calculation 6 5 3" xfId="8049" xr:uid="{00000000-0005-0000-0000-0000591E0000}"/>
    <cellStyle name="Calculation 6 5 3 2" xfId="8050" xr:uid="{00000000-0005-0000-0000-00005A1E0000}"/>
    <cellStyle name="Calculation 6 5 4" xfId="8051" xr:uid="{00000000-0005-0000-0000-00005B1E0000}"/>
    <cellStyle name="Calculation 6 5 5" xfId="8052" xr:uid="{00000000-0005-0000-0000-00005C1E0000}"/>
    <cellStyle name="Calculation 6 5 6" xfId="8053" xr:uid="{00000000-0005-0000-0000-00005D1E0000}"/>
    <cellStyle name="Calculation 6 6" xfId="8054" xr:uid="{00000000-0005-0000-0000-00005E1E0000}"/>
    <cellStyle name="Calculation 6 6 2" xfId="8055" xr:uid="{00000000-0005-0000-0000-00005F1E0000}"/>
    <cellStyle name="Calculation 6 7" xfId="8056" xr:uid="{00000000-0005-0000-0000-0000601E0000}"/>
    <cellStyle name="Calculation 6 7 2" xfId="8057" xr:uid="{00000000-0005-0000-0000-0000611E0000}"/>
    <cellStyle name="Calculation 6 8" xfId="8058" xr:uid="{00000000-0005-0000-0000-0000621E0000}"/>
    <cellStyle name="Calculation 6 9" xfId="8059" xr:uid="{00000000-0005-0000-0000-0000631E0000}"/>
    <cellStyle name="Calculation 7" xfId="8060" xr:uid="{00000000-0005-0000-0000-0000641E0000}"/>
    <cellStyle name="Calculation 7 2" xfId="8061" xr:uid="{00000000-0005-0000-0000-0000651E0000}"/>
    <cellStyle name="Calculation 7 2 2" xfId="8062" xr:uid="{00000000-0005-0000-0000-0000661E0000}"/>
    <cellStyle name="Calculation 7 2 2 2" xfId="8063" xr:uid="{00000000-0005-0000-0000-0000671E0000}"/>
    <cellStyle name="Calculation 7 2 2 2 2" xfId="8064" xr:uid="{00000000-0005-0000-0000-0000681E0000}"/>
    <cellStyle name="Calculation 7 2 2 3" xfId="8065" xr:uid="{00000000-0005-0000-0000-0000691E0000}"/>
    <cellStyle name="Calculation 7 2 2 3 2" xfId="8066" xr:uid="{00000000-0005-0000-0000-00006A1E0000}"/>
    <cellStyle name="Calculation 7 2 2 4" xfId="8067" xr:uid="{00000000-0005-0000-0000-00006B1E0000}"/>
    <cellStyle name="Calculation 7 2 2 5" xfId="8068" xr:uid="{00000000-0005-0000-0000-00006C1E0000}"/>
    <cellStyle name="Calculation 7 2 2 6" xfId="8069" xr:uid="{00000000-0005-0000-0000-00006D1E0000}"/>
    <cellStyle name="Calculation 7 2 3" xfId="8070" xr:uid="{00000000-0005-0000-0000-00006E1E0000}"/>
    <cellStyle name="Calculation 7 2 3 2" xfId="8071" xr:uid="{00000000-0005-0000-0000-00006F1E0000}"/>
    <cellStyle name="Calculation 7 2 4" xfId="8072" xr:uid="{00000000-0005-0000-0000-0000701E0000}"/>
    <cellStyle name="Calculation 7 2 4 2" xfId="8073" xr:uid="{00000000-0005-0000-0000-0000711E0000}"/>
    <cellStyle name="Calculation 7 2 5" xfId="8074" xr:uid="{00000000-0005-0000-0000-0000721E0000}"/>
    <cellStyle name="Calculation 7 2 6" xfId="8075" xr:uid="{00000000-0005-0000-0000-0000731E0000}"/>
    <cellStyle name="Calculation 7 2 7" xfId="8076" xr:uid="{00000000-0005-0000-0000-0000741E0000}"/>
    <cellStyle name="Calculation 7 3" xfId="8077" xr:uid="{00000000-0005-0000-0000-0000751E0000}"/>
    <cellStyle name="Calculation 7 3 2" xfId="8078" xr:uid="{00000000-0005-0000-0000-0000761E0000}"/>
    <cellStyle name="Calculation 7 3 2 2" xfId="8079" xr:uid="{00000000-0005-0000-0000-0000771E0000}"/>
    <cellStyle name="Calculation 7 3 3" xfId="8080" xr:uid="{00000000-0005-0000-0000-0000781E0000}"/>
    <cellStyle name="Calculation 7 3 3 2" xfId="8081" xr:uid="{00000000-0005-0000-0000-0000791E0000}"/>
    <cellStyle name="Calculation 7 3 4" xfId="8082" xr:uid="{00000000-0005-0000-0000-00007A1E0000}"/>
    <cellStyle name="Calculation 7 3 5" xfId="8083" xr:uid="{00000000-0005-0000-0000-00007B1E0000}"/>
    <cellStyle name="Calculation 7 3 6" xfId="8084" xr:uid="{00000000-0005-0000-0000-00007C1E0000}"/>
    <cellStyle name="Calculation 7 4" xfId="8085" xr:uid="{00000000-0005-0000-0000-00007D1E0000}"/>
    <cellStyle name="Calculation 7 4 2" xfId="8086" xr:uid="{00000000-0005-0000-0000-00007E1E0000}"/>
    <cellStyle name="Calculation 7 5" xfId="8087" xr:uid="{00000000-0005-0000-0000-00007F1E0000}"/>
    <cellStyle name="Calculation 7 5 2" xfId="8088" xr:uid="{00000000-0005-0000-0000-0000801E0000}"/>
    <cellStyle name="Calculation 7 6" xfId="8089" xr:uid="{00000000-0005-0000-0000-0000811E0000}"/>
    <cellStyle name="Calculation 7 7" xfId="8090" xr:uid="{00000000-0005-0000-0000-0000821E0000}"/>
    <cellStyle name="Calculation 7 8" xfId="8091" xr:uid="{00000000-0005-0000-0000-0000831E0000}"/>
    <cellStyle name="Calculation 8" xfId="8092" xr:uid="{00000000-0005-0000-0000-0000841E0000}"/>
    <cellStyle name="Calculation 8 2" xfId="8093" xr:uid="{00000000-0005-0000-0000-0000851E0000}"/>
    <cellStyle name="Calculation 8 2 2" xfId="8094" xr:uid="{00000000-0005-0000-0000-0000861E0000}"/>
    <cellStyle name="Calculation 8 2 2 2" xfId="8095" xr:uid="{00000000-0005-0000-0000-0000871E0000}"/>
    <cellStyle name="Calculation 8 2 3" xfId="8096" xr:uid="{00000000-0005-0000-0000-0000881E0000}"/>
    <cellStyle name="Calculation 8 2 3 2" xfId="8097" xr:uid="{00000000-0005-0000-0000-0000891E0000}"/>
    <cellStyle name="Calculation 8 2 4" xfId="8098" xr:uid="{00000000-0005-0000-0000-00008A1E0000}"/>
    <cellStyle name="Calculation 8 2 5" xfId="8099" xr:uid="{00000000-0005-0000-0000-00008B1E0000}"/>
    <cellStyle name="Calculation 8 2 6" xfId="8100" xr:uid="{00000000-0005-0000-0000-00008C1E0000}"/>
    <cellStyle name="Calculation 8 3" xfId="8101" xr:uid="{00000000-0005-0000-0000-00008D1E0000}"/>
    <cellStyle name="Calculation 8 3 2" xfId="8102" xr:uid="{00000000-0005-0000-0000-00008E1E0000}"/>
    <cellStyle name="Calculation 8 4" xfId="8103" xr:uid="{00000000-0005-0000-0000-00008F1E0000}"/>
    <cellStyle name="Calculation 8 4 2" xfId="8104" xr:uid="{00000000-0005-0000-0000-0000901E0000}"/>
    <cellStyle name="Calculation 8 5" xfId="8105" xr:uid="{00000000-0005-0000-0000-0000911E0000}"/>
    <cellStyle name="Calculation 8 6" xfId="8106" xr:uid="{00000000-0005-0000-0000-0000921E0000}"/>
    <cellStyle name="Calculation 8 7" xfId="8107" xr:uid="{00000000-0005-0000-0000-0000931E0000}"/>
    <cellStyle name="Calculation 9" xfId="8108" xr:uid="{00000000-0005-0000-0000-0000941E0000}"/>
    <cellStyle name="Calculation 9 2" xfId="8109" xr:uid="{00000000-0005-0000-0000-0000951E0000}"/>
    <cellStyle name="category" xfId="8110" xr:uid="{00000000-0005-0000-0000-0000961E0000}"/>
    <cellStyle name="category 2" xfId="8111" xr:uid="{00000000-0005-0000-0000-0000971E0000}"/>
    <cellStyle name="Check Cell" xfId="8112" xr:uid="{00000000-0005-0000-0000-0000981E0000}"/>
    <cellStyle name="Check Cell 2" xfId="8113" xr:uid="{00000000-0005-0000-0000-0000991E0000}"/>
    <cellStyle name="Comma" xfId="28" xr:uid="{00000000-0005-0000-0000-00009A1E0000}"/>
    <cellStyle name="Comma [0]" xfId="8114" xr:uid="{00000000-0005-0000-0000-00009B1E0000}"/>
    <cellStyle name="Comma [0] 2" xfId="29" xr:uid="{00000000-0005-0000-0000-00009C1E0000}"/>
    <cellStyle name="Comma [0] 2 10" xfId="30" xr:uid="{00000000-0005-0000-0000-00009D1E0000}"/>
    <cellStyle name="Comma [0] 2 11" xfId="31" xr:uid="{00000000-0005-0000-0000-00009E1E0000}"/>
    <cellStyle name="Comma [0] 2 12" xfId="32" xr:uid="{00000000-0005-0000-0000-00009F1E0000}"/>
    <cellStyle name="Comma [0] 2 13" xfId="33" xr:uid="{00000000-0005-0000-0000-0000A01E0000}"/>
    <cellStyle name="Comma [0] 2 14" xfId="34" xr:uid="{00000000-0005-0000-0000-0000A11E0000}"/>
    <cellStyle name="Comma [0] 2 15" xfId="35" xr:uid="{00000000-0005-0000-0000-0000A21E0000}"/>
    <cellStyle name="Comma [0] 2 16" xfId="36" xr:uid="{00000000-0005-0000-0000-0000A31E0000}"/>
    <cellStyle name="Comma [0] 2 17" xfId="37" xr:uid="{00000000-0005-0000-0000-0000A41E0000}"/>
    <cellStyle name="Comma [0] 2 18" xfId="38" xr:uid="{00000000-0005-0000-0000-0000A51E0000}"/>
    <cellStyle name="Comma [0] 2 19" xfId="39" xr:uid="{00000000-0005-0000-0000-0000A61E0000}"/>
    <cellStyle name="Comma [0] 2 2" xfId="40" xr:uid="{00000000-0005-0000-0000-0000A71E0000}"/>
    <cellStyle name="Comma [0] 2 20" xfId="41" xr:uid="{00000000-0005-0000-0000-0000A81E0000}"/>
    <cellStyle name="Comma [0] 2 21" xfId="42" xr:uid="{00000000-0005-0000-0000-0000A91E0000}"/>
    <cellStyle name="Comma [0] 2 22" xfId="43" xr:uid="{00000000-0005-0000-0000-0000AA1E0000}"/>
    <cellStyle name="Comma [0] 2 23" xfId="44" xr:uid="{00000000-0005-0000-0000-0000AB1E0000}"/>
    <cellStyle name="Comma [0] 2 24" xfId="45" xr:uid="{00000000-0005-0000-0000-0000AC1E0000}"/>
    <cellStyle name="Comma [0] 2 25" xfId="298" xr:uid="{00000000-0005-0000-0000-0000AD1E0000}"/>
    <cellStyle name="Comma [0] 2 3" xfId="46" xr:uid="{00000000-0005-0000-0000-0000AE1E0000}"/>
    <cellStyle name="Comma [0] 2 4" xfId="47" xr:uid="{00000000-0005-0000-0000-0000AF1E0000}"/>
    <cellStyle name="Comma [0] 2 5" xfId="48" xr:uid="{00000000-0005-0000-0000-0000B01E0000}"/>
    <cellStyle name="Comma [0] 2 6" xfId="49" xr:uid="{00000000-0005-0000-0000-0000B11E0000}"/>
    <cellStyle name="Comma [0] 2 7" xfId="50" xr:uid="{00000000-0005-0000-0000-0000B21E0000}"/>
    <cellStyle name="Comma [0] 2 8" xfId="51" xr:uid="{00000000-0005-0000-0000-0000B31E0000}"/>
    <cellStyle name="Comma [0] 2 9" xfId="52" xr:uid="{00000000-0005-0000-0000-0000B41E0000}"/>
    <cellStyle name="Comma [0] 3" xfId="8115" xr:uid="{00000000-0005-0000-0000-0000B51E0000}"/>
    <cellStyle name="Comma [0]_ SG&amp;A Bridge " xfId="53" xr:uid="{00000000-0005-0000-0000-0000B61E0000}"/>
    <cellStyle name="comma zerodec" xfId="8116" xr:uid="{00000000-0005-0000-0000-0000B71E0000}"/>
    <cellStyle name="Comma_ " xfId="54" xr:uid="{00000000-0005-0000-0000-0000B81E0000}"/>
    <cellStyle name="Comma0" xfId="55" xr:uid="{00000000-0005-0000-0000-0000B91E0000}"/>
    <cellStyle name="Comma0 10" xfId="8117" xr:uid="{00000000-0005-0000-0000-0000BA1E0000}"/>
    <cellStyle name="Comma0 11" xfId="8118" xr:uid="{00000000-0005-0000-0000-0000BB1E0000}"/>
    <cellStyle name="Comma0 12" xfId="8119" xr:uid="{00000000-0005-0000-0000-0000BC1E0000}"/>
    <cellStyle name="Comma0 13" xfId="8120" xr:uid="{00000000-0005-0000-0000-0000BD1E0000}"/>
    <cellStyle name="Comma0 14" xfId="8121" xr:uid="{00000000-0005-0000-0000-0000BE1E0000}"/>
    <cellStyle name="Comma0 15" xfId="8122" xr:uid="{00000000-0005-0000-0000-0000BF1E0000}"/>
    <cellStyle name="Comma0 16" xfId="8123" xr:uid="{00000000-0005-0000-0000-0000C01E0000}"/>
    <cellStyle name="Comma0 17" xfId="52815" xr:uid="{00000000-0005-0000-0000-0000C11E0000}"/>
    <cellStyle name="Comma0 2" xfId="8124" xr:uid="{00000000-0005-0000-0000-0000C21E0000}"/>
    <cellStyle name="Comma0 2 2" xfId="8125" xr:uid="{00000000-0005-0000-0000-0000C31E0000}"/>
    <cellStyle name="Comma0 2 3" xfId="8126" xr:uid="{00000000-0005-0000-0000-0000C41E0000}"/>
    <cellStyle name="Comma0 2 4" xfId="8127" xr:uid="{00000000-0005-0000-0000-0000C51E0000}"/>
    <cellStyle name="Comma0 2 5" xfId="8128" xr:uid="{00000000-0005-0000-0000-0000C61E0000}"/>
    <cellStyle name="Comma0 3" xfId="8129" xr:uid="{00000000-0005-0000-0000-0000C71E0000}"/>
    <cellStyle name="Comma0 4" xfId="8130" xr:uid="{00000000-0005-0000-0000-0000C81E0000}"/>
    <cellStyle name="Comma0 5" xfId="8131" xr:uid="{00000000-0005-0000-0000-0000C91E0000}"/>
    <cellStyle name="Comma0 6" xfId="8132" xr:uid="{00000000-0005-0000-0000-0000CA1E0000}"/>
    <cellStyle name="Comma0 7" xfId="8133" xr:uid="{00000000-0005-0000-0000-0000CB1E0000}"/>
    <cellStyle name="Comma0 8" xfId="8134" xr:uid="{00000000-0005-0000-0000-0000CC1E0000}"/>
    <cellStyle name="Comma0 9" xfId="8135" xr:uid="{00000000-0005-0000-0000-0000CD1E0000}"/>
    <cellStyle name="Currency" xfId="56" xr:uid="{00000000-0005-0000-0000-0000CE1E0000}"/>
    <cellStyle name="Currency " xfId="8136" xr:uid="{00000000-0005-0000-0000-0000CF1E0000}"/>
    <cellStyle name="Currency  2" xfId="8137" xr:uid="{00000000-0005-0000-0000-0000D01E0000}"/>
    <cellStyle name="Currency  2 2" xfId="8138" xr:uid="{00000000-0005-0000-0000-0000D11E0000}"/>
    <cellStyle name="Currency  3" xfId="8139" xr:uid="{00000000-0005-0000-0000-0000D21E0000}"/>
    <cellStyle name="Currency [0]" xfId="8140" xr:uid="{00000000-0005-0000-0000-0000D31E0000}"/>
    <cellStyle name="Currency [0] 2" xfId="8141" xr:uid="{00000000-0005-0000-0000-0000D41E0000}"/>
    <cellStyle name="Currency [0]_ SG&amp;A Bridge " xfId="57" xr:uid="{00000000-0005-0000-0000-0000D51E0000}"/>
    <cellStyle name="Currency 2" xfId="8142" xr:uid="{00000000-0005-0000-0000-0000D61E0000}"/>
    <cellStyle name="Currency 2 2" xfId="8143" xr:uid="{00000000-0005-0000-0000-0000D71E0000}"/>
    <cellStyle name="Currency 2 3" xfId="8144" xr:uid="{00000000-0005-0000-0000-0000D81E0000}"/>
    <cellStyle name="Currency 2 4" xfId="8145" xr:uid="{00000000-0005-0000-0000-0000D91E0000}"/>
    <cellStyle name="Currency 2 5" xfId="8146" xr:uid="{00000000-0005-0000-0000-0000DA1E0000}"/>
    <cellStyle name="Currency 2 6" xfId="8147" xr:uid="{00000000-0005-0000-0000-0000DB1E0000}"/>
    <cellStyle name="Currency 2 7" xfId="8148" xr:uid="{00000000-0005-0000-0000-0000DC1E0000}"/>
    <cellStyle name="Currency 3" xfId="8149" xr:uid="{00000000-0005-0000-0000-0000DD1E0000}"/>
    <cellStyle name="Currency 3 2" xfId="8150" xr:uid="{00000000-0005-0000-0000-0000DE1E0000}"/>
    <cellStyle name="Currency 3 3" xfId="8151" xr:uid="{00000000-0005-0000-0000-0000DF1E0000}"/>
    <cellStyle name="Currency 3 4" xfId="8152" xr:uid="{00000000-0005-0000-0000-0000E01E0000}"/>
    <cellStyle name="Currency 4" xfId="8153" xr:uid="{00000000-0005-0000-0000-0000E11E0000}"/>
    <cellStyle name="Currency 5" xfId="8154" xr:uid="{00000000-0005-0000-0000-0000E21E0000}"/>
    <cellStyle name="Currency 6" xfId="8155" xr:uid="{00000000-0005-0000-0000-0000E31E0000}"/>
    <cellStyle name="Currency 7" xfId="8156" xr:uid="{00000000-0005-0000-0000-0000E41E0000}"/>
    <cellStyle name="Currency_ " xfId="58" xr:uid="{00000000-0005-0000-0000-0000E51E0000}"/>
    <cellStyle name="Currency0" xfId="59" xr:uid="{00000000-0005-0000-0000-0000E61E0000}"/>
    <cellStyle name="Currency0 10" xfId="8157" xr:uid="{00000000-0005-0000-0000-0000E71E0000}"/>
    <cellStyle name="Currency0 11" xfId="8158" xr:uid="{00000000-0005-0000-0000-0000E81E0000}"/>
    <cellStyle name="Currency0 12" xfId="8159" xr:uid="{00000000-0005-0000-0000-0000E91E0000}"/>
    <cellStyle name="Currency0 13" xfId="8160" xr:uid="{00000000-0005-0000-0000-0000EA1E0000}"/>
    <cellStyle name="Currency0 14" xfId="8161" xr:uid="{00000000-0005-0000-0000-0000EB1E0000}"/>
    <cellStyle name="Currency0 15" xfId="8162" xr:uid="{00000000-0005-0000-0000-0000EC1E0000}"/>
    <cellStyle name="Currency0 16" xfId="8163" xr:uid="{00000000-0005-0000-0000-0000ED1E0000}"/>
    <cellStyle name="Currency0 17" xfId="52816" xr:uid="{00000000-0005-0000-0000-0000EE1E0000}"/>
    <cellStyle name="Currency0 2" xfId="8164" xr:uid="{00000000-0005-0000-0000-0000EF1E0000}"/>
    <cellStyle name="Currency0 2 2" xfId="8165" xr:uid="{00000000-0005-0000-0000-0000F01E0000}"/>
    <cellStyle name="Currency0 2 3" xfId="8166" xr:uid="{00000000-0005-0000-0000-0000F11E0000}"/>
    <cellStyle name="Currency0 2 4" xfId="8167" xr:uid="{00000000-0005-0000-0000-0000F21E0000}"/>
    <cellStyle name="Currency0 2 5" xfId="8168" xr:uid="{00000000-0005-0000-0000-0000F31E0000}"/>
    <cellStyle name="Currency0 2 6" xfId="8169" xr:uid="{00000000-0005-0000-0000-0000F41E0000}"/>
    <cellStyle name="Currency0 3" xfId="8170" xr:uid="{00000000-0005-0000-0000-0000F51E0000}"/>
    <cellStyle name="Currency0 3 2" xfId="8171" xr:uid="{00000000-0005-0000-0000-0000F61E0000}"/>
    <cellStyle name="Currency0 3 3" xfId="8172" xr:uid="{00000000-0005-0000-0000-0000F71E0000}"/>
    <cellStyle name="Currency0 3 4" xfId="8173" xr:uid="{00000000-0005-0000-0000-0000F81E0000}"/>
    <cellStyle name="Currency0 4" xfId="8174" xr:uid="{00000000-0005-0000-0000-0000F91E0000}"/>
    <cellStyle name="Currency0 5" xfId="8175" xr:uid="{00000000-0005-0000-0000-0000FA1E0000}"/>
    <cellStyle name="Currency0 6" xfId="8176" xr:uid="{00000000-0005-0000-0000-0000FB1E0000}"/>
    <cellStyle name="Currency0 7" xfId="8177" xr:uid="{00000000-0005-0000-0000-0000FC1E0000}"/>
    <cellStyle name="Currency0 8" xfId="8178" xr:uid="{00000000-0005-0000-0000-0000FD1E0000}"/>
    <cellStyle name="Currency0 9" xfId="8179" xr:uid="{00000000-0005-0000-0000-0000FE1E0000}"/>
    <cellStyle name="Currency1" xfId="8180" xr:uid="{00000000-0005-0000-0000-0000FF1E0000}"/>
    <cellStyle name="Currency1 2" xfId="8181" xr:uid="{00000000-0005-0000-0000-0000001F0000}"/>
    <cellStyle name="Date" xfId="60" xr:uid="{00000000-0005-0000-0000-0000011F0000}"/>
    <cellStyle name="Date 2" xfId="8182" xr:uid="{00000000-0005-0000-0000-0000021F0000}"/>
    <cellStyle name="Dezimal [0]_20631" xfId="8183" xr:uid="{00000000-0005-0000-0000-0000031F0000}"/>
    <cellStyle name="Dezimal_20631" xfId="8184" xr:uid="{00000000-0005-0000-0000-0000041F0000}"/>
    <cellStyle name="Dollar (zero dec)" xfId="8185" xr:uid="{00000000-0005-0000-0000-0000051F0000}"/>
    <cellStyle name="Dollars" xfId="8186" xr:uid="{00000000-0005-0000-0000-0000061F0000}"/>
    <cellStyle name="Dollars(0)" xfId="8187" xr:uid="{00000000-0005-0000-0000-0000071F0000}"/>
    <cellStyle name="Dollars_C31-2501-D_EC-1_Reactor" xfId="8188" xr:uid="{00000000-0005-0000-0000-0000081F0000}"/>
    <cellStyle name="Euro" xfId="8189" xr:uid="{00000000-0005-0000-0000-0000091F0000}"/>
    <cellStyle name="Explanatory Text" xfId="8190" xr:uid="{00000000-0005-0000-0000-00000A1F0000}"/>
    <cellStyle name="Explanatory Text 2" xfId="8191" xr:uid="{00000000-0005-0000-0000-00000B1F0000}"/>
    <cellStyle name="F" xfId="8192" xr:uid="{00000000-0005-0000-0000-00000C1F0000}"/>
    <cellStyle name="F 2" xfId="8193" xr:uid="{00000000-0005-0000-0000-00000D1F0000}"/>
    <cellStyle name="F2" xfId="8194" xr:uid="{00000000-0005-0000-0000-00000E1F0000}"/>
    <cellStyle name="F2 2" xfId="8195" xr:uid="{00000000-0005-0000-0000-00000F1F0000}"/>
    <cellStyle name="F3" xfId="8196" xr:uid="{00000000-0005-0000-0000-0000101F0000}"/>
    <cellStyle name="F3 2" xfId="8197" xr:uid="{00000000-0005-0000-0000-0000111F0000}"/>
    <cellStyle name="F4" xfId="8198" xr:uid="{00000000-0005-0000-0000-0000121F0000}"/>
    <cellStyle name="F4 2" xfId="8199" xr:uid="{00000000-0005-0000-0000-0000131F0000}"/>
    <cellStyle name="F5" xfId="8200" xr:uid="{00000000-0005-0000-0000-0000141F0000}"/>
    <cellStyle name="F5 2" xfId="8201" xr:uid="{00000000-0005-0000-0000-0000151F0000}"/>
    <cellStyle name="F6" xfId="8202" xr:uid="{00000000-0005-0000-0000-0000161F0000}"/>
    <cellStyle name="F6 2" xfId="8203" xr:uid="{00000000-0005-0000-0000-0000171F0000}"/>
    <cellStyle name="F7" xfId="8204" xr:uid="{00000000-0005-0000-0000-0000181F0000}"/>
    <cellStyle name="F7 2" xfId="8205" xr:uid="{00000000-0005-0000-0000-0000191F0000}"/>
    <cellStyle name="F8" xfId="8206" xr:uid="{00000000-0005-0000-0000-00001A1F0000}"/>
    <cellStyle name="F8 2" xfId="8207" xr:uid="{00000000-0005-0000-0000-00001B1F0000}"/>
    <cellStyle name="Fixed" xfId="61" xr:uid="{00000000-0005-0000-0000-00001C1F0000}"/>
    <cellStyle name="Fixed 10" xfId="8208" xr:uid="{00000000-0005-0000-0000-00001D1F0000}"/>
    <cellStyle name="Fixed 11" xfId="8209" xr:uid="{00000000-0005-0000-0000-00001E1F0000}"/>
    <cellStyle name="Fixed 12" xfId="8210" xr:uid="{00000000-0005-0000-0000-00001F1F0000}"/>
    <cellStyle name="Fixed 13" xfId="8211" xr:uid="{00000000-0005-0000-0000-0000201F0000}"/>
    <cellStyle name="Fixed 14" xfId="8212" xr:uid="{00000000-0005-0000-0000-0000211F0000}"/>
    <cellStyle name="Fixed 15" xfId="8213" xr:uid="{00000000-0005-0000-0000-0000221F0000}"/>
    <cellStyle name="Fixed 16" xfId="8214" xr:uid="{00000000-0005-0000-0000-0000231F0000}"/>
    <cellStyle name="Fixed 17" xfId="52817" xr:uid="{00000000-0005-0000-0000-0000241F0000}"/>
    <cellStyle name="Fixed 2" xfId="8215" xr:uid="{00000000-0005-0000-0000-0000251F0000}"/>
    <cellStyle name="Fixed 2 2" xfId="8216" xr:uid="{00000000-0005-0000-0000-0000261F0000}"/>
    <cellStyle name="Fixed 2 3" xfId="8217" xr:uid="{00000000-0005-0000-0000-0000271F0000}"/>
    <cellStyle name="Fixed 2 4" xfId="8218" xr:uid="{00000000-0005-0000-0000-0000281F0000}"/>
    <cellStyle name="Fixed 2 5" xfId="8219" xr:uid="{00000000-0005-0000-0000-0000291F0000}"/>
    <cellStyle name="Fixed 3" xfId="8220" xr:uid="{00000000-0005-0000-0000-00002A1F0000}"/>
    <cellStyle name="Fixed 4" xfId="8221" xr:uid="{00000000-0005-0000-0000-00002B1F0000}"/>
    <cellStyle name="Fixed 5" xfId="8222" xr:uid="{00000000-0005-0000-0000-00002C1F0000}"/>
    <cellStyle name="Fixed 6" xfId="8223" xr:uid="{00000000-0005-0000-0000-00002D1F0000}"/>
    <cellStyle name="Fixed 7" xfId="8224" xr:uid="{00000000-0005-0000-0000-00002E1F0000}"/>
    <cellStyle name="Fixed 8" xfId="8225" xr:uid="{00000000-0005-0000-0000-00002F1F0000}"/>
    <cellStyle name="Fixed 9" xfId="8226" xr:uid="{00000000-0005-0000-0000-0000301F0000}"/>
    <cellStyle name="FORM" xfId="62" xr:uid="{00000000-0005-0000-0000-0000311F0000}"/>
    <cellStyle name="Good" xfId="8227" xr:uid="{00000000-0005-0000-0000-0000321F0000}"/>
    <cellStyle name="Good 2" xfId="63" xr:uid="{00000000-0005-0000-0000-0000331F0000}"/>
    <cellStyle name="Good 2 10" xfId="64" xr:uid="{00000000-0005-0000-0000-0000341F0000}"/>
    <cellStyle name="Good 2 11" xfId="65" xr:uid="{00000000-0005-0000-0000-0000351F0000}"/>
    <cellStyle name="Good 2 12" xfId="66" xr:uid="{00000000-0005-0000-0000-0000361F0000}"/>
    <cellStyle name="Good 2 13" xfId="67" xr:uid="{00000000-0005-0000-0000-0000371F0000}"/>
    <cellStyle name="Good 2 14" xfId="68" xr:uid="{00000000-0005-0000-0000-0000381F0000}"/>
    <cellStyle name="Good 2 15" xfId="69" xr:uid="{00000000-0005-0000-0000-0000391F0000}"/>
    <cellStyle name="Good 2 16" xfId="70" xr:uid="{00000000-0005-0000-0000-00003A1F0000}"/>
    <cellStyle name="Good 2 17" xfId="71" xr:uid="{00000000-0005-0000-0000-00003B1F0000}"/>
    <cellStyle name="Good 2 18" xfId="72" xr:uid="{00000000-0005-0000-0000-00003C1F0000}"/>
    <cellStyle name="Good 2 19" xfId="73" xr:uid="{00000000-0005-0000-0000-00003D1F0000}"/>
    <cellStyle name="Good 2 2" xfId="74" xr:uid="{00000000-0005-0000-0000-00003E1F0000}"/>
    <cellStyle name="Good 2 20" xfId="75" xr:uid="{00000000-0005-0000-0000-00003F1F0000}"/>
    <cellStyle name="Good 2 21" xfId="299" xr:uid="{00000000-0005-0000-0000-0000401F0000}"/>
    <cellStyle name="Good 2 22" xfId="8228" xr:uid="{00000000-0005-0000-0000-0000411F0000}"/>
    <cellStyle name="Good 2 23" xfId="8229" xr:uid="{00000000-0005-0000-0000-0000421F0000}"/>
    <cellStyle name="Good 2 24" xfId="8230" xr:uid="{00000000-0005-0000-0000-0000431F0000}"/>
    <cellStyle name="Good 2 25" xfId="8231" xr:uid="{00000000-0005-0000-0000-0000441F0000}"/>
    <cellStyle name="Good 2 26" xfId="8232" xr:uid="{00000000-0005-0000-0000-0000451F0000}"/>
    <cellStyle name="Good 2 3" xfId="76" xr:uid="{00000000-0005-0000-0000-0000461F0000}"/>
    <cellStyle name="Good 2 4" xfId="77" xr:uid="{00000000-0005-0000-0000-0000471F0000}"/>
    <cellStyle name="Good 2 5" xfId="78" xr:uid="{00000000-0005-0000-0000-0000481F0000}"/>
    <cellStyle name="Good 2 6" xfId="79" xr:uid="{00000000-0005-0000-0000-0000491F0000}"/>
    <cellStyle name="Good 2 7" xfId="80" xr:uid="{00000000-0005-0000-0000-00004A1F0000}"/>
    <cellStyle name="Good 2 8" xfId="81" xr:uid="{00000000-0005-0000-0000-00004B1F0000}"/>
    <cellStyle name="Good 2 9" xfId="82" xr:uid="{00000000-0005-0000-0000-00004C1F0000}"/>
    <cellStyle name="Grey" xfId="83" xr:uid="{00000000-0005-0000-0000-00004D1F0000}"/>
    <cellStyle name="Grey 2" xfId="8233" xr:uid="{00000000-0005-0000-0000-00004E1F0000}"/>
    <cellStyle name="Grey 3" xfId="8234" xr:uid="{00000000-0005-0000-0000-00004F1F0000}"/>
    <cellStyle name="Grey 4" xfId="8235" xr:uid="{00000000-0005-0000-0000-0000501F0000}"/>
    <cellStyle name="Grey 5" xfId="8236" xr:uid="{00000000-0005-0000-0000-0000511F0000}"/>
    <cellStyle name="Grey 6" xfId="8237" xr:uid="{00000000-0005-0000-0000-0000521F0000}"/>
    <cellStyle name="HEADER" xfId="8238" xr:uid="{00000000-0005-0000-0000-0000531F0000}"/>
    <cellStyle name="HEADER 2" xfId="8239" xr:uid="{00000000-0005-0000-0000-0000541F0000}"/>
    <cellStyle name="Header1" xfId="84" xr:uid="{00000000-0005-0000-0000-0000551F0000}"/>
    <cellStyle name="header1 2" xfId="8240" xr:uid="{00000000-0005-0000-0000-0000561F0000}"/>
    <cellStyle name="Header1 2 2" xfId="8241" xr:uid="{00000000-0005-0000-0000-0000571F0000}"/>
    <cellStyle name="Header1 2 3" xfId="8242" xr:uid="{00000000-0005-0000-0000-0000581F0000}"/>
    <cellStyle name="Header1 2 4" xfId="8243" xr:uid="{00000000-0005-0000-0000-0000591F0000}"/>
    <cellStyle name="Header1 2 5" xfId="8244" xr:uid="{00000000-0005-0000-0000-00005A1F0000}"/>
    <cellStyle name="Header1 2 6" xfId="8245" xr:uid="{00000000-0005-0000-0000-00005B1F0000}"/>
    <cellStyle name="header1 3" xfId="8246" xr:uid="{00000000-0005-0000-0000-00005C1F0000}"/>
    <cellStyle name="header1 4" xfId="8247" xr:uid="{00000000-0005-0000-0000-00005D1F0000}"/>
    <cellStyle name="header1 5" xfId="8248" xr:uid="{00000000-0005-0000-0000-00005E1F0000}"/>
    <cellStyle name="header1 6" xfId="8249" xr:uid="{00000000-0005-0000-0000-00005F1F0000}"/>
    <cellStyle name="Header2" xfId="85" xr:uid="{00000000-0005-0000-0000-0000601F0000}"/>
    <cellStyle name="header2 10" xfId="8250" xr:uid="{00000000-0005-0000-0000-0000611F0000}"/>
    <cellStyle name="Header2 2" xfId="8251" xr:uid="{00000000-0005-0000-0000-0000621F0000}"/>
    <cellStyle name="Header2 2 2" xfId="8252" xr:uid="{00000000-0005-0000-0000-0000631F0000}"/>
    <cellStyle name="Header2 2 2 2" xfId="8253" xr:uid="{00000000-0005-0000-0000-0000641F0000}"/>
    <cellStyle name="Header2 2 2 2 2" xfId="8254" xr:uid="{00000000-0005-0000-0000-0000651F0000}"/>
    <cellStyle name="Header2 2 2 3" xfId="8255" xr:uid="{00000000-0005-0000-0000-0000661F0000}"/>
    <cellStyle name="Header2 2 2 3 2" xfId="8256" xr:uid="{00000000-0005-0000-0000-0000671F0000}"/>
    <cellStyle name="Header2 2 2 4" xfId="8257" xr:uid="{00000000-0005-0000-0000-0000681F0000}"/>
    <cellStyle name="Header2 2 2 4 2" xfId="8258" xr:uid="{00000000-0005-0000-0000-0000691F0000}"/>
    <cellStyle name="Header2 2 2 5" xfId="8259" xr:uid="{00000000-0005-0000-0000-00006A1F0000}"/>
    <cellStyle name="Header2 2 3" xfId="8260" xr:uid="{00000000-0005-0000-0000-00006B1F0000}"/>
    <cellStyle name="Header2 2 4" xfId="8261" xr:uid="{00000000-0005-0000-0000-00006C1F0000}"/>
    <cellStyle name="Header2 2 5" xfId="8262" xr:uid="{00000000-0005-0000-0000-00006D1F0000}"/>
    <cellStyle name="Header2 2 6" xfId="8263" xr:uid="{00000000-0005-0000-0000-00006E1F0000}"/>
    <cellStyle name="Header2 3" xfId="8264" xr:uid="{00000000-0005-0000-0000-00006F1F0000}"/>
    <cellStyle name="Header2 3 2" xfId="8265" xr:uid="{00000000-0005-0000-0000-0000701F0000}"/>
    <cellStyle name="Header2 4" xfId="8266" xr:uid="{00000000-0005-0000-0000-0000711F0000}"/>
    <cellStyle name="Header2 4 2" xfId="8267" xr:uid="{00000000-0005-0000-0000-0000721F0000}"/>
    <cellStyle name="header2 5" xfId="8268" xr:uid="{00000000-0005-0000-0000-0000731F0000}"/>
    <cellStyle name="Header2 5 2" xfId="8269" xr:uid="{00000000-0005-0000-0000-0000741F0000}"/>
    <cellStyle name="header2 6" xfId="8270" xr:uid="{00000000-0005-0000-0000-0000751F0000}"/>
    <cellStyle name="header2 7" xfId="8271" xr:uid="{00000000-0005-0000-0000-0000761F0000}"/>
    <cellStyle name="header2 8" xfId="8272" xr:uid="{00000000-0005-0000-0000-0000771F0000}"/>
    <cellStyle name="Header2 9" xfId="8273" xr:uid="{00000000-0005-0000-0000-0000781F0000}"/>
    <cellStyle name="header3" xfId="8274" xr:uid="{00000000-0005-0000-0000-0000791F0000}"/>
    <cellStyle name="header3 2" xfId="8275" xr:uid="{00000000-0005-0000-0000-00007A1F0000}"/>
    <cellStyle name="heading" xfId="8276" xr:uid="{00000000-0005-0000-0000-00007B1F0000}"/>
    <cellStyle name="Heading 1" xfId="86" xr:uid="{00000000-0005-0000-0000-00007C1F0000}"/>
    <cellStyle name="Heading 1 10" xfId="8277" xr:uid="{00000000-0005-0000-0000-00007D1F0000}"/>
    <cellStyle name="Heading 1 11" xfId="8278" xr:uid="{00000000-0005-0000-0000-00007E1F0000}"/>
    <cellStyle name="Heading 1 12" xfId="52818" xr:uid="{00000000-0005-0000-0000-00007F1F0000}"/>
    <cellStyle name="Heading 1 2" xfId="8279" xr:uid="{00000000-0005-0000-0000-0000801F0000}"/>
    <cellStyle name="Heading 1 2 10" xfId="8280" xr:uid="{00000000-0005-0000-0000-0000811F0000}"/>
    <cellStyle name="Heading 1 2 2" xfId="8281" xr:uid="{00000000-0005-0000-0000-0000821F0000}"/>
    <cellStyle name="Heading 1 2 2 2" xfId="8282" xr:uid="{00000000-0005-0000-0000-0000831F0000}"/>
    <cellStyle name="Heading 1 2 2 3" xfId="8283" xr:uid="{00000000-0005-0000-0000-0000841F0000}"/>
    <cellStyle name="Heading 1 2 2 4" xfId="8284" xr:uid="{00000000-0005-0000-0000-0000851F0000}"/>
    <cellStyle name="Heading 1 2 2 5" xfId="8285" xr:uid="{00000000-0005-0000-0000-0000861F0000}"/>
    <cellStyle name="Heading 1 2 2 6" xfId="8286" xr:uid="{00000000-0005-0000-0000-0000871F0000}"/>
    <cellStyle name="Heading 1 2 3" xfId="8287" xr:uid="{00000000-0005-0000-0000-0000881F0000}"/>
    <cellStyle name="Heading 1 2 4" xfId="8288" xr:uid="{00000000-0005-0000-0000-0000891F0000}"/>
    <cellStyle name="Heading 1 2 5" xfId="8289" xr:uid="{00000000-0005-0000-0000-00008A1F0000}"/>
    <cellStyle name="Heading 1 2 6" xfId="8290" xr:uid="{00000000-0005-0000-0000-00008B1F0000}"/>
    <cellStyle name="Heading 1 2 7" xfId="8291" xr:uid="{00000000-0005-0000-0000-00008C1F0000}"/>
    <cellStyle name="Heading 1 2 8" xfId="8292" xr:uid="{00000000-0005-0000-0000-00008D1F0000}"/>
    <cellStyle name="Heading 1 2 9" xfId="8293" xr:uid="{00000000-0005-0000-0000-00008E1F0000}"/>
    <cellStyle name="Heading 1 3" xfId="8294" xr:uid="{00000000-0005-0000-0000-00008F1F0000}"/>
    <cellStyle name="Heading 1 3 2" xfId="8295" xr:uid="{00000000-0005-0000-0000-0000901F0000}"/>
    <cellStyle name="Heading 1 3 3" xfId="8296" xr:uid="{00000000-0005-0000-0000-0000911F0000}"/>
    <cellStyle name="Heading 1 3 4" xfId="8297" xr:uid="{00000000-0005-0000-0000-0000921F0000}"/>
    <cellStyle name="Heading 1 4" xfId="8298" xr:uid="{00000000-0005-0000-0000-0000931F0000}"/>
    <cellStyle name="Heading 1 5" xfId="8299" xr:uid="{00000000-0005-0000-0000-0000941F0000}"/>
    <cellStyle name="Heading 1 6" xfId="8300" xr:uid="{00000000-0005-0000-0000-0000951F0000}"/>
    <cellStyle name="Heading 1 7" xfId="8301" xr:uid="{00000000-0005-0000-0000-0000961F0000}"/>
    <cellStyle name="Heading 1 8" xfId="8302" xr:uid="{00000000-0005-0000-0000-0000971F0000}"/>
    <cellStyle name="Heading 1 9" xfId="8303" xr:uid="{00000000-0005-0000-0000-0000981F0000}"/>
    <cellStyle name="Heading 2" xfId="87" xr:uid="{00000000-0005-0000-0000-0000991F0000}"/>
    <cellStyle name="Heading 2 10" xfId="8304" xr:uid="{00000000-0005-0000-0000-00009A1F0000}"/>
    <cellStyle name="Heading 2 11" xfId="8305" xr:uid="{00000000-0005-0000-0000-00009B1F0000}"/>
    <cellStyle name="Heading 2 12" xfId="52819" xr:uid="{00000000-0005-0000-0000-00009C1F0000}"/>
    <cellStyle name="Heading 2 2" xfId="8306" xr:uid="{00000000-0005-0000-0000-00009D1F0000}"/>
    <cellStyle name="Heading 2 2 10" xfId="8307" xr:uid="{00000000-0005-0000-0000-00009E1F0000}"/>
    <cellStyle name="Heading 2 2 2" xfId="8308" xr:uid="{00000000-0005-0000-0000-00009F1F0000}"/>
    <cellStyle name="Heading 2 2 2 2" xfId="8309" xr:uid="{00000000-0005-0000-0000-0000A01F0000}"/>
    <cellStyle name="Heading 2 2 2 3" xfId="8310" xr:uid="{00000000-0005-0000-0000-0000A11F0000}"/>
    <cellStyle name="Heading 2 2 2 4" xfId="8311" xr:uid="{00000000-0005-0000-0000-0000A21F0000}"/>
    <cellStyle name="Heading 2 2 2 5" xfId="8312" xr:uid="{00000000-0005-0000-0000-0000A31F0000}"/>
    <cellStyle name="Heading 2 2 2 6" xfId="8313" xr:uid="{00000000-0005-0000-0000-0000A41F0000}"/>
    <cellStyle name="Heading 2 2 3" xfId="8314" xr:uid="{00000000-0005-0000-0000-0000A51F0000}"/>
    <cellStyle name="Heading 2 2 4" xfId="8315" xr:uid="{00000000-0005-0000-0000-0000A61F0000}"/>
    <cellStyle name="Heading 2 2 5" xfId="8316" xr:uid="{00000000-0005-0000-0000-0000A71F0000}"/>
    <cellStyle name="Heading 2 2 6" xfId="8317" xr:uid="{00000000-0005-0000-0000-0000A81F0000}"/>
    <cellStyle name="Heading 2 2 7" xfId="8318" xr:uid="{00000000-0005-0000-0000-0000A91F0000}"/>
    <cellStyle name="Heading 2 2 8" xfId="8319" xr:uid="{00000000-0005-0000-0000-0000AA1F0000}"/>
    <cellStyle name="Heading 2 2 9" xfId="8320" xr:uid="{00000000-0005-0000-0000-0000AB1F0000}"/>
    <cellStyle name="Heading 2 3" xfId="8321" xr:uid="{00000000-0005-0000-0000-0000AC1F0000}"/>
    <cellStyle name="Heading 2 3 2" xfId="8322" xr:uid="{00000000-0005-0000-0000-0000AD1F0000}"/>
    <cellStyle name="Heading 2 3 3" xfId="8323" xr:uid="{00000000-0005-0000-0000-0000AE1F0000}"/>
    <cellStyle name="Heading 2 3 4" xfId="8324" xr:uid="{00000000-0005-0000-0000-0000AF1F0000}"/>
    <cellStyle name="Heading 2 4" xfId="8325" xr:uid="{00000000-0005-0000-0000-0000B01F0000}"/>
    <cellStyle name="Heading 2 5" xfId="8326" xr:uid="{00000000-0005-0000-0000-0000B11F0000}"/>
    <cellStyle name="Heading 2 6" xfId="8327" xr:uid="{00000000-0005-0000-0000-0000B21F0000}"/>
    <cellStyle name="Heading 2 7" xfId="8328" xr:uid="{00000000-0005-0000-0000-0000B31F0000}"/>
    <cellStyle name="Heading 2 8" xfId="8329" xr:uid="{00000000-0005-0000-0000-0000B41F0000}"/>
    <cellStyle name="Heading 2 9" xfId="8330" xr:uid="{00000000-0005-0000-0000-0000B51F0000}"/>
    <cellStyle name="Heading 3" xfId="8331" xr:uid="{00000000-0005-0000-0000-0000B61F0000}"/>
    <cellStyle name="Heading 3 2" xfId="8332" xr:uid="{00000000-0005-0000-0000-0000B71F0000}"/>
    <cellStyle name="Heading 3 2 2" xfId="8333" xr:uid="{00000000-0005-0000-0000-0000B81F0000}"/>
    <cellStyle name="Heading 3 2 3" xfId="8334" xr:uid="{00000000-0005-0000-0000-0000B91F0000}"/>
    <cellStyle name="Heading 3 2 4" xfId="8335" xr:uid="{00000000-0005-0000-0000-0000BA1F0000}"/>
    <cellStyle name="Heading 3 2 5" xfId="8336" xr:uid="{00000000-0005-0000-0000-0000BB1F0000}"/>
    <cellStyle name="Heading 3 3" xfId="8337" xr:uid="{00000000-0005-0000-0000-0000BC1F0000}"/>
    <cellStyle name="Heading 3 4" xfId="8338" xr:uid="{00000000-0005-0000-0000-0000BD1F0000}"/>
    <cellStyle name="Heading 3 5" xfId="8339" xr:uid="{00000000-0005-0000-0000-0000BE1F0000}"/>
    <cellStyle name="Heading 3 6" xfId="8340" xr:uid="{00000000-0005-0000-0000-0000BF1F0000}"/>
    <cellStyle name="Heading 4" xfId="8341" xr:uid="{00000000-0005-0000-0000-0000C01F0000}"/>
    <cellStyle name="Heading 4 2" xfId="8342" xr:uid="{00000000-0005-0000-0000-0000C11F0000}"/>
    <cellStyle name="heading 5" xfId="8343" xr:uid="{00000000-0005-0000-0000-0000C21F0000}"/>
    <cellStyle name="heading 6" xfId="8344" xr:uid="{00000000-0005-0000-0000-0000C31F0000}"/>
    <cellStyle name="heading 7" xfId="8345" xr:uid="{00000000-0005-0000-0000-0000C41F0000}"/>
    <cellStyle name="Heading1" xfId="88" xr:uid="{00000000-0005-0000-0000-0000C51F0000}"/>
    <cellStyle name="HEADING1 2" xfId="8346" xr:uid="{00000000-0005-0000-0000-0000C61F0000}"/>
    <cellStyle name="HEADING1 2 2" xfId="8347" xr:uid="{00000000-0005-0000-0000-0000C71F0000}"/>
    <cellStyle name="HEADING1 2 3" xfId="8348" xr:uid="{00000000-0005-0000-0000-0000C81F0000}"/>
    <cellStyle name="HEADING1 2 4" xfId="8349" xr:uid="{00000000-0005-0000-0000-0000C91F0000}"/>
    <cellStyle name="HEADING1 2 5" xfId="8350" xr:uid="{00000000-0005-0000-0000-0000CA1F0000}"/>
    <cellStyle name="HEADING1 2 6" xfId="8351" xr:uid="{00000000-0005-0000-0000-0000CB1F0000}"/>
    <cellStyle name="HEADING1 3" xfId="8352" xr:uid="{00000000-0005-0000-0000-0000CC1F0000}"/>
    <cellStyle name="HEADING1 4" xfId="8353" xr:uid="{00000000-0005-0000-0000-0000CD1F0000}"/>
    <cellStyle name="HEADING1 5" xfId="8354" xr:uid="{00000000-0005-0000-0000-0000CE1F0000}"/>
    <cellStyle name="HEADING1 6" xfId="8355" xr:uid="{00000000-0005-0000-0000-0000CF1F0000}"/>
    <cellStyle name="Heading2" xfId="89" xr:uid="{00000000-0005-0000-0000-0000D01F0000}"/>
    <cellStyle name="HEADING2 2" xfId="8356" xr:uid="{00000000-0005-0000-0000-0000D11F0000}"/>
    <cellStyle name="HEADING2 2 2" xfId="8357" xr:uid="{00000000-0005-0000-0000-0000D21F0000}"/>
    <cellStyle name="HEADING2 2 3" xfId="8358" xr:uid="{00000000-0005-0000-0000-0000D31F0000}"/>
    <cellStyle name="HEADING2 2 4" xfId="8359" xr:uid="{00000000-0005-0000-0000-0000D41F0000}"/>
    <cellStyle name="HEADING2 2 5" xfId="8360" xr:uid="{00000000-0005-0000-0000-0000D51F0000}"/>
    <cellStyle name="HEADING2 2 6" xfId="8361" xr:uid="{00000000-0005-0000-0000-0000D61F0000}"/>
    <cellStyle name="HEADING2 3" xfId="8362" xr:uid="{00000000-0005-0000-0000-0000D71F0000}"/>
    <cellStyle name="HEADING2 4" xfId="8363" xr:uid="{00000000-0005-0000-0000-0000D81F0000}"/>
    <cellStyle name="HEADING2 5" xfId="8364" xr:uid="{00000000-0005-0000-0000-0000D91F0000}"/>
    <cellStyle name="HEADING2 6" xfId="8365" xr:uid="{00000000-0005-0000-0000-0000DA1F0000}"/>
    <cellStyle name="Helv8_PFD4.XLS" xfId="8366" xr:uid="{00000000-0005-0000-0000-0000DB1F0000}"/>
    <cellStyle name="Input" xfId="90" xr:uid="{00000000-0005-0000-0000-0000DC1F0000}"/>
    <cellStyle name="Input [yellow]" xfId="91" xr:uid="{00000000-0005-0000-0000-0000DD1F0000}"/>
    <cellStyle name="Input [yellow] 2" xfId="8367" xr:uid="{00000000-0005-0000-0000-0000DE1F0000}"/>
    <cellStyle name="Input [yellow] 2 2" xfId="8368" xr:uid="{00000000-0005-0000-0000-0000DF1F0000}"/>
    <cellStyle name="Input [yellow] 2 2 2" xfId="8369" xr:uid="{00000000-0005-0000-0000-0000E01F0000}"/>
    <cellStyle name="Input [yellow] 2 2 2 2" xfId="8370" xr:uid="{00000000-0005-0000-0000-0000E11F0000}"/>
    <cellStyle name="Input [yellow] 2 2 2 2 2" xfId="8371" xr:uid="{00000000-0005-0000-0000-0000E21F0000}"/>
    <cellStyle name="Input [yellow] 2 2 2 3" xfId="8372" xr:uid="{00000000-0005-0000-0000-0000E31F0000}"/>
    <cellStyle name="Input [yellow] 2 2 3" xfId="8373" xr:uid="{00000000-0005-0000-0000-0000E41F0000}"/>
    <cellStyle name="Input [yellow] 2 2 3 2" xfId="8374" xr:uid="{00000000-0005-0000-0000-0000E51F0000}"/>
    <cellStyle name="Input [yellow] 2 2 4" xfId="8375" xr:uid="{00000000-0005-0000-0000-0000E61F0000}"/>
    <cellStyle name="Input [yellow] 2 3" xfId="8376" xr:uid="{00000000-0005-0000-0000-0000E71F0000}"/>
    <cellStyle name="Input [yellow] 2 3 2" xfId="8377" xr:uid="{00000000-0005-0000-0000-0000E81F0000}"/>
    <cellStyle name="Input [yellow] 2 3 2 2" xfId="8378" xr:uid="{00000000-0005-0000-0000-0000E91F0000}"/>
    <cellStyle name="Input [yellow] 2 3 2 2 2" xfId="8379" xr:uid="{00000000-0005-0000-0000-0000EA1F0000}"/>
    <cellStyle name="Input [yellow] 2 3 2 3" xfId="8380" xr:uid="{00000000-0005-0000-0000-0000EB1F0000}"/>
    <cellStyle name="Input [yellow] 2 3 3" xfId="8381" xr:uid="{00000000-0005-0000-0000-0000EC1F0000}"/>
    <cellStyle name="Input [yellow] 2 3 3 2" xfId="8382" xr:uid="{00000000-0005-0000-0000-0000ED1F0000}"/>
    <cellStyle name="Input [yellow] 2 3 3 2 2" xfId="8383" xr:uid="{00000000-0005-0000-0000-0000EE1F0000}"/>
    <cellStyle name="Input [yellow] 2 3 3 2 2 2" xfId="8384" xr:uid="{00000000-0005-0000-0000-0000EF1F0000}"/>
    <cellStyle name="Input [yellow] 2 3 3 2 2 2 2" xfId="8385" xr:uid="{00000000-0005-0000-0000-0000F01F0000}"/>
    <cellStyle name="Input [yellow] 2 3 3 2 2 2 2 2" xfId="8386" xr:uid="{00000000-0005-0000-0000-0000F11F0000}"/>
    <cellStyle name="Input [yellow] 2 3 3 2 2 2 2 2 2" xfId="8387" xr:uid="{00000000-0005-0000-0000-0000F21F0000}"/>
    <cellStyle name="Input [yellow] 2 3 3 2 2 2 2 3" xfId="8388" xr:uid="{00000000-0005-0000-0000-0000F31F0000}"/>
    <cellStyle name="Input [yellow] 2 3 3 2 2 2 3" xfId="8389" xr:uid="{00000000-0005-0000-0000-0000F41F0000}"/>
    <cellStyle name="Input [yellow] 2 3 3 2 2 2 3 2" xfId="8390" xr:uid="{00000000-0005-0000-0000-0000F51F0000}"/>
    <cellStyle name="Input [yellow] 2 3 3 2 2 2 4" xfId="8391" xr:uid="{00000000-0005-0000-0000-0000F61F0000}"/>
    <cellStyle name="Input [yellow] 2 3 3 2 2 3" xfId="8392" xr:uid="{00000000-0005-0000-0000-0000F71F0000}"/>
    <cellStyle name="Input [yellow] 2 3 3 2 2 3 2" xfId="8393" xr:uid="{00000000-0005-0000-0000-0000F81F0000}"/>
    <cellStyle name="Input [yellow] 2 3 3 2 2 3 2 2" xfId="8394" xr:uid="{00000000-0005-0000-0000-0000F91F0000}"/>
    <cellStyle name="Input [yellow] 2 3 3 2 2 3 3" xfId="8395" xr:uid="{00000000-0005-0000-0000-0000FA1F0000}"/>
    <cellStyle name="Input [yellow] 2 3 3 2 2 4" xfId="8396" xr:uid="{00000000-0005-0000-0000-0000FB1F0000}"/>
    <cellStyle name="Input [yellow] 2 3 3 2 2 4 2" xfId="8397" xr:uid="{00000000-0005-0000-0000-0000FC1F0000}"/>
    <cellStyle name="Input [yellow] 2 3 3 2 2 5" xfId="8398" xr:uid="{00000000-0005-0000-0000-0000FD1F0000}"/>
    <cellStyle name="Input [yellow] 2 3 3 2 3" xfId="8399" xr:uid="{00000000-0005-0000-0000-0000FE1F0000}"/>
    <cellStyle name="Input [yellow] 2 3 3 2 3 2" xfId="8400" xr:uid="{00000000-0005-0000-0000-0000FF1F0000}"/>
    <cellStyle name="Input [yellow] 2 3 3 2 3 2 2" xfId="8401" xr:uid="{00000000-0005-0000-0000-000000200000}"/>
    <cellStyle name="Input [yellow] 2 3 3 2 3 2 2 2" xfId="8402" xr:uid="{00000000-0005-0000-0000-000001200000}"/>
    <cellStyle name="Input [yellow] 2 3 3 2 3 2 3" xfId="8403" xr:uid="{00000000-0005-0000-0000-000002200000}"/>
    <cellStyle name="Input [yellow] 2 3 3 2 3 3" xfId="8404" xr:uid="{00000000-0005-0000-0000-000003200000}"/>
    <cellStyle name="Input [yellow] 2 3 3 2 3 3 2" xfId="8405" xr:uid="{00000000-0005-0000-0000-000004200000}"/>
    <cellStyle name="Input [yellow] 2 3 3 2 3 4" xfId="8406" xr:uid="{00000000-0005-0000-0000-000005200000}"/>
    <cellStyle name="Input [yellow] 2 3 3 2 4" xfId="8407" xr:uid="{00000000-0005-0000-0000-000006200000}"/>
    <cellStyle name="Input [yellow] 2 3 3 2 4 2" xfId="8408" xr:uid="{00000000-0005-0000-0000-000007200000}"/>
    <cellStyle name="Input [yellow] 2 3 3 2 4 2 2" xfId="8409" xr:uid="{00000000-0005-0000-0000-000008200000}"/>
    <cellStyle name="Input [yellow] 2 3 3 2 4 3" xfId="8410" xr:uid="{00000000-0005-0000-0000-000009200000}"/>
    <cellStyle name="Input [yellow] 2 3 3 2 5" xfId="8411" xr:uid="{00000000-0005-0000-0000-00000A200000}"/>
    <cellStyle name="Input [yellow] 2 3 3 2 5 2" xfId="8412" xr:uid="{00000000-0005-0000-0000-00000B200000}"/>
    <cellStyle name="Input [yellow] 2 3 3 2 6" xfId="8413" xr:uid="{00000000-0005-0000-0000-00000C200000}"/>
    <cellStyle name="Input [yellow] 2 3 3 3" xfId="8414" xr:uid="{00000000-0005-0000-0000-00000D200000}"/>
    <cellStyle name="Input [yellow] 2 3 3 3 2" xfId="8415" xr:uid="{00000000-0005-0000-0000-00000E200000}"/>
    <cellStyle name="Input [yellow] 2 3 3 3 2 2" xfId="8416" xr:uid="{00000000-0005-0000-0000-00000F200000}"/>
    <cellStyle name="Input [yellow] 2 3 3 3 2 2 2" xfId="8417" xr:uid="{00000000-0005-0000-0000-000010200000}"/>
    <cellStyle name="Input [yellow] 2 3 3 3 2 2 2 2" xfId="8418" xr:uid="{00000000-0005-0000-0000-000011200000}"/>
    <cellStyle name="Input [yellow] 2 3 3 3 2 2 3" xfId="8419" xr:uid="{00000000-0005-0000-0000-000012200000}"/>
    <cellStyle name="Input [yellow] 2 3 3 3 2 3" xfId="8420" xr:uid="{00000000-0005-0000-0000-000013200000}"/>
    <cellStyle name="Input [yellow] 2 3 3 3 2 3 2" xfId="8421" xr:uid="{00000000-0005-0000-0000-000014200000}"/>
    <cellStyle name="Input [yellow] 2 3 3 3 2 4" xfId="8422" xr:uid="{00000000-0005-0000-0000-000015200000}"/>
    <cellStyle name="Input [yellow] 2 3 3 3 3" xfId="8423" xr:uid="{00000000-0005-0000-0000-000016200000}"/>
    <cellStyle name="Input [yellow] 2 3 3 3 3 2" xfId="8424" xr:uid="{00000000-0005-0000-0000-000017200000}"/>
    <cellStyle name="Input [yellow] 2 3 3 3 3 2 2" xfId="8425" xr:uid="{00000000-0005-0000-0000-000018200000}"/>
    <cellStyle name="Input [yellow] 2 3 3 3 3 3" xfId="8426" xr:uid="{00000000-0005-0000-0000-000019200000}"/>
    <cellStyle name="Input [yellow] 2 3 3 3 4" xfId="8427" xr:uid="{00000000-0005-0000-0000-00001A200000}"/>
    <cellStyle name="Input [yellow] 2 3 3 3 4 2" xfId="8428" xr:uid="{00000000-0005-0000-0000-00001B200000}"/>
    <cellStyle name="Input [yellow] 2 3 3 3 5" xfId="8429" xr:uid="{00000000-0005-0000-0000-00001C200000}"/>
    <cellStyle name="Input [yellow] 2 3 3 4" xfId="8430" xr:uid="{00000000-0005-0000-0000-00001D200000}"/>
    <cellStyle name="Input [yellow] 2 3 3 4 2" xfId="8431" xr:uid="{00000000-0005-0000-0000-00001E200000}"/>
    <cellStyle name="Input [yellow] 2 3 3 4 2 2" xfId="8432" xr:uid="{00000000-0005-0000-0000-00001F200000}"/>
    <cellStyle name="Input [yellow] 2 3 3 4 2 2 2" xfId="8433" xr:uid="{00000000-0005-0000-0000-000020200000}"/>
    <cellStyle name="Input [yellow] 2 3 3 4 2 3" xfId="8434" xr:uid="{00000000-0005-0000-0000-000021200000}"/>
    <cellStyle name="Input [yellow] 2 3 3 4 3" xfId="8435" xr:uid="{00000000-0005-0000-0000-000022200000}"/>
    <cellStyle name="Input [yellow] 2 3 3 4 3 2" xfId="8436" xr:uid="{00000000-0005-0000-0000-000023200000}"/>
    <cellStyle name="Input [yellow] 2 3 3 4 4" xfId="8437" xr:uid="{00000000-0005-0000-0000-000024200000}"/>
    <cellStyle name="Input [yellow] 2 3 3 5" xfId="8438" xr:uid="{00000000-0005-0000-0000-000025200000}"/>
    <cellStyle name="Input [yellow] 2 3 3 5 2" xfId="8439" xr:uid="{00000000-0005-0000-0000-000026200000}"/>
    <cellStyle name="Input [yellow] 2 3 3 5 2 2" xfId="8440" xr:uid="{00000000-0005-0000-0000-000027200000}"/>
    <cellStyle name="Input [yellow] 2 3 3 5 3" xfId="8441" xr:uid="{00000000-0005-0000-0000-000028200000}"/>
    <cellStyle name="Input [yellow] 2 3 3 6" xfId="8442" xr:uid="{00000000-0005-0000-0000-000029200000}"/>
    <cellStyle name="Input [yellow] 2 3 3 6 2" xfId="8443" xr:uid="{00000000-0005-0000-0000-00002A200000}"/>
    <cellStyle name="Input [yellow] 2 3 3 7" xfId="8444" xr:uid="{00000000-0005-0000-0000-00002B200000}"/>
    <cellStyle name="Input [yellow] 2 3 4" xfId="8445" xr:uid="{00000000-0005-0000-0000-00002C200000}"/>
    <cellStyle name="Input [yellow] 2 3 4 2" xfId="8446" xr:uid="{00000000-0005-0000-0000-00002D200000}"/>
    <cellStyle name="Input [yellow] 2 3 5" xfId="8447" xr:uid="{00000000-0005-0000-0000-00002E200000}"/>
    <cellStyle name="Input [yellow] 2 4" xfId="8448" xr:uid="{00000000-0005-0000-0000-00002F200000}"/>
    <cellStyle name="Input [yellow] 2 4 10" xfId="8449" xr:uid="{00000000-0005-0000-0000-000030200000}"/>
    <cellStyle name="Input [yellow] 2 4 2" xfId="8450" xr:uid="{00000000-0005-0000-0000-000031200000}"/>
    <cellStyle name="Input [yellow] 2 4 2 2" xfId="8451" xr:uid="{00000000-0005-0000-0000-000032200000}"/>
    <cellStyle name="Input [yellow] 2 4 2 2 2" xfId="8452" xr:uid="{00000000-0005-0000-0000-000033200000}"/>
    <cellStyle name="Input [yellow] 2 4 2 2 2 2" xfId="8453" xr:uid="{00000000-0005-0000-0000-000034200000}"/>
    <cellStyle name="Input [yellow] 2 4 2 2 2 2 2" xfId="8454" xr:uid="{00000000-0005-0000-0000-000035200000}"/>
    <cellStyle name="Input [yellow] 2 4 2 2 2 2 2 2" xfId="8455" xr:uid="{00000000-0005-0000-0000-000036200000}"/>
    <cellStyle name="Input [yellow] 2 4 2 2 2 2 2 2 2" xfId="8456" xr:uid="{00000000-0005-0000-0000-000037200000}"/>
    <cellStyle name="Input [yellow] 2 4 2 2 2 2 2 3" xfId="8457" xr:uid="{00000000-0005-0000-0000-000038200000}"/>
    <cellStyle name="Input [yellow] 2 4 2 2 2 2 3" xfId="8458" xr:uid="{00000000-0005-0000-0000-000039200000}"/>
    <cellStyle name="Input [yellow] 2 4 2 2 2 2 3 2" xfId="8459" xr:uid="{00000000-0005-0000-0000-00003A200000}"/>
    <cellStyle name="Input [yellow] 2 4 2 2 2 2 4" xfId="8460" xr:uid="{00000000-0005-0000-0000-00003B200000}"/>
    <cellStyle name="Input [yellow] 2 4 2 2 2 3" xfId="8461" xr:uid="{00000000-0005-0000-0000-00003C200000}"/>
    <cellStyle name="Input [yellow] 2 4 2 2 2 3 2" xfId="8462" xr:uid="{00000000-0005-0000-0000-00003D200000}"/>
    <cellStyle name="Input [yellow] 2 4 2 2 2 3 2 2" xfId="8463" xr:uid="{00000000-0005-0000-0000-00003E200000}"/>
    <cellStyle name="Input [yellow] 2 4 2 2 2 3 3" xfId="8464" xr:uid="{00000000-0005-0000-0000-00003F200000}"/>
    <cellStyle name="Input [yellow] 2 4 2 2 2 4" xfId="8465" xr:uid="{00000000-0005-0000-0000-000040200000}"/>
    <cellStyle name="Input [yellow] 2 4 2 2 2 4 2" xfId="8466" xr:uid="{00000000-0005-0000-0000-000041200000}"/>
    <cellStyle name="Input [yellow] 2 4 2 2 2 5" xfId="8467" xr:uid="{00000000-0005-0000-0000-000042200000}"/>
    <cellStyle name="Input [yellow] 2 4 2 2 3" xfId="8468" xr:uid="{00000000-0005-0000-0000-000043200000}"/>
    <cellStyle name="Input [yellow] 2 4 2 2 3 2" xfId="8469" xr:uid="{00000000-0005-0000-0000-000044200000}"/>
    <cellStyle name="Input [yellow] 2 4 2 2 3 2 2" xfId="8470" xr:uid="{00000000-0005-0000-0000-000045200000}"/>
    <cellStyle name="Input [yellow] 2 4 2 2 3 2 2 2" xfId="8471" xr:uid="{00000000-0005-0000-0000-000046200000}"/>
    <cellStyle name="Input [yellow] 2 4 2 2 3 2 3" xfId="8472" xr:uid="{00000000-0005-0000-0000-000047200000}"/>
    <cellStyle name="Input [yellow] 2 4 2 2 3 3" xfId="8473" xr:uid="{00000000-0005-0000-0000-000048200000}"/>
    <cellStyle name="Input [yellow] 2 4 2 2 3 3 2" xfId="8474" xr:uid="{00000000-0005-0000-0000-000049200000}"/>
    <cellStyle name="Input [yellow] 2 4 2 2 3 4" xfId="8475" xr:uid="{00000000-0005-0000-0000-00004A200000}"/>
    <cellStyle name="Input [yellow] 2 4 2 2 4" xfId="8476" xr:uid="{00000000-0005-0000-0000-00004B200000}"/>
    <cellStyle name="Input [yellow] 2 4 2 2 4 2" xfId="8477" xr:uid="{00000000-0005-0000-0000-00004C200000}"/>
    <cellStyle name="Input [yellow] 2 4 2 2 4 2 2" xfId="8478" xr:uid="{00000000-0005-0000-0000-00004D200000}"/>
    <cellStyle name="Input [yellow] 2 4 2 2 4 3" xfId="8479" xr:uid="{00000000-0005-0000-0000-00004E200000}"/>
    <cellStyle name="Input [yellow] 2 4 2 2 5" xfId="8480" xr:uid="{00000000-0005-0000-0000-00004F200000}"/>
    <cellStyle name="Input [yellow] 2 4 2 2 5 2" xfId="8481" xr:uid="{00000000-0005-0000-0000-000050200000}"/>
    <cellStyle name="Input [yellow] 2 4 2 2 6" xfId="8482" xr:uid="{00000000-0005-0000-0000-000051200000}"/>
    <cellStyle name="Input [yellow] 2 4 2 3" xfId="8483" xr:uid="{00000000-0005-0000-0000-000052200000}"/>
    <cellStyle name="Input [yellow] 2 4 2 3 2" xfId="8484" xr:uid="{00000000-0005-0000-0000-000053200000}"/>
    <cellStyle name="Input [yellow] 2 4 2 3 2 2" xfId="8485" xr:uid="{00000000-0005-0000-0000-000054200000}"/>
    <cellStyle name="Input [yellow] 2 4 2 3 2 2 2" xfId="8486" xr:uid="{00000000-0005-0000-0000-000055200000}"/>
    <cellStyle name="Input [yellow] 2 4 2 3 2 2 2 2" xfId="8487" xr:uid="{00000000-0005-0000-0000-000056200000}"/>
    <cellStyle name="Input [yellow] 2 4 2 3 2 2 3" xfId="8488" xr:uid="{00000000-0005-0000-0000-000057200000}"/>
    <cellStyle name="Input [yellow] 2 4 2 3 2 3" xfId="8489" xr:uid="{00000000-0005-0000-0000-000058200000}"/>
    <cellStyle name="Input [yellow] 2 4 2 3 2 3 2" xfId="8490" xr:uid="{00000000-0005-0000-0000-000059200000}"/>
    <cellStyle name="Input [yellow] 2 4 2 3 2 4" xfId="8491" xr:uid="{00000000-0005-0000-0000-00005A200000}"/>
    <cellStyle name="Input [yellow] 2 4 2 3 3" xfId="8492" xr:uid="{00000000-0005-0000-0000-00005B200000}"/>
    <cellStyle name="Input [yellow] 2 4 2 3 3 2" xfId="8493" xr:uid="{00000000-0005-0000-0000-00005C200000}"/>
    <cellStyle name="Input [yellow] 2 4 2 3 3 2 2" xfId="8494" xr:uid="{00000000-0005-0000-0000-00005D200000}"/>
    <cellStyle name="Input [yellow] 2 4 2 3 3 3" xfId="8495" xr:uid="{00000000-0005-0000-0000-00005E200000}"/>
    <cellStyle name="Input [yellow] 2 4 2 3 4" xfId="8496" xr:uid="{00000000-0005-0000-0000-00005F200000}"/>
    <cellStyle name="Input [yellow] 2 4 2 3 4 2" xfId="8497" xr:uid="{00000000-0005-0000-0000-000060200000}"/>
    <cellStyle name="Input [yellow] 2 4 2 3 5" xfId="8498" xr:uid="{00000000-0005-0000-0000-000061200000}"/>
    <cellStyle name="Input [yellow] 2 4 2 4" xfId="8499" xr:uid="{00000000-0005-0000-0000-000062200000}"/>
    <cellStyle name="Input [yellow] 2 4 2 4 2" xfId="8500" xr:uid="{00000000-0005-0000-0000-000063200000}"/>
    <cellStyle name="Input [yellow] 2 4 2 4 2 2" xfId="8501" xr:uid="{00000000-0005-0000-0000-000064200000}"/>
    <cellStyle name="Input [yellow] 2 4 2 4 2 2 2" xfId="8502" xr:uid="{00000000-0005-0000-0000-000065200000}"/>
    <cellStyle name="Input [yellow] 2 4 2 4 2 3" xfId="8503" xr:uid="{00000000-0005-0000-0000-000066200000}"/>
    <cellStyle name="Input [yellow] 2 4 2 4 3" xfId="8504" xr:uid="{00000000-0005-0000-0000-000067200000}"/>
    <cellStyle name="Input [yellow] 2 4 2 4 3 2" xfId="8505" xr:uid="{00000000-0005-0000-0000-000068200000}"/>
    <cellStyle name="Input [yellow] 2 4 2 4 4" xfId="8506" xr:uid="{00000000-0005-0000-0000-000069200000}"/>
    <cellStyle name="Input [yellow] 2 4 2 5" xfId="8507" xr:uid="{00000000-0005-0000-0000-00006A200000}"/>
    <cellStyle name="Input [yellow] 2 4 2 5 2" xfId="8508" xr:uid="{00000000-0005-0000-0000-00006B200000}"/>
    <cellStyle name="Input [yellow] 2 4 2 5 2 2" xfId="8509" xr:uid="{00000000-0005-0000-0000-00006C200000}"/>
    <cellStyle name="Input [yellow] 2 4 2 5 3" xfId="8510" xr:uid="{00000000-0005-0000-0000-00006D200000}"/>
    <cellStyle name="Input [yellow] 2 4 2 6" xfId="8511" xr:uid="{00000000-0005-0000-0000-00006E200000}"/>
    <cellStyle name="Input [yellow] 2 4 2 6 2" xfId="8512" xr:uid="{00000000-0005-0000-0000-00006F200000}"/>
    <cellStyle name="Input [yellow] 2 4 2 7" xfId="8513" xr:uid="{00000000-0005-0000-0000-000070200000}"/>
    <cellStyle name="Input [yellow] 2 4 3" xfId="8514" xr:uid="{00000000-0005-0000-0000-000071200000}"/>
    <cellStyle name="Input [yellow] 2 4 3 2" xfId="8515" xr:uid="{00000000-0005-0000-0000-000072200000}"/>
    <cellStyle name="Input [yellow] 2 4 3 2 2" xfId="8516" xr:uid="{00000000-0005-0000-0000-000073200000}"/>
    <cellStyle name="Input [yellow] 2 4 3 2 2 2" xfId="8517" xr:uid="{00000000-0005-0000-0000-000074200000}"/>
    <cellStyle name="Input [yellow] 2 4 3 2 2 2 2" xfId="8518" xr:uid="{00000000-0005-0000-0000-000075200000}"/>
    <cellStyle name="Input [yellow] 2 4 3 2 2 2 2 2" xfId="8519" xr:uid="{00000000-0005-0000-0000-000076200000}"/>
    <cellStyle name="Input [yellow] 2 4 3 2 2 2 2 2 2" xfId="8520" xr:uid="{00000000-0005-0000-0000-000077200000}"/>
    <cellStyle name="Input [yellow] 2 4 3 2 2 2 2 3" xfId="8521" xr:uid="{00000000-0005-0000-0000-000078200000}"/>
    <cellStyle name="Input [yellow] 2 4 3 2 2 2 3" xfId="8522" xr:uid="{00000000-0005-0000-0000-000079200000}"/>
    <cellStyle name="Input [yellow] 2 4 3 2 2 2 3 2" xfId="8523" xr:uid="{00000000-0005-0000-0000-00007A200000}"/>
    <cellStyle name="Input [yellow] 2 4 3 2 2 2 4" xfId="8524" xr:uid="{00000000-0005-0000-0000-00007B200000}"/>
    <cellStyle name="Input [yellow] 2 4 3 2 2 3" xfId="8525" xr:uid="{00000000-0005-0000-0000-00007C200000}"/>
    <cellStyle name="Input [yellow] 2 4 3 2 2 3 2" xfId="8526" xr:uid="{00000000-0005-0000-0000-00007D200000}"/>
    <cellStyle name="Input [yellow] 2 4 3 2 2 3 2 2" xfId="8527" xr:uid="{00000000-0005-0000-0000-00007E200000}"/>
    <cellStyle name="Input [yellow] 2 4 3 2 2 3 3" xfId="8528" xr:uid="{00000000-0005-0000-0000-00007F200000}"/>
    <cellStyle name="Input [yellow] 2 4 3 2 2 4" xfId="8529" xr:uid="{00000000-0005-0000-0000-000080200000}"/>
    <cellStyle name="Input [yellow] 2 4 3 2 2 4 2" xfId="8530" xr:uid="{00000000-0005-0000-0000-000081200000}"/>
    <cellStyle name="Input [yellow] 2 4 3 2 2 5" xfId="8531" xr:uid="{00000000-0005-0000-0000-000082200000}"/>
    <cellStyle name="Input [yellow] 2 4 3 2 3" xfId="8532" xr:uid="{00000000-0005-0000-0000-000083200000}"/>
    <cellStyle name="Input [yellow] 2 4 3 2 3 2" xfId="8533" xr:uid="{00000000-0005-0000-0000-000084200000}"/>
    <cellStyle name="Input [yellow] 2 4 3 2 3 2 2" xfId="8534" xr:uid="{00000000-0005-0000-0000-000085200000}"/>
    <cellStyle name="Input [yellow] 2 4 3 2 3 2 2 2" xfId="8535" xr:uid="{00000000-0005-0000-0000-000086200000}"/>
    <cellStyle name="Input [yellow] 2 4 3 2 3 2 3" xfId="8536" xr:uid="{00000000-0005-0000-0000-000087200000}"/>
    <cellStyle name="Input [yellow] 2 4 3 2 3 3" xfId="8537" xr:uid="{00000000-0005-0000-0000-000088200000}"/>
    <cellStyle name="Input [yellow] 2 4 3 2 3 3 2" xfId="8538" xr:uid="{00000000-0005-0000-0000-000089200000}"/>
    <cellStyle name="Input [yellow] 2 4 3 2 3 4" xfId="8539" xr:uid="{00000000-0005-0000-0000-00008A200000}"/>
    <cellStyle name="Input [yellow] 2 4 3 2 4" xfId="8540" xr:uid="{00000000-0005-0000-0000-00008B200000}"/>
    <cellStyle name="Input [yellow] 2 4 3 2 4 2" xfId="8541" xr:uid="{00000000-0005-0000-0000-00008C200000}"/>
    <cellStyle name="Input [yellow] 2 4 3 2 4 2 2" xfId="8542" xr:uid="{00000000-0005-0000-0000-00008D200000}"/>
    <cellStyle name="Input [yellow] 2 4 3 2 4 3" xfId="8543" xr:uid="{00000000-0005-0000-0000-00008E200000}"/>
    <cellStyle name="Input [yellow] 2 4 3 2 5" xfId="8544" xr:uid="{00000000-0005-0000-0000-00008F200000}"/>
    <cellStyle name="Input [yellow] 2 4 3 2 5 2" xfId="8545" xr:uid="{00000000-0005-0000-0000-000090200000}"/>
    <cellStyle name="Input [yellow] 2 4 3 2 6" xfId="8546" xr:uid="{00000000-0005-0000-0000-000091200000}"/>
    <cellStyle name="Input [yellow] 2 4 3 3" xfId="8547" xr:uid="{00000000-0005-0000-0000-000092200000}"/>
    <cellStyle name="Input [yellow] 2 4 3 3 2" xfId="8548" xr:uid="{00000000-0005-0000-0000-000093200000}"/>
    <cellStyle name="Input [yellow] 2 4 3 3 2 2" xfId="8549" xr:uid="{00000000-0005-0000-0000-000094200000}"/>
    <cellStyle name="Input [yellow] 2 4 3 3 2 2 2" xfId="8550" xr:uid="{00000000-0005-0000-0000-000095200000}"/>
    <cellStyle name="Input [yellow] 2 4 3 3 2 2 2 2" xfId="8551" xr:uid="{00000000-0005-0000-0000-000096200000}"/>
    <cellStyle name="Input [yellow] 2 4 3 3 2 2 3" xfId="8552" xr:uid="{00000000-0005-0000-0000-000097200000}"/>
    <cellStyle name="Input [yellow] 2 4 3 3 2 3" xfId="8553" xr:uid="{00000000-0005-0000-0000-000098200000}"/>
    <cellStyle name="Input [yellow] 2 4 3 3 2 3 2" xfId="8554" xr:uid="{00000000-0005-0000-0000-000099200000}"/>
    <cellStyle name="Input [yellow] 2 4 3 3 2 4" xfId="8555" xr:uid="{00000000-0005-0000-0000-00009A200000}"/>
    <cellStyle name="Input [yellow] 2 4 3 3 3" xfId="8556" xr:uid="{00000000-0005-0000-0000-00009B200000}"/>
    <cellStyle name="Input [yellow] 2 4 3 3 3 2" xfId="8557" xr:uid="{00000000-0005-0000-0000-00009C200000}"/>
    <cellStyle name="Input [yellow] 2 4 3 3 3 2 2" xfId="8558" xr:uid="{00000000-0005-0000-0000-00009D200000}"/>
    <cellStyle name="Input [yellow] 2 4 3 3 3 3" xfId="8559" xr:uid="{00000000-0005-0000-0000-00009E200000}"/>
    <cellStyle name="Input [yellow] 2 4 3 3 4" xfId="8560" xr:uid="{00000000-0005-0000-0000-00009F200000}"/>
    <cellStyle name="Input [yellow] 2 4 3 3 4 2" xfId="8561" xr:uid="{00000000-0005-0000-0000-0000A0200000}"/>
    <cellStyle name="Input [yellow] 2 4 3 3 5" xfId="8562" xr:uid="{00000000-0005-0000-0000-0000A1200000}"/>
    <cellStyle name="Input [yellow] 2 4 3 4" xfId="8563" xr:uid="{00000000-0005-0000-0000-0000A2200000}"/>
    <cellStyle name="Input [yellow] 2 4 3 4 2" xfId="8564" xr:uid="{00000000-0005-0000-0000-0000A3200000}"/>
    <cellStyle name="Input [yellow] 2 4 3 4 2 2" xfId="8565" xr:uid="{00000000-0005-0000-0000-0000A4200000}"/>
    <cellStyle name="Input [yellow] 2 4 3 4 2 2 2" xfId="8566" xr:uid="{00000000-0005-0000-0000-0000A5200000}"/>
    <cellStyle name="Input [yellow] 2 4 3 4 2 3" xfId="8567" xr:uid="{00000000-0005-0000-0000-0000A6200000}"/>
    <cellStyle name="Input [yellow] 2 4 3 4 3" xfId="8568" xr:uid="{00000000-0005-0000-0000-0000A7200000}"/>
    <cellStyle name="Input [yellow] 2 4 3 4 3 2" xfId="8569" xr:uid="{00000000-0005-0000-0000-0000A8200000}"/>
    <cellStyle name="Input [yellow] 2 4 3 4 4" xfId="8570" xr:uid="{00000000-0005-0000-0000-0000A9200000}"/>
    <cellStyle name="Input [yellow] 2 4 3 5" xfId="8571" xr:uid="{00000000-0005-0000-0000-0000AA200000}"/>
    <cellStyle name="Input [yellow] 2 4 3 5 2" xfId="8572" xr:uid="{00000000-0005-0000-0000-0000AB200000}"/>
    <cellStyle name="Input [yellow] 2 4 3 5 2 2" xfId="8573" xr:uid="{00000000-0005-0000-0000-0000AC200000}"/>
    <cellStyle name="Input [yellow] 2 4 3 5 3" xfId="8574" xr:uid="{00000000-0005-0000-0000-0000AD200000}"/>
    <cellStyle name="Input [yellow] 2 4 3 6" xfId="8575" xr:uid="{00000000-0005-0000-0000-0000AE200000}"/>
    <cellStyle name="Input [yellow] 2 4 3 6 2" xfId="8576" xr:uid="{00000000-0005-0000-0000-0000AF200000}"/>
    <cellStyle name="Input [yellow] 2 4 3 7" xfId="8577" xr:uid="{00000000-0005-0000-0000-0000B0200000}"/>
    <cellStyle name="Input [yellow] 2 4 4" xfId="8578" xr:uid="{00000000-0005-0000-0000-0000B1200000}"/>
    <cellStyle name="Input [yellow] 2 4 4 2" xfId="8579" xr:uid="{00000000-0005-0000-0000-0000B2200000}"/>
    <cellStyle name="Input [yellow] 2 4 4 2 2" xfId="8580" xr:uid="{00000000-0005-0000-0000-0000B3200000}"/>
    <cellStyle name="Input [yellow] 2 4 4 2 2 2" xfId="8581" xr:uid="{00000000-0005-0000-0000-0000B4200000}"/>
    <cellStyle name="Input [yellow] 2 4 4 2 2 2 2" xfId="8582" xr:uid="{00000000-0005-0000-0000-0000B5200000}"/>
    <cellStyle name="Input [yellow] 2 4 4 2 2 2 2 2" xfId="8583" xr:uid="{00000000-0005-0000-0000-0000B6200000}"/>
    <cellStyle name="Input [yellow] 2 4 4 2 2 2 2 2 2" xfId="8584" xr:uid="{00000000-0005-0000-0000-0000B7200000}"/>
    <cellStyle name="Input [yellow] 2 4 4 2 2 2 2 3" xfId="8585" xr:uid="{00000000-0005-0000-0000-0000B8200000}"/>
    <cellStyle name="Input [yellow] 2 4 4 2 2 2 3" xfId="8586" xr:uid="{00000000-0005-0000-0000-0000B9200000}"/>
    <cellStyle name="Input [yellow] 2 4 4 2 2 2 3 2" xfId="8587" xr:uid="{00000000-0005-0000-0000-0000BA200000}"/>
    <cellStyle name="Input [yellow] 2 4 4 2 2 2 4" xfId="8588" xr:uid="{00000000-0005-0000-0000-0000BB200000}"/>
    <cellStyle name="Input [yellow] 2 4 4 2 2 3" xfId="8589" xr:uid="{00000000-0005-0000-0000-0000BC200000}"/>
    <cellStyle name="Input [yellow] 2 4 4 2 2 3 2" xfId="8590" xr:uid="{00000000-0005-0000-0000-0000BD200000}"/>
    <cellStyle name="Input [yellow] 2 4 4 2 2 3 2 2" xfId="8591" xr:uid="{00000000-0005-0000-0000-0000BE200000}"/>
    <cellStyle name="Input [yellow] 2 4 4 2 2 3 3" xfId="8592" xr:uid="{00000000-0005-0000-0000-0000BF200000}"/>
    <cellStyle name="Input [yellow] 2 4 4 2 2 4" xfId="8593" xr:uid="{00000000-0005-0000-0000-0000C0200000}"/>
    <cellStyle name="Input [yellow] 2 4 4 2 2 4 2" xfId="8594" xr:uid="{00000000-0005-0000-0000-0000C1200000}"/>
    <cellStyle name="Input [yellow] 2 4 4 2 2 5" xfId="8595" xr:uid="{00000000-0005-0000-0000-0000C2200000}"/>
    <cellStyle name="Input [yellow] 2 4 4 2 3" xfId="8596" xr:uid="{00000000-0005-0000-0000-0000C3200000}"/>
    <cellStyle name="Input [yellow] 2 4 4 2 3 2" xfId="8597" xr:uid="{00000000-0005-0000-0000-0000C4200000}"/>
    <cellStyle name="Input [yellow] 2 4 4 2 3 2 2" xfId="8598" xr:uid="{00000000-0005-0000-0000-0000C5200000}"/>
    <cellStyle name="Input [yellow] 2 4 4 2 3 2 2 2" xfId="8599" xr:uid="{00000000-0005-0000-0000-0000C6200000}"/>
    <cellStyle name="Input [yellow] 2 4 4 2 3 2 3" xfId="8600" xr:uid="{00000000-0005-0000-0000-0000C7200000}"/>
    <cellStyle name="Input [yellow] 2 4 4 2 3 3" xfId="8601" xr:uid="{00000000-0005-0000-0000-0000C8200000}"/>
    <cellStyle name="Input [yellow] 2 4 4 2 3 3 2" xfId="8602" xr:uid="{00000000-0005-0000-0000-0000C9200000}"/>
    <cellStyle name="Input [yellow] 2 4 4 2 3 4" xfId="8603" xr:uid="{00000000-0005-0000-0000-0000CA200000}"/>
    <cellStyle name="Input [yellow] 2 4 4 2 4" xfId="8604" xr:uid="{00000000-0005-0000-0000-0000CB200000}"/>
    <cellStyle name="Input [yellow] 2 4 4 2 4 2" xfId="8605" xr:uid="{00000000-0005-0000-0000-0000CC200000}"/>
    <cellStyle name="Input [yellow] 2 4 4 2 4 2 2" xfId="8606" xr:uid="{00000000-0005-0000-0000-0000CD200000}"/>
    <cellStyle name="Input [yellow] 2 4 4 2 4 3" xfId="8607" xr:uid="{00000000-0005-0000-0000-0000CE200000}"/>
    <cellStyle name="Input [yellow] 2 4 4 2 5" xfId="8608" xr:uid="{00000000-0005-0000-0000-0000CF200000}"/>
    <cellStyle name="Input [yellow] 2 4 4 2 5 2" xfId="8609" xr:uid="{00000000-0005-0000-0000-0000D0200000}"/>
    <cellStyle name="Input [yellow] 2 4 4 2 6" xfId="8610" xr:uid="{00000000-0005-0000-0000-0000D1200000}"/>
    <cellStyle name="Input [yellow] 2 4 4 3" xfId="8611" xr:uid="{00000000-0005-0000-0000-0000D2200000}"/>
    <cellStyle name="Input [yellow] 2 4 4 3 2" xfId="8612" xr:uid="{00000000-0005-0000-0000-0000D3200000}"/>
    <cellStyle name="Input [yellow] 2 4 4 3 2 2" xfId="8613" xr:uid="{00000000-0005-0000-0000-0000D4200000}"/>
    <cellStyle name="Input [yellow] 2 4 4 3 2 2 2" xfId="8614" xr:uid="{00000000-0005-0000-0000-0000D5200000}"/>
    <cellStyle name="Input [yellow] 2 4 4 3 2 2 2 2" xfId="8615" xr:uid="{00000000-0005-0000-0000-0000D6200000}"/>
    <cellStyle name="Input [yellow] 2 4 4 3 2 2 3" xfId="8616" xr:uid="{00000000-0005-0000-0000-0000D7200000}"/>
    <cellStyle name="Input [yellow] 2 4 4 3 2 3" xfId="8617" xr:uid="{00000000-0005-0000-0000-0000D8200000}"/>
    <cellStyle name="Input [yellow] 2 4 4 3 2 3 2" xfId="8618" xr:uid="{00000000-0005-0000-0000-0000D9200000}"/>
    <cellStyle name="Input [yellow] 2 4 4 3 2 4" xfId="8619" xr:uid="{00000000-0005-0000-0000-0000DA200000}"/>
    <cellStyle name="Input [yellow] 2 4 4 3 3" xfId="8620" xr:uid="{00000000-0005-0000-0000-0000DB200000}"/>
    <cellStyle name="Input [yellow] 2 4 4 3 3 2" xfId="8621" xr:uid="{00000000-0005-0000-0000-0000DC200000}"/>
    <cellStyle name="Input [yellow] 2 4 4 3 3 2 2" xfId="8622" xr:uid="{00000000-0005-0000-0000-0000DD200000}"/>
    <cellStyle name="Input [yellow] 2 4 4 3 3 3" xfId="8623" xr:uid="{00000000-0005-0000-0000-0000DE200000}"/>
    <cellStyle name="Input [yellow] 2 4 4 3 4" xfId="8624" xr:uid="{00000000-0005-0000-0000-0000DF200000}"/>
    <cellStyle name="Input [yellow] 2 4 4 3 4 2" xfId="8625" xr:uid="{00000000-0005-0000-0000-0000E0200000}"/>
    <cellStyle name="Input [yellow] 2 4 4 3 5" xfId="8626" xr:uid="{00000000-0005-0000-0000-0000E1200000}"/>
    <cellStyle name="Input [yellow] 2 4 4 4" xfId="8627" xr:uid="{00000000-0005-0000-0000-0000E2200000}"/>
    <cellStyle name="Input [yellow] 2 4 4 4 2" xfId="8628" xr:uid="{00000000-0005-0000-0000-0000E3200000}"/>
    <cellStyle name="Input [yellow] 2 4 4 4 2 2" xfId="8629" xr:uid="{00000000-0005-0000-0000-0000E4200000}"/>
    <cellStyle name="Input [yellow] 2 4 4 4 2 2 2" xfId="8630" xr:uid="{00000000-0005-0000-0000-0000E5200000}"/>
    <cellStyle name="Input [yellow] 2 4 4 4 2 3" xfId="8631" xr:uid="{00000000-0005-0000-0000-0000E6200000}"/>
    <cellStyle name="Input [yellow] 2 4 4 4 3" xfId="8632" xr:uid="{00000000-0005-0000-0000-0000E7200000}"/>
    <cellStyle name="Input [yellow] 2 4 4 4 3 2" xfId="8633" xr:uid="{00000000-0005-0000-0000-0000E8200000}"/>
    <cellStyle name="Input [yellow] 2 4 4 4 4" xfId="8634" xr:uid="{00000000-0005-0000-0000-0000E9200000}"/>
    <cellStyle name="Input [yellow] 2 4 4 5" xfId="8635" xr:uid="{00000000-0005-0000-0000-0000EA200000}"/>
    <cellStyle name="Input [yellow] 2 4 4 5 2" xfId="8636" xr:uid="{00000000-0005-0000-0000-0000EB200000}"/>
    <cellStyle name="Input [yellow] 2 4 4 5 2 2" xfId="8637" xr:uid="{00000000-0005-0000-0000-0000EC200000}"/>
    <cellStyle name="Input [yellow] 2 4 4 5 3" xfId="8638" xr:uid="{00000000-0005-0000-0000-0000ED200000}"/>
    <cellStyle name="Input [yellow] 2 4 4 6" xfId="8639" xr:uid="{00000000-0005-0000-0000-0000EE200000}"/>
    <cellStyle name="Input [yellow] 2 4 4 6 2" xfId="8640" xr:uid="{00000000-0005-0000-0000-0000EF200000}"/>
    <cellStyle name="Input [yellow] 2 4 4 7" xfId="8641" xr:uid="{00000000-0005-0000-0000-0000F0200000}"/>
    <cellStyle name="Input [yellow] 2 4 5" xfId="8642" xr:uid="{00000000-0005-0000-0000-0000F1200000}"/>
    <cellStyle name="Input [yellow] 2 4 5 2" xfId="8643" xr:uid="{00000000-0005-0000-0000-0000F2200000}"/>
    <cellStyle name="Input [yellow] 2 4 5 2 2" xfId="8644" xr:uid="{00000000-0005-0000-0000-0000F3200000}"/>
    <cellStyle name="Input [yellow] 2 4 5 2 2 2" xfId="8645" xr:uid="{00000000-0005-0000-0000-0000F4200000}"/>
    <cellStyle name="Input [yellow] 2 4 5 2 2 2 2" xfId="8646" xr:uid="{00000000-0005-0000-0000-0000F5200000}"/>
    <cellStyle name="Input [yellow] 2 4 5 2 2 2 2 2" xfId="8647" xr:uid="{00000000-0005-0000-0000-0000F6200000}"/>
    <cellStyle name="Input [yellow] 2 4 5 2 2 2 3" xfId="8648" xr:uid="{00000000-0005-0000-0000-0000F7200000}"/>
    <cellStyle name="Input [yellow] 2 4 5 2 2 3" xfId="8649" xr:uid="{00000000-0005-0000-0000-0000F8200000}"/>
    <cellStyle name="Input [yellow] 2 4 5 2 2 3 2" xfId="8650" xr:uid="{00000000-0005-0000-0000-0000F9200000}"/>
    <cellStyle name="Input [yellow] 2 4 5 2 2 4" xfId="8651" xr:uid="{00000000-0005-0000-0000-0000FA200000}"/>
    <cellStyle name="Input [yellow] 2 4 5 2 3" xfId="8652" xr:uid="{00000000-0005-0000-0000-0000FB200000}"/>
    <cellStyle name="Input [yellow] 2 4 5 2 3 2" xfId="8653" xr:uid="{00000000-0005-0000-0000-0000FC200000}"/>
    <cellStyle name="Input [yellow] 2 4 5 2 3 2 2" xfId="8654" xr:uid="{00000000-0005-0000-0000-0000FD200000}"/>
    <cellStyle name="Input [yellow] 2 4 5 2 3 3" xfId="8655" xr:uid="{00000000-0005-0000-0000-0000FE200000}"/>
    <cellStyle name="Input [yellow] 2 4 5 2 4" xfId="8656" xr:uid="{00000000-0005-0000-0000-0000FF200000}"/>
    <cellStyle name="Input [yellow] 2 4 5 2 4 2" xfId="8657" xr:uid="{00000000-0005-0000-0000-000000210000}"/>
    <cellStyle name="Input [yellow] 2 4 5 2 5" xfId="8658" xr:uid="{00000000-0005-0000-0000-000001210000}"/>
    <cellStyle name="Input [yellow] 2 4 5 3" xfId="8659" xr:uid="{00000000-0005-0000-0000-000002210000}"/>
    <cellStyle name="Input [yellow] 2 4 5 3 2" xfId="8660" xr:uid="{00000000-0005-0000-0000-000003210000}"/>
    <cellStyle name="Input [yellow] 2 4 5 3 2 2" xfId="8661" xr:uid="{00000000-0005-0000-0000-000004210000}"/>
    <cellStyle name="Input [yellow] 2 4 5 3 2 2 2" xfId="8662" xr:uid="{00000000-0005-0000-0000-000005210000}"/>
    <cellStyle name="Input [yellow] 2 4 5 3 2 3" xfId="8663" xr:uid="{00000000-0005-0000-0000-000006210000}"/>
    <cellStyle name="Input [yellow] 2 4 5 3 3" xfId="8664" xr:uid="{00000000-0005-0000-0000-000007210000}"/>
    <cellStyle name="Input [yellow] 2 4 5 3 3 2" xfId="8665" xr:uid="{00000000-0005-0000-0000-000008210000}"/>
    <cellStyle name="Input [yellow] 2 4 5 3 4" xfId="8666" xr:uid="{00000000-0005-0000-0000-000009210000}"/>
    <cellStyle name="Input [yellow] 2 4 5 4" xfId="8667" xr:uid="{00000000-0005-0000-0000-00000A210000}"/>
    <cellStyle name="Input [yellow] 2 4 5 4 2" xfId="8668" xr:uid="{00000000-0005-0000-0000-00000B210000}"/>
    <cellStyle name="Input [yellow] 2 4 5 4 2 2" xfId="8669" xr:uid="{00000000-0005-0000-0000-00000C210000}"/>
    <cellStyle name="Input [yellow] 2 4 5 4 3" xfId="8670" xr:uid="{00000000-0005-0000-0000-00000D210000}"/>
    <cellStyle name="Input [yellow] 2 4 5 5" xfId="8671" xr:uid="{00000000-0005-0000-0000-00000E210000}"/>
    <cellStyle name="Input [yellow] 2 4 5 5 2" xfId="8672" xr:uid="{00000000-0005-0000-0000-00000F210000}"/>
    <cellStyle name="Input [yellow] 2 4 5 6" xfId="8673" xr:uid="{00000000-0005-0000-0000-000010210000}"/>
    <cellStyle name="Input [yellow] 2 4 6" xfId="8674" xr:uid="{00000000-0005-0000-0000-000011210000}"/>
    <cellStyle name="Input [yellow] 2 4 6 2" xfId="8675" xr:uid="{00000000-0005-0000-0000-000012210000}"/>
    <cellStyle name="Input [yellow] 2 4 6 2 2" xfId="8676" xr:uid="{00000000-0005-0000-0000-000013210000}"/>
    <cellStyle name="Input [yellow] 2 4 6 2 2 2" xfId="8677" xr:uid="{00000000-0005-0000-0000-000014210000}"/>
    <cellStyle name="Input [yellow] 2 4 6 2 2 2 2" xfId="8678" xr:uid="{00000000-0005-0000-0000-000015210000}"/>
    <cellStyle name="Input [yellow] 2 4 6 2 2 3" xfId="8679" xr:uid="{00000000-0005-0000-0000-000016210000}"/>
    <cellStyle name="Input [yellow] 2 4 6 2 3" xfId="8680" xr:uid="{00000000-0005-0000-0000-000017210000}"/>
    <cellStyle name="Input [yellow] 2 4 6 2 3 2" xfId="8681" xr:uid="{00000000-0005-0000-0000-000018210000}"/>
    <cellStyle name="Input [yellow] 2 4 6 2 4" xfId="8682" xr:uid="{00000000-0005-0000-0000-000019210000}"/>
    <cellStyle name="Input [yellow] 2 4 6 3" xfId="8683" xr:uid="{00000000-0005-0000-0000-00001A210000}"/>
    <cellStyle name="Input [yellow] 2 4 6 3 2" xfId="8684" xr:uid="{00000000-0005-0000-0000-00001B210000}"/>
    <cellStyle name="Input [yellow] 2 4 6 3 2 2" xfId="8685" xr:uid="{00000000-0005-0000-0000-00001C210000}"/>
    <cellStyle name="Input [yellow] 2 4 6 3 3" xfId="8686" xr:uid="{00000000-0005-0000-0000-00001D210000}"/>
    <cellStyle name="Input [yellow] 2 4 6 4" xfId="8687" xr:uid="{00000000-0005-0000-0000-00001E210000}"/>
    <cellStyle name="Input [yellow] 2 4 6 4 2" xfId="8688" xr:uid="{00000000-0005-0000-0000-00001F210000}"/>
    <cellStyle name="Input [yellow] 2 4 6 5" xfId="8689" xr:uid="{00000000-0005-0000-0000-000020210000}"/>
    <cellStyle name="Input [yellow] 2 4 7" xfId="8690" xr:uid="{00000000-0005-0000-0000-000021210000}"/>
    <cellStyle name="Input [yellow] 2 4 7 2" xfId="8691" xr:uid="{00000000-0005-0000-0000-000022210000}"/>
    <cellStyle name="Input [yellow] 2 4 7 2 2" xfId="8692" xr:uid="{00000000-0005-0000-0000-000023210000}"/>
    <cellStyle name="Input [yellow] 2 4 7 2 2 2" xfId="8693" xr:uid="{00000000-0005-0000-0000-000024210000}"/>
    <cellStyle name="Input [yellow] 2 4 7 2 3" xfId="8694" xr:uid="{00000000-0005-0000-0000-000025210000}"/>
    <cellStyle name="Input [yellow] 2 4 7 3" xfId="8695" xr:uid="{00000000-0005-0000-0000-000026210000}"/>
    <cellStyle name="Input [yellow] 2 4 7 3 2" xfId="8696" xr:uid="{00000000-0005-0000-0000-000027210000}"/>
    <cellStyle name="Input [yellow] 2 4 7 4" xfId="8697" xr:uid="{00000000-0005-0000-0000-000028210000}"/>
    <cellStyle name="Input [yellow] 2 4 8" xfId="8698" xr:uid="{00000000-0005-0000-0000-000029210000}"/>
    <cellStyle name="Input [yellow] 2 4 8 2" xfId="8699" xr:uid="{00000000-0005-0000-0000-00002A210000}"/>
    <cellStyle name="Input [yellow] 2 4 8 2 2" xfId="8700" xr:uid="{00000000-0005-0000-0000-00002B210000}"/>
    <cellStyle name="Input [yellow] 2 4 8 3" xfId="8701" xr:uid="{00000000-0005-0000-0000-00002C210000}"/>
    <cellStyle name="Input [yellow] 2 4 9" xfId="8702" xr:uid="{00000000-0005-0000-0000-00002D210000}"/>
    <cellStyle name="Input [yellow] 2 4 9 2" xfId="8703" xr:uid="{00000000-0005-0000-0000-00002E210000}"/>
    <cellStyle name="Input [yellow] 2 5" xfId="8704" xr:uid="{00000000-0005-0000-0000-00002F210000}"/>
    <cellStyle name="Input [yellow] 2 5 2" xfId="8705" xr:uid="{00000000-0005-0000-0000-000030210000}"/>
    <cellStyle name="Input [yellow] 2 5 2 2" xfId="8706" xr:uid="{00000000-0005-0000-0000-000031210000}"/>
    <cellStyle name="Input [yellow] 2 5 2 2 2" xfId="8707" xr:uid="{00000000-0005-0000-0000-000032210000}"/>
    <cellStyle name="Input [yellow] 2 5 2 2 2 2" xfId="8708" xr:uid="{00000000-0005-0000-0000-000033210000}"/>
    <cellStyle name="Input [yellow] 2 5 2 2 2 2 2" xfId="8709" xr:uid="{00000000-0005-0000-0000-000034210000}"/>
    <cellStyle name="Input [yellow] 2 5 2 2 2 2 2 2" xfId="8710" xr:uid="{00000000-0005-0000-0000-000035210000}"/>
    <cellStyle name="Input [yellow] 2 5 2 2 2 2 2 2 2" xfId="8711" xr:uid="{00000000-0005-0000-0000-000036210000}"/>
    <cellStyle name="Input [yellow] 2 5 2 2 2 2 2 3" xfId="8712" xr:uid="{00000000-0005-0000-0000-000037210000}"/>
    <cellStyle name="Input [yellow] 2 5 2 2 2 2 3" xfId="8713" xr:uid="{00000000-0005-0000-0000-000038210000}"/>
    <cellStyle name="Input [yellow] 2 5 2 2 2 2 3 2" xfId="8714" xr:uid="{00000000-0005-0000-0000-000039210000}"/>
    <cellStyle name="Input [yellow] 2 5 2 2 2 2 4" xfId="8715" xr:uid="{00000000-0005-0000-0000-00003A210000}"/>
    <cellStyle name="Input [yellow] 2 5 2 2 2 3" xfId="8716" xr:uid="{00000000-0005-0000-0000-00003B210000}"/>
    <cellStyle name="Input [yellow] 2 5 2 2 2 3 2" xfId="8717" xr:uid="{00000000-0005-0000-0000-00003C210000}"/>
    <cellStyle name="Input [yellow] 2 5 2 2 2 3 2 2" xfId="8718" xr:uid="{00000000-0005-0000-0000-00003D210000}"/>
    <cellStyle name="Input [yellow] 2 5 2 2 2 3 3" xfId="8719" xr:uid="{00000000-0005-0000-0000-00003E210000}"/>
    <cellStyle name="Input [yellow] 2 5 2 2 2 4" xfId="8720" xr:uid="{00000000-0005-0000-0000-00003F210000}"/>
    <cellStyle name="Input [yellow] 2 5 2 2 2 4 2" xfId="8721" xr:uid="{00000000-0005-0000-0000-000040210000}"/>
    <cellStyle name="Input [yellow] 2 5 2 2 2 5" xfId="8722" xr:uid="{00000000-0005-0000-0000-000041210000}"/>
    <cellStyle name="Input [yellow] 2 5 2 2 3" xfId="8723" xr:uid="{00000000-0005-0000-0000-000042210000}"/>
    <cellStyle name="Input [yellow] 2 5 2 2 3 2" xfId="8724" xr:uid="{00000000-0005-0000-0000-000043210000}"/>
    <cellStyle name="Input [yellow] 2 5 2 2 3 2 2" xfId="8725" xr:uid="{00000000-0005-0000-0000-000044210000}"/>
    <cellStyle name="Input [yellow] 2 5 2 2 3 2 2 2" xfId="8726" xr:uid="{00000000-0005-0000-0000-000045210000}"/>
    <cellStyle name="Input [yellow] 2 5 2 2 3 2 3" xfId="8727" xr:uid="{00000000-0005-0000-0000-000046210000}"/>
    <cellStyle name="Input [yellow] 2 5 2 2 3 3" xfId="8728" xr:uid="{00000000-0005-0000-0000-000047210000}"/>
    <cellStyle name="Input [yellow] 2 5 2 2 3 3 2" xfId="8729" xr:uid="{00000000-0005-0000-0000-000048210000}"/>
    <cellStyle name="Input [yellow] 2 5 2 2 3 4" xfId="8730" xr:uid="{00000000-0005-0000-0000-000049210000}"/>
    <cellStyle name="Input [yellow] 2 5 2 2 4" xfId="8731" xr:uid="{00000000-0005-0000-0000-00004A210000}"/>
    <cellStyle name="Input [yellow] 2 5 2 2 4 2" xfId="8732" xr:uid="{00000000-0005-0000-0000-00004B210000}"/>
    <cellStyle name="Input [yellow] 2 5 2 2 4 2 2" xfId="8733" xr:uid="{00000000-0005-0000-0000-00004C210000}"/>
    <cellStyle name="Input [yellow] 2 5 2 2 4 3" xfId="8734" xr:uid="{00000000-0005-0000-0000-00004D210000}"/>
    <cellStyle name="Input [yellow] 2 5 2 2 5" xfId="8735" xr:uid="{00000000-0005-0000-0000-00004E210000}"/>
    <cellStyle name="Input [yellow] 2 5 2 2 5 2" xfId="8736" xr:uid="{00000000-0005-0000-0000-00004F210000}"/>
    <cellStyle name="Input [yellow] 2 5 2 2 6" xfId="8737" xr:uid="{00000000-0005-0000-0000-000050210000}"/>
    <cellStyle name="Input [yellow] 2 5 2 3" xfId="8738" xr:uid="{00000000-0005-0000-0000-000051210000}"/>
    <cellStyle name="Input [yellow] 2 5 2 3 2" xfId="8739" xr:uid="{00000000-0005-0000-0000-000052210000}"/>
    <cellStyle name="Input [yellow] 2 5 2 3 2 2" xfId="8740" xr:uid="{00000000-0005-0000-0000-000053210000}"/>
    <cellStyle name="Input [yellow] 2 5 2 3 2 2 2" xfId="8741" xr:uid="{00000000-0005-0000-0000-000054210000}"/>
    <cellStyle name="Input [yellow] 2 5 2 3 2 2 2 2" xfId="8742" xr:uid="{00000000-0005-0000-0000-000055210000}"/>
    <cellStyle name="Input [yellow] 2 5 2 3 2 2 3" xfId="8743" xr:uid="{00000000-0005-0000-0000-000056210000}"/>
    <cellStyle name="Input [yellow] 2 5 2 3 2 3" xfId="8744" xr:uid="{00000000-0005-0000-0000-000057210000}"/>
    <cellStyle name="Input [yellow] 2 5 2 3 2 3 2" xfId="8745" xr:uid="{00000000-0005-0000-0000-000058210000}"/>
    <cellStyle name="Input [yellow] 2 5 2 3 2 4" xfId="8746" xr:uid="{00000000-0005-0000-0000-000059210000}"/>
    <cellStyle name="Input [yellow] 2 5 2 3 3" xfId="8747" xr:uid="{00000000-0005-0000-0000-00005A210000}"/>
    <cellStyle name="Input [yellow] 2 5 2 3 3 2" xfId="8748" xr:uid="{00000000-0005-0000-0000-00005B210000}"/>
    <cellStyle name="Input [yellow] 2 5 2 3 3 2 2" xfId="8749" xr:uid="{00000000-0005-0000-0000-00005C210000}"/>
    <cellStyle name="Input [yellow] 2 5 2 3 3 3" xfId="8750" xr:uid="{00000000-0005-0000-0000-00005D210000}"/>
    <cellStyle name="Input [yellow] 2 5 2 3 4" xfId="8751" xr:uid="{00000000-0005-0000-0000-00005E210000}"/>
    <cellStyle name="Input [yellow] 2 5 2 3 4 2" xfId="8752" xr:uid="{00000000-0005-0000-0000-00005F210000}"/>
    <cellStyle name="Input [yellow] 2 5 2 3 5" xfId="8753" xr:uid="{00000000-0005-0000-0000-000060210000}"/>
    <cellStyle name="Input [yellow] 2 5 2 4" xfId="8754" xr:uid="{00000000-0005-0000-0000-000061210000}"/>
    <cellStyle name="Input [yellow] 2 5 2 4 2" xfId="8755" xr:uid="{00000000-0005-0000-0000-000062210000}"/>
    <cellStyle name="Input [yellow] 2 5 2 4 2 2" xfId="8756" xr:uid="{00000000-0005-0000-0000-000063210000}"/>
    <cellStyle name="Input [yellow] 2 5 2 4 2 2 2" xfId="8757" xr:uid="{00000000-0005-0000-0000-000064210000}"/>
    <cellStyle name="Input [yellow] 2 5 2 4 2 3" xfId="8758" xr:uid="{00000000-0005-0000-0000-000065210000}"/>
    <cellStyle name="Input [yellow] 2 5 2 4 3" xfId="8759" xr:uid="{00000000-0005-0000-0000-000066210000}"/>
    <cellStyle name="Input [yellow] 2 5 2 4 3 2" xfId="8760" xr:uid="{00000000-0005-0000-0000-000067210000}"/>
    <cellStyle name="Input [yellow] 2 5 2 4 4" xfId="8761" xr:uid="{00000000-0005-0000-0000-000068210000}"/>
    <cellStyle name="Input [yellow] 2 5 2 5" xfId="8762" xr:uid="{00000000-0005-0000-0000-000069210000}"/>
    <cellStyle name="Input [yellow] 2 5 2 5 2" xfId="8763" xr:uid="{00000000-0005-0000-0000-00006A210000}"/>
    <cellStyle name="Input [yellow] 2 5 2 5 2 2" xfId="8764" xr:uid="{00000000-0005-0000-0000-00006B210000}"/>
    <cellStyle name="Input [yellow] 2 5 2 5 3" xfId="8765" xr:uid="{00000000-0005-0000-0000-00006C210000}"/>
    <cellStyle name="Input [yellow] 2 5 2 6" xfId="8766" xr:uid="{00000000-0005-0000-0000-00006D210000}"/>
    <cellStyle name="Input [yellow] 2 5 2 6 2" xfId="8767" xr:uid="{00000000-0005-0000-0000-00006E210000}"/>
    <cellStyle name="Input [yellow] 2 5 2 7" xfId="8768" xr:uid="{00000000-0005-0000-0000-00006F210000}"/>
    <cellStyle name="Input [yellow] 2 5 3" xfId="8769" xr:uid="{00000000-0005-0000-0000-000070210000}"/>
    <cellStyle name="Input [yellow] 2 5 3 2" xfId="8770" xr:uid="{00000000-0005-0000-0000-000071210000}"/>
    <cellStyle name="Input [yellow] 2 5 3 2 2" xfId="8771" xr:uid="{00000000-0005-0000-0000-000072210000}"/>
    <cellStyle name="Input [yellow] 2 5 3 2 2 2" xfId="8772" xr:uid="{00000000-0005-0000-0000-000073210000}"/>
    <cellStyle name="Input [yellow] 2 5 3 2 2 2 2" xfId="8773" xr:uid="{00000000-0005-0000-0000-000074210000}"/>
    <cellStyle name="Input [yellow] 2 5 3 2 2 2 2 2" xfId="8774" xr:uid="{00000000-0005-0000-0000-000075210000}"/>
    <cellStyle name="Input [yellow] 2 5 3 2 2 2 2 2 2" xfId="8775" xr:uid="{00000000-0005-0000-0000-000076210000}"/>
    <cellStyle name="Input [yellow] 2 5 3 2 2 2 2 3" xfId="8776" xr:uid="{00000000-0005-0000-0000-000077210000}"/>
    <cellStyle name="Input [yellow] 2 5 3 2 2 2 3" xfId="8777" xr:uid="{00000000-0005-0000-0000-000078210000}"/>
    <cellStyle name="Input [yellow] 2 5 3 2 2 2 3 2" xfId="8778" xr:uid="{00000000-0005-0000-0000-000079210000}"/>
    <cellStyle name="Input [yellow] 2 5 3 2 2 2 4" xfId="8779" xr:uid="{00000000-0005-0000-0000-00007A210000}"/>
    <cellStyle name="Input [yellow] 2 5 3 2 2 3" xfId="8780" xr:uid="{00000000-0005-0000-0000-00007B210000}"/>
    <cellStyle name="Input [yellow] 2 5 3 2 2 3 2" xfId="8781" xr:uid="{00000000-0005-0000-0000-00007C210000}"/>
    <cellStyle name="Input [yellow] 2 5 3 2 2 3 2 2" xfId="8782" xr:uid="{00000000-0005-0000-0000-00007D210000}"/>
    <cellStyle name="Input [yellow] 2 5 3 2 2 3 3" xfId="8783" xr:uid="{00000000-0005-0000-0000-00007E210000}"/>
    <cellStyle name="Input [yellow] 2 5 3 2 2 4" xfId="8784" xr:uid="{00000000-0005-0000-0000-00007F210000}"/>
    <cellStyle name="Input [yellow] 2 5 3 2 2 4 2" xfId="8785" xr:uid="{00000000-0005-0000-0000-000080210000}"/>
    <cellStyle name="Input [yellow] 2 5 3 2 2 5" xfId="8786" xr:uid="{00000000-0005-0000-0000-000081210000}"/>
    <cellStyle name="Input [yellow] 2 5 3 2 3" xfId="8787" xr:uid="{00000000-0005-0000-0000-000082210000}"/>
    <cellStyle name="Input [yellow] 2 5 3 2 3 2" xfId="8788" xr:uid="{00000000-0005-0000-0000-000083210000}"/>
    <cellStyle name="Input [yellow] 2 5 3 2 3 2 2" xfId="8789" xr:uid="{00000000-0005-0000-0000-000084210000}"/>
    <cellStyle name="Input [yellow] 2 5 3 2 3 2 2 2" xfId="8790" xr:uid="{00000000-0005-0000-0000-000085210000}"/>
    <cellStyle name="Input [yellow] 2 5 3 2 3 2 3" xfId="8791" xr:uid="{00000000-0005-0000-0000-000086210000}"/>
    <cellStyle name="Input [yellow] 2 5 3 2 3 3" xfId="8792" xr:uid="{00000000-0005-0000-0000-000087210000}"/>
    <cellStyle name="Input [yellow] 2 5 3 2 3 3 2" xfId="8793" xr:uid="{00000000-0005-0000-0000-000088210000}"/>
    <cellStyle name="Input [yellow] 2 5 3 2 3 4" xfId="8794" xr:uid="{00000000-0005-0000-0000-000089210000}"/>
    <cellStyle name="Input [yellow] 2 5 3 2 4" xfId="8795" xr:uid="{00000000-0005-0000-0000-00008A210000}"/>
    <cellStyle name="Input [yellow] 2 5 3 2 4 2" xfId="8796" xr:uid="{00000000-0005-0000-0000-00008B210000}"/>
    <cellStyle name="Input [yellow] 2 5 3 2 4 2 2" xfId="8797" xr:uid="{00000000-0005-0000-0000-00008C210000}"/>
    <cellStyle name="Input [yellow] 2 5 3 2 4 3" xfId="8798" xr:uid="{00000000-0005-0000-0000-00008D210000}"/>
    <cellStyle name="Input [yellow] 2 5 3 2 5" xfId="8799" xr:uid="{00000000-0005-0000-0000-00008E210000}"/>
    <cellStyle name="Input [yellow] 2 5 3 2 5 2" xfId="8800" xr:uid="{00000000-0005-0000-0000-00008F210000}"/>
    <cellStyle name="Input [yellow] 2 5 3 2 6" xfId="8801" xr:uid="{00000000-0005-0000-0000-000090210000}"/>
    <cellStyle name="Input [yellow] 2 5 3 3" xfId="8802" xr:uid="{00000000-0005-0000-0000-000091210000}"/>
    <cellStyle name="Input [yellow] 2 5 3 3 2" xfId="8803" xr:uid="{00000000-0005-0000-0000-000092210000}"/>
    <cellStyle name="Input [yellow] 2 5 3 3 2 2" xfId="8804" xr:uid="{00000000-0005-0000-0000-000093210000}"/>
    <cellStyle name="Input [yellow] 2 5 3 3 2 2 2" xfId="8805" xr:uid="{00000000-0005-0000-0000-000094210000}"/>
    <cellStyle name="Input [yellow] 2 5 3 3 2 2 2 2" xfId="8806" xr:uid="{00000000-0005-0000-0000-000095210000}"/>
    <cellStyle name="Input [yellow] 2 5 3 3 2 2 3" xfId="8807" xr:uid="{00000000-0005-0000-0000-000096210000}"/>
    <cellStyle name="Input [yellow] 2 5 3 3 2 3" xfId="8808" xr:uid="{00000000-0005-0000-0000-000097210000}"/>
    <cellStyle name="Input [yellow] 2 5 3 3 2 3 2" xfId="8809" xr:uid="{00000000-0005-0000-0000-000098210000}"/>
    <cellStyle name="Input [yellow] 2 5 3 3 2 4" xfId="8810" xr:uid="{00000000-0005-0000-0000-000099210000}"/>
    <cellStyle name="Input [yellow] 2 5 3 3 3" xfId="8811" xr:uid="{00000000-0005-0000-0000-00009A210000}"/>
    <cellStyle name="Input [yellow] 2 5 3 3 3 2" xfId="8812" xr:uid="{00000000-0005-0000-0000-00009B210000}"/>
    <cellStyle name="Input [yellow] 2 5 3 3 3 2 2" xfId="8813" xr:uid="{00000000-0005-0000-0000-00009C210000}"/>
    <cellStyle name="Input [yellow] 2 5 3 3 3 3" xfId="8814" xr:uid="{00000000-0005-0000-0000-00009D210000}"/>
    <cellStyle name="Input [yellow] 2 5 3 3 4" xfId="8815" xr:uid="{00000000-0005-0000-0000-00009E210000}"/>
    <cellStyle name="Input [yellow] 2 5 3 3 4 2" xfId="8816" xr:uid="{00000000-0005-0000-0000-00009F210000}"/>
    <cellStyle name="Input [yellow] 2 5 3 3 5" xfId="8817" xr:uid="{00000000-0005-0000-0000-0000A0210000}"/>
    <cellStyle name="Input [yellow] 2 5 3 4" xfId="8818" xr:uid="{00000000-0005-0000-0000-0000A1210000}"/>
    <cellStyle name="Input [yellow] 2 5 3 4 2" xfId="8819" xr:uid="{00000000-0005-0000-0000-0000A2210000}"/>
    <cellStyle name="Input [yellow] 2 5 3 4 2 2" xfId="8820" xr:uid="{00000000-0005-0000-0000-0000A3210000}"/>
    <cellStyle name="Input [yellow] 2 5 3 4 2 2 2" xfId="8821" xr:uid="{00000000-0005-0000-0000-0000A4210000}"/>
    <cellStyle name="Input [yellow] 2 5 3 4 2 3" xfId="8822" xr:uid="{00000000-0005-0000-0000-0000A5210000}"/>
    <cellStyle name="Input [yellow] 2 5 3 4 3" xfId="8823" xr:uid="{00000000-0005-0000-0000-0000A6210000}"/>
    <cellStyle name="Input [yellow] 2 5 3 4 3 2" xfId="8824" xr:uid="{00000000-0005-0000-0000-0000A7210000}"/>
    <cellStyle name="Input [yellow] 2 5 3 4 4" xfId="8825" xr:uid="{00000000-0005-0000-0000-0000A8210000}"/>
    <cellStyle name="Input [yellow] 2 5 3 5" xfId="8826" xr:uid="{00000000-0005-0000-0000-0000A9210000}"/>
    <cellStyle name="Input [yellow] 2 5 3 5 2" xfId="8827" xr:uid="{00000000-0005-0000-0000-0000AA210000}"/>
    <cellStyle name="Input [yellow] 2 5 3 5 2 2" xfId="8828" xr:uid="{00000000-0005-0000-0000-0000AB210000}"/>
    <cellStyle name="Input [yellow] 2 5 3 5 3" xfId="8829" xr:uid="{00000000-0005-0000-0000-0000AC210000}"/>
    <cellStyle name="Input [yellow] 2 5 3 6" xfId="8830" xr:uid="{00000000-0005-0000-0000-0000AD210000}"/>
    <cellStyle name="Input [yellow] 2 5 3 6 2" xfId="8831" xr:uid="{00000000-0005-0000-0000-0000AE210000}"/>
    <cellStyle name="Input [yellow] 2 5 3 7" xfId="8832" xr:uid="{00000000-0005-0000-0000-0000AF210000}"/>
    <cellStyle name="Input [yellow] 2 5 4" xfId="8833" xr:uid="{00000000-0005-0000-0000-0000B0210000}"/>
    <cellStyle name="Input [yellow] 2 5 4 2" xfId="8834" xr:uid="{00000000-0005-0000-0000-0000B1210000}"/>
    <cellStyle name="Input [yellow] 2 5 4 2 2" xfId="8835" xr:uid="{00000000-0005-0000-0000-0000B2210000}"/>
    <cellStyle name="Input [yellow] 2 5 4 2 2 2" xfId="8836" xr:uid="{00000000-0005-0000-0000-0000B3210000}"/>
    <cellStyle name="Input [yellow] 2 5 4 2 2 2 2" xfId="8837" xr:uid="{00000000-0005-0000-0000-0000B4210000}"/>
    <cellStyle name="Input [yellow] 2 5 4 2 2 2 2 2" xfId="8838" xr:uid="{00000000-0005-0000-0000-0000B5210000}"/>
    <cellStyle name="Input [yellow] 2 5 4 2 2 2 3" xfId="8839" xr:uid="{00000000-0005-0000-0000-0000B6210000}"/>
    <cellStyle name="Input [yellow] 2 5 4 2 2 3" xfId="8840" xr:uid="{00000000-0005-0000-0000-0000B7210000}"/>
    <cellStyle name="Input [yellow] 2 5 4 2 2 3 2" xfId="8841" xr:uid="{00000000-0005-0000-0000-0000B8210000}"/>
    <cellStyle name="Input [yellow] 2 5 4 2 2 4" xfId="8842" xr:uid="{00000000-0005-0000-0000-0000B9210000}"/>
    <cellStyle name="Input [yellow] 2 5 4 2 3" xfId="8843" xr:uid="{00000000-0005-0000-0000-0000BA210000}"/>
    <cellStyle name="Input [yellow] 2 5 4 2 3 2" xfId="8844" xr:uid="{00000000-0005-0000-0000-0000BB210000}"/>
    <cellStyle name="Input [yellow] 2 5 4 2 3 2 2" xfId="8845" xr:uid="{00000000-0005-0000-0000-0000BC210000}"/>
    <cellStyle name="Input [yellow] 2 5 4 2 3 3" xfId="8846" xr:uid="{00000000-0005-0000-0000-0000BD210000}"/>
    <cellStyle name="Input [yellow] 2 5 4 2 4" xfId="8847" xr:uid="{00000000-0005-0000-0000-0000BE210000}"/>
    <cellStyle name="Input [yellow] 2 5 4 2 4 2" xfId="8848" xr:uid="{00000000-0005-0000-0000-0000BF210000}"/>
    <cellStyle name="Input [yellow] 2 5 4 2 5" xfId="8849" xr:uid="{00000000-0005-0000-0000-0000C0210000}"/>
    <cellStyle name="Input [yellow] 2 5 4 3" xfId="8850" xr:uid="{00000000-0005-0000-0000-0000C1210000}"/>
    <cellStyle name="Input [yellow] 2 5 4 3 2" xfId="8851" xr:uid="{00000000-0005-0000-0000-0000C2210000}"/>
    <cellStyle name="Input [yellow] 2 5 4 3 2 2" xfId="8852" xr:uid="{00000000-0005-0000-0000-0000C3210000}"/>
    <cellStyle name="Input [yellow] 2 5 4 3 2 2 2" xfId="8853" xr:uid="{00000000-0005-0000-0000-0000C4210000}"/>
    <cellStyle name="Input [yellow] 2 5 4 3 2 3" xfId="8854" xr:uid="{00000000-0005-0000-0000-0000C5210000}"/>
    <cellStyle name="Input [yellow] 2 5 4 3 3" xfId="8855" xr:uid="{00000000-0005-0000-0000-0000C6210000}"/>
    <cellStyle name="Input [yellow] 2 5 4 3 3 2" xfId="8856" xr:uid="{00000000-0005-0000-0000-0000C7210000}"/>
    <cellStyle name="Input [yellow] 2 5 4 3 4" xfId="8857" xr:uid="{00000000-0005-0000-0000-0000C8210000}"/>
    <cellStyle name="Input [yellow] 2 5 4 4" xfId="8858" xr:uid="{00000000-0005-0000-0000-0000C9210000}"/>
    <cellStyle name="Input [yellow] 2 5 4 4 2" xfId="8859" xr:uid="{00000000-0005-0000-0000-0000CA210000}"/>
    <cellStyle name="Input [yellow] 2 5 4 4 2 2" xfId="8860" xr:uid="{00000000-0005-0000-0000-0000CB210000}"/>
    <cellStyle name="Input [yellow] 2 5 4 4 3" xfId="8861" xr:uid="{00000000-0005-0000-0000-0000CC210000}"/>
    <cellStyle name="Input [yellow] 2 5 4 5" xfId="8862" xr:uid="{00000000-0005-0000-0000-0000CD210000}"/>
    <cellStyle name="Input [yellow] 2 5 4 5 2" xfId="8863" xr:uid="{00000000-0005-0000-0000-0000CE210000}"/>
    <cellStyle name="Input [yellow] 2 5 4 6" xfId="8864" xr:uid="{00000000-0005-0000-0000-0000CF210000}"/>
    <cellStyle name="Input [yellow] 2 5 5" xfId="8865" xr:uid="{00000000-0005-0000-0000-0000D0210000}"/>
    <cellStyle name="Input [yellow] 2 5 5 2" xfId="8866" xr:uid="{00000000-0005-0000-0000-0000D1210000}"/>
    <cellStyle name="Input [yellow] 2 5 5 2 2" xfId="8867" xr:uid="{00000000-0005-0000-0000-0000D2210000}"/>
    <cellStyle name="Input [yellow] 2 5 5 2 2 2" xfId="8868" xr:uid="{00000000-0005-0000-0000-0000D3210000}"/>
    <cellStyle name="Input [yellow] 2 5 5 2 2 2 2" xfId="8869" xr:uid="{00000000-0005-0000-0000-0000D4210000}"/>
    <cellStyle name="Input [yellow] 2 5 5 2 2 3" xfId="8870" xr:uid="{00000000-0005-0000-0000-0000D5210000}"/>
    <cellStyle name="Input [yellow] 2 5 5 2 3" xfId="8871" xr:uid="{00000000-0005-0000-0000-0000D6210000}"/>
    <cellStyle name="Input [yellow] 2 5 5 2 3 2" xfId="8872" xr:uid="{00000000-0005-0000-0000-0000D7210000}"/>
    <cellStyle name="Input [yellow] 2 5 5 2 4" xfId="8873" xr:uid="{00000000-0005-0000-0000-0000D8210000}"/>
    <cellStyle name="Input [yellow] 2 5 5 3" xfId="8874" xr:uid="{00000000-0005-0000-0000-0000D9210000}"/>
    <cellStyle name="Input [yellow] 2 5 5 3 2" xfId="8875" xr:uid="{00000000-0005-0000-0000-0000DA210000}"/>
    <cellStyle name="Input [yellow] 2 5 5 3 2 2" xfId="8876" xr:uid="{00000000-0005-0000-0000-0000DB210000}"/>
    <cellStyle name="Input [yellow] 2 5 5 3 3" xfId="8877" xr:uid="{00000000-0005-0000-0000-0000DC210000}"/>
    <cellStyle name="Input [yellow] 2 5 5 4" xfId="8878" xr:uid="{00000000-0005-0000-0000-0000DD210000}"/>
    <cellStyle name="Input [yellow] 2 5 5 4 2" xfId="8879" xr:uid="{00000000-0005-0000-0000-0000DE210000}"/>
    <cellStyle name="Input [yellow] 2 5 5 5" xfId="8880" xr:uid="{00000000-0005-0000-0000-0000DF210000}"/>
    <cellStyle name="Input [yellow] 2 5 6" xfId="8881" xr:uid="{00000000-0005-0000-0000-0000E0210000}"/>
    <cellStyle name="Input [yellow] 2 5 6 2" xfId="8882" xr:uid="{00000000-0005-0000-0000-0000E1210000}"/>
    <cellStyle name="Input [yellow] 2 5 6 2 2" xfId="8883" xr:uid="{00000000-0005-0000-0000-0000E2210000}"/>
    <cellStyle name="Input [yellow] 2 5 6 2 2 2" xfId="8884" xr:uid="{00000000-0005-0000-0000-0000E3210000}"/>
    <cellStyle name="Input [yellow] 2 5 6 2 3" xfId="8885" xr:uid="{00000000-0005-0000-0000-0000E4210000}"/>
    <cellStyle name="Input [yellow] 2 5 6 3" xfId="8886" xr:uid="{00000000-0005-0000-0000-0000E5210000}"/>
    <cellStyle name="Input [yellow] 2 5 6 3 2" xfId="8887" xr:uid="{00000000-0005-0000-0000-0000E6210000}"/>
    <cellStyle name="Input [yellow] 2 5 6 4" xfId="8888" xr:uid="{00000000-0005-0000-0000-0000E7210000}"/>
    <cellStyle name="Input [yellow] 2 5 7" xfId="8889" xr:uid="{00000000-0005-0000-0000-0000E8210000}"/>
    <cellStyle name="Input [yellow] 2 5 7 2" xfId="8890" xr:uid="{00000000-0005-0000-0000-0000E9210000}"/>
    <cellStyle name="Input [yellow] 2 5 7 2 2" xfId="8891" xr:uid="{00000000-0005-0000-0000-0000EA210000}"/>
    <cellStyle name="Input [yellow] 2 5 7 3" xfId="8892" xr:uid="{00000000-0005-0000-0000-0000EB210000}"/>
    <cellStyle name="Input [yellow] 2 5 8" xfId="8893" xr:uid="{00000000-0005-0000-0000-0000EC210000}"/>
    <cellStyle name="Input [yellow] 2 5 8 2" xfId="8894" xr:uid="{00000000-0005-0000-0000-0000ED210000}"/>
    <cellStyle name="Input [yellow] 2 5 9" xfId="8895" xr:uid="{00000000-0005-0000-0000-0000EE210000}"/>
    <cellStyle name="Input [yellow] 2 6" xfId="8896" xr:uid="{00000000-0005-0000-0000-0000EF210000}"/>
    <cellStyle name="Input [yellow] 2 6 2" xfId="8897" xr:uid="{00000000-0005-0000-0000-0000F0210000}"/>
    <cellStyle name="Input [yellow] 2 6 2 2" xfId="8898" xr:uid="{00000000-0005-0000-0000-0000F1210000}"/>
    <cellStyle name="Input [yellow] 2 6 2 2 2" xfId="8899" xr:uid="{00000000-0005-0000-0000-0000F2210000}"/>
    <cellStyle name="Input [yellow] 2 6 2 2 2 2" xfId="8900" xr:uid="{00000000-0005-0000-0000-0000F3210000}"/>
    <cellStyle name="Input [yellow] 2 6 2 2 2 2 2" xfId="8901" xr:uid="{00000000-0005-0000-0000-0000F4210000}"/>
    <cellStyle name="Input [yellow] 2 6 2 2 2 2 2 2" xfId="8902" xr:uid="{00000000-0005-0000-0000-0000F5210000}"/>
    <cellStyle name="Input [yellow] 2 6 2 2 2 2 3" xfId="8903" xr:uid="{00000000-0005-0000-0000-0000F6210000}"/>
    <cellStyle name="Input [yellow] 2 6 2 2 2 3" xfId="8904" xr:uid="{00000000-0005-0000-0000-0000F7210000}"/>
    <cellStyle name="Input [yellow] 2 6 2 2 2 3 2" xfId="8905" xr:uid="{00000000-0005-0000-0000-0000F8210000}"/>
    <cellStyle name="Input [yellow] 2 6 2 2 2 4" xfId="8906" xr:uid="{00000000-0005-0000-0000-0000F9210000}"/>
    <cellStyle name="Input [yellow] 2 6 2 2 3" xfId="8907" xr:uid="{00000000-0005-0000-0000-0000FA210000}"/>
    <cellStyle name="Input [yellow] 2 6 2 2 3 2" xfId="8908" xr:uid="{00000000-0005-0000-0000-0000FB210000}"/>
    <cellStyle name="Input [yellow] 2 6 2 2 3 2 2" xfId="8909" xr:uid="{00000000-0005-0000-0000-0000FC210000}"/>
    <cellStyle name="Input [yellow] 2 6 2 2 3 3" xfId="8910" xr:uid="{00000000-0005-0000-0000-0000FD210000}"/>
    <cellStyle name="Input [yellow] 2 6 2 2 4" xfId="8911" xr:uid="{00000000-0005-0000-0000-0000FE210000}"/>
    <cellStyle name="Input [yellow] 2 6 2 2 4 2" xfId="8912" xr:uid="{00000000-0005-0000-0000-0000FF210000}"/>
    <cellStyle name="Input [yellow] 2 6 2 2 5" xfId="8913" xr:uid="{00000000-0005-0000-0000-000000220000}"/>
    <cellStyle name="Input [yellow] 2 6 2 3" xfId="8914" xr:uid="{00000000-0005-0000-0000-000001220000}"/>
    <cellStyle name="Input [yellow] 2 6 2 3 2" xfId="8915" xr:uid="{00000000-0005-0000-0000-000002220000}"/>
    <cellStyle name="Input [yellow] 2 6 2 3 2 2" xfId="8916" xr:uid="{00000000-0005-0000-0000-000003220000}"/>
    <cellStyle name="Input [yellow] 2 6 2 3 2 2 2" xfId="8917" xr:uid="{00000000-0005-0000-0000-000004220000}"/>
    <cellStyle name="Input [yellow] 2 6 2 3 2 3" xfId="8918" xr:uid="{00000000-0005-0000-0000-000005220000}"/>
    <cellStyle name="Input [yellow] 2 6 2 3 3" xfId="8919" xr:uid="{00000000-0005-0000-0000-000006220000}"/>
    <cellStyle name="Input [yellow] 2 6 2 3 3 2" xfId="8920" xr:uid="{00000000-0005-0000-0000-000007220000}"/>
    <cellStyle name="Input [yellow] 2 6 2 3 4" xfId="8921" xr:uid="{00000000-0005-0000-0000-000008220000}"/>
    <cellStyle name="Input [yellow] 2 6 2 4" xfId="8922" xr:uid="{00000000-0005-0000-0000-000009220000}"/>
    <cellStyle name="Input [yellow] 2 6 2 4 2" xfId="8923" xr:uid="{00000000-0005-0000-0000-00000A220000}"/>
    <cellStyle name="Input [yellow] 2 6 2 4 2 2" xfId="8924" xr:uid="{00000000-0005-0000-0000-00000B220000}"/>
    <cellStyle name="Input [yellow] 2 6 2 4 3" xfId="8925" xr:uid="{00000000-0005-0000-0000-00000C220000}"/>
    <cellStyle name="Input [yellow] 2 6 2 5" xfId="8926" xr:uid="{00000000-0005-0000-0000-00000D220000}"/>
    <cellStyle name="Input [yellow] 2 6 2 5 2" xfId="8927" xr:uid="{00000000-0005-0000-0000-00000E220000}"/>
    <cellStyle name="Input [yellow] 2 6 2 6" xfId="8928" xr:uid="{00000000-0005-0000-0000-00000F220000}"/>
    <cellStyle name="Input [yellow] 2 6 3" xfId="8929" xr:uid="{00000000-0005-0000-0000-000010220000}"/>
    <cellStyle name="Input [yellow] 2 6 3 2" xfId="8930" xr:uid="{00000000-0005-0000-0000-000011220000}"/>
    <cellStyle name="Input [yellow] 2 6 3 2 2" xfId="8931" xr:uid="{00000000-0005-0000-0000-000012220000}"/>
    <cellStyle name="Input [yellow] 2 6 3 2 2 2" xfId="8932" xr:uid="{00000000-0005-0000-0000-000013220000}"/>
    <cellStyle name="Input [yellow] 2 6 3 2 2 2 2" xfId="8933" xr:uid="{00000000-0005-0000-0000-000014220000}"/>
    <cellStyle name="Input [yellow] 2 6 3 2 2 3" xfId="8934" xr:uid="{00000000-0005-0000-0000-000015220000}"/>
    <cellStyle name="Input [yellow] 2 6 3 2 3" xfId="8935" xr:uid="{00000000-0005-0000-0000-000016220000}"/>
    <cellStyle name="Input [yellow] 2 6 3 2 3 2" xfId="8936" xr:uid="{00000000-0005-0000-0000-000017220000}"/>
    <cellStyle name="Input [yellow] 2 6 3 2 4" xfId="8937" xr:uid="{00000000-0005-0000-0000-000018220000}"/>
    <cellStyle name="Input [yellow] 2 6 3 3" xfId="8938" xr:uid="{00000000-0005-0000-0000-000019220000}"/>
    <cellStyle name="Input [yellow] 2 6 3 3 2" xfId="8939" xr:uid="{00000000-0005-0000-0000-00001A220000}"/>
    <cellStyle name="Input [yellow] 2 6 3 3 2 2" xfId="8940" xr:uid="{00000000-0005-0000-0000-00001B220000}"/>
    <cellStyle name="Input [yellow] 2 6 3 3 3" xfId="8941" xr:uid="{00000000-0005-0000-0000-00001C220000}"/>
    <cellStyle name="Input [yellow] 2 6 3 4" xfId="8942" xr:uid="{00000000-0005-0000-0000-00001D220000}"/>
    <cellStyle name="Input [yellow] 2 6 3 4 2" xfId="8943" xr:uid="{00000000-0005-0000-0000-00001E220000}"/>
    <cellStyle name="Input [yellow] 2 6 3 5" xfId="8944" xr:uid="{00000000-0005-0000-0000-00001F220000}"/>
    <cellStyle name="Input [yellow] 2 6 4" xfId="8945" xr:uid="{00000000-0005-0000-0000-000020220000}"/>
    <cellStyle name="Input [yellow] 2 6 4 2" xfId="8946" xr:uid="{00000000-0005-0000-0000-000021220000}"/>
    <cellStyle name="Input [yellow] 2 6 4 2 2" xfId="8947" xr:uid="{00000000-0005-0000-0000-000022220000}"/>
    <cellStyle name="Input [yellow] 2 6 4 2 2 2" xfId="8948" xr:uid="{00000000-0005-0000-0000-000023220000}"/>
    <cellStyle name="Input [yellow] 2 6 4 2 3" xfId="8949" xr:uid="{00000000-0005-0000-0000-000024220000}"/>
    <cellStyle name="Input [yellow] 2 6 4 3" xfId="8950" xr:uid="{00000000-0005-0000-0000-000025220000}"/>
    <cellStyle name="Input [yellow] 2 6 4 3 2" xfId="8951" xr:uid="{00000000-0005-0000-0000-000026220000}"/>
    <cellStyle name="Input [yellow] 2 6 4 4" xfId="8952" xr:uid="{00000000-0005-0000-0000-000027220000}"/>
    <cellStyle name="Input [yellow] 2 6 5" xfId="8953" xr:uid="{00000000-0005-0000-0000-000028220000}"/>
    <cellStyle name="Input [yellow] 2 6 5 2" xfId="8954" xr:uid="{00000000-0005-0000-0000-000029220000}"/>
    <cellStyle name="Input [yellow] 2 6 5 2 2" xfId="8955" xr:uid="{00000000-0005-0000-0000-00002A220000}"/>
    <cellStyle name="Input [yellow] 2 6 5 3" xfId="8956" xr:uid="{00000000-0005-0000-0000-00002B220000}"/>
    <cellStyle name="Input [yellow] 2 6 6" xfId="8957" xr:uid="{00000000-0005-0000-0000-00002C220000}"/>
    <cellStyle name="Input [yellow] 2 6 6 2" xfId="8958" xr:uid="{00000000-0005-0000-0000-00002D220000}"/>
    <cellStyle name="Input [yellow] 2 6 7" xfId="8959" xr:uid="{00000000-0005-0000-0000-00002E220000}"/>
    <cellStyle name="Input [yellow] 2 7" xfId="8960" xr:uid="{00000000-0005-0000-0000-00002F220000}"/>
    <cellStyle name="Input [yellow] 2 7 2" xfId="8961" xr:uid="{00000000-0005-0000-0000-000030220000}"/>
    <cellStyle name="Input [yellow] 2 7 2 2" xfId="8962" xr:uid="{00000000-0005-0000-0000-000031220000}"/>
    <cellStyle name="Input [yellow] 2 7 2 2 2" xfId="8963" xr:uid="{00000000-0005-0000-0000-000032220000}"/>
    <cellStyle name="Input [yellow] 2 7 2 2 2 2" xfId="8964" xr:uid="{00000000-0005-0000-0000-000033220000}"/>
    <cellStyle name="Input [yellow] 2 7 2 2 2 2 2" xfId="8965" xr:uid="{00000000-0005-0000-0000-000034220000}"/>
    <cellStyle name="Input [yellow] 2 7 2 2 2 3" xfId="8966" xr:uid="{00000000-0005-0000-0000-000035220000}"/>
    <cellStyle name="Input [yellow] 2 7 2 2 3" xfId="8967" xr:uid="{00000000-0005-0000-0000-000036220000}"/>
    <cellStyle name="Input [yellow] 2 7 2 2 3 2" xfId="8968" xr:uid="{00000000-0005-0000-0000-000037220000}"/>
    <cellStyle name="Input [yellow] 2 7 2 2 4" xfId="8969" xr:uid="{00000000-0005-0000-0000-000038220000}"/>
    <cellStyle name="Input [yellow] 2 7 2 3" xfId="8970" xr:uid="{00000000-0005-0000-0000-000039220000}"/>
    <cellStyle name="Input [yellow] 2 7 2 3 2" xfId="8971" xr:uid="{00000000-0005-0000-0000-00003A220000}"/>
    <cellStyle name="Input [yellow] 2 7 2 3 2 2" xfId="8972" xr:uid="{00000000-0005-0000-0000-00003B220000}"/>
    <cellStyle name="Input [yellow] 2 7 2 3 3" xfId="8973" xr:uid="{00000000-0005-0000-0000-00003C220000}"/>
    <cellStyle name="Input [yellow] 2 7 2 4" xfId="8974" xr:uid="{00000000-0005-0000-0000-00003D220000}"/>
    <cellStyle name="Input [yellow] 2 7 2 4 2" xfId="8975" xr:uid="{00000000-0005-0000-0000-00003E220000}"/>
    <cellStyle name="Input [yellow] 2 7 2 5" xfId="8976" xr:uid="{00000000-0005-0000-0000-00003F220000}"/>
    <cellStyle name="Input [yellow] 2 7 3" xfId="8977" xr:uid="{00000000-0005-0000-0000-000040220000}"/>
    <cellStyle name="Input [yellow] 2 7 3 2" xfId="8978" xr:uid="{00000000-0005-0000-0000-000041220000}"/>
    <cellStyle name="Input [yellow] 2 7 3 2 2" xfId="8979" xr:uid="{00000000-0005-0000-0000-000042220000}"/>
    <cellStyle name="Input [yellow] 2 7 3 2 2 2" xfId="8980" xr:uid="{00000000-0005-0000-0000-000043220000}"/>
    <cellStyle name="Input [yellow] 2 7 3 2 3" xfId="8981" xr:uid="{00000000-0005-0000-0000-000044220000}"/>
    <cellStyle name="Input [yellow] 2 7 3 3" xfId="8982" xr:uid="{00000000-0005-0000-0000-000045220000}"/>
    <cellStyle name="Input [yellow] 2 7 3 3 2" xfId="8983" xr:uid="{00000000-0005-0000-0000-000046220000}"/>
    <cellStyle name="Input [yellow] 2 7 3 4" xfId="8984" xr:uid="{00000000-0005-0000-0000-000047220000}"/>
    <cellStyle name="Input [yellow] 2 7 4" xfId="8985" xr:uid="{00000000-0005-0000-0000-000048220000}"/>
    <cellStyle name="Input [yellow] 2 7 4 2" xfId="8986" xr:uid="{00000000-0005-0000-0000-000049220000}"/>
    <cellStyle name="Input [yellow] 2 7 4 2 2" xfId="8987" xr:uid="{00000000-0005-0000-0000-00004A220000}"/>
    <cellStyle name="Input [yellow] 2 7 4 3" xfId="8988" xr:uid="{00000000-0005-0000-0000-00004B220000}"/>
    <cellStyle name="Input [yellow] 2 7 5" xfId="8989" xr:uid="{00000000-0005-0000-0000-00004C220000}"/>
    <cellStyle name="Input [yellow] 2 7 5 2" xfId="8990" xr:uid="{00000000-0005-0000-0000-00004D220000}"/>
    <cellStyle name="Input [yellow] 2 7 6" xfId="8991" xr:uid="{00000000-0005-0000-0000-00004E220000}"/>
    <cellStyle name="Input [yellow] 2 8" xfId="8992" xr:uid="{00000000-0005-0000-0000-00004F220000}"/>
    <cellStyle name="Input [yellow] 2 8 2" xfId="8993" xr:uid="{00000000-0005-0000-0000-000050220000}"/>
    <cellStyle name="Input [yellow] 2 9" xfId="8994" xr:uid="{00000000-0005-0000-0000-000051220000}"/>
    <cellStyle name="Input [yellow] 3" xfId="8995" xr:uid="{00000000-0005-0000-0000-000052220000}"/>
    <cellStyle name="Input [yellow] 3 2" xfId="8996" xr:uid="{00000000-0005-0000-0000-000053220000}"/>
    <cellStyle name="Input [yellow] 3 2 2" xfId="8997" xr:uid="{00000000-0005-0000-0000-000054220000}"/>
    <cellStyle name="Input [yellow] 3 2 2 2" xfId="8998" xr:uid="{00000000-0005-0000-0000-000055220000}"/>
    <cellStyle name="Input [yellow] 3 2 3" xfId="8999" xr:uid="{00000000-0005-0000-0000-000056220000}"/>
    <cellStyle name="Input [yellow] 3 3" xfId="9000" xr:uid="{00000000-0005-0000-0000-000057220000}"/>
    <cellStyle name="Input [yellow] 3 3 2" xfId="9001" xr:uid="{00000000-0005-0000-0000-000058220000}"/>
    <cellStyle name="Input [yellow] 3 4" xfId="9002" xr:uid="{00000000-0005-0000-0000-000059220000}"/>
    <cellStyle name="Input [yellow] 4" xfId="9003" xr:uid="{00000000-0005-0000-0000-00005A220000}"/>
    <cellStyle name="Input [yellow] 4 2" xfId="9004" xr:uid="{00000000-0005-0000-0000-00005B220000}"/>
    <cellStyle name="Input [yellow] 4 2 2" xfId="9005" xr:uid="{00000000-0005-0000-0000-00005C220000}"/>
    <cellStyle name="Input [yellow] 4 3" xfId="9006" xr:uid="{00000000-0005-0000-0000-00005D220000}"/>
    <cellStyle name="Input [yellow] 5" xfId="9007" xr:uid="{00000000-0005-0000-0000-00005E220000}"/>
    <cellStyle name="Input [yellow] 5 2" xfId="9008" xr:uid="{00000000-0005-0000-0000-00005F220000}"/>
    <cellStyle name="Input [yellow] 6" xfId="9009" xr:uid="{00000000-0005-0000-0000-000060220000}"/>
    <cellStyle name="Input [yellow] 7" xfId="9010" xr:uid="{00000000-0005-0000-0000-000061220000}"/>
    <cellStyle name="Input [yellow] 8" xfId="9011" xr:uid="{00000000-0005-0000-0000-000062220000}"/>
    <cellStyle name="Input 10" xfId="9012" xr:uid="{00000000-0005-0000-0000-000063220000}"/>
    <cellStyle name="Input 10 10" xfId="9013" xr:uid="{00000000-0005-0000-0000-000064220000}"/>
    <cellStyle name="Input 10 11" xfId="9014" xr:uid="{00000000-0005-0000-0000-000065220000}"/>
    <cellStyle name="Input 10 12" xfId="9015" xr:uid="{00000000-0005-0000-0000-000066220000}"/>
    <cellStyle name="Input 10 2" xfId="9016" xr:uid="{00000000-0005-0000-0000-000067220000}"/>
    <cellStyle name="Input 10 2 10" xfId="9017" xr:uid="{00000000-0005-0000-0000-000068220000}"/>
    <cellStyle name="Input 10 2 11" xfId="9018" xr:uid="{00000000-0005-0000-0000-000069220000}"/>
    <cellStyle name="Input 10 2 12" xfId="9019" xr:uid="{00000000-0005-0000-0000-00006A220000}"/>
    <cellStyle name="Input 10 2 2" xfId="9020" xr:uid="{00000000-0005-0000-0000-00006B220000}"/>
    <cellStyle name="Input 10 2 2 10" xfId="9021" xr:uid="{00000000-0005-0000-0000-00006C220000}"/>
    <cellStyle name="Input 10 2 2 11" xfId="9022" xr:uid="{00000000-0005-0000-0000-00006D220000}"/>
    <cellStyle name="Input 10 2 2 2" xfId="9023" xr:uid="{00000000-0005-0000-0000-00006E220000}"/>
    <cellStyle name="Input 10 2 2 2 10" xfId="9024" xr:uid="{00000000-0005-0000-0000-00006F220000}"/>
    <cellStyle name="Input 10 2 2 2 2" xfId="9025" xr:uid="{00000000-0005-0000-0000-000070220000}"/>
    <cellStyle name="Input 10 2 2 2 2 2" xfId="9026" xr:uid="{00000000-0005-0000-0000-000071220000}"/>
    <cellStyle name="Input 10 2 2 2 2 2 2" xfId="9027" xr:uid="{00000000-0005-0000-0000-000072220000}"/>
    <cellStyle name="Input 10 2 2 2 2 2 2 2" xfId="9028" xr:uid="{00000000-0005-0000-0000-000073220000}"/>
    <cellStyle name="Input 10 2 2 2 2 2 2 2 2" xfId="9029" xr:uid="{00000000-0005-0000-0000-000074220000}"/>
    <cellStyle name="Input 10 2 2 2 2 2 2 3" xfId="9030" xr:uid="{00000000-0005-0000-0000-000075220000}"/>
    <cellStyle name="Input 10 2 2 2 2 2 2 3 2" xfId="9031" xr:uid="{00000000-0005-0000-0000-000076220000}"/>
    <cellStyle name="Input 10 2 2 2 2 2 2 4" xfId="9032" xr:uid="{00000000-0005-0000-0000-000077220000}"/>
    <cellStyle name="Input 10 2 2 2 2 2 2 5" xfId="9033" xr:uid="{00000000-0005-0000-0000-000078220000}"/>
    <cellStyle name="Input 10 2 2 2 2 2 2 6" xfId="9034" xr:uid="{00000000-0005-0000-0000-000079220000}"/>
    <cellStyle name="Input 10 2 2 2 2 2 3" xfId="9035" xr:uid="{00000000-0005-0000-0000-00007A220000}"/>
    <cellStyle name="Input 10 2 2 2 2 2 3 2" xfId="9036" xr:uid="{00000000-0005-0000-0000-00007B220000}"/>
    <cellStyle name="Input 10 2 2 2 2 2 4" xfId="9037" xr:uid="{00000000-0005-0000-0000-00007C220000}"/>
    <cellStyle name="Input 10 2 2 2 2 2 4 2" xfId="9038" xr:uid="{00000000-0005-0000-0000-00007D220000}"/>
    <cellStyle name="Input 10 2 2 2 2 2 5" xfId="9039" xr:uid="{00000000-0005-0000-0000-00007E220000}"/>
    <cellStyle name="Input 10 2 2 2 2 2 6" xfId="9040" xr:uid="{00000000-0005-0000-0000-00007F220000}"/>
    <cellStyle name="Input 10 2 2 2 2 2 7" xfId="9041" xr:uid="{00000000-0005-0000-0000-000080220000}"/>
    <cellStyle name="Input 10 2 2 2 2 3" xfId="9042" xr:uid="{00000000-0005-0000-0000-000081220000}"/>
    <cellStyle name="Input 10 2 2 2 2 3 2" xfId="9043" xr:uid="{00000000-0005-0000-0000-000082220000}"/>
    <cellStyle name="Input 10 2 2 2 2 3 2 2" xfId="9044" xr:uid="{00000000-0005-0000-0000-000083220000}"/>
    <cellStyle name="Input 10 2 2 2 2 3 3" xfId="9045" xr:uid="{00000000-0005-0000-0000-000084220000}"/>
    <cellStyle name="Input 10 2 2 2 2 3 3 2" xfId="9046" xr:uid="{00000000-0005-0000-0000-000085220000}"/>
    <cellStyle name="Input 10 2 2 2 2 3 4" xfId="9047" xr:uid="{00000000-0005-0000-0000-000086220000}"/>
    <cellStyle name="Input 10 2 2 2 2 3 5" xfId="9048" xr:uid="{00000000-0005-0000-0000-000087220000}"/>
    <cellStyle name="Input 10 2 2 2 2 3 6" xfId="9049" xr:uid="{00000000-0005-0000-0000-000088220000}"/>
    <cellStyle name="Input 10 2 2 2 2 4" xfId="9050" xr:uid="{00000000-0005-0000-0000-000089220000}"/>
    <cellStyle name="Input 10 2 2 2 2 4 2" xfId="9051" xr:uid="{00000000-0005-0000-0000-00008A220000}"/>
    <cellStyle name="Input 10 2 2 2 2 5" xfId="9052" xr:uid="{00000000-0005-0000-0000-00008B220000}"/>
    <cellStyle name="Input 10 2 2 2 2 5 2" xfId="9053" xr:uid="{00000000-0005-0000-0000-00008C220000}"/>
    <cellStyle name="Input 10 2 2 2 2 6" xfId="9054" xr:uid="{00000000-0005-0000-0000-00008D220000}"/>
    <cellStyle name="Input 10 2 2 2 2 7" xfId="9055" xr:uid="{00000000-0005-0000-0000-00008E220000}"/>
    <cellStyle name="Input 10 2 2 2 2 8" xfId="9056" xr:uid="{00000000-0005-0000-0000-00008F220000}"/>
    <cellStyle name="Input 10 2 2 2 3" xfId="9057" xr:uid="{00000000-0005-0000-0000-000090220000}"/>
    <cellStyle name="Input 10 2 2 2 3 2" xfId="9058" xr:uid="{00000000-0005-0000-0000-000091220000}"/>
    <cellStyle name="Input 10 2 2 2 3 2 2" xfId="9059" xr:uid="{00000000-0005-0000-0000-000092220000}"/>
    <cellStyle name="Input 10 2 2 2 3 2 2 2" xfId="9060" xr:uid="{00000000-0005-0000-0000-000093220000}"/>
    <cellStyle name="Input 10 2 2 2 3 2 2 2 2" xfId="9061" xr:uid="{00000000-0005-0000-0000-000094220000}"/>
    <cellStyle name="Input 10 2 2 2 3 2 2 3" xfId="9062" xr:uid="{00000000-0005-0000-0000-000095220000}"/>
    <cellStyle name="Input 10 2 2 2 3 2 2 3 2" xfId="9063" xr:uid="{00000000-0005-0000-0000-000096220000}"/>
    <cellStyle name="Input 10 2 2 2 3 2 2 4" xfId="9064" xr:uid="{00000000-0005-0000-0000-000097220000}"/>
    <cellStyle name="Input 10 2 2 2 3 2 2 5" xfId="9065" xr:uid="{00000000-0005-0000-0000-000098220000}"/>
    <cellStyle name="Input 10 2 2 2 3 2 2 6" xfId="9066" xr:uid="{00000000-0005-0000-0000-000099220000}"/>
    <cellStyle name="Input 10 2 2 2 3 2 3" xfId="9067" xr:uid="{00000000-0005-0000-0000-00009A220000}"/>
    <cellStyle name="Input 10 2 2 2 3 2 3 2" xfId="9068" xr:uid="{00000000-0005-0000-0000-00009B220000}"/>
    <cellStyle name="Input 10 2 2 2 3 2 4" xfId="9069" xr:uid="{00000000-0005-0000-0000-00009C220000}"/>
    <cellStyle name="Input 10 2 2 2 3 2 4 2" xfId="9070" xr:uid="{00000000-0005-0000-0000-00009D220000}"/>
    <cellStyle name="Input 10 2 2 2 3 2 5" xfId="9071" xr:uid="{00000000-0005-0000-0000-00009E220000}"/>
    <cellStyle name="Input 10 2 2 2 3 2 6" xfId="9072" xr:uid="{00000000-0005-0000-0000-00009F220000}"/>
    <cellStyle name="Input 10 2 2 2 3 2 7" xfId="9073" xr:uid="{00000000-0005-0000-0000-0000A0220000}"/>
    <cellStyle name="Input 10 2 2 2 3 3" xfId="9074" xr:uid="{00000000-0005-0000-0000-0000A1220000}"/>
    <cellStyle name="Input 10 2 2 2 3 3 2" xfId="9075" xr:uid="{00000000-0005-0000-0000-0000A2220000}"/>
    <cellStyle name="Input 10 2 2 2 3 3 2 2" xfId="9076" xr:uid="{00000000-0005-0000-0000-0000A3220000}"/>
    <cellStyle name="Input 10 2 2 2 3 3 3" xfId="9077" xr:uid="{00000000-0005-0000-0000-0000A4220000}"/>
    <cellStyle name="Input 10 2 2 2 3 3 3 2" xfId="9078" xr:uid="{00000000-0005-0000-0000-0000A5220000}"/>
    <cellStyle name="Input 10 2 2 2 3 3 4" xfId="9079" xr:uid="{00000000-0005-0000-0000-0000A6220000}"/>
    <cellStyle name="Input 10 2 2 2 3 3 5" xfId="9080" xr:uid="{00000000-0005-0000-0000-0000A7220000}"/>
    <cellStyle name="Input 10 2 2 2 3 3 6" xfId="9081" xr:uid="{00000000-0005-0000-0000-0000A8220000}"/>
    <cellStyle name="Input 10 2 2 2 3 4" xfId="9082" xr:uid="{00000000-0005-0000-0000-0000A9220000}"/>
    <cellStyle name="Input 10 2 2 2 3 4 2" xfId="9083" xr:uid="{00000000-0005-0000-0000-0000AA220000}"/>
    <cellStyle name="Input 10 2 2 2 3 5" xfId="9084" xr:uid="{00000000-0005-0000-0000-0000AB220000}"/>
    <cellStyle name="Input 10 2 2 2 3 5 2" xfId="9085" xr:uid="{00000000-0005-0000-0000-0000AC220000}"/>
    <cellStyle name="Input 10 2 2 2 3 6" xfId="9086" xr:uid="{00000000-0005-0000-0000-0000AD220000}"/>
    <cellStyle name="Input 10 2 2 2 3 7" xfId="9087" xr:uid="{00000000-0005-0000-0000-0000AE220000}"/>
    <cellStyle name="Input 10 2 2 2 3 8" xfId="9088" xr:uid="{00000000-0005-0000-0000-0000AF220000}"/>
    <cellStyle name="Input 10 2 2 2 4" xfId="9089" xr:uid="{00000000-0005-0000-0000-0000B0220000}"/>
    <cellStyle name="Input 10 2 2 2 4 2" xfId="9090" xr:uid="{00000000-0005-0000-0000-0000B1220000}"/>
    <cellStyle name="Input 10 2 2 2 4 2 2" xfId="9091" xr:uid="{00000000-0005-0000-0000-0000B2220000}"/>
    <cellStyle name="Input 10 2 2 2 4 2 2 2" xfId="9092" xr:uid="{00000000-0005-0000-0000-0000B3220000}"/>
    <cellStyle name="Input 10 2 2 2 4 2 3" xfId="9093" xr:uid="{00000000-0005-0000-0000-0000B4220000}"/>
    <cellStyle name="Input 10 2 2 2 4 2 3 2" xfId="9094" xr:uid="{00000000-0005-0000-0000-0000B5220000}"/>
    <cellStyle name="Input 10 2 2 2 4 2 4" xfId="9095" xr:uid="{00000000-0005-0000-0000-0000B6220000}"/>
    <cellStyle name="Input 10 2 2 2 4 2 5" xfId="9096" xr:uid="{00000000-0005-0000-0000-0000B7220000}"/>
    <cellStyle name="Input 10 2 2 2 4 2 6" xfId="9097" xr:uid="{00000000-0005-0000-0000-0000B8220000}"/>
    <cellStyle name="Input 10 2 2 2 4 3" xfId="9098" xr:uid="{00000000-0005-0000-0000-0000B9220000}"/>
    <cellStyle name="Input 10 2 2 2 4 3 2" xfId="9099" xr:uid="{00000000-0005-0000-0000-0000BA220000}"/>
    <cellStyle name="Input 10 2 2 2 4 4" xfId="9100" xr:uid="{00000000-0005-0000-0000-0000BB220000}"/>
    <cellStyle name="Input 10 2 2 2 4 4 2" xfId="9101" xr:uid="{00000000-0005-0000-0000-0000BC220000}"/>
    <cellStyle name="Input 10 2 2 2 4 5" xfId="9102" xr:uid="{00000000-0005-0000-0000-0000BD220000}"/>
    <cellStyle name="Input 10 2 2 2 4 6" xfId="9103" xr:uid="{00000000-0005-0000-0000-0000BE220000}"/>
    <cellStyle name="Input 10 2 2 2 4 7" xfId="9104" xr:uid="{00000000-0005-0000-0000-0000BF220000}"/>
    <cellStyle name="Input 10 2 2 2 5" xfId="9105" xr:uid="{00000000-0005-0000-0000-0000C0220000}"/>
    <cellStyle name="Input 10 2 2 2 5 2" xfId="9106" xr:uid="{00000000-0005-0000-0000-0000C1220000}"/>
    <cellStyle name="Input 10 2 2 2 5 2 2" xfId="9107" xr:uid="{00000000-0005-0000-0000-0000C2220000}"/>
    <cellStyle name="Input 10 2 2 2 5 3" xfId="9108" xr:uid="{00000000-0005-0000-0000-0000C3220000}"/>
    <cellStyle name="Input 10 2 2 2 5 3 2" xfId="9109" xr:uid="{00000000-0005-0000-0000-0000C4220000}"/>
    <cellStyle name="Input 10 2 2 2 5 4" xfId="9110" xr:uid="{00000000-0005-0000-0000-0000C5220000}"/>
    <cellStyle name="Input 10 2 2 2 5 5" xfId="9111" xr:uid="{00000000-0005-0000-0000-0000C6220000}"/>
    <cellStyle name="Input 10 2 2 2 5 6" xfId="9112" xr:uid="{00000000-0005-0000-0000-0000C7220000}"/>
    <cellStyle name="Input 10 2 2 2 6" xfId="9113" xr:uid="{00000000-0005-0000-0000-0000C8220000}"/>
    <cellStyle name="Input 10 2 2 2 6 2" xfId="9114" xr:uid="{00000000-0005-0000-0000-0000C9220000}"/>
    <cellStyle name="Input 10 2 2 2 7" xfId="9115" xr:uid="{00000000-0005-0000-0000-0000CA220000}"/>
    <cellStyle name="Input 10 2 2 2 7 2" xfId="9116" xr:uid="{00000000-0005-0000-0000-0000CB220000}"/>
    <cellStyle name="Input 10 2 2 2 8" xfId="9117" xr:uid="{00000000-0005-0000-0000-0000CC220000}"/>
    <cellStyle name="Input 10 2 2 2 9" xfId="9118" xr:uid="{00000000-0005-0000-0000-0000CD220000}"/>
    <cellStyle name="Input 10 2 2 3" xfId="9119" xr:uid="{00000000-0005-0000-0000-0000CE220000}"/>
    <cellStyle name="Input 10 2 2 3 2" xfId="9120" xr:uid="{00000000-0005-0000-0000-0000CF220000}"/>
    <cellStyle name="Input 10 2 2 3 2 2" xfId="9121" xr:uid="{00000000-0005-0000-0000-0000D0220000}"/>
    <cellStyle name="Input 10 2 2 3 2 2 2" xfId="9122" xr:uid="{00000000-0005-0000-0000-0000D1220000}"/>
    <cellStyle name="Input 10 2 2 3 2 2 2 2" xfId="9123" xr:uid="{00000000-0005-0000-0000-0000D2220000}"/>
    <cellStyle name="Input 10 2 2 3 2 2 3" xfId="9124" xr:uid="{00000000-0005-0000-0000-0000D3220000}"/>
    <cellStyle name="Input 10 2 2 3 2 2 3 2" xfId="9125" xr:uid="{00000000-0005-0000-0000-0000D4220000}"/>
    <cellStyle name="Input 10 2 2 3 2 2 4" xfId="9126" xr:uid="{00000000-0005-0000-0000-0000D5220000}"/>
    <cellStyle name="Input 10 2 2 3 2 2 5" xfId="9127" xr:uid="{00000000-0005-0000-0000-0000D6220000}"/>
    <cellStyle name="Input 10 2 2 3 2 2 6" xfId="9128" xr:uid="{00000000-0005-0000-0000-0000D7220000}"/>
    <cellStyle name="Input 10 2 2 3 2 3" xfId="9129" xr:uid="{00000000-0005-0000-0000-0000D8220000}"/>
    <cellStyle name="Input 10 2 2 3 2 3 2" xfId="9130" xr:uid="{00000000-0005-0000-0000-0000D9220000}"/>
    <cellStyle name="Input 10 2 2 3 2 4" xfId="9131" xr:uid="{00000000-0005-0000-0000-0000DA220000}"/>
    <cellStyle name="Input 10 2 2 3 2 4 2" xfId="9132" xr:uid="{00000000-0005-0000-0000-0000DB220000}"/>
    <cellStyle name="Input 10 2 2 3 2 5" xfId="9133" xr:uid="{00000000-0005-0000-0000-0000DC220000}"/>
    <cellStyle name="Input 10 2 2 3 2 6" xfId="9134" xr:uid="{00000000-0005-0000-0000-0000DD220000}"/>
    <cellStyle name="Input 10 2 2 3 2 7" xfId="9135" xr:uid="{00000000-0005-0000-0000-0000DE220000}"/>
    <cellStyle name="Input 10 2 2 3 3" xfId="9136" xr:uid="{00000000-0005-0000-0000-0000DF220000}"/>
    <cellStyle name="Input 10 2 2 3 3 2" xfId="9137" xr:uid="{00000000-0005-0000-0000-0000E0220000}"/>
    <cellStyle name="Input 10 2 2 3 3 2 2" xfId="9138" xr:uid="{00000000-0005-0000-0000-0000E1220000}"/>
    <cellStyle name="Input 10 2 2 3 3 3" xfId="9139" xr:uid="{00000000-0005-0000-0000-0000E2220000}"/>
    <cellStyle name="Input 10 2 2 3 3 3 2" xfId="9140" xr:uid="{00000000-0005-0000-0000-0000E3220000}"/>
    <cellStyle name="Input 10 2 2 3 3 4" xfId="9141" xr:uid="{00000000-0005-0000-0000-0000E4220000}"/>
    <cellStyle name="Input 10 2 2 3 3 5" xfId="9142" xr:uid="{00000000-0005-0000-0000-0000E5220000}"/>
    <cellStyle name="Input 10 2 2 3 3 6" xfId="9143" xr:uid="{00000000-0005-0000-0000-0000E6220000}"/>
    <cellStyle name="Input 10 2 2 3 4" xfId="9144" xr:uid="{00000000-0005-0000-0000-0000E7220000}"/>
    <cellStyle name="Input 10 2 2 3 4 2" xfId="9145" xr:uid="{00000000-0005-0000-0000-0000E8220000}"/>
    <cellStyle name="Input 10 2 2 3 5" xfId="9146" xr:uid="{00000000-0005-0000-0000-0000E9220000}"/>
    <cellStyle name="Input 10 2 2 3 5 2" xfId="9147" xr:uid="{00000000-0005-0000-0000-0000EA220000}"/>
    <cellStyle name="Input 10 2 2 3 6" xfId="9148" xr:uid="{00000000-0005-0000-0000-0000EB220000}"/>
    <cellStyle name="Input 10 2 2 3 7" xfId="9149" xr:uid="{00000000-0005-0000-0000-0000EC220000}"/>
    <cellStyle name="Input 10 2 2 3 8" xfId="9150" xr:uid="{00000000-0005-0000-0000-0000ED220000}"/>
    <cellStyle name="Input 10 2 2 4" xfId="9151" xr:uid="{00000000-0005-0000-0000-0000EE220000}"/>
    <cellStyle name="Input 10 2 2 4 2" xfId="9152" xr:uid="{00000000-0005-0000-0000-0000EF220000}"/>
    <cellStyle name="Input 10 2 2 4 2 2" xfId="9153" xr:uid="{00000000-0005-0000-0000-0000F0220000}"/>
    <cellStyle name="Input 10 2 2 4 2 2 2" xfId="9154" xr:uid="{00000000-0005-0000-0000-0000F1220000}"/>
    <cellStyle name="Input 10 2 2 4 2 2 2 2" xfId="9155" xr:uid="{00000000-0005-0000-0000-0000F2220000}"/>
    <cellStyle name="Input 10 2 2 4 2 2 3" xfId="9156" xr:uid="{00000000-0005-0000-0000-0000F3220000}"/>
    <cellStyle name="Input 10 2 2 4 2 2 3 2" xfId="9157" xr:uid="{00000000-0005-0000-0000-0000F4220000}"/>
    <cellStyle name="Input 10 2 2 4 2 2 4" xfId="9158" xr:uid="{00000000-0005-0000-0000-0000F5220000}"/>
    <cellStyle name="Input 10 2 2 4 2 2 5" xfId="9159" xr:uid="{00000000-0005-0000-0000-0000F6220000}"/>
    <cellStyle name="Input 10 2 2 4 2 2 6" xfId="9160" xr:uid="{00000000-0005-0000-0000-0000F7220000}"/>
    <cellStyle name="Input 10 2 2 4 2 3" xfId="9161" xr:uid="{00000000-0005-0000-0000-0000F8220000}"/>
    <cellStyle name="Input 10 2 2 4 2 3 2" xfId="9162" xr:uid="{00000000-0005-0000-0000-0000F9220000}"/>
    <cellStyle name="Input 10 2 2 4 2 4" xfId="9163" xr:uid="{00000000-0005-0000-0000-0000FA220000}"/>
    <cellStyle name="Input 10 2 2 4 2 4 2" xfId="9164" xr:uid="{00000000-0005-0000-0000-0000FB220000}"/>
    <cellStyle name="Input 10 2 2 4 2 5" xfId="9165" xr:uid="{00000000-0005-0000-0000-0000FC220000}"/>
    <cellStyle name="Input 10 2 2 4 2 6" xfId="9166" xr:uid="{00000000-0005-0000-0000-0000FD220000}"/>
    <cellStyle name="Input 10 2 2 4 2 7" xfId="9167" xr:uid="{00000000-0005-0000-0000-0000FE220000}"/>
    <cellStyle name="Input 10 2 2 4 3" xfId="9168" xr:uid="{00000000-0005-0000-0000-0000FF220000}"/>
    <cellStyle name="Input 10 2 2 4 3 2" xfId="9169" xr:uid="{00000000-0005-0000-0000-000000230000}"/>
    <cellStyle name="Input 10 2 2 4 3 2 2" xfId="9170" xr:uid="{00000000-0005-0000-0000-000001230000}"/>
    <cellStyle name="Input 10 2 2 4 3 3" xfId="9171" xr:uid="{00000000-0005-0000-0000-000002230000}"/>
    <cellStyle name="Input 10 2 2 4 3 3 2" xfId="9172" xr:uid="{00000000-0005-0000-0000-000003230000}"/>
    <cellStyle name="Input 10 2 2 4 3 4" xfId="9173" xr:uid="{00000000-0005-0000-0000-000004230000}"/>
    <cellStyle name="Input 10 2 2 4 3 5" xfId="9174" xr:uid="{00000000-0005-0000-0000-000005230000}"/>
    <cellStyle name="Input 10 2 2 4 3 6" xfId="9175" xr:uid="{00000000-0005-0000-0000-000006230000}"/>
    <cellStyle name="Input 10 2 2 4 4" xfId="9176" xr:uid="{00000000-0005-0000-0000-000007230000}"/>
    <cellStyle name="Input 10 2 2 4 4 2" xfId="9177" xr:uid="{00000000-0005-0000-0000-000008230000}"/>
    <cellStyle name="Input 10 2 2 4 5" xfId="9178" xr:uid="{00000000-0005-0000-0000-000009230000}"/>
    <cellStyle name="Input 10 2 2 4 5 2" xfId="9179" xr:uid="{00000000-0005-0000-0000-00000A230000}"/>
    <cellStyle name="Input 10 2 2 4 6" xfId="9180" xr:uid="{00000000-0005-0000-0000-00000B230000}"/>
    <cellStyle name="Input 10 2 2 4 7" xfId="9181" xr:uid="{00000000-0005-0000-0000-00000C230000}"/>
    <cellStyle name="Input 10 2 2 4 8" xfId="9182" xr:uid="{00000000-0005-0000-0000-00000D230000}"/>
    <cellStyle name="Input 10 2 2 5" xfId="9183" xr:uid="{00000000-0005-0000-0000-00000E230000}"/>
    <cellStyle name="Input 10 2 2 5 2" xfId="9184" xr:uid="{00000000-0005-0000-0000-00000F230000}"/>
    <cellStyle name="Input 10 2 2 5 2 2" xfId="9185" xr:uid="{00000000-0005-0000-0000-000010230000}"/>
    <cellStyle name="Input 10 2 2 5 2 2 2" xfId="9186" xr:uid="{00000000-0005-0000-0000-000011230000}"/>
    <cellStyle name="Input 10 2 2 5 2 3" xfId="9187" xr:uid="{00000000-0005-0000-0000-000012230000}"/>
    <cellStyle name="Input 10 2 2 5 2 3 2" xfId="9188" xr:uid="{00000000-0005-0000-0000-000013230000}"/>
    <cellStyle name="Input 10 2 2 5 2 4" xfId="9189" xr:uid="{00000000-0005-0000-0000-000014230000}"/>
    <cellStyle name="Input 10 2 2 5 2 5" xfId="9190" xr:uid="{00000000-0005-0000-0000-000015230000}"/>
    <cellStyle name="Input 10 2 2 5 2 6" xfId="9191" xr:uid="{00000000-0005-0000-0000-000016230000}"/>
    <cellStyle name="Input 10 2 2 5 3" xfId="9192" xr:uid="{00000000-0005-0000-0000-000017230000}"/>
    <cellStyle name="Input 10 2 2 5 3 2" xfId="9193" xr:uid="{00000000-0005-0000-0000-000018230000}"/>
    <cellStyle name="Input 10 2 2 5 4" xfId="9194" xr:uid="{00000000-0005-0000-0000-000019230000}"/>
    <cellStyle name="Input 10 2 2 5 4 2" xfId="9195" xr:uid="{00000000-0005-0000-0000-00001A230000}"/>
    <cellStyle name="Input 10 2 2 5 5" xfId="9196" xr:uid="{00000000-0005-0000-0000-00001B230000}"/>
    <cellStyle name="Input 10 2 2 5 6" xfId="9197" xr:uid="{00000000-0005-0000-0000-00001C230000}"/>
    <cellStyle name="Input 10 2 2 5 7" xfId="9198" xr:uid="{00000000-0005-0000-0000-00001D230000}"/>
    <cellStyle name="Input 10 2 2 6" xfId="9199" xr:uid="{00000000-0005-0000-0000-00001E230000}"/>
    <cellStyle name="Input 10 2 2 6 2" xfId="9200" xr:uid="{00000000-0005-0000-0000-00001F230000}"/>
    <cellStyle name="Input 10 2 2 6 2 2" xfId="9201" xr:uid="{00000000-0005-0000-0000-000020230000}"/>
    <cellStyle name="Input 10 2 2 6 3" xfId="9202" xr:uid="{00000000-0005-0000-0000-000021230000}"/>
    <cellStyle name="Input 10 2 2 6 3 2" xfId="9203" xr:uid="{00000000-0005-0000-0000-000022230000}"/>
    <cellStyle name="Input 10 2 2 6 4" xfId="9204" xr:uid="{00000000-0005-0000-0000-000023230000}"/>
    <cellStyle name="Input 10 2 2 6 5" xfId="9205" xr:uid="{00000000-0005-0000-0000-000024230000}"/>
    <cellStyle name="Input 10 2 2 6 6" xfId="9206" xr:uid="{00000000-0005-0000-0000-000025230000}"/>
    <cellStyle name="Input 10 2 2 7" xfId="9207" xr:uid="{00000000-0005-0000-0000-000026230000}"/>
    <cellStyle name="Input 10 2 2 7 2" xfId="9208" xr:uid="{00000000-0005-0000-0000-000027230000}"/>
    <cellStyle name="Input 10 2 2 8" xfId="9209" xr:uid="{00000000-0005-0000-0000-000028230000}"/>
    <cellStyle name="Input 10 2 2 8 2" xfId="9210" xr:uid="{00000000-0005-0000-0000-000029230000}"/>
    <cellStyle name="Input 10 2 2 9" xfId="9211" xr:uid="{00000000-0005-0000-0000-00002A230000}"/>
    <cellStyle name="Input 10 2 3" xfId="9212" xr:uid="{00000000-0005-0000-0000-00002B230000}"/>
    <cellStyle name="Input 10 2 3 10" xfId="9213" xr:uid="{00000000-0005-0000-0000-00002C230000}"/>
    <cellStyle name="Input 10 2 3 2" xfId="9214" xr:uid="{00000000-0005-0000-0000-00002D230000}"/>
    <cellStyle name="Input 10 2 3 2 10" xfId="9215" xr:uid="{00000000-0005-0000-0000-00002E230000}"/>
    <cellStyle name="Input 10 2 3 2 2" xfId="9216" xr:uid="{00000000-0005-0000-0000-00002F230000}"/>
    <cellStyle name="Input 10 2 3 2 2 2" xfId="9217" xr:uid="{00000000-0005-0000-0000-000030230000}"/>
    <cellStyle name="Input 10 2 3 2 2 2 2" xfId="9218" xr:uid="{00000000-0005-0000-0000-000031230000}"/>
    <cellStyle name="Input 10 2 3 2 2 2 2 2" xfId="9219" xr:uid="{00000000-0005-0000-0000-000032230000}"/>
    <cellStyle name="Input 10 2 3 2 2 2 2 2 2" xfId="9220" xr:uid="{00000000-0005-0000-0000-000033230000}"/>
    <cellStyle name="Input 10 2 3 2 2 2 2 3" xfId="9221" xr:uid="{00000000-0005-0000-0000-000034230000}"/>
    <cellStyle name="Input 10 2 3 2 2 2 2 3 2" xfId="9222" xr:uid="{00000000-0005-0000-0000-000035230000}"/>
    <cellStyle name="Input 10 2 3 2 2 2 2 4" xfId="9223" xr:uid="{00000000-0005-0000-0000-000036230000}"/>
    <cellStyle name="Input 10 2 3 2 2 2 2 5" xfId="9224" xr:uid="{00000000-0005-0000-0000-000037230000}"/>
    <cellStyle name="Input 10 2 3 2 2 2 2 6" xfId="9225" xr:uid="{00000000-0005-0000-0000-000038230000}"/>
    <cellStyle name="Input 10 2 3 2 2 2 3" xfId="9226" xr:uid="{00000000-0005-0000-0000-000039230000}"/>
    <cellStyle name="Input 10 2 3 2 2 2 3 2" xfId="9227" xr:uid="{00000000-0005-0000-0000-00003A230000}"/>
    <cellStyle name="Input 10 2 3 2 2 2 4" xfId="9228" xr:uid="{00000000-0005-0000-0000-00003B230000}"/>
    <cellStyle name="Input 10 2 3 2 2 2 4 2" xfId="9229" xr:uid="{00000000-0005-0000-0000-00003C230000}"/>
    <cellStyle name="Input 10 2 3 2 2 2 5" xfId="9230" xr:uid="{00000000-0005-0000-0000-00003D230000}"/>
    <cellStyle name="Input 10 2 3 2 2 2 6" xfId="9231" xr:uid="{00000000-0005-0000-0000-00003E230000}"/>
    <cellStyle name="Input 10 2 3 2 2 2 7" xfId="9232" xr:uid="{00000000-0005-0000-0000-00003F230000}"/>
    <cellStyle name="Input 10 2 3 2 2 3" xfId="9233" xr:uid="{00000000-0005-0000-0000-000040230000}"/>
    <cellStyle name="Input 10 2 3 2 2 3 2" xfId="9234" xr:uid="{00000000-0005-0000-0000-000041230000}"/>
    <cellStyle name="Input 10 2 3 2 2 3 2 2" xfId="9235" xr:uid="{00000000-0005-0000-0000-000042230000}"/>
    <cellStyle name="Input 10 2 3 2 2 3 3" xfId="9236" xr:uid="{00000000-0005-0000-0000-000043230000}"/>
    <cellStyle name="Input 10 2 3 2 2 3 3 2" xfId="9237" xr:uid="{00000000-0005-0000-0000-000044230000}"/>
    <cellStyle name="Input 10 2 3 2 2 3 4" xfId="9238" xr:uid="{00000000-0005-0000-0000-000045230000}"/>
    <cellStyle name="Input 10 2 3 2 2 3 5" xfId="9239" xr:uid="{00000000-0005-0000-0000-000046230000}"/>
    <cellStyle name="Input 10 2 3 2 2 3 6" xfId="9240" xr:uid="{00000000-0005-0000-0000-000047230000}"/>
    <cellStyle name="Input 10 2 3 2 2 4" xfId="9241" xr:uid="{00000000-0005-0000-0000-000048230000}"/>
    <cellStyle name="Input 10 2 3 2 2 4 2" xfId="9242" xr:uid="{00000000-0005-0000-0000-000049230000}"/>
    <cellStyle name="Input 10 2 3 2 2 5" xfId="9243" xr:uid="{00000000-0005-0000-0000-00004A230000}"/>
    <cellStyle name="Input 10 2 3 2 2 5 2" xfId="9244" xr:uid="{00000000-0005-0000-0000-00004B230000}"/>
    <cellStyle name="Input 10 2 3 2 2 6" xfId="9245" xr:uid="{00000000-0005-0000-0000-00004C230000}"/>
    <cellStyle name="Input 10 2 3 2 2 7" xfId="9246" xr:uid="{00000000-0005-0000-0000-00004D230000}"/>
    <cellStyle name="Input 10 2 3 2 2 8" xfId="9247" xr:uid="{00000000-0005-0000-0000-00004E230000}"/>
    <cellStyle name="Input 10 2 3 2 3" xfId="9248" xr:uid="{00000000-0005-0000-0000-00004F230000}"/>
    <cellStyle name="Input 10 2 3 2 3 2" xfId="9249" xr:uid="{00000000-0005-0000-0000-000050230000}"/>
    <cellStyle name="Input 10 2 3 2 3 2 2" xfId="9250" xr:uid="{00000000-0005-0000-0000-000051230000}"/>
    <cellStyle name="Input 10 2 3 2 3 2 2 2" xfId="9251" xr:uid="{00000000-0005-0000-0000-000052230000}"/>
    <cellStyle name="Input 10 2 3 2 3 2 2 2 2" xfId="9252" xr:uid="{00000000-0005-0000-0000-000053230000}"/>
    <cellStyle name="Input 10 2 3 2 3 2 2 3" xfId="9253" xr:uid="{00000000-0005-0000-0000-000054230000}"/>
    <cellStyle name="Input 10 2 3 2 3 2 2 3 2" xfId="9254" xr:uid="{00000000-0005-0000-0000-000055230000}"/>
    <cellStyle name="Input 10 2 3 2 3 2 2 4" xfId="9255" xr:uid="{00000000-0005-0000-0000-000056230000}"/>
    <cellStyle name="Input 10 2 3 2 3 2 2 5" xfId="9256" xr:uid="{00000000-0005-0000-0000-000057230000}"/>
    <cellStyle name="Input 10 2 3 2 3 2 2 6" xfId="9257" xr:uid="{00000000-0005-0000-0000-000058230000}"/>
    <cellStyle name="Input 10 2 3 2 3 2 3" xfId="9258" xr:uid="{00000000-0005-0000-0000-000059230000}"/>
    <cellStyle name="Input 10 2 3 2 3 2 3 2" xfId="9259" xr:uid="{00000000-0005-0000-0000-00005A230000}"/>
    <cellStyle name="Input 10 2 3 2 3 2 4" xfId="9260" xr:uid="{00000000-0005-0000-0000-00005B230000}"/>
    <cellStyle name="Input 10 2 3 2 3 2 4 2" xfId="9261" xr:uid="{00000000-0005-0000-0000-00005C230000}"/>
    <cellStyle name="Input 10 2 3 2 3 2 5" xfId="9262" xr:uid="{00000000-0005-0000-0000-00005D230000}"/>
    <cellStyle name="Input 10 2 3 2 3 2 6" xfId="9263" xr:uid="{00000000-0005-0000-0000-00005E230000}"/>
    <cellStyle name="Input 10 2 3 2 3 2 7" xfId="9264" xr:uid="{00000000-0005-0000-0000-00005F230000}"/>
    <cellStyle name="Input 10 2 3 2 3 3" xfId="9265" xr:uid="{00000000-0005-0000-0000-000060230000}"/>
    <cellStyle name="Input 10 2 3 2 3 3 2" xfId="9266" xr:uid="{00000000-0005-0000-0000-000061230000}"/>
    <cellStyle name="Input 10 2 3 2 3 3 2 2" xfId="9267" xr:uid="{00000000-0005-0000-0000-000062230000}"/>
    <cellStyle name="Input 10 2 3 2 3 3 3" xfId="9268" xr:uid="{00000000-0005-0000-0000-000063230000}"/>
    <cellStyle name="Input 10 2 3 2 3 3 3 2" xfId="9269" xr:uid="{00000000-0005-0000-0000-000064230000}"/>
    <cellStyle name="Input 10 2 3 2 3 3 4" xfId="9270" xr:uid="{00000000-0005-0000-0000-000065230000}"/>
    <cellStyle name="Input 10 2 3 2 3 3 5" xfId="9271" xr:uid="{00000000-0005-0000-0000-000066230000}"/>
    <cellStyle name="Input 10 2 3 2 3 3 6" xfId="9272" xr:uid="{00000000-0005-0000-0000-000067230000}"/>
    <cellStyle name="Input 10 2 3 2 3 4" xfId="9273" xr:uid="{00000000-0005-0000-0000-000068230000}"/>
    <cellStyle name="Input 10 2 3 2 3 4 2" xfId="9274" xr:uid="{00000000-0005-0000-0000-000069230000}"/>
    <cellStyle name="Input 10 2 3 2 3 5" xfId="9275" xr:uid="{00000000-0005-0000-0000-00006A230000}"/>
    <cellStyle name="Input 10 2 3 2 3 5 2" xfId="9276" xr:uid="{00000000-0005-0000-0000-00006B230000}"/>
    <cellStyle name="Input 10 2 3 2 3 6" xfId="9277" xr:uid="{00000000-0005-0000-0000-00006C230000}"/>
    <cellStyle name="Input 10 2 3 2 3 7" xfId="9278" xr:uid="{00000000-0005-0000-0000-00006D230000}"/>
    <cellStyle name="Input 10 2 3 2 3 8" xfId="9279" xr:uid="{00000000-0005-0000-0000-00006E230000}"/>
    <cellStyle name="Input 10 2 3 2 4" xfId="9280" xr:uid="{00000000-0005-0000-0000-00006F230000}"/>
    <cellStyle name="Input 10 2 3 2 4 2" xfId="9281" xr:uid="{00000000-0005-0000-0000-000070230000}"/>
    <cellStyle name="Input 10 2 3 2 4 2 2" xfId="9282" xr:uid="{00000000-0005-0000-0000-000071230000}"/>
    <cellStyle name="Input 10 2 3 2 4 2 2 2" xfId="9283" xr:uid="{00000000-0005-0000-0000-000072230000}"/>
    <cellStyle name="Input 10 2 3 2 4 2 3" xfId="9284" xr:uid="{00000000-0005-0000-0000-000073230000}"/>
    <cellStyle name="Input 10 2 3 2 4 2 3 2" xfId="9285" xr:uid="{00000000-0005-0000-0000-000074230000}"/>
    <cellStyle name="Input 10 2 3 2 4 2 4" xfId="9286" xr:uid="{00000000-0005-0000-0000-000075230000}"/>
    <cellStyle name="Input 10 2 3 2 4 2 5" xfId="9287" xr:uid="{00000000-0005-0000-0000-000076230000}"/>
    <cellStyle name="Input 10 2 3 2 4 2 6" xfId="9288" xr:uid="{00000000-0005-0000-0000-000077230000}"/>
    <cellStyle name="Input 10 2 3 2 4 3" xfId="9289" xr:uid="{00000000-0005-0000-0000-000078230000}"/>
    <cellStyle name="Input 10 2 3 2 4 3 2" xfId="9290" xr:uid="{00000000-0005-0000-0000-000079230000}"/>
    <cellStyle name="Input 10 2 3 2 4 4" xfId="9291" xr:uid="{00000000-0005-0000-0000-00007A230000}"/>
    <cellStyle name="Input 10 2 3 2 4 4 2" xfId="9292" xr:uid="{00000000-0005-0000-0000-00007B230000}"/>
    <cellStyle name="Input 10 2 3 2 4 5" xfId="9293" xr:uid="{00000000-0005-0000-0000-00007C230000}"/>
    <cellStyle name="Input 10 2 3 2 4 6" xfId="9294" xr:uid="{00000000-0005-0000-0000-00007D230000}"/>
    <cellStyle name="Input 10 2 3 2 4 7" xfId="9295" xr:uid="{00000000-0005-0000-0000-00007E230000}"/>
    <cellStyle name="Input 10 2 3 2 5" xfId="9296" xr:uid="{00000000-0005-0000-0000-00007F230000}"/>
    <cellStyle name="Input 10 2 3 2 5 2" xfId="9297" xr:uid="{00000000-0005-0000-0000-000080230000}"/>
    <cellStyle name="Input 10 2 3 2 5 2 2" xfId="9298" xr:uid="{00000000-0005-0000-0000-000081230000}"/>
    <cellStyle name="Input 10 2 3 2 5 3" xfId="9299" xr:uid="{00000000-0005-0000-0000-000082230000}"/>
    <cellStyle name="Input 10 2 3 2 5 3 2" xfId="9300" xr:uid="{00000000-0005-0000-0000-000083230000}"/>
    <cellStyle name="Input 10 2 3 2 5 4" xfId="9301" xr:uid="{00000000-0005-0000-0000-000084230000}"/>
    <cellStyle name="Input 10 2 3 2 5 5" xfId="9302" xr:uid="{00000000-0005-0000-0000-000085230000}"/>
    <cellStyle name="Input 10 2 3 2 5 6" xfId="9303" xr:uid="{00000000-0005-0000-0000-000086230000}"/>
    <cellStyle name="Input 10 2 3 2 6" xfId="9304" xr:uid="{00000000-0005-0000-0000-000087230000}"/>
    <cellStyle name="Input 10 2 3 2 6 2" xfId="9305" xr:uid="{00000000-0005-0000-0000-000088230000}"/>
    <cellStyle name="Input 10 2 3 2 7" xfId="9306" xr:uid="{00000000-0005-0000-0000-000089230000}"/>
    <cellStyle name="Input 10 2 3 2 7 2" xfId="9307" xr:uid="{00000000-0005-0000-0000-00008A230000}"/>
    <cellStyle name="Input 10 2 3 2 8" xfId="9308" xr:uid="{00000000-0005-0000-0000-00008B230000}"/>
    <cellStyle name="Input 10 2 3 2 9" xfId="9309" xr:uid="{00000000-0005-0000-0000-00008C230000}"/>
    <cellStyle name="Input 10 2 3 3" xfId="9310" xr:uid="{00000000-0005-0000-0000-00008D230000}"/>
    <cellStyle name="Input 10 2 3 3 2" xfId="9311" xr:uid="{00000000-0005-0000-0000-00008E230000}"/>
    <cellStyle name="Input 10 2 3 3 2 2" xfId="9312" xr:uid="{00000000-0005-0000-0000-00008F230000}"/>
    <cellStyle name="Input 10 2 3 3 2 2 2" xfId="9313" xr:uid="{00000000-0005-0000-0000-000090230000}"/>
    <cellStyle name="Input 10 2 3 3 2 2 2 2" xfId="9314" xr:uid="{00000000-0005-0000-0000-000091230000}"/>
    <cellStyle name="Input 10 2 3 3 2 2 3" xfId="9315" xr:uid="{00000000-0005-0000-0000-000092230000}"/>
    <cellStyle name="Input 10 2 3 3 2 2 3 2" xfId="9316" xr:uid="{00000000-0005-0000-0000-000093230000}"/>
    <cellStyle name="Input 10 2 3 3 2 2 4" xfId="9317" xr:uid="{00000000-0005-0000-0000-000094230000}"/>
    <cellStyle name="Input 10 2 3 3 2 2 5" xfId="9318" xr:uid="{00000000-0005-0000-0000-000095230000}"/>
    <cellStyle name="Input 10 2 3 3 2 2 6" xfId="9319" xr:uid="{00000000-0005-0000-0000-000096230000}"/>
    <cellStyle name="Input 10 2 3 3 2 3" xfId="9320" xr:uid="{00000000-0005-0000-0000-000097230000}"/>
    <cellStyle name="Input 10 2 3 3 2 3 2" xfId="9321" xr:uid="{00000000-0005-0000-0000-000098230000}"/>
    <cellStyle name="Input 10 2 3 3 2 4" xfId="9322" xr:uid="{00000000-0005-0000-0000-000099230000}"/>
    <cellStyle name="Input 10 2 3 3 2 4 2" xfId="9323" xr:uid="{00000000-0005-0000-0000-00009A230000}"/>
    <cellStyle name="Input 10 2 3 3 2 5" xfId="9324" xr:uid="{00000000-0005-0000-0000-00009B230000}"/>
    <cellStyle name="Input 10 2 3 3 2 6" xfId="9325" xr:uid="{00000000-0005-0000-0000-00009C230000}"/>
    <cellStyle name="Input 10 2 3 3 2 7" xfId="9326" xr:uid="{00000000-0005-0000-0000-00009D230000}"/>
    <cellStyle name="Input 10 2 3 3 3" xfId="9327" xr:uid="{00000000-0005-0000-0000-00009E230000}"/>
    <cellStyle name="Input 10 2 3 3 3 2" xfId="9328" xr:uid="{00000000-0005-0000-0000-00009F230000}"/>
    <cellStyle name="Input 10 2 3 3 3 2 2" xfId="9329" xr:uid="{00000000-0005-0000-0000-0000A0230000}"/>
    <cellStyle name="Input 10 2 3 3 3 3" xfId="9330" xr:uid="{00000000-0005-0000-0000-0000A1230000}"/>
    <cellStyle name="Input 10 2 3 3 3 3 2" xfId="9331" xr:uid="{00000000-0005-0000-0000-0000A2230000}"/>
    <cellStyle name="Input 10 2 3 3 3 4" xfId="9332" xr:uid="{00000000-0005-0000-0000-0000A3230000}"/>
    <cellStyle name="Input 10 2 3 3 3 5" xfId="9333" xr:uid="{00000000-0005-0000-0000-0000A4230000}"/>
    <cellStyle name="Input 10 2 3 3 3 6" xfId="9334" xr:uid="{00000000-0005-0000-0000-0000A5230000}"/>
    <cellStyle name="Input 10 2 3 3 4" xfId="9335" xr:uid="{00000000-0005-0000-0000-0000A6230000}"/>
    <cellStyle name="Input 10 2 3 3 4 2" xfId="9336" xr:uid="{00000000-0005-0000-0000-0000A7230000}"/>
    <cellStyle name="Input 10 2 3 3 5" xfId="9337" xr:uid="{00000000-0005-0000-0000-0000A8230000}"/>
    <cellStyle name="Input 10 2 3 3 5 2" xfId="9338" xr:uid="{00000000-0005-0000-0000-0000A9230000}"/>
    <cellStyle name="Input 10 2 3 3 6" xfId="9339" xr:uid="{00000000-0005-0000-0000-0000AA230000}"/>
    <cellStyle name="Input 10 2 3 3 7" xfId="9340" xr:uid="{00000000-0005-0000-0000-0000AB230000}"/>
    <cellStyle name="Input 10 2 3 3 8" xfId="9341" xr:uid="{00000000-0005-0000-0000-0000AC230000}"/>
    <cellStyle name="Input 10 2 3 4" xfId="9342" xr:uid="{00000000-0005-0000-0000-0000AD230000}"/>
    <cellStyle name="Input 10 2 3 4 2" xfId="9343" xr:uid="{00000000-0005-0000-0000-0000AE230000}"/>
    <cellStyle name="Input 10 2 3 4 2 2" xfId="9344" xr:uid="{00000000-0005-0000-0000-0000AF230000}"/>
    <cellStyle name="Input 10 2 3 4 2 2 2" xfId="9345" xr:uid="{00000000-0005-0000-0000-0000B0230000}"/>
    <cellStyle name="Input 10 2 3 4 2 3" xfId="9346" xr:uid="{00000000-0005-0000-0000-0000B1230000}"/>
    <cellStyle name="Input 10 2 3 4 2 3 2" xfId="9347" xr:uid="{00000000-0005-0000-0000-0000B2230000}"/>
    <cellStyle name="Input 10 2 3 4 2 4" xfId="9348" xr:uid="{00000000-0005-0000-0000-0000B3230000}"/>
    <cellStyle name="Input 10 2 3 4 2 5" xfId="9349" xr:uid="{00000000-0005-0000-0000-0000B4230000}"/>
    <cellStyle name="Input 10 2 3 4 2 6" xfId="9350" xr:uid="{00000000-0005-0000-0000-0000B5230000}"/>
    <cellStyle name="Input 10 2 3 4 3" xfId="9351" xr:uid="{00000000-0005-0000-0000-0000B6230000}"/>
    <cellStyle name="Input 10 2 3 4 3 2" xfId="9352" xr:uid="{00000000-0005-0000-0000-0000B7230000}"/>
    <cellStyle name="Input 10 2 3 4 4" xfId="9353" xr:uid="{00000000-0005-0000-0000-0000B8230000}"/>
    <cellStyle name="Input 10 2 3 4 4 2" xfId="9354" xr:uid="{00000000-0005-0000-0000-0000B9230000}"/>
    <cellStyle name="Input 10 2 3 4 5" xfId="9355" xr:uid="{00000000-0005-0000-0000-0000BA230000}"/>
    <cellStyle name="Input 10 2 3 4 6" xfId="9356" xr:uid="{00000000-0005-0000-0000-0000BB230000}"/>
    <cellStyle name="Input 10 2 3 4 7" xfId="9357" xr:uid="{00000000-0005-0000-0000-0000BC230000}"/>
    <cellStyle name="Input 10 2 3 5" xfId="9358" xr:uid="{00000000-0005-0000-0000-0000BD230000}"/>
    <cellStyle name="Input 10 2 3 5 2" xfId="9359" xr:uid="{00000000-0005-0000-0000-0000BE230000}"/>
    <cellStyle name="Input 10 2 3 5 2 2" xfId="9360" xr:uid="{00000000-0005-0000-0000-0000BF230000}"/>
    <cellStyle name="Input 10 2 3 5 3" xfId="9361" xr:uid="{00000000-0005-0000-0000-0000C0230000}"/>
    <cellStyle name="Input 10 2 3 5 3 2" xfId="9362" xr:uid="{00000000-0005-0000-0000-0000C1230000}"/>
    <cellStyle name="Input 10 2 3 5 4" xfId="9363" xr:uid="{00000000-0005-0000-0000-0000C2230000}"/>
    <cellStyle name="Input 10 2 3 5 5" xfId="9364" xr:uid="{00000000-0005-0000-0000-0000C3230000}"/>
    <cellStyle name="Input 10 2 3 5 6" xfId="9365" xr:uid="{00000000-0005-0000-0000-0000C4230000}"/>
    <cellStyle name="Input 10 2 3 6" xfId="9366" xr:uid="{00000000-0005-0000-0000-0000C5230000}"/>
    <cellStyle name="Input 10 2 3 6 2" xfId="9367" xr:uid="{00000000-0005-0000-0000-0000C6230000}"/>
    <cellStyle name="Input 10 2 3 7" xfId="9368" xr:uid="{00000000-0005-0000-0000-0000C7230000}"/>
    <cellStyle name="Input 10 2 3 7 2" xfId="9369" xr:uid="{00000000-0005-0000-0000-0000C8230000}"/>
    <cellStyle name="Input 10 2 3 8" xfId="9370" xr:uid="{00000000-0005-0000-0000-0000C9230000}"/>
    <cellStyle name="Input 10 2 3 9" xfId="9371" xr:uid="{00000000-0005-0000-0000-0000CA230000}"/>
    <cellStyle name="Input 10 2 4" xfId="9372" xr:uid="{00000000-0005-0000-0000-0000CB230000}"/>
    <cellStyle name="Input 10 2 4 10" xfId="9373" xr:uid="{00000000-0005-0000-0000-0000CC230000}"/>
    <cellStyle name="Input 10 2 4 2" xfId="9374" xr:uid="{00000000-0005-0000-0000-0000CD230000}"/>
    <cellStyle name="Input 10 2 4 2 2" xfId="9375" xr:uid="{00000000-0005-0000-0000-0000CE230000}"/>
    <cellStyle name="Input 10 2 4 2 2 2" xfId="9376" xr:uid="{00000000-0005-0000-0000-0000CF230000}"/>
    <cellStyle name="Input 10 2 4 2 2 2 2" xfId="9377" xr:uid="{00000000-0005-0000-0000-0000D0230000}"/>
    <cellStyle name="Input 10 2 4 2 2 2 2 2" xfId="9378" xr:uid="{00000000-0005-0000-0000-0000D1230000}"/>
    <cellStyle name="Input 10 2 4 2 2 2 3" xfId="9379" xr:uid="{00000000-0005-0000-0000-0000D2230000}"/>
    <cellStyle name="Input 10 2 4 2 2 2 3 2" xfId="9380" xr:uid="{00000000-0005-0000-0000-0000D3230000}"/>
    <cellStyle name="Input 10 2 4 2 2 2 4" xfId="9381" xr:uid="{00000000-0005-0000-0000-0000D4230000}"/>
    <cellStyle name="Input 10 2 4 2 2 2 5" xfId="9382" xr:uid="{00000000-0005-0000-0000-0000D5230000}"/>
    <cellStyle name="Input 10 2 4 2 2 2 6" xfId="9383" xr:uid="{00000000-0005-0000-0000-0000D6230000}"/>
    <cellStyle name="Input 10 2 4 2 2 3" xfId="9384" xr:uid="{00000000-0005-0000-0000-0000D7230000}"/>
    <cellStyle name="Input 10 2 4 2 2 3 2" xfId="9385" xr:uid="{00000000-0005-0000-0000-0000D8230000}"/>
    <cellStyle name="Input 10 2 4 2 2 4" xfId="9386" xr:uid="{00000000-0005-0000-0000-0000D9230000}"/>
    <cellStyle name="Input 10 2 4 2 2 4 2" xfId="9387" xr:uid="{00000000-0005-0000-0000-0000DA230000}"/>
    <cellStyle name="Input 10 2 4 2 2 5" xfId="9388" xr:uid="{00000000-0005-0000-0000-0000DB230000}"/>
    <cellStyle name="Input 10 2 4 2 2 6" xfId="9389" xr:uid="{00000000-0005-0000-0000-0000DC230000}"/>
    <cellStyle name="Input 10 2 4 2 2 7" xfId="9390" xr:uid="{00000000-0005-0000-0000-0000DD230000}"/>
    <cellStyle name="Input 10 2 4 2 3" xfId="9391" xr:uid="{00000000-0005-0000-0000-0000DE230000}"/>
    <cellStyle name="Input 10 2 4 2 3 2" xfId="9392" xr:uid="{00000000-0005-0000-0000-0000DF230000}"/>
    <cellStyle name="Input 10 2 4 2 3 2 2" xfId="9393" xr:uid="{00000000-0005-0000-0000-0000E0230000}"/>
    <cellStyle name="Input 10 2 4 2 3 3" xfId="9394" xr:uid="{00000000-0005-0000-0000-0000E1230000}"/>
    <cellStyle name="Input 10 2 4 2 3 3 2" xfId="9395" xr:uid="{00000000-0005-0000-0000-0000E2230000}"/>
    <cellStyle name="Input 10 2 4 2 3 4" xfId="9396" xr:uid="{00000000-0005-0000-0000-0000E3230000}"/>
    <cellStyle name="Input 10 2 4 2 3 5" xfId="9397" xr:uid="{00000000-0005-0000-0000-0000E4230000}"/>
    <cellStyle name="Input 10 2 4 2 3 6" xfId="9398" xr:uid="{00000000-0005-0000-0000-0000E5230000}"/>
    <cellStyle name="Input 10 2 4 2 4" xfId="9399" xr:uid="{00000000-0005-0000-0000-0000E6230000}"/>
    <cellStyle name="Input 10 2 4 2 4 2" xfId="9400" xr:uid="{00000000-0005-0000-0000-0000E7230000}"/>
    <cellStyle name="Input 10 2 4 2 5" xfId="9401" xr:uid="{00000000-0005-0000-0000-0000E8230000}"/>
    <cellStyle name="Input 10 2 4 2 5 2" xfId="9402" xr:uid="{00000000-0005-0000-0000-0000E9230000}"/>
    <cellStyle name="Input 10 2 4 2 6" xfId="9403" xr:uid="{00000000-0005-0000-0000-0000EA230000}"/>
    <cellStyle name="Input 10 2 4 2 7" xfId="9404" xr:uid="{00000000-0005-0000-0000-0000EB230000}"/>
    <cellStyle name="Input 10 2 4 2 8" xfId="9405" xr:uid="{00000000-0005-0000-0000-0000EC230000}"/>
    <cellStyle name="Input 10 2 4 3" xfId="9406" xr:uid="{00000000-0005-0000-0000-0000ED230000}"/>
    <cellStyle name="Input 10 2 4 3 2" xfId="9407" xr:uid="{00000000-0005-0000-0000-0000EE230000}"/>
    <cellStyle name="Input 10 2 4 3 2 2" xfId="9408" xr:uid="{00000000-0005-0000-0000-0000EF230000}"/>
    <cellStyle name="Input 10 2 4 3 2 2 2" xfId="9409" xr:uid="{00000000-0005-0000-0000-0000F0230000}"/>
    <cellStyle name="Input 10 2 4 3 2 2 2 2" xfId="9410" xr:uid="{00000000-0005-0000-0000-0000F1230000}"/>
    <cellStyle name="Input 10 2 4 3 2 2 3" xfId="9411" xr:uid="{00000000-0005-0000-0000-0000F2230000}"/>
    <cellStyle name="Input 10 2 4 3 2 2 3 2" xfId="9412" xr:uid="{00000000-0005-0000-0000-0000F3230000}"/>
    <cellStyle name="Input 10 2 4 3 2 2 4" xfId="9413" xr:uid="{00000000-0005-0000-0000-0000F4230000}"/>
    <cellStyle name="Input 10 2 4 3 2 2 5" xfId="9414" xr:uid="{00000000-0005-0000-0000-0000F5230000}"/>
    <cellStyle name="Input 10 2 4 3 2 2 6" xfId="9415" xr:uid="{00000000-0005-0000-0000-0000F6230000}"/>
    <cellStyle name="Input 10 2 4 3 2 3" xfId="9416" xr:uid="{00000000-0005-0000-0000-0000F7230000}"/>
    <cellStyle name="Input 10 2 4 3 2 3 2" xfId="9417" xr:uid="{00000000-0005-0000-0000-0000F8230000}"/>
    <cellStyle name="Input 10 2 4 3 2 4" xfId="9418" xr:uid="{00000000-0005-0000-0000-0000F9230000}"/>
    <cellStyle name="Input 10 2 4 3 2 4 2" xfId="9419" xr:uid="{00000000-0005-0000-0000-0000FA230000}"/>
    <cellStyle name="Input 10 2 4 3 2 5" xfId="9420" xr:uid="{00000000-0005-0000-0000-0000FB230000}"/>
    <cellStyle name="Input 10 2 4 3 2 6" xfId="9421" xr:uid="{00000000-0005-0000-0000-0000FC230000}"/>
    <cellStyle name="Input 10 2 4 3 2 7" xfId="9422" xr:uid="{00000000-0005-0000-0000-0000FD230000}"/>
    <cellStyle name="Input 10 2 4 3 3" xfId="9423" xr:uid="{00000000-0005-0000-0000-0000FE230000}"/>
    <cellStyle name="Input 10 2 4 3 3 2" xfId="9424" xr:uid="{00000000-0005-0000-0000-0000FF230000}"/>
    <cellStyle name="Input 10 2 4 3 3 2 2" xfId="9425" xr:uid="{00000000-0005-0000-0000-000000240000}"/>
    <cellStyle name="Input 10 2 4 3 3 3" xfId="9426" xr:uid="{00000000-0005-0000-0000-000001240000}"/>
    <cellStyle name="Input 10 2 4 3 3 3 2" xfId="9427" xr:uid="{00000000-0005-0000-0000-000002240000}"/>
    <cellStyle name="Input 10 2 4 3 3 4" xfId="9428" xr:uid="{00000000-0005-0000-0000-000003240000}"/>
    <cellStyle name="Input 10 2 4 3 3 5" xfId="9429" xr:uid="{00000000-0005-0000-0000-000004240000}"/>
    <cellStyle name="Input 10 2 4 3 3 6" xfId="9430" xr:uid="{00000000-0005-0000-0000-000005240000}"/>
    <cellStyle name="Input 10 2 4 3 4" xfId="9431" xr:uid="{00000000-0005-0000-0000-000006240000}"/>
    <cellStyle name="Input 10 2 4 3 4 2" xfId="9432" xr:uid="{00000000-0005-0000-0000-000007240000}"/>
    <cellStyle name="Input 10 2 4 3 5" xfId="9433" xr:uid="{00000000-0005-0000-0000-000008240000}"/>
    <cellStyle name="Input 10 2 4 3 5 2" xfId="9434" xr:uid="{00000000-0005-0000-0000-000009240000}"/>
    <cellStyle name="Input 10 2 4 3 6" xfId="9435" xr:uid="{00000000-0005-0000-0000-00000A240000}"/>
    <cellStyle name="Input 10 2 4 3 7" xfId="9436" xr:uid="{00000000-0005-0000-0000-00000B240000}"/>
    <cellStyle name="Input 10 2 4 3 8" xfId="9437" xr:uid="{00000000-0005-0000-0000-00000C240000}"/>
    <cellStyle name="Input 10 2 4 4" xfId="9438" xr:uid="{00000000-0005-0000-0000-00000D240000}"/>
    <cellStyle name="Input 10 2 4 4 2" xfId="9439" xr:uid="{00000000-0005-0000-0000-00000E240000}"/>
    <cellStyle name="Input 10 2 4 4 2 2" xfId="9440" xr:uid="{00000000-0005-0000-0000-00000F240000}"/>
    <cellStyle name="Input 10 2 4 4 2 2 2" xfId="9441" xr:uid="{00000000-0005-0000-0000-000010240000}"/>
    <cellStyle name="Input 10 2 4 4 2 3" xfId="9442" xr:uid="{00000000-0005-0000-0000-000011240000}"/>
    <cellStyle name="Input 10 2 4 4 2 3 2" xfId="9443" xr:uid="{00000000-0005-0000-0000-000012240000}"/>
    <cellStyle name="Input 10 2 4 4 2 4" xfId="9444" xr:uid="{00000000-0005-0000-0000-000013240000}"/>
    <cellStyle name="Input 10 2 4 4 2 5" xfId="9445" xr:uid="{00000000-0005-0000-0000-000014240000}"/>
    <cellStyle name="Input 10 2 4 4 2 6" xfId="9446" xr:uid="{00000000-0005-0000-0000-000015240000}"/>
    <cellStyle name="Input 10 2 4 4 3" xfId="9447" xr:uid="{00000000-0005-0000-0000-000016240000}"/>
    <cellStyle name="Input 10 2 4 4 3 2" xfId="9448" xr:uid="{00000000-0005-0000-0000-000017240000}"/>
    <cellStyle name="Input 10 2 4 4 4" xfId="9449" xr:uid="{00000000-0005-0000-0000-000018240000}"/>
    <cellStyle name="Input 10 2 4 4 4 2" xfId="9450" xr:uid="{00000000-0005-0000-0000-000019240000}"/>
    <cellStyle name="Input 10 2 4 4 5" xfId="9451" xr:uid="{00000000-0005-0000-0000-00001A240000}"/>
    <cellStyle name="Input 10 2 4 4 6" xfId="9452" xr:uid="{00000000-0005-0000-0000-00001B240000}"/>
    <cellStyle name="Input 10 2 4 4 7" xfId="9453" xr:uid="{00000000-0005-0000-0000-00001C240000}"/>
    <cellStyle name="Input 10 2 4 5" xfId="9454" xr:uid="{00000000-0005-0000-0000-00001D240000}"/>
    <cellStyle name="Input 10 2 4 5 2" xfId="9455" xr:uid="{00000000-0005-0000-0000-00001E240000}"/>
    <cellStyle name="Input 10 2 4 5 2 2" xfId="9456" xr:uid="{00000000-0005-0000-0000-00001F240000}"/>
    <cellStyle name="Input 10 2 4 5 3" xfId="9457" xr:uid="{00000000-0005-0000-0000-000020240000}"/>
    <cellStyle name="Input 10 2 4 5 3 2" xfId="9458" xr:uid="{00000000-0005-0000-0000-000021240000}"/>
    <cellStyle name="Input 10 2 4 5 4" xfId="9459" xr:uid="{00000000-0005-0000-0000-000022240000}"/>
    <cellStyle name="Input 10 2 4 5 5" xfId="9460" xr:uid="{00000000-0005-0000-0000-000023240000}"/>
    <cellStyle name="Input 10 2 4 5 6" xfId="9461" xr:uid="{00000000-0005-0000-0000-000024240000}"/>
    <cellStyle name="Input 10 2 4 6" xfId="9462" xr:uid="{00000000-0005-0000-0000-000025240000}"/>
    <cellStyle name="Input 10 2 4 6 2" xfId="9463" xr:uid="{00000000-0005-0000-0000-000026240000}"/>
    <cellStyle name="Input 10 2 4 7" xfId="9464" xr:uid="{00000000-0005-0000-0000-000027240000}"/>
    <cellStyle name="Input 10 2 4 7 2" xfId="9465" xr:uid="{00000000-0005-0000-0000-000028240000}"/>
    <cellStyle name="Input 10 2 4 8" xfId="9466" xr:uid="{00000000-0005-0000-0000-000029240000}"/>
    <cellStyle name="Input 10 2 4 9" xfId="9467" xr:uid="{00000000-0005-0000-0000-00002A240000}"/>
    <cellStyle name="Input 10 2 5" xfId="9468" xr:uid="{00000000-0005-0000-0000-00002B240000}"/>
    <cellStyle name="Input 10 2 5 2" xfId="9469" xr:uid="{00000000-0005-0000-0000-00002C240000}"/>
    <cellStyle name="Input 10 2 5 2 2" xfId="9470" xr:uid="{00000000-0005-0000-0000-00002D240000}"/>
    <cellStyle name="Input 10 2 5 2 2 2" xfId="9471" xr:uid="{00000000-0005-0000-0000-00002E240000}"/>
    <cellStyle name="Input 10 2 5 2 2 2 2" xfId="9472" xr:uid="{00000000-0005-0000-0000-00002F240000}"/>
    <cellStyle name="Input 10 2 5 2 2 3" xfId="9473" xr:uid="{00000000-0005-0000-0000-000030240000}"/>
    <cellStyle name="Input 10 2 5 2 2 3 2" xfId="9474" xr:uid="{00000000-0005-0000-0000-000031240000}"/>
    <cellStyle name="Input 10 2 5 2 2 4" xfId="9475" xr:uid="{00000000-0005-0000-0000-000032240000}"/>
    <cellStyle name="Input 10 2 5 2 2 5" xfId="9476" xr:uid="{00000000-0005-0000-0000-000033240000}"/>
    <cellStyle name="Input 10 2 5 2 2 6" xfId="9477" xr:uid="{00000000-0005-0000-0000-000034240000}"/>
    <cellStyle name="Input 10 2 5 2 3" xfId="9478" xr:uid="{00000000-0005-0000-0000-000035240000}"/>
    <cellStyle name="Input 10 2 5 2 3 2" xfId="9479" xr:uid="{00000000-0005-0000-0000-000036240000}"/>
    <cellStyle name="Input 10 2 5 2 4" xfId="9480" xr:uid="{00000000-0005-0000-0000-000037240000}"/>
    <cellStyle name="Input 10 2 5 2 4 2" xfId="9481" xr:uid="{00000000-0005-0000-0000-000038240000}"/>
    <cellStyle name="Input 10 2 5 2 5" xfId="9482" xr:uid="{00000000-0005-0000-0000-000039240000}"/>
    <cellStyle name="Input 10 2 5 2 6" xfId="9483" xr:uid="{00000000-0005-0000-0000-00003A240000}"/>
    <cellStyle name="Input 10 2 5 2 7" xfId="9484" xr:uid="{00000000-0005-0000-0000-00003B240000}"/>
    <cellStyle name="Input 10 2 5 3" xfId="9485" xr:uid="{00000000-0005-0000-0000-00003C240000}"/>
    <cellStyle name="Input 10 2 5 3 2" xfId="9486" xr:uid="{00000000-0005-0000-0000-00003D240000}"/>
    <cellStyle name="Input 10 2 5 3 2 2" xfId="9487" xr:uid="{00000000-0005-0000-0000-00003E240000}"/>
    <cellStyle name="Input 10 2 5 3 3" xfId="9488" xr:uid="{00000000-0005-0000-0000-00003F240000}"/>
    <cellStyle name="Input 10 2 5 3 3 2" xfId="9489" xr:uid="{00000000-0005-0000-0000-000040240000}"/>
    <cellStyle name="Input 10 2 5 3 4" xfId="9490" xr:uid="{00000000-0005-0000-0000-000041240000}"/>
    <cellStyle name="Input 10 2 5 3 5" xfId="9491" xr:uid="{00000000-0005-0000-0000-000042240000}"/>
    <cellStyle name="Input 10 2 5 3 6" xfId="9492" xr:uid="{00000000-0005-0000-0000-000043240000}"/>
    <cellStyle name="Input 10 2 5 4" xfId="9493" xr:uid="{00000000-0005-0000-0000-000044240000}"/>
    <cellStyle name="Input 10 2 5 4 2" xfId="9494" xr:uid="{00000000-0005-0000-0000-000045240000}"/>
    <cellStyle name="Input 10 2 5 5" xfId="9495" xr:uid="{00000000-0005-0000-0000-000046240000}"/>
    <cellStyle name="Input 10 2 5 5 2" xfId="9496" xr:uid="{00000000-0005-0000-0000-000047240000}"/>
    <cellStyle name="Input 10 2 5 6" xfId="9497" xr:uid="{00000000-0005-0000-0000-000048240000}"/>
    <cellStyle name="Input 10 2 5 7" xfId="9498" xr:uid="{00000000-0005-0000-0000-000049240000}"/>
    <cellStyle name="Input 10 2 5 8" xfId="9499" xr:uid="{00000000-0005-0000-0000-00004A240000}"/>
    <cellStyle name="Input 10 2 6" xfId="9500" xr:uid="{00000000-0005-0000-0000-00004B240000}"/>
    <cellStyle name="Input 10 2 6 2" xfId="9501" xr:uid="{00000000-0005-0000-0000-00004C240000}"/>
    <cellStyle name="Input 10 2 6 2 2" xfId="9502" xr:uid="{00000000-0005-0000-0000-00004D240000}"/>
    <cellStyle name="Input 10 2 6 2 2 2" xfId="9503" xr:uid="{00000000-0005-0000-0000-00004E240000}"/>
    <cellStyle name="Input 10 2 6 2 3" xfId="9504" xr:uid="{00000000-0005-0000-0000-00004F240000}"/>
    <cellStyle name="Input 10 2 6 2 3 2" xfId="9505" xr:uid="{00000000-0005-0000-0000-000050240000}"/>
    <cellStyle name="Input 10 2 6 2 4" xfId="9506" xr:uid="{00000000-0005-0000-0000-000051240000}"/>
    <cellStyle name="Input 10 2 6 2 5" xfId="9507" xr:uid="{00000000-0005-0000-0000-000052240000}"/>
    <cellStyle name="Input 10 2 6 2 6" xfId="9508" xr:uid="{00000000-0005-0000-0000-000053240000}"/>
    <cellStyle name="Input 10 2 6 3" xfId="9509" xr:uid="{00000000-0005-0000-0000-000054240000}"/>
    <cellStyle name="Input 10 2 6 3 2" xfId="9510" xr:uid="{00000000-0005-0000-0000-000055240000}"/>
    <cellStyle name="Input 10 2 6 4" xfId="9511" xr:uid="{00000000-0005-0000-0000-000056240000}"/>
    <cellStyle name="Input 10 2 6 4 2" xfId="9512" xr:uid="{00000000-0005-0000-0000-000057240000}"/>
    <cellStyle name="Input 10 2 6 5" xfId="9513" xr:uid="{00000000-0005-0000-0000-000058240000}"/>
    <cellStyle name="Input 10 2 6 6" xfId="9514" xr:uid="{00000000-0005-0000-0000-000059240000}"/>
    <cellStyle name="Input 10 2 6 7" xfId="9515" xr:uid="{00000000-0005-0000-0000-00005A240000}"/>
    <cellStyle name="Input 10 2 7" xfId="9516" xr:uid="{00000000-0005-0000-0000-00005B240000}"/>
    <cellStyle name="Input 10 2 7 2" xfId="9517" xr:uid="{00000000-0005-0000-0000-00005C240000}"/>
    <cellStyle name="Input 10 2 7 2 2" xfId="9518" xr:uid="{00000000-0005-0000-0000-00005D240000}"/>
    <cellStyle name="Input 10 2 7 3" xfId="9519" xr:uid="{00000000-0005-0000-0000-00005E240000}"/>
    <cellStyle name="Input 10 2 7 3 2" xfId="9520" xr:uid="{00000000-0005-0000-0000-00005F240000}"/>
    <cellStyle name="Input 10 2 7 4" xfId="9521" xr:uid="{00000000-0005-0000-0000-000060240000}"/>
    <cellStyle name="Input 10 2 7 5" xfId="9522" xr:uid="{00000000-0005-0000-0000-000061240000}"/>
    <cellStyle name="Input 10 2 7 6" xfId="9523" xr:uid="{00000000-0005-0000-0000-000062240000}"/>
    <cellStyle name="Input 10 2 8" xfId="9524" xr:uid="{00000000-0005-0000-0000-000063240000}"/>
    <cellStyle name="Input 10 2 8 2" xfId="9525" xr:uid="{00000000-0005-0000-0000-000064240000}"/>
    <cellStyle name="Input 10 2 9" xfId="9526" xr:uid="{00000000-0005-0000-0000-000065240000}"/>
    <cellStyle name="Input 10 2 9 2" xfId="9527" xr:uid="{00000000-0005-0000-0000-000066240000}"/>
    <cellStyle name="Input 10 3" xfId="9528" xr:uid="{00000000-0005-0000-0000-000067240000}"/>
    <cellStyle name="Input 10 3 10" xfId="9529" xr:uid="{00000000-0005-0000-0000-000068240000}"/>
    <cellStyle name="Input 10 3 11" xfId="9530" xr:uid="{00000000-0005-0000-0000-000069240000}"/>
    <cellStyle name="Input 10 3 2" xfId="9531" xr:uid="{00000000-0005-0000-0000-00006A240000}"/>
    <cellStyle name="Input 10 3 2 10" xfId="9532" xr:uid="{00000000-0005-0000-0000-00006B240000}"/>
    <cellStyle name="Input 10 3 2 2" xfId="9533" xr:uid="{00000000-0005-0000-0000-00006C240000}"/>
    <cellStyle name="Input 10 3 2 2 10" xfId="9534" xr:uid="{00000000-0005-0000-0000-00006D240000}"/>
    <cellStyle name="Input 10 3 2 2 2" xfId="9535" xr:uid="{00000000-0005-0000-0000-00006E240000}"/>
    <cellStyle name="Input 10 3 2 2 2 2" xfId="9536" xr:uid="{00000000-0005-0000-0000-00006F240000}"/>
    <cellStyle name="Input 10 3 2 2 2 2 2" xfId="9537" xr:uid="{00000000-0005-0000-0000-000070240000}"/>
    <cellStyle name="Input 10 3 2 2 2 2 2 2" xfId="9538" xr:uid="{00000000-0005-0000-0000-000071240000}"/>
    <cellStyle name="Input 10 3 2 2 2 2 2 2 2" xfId="9539" xr:uid="{00000000-0005-0000-0000-000072240000}"/>
    <cellStyle name="Input 10 3 2 2 2 2 2 3" xfId="9540" xr:uid="{00000000-0005-0000-0000-000073240000}"/>
    <cellStyle name="Input 10 3 2 2 2 2 2 3 2" xfId="9541" xr:uid="{00000000-0005-0000-0000-000074240000}"/>
    <cellStyle name="Input 10 3 2 2 2 2 2 4" xfId="9542" xr:uid="{00000000-0005-0000-0000-000075240000}"/>
    <cellStyle name="Input 10 3 2 2 2 2 2 5" xfId="9543" xr:uid="{00000000-0005-0000-0000-000076240000}"/>
    <cellStyle name="Input 10 3 2 2 2 2 2 6" xfId="9544" xr:uid="{00000000-0005-0000-0000-000077240000}"/>
    <cellStyle name="Input 10 3 2 2 2 2 3" xfId="9545" xr:uid="{00000000-0005-0000-0000-000078240000}"/>
    <cellStyle name="Input 10 3 2 2 2 2 3 2" xfId="9546" xr:uid="{00000000-0005-0000-0000-000079240000}"/>
    <cellStyle name="Input 10 3 2 2 2 2 4" xfId="9547" xr:uid="{00000000-0005-0000-0000-00007A240000}"/>
    <cellStyle name="Input 10 3 2 2 2 2 4 2" xfId="9548" xr:uid="{00000000-0005-0000-0000-00007B240000}"/>
    <cellStyle name="Input 10 3 2 2 2 2 5" xfId="9549" xr:uid="{00000000-0005-0000-0000-00007C240000}"/>
    <cellStyle name="Input 10 3 2 2 2 2 6" xfId="9550" xr:uid="{00000000-0005-0000-0000-00007D240000}"/>
    <cellStyle name="Input 10 3 2 2 2 2 7" xfId="9551" xr:uid="{00000000-0005-0000-0000-00007E240000}"/>
    <cellStyle name="Input 10 3 2 2 2 3" xfId="9552" xr:uid="{00000000-0005-0000-0000-00007F240000}"/>
    <cellStyle name="Input 10 3 2 2 2 3 2" xfId="9553" xr:uid="{00000000-0005-0000-0000-000080240000}"/>
    <cellStyle name="Input 10 3 2 2 2 3 2 2" xfId="9554" xr:uid="{00000000-0005-0000-0000-000081240000}"/>
    <cellStyle name="Input 10 3 2 2 2 3 3" xfId="9555" xr:uid="{00000000-0005-0000-0000-000082240000}"/>
    <cellStyle name="Input 10 3 2 2 2 3 3 2" xfId="9556" xr:uid="{00000000-0005-0000-0000-000083240000}"/>
    <cellStyle name="Input 10 3 2 2 2 3 4" xfId="9557" xr:uid="{00000000-0005-0000-0000-000084240000}"/>
    <cellStyle name="Input 10 3 2 2 2 3 5" xfId="9558" xr:uid="{00000000-0005-0000-0000-000085240000}"/>
    <cellStyle name="Input 10 3 2 2 2 3 6" xfId="9559" xr:uid="{00000000-0005-0000-0000-000086240000}"/>
    <cellStyle name="Input 10 3 2 2 2 4" xfId="9560" xr:uid="{00000000-0005-0000-0000-000087240000}"/>
    <cellStyle name="Input 10 3 2 2 2 4 2" xfId="9561" xr:uid="{00000000-0005-0000-0000-000088240000}"/>
    <cellStyle name="Input 10 3 2 2 2 5" xfId="9562" xr:uid="{00000000-0005-0000-0000-000089240000}"/>
    <cellStyle name="Input 10 3 2 2 2 5 2" xfId="9563" xr:uid="{00000000-0005-0000-0000-00008A240000}"/>
    <cellStyle name="Input 10 3 2 2 2 6" xfId="9564" xr:uid="{00000000-0005-0000-0000-00008B240000}"/>
    <cellStyle name="Input 10 3 2 2 2 7" xfId="9565" xr:uid="{00000000-0005-0000-0000-00008C240000}"/>
    <cellStyle name="Input 10 3 2 2 2 8" xfId="9566" xr:uid="{00000000-0005-0000-0000-00008D240000}"/>
    <cellStyle name="Input 10 3 2 2 3" xfId="9567" xr:uid="{00000000-0005-0000-0000-00008E240000}"/>
    <cellStyle name="Input 10 3 2 2 3 2" xfId="9568" xr:uid="{00000000-0005-0000-0000-00008F240000}"/>
    <cellStyle name="Input 10 3 2 2 3 2 2" xfId="9569" xr:uid="{00000000-0005-0000-0000-000090240000}"/>
    <cellStyle name="Input 10 3 2 2 3 2 2 2" xfId="9570" xr:uid="{00000000-0005-0000-0000-000091240000}"/>
    <cellStyle name="Input 10 3 2 2 3 2 2 2 2" xfId="9571" xr:uid="{00000000-0005-0000-0000-000092240000}"/>
    <cellStyle name="Input 10 3 2 2 3 2 2 3" xfId="9572" xr:uid="{00000000-0005-0000-0000-000093240000}"/>
    <cellStyle name="Input 10 3 2 2 3 2 2 3 2" xfId="9573" xr:uid="{00000000-0005-0000-0000-000094240000}"/>
    <cellStyle name="Input 10 3 2 2 3 2 2 4" xfId="9574" xr:uid="{00000000-0005-0000-0000-000095240000}"/>
    <cellStyle name="Input 10 3 2 2 3 2 2 5" xfId="9575" xr:uid="{00000000-0005-0000-0000-000096240000}"/>
    <cellStyle name="Input 10 3 2 2 3 2 2 6" xfId="9576" xr:uid="{00000000-0005-0000-0000-000097240000}"/>
    <cellStyle name="Input 10 3 2 2 3 2 3" xfId="9577" xr:uid="{00000000-0005-0000-0000-000098240000}"/>
    <cellStyle name="Input 10 3 2 2 3 2 3 2" xfId="9578" xr:uid="{00000000-0005-0000-0000-000099240000}"/>
    <cellStyle name="Input 10 3 2 2 3 2 4" xfId="9579" xr:uid="{00000000-0005-0000-0000-00009A240000}"/>
    <cellStyle name="Input 10 3 2 2 3 2 4 2" xfId="9580" xr:uid="{00000000-0005-0000-0000-00009B240000}"/>
    <cellStyle name="Input 10 3 2 2 3 2 5" xfId="9581" xr:uid="{00000000-0005-0000-0000-00009C240000}"/>
    <cellStyle name="Input 10 3 2 2 3 2 6" xfId="9582" xr:uid="{00000000-0005-0000-0000-00009D240000}"/>
    <cellStyle name="Input 10 3 2 2 3 2 7" xfId="9583" xr:uid="{00000000-0005-0000-0000-00009E240000}"/>
    <cellStyle name="Input 10 3 2 2 3 3" xfId="9584" xr:uid="{00000000-0005-0000-0000-00009F240000}"/>
    <cellStyle name="Input 10 3 2 2 3 3 2" xfId="9585" xr:uid="{00000000-0005-0000-0000-0000A0240000}"/>
    <cellStyle name="Input 10 3 2 2 3 3 2 2" xfId="9586" xr:uid="{00000000-0005-0000-0000-0000A1240000}"/>
    <cellStyle name="Input 10 3 2 2 3 3 3" xfId="9587" xr:uid="{00000000-0005-0000-0000-0000A2240000}"/>
    <cellStyle name="Input 10 3 2 2 3 3 3 2" xfId="9588" xr:uid="{00000000-0005-0000-0000-0000A3240000}"/>
    <cellStyle name="Input 10 3 2 2 3 3 4" xfId="9589" xr:uid="{00000000-0005-0000-0000-0000A4240000}"/>
    <cellStyle name="Input 10 3 2 2 3 3 5" xfId="9590" xr:uid="{00000000-0005-0000-0000-0000A5240000}"/>
    <cellStyle name="Input 10 3 2 2 3 3 6" xfId="9591" xr:uid="{00000000-0005-0000-0000-0000A6240000}"/>
    <cellStyle name="Input 10 3 2 2 3 4" xfId="9592" xr:uid="{00000000-0005-0000-0000-0000A7240000}"/>
    <cellStyle name="Input 10 3 2 2 3 4 2" xfId="9593" xr:uid="{00000000-0005-0000-0000-0000A8240000}"/>
    <cellStyle name="Input 10 3 2 2 3 5" xfId="9594" xr:uid="{00000000-0005-0000-0000-0000A9240000}"/>
    <cellStyle name="Input 10 3 2 2 3 5 2" xfId="9595" xr:uid="{00000000-0005-0000-0000-0000AA240000}"/>
    <cellStyle name="Input 10 3 2 2 3 6" xfId="9596" xr:uid="{00000000-0005-0000-0000-0000AB240000}"/>
    <cellStyle name="Input 10 3 2 2 3 7" xfId="9597" xr:uid="{00000000-0005-0000-0000-0000AC240000}"/>
    <cellStyle name="Input 10 3 2 2 3 8" xfId="9598" xr:uid="{00000000-0005-0000-0000-0000AD240000}"/>
    <cellStyle name="Input 10 3 2 2 4" xfId="9599" xr:uid="{00000000-0005-0000-0000-0000AE240000}"/>
    <cellStyle name="Input 10 3 2 2 4 2" xfId="9600" xr:uid="{00000000-0005-0000-0000-0000AF240000}"/>
    <cellStyle name="Input 10 3 2 2 4 2 2" xfId="9601" xr:uid="{00000000-0005-0000-0000-0000B0240000}"/>
    <cellStyle name="Input 10 3 2 2 4 2 2 2" xfId="9602" xr:uid="{00000000-0005-0000-0000-0000B1240000}"/>
    <cellStyle name="Input 10 3 2 2 4 2 3" xfId="9603" xr:uid="{00000000-0005-0000-0000-0000B2240000}"/>
    <cellStyle name="Input 10 3 2 2 4 2 3 2" xfId="9604" xr:uid="{00000000-0005-0000-0000-0000B3240000}"/>
    <cellStyle name="Input 10 3 2 2 4 2 4" xfId="9605" xr:uid="{00000000-0005-0000-0000-0000B4240000}"/>
    <cellStyle name="Input 10 3 2 2 4 2 5" xfId="9606" xr:uid="{00000000-0005-0000-0000-0000B5240000}"/>
    <cellStyle name="Input 10 3 2 2 4 2 6" xfId="9607" xr:uid="{00000000-0005-0000-0000-0000B6240000}"/>
    <cellStyle name="Input 10 3 2 2 4 3" xfId="9608" xr:uid="{00000000-0005-0000-0000-0000B7240000}"/>
    <cellStyle name="Input 10 3 2 2 4 3 2" xfId="9609" xr:uid="{00000000-0005-0000-0000-0000B8240000}"/>
    <cellStyle name="Input 10 3 2 2 4 4" xfId="9610" xr:uid="{00000000-0005-0000-0000-0000B9240000}"/>
    <cellStyle name="Input 10 3 2 2 4 4 2" xfId="9611" xr:uid="{00000000-0005-0000-0000-0000BA240000}"/>
    <cellStyle name="Input 10 3 2 2 4 5" xfId="9612" xr:uid="{00000000-0005-0000-0000-0000BB240000}"/>
    <cellStyle name="Input 10 3 2 2 4 6" xfId="9613" xr:uid="{00000000-0005-0000-0000-0000BC240000}"/>
    <cellStyle name="Input 10 3 2 2 4 7" xfId="9614" xr:uid="{00000000-0005-0000-0000-0000BD240000}"/>
    <cellStyle name="Input 10 3 2 2 5" xfId="9615" xr:uid="{00000000-0005-0000-0000-0000BE240000}"/>
    <cellStyle name="Input 10 3 2 2 5 2" xfId="9616" xr:uid="{00000000-0005-0000-0000-0000BF240000}"/>
    <cellStyle name="Input 10 3 2 2 5 2 2" xfId="9617" xr:uid="{00000000-0005-0000-0000-0000C0240000}"/>
    <cellStyle name="Input 10 3 2 2 5 3" xfId="9618" xr:uid="{00000000-0005-0000-0000-0000C1240000}"/>
    <cellStyle name="Input 10 3 2 2 5 3 2" xfId="9619" xr:uid="{00000000-0005-0000-0000-0000C2240000}"/>
    <cellStyle name="Input 10 3 2 2 5 4" xfId="9620" xr:uid="{00000000-0005-0000-0000-0000C3240000}"/>
    <cellStyle name="Input 10 3 2 2 5 5" xfId="9621" xr:uid="{00000000-0005-0000-0000-0000C4240000}"/>
    <cellStyle name="Input 10 3 2 2 5 6" xfId="9622" xr:uid="{00000000-0005-0000-0000-0000C5240000}"/>
    <cellStyle name="Input 10 3 2 2 6" xfId="9623" xr:uid="{00000000-0005-0000-0000-0000C6240000}"/>
    <cellStyle name="Input 10 3 2 2 6 2" xfId="9624" xr:uid="{00000000-0005-0000-0000-0000C7240000}"/>
    <cellStyle name="Input 10 3 2 2 7" xfId="9625" xr:uid="{00000000-0005-0000-0000-0000C8240000}"/>
    <cellStyle name="Input 10 3 2 2 7 2" xfId="9626" xr:uid="{00000000-0005-0000-0000-0000C9240000}"/>
    <cellStyle name="Input 10 3 2 2 8" xfId="9627" xr:uid="{00000000-0005-0000-0000-0000CA240000}"/>
    <cellStyle name="Input 10 3 2 2 9" xfId="9628" xr:uid="{00000000-0005-0000-0000-0000CB240000}"/>
    <cellStyle name="Input 10 3 2 3" xfId="9629" xr:uid="{00000000-0005-0000-0000-0000CC240000}"/>
    <cellStyle name="Input 10 3 2 3 2" xfId="9630" xr:uid="{00000000-0005-0000-0000-0000CD240000}"/>
    <cellStyle name="Input 10 3 2 3 2 2" xfId="9631" xr:uid="{00000000-0005-0000-0000-0000CE240000}"/>
    <cellStyle name="Input 10 3 2 3 2 2 2" xfId="9632" xr:uid="{00000000-0005-0000-0000-0000CF240000}"/>
    <cellStyle name="Input 10 3 2 3 2 2 2 2" xfId="9633" xr:uid="{00000000-0005-0000-0000-0000D0240000}"/>
    <cellStyle name="Input 10 3 2 3 2 2 3" xfId="9634" xr:uid="{00000000-0005-0000-0000-0000D1240000}"/>
    <cellStyle name="Input 10 3 2 3 2 2 3 2" xfId="9635" xr:uid="{00000000-0005-0000-0000-0000D2240000}"/>
    <cellStyle name="Input 10 3 2 3 2 2 4" xfId="9636" xr:uid="{00000000-0005-0000-0000-0000D3240000}"/>
    <cellStyle name="Input 10 3 2 3 2 2 5" xfId="9637" xr:uid="{00000000-0005-0000-0000-0000D4240000}"/>
    <cellStyle name="Input 10 3 2 3 2 2 6" xfId="9638" xr:uid="{00000000-0005-0000-0000-0000D5240000}"/>
    <cellStyle name="Input 10 3 2 3 2 3" xfId="9639" xr:uid="{00000000-0005-0000-0000-0000D6240000}"/>
    <cellStyle name="Input 10 3 2 3 2 3 2" xfId="9640" xr:uid="{00000000-0005-0000-0000-0000D7240000}"/>
    <cellStyle name="Input 10 3 2 3 2 4" xfId="9641" xr:uid="{00000000-0005-0000-0000-0000D8240000}"/>
    <cellStyle name="Input 10 3 2 3 2 4 2" xfId="9642" xr:uid="{00000000-0005-0000-0000-0000D9240000}"/>
    <cellStyle name="Input 10 3 2 3 2 5" xfId="9643" xr:uid="{00000000-0005-0000-0000-0000DA240000}"/>
    <cellStyle name="Input 10 3 2 3 2 6" xfId="9644" xr:uid="{00000000-0005-0000-0000-0000DB240000}"/>
    <cellStyle name="Input 10 3 2 3 2 7" xfId="9645" xr:uid="{00000000-0005-0000-0000-0000DC240000}"/>
    <cellStyle name="Input 10 3 2 3 3" xfId="9646" xr:uid="{00000000-0005-0000-0000-0000DD240000}"/>
    <cellStyle name="Input 10 3 2 3 3 2" xfId="9647" xr:uid="{00000000-0005-0000-0000-0000DE240000}"/>
    <cellStyle name="Input 10 3 2 3 3 2 2" xfId="9648" xr:uid="{00000000-0005-0000-0000-0000DF240000}"/>
    <cellStyle name="Input 10 3 2 3 3 3" xfId="9649" xr:uid="{00000000-0005-0000-0000-0000E0240000}"/>
    <cellStyle name="Input 10 3 2 3 3 3 2" xfId="9650" xr:uid="{00000000-0005-0000-0000-0000E1240000}"/>
    <cellStyle name="Input 10 3 2 3 3 4" xfId="9651" xr:uid="{00000000-0005-0000-0000-0000E2240000}"/>
    <cellStyle name="Input 10 3 2 3 3 5" xfId="9652" xr:uid="{00000000-0005-0000-0000-0000E3240000}"/>
    <cellStyle name="Input 10 3 2 3 3 6" xfId="9653" xr:uid="{00000000-0005-0000-0000-0000E4240000}"/>
    <cellStyle name="Input 10 3 2 3 4" xfId="9654" xr:uid="{00000000-0005-0000-0000-0000E5240000}"/>
    <cellStyle name="Input 10 3 2 3 4 2" xfId="9655" xr:uid="{00000000-0005-0000-0000-0000E6240000}"/>
    <cellStyle name="Input 10 3 2 3 5" xfId="9656" xr:uid="{00000000-0005-0000-0000-0000E7240000}"/>
    <cellStyle name="Input 10 3 2 3 5 2" xfId="9657" xr:uid="{00000000-0005-0000-0000-0000E8240000}"/>
    <cellStyle name="Input 10 3 2 3 6" xfId="9658" xr:uid="{00000000-0005-0000-0000-0000E9240000}"/>
    <cellStyle name="Input 10 3 2 3 7" xfId="9659" xr:uid="{00000000-0005-0000-0000-0000EA240000}"/>
    <cellStyle name="Input 10 3 2 3 8" xfId="9660" xr:uid="{00000000-0005-0000-0000-0000EB240000}"/>
    <cellStyle name="Input 10 3 2 4" xfId="9661" xr:uid="{00000000-0005-0000-0000-0000EC240000}"/>
    <cellStyle name="Input 10 3 2 4 2" xfId="9662" xr:uid="{00000000-0005-0000-0000-0000ED240000}"/>
    <cellStyle name="Input 10 3 2 4 2 2" xfId="9663" xr:uid="{00000000-0005-0000-0000-0000EE240000}"/>
    <cellStyle name="Input 10 3 2 4 2 2 2" xfId="9664" xr:uid="{00000000-0005-0000-0000-0000EF240000}"/>
    <cellStyle name="Input 10 3 2 4 2 3" xfId="9665" xr:uid="{00000000-0005-0000-0000-0000F0240000}"/>
    <cellStyle name="Input 10 3 2 4 2 3 2" xfId="9666" xr:uid="{00000000-0005-0000-0000-0000F1240000}"/>
    <cellStyle name="Input 10 3 2 4 2 4" xfId="9667" xr:uid="{00000000-0005-0000-0000-0000F2240000}"/>
    <cellStyle name="Input 10 3 2 4 2 5" xfId="9668" xr:uid="{00000000-0005-0000-0000-0000F3240000}"/>
    <cellStyle name="Input 10 3 2 4 2 6" xfId="9669" xr:uid="{00000000-0005-0000-0000-0000F4240000}"/>
    <cellStyle name="Input 10 3 2 4 3" xfId="9670" xr:uid="{00000000-0005-0000-0000-0000F5240000}"/>
    <cellStyle name="Input 10 3 2 4 3 2" xfId="9671" xr:uid="{00000000-0005-0000-0000-0000F6240000}"/>
    <cellStyle name="Input 10 3 2 4 4" xfId="9672" xr:uid="{00000000-0005-0000-0000-0000F7240000}"/>
    <cellStyle name="Input 10 3 2 4 4 2" xfId="9673" xr:uid="{00000000-0005-0000-0000-0000F8240000}"/>
    <cellStyle name="Input 10 3 2 4 5" xfId="9674" xr:uid="{00000000-0005-0000-0000-0000F9240000}"/>
    <cellStyle name="Input 10 3 2 4 6" xfId="9675" xr:uid="{00000000-0005-0000-0000-0000FA240000}"/>
    <cellStyle name="Input 10 3 2 4 7" xfId="9676" xr:uid="{00000000-0005-0000-0000-0000FB240000}"/>
    <cellStyle name="Input 10 3 2 5" xfId="9677" xr:uid="{00000000-0005-0000-0000-0000FC240000}"/>
    <cellStyle name="Input 10 3 2 5 2" xfId="9678" xr:uid="{00000000-0005-0000-0000-0000FD240000}"/>
    <cellStyle name="Input 10 3 2 5 2 2" xfId="9679" xr:uid="{00000000-0005-0000-0000-0000FE240000}"/>
    <cellStyle name="Input 10 3 2 5 3" xfId="9680" xr:uid="{00000000-0005-0000-0000-0000FF240000}"/>
    <cellStyle name="Input 10 3 2 5 3 2" xfId="9681" xr:uid="{00000000-0005-0000-0000-000000250000}"/>
    <cellStyle name="Input 10 3 2 5 4" xfId="9682" xr:uid="{00000000-0005-0000-0000-000001250000}"/>
    <cellStyle name="Input 10 3 2 5 5" xfId="9683" xr:uid="{00000000-0005-0000-0000-000002250000}"/>
    <cellStyle name="Input 10 3 2 5 6" xfId="9684" xr:uid="{00000000-0005-0000-0000-000003250000}"/>
    <cellStyle name="Input 10 3 2 6" xfId="9685" xr:uid="{00000000-0005-0000-0000-000004250000}"/>
    <cellStyle name="Input 10 3 2 6 2" xfId="9686" xr:uid="{00000000-0005-0000-0000-000005250000}"/>
    <cellStyle name="Input 10 3 2 7" xfId="9687" xr:uid="{00000000-0005-0000-0000-000006250000}"/>
    <cellStyle name="Input 10 3 2 7 2" xfId="9688" xr:uid="{00000000-0005-0000-0000-000007250000}"/>
    <cellStyle name="Input 10 3 2 8" xfId="9689" xr:uid="{00000000-0005-0000-0000-000008250000}"/>
    <cellStyle name="Input 10 3 2 9" xfId="9690" xr:uid="{00000000-0005-0000-0000-000009250000}"/>
    <cellStyle name="Input 10 3 3" xfId="9691" xr:uid="{00000000-0005-0000-0000-00000A250000}"/>
    <cellStyle name="Input 10 3 3 10" xfId="9692" xr:uid="{00000000-0005-0000-0000-00000B250000}"/>
    <cellStyle name="Input 10 3 3 2" xfId="9693" xr:uid="{00000000-0005-0000-0000-00000C250000}"/>
    <cellStyle name="Input 10 3 3 2 2" xfId="9694" xr:uid="{00000000-0005-0000-0000-00000D250000}"/>
    <cellStyle name="Input 10 3 3 2 2 2" xfId="9695" xr:uid="{00000000-0005-0000-0000-00000E250000}"/>
    <cellStyle name="Input 10 3 3 2 2 2 2" xfId="9696" xr:uid="{00000000-0005-0000-0000-00000F250000}"/>
    <cellStyle name="Input 10 3 3 2 2 2 2 2" xfId="9697" xr:uid="{00000000-0005-0000-0000-000010250000}"/>
    <cellStyle name="Input 10 3 3 2 2 2 3" xfId="9698" xr:uid="{00000000-0005-0000-0000-000011250000}"/>
    <cellStyle name="Input 10 3 3 2 2 2 3 2" xfId="9699" xr:uid="{00000000-0005-0000-0000-000012250000}"/>
    <cellStyle name="Input 10 3 3 2 2 2 4" xfId="9700" xr:uid="{00000000-0005-0000-0000-000013250000}"/>
    <cellStyle name="Input 10 3 3 2 2 2 5" xfId="9701" xr:uid="{00000000-0005-0000-0000-000014250000}"/>
    <cellStyle name="Input 10 3 3 2 2 2 6" xfId="9702" xr:uid="{00000000-0005-0000-0000-000015250000}"/>
    <cellStyle name="Input 10 3 3 2 2 3" xfId="9703" xr:uid="{00000000-0005-0000-0000-000016250000}"/>
    <cellStyle name="Input 10 3 3 2 2 3 2" xfId="9704" xr:uid="{00000000-0005-0000-0000-000017250000}"/>
    <cellStyle name="Input 10 3 3 2 2 4" xfId="9705" xr:uid="{00000000-0005-0000-0000-000018250000}"/>
    <cellStyle name="Input 10 3 3 2 2 4 2" xfId="9706" xr:uid="{00000000-0005-0000-0000-000019250000}"/>
    <cellStyle name="Input 10 3 3 2 2 5" xfId="9707" xr:uid="{00000000-0005-0000-0000-00001A250000}"/>
    <cellStyle name="Input 10 3 3 2 2 6" xfId="9708" xr:uid="{00000000-0005-0000-0000-00001B250000}"/>
    <cellStyle name="Input 10 3 3 2 2 7" xfId="9709" xr:uid="{00000000-0005-0000-0000-00001C250000}"/>
    <cellStyle name="Input 10 3 3 2 3" xfId="9710" xr:uid="{00000000-0005-0000-0000-00001D250000}"/>
    <cellStyle name="Input 10 3 3 2 3 2" xfId="9711" xr:uid="{00000000-0005-0000-0000-00001E250000}"/>
    <cellStyle name="Input 10 3 3 2 3 2 2" xfId="9712" xr:uid="{00000000-0005-0000-0000-00001F250000}"/>
    <cellStyle name="Input 10 3 3 2 3 3" xfId="9713" xr:uid="{00000000-0005-0000-0000-000020250000}"/>
    <cellStyle name="Input 10 3 3 2 3 3 2" xfId="9714" xr:uid="{00000000-0005-0000-0000-000021250000}"/>
    <cellStyle name="Input 10 3 3 2 3 4" xfId="9715" xr:uid="{00000000-0005-0000-0000-000022250000}"/>
    <cellStyle name="Input 10 3 3 2 3 5" xfId="9716" xr:uid="{00000000-0005-0000-0000-000023250000}"/>
    <cellStyle name="Input 10 3 3 2 3 6" xfId="9717" xr:uid="{00000000-0005-0000-0000-000024250000}"/>
    <cellStyle name="Input 10 3 3 2 4" xfId="9718" xr:uid="{00000000-0005-0000-0000-000025250000}"/>
    <cellStyle name="Input 10 3 3 2 4 2" xfId="9719" xr:uid="{00000000-0005-0000-0000-000026250000}"/>
    <cellStyle name="Input 10 3 3 2 5" xfId="9720" xr:uid="{00000000-0005-0000-0000-000027250000}"/>
    <cellStyle name="Input 10 3 3 2 5 2" xfId="9721" xr:uid="{00000000-0005-0000-0000-000028250000}"/>
    <cellStyle name="Input 10 3 3 2 6" xfId="9722" xr:uid="{00000000-0005-0000-0000-000029250000}"/>
    <cellStyle name="Input 10 3 3 2 7" xfId="9723" xr:uid="{00000000-0005-0000-0000-00002A250000}"/>
    <cellStyle name="Input 10 3 3 2 8" xfId="9724" xr:uid="{00000000-0005-0000-0000-00002B250000}"/>
    <cellStyle name="Input 10 3 3 3" xfId="9725" xr:uid="{00000000-0005-0000-0000-00002C250000}"/>
    <cellStyle name="Input 10 3 3 3 2" xfId="9726" xr:uid="{00000000-0005-0000-0000-00002D250000}"/>
    <cellStyle name="Input 10 3 3 3 2 2" xfId="9727" xr:uid="{00000000-0005-0000-0000-00002E250000}"/>
    <cellStyle name="Input 10 3 3 3 2 2 2" xfId="9728" xr:uid="{00000000-0005-0000-0000-00002F250000}"/>
    <cellStyle name="Input 10 3 3 3 2 2 2 2" xfId="9729" xr:uid="{00000000-0005-0000-0000-000030250000}"/>
    <cellStyle name="Input 10 3 3 3 2 2 3" xfId="9730" xr:uid="{00000000-0005-0000-0000-000031250000}"/>
    <cellStyle name="Input 10 3 3 3 2 2 3 2" xfId="9731" xr:uid="{00000000-0005-0000-0000-000032250000}"/>
    <cellStyle name="Input 10 3 3 3 2 2 4" xfId="9732" xr:uid="{00000000-0005-0000-0000-000033250000}"/>
    <cellStyle name="Input 10 3 3 3 2 2 5" xfId="9733" xr:uid="{00000000-0005-0000-0000-000034250000}"/>
    <cellStyle name="Input 10 3 3 3 2 2 6" xfId="9734" xr:uid="{00000000-0005-0000-0000-000035250000}"/>
    <cellStyle name="Input 10 3 3 3 2 3" xfId="9735" xr:uid="{00000000-0005-0000-0000-000036250000}"/>
    <cellStyle name="Input 10 3 3 3 2 3 2" xfId="9736" xr:uid="{00000000-0005-0000-0000-000037250000}"/>
    <cellStyle name="Input 10 3 3 3 2 4" xfId="9737" xr:uid="{00000000-0005-0000-0000-000038250000}"/>
    <cellStyle name="Input 10 3 3 3 2 4 2" xfId="9738" xr:uid="{00000000-0005-0000-0000-000039250000}"/>
    <cellStyle name="Input 10 3 3 3 2 5" xfId="9739" xr:uid="{00000000-0005-0000-0000-00003A250000}"/>
    <cellStyle name="Input 10 3 3 3 2 6" xfId="9740" xr:uid="{00000000-0005-0000-0000-00003B250000}"/>
    <cellStyle name="Input 10 3 3 3 2 7" xfId="9741" xr:uid="{00000000-0005-0000-0000-00003C250000}"/>
    <cellStyle name="Input 10 3 3 3 3" xfId="9742" xr:uid="{00000000-0005-0000-0000-00003D250000}"/>
    <cellStyle name="Input 10 3 3 3 3 2" xfId="9743" xr:uid="{00000000-0005-0000-0000-00003E250000}"/>
    <cellStyle name="Input 10 3 3 3 3 2 2" xfId="9744" xr:uid="{00000000-0005-0000-0000-00003F250000}"/>
    <cellStyle name="Input 10 3 3 3 3 3" xfId="9745" xr:uid="{00000000-0005-0000-0000-000040250000}"/>
    <cellStyle name="Input 10 3 3 3 3 3 2" xfId="9746" xr:uid="{00000000-0005-0000-0000-000041250000}"/>
    <cellStyle name="Input 10 3 3 3 3 4" xfId="9747" xr:uid="{00000000-0005-0000-0000-000042250000}"/>
    <cellStyle name="Input 10 3 3 3 3 5" xfId="9748" xr:uid="{00000000-0005-0000-0000-000043250000}"/>
    <cellStyle name="Input 10 3 3 3 3 6" xfId="9749" xr:uid="{00000000-0005-0000-0000-000044250000}"/>
    <cellStyle name="Input 10 3 3 3 4" xfId="9750" xr:uid="{00000000-0005-0000-0000-000045250000}"/>
    <cellStyle name="Input 10 3 3 3 4 2" xfId="9751" xr:uid="{00000000-0005-0000-0000-000046250000}"/>
    <cellStyle name="Input 10 3 3 3 5" xfId="9752" xr:uid="{00000000-0005-0000-0000-000047250000}"/>
    <cellStyle name="Input 10 3 3 3 5 2" xfId="9753" xr:uid="{00000000-0005-0000-0000-000048250000}"/>
    <cellStyle name="Input 10 3 3 3 6" xfId="9754" xr:uid="{00000000-0005-0000-0000-000049250000}"/>
    <cellStyle name="Input 10 3 3 3 7" xfId="9755" xr:uid="{00000000-0005-0000-0000-00004A250000}"/>
    <cellStyle name="Input 10 3 3 3 8" xfId="9756" xr:uid="{00000000-0005-0000-0000-00004B250000}"/>
    <cellStyle name="Input 10 3 3 4" xfId="9757" xr:uid="{00000000-0005-0000-0000-00004C250000}"/>
    <cellStyle name="Input 10 3 3 4 2" xfId="9758" xr:uid="{00000000-0005-0000-0000-00004D250000}"/>
    <cellStyle name="Input 10 3 3 4 2 2" xfId="9759" xr:uid="{00000000-0005-0000-0000-00004E250000}"/>
    <cellStyle name="Input 10 3 3 4 2 2 2" xfId="9760" xr:uid="{00000000-0005-0000-0000-00004F250000}"/>
    <cellStyle name="Input 10 3 3 4 2 3" xfId="9761" xr:uid="{00000000-0005-0000-0000-000050250000}"/>
    <cellStyle name="Input 10 3 3 4 2 3 2" xfId="9762" xr:uid="{00000000-0005-0000-0000-000051250000}"/>
    <cellStyle name="Input 10 3 3 4 2 4" xfId="9763" xr:uid="{00000000-0005-0000-0000-000052250000}"/>
    <cellStyle name="Input 10 3 3 4 2 5" xfId="9764" xr:uid="{00000000-0005-0000-0000-000053250000}"/>
    <cellStyle name="Input 10 3 3 4 2 6" xfId="9765" xr:uid="{00000000-0005-0000-0000-000054250000}"/>
    <cellStyle name="Input 10 3 3 4 3" xfId="9766" xr:uid="{00000000-0005-0000-0000-000055250000}"/>
    <cellStyle name="Input 10 3 3 4 3 2" xfId="9767" xr:uid="{00000000-0005-0000-0000-000056250000}"/>
    <cellStyle name="Input 10 3 3 4 4" xfId="9768" xr:uid="{00000000-0005-0000-0000-000057250000}"/>
    <cellStyle name="Input 10 3 3 4 4 2" xfId="9769" xr:uid="{00000000-0005-0000-0000-000058250000}"/>
    <cellStyle name="Input 10 3 3 4 5" xfId="9770" xr:uid="{00000000-0005-0000-0000-000059250000}"/>
    <cellStyle name="Input 10 3 3 4 6" xfId="9771" xr:uid="{00000000-0005-0000-0000-00005A250000}"/>
    <cellStyle name="Input 10 3 3 4 7" xfId="9772" xr:uid="{00000000-0005-0000-0000-00005B250000}"/>
    <cellStyle name="Input 10 3 3 5" xfId="9773" xr:uid="{00000000-0005-0000-0000-00005C250000}"/>
    <cellStyle name="Input 10 3 3 5 2" xfId="9774" xr:uid="{00000000-0005-0000-0000-00005D250000}"/>
    <cellStyle name="Input 10 3 3 5 2 2" xfId="9775" xr:uid="{00000000-0005-0000-0000-00005E250000}"/>
    <cellStyle name="Input 10 3 3 5 3" xfId="9776" xr:uid="{00000000-0005-0000-0000-00005F250000}"/>
    <cellStyle name="Input 10 3 3 5 3 2" xfId="9777" xr:uid="{00000000-0005-0000-0000-000060250000}"/>
    <cellStyle name="Input 10 3 3 5 4" xfId="9778" xr:uid="{00000000-0005-0000-0000-000061250000}"/>
    <cellStyle name="Input 10 3 3 5 5" xfId="9779" xr:uid="{00000000-0005-0000-0000-000062250000}"/>
    <cellStyle name="Input 10 3 3 5 6" xfId="9780" xr:uid="{00000000-0005-0000-0000-000063250000}"/>
    <cellStyle name="Input 10 3 3 6" xfId="9781" xr:uid="{00000000-0005-0000-0000-000064250000}"/>
    <cellStyle name="Input 10 3 3 6 2" xfId="9782" xr:uid="{00000000-0005-0000-0000-000065250000}"/>
    <cellStyle name="Input 10 3 3 7" xfId="9783" xr:uid="{00000000-0005-0000-0000-000066250000}"/>
    <cellStyle name="Input 10 3 3 7 2" xfId="9784" xr:uid="{00000000-0005-0000-0000-000067250000}"/>
    <cellStyle name="Input 10 3 3 8" xfId="9785" xr:uid="{00000000-0005-0000-0000-000068250000}"/>
    <cellStyle name="Input 10 3 3 9" xfId="9786" xr:uid="{00000000-0005-0000-0000-000069250000}"/>
    <cellStyle name="Input 10 3 4" xfId="9787" xr:uid="{00000000-0005-0000-0000-00006A250000}"/>
    <cellStyle name="Input 10 3 4 2" xfId="9788" xr:uid="{00000000-0005-0000-0000-00006B250000}"/>
    <cellStyle name="Input 10 3 4 2 2" xfId="9789" xr:uid="{00000000-0005-0000-0000-00006C250000}"/>
    <cellStyle name="Input 10 3 4 2 2 2" xfId="9790" xr:uid="{00000000-0005-0000-0000-00006D250000}"/>
    <cellStyle name="Input 10 3 4 2 2 2 2" xfId="9791" xr:uid="{00000000-0005-0000-0000-00006E250000}"/>
    <cellStyle name="Input 10 3 4 2 2 3" xfId="9792" xr:uid="{00000000-0005-0000-0000-00006F250000}"/>
    <cellStyle name="Input 10 3 4 2 2 3 2" xfId="9793" xr:uid="{00000000-0005-0000-0000-000070250000}"/>
    <cellStyle name="Input 10 3 4 2 2 4" xfId="9794" xr:uid="{00000000-0005-0000-0000-000071250000}"/>
    <cellStyle name="Input 10 3 4 2 2 5" xfId="9795" xr:uid="{00000000-0005-0000-0000-000072250000}"/>
    <cellStyle name="Input 10 3 4 2 2 6" xfId="9796" xr:uid="{00000000-0005-0000-0000-000073250000}"/>
    <cellStyle name="Input 10 3 4 2 3" xfId="9797" xr:uid="{00000000-0005-0000-0000-000074250000}"/>
    <cellStyle name="Input 10 3 4 2 3 2" xfId="9798" xr:uid="{00000000-0005-0000-0000-000075250000}"/>
    <cellStyle name="Input 10 3 4 2 4" xfId="9799" xr:uid="{00000000-0005-0000-0000-000076250000}"/>
    <cellStyle name="Input 10 3 4 2 4 2" xfId="9800" xr:uid="{00000000-0005-0000-0000-000077250000}"/>
    <cellStyle name="Input 10 3 4 2 5" xfId="9801" xr:uid="{00000000-0005-0000-0000-000078250000}"/>
    <cellStyle name="Input 10 3 4 2 6" xfId="9802" xr:uid="{00000000-0005-0000-0000-000079250000}"/>
    <cellStyle name="Input 10 3 4 2 7" xfId="9803" xr:uid="{00000000-0005-0000-0000-00007A250000}"/>
    <cellStyle name="Input 10 3 4 3" xfId="9804" xr:uid="{00000000-0005-0000-0000-00007B250000}"/>
    <cellStyle name="Input 10 3 4 3 2" xfId="9805" xr:uid="{00000000-0005-0000-0000-00007C250000}"/>
    <cellStyle name="Input 10 3 4 3 2 2" xfId="9806" xr:uid="{00000000-0005-0000-0000-00007D250000}"/>
    <cellStyle name="Input 10 3 4 3 3" xfId="9807" xr:uid="{00000000-0005-0000-0000-00007E250000}"/>
    <cellStyle name="Input 10 3 4 3 3 2" xfId="9808" xr:uid="{00000000-0005-0000-0000-00007F250000}"/>
    <cellStyle name="Input 10 3 4 3 4" xfId="9809" xr:uid="{00000000-0005-0000-0000-000080250000}"/>
    <cellStyle name="Input 10 3 4 3 5" xfId="9810" xr:uid="{00000000-0005-0000-0000-000081250000}"/>
    <cellStyle name="Input 10 3 4 3 6" xfId="9811" xr:uid="{00000000-0005-0000-0000-000082250000}"/>
    <cellStyle name="Input 10 3 4 4" xfId="9812" xr:uid="{00000000-0005-0000-0000-000083250000}"/>
    <cellStyle name="Input 10 3 4 4 2" xfId="9813" xr:uid="{00000000-0005-0000-0000-000084250000}"/>
    <cellStyle name="Input 10 3 4 5" xfId="9814" xr:uid="{00000000-0005-0000-0000-000085250000}"/>
    <cellStyle name="Input 10 3 4 5 2" xfId="9815" xr:uid="{00000000-0005-0000-0000-000086250000}"/>
    <cellStyle name="Input 10 3 4 6" xfId="9816" xr:uid="{00000000-0005-0000-0000-000087250000}"/>
    <cellStyle name="Input 10 3 4 7" xfId="9817" xr:uid="{00000000-0005-0000-0000-000088250000}"/>
    <cellStyle name="Input 10 3 4 8" xfId="9818" xr:uid="{00000000-0005-0000-0000-000089250000}"/>
    <cellStyle name="Input 10 3 5" xfId="9819" xr:uid="{00000000-0005-0000-0000-00008A250000}"/>
    <cellStyle name="Input 10 3 5 2" xfId="9820" xr:uid="{00000000-0005-0000-0000-00008B250000}"/>
    <cellStyle name="Input 10 3 5 2 2" xfId="9821" xr:uid="{00000000-0005-0000-0000-00008C250000}"/>
    <cellStyle name="Input 10 3 5 2 2 2" xfId="9822" xr:uid="{00000000-0005-0000-0000-00008D250000}"/>
    <cellStyle name="Input 10 3 5 2 3" xfId="9823" xr:uid="{00000000-0005-0000-0000-00008E250000}"/>
    <cellStyle name="Input 10 3 5 2 3 2" xfId="9824" xr:uid="{00000000-0005-0000-0000-00008F250000}"/>
    <cellStyle name="Input 10 3 5 2 4" xfId="9825" xr:uid="{00000000-0005-0000-0000-000090250000}"/>
    <cellStyle name="Input 10 3 5 2 5" xfId="9826" xr:uid="{00000000-0005-0000-0000-000091250000}"/>
    <cellStyle name="Input 10 3 5 2 6" xfId="9827" xr:uid="{00000000-0005-0000-0000-000092250000}"/>
    <cellStyle name="Input 10 3 5 3" xfId="9828" xr:uid="{00000000-0005-0000-0000-000093250000}"/>
    <cellStyle name="Input 10 3 5 3 2" xfId="9829" xr:uid="{00000000-0005-0000-0000-000094250000}"/>
    <cellStyle name="Input 10 3 5 4" xfId="9830" xr:uid="{00000000-0005-0000-0000-000095250000}"/>
    <cellStyle name="Input 10 3 5 4 2" xfId="9831" xr:uid="{00000000-0005-0000-0000-000096250000}"/>
    <cellStyle name="Input 10 3 5 5" xfId="9832" xr:uid="{00000000-0005-0000-0000-000097250000}"/>
    <cellStyle name="Input 10 3 5 6" xfId="9833" xr:uid="{00000000-0005-0000-0000-000098250000}"/>
    <cellStyle name="Input 10 3 5 7" xfId="9834" xr:uid="{00000000-0005-0000-0000-000099250000}"/>
    <cellStyle name="Input 10 3 6" xfId="9835" xr:uid="{00000000-0005-0000-0000-00009A250000}"/>
    <cellStyle name="Input 10 3 6 2" xfId="9836" xr:uid="{00000000-0005-0000-0000-00009B250000}"/>
    <cellStyle name="Input 10 3 6 2 2" xfId="9837" xr:uid="{00000000-0005-0000-0000-00009C250000}"/>
    <cellStyle name="Input 10 3 6 3" xfId="9838" xr:uid="{00000000-0005-0000-0000-00009D250000}"/>
    <cellStyle name="Input 10 3 6 3 2" xfId="9839" xr:uid="{00000000-0005-0000-0000-00009E250000}"/>
    <cellStyle name="Input 10 3 6 4" xfId="9840" xr:uid="{00000000-0005-0000-0000-00009F250000}"/>
    <cellStyle name="Input 10 3 6 5" xfId="9841" xr:uid="{00000000-0005-0000-0000-0000A0250000}"/>
    <cellStyle name="Input 10 3 6 6" xfId="9842" xr:uid="{00000000-0005-0000-0000-0000A1250000}"/>
    <cellStyle name="Input 10 3 7" xfId="9843" xr:uid="{00000000-0005-0000-0000-0000A2250000}"/>
    <cellStyle name="Input 10 3 7 2" xfId="9844" xr:uid="{00000000-0005-0000-0000-0000A3250000}"/>
    <cellStyle name="Input 10 3 8" xfId="9845" xr:uid="{00000000-0005-0000-0000-0000A4250000}"/>
    <cellStyle name="Input 10 3 8 2" xfId="9846" xr:uid="{00000000-0005-0000-0000-0000A5250000}"/>
    <cellStyle name="Input 10 3 9" xfId="9847" xr:uid="{00000000-0005-0000-0000-0000A6250000}"/>
    <cellStyle name="Input 10 4" xfId="9848" xr:uid="{00000000-0005-0000-0000-0000A7250000}"/>
    <cellStyle name="Input 10 4 10" xfId="9849" xr:uid="{00000000-0005-0000-0000-0000A8250000}"/>
    <cellStyle name="Input 10 4 11" xfId="9850" xr:uid="{00000000-0005-0000-0000-0000A9250000}"/>
    <cellStyle name="Input 10 4 2" xfId="9851" xr:uid="{00000000-0005-0000-0000-0000AA250000}"/>
    <cellStyle name="Input 10 4 2 10" xfId="9852" xr:uid="{00000000-0005-0000-0000-0000AB250000}"/>
    <cellStyle name="Input 10 4 2 2" xfId="9853" xr:uid="{00000000-0005-0000-0000-0000AC250000}"/>
    <cellStyle name="Input 10 4 2 2 2" xfId="9854" xr:uid="{00000000-0005-0000-0000-0000AD250000}"/>
    <cellStyle name="Input 10 4 2 2 2 2" xfId="9855" xr:uid="{00000000-0005-0000-0000-0000AE250000}"/>
    <cellStyle name="Input 10 4 2 2 2 2 2" xfId="9856" xr:uid="{00000000-0005-0000-0000-0000AF250000}"/>
    <cellStyle name="Input 10 4 2 2 2 2 2 2" xfId="9857" xr:uid="{00000000-0005-0000-0000-0000B0250000}"/>
    <cellStyle name="Input 10 4 2 2 2 2 3" xfId="9858" xr:uid="{00000000-0005-0000-0000-0000B1250000}"/>
    <cellStyle name="Input 10 4 2 2 2 2 3 2" xfId="9859" xr:uid="{00000000-0005-0000-0000-0000B2250000}"/>
    <cellStyle name="Input 10 4 2 2 2 2 4" xfId="9860" xr:uid="{00000000-0005-0000-0000-0000B3250000}"/>
    <cellStyle name="Input 10 4 2 2 2 2 5" xfId="9861" xr:uid="{00000000-0005-0000-0000-0000B4250000}"/>
    <cellStyle name="Input 10 4 2 2 2 2 6" xfId="9862" xr:uid="{00000000-0005-0000-0000-0000B5250000}"/>
    <cellStyle name="Input 10 4 2 2 2 3" xfId="9863" xr:uid="{00000000-0005-0000-0000-0000B6250000}"/>
    <cellStyle name="Input 10 4 2 2 2 3 2" xfId="9864" xr:uid="{00000000-0005-0000-0000-0000B7250000}"/>
    <cellStyle name="Input 10 4 2 2 2 4" xfId="9865" xr:uid="{00000000-0005-0000-0000-0000B8250000}"/>
    <cellStyle name="Input 10 4 2 2 2 4 2" xfId="9866" xr:uid="{00000000-0005-0000-0000-0000B9250000}"/>
    <cellStyle name="Input 10 4 2 2 2 5" xfId="9867" xr:uid="{00000000-0005-0000-0000-0000BA250000}"/>
    <cellStyle name="Input 10 4 2 2 2 6" xfId="9868" xr:uid="{00000000-0005-0000-0000-0000BB250000}"/>
    <cellStyle name="Input 10 4 2 2 2 7" xfId="9869" xr:uid="{00000000-0005-0000-0000-0000BC250000}"/>
    <cellStyle name="Input 10 4 2 2 3" xfId="9870" xr:uid="{00000000-0005-0000-0000-0000BD250000}"/>
    <cellStyle name="Input 10 4 2 2 3 2" xfId="9871" xr:uid="{00000000-0005-0000-0000-0000BE250000}"/>
    <cellStyle name="Input 10 4 2 2 3 2 2" xfId="9872" xr:uid="{00000000-0005-0000-0000-0000BF250000}"/>
    <cellStyle name="Input 10 4 2 2 3 3" xfId="9873" xr:uid="{00000000-0005-0000-0000-0000C0250000}"/>
    <cellStyle name="Input 10 4 2 2 3 3 2" xfId="9874" xr:uid="{00000000-0005-0000-0000-0000C1250000}"/>
    <cellStyle name="Input 10 4 2 2 3 4" xfId="9875" xr:uid="{00000000-0005-0000-0000-0000C2250000}"/>
    <cellStyle name="Input 10 4 2 2 3 5" xfId="9876" xr:uid="{00000000-0005-0000-0000-0000C3250000}"/>
    <cellStyle name="Input 10 4 2 2 3 6" xfId="9877" xr:uid="{00000000-0005-0000-0000-0000C4250000}"/>
    <cellStyle name="Input 10 4 2 2 4" xfId="9878" xr:uid="{00000000-0005-0000-0000-0000C5250000}"/>
    <cellStyle name="Input 10 4 2 2 4 2" xfId="9879" xr:uid="{00000000-0005-0000-0000-0000C6250000}"/>
    <cellStyle name="Input 10 4 2 2 5" xfId="9880" xr:uid="{00000000-0005-0000-0000-0000C7250000}"/>
    <cellStyle name="Input 10 4 2 2 5 2" xfId="9881" xr:uid="{00000000-0005-0000-0000-0000C8250000}"/>
    <cellStyle name="Input 10 4 2 2 6" xfId="9882" xr:uid="{00000000-0005-0000-0000-0000C9250000}"/>
    <cellStyle name="Input 10 4 2 2 7" xfId="9883" xr:uid="{00000000-0005-0000-0000-0000CA250000}"/>
    <cellStyle name="Input 10 4 2 2 8" xfId="9884" xr:uid="{00000000-0005-0000-0000-0000CB250000}"/>
    <cellStyle name="Input 10 4 2 3" xfId="9885" xr:uid="{00000000-0005-0000-0000-0000CC250000}"/>
    <cellStyle name="Input 10 4 2 3 2" xfId="9886" xr:uid="{00000000-0005-0000-0000-0000CD250000}"/>
    <cellStyle name="Input 10 4 2 3 2 2" xfId="9887" xr:uid="{00000000-0005-0000-0000-0000CE250000}"/>
    <cellStyle name="Input 10 4 2 3 2 2 2" xfId="9888" xr:uid="{00000000-0005-0000-0000-0000CF250000}"/>
    <cellStyle name="Input 10 4 2 3 2 2 2 2" xfId="9889" xr:uid="{00000000-0005-0000-0000-0000D0250000}"/>
    <cellStyle name="Input 10 4 2 3 2 2 3" xfId="9890" xr:uid="{00000000-0005-0000-0000-0000D1250000}"/>
    <cellStyle name="Input 10 4 2 3 2 2 3 2" xfId="9891" xr:uid="{00000000-0005-0000-0000-0000D2250000}"/>
    <cellStyle name="Input 10 4 2 3 2 2 4" xfId="9892" xr:uid="{00000000-0005-0000-0000-0000D3250000}"/>
    <cellStyle name="Input 10 4 2 3 2 2 5" xfId="9893" xr:uid="{00000000-0005-0000-0000-0000D4250000}"/>
    <cellStyle name="Input 10 4 2 3 2 2 6" xfId="9894" xr:uid="{00000000-0005-0000-0000-0000D5250000}"/>
    <cellStyle name="Input 10 4 2 3 2 3" xfId="9895" xr:uid="{00000000-0005-0000-0000-0000D6250000}"/>
    <cellStyle name="Input 10 4 2 3 2 3 2" xfId="9896" xr:uid="{00000000-0005-0000-0000-0000D7250000}"/>
    <cellStyle name="Input 10 4 2 3 2 4" xfId="9897" xr:uid="{00000000-0005-0000-0000-0000D8250000}"/>
    <cellStyle name="Input 10 4 2 3 2 4 2" xfId="9898" xr:uid="{00000000-0005-0000-0000-0000D9250000}"/>
    <cellStyle name="Input 10 4 2 3 2 5" xfId="9899" xr:uid="{00000000-0005-0000-0000-0000DA250000}"/>
    <cellStyle name="Input 10 4 2 3 2 6" xfId="9900" xr:uid="{00000000-0005-0000-0000-0000DB250000}"/>
    <cellStyle name="Input 10 4 2 3 2 7" xfId="9901" xr:uid="{00000000-0005-0000-0000-0000DC250000}"/>
    <cellStyle name="Input 10 4 2 3 3" xfId="9902" xr:uid="{00000000-0005-0000-0000-0000DD250000}"/>
    <cellStyle name="Input 10 4 2 3 3 2" xfId="9903" xr:uid="{00000000-0005-0000-0000-0000DE250000}"/>
    <cellStyle name="Input 10 4 2 3 3 2 2" xfId="9904" xr:uid="{00000000-0005-0000-0000-0000DF250000}"/>
    <cellStyle name="Input 10 4 2 3 3 3" xfId="9905" xr:uid="{00000000-0005-0000-0000-0000E0250000}"/>
    <cellStyle name="Input 10 4 2 3 3 3 2" xfId="9906" xr:uid="{00000000-0005-0000-0000-0000E1250000}"/>
    <cellStyle name="Input 10 4 2 3 3 4" xfId="9907" xr:uid="{00000000-0005-0000-0000-0000E2250000}"/>
    <cellStyle name="Input 10 4 2 3 3 5" xfId="9908" xr:uid="{00000000-0005-0000-0000-0000E3250000}"/>
    <cellStyle name="Input 10 4 2 3 3 6" xfId="9909" xr:uid="{00000000-0005-0000-0000-0000E4250000}"/>
    <cellStyle name="Input 10 4 2 3 4" xfId="9910" xr:uid="{00000000-0005-0000-0000-0000E5250000}"/>
    <cellStyle name="Input 10 4 2 3 4 2" xfId="9911" xr:uid="{00000000-0005-0000-0000-0000E6250000}"/>
    <cellStyle name="Input 10 4 2 3 5" xfId="9912" xr:uid="{00000000-0005-0000-0000-0000E7250000}"/>
    <cellStyle name="Input 10 4 2 3 5 2" xfId="9913" xr:uid="{00000000-0005-0000-0000-0000E8250000}"/>
    <cellStyle name="Input 10 4 2 3 6" xfId="9914" xr:uid="{00000000-0005-0000-0000-0000E9250000}"/>
    <cellStyle name="Input 10 4 2 3 7" xfId="9915" xr:uid="{00000000-0005-0000-0000-0000EA250000}"/>
    <cellStyle name="Input 10 4 2 3 8" xfId="9916" xr:uid="{00000000-0005-0000-0000-0000EB250000}"/>
    <cellStyle name="Input 10 4 2 4" xfId="9917" xr:uid="{00000000-0005-0000-0000-0000EC250000}"/>
    <cellStyle name="Input 10 4 2 4 2" xfId="9918" xr:uid="{00000000-0005-0000-0000-0000ED250000}"/>
    <cellStyle name="Input 10 4 2 4 2 2" xfId="9919" xr:uid="{00000000-0005-0000-0000-0000EE250000}"/>
    <cellStyle name="Input 10 4 2 4 2 2 2" xfId="9920" xr:uid="{00000000-0005-0000-0000-0000EF250000}"/>
    <cellStyle name="Input 10 4 2 4 2 3" xfId="9921" xr:uid="{00000000-0005-0000-0000-0000F0250000}"/>
    <cellStyle name="Input 10 4 2 4 2 3 2" xfId="9922" xr:uid="{00000000-0005-0000-0000-0000F1250000}"/>
    <cellStyle name="Input 10 4 2 4 2 4" xfId="9923" xr:uid="{00000000-0005-0000-0000-0000F2250000}"/>
    <cellStyle name="Input 10 4 2 4 2 5" xfId="9924" xr:uid="{00000000-0005-0000-0000-0000F3250000}"/>
    <cellStyle name="Input 10 4 2 4 2 6" xfId="9925" xr:uid="{00000000-0005-0000-0000-0000F4250000}"/>
    <cellStyle name="Input 10 4 2 4 3" xfId="9926" xr:uid="{00000000-0005-0000-0000-0000F5250000}"/>
    <cellStyle name="Input 10 4 2 4 3 2" xfId="9927" xr:uid="{00000000-0005-0000-0000-0000F6250000}"/>
    <cellStyle name="Input 10 4 2 4 4" xfId="9928" xr:uid="{00000000-0005-0000-0000-0000F7250000}"/>
    <cellStyle name="Input 10 4 2 4 4 2" xfId="9929" xr:uid="{00000000-0005-0000-0000-0000F8250000}"/>
    <cellStyle name="Input 10 4 2 4 5" xfId="9930" xr:uid="{00000000-0005-0000-0000-0000F9250000}"/>
    <cellStyle name="Input 10 4 2 4 6" xfId="9931" xr:uid="{00000000-0005-0000-0000-0000FA250000}"/>
    <cellStyle name="Input 10 4 2 4 7" xfId="9932" xr:uid="{00000000-0005-0000-0000-0000FB250000}"/>
    <cellStyle name="Input 10 4 2 5" xfId="9933" xr:uid="{00000000-0005-0000-0000-0000FC250000}"/>
    <cellStyle name="Input 10 4 2 5 2" xfId="9934" xr:uid="{00000000-0005-0000-0000-0000FD250000}"/>
    <cellStyle name="Input 10 4 2 5 2 2" xfId="9935" xr:uid="{00000000-0005-0000-0000-0000FE250000}"/>
    <cellStyle name="Input 10 4 2 5 3" xfId="9936" xr:uid="{00000000-0005-0000-0000-0000FF250000}"/>
    <cellStyle name="Input 10 4 2 5 3 2" xfId="9937" xr:uid="{00000000-0005-0000-0000-000000260000}"/>
    <cellStyle name="Input 10 4 2 5 4" xfId="9938" xr:uid="{00000000-0005-0000-0000-000001260000}"/>
    <cellStyle name="Input 10 4 2 5 5" xfId="9939" xr:uid="{00000000-0005-0000-0000-000002260000}"/>
    <cellStyle name="Input 10 4 2 5 6" xfId="9940" xr:uid="{00000000-0005-0000-0000-000003260000}"/>
    <cellStyle name="Input 10 4 2 6" xfId="9941" xr:uid="{00000000-0005-0000-0000-000004260000}"/>
    <cellStyle name="Input 10 4 2 6 2" xfId="9942" xr:uid="{00000000-0005-0000-0000-000005260000}"/>
    <cellStyle name="Input 10 4 2 7" xfId="9943" xr:uid="{00000000-0005-0000-0000-000006260000}"/>
    <cellStyle name="Input 10 4 2 7 2" xfId="9944" xr:uid="{00000000-0005-0000-0000-000007260000}"/>
    <cellStyle name="Input 10 4 2 8" xfId="9945" xr:uid="{00000000-0005-0000-0000-000008260000}"/>
    <cellStyle name="Input 10 4 2 9" xfId="9946" xr:uid="{00000000-0005-0000-0000-000009260000}"/>
    <cellStyle name="Input 10 4 3" xfId="9947" xr:uid="{00000000-0005-0000-0000-00000A260000}"/>
    <cellStyle name="Input 10 4 3 2" xfId="9948" xr:uid="{00000000-0005-0000-0000-00000B260000}"/>
    <cellStyle name="Input 10 4 3 2 2" xfId="9949" xr:uid="{00000000-0005-0000-0000-00000C260000}"/>
    <cellStyle name="Input 10 4 3 2 2 2" xfId="9950" xr:uid="{00000000-0005-0000-0000-00000D260000}"/>
    <cellStyle name="Input 10 4 3 2 2 2 2" xfId="9951" xr:uid="{00000000-0005-0000-0000-00000E260000}"/>
    <cellStyle name="Input 10 4 3 2 2 3" xfId="9952" xr:uid="{00000000-0005-0000-0000-00000F260000}"/>
    <cellStyle name="Input 10 4 3 2 2 3 2" xfId="9953" xr:uid="{00000000-0005-0000-0000-000010260000}"/>
    <cellStyle name="Input 10 4 3 2 2 4" xfId="9954" xr:uid="{00000000-0005-0000-0000-000011260000}"/>
    <cellStyle name="Input 10 4 3 2 2 5" xfId="9955" xr:uid="{00000000-0005-0000-0000-000012260000}"/>
    <cellStyle name="Input 10 4 3 2 2 6" xfId="9956" xr:uid="{00000000-0005-0000-0000-000013260000}"/>
    <cellStyle name="Input 10 4 3 2 3" xfId="9957" xr:uid="{00000000-0005-0000-0000-000014260000}"/>
    <cellStyle name="Input 10 4 3 2 3 2" xfId="9958" xr:uid="{00000000-0005-0000-0000-000015260000}"/>
    <cellStyle name="Input 10 4 3 2 4" xfId="9959" xr:uid="{00000000-0005-0000-0000-000016260000}"/>
    <cellStyle name="Input 10 4 3 2 4 2" xfId="9960" xr:uid="{00000000-0005-0000-0000-000017260000}"/>
    <cellStyle name="Input 10 4 3 2 5" xfId="9961" xr:uid="{00000000-0005-0000-0000-000018260000}"/>
    <cellStyle name="Input 10 4 3 2 6" xfId="9962" xr:uid="{00000000-0005-0000-0000-000019260000}"/>
    <cellStyle name="Input 10 4 3 2 7" xfId="9963" xr:uid="{00000000-0005-0000-0000-00001A260000}"/>
    <cellStyle name="Input 10 4 3 3" xfId="9964" xr:uid="{00000000-0005-0000-0000-00001B260000}"/>
    <cellStyle name="Input 10 4 3 3 2" xfId="9965" xr:uid="{00000000-0005-0000-0000-00001C260000}"/>
    <cellStyle name="Input 10 4 3 3 2 2" xfId="9966" xr:uid="{00000000-0005-0000-0000-00001D260000}"/>
    <cellStyle name="Input 10 4 3 3 3" xfId="9967" xr:uid="{00000000-0005-0000-0000-00001E260000}"/>
    <cellStyle name="Input 10 4 3 3 3 2" xfId="9968" xr:uid="{00000000-0005-0000-0000-00001F260000}"/>
    <cellStyle name="Input 10 4 3 3 4" xfId="9969" xr:uid="{00000000-0005-0000-0000-000020260000}"/>
    <cellStyle name="Input 10 4 3 3 5" xfId="9970" xr:uid="{00000000-0005-0000-0000-000021260000}"/>
    <cellStyle name="Input 10 4 3 3 6" xfId="9971" xr:uid="{00000000-0005-0000-0000-000022260000}"/>
    <cellStyle name="Input 10 4 3 4" xfId="9972" xr:uid="{00000000-0005-0000-0000-000023260000}"/>
    <cellStyle name="Input 10 4 3 4 2" xfId="9973" xr:uid="{00000000-0005-0000-0000-000024260000}"/>
    <cellStyle name="Input 10 4 3 5" xfId="9974" xr:uid="{00000000-0005-0000-0000-000025260000}"/>
    <cellStyle name="Input 10 4 3 5 2" xfId="9975" xr:uid="{00000000-0005-0000-0000-000026260000}"/>
    <cellStyle name="Input 10 4 3 6" xfId="9976" xr:uid="{00000000-0005-0000-0000-000027260000}"/>
    <cellStyle name="Input 10 4 3 7" xfId="9977" xr:uid="{00000000-0005-0000-0000-000028260000}"/>
    <cellStyle name="Input 10 4 3 8" xfId="9978" xr:uid="{00000000-0005-0000-0000-000029260000}"/>
    <cellStyle name="Input 10 4 4" xfId="9979" xr:uid="{00000000-0005-0000-0000-00002A260000}"/>
    <cellStyle name="Input 10 4 4 2" xfId="9980" xr:uid="{00000000-0005-0000-0000-00002B260000}"/>
    <cellStyle name="Input 10 4 4 2 2" xfId="9981" xr:uid="{00000000-0005-0000-0000-00002C260000}"/>
    <cellStyle name="Input 10 4 4 2 2 2" xfId="9982" xr:uid="{00000000-0005-0000-0000-00002D260000}"/>
    <cellStyle name="Input 10 4 4 2 2 2 2" xfId="9983" xr:uid="{00000000-0005-0000-0000-00002E260000}"/>
    <cellStyle name="Input 10 4 4 2 2 3" xfId="9984" xr:uid="{00000000-0005-0000-0000-00002F260000}"/>
    <cellStyle name="Input 10 4 4 2 2 3 2" xfId="9985" xr:uid="{00000000-0005-0000-0000-000030260000}"/>
    <cellStyle name="Input 10 4 4 2 2 4" xfId="9986" xr:uid="{00000000-0005-0000-0000-000031260000}"/>
    <cellStyle name="Input 10 4 4 2 2 5" xfId="9987" xr:uid="{00000000-0005-0000-0000-000032260000}"/>
    <cellStyle name="Input 10 4 4 2 2 6" xfId="9988" xr:uid="{00000000-0005-0000-0000-000033260000}"/>
    <cellStyle name="Input 10 4 4 2 3" xfId="9989" xr:uid="{00000000-0005-0000-0000-000034260000}"/>
    <cellStyle name="Input 10 4 4 2 3 2" xfId="9990" xr:uid="{00000000-0005-0000-0000-000035260000}"/>
    <cellStyle name="Input 10 4 4 2 4" xfId="9991" xr:uid="{00000000-0005-0000-0000-000036260000}"/>
    <cellStyle name="Input 10 4 4 2 4 2" xfId="9992" xr:uid="{00000000-0005-0000-0000-000037260000}"/>
    <cellStyle name="Input 10 4 4 2 5" xfId="9993" xr:uid="{00000000-0005-0000-0000-000038260000}"/>
    <cellStyle name="Input 10 4 4 2 6" xfId="9994" xr:uid="{00000000-0005-0000-0000-000039260000}"/>
    <cellStyle name="Input 10 4 4 2 7" xfId="9995" xr:uid="{00000000-0005-0000-0000-00003A260000}"/>
    <cellStyle name="Input 10 4 4 3" xfId="9996" xr:uid="{00000000-0005-0000-0000-00003B260000}"/>
    <cellStyle name="Input 10 4 4 3 2" xfId="9997" xr:uid="{00000000-0005-0000-0000-00003C260000}"/>
    <cellStyle name="Input 10 4 4 3 2 2" xfId="9998" xr:uid="{00000000-0005-0000-0000-00003D260000}"/>
    <cellStyle name="Input 10 4 4 3 3" xfId="9999" xr:uid="{00000000-0005-0000-0000-00003E260000}"/>
    <cellStyle name="Input 10 4 4 3 3 2" xfId="10000" xr:uid="{00000000-0005-0000-0000-00003F260000}"/>
    <cellStyle name="Input 10 4 4 3 4" xfId="10001" xr:uid="{00000000-0005-0000-0000-000040260000}"/>
    <cellStyle name="Input 10 4 4 3 5" xfId="10002" xr:uid="{00000000-0005-0000-0000-000041260000}"/>
    <cellStyle name="Input 10 4 4 3 6" xfId="10003" xr:uid="{00000000-0005-0000-0000-000042260000}"/>
    <cellStyle name="Input 10 4 4 4" xfId="10004" xr:uid="{00000000-0005-0000-0000-000043260000}"/>
    <cellStyle name="Input 10 4 4 4 2" xfId="10005" xr:uid="{00000000-0005-0000-0000-000044260000}"/>
    <cellStyle name="Input 10 4 4 5" xfId="10006" xr:uid="{00000000-0005-0000-0000-000045260000}"/>
    <cellStyle name="Input 10 4 4 5 2" xfId="10007" xr:uid="{00000000-0005-0000-0000-000046260000}"/>
    <cellStyle name="Input 10 4 4 6" xfId="10008" xr:uid="{00000000-0005-0000-0000-000047260000}"/>
    <cellStyle name="Input 10 4 4 7" xfId="10009" xr:uid="{00000000-0005-0000-0000-000048260000}"/>
    <cellStyle name="Input 10 4 4 8" xfId="10010" xr:uid="{00000000-0005-0000-0000-000049260000}"/>
    <cellStyle name="Input 10 4 5" xfId="10011" xr:uid="{00000000-0005-0000-0000-00004A260000}"/>
    <cellStyle name="Input 10 4 5 2" xfId="10012" xr:uid="{00000000-0005-0000-0000-00004B260000}"/>
    <cellStyle name="Input 10 4 5 2 2" xfId="10013" xr:uid="{00000000-0005-0000-0000-00004C260000}"/>
    <cellStyle name="Input 10 4 5 2 2 2" xfId="10014" xr:uid="{00000000-0005-0000-0000-00004D260000}"/>
    <cellStyle name="Input 10 4 5 2 3" xfId="10015" xr:uid="{00000000-0005-0000-0000-00004E260000}"/>
    <cellStyle name="Input 10 4 5 2 3 2" xfId="10016" xr:uid="{00000000-0005-0000-0000-00004F260000}"/>
    <cellStyle name="Input 10 4 5 2 4" xfId="10017" xr:uid="{00000000-0005-0000-0000-000050260000}"/>
    <cellStyle name="Input 10 4 5 2 5" xfId="10018" xr:uid="{00000000-0005-0000-0000-000051260000}"/>
    <cellStyle name="Input 10 4 5 2 6" xfId="10019" xr:uid="{00000000-0005-0000-0000-000052260000}"/>
    <cellStyle name="Input 10 4 5 3" xfId="10020" xr:uid="{00000000-0005-0000-0000-000053260000}"/>
    <cellStyle name="Input 10 4 5 3 2" xfId="10021" xr:uid="{00000000-0005-0000-0000-000054260000}"/>
    <cellStyle name="Input 10 4 5 4" xfId="10022" xr:uid="{00000000-0005-0000-0000-000055260000}"/>
    <cellStyle name="Input 10 4 5 4 2" xfId="10023" xr:uid="{00000000-0005-0000-0000-000056260000}"/>
    <cellStyle name="Input 10 4 5 5" xfId="10024" xr:uid="{00000000-0005-0000-0000-000057260000}"/>
    <cellStyle name="Input 10 4 5 6" xfId="10025" xr:uid="{00000000-0005-0000-0000-000058260000}"/>
    <cellStyle name="Input 10 4 5 7" xfId="10026" xr:uid="{00000000-0005-0000-0000-000059260000}"/>
    <cellStyle name="Input 10 4 6" xfId="10027" xr:uid="{00000000-0005-0000-0000-00005A260000}"/>
    <cellStyle name="Input 10 4 6 2" xfId="10028" xr:uid="{00000000-0005-0000-0000-00005B260000}"/>
    <cellStyle name="Input 10 4 6 2 2" xfId="10029" xr:uid="{00000000-0005-0000-0000-00005C260000}"/>
    <cellStyle name="Input 10 4 6 3" xfId="10030" xr:uid="{00000000-0005-0000-0000-00005D260000}"/>
    <cellStyle name="Input 10 4 6 3 2" xfId="10031" xr:uid="{00000000-0005-0000-0000-00005E260000}"/>
    <cellStyle name="Input 10 4 6 4" xfId="10032" xr:uid="{00000000-0005-0000-0000-00005F260000}"/>
    <cellStyle name="Input 10 4 6 5" xfId="10033" xr:uid="{00000000-0005-0000-0000-000060260000}"/>
    <cellStyle name="Input 10 4 6 6" xfId="10034" xr:uid="{00000000-0005-0000-0000-000061260000}"/>
    <cellStyle name="Input 10 4 7" xfId="10035" xr:uid="{00000000-0005-0000-0000-000062260000}"/>
    <cellStyle name="Input 10 4 7 2" xfId="10036" xr:uid="{00000000-0005-0000-0000-000063260000}"/>
    <cellStyle name="Input 10 4 8" xfId="10037" xr:uid="{00000000-0005-0000-0000-000064260000}"/>
    <cellStyle name="Input 10 4 8 2" xfId="10038" xr:uid="{00000000-0005-0000-0000-000065260000}"/>
    <cellStyle name="Input 10 4 9" xfId="10039" xr:uid="{00000000-0005-0000-0000-000066260000}"/>
    <cellStyle name="Input 10 5" xfId="10040" xr:uid="{00000000-0005-0000-0000-000067260000}"/>
    <cellStyle name="Input 10 5 10" xfId="10041" xr:uid="{00000000-0005-0000-0000-000068260000}"/>
    <cellStyle name="Input 10 5 2" xfId="10042" xr:uid="{00000000-0005-0000-0000-000069260000}"/>
    <cellStyle name="Input 10 5 2 2" xfId="10043" xr:uid="{00000000-0005-0000-0000-00006A260000}"/>
    <cellStyle name="Input 10 5 2 2 2" xfId="10044" xr:uid="{00000000-0005-0000-0000-00006B260000}"/>
    <cellStyle name="Input 10 5 2 2 2 2" xfId="10045" xr:uid="{00000000-0005-0000-0000-00006C260000}"/>
    <cellStyle name="Input 10 5 2 2 2 2 2" xfId="10046" xr:uid="{00000000-0005-0000-0000-00006D260000}"/>
    <cellStyle name="Input 10 5 2 2 2 3" xfId="10047" xr:uid="{00000000-0005-0000-0000-00006E260000}"/>
    <cellStyle name="Input 10 5 2 2 2 3 2" xfId="10048" xr:uid="{00000000-0005-0000-0000-00006F260000}"/>
    <cellStyle name="Input 10 5 2 2 2 4" xfId="10049" xr:uid="{00000000-0005-0000-0000-000070260000}"/>
    <cellStyle name="Input 10 5 2 2 2 5" xfId="10050" xr:uid="{00000000-0005-0000-0000-000071260000}"/>
    <cellStyle name="Input 10 5 2 2 2 6" xfId="10051" xr:uid="{00000000-0005-0000-0000-000072260000}"/>
    <cellStyle name="Input 10 5 2 2 3" xfId="10052" xr:uid="{00000000-0005-0000-0000-000073260000}"/>
    <cellStyle name="Input 10 5 2 2 3 2" xfId="10053" xr:uid="{00000000-0005-0000-0000-000074260000}"/>
    <cellStyle name="Input 10 5 2 2 4" xfId="10054" xr:uid="{00000000-0005-0000-0000-000075260000}"/>
    <cellStyle name="Input 10 5 2 2 4 2" xfId="10055" xr:uid="{00000000-0005-0000-0000-000076260000}"/>
    <cellStyle name="Input 10 5 2 2 5" xfId="10056" xr:uid="{00000000-0005-0000-0000-000077260000}"/>
    <cellStyle name="Input 10 5 2 2 6" xfId="10057" xr:uid="{00000000-0005-0000-0000-000078260000}"/>
    <cellStyle name="Input 10 5 2 2 7" xfId="10058" xr:uid="{00000000-0005-0000-0000-000079260000}"/>
    <cellStyle name="Input 10 5 2 3" xfId="10059" xr:uid="{00000000-0005-0000-0000-00007A260000}"/>
    <cellStyle name="Input 10 5 2 3 2" xfId="10060" xr:uid="{00000000-0005-0000-0000-00007B260000}"/>
    <cellStyle name="Input 10 5 2 3 2 2" xfId="10061" xr:uid="{00000000-0005-0000-0000-00007C260000}"/>
    <cellStyle name="Input 10 5 2 3 3" xfId="10062" xr:uid="{00000000-0005-0000-0000-00007D260000}"/>
    <cellStyle name="Input 10 5 2 3 3 2" xfId="10063" xr:uid="{00000000-0005-0000-0000-00007E260000}"/>
    <cellStyle name="Input 10 5 2 3 4" xfId="10064" xr:uid="{00000000-0005-0000-0000-00007F260000}"/>
    <cellStyle name="Input 10 5 2 3 5" xfId="10065" xr:uid="{00000000-0005-0000-0000-000080260000}"/>
    <cellStyle name="Input 10 5 2 3 6" xfId="10066" xr:uid="{00000000-0005-0000-0000-000081260000}"/>
    <cellStyle name="Input 10 5 2 4" xfId="10067" xr:uid="{00000000-0005-0000-0000-000082260000}"/>
    <cellStyle name="Input 10 5 2 4 2" xfId="10068" xr:uid="{00000000-0005-0000-0000-000083260000}"/>
    <cellStyle name="Input 10 5 2 5" xfId="10069" xr:uid="{00000000-0005-0000-0000-000084260000}"/>
    <cellStyle name="Input 10 5 2 5 2" xfId="10070" xr:uid="{00000000-0005-0000-0000-000085260000}"/>
    <cellStyle name="Input 10 5 2 6" xfId="10071" xr:uid="{00000000-0005-0000-0000-000086260000}"/>
    <cellStyle name="Input 10 5 2 7" xfId="10072" xr:uid="{00000000-0005-0000-0000-000087260000}"/>
    <cellStyle name="Input 10 5 2 8" xfId="10073" xr:uid="{00000000-0005-0000-0000-000088260000}"/>
    <cellStyle name="Input 10 5 3" xfId="10074" xr:uid="{00000000-0005-0000-0000-000089260000}"/>
    <cellStyle name="Input 10 5 3 2" xfId="10075" xr:uid="{00000000-0005-0000-0000-00008A260000}"/>
    <cellStyle name="Input 10 5 3 2 2" xfId="10076" xr:uid="{00000000-0005-0000-0000-00008B260000}"/>
    <cellStyle name="Input 10 5 3 2 2 2" xfId="10077" xr:uid="{00000000-0005-0000-0000-00008C260000}"/>
    <cellStyle name="Input 10 5 3 2 2 2 2" xfId="10078" xr:uid="{00000000-0005-0000-0000-00008D260000}"/>
    <cellStyle name="Input 10 5 3 2 2 3" xfId="10079" xr:uid="{00000000-0005-0000-0000-00008E260000}"/>
    <cellStyle name="Input 10 5 3 2 2 3 2" xfId="10080" xr:uid="{00000000-0005-0000-0000-00008F260000}"/>
    <cellStyle name="Input 10 5 3 2 2 4" xfId="10081" xr:uid="{00000000-0005-0000-0000-000090260000}"/>
    <cellStyle name="Input 10 5 3 2 2 5" xfId="10082" xr:uid="{00000000-0005-0000-0000-000091260000}"/>
    <cellStyle name="Input 10 5 3 2 2 6" xfId="10083" xr:uid="{00000000-0005-0000-0000-000092260000}"/>
    <cellStyle name="Input 10 5 3 2 3" xfId="10084" xr:uid="{00000000-0005-0000-0000-000093260000}"/>
    <cellStyle name="Input 10 5 3 2 3 2" xfId="10085" xr:uid="{00000000-0005-0000-0000-000094260000}"/>
    <cellStyle name="Input 10 5 3 2 4" xfId="10086" xr:uid="{00000000-0005-0000-0000-000095260000}"/>
    <cellStyle name="Input 10 5 3 2 4 2" xfId="10087" xr:uid="{00000000-0005-0000-0000-000096260000}"/>
    <cellStyle name="Input 10 5 3 2 5" xfId="10088" xr:uid="{00000000-0005-0000-0000-000097260000}"/>
    <cellStyle name="Input 10 5 3 2 6" xfId="10089" xr:uid="{00000000-0005-0000-0000-000098260000}"/>
    <cellStyle name="Input 10 5 3 2 7" xfId="10090" xr:uid="{00000000-0005-0000-0000-000099260000}"/>
    <cellStyle name="Input 10 5 3 3" xfId="10091" xr:uid="{00000000-0005-0000-0000-00009A260000}"/>
    <cellStyle name="Input 10 5 3 3 2" xfId="10092" xr:uid="{00000000-0005-0000-0000-00009B260000}"/>
    <cellStyle name="Input 10 5 3 3 2 2" xfId="10093" xr:uid="{00000000-0005-0000-0000-00009C260000}"/>
    <cellStyle name="Input 10 5 3 3 3" xfId="10094" xr:uid="{00000000-0005-0000-0000-00009D260000}"/>
    <cellStyle name="Input 10 5 3 3 3 2" xfId="10095" xr:uid="{00000000-0005-0000-0000-00009E260000}"/>
    <cellStyle name="Input 10 5 3 3 4" xfId="10096" xr:uid="{00000000-0005-0000-0000-00009F260000}"/>
    <cellStyle name="Input 10 5 3 3 5" xfId="10097" xr:uid="{00000000-0005-0000-0000-0000A0260000}"/>
    <cellStyle name="Input 10 5 3 3 6" xfId="10098" xr:uid="{00000000-0005-0000-0000-0000A1260000}"/>
    <cellStyle name="Input 10 5 3 4" xfId="10099" xr:uid="{00000000-0005-0000-0000-0000A2260000}"/>
    <cellStyle name="Input 10 5 3 4 2" xfId="10100" xr:uid="{00000000-0005-0000-0000-0000A3260000}"/>
    <cellStyle name="Input 10 5 3 5" xfId="10101" xr:uid="{00000000-0005-0000-0000-0000A4260000}"/>
    <cellStyle name="Input 10 5 3 5 2" xfId="10102" xr:uid="{00000000-0005-0000-0000-0000A5260000}"/>
    <cellStyle name="Input 10 5 3 6" xfId="10103" xr:uid="{00000000-0005-0000-0000-0000A6260000}"/>
    <cellStyle name="Input 10 5 3 7" xfId="10104" xr:uid="{00000000-0005-0000-0000-0000A7260000}"/>
    <cellStyle name="Input 10 5 3 8" xfId="10105" xr:uid="{00000000-0005-0000-0000-0000A8260000}"/>
    <cellStyle name="Input 10 5 4" xfId="10106" xr:uid="{00000000-0005-0000-0000-0000A9260000}"/>
    <cellStyle name="Input 10 5 4 2" xfId="10107" xr:uid="{00000000-0005-0000-0000-0000AA260000}"/>
    <cellStyle name="Input 10 5 4 2 2" xfId="10108" xr:uid="{00000000-0005-0000-0000-0000AB260000}"/>
    <cellStyle name="Input 10 5 4 2 2 2" xfId="10109" xr:uid="{00000000-0005-0000-0000-0000AC260000}"/>
    <cellStyle name="Input 10 5 4 2 3" xfId="10110" xr:uid="{00000000-0005-0000-0000-0000AD260000}"/>
    <cellStyle name="Input 10 5 4 2 3 2" xfId="10111" xr:uid="{00000000-0005-0000-0000-0000AE260000}"/>
    <cellStyle name="Input 10 5 4 2 4" xfId="10112" xr:uid="{00000000-0005-0000-0000-0000AF260000}"/>
    <cellStyle name="Input 10 5 4 2 5" xfId="10113" xr:uid="{00000000-0005-0000-0000-0000B0260000}"/>
    <cellStyle name="Input 10 5 4 2 6" xfId="10114" xr:uid="{00000000-0005-0000-0000-0000B1260000}"/>
    <cellStyle name="Input 10 5 4 3" xfId="10115" xr:uid="{00000000-0005-0000-0000-0000B2260000}"/>
    <cellStyle name="Input 10 5 4 3 2" xfId="10116" xr:uid="{00000000-0005-0000-0000-0000B3260000}"/>
    <cellStyle name="Input 10 5 4 4" xfId="10117" xr:uid="{00000000-0005-0000-0000-0000B4260000}"/>
    <cellStyle name="Input 10 5 4 4 2" xfId="10118" xr:uid="{00000000-0005-0000-0000-0000B5260000}"/>
    <cellStyle name="Input 10 5 4 5" xfId="10119" xr:uid="{00000000-0005-0000-0000-0000B6260000}"/>
    <cellStyle name="Input 10 5 4 6" xfId="10120" xr:uid="{00000000-0005-0000-0000-0000B7260000}"/>
    <cellStyle name="Input 10 5 4 7" xfId="10121" xr:uid="{00000000-0005-0000-0000-0000B8260000}"/>
    <cellStyle name="Input 10 5 5" xfId="10122" xr:uid="{00000000-0005-0000-0000-0000B9260000}"/>
    <cellStyle name="Input 10 5 5 2" xfId="10123" xr:uid="{00000000-0005-0000-0000-0000BA260000}"/>
    <cellStyle name="Input 10 5 5 2 2" xfId="10124" xr:uid="{00000000-0005-0000-0000-0000BB260000}"/>
    <cellStyle name="Input 10 5 5 3" xfId="10125" xr:uid="{00000000-0005-0000-0000-0000BC260000}"/>
    <cellStyle name="Input 10 5 5 3 2" xfId="10126" xr:uid="{00000000-0005-0000-0000-0000BD260000}"/>
    <cellStyle name="Input 10 5 5 4" xfId="10127" xr:uid="{00000000-0005-0000-0000-0000BE260000}"/>
    <cellStyle name="Input 10 5 5 5" xfId="10128" xr:uid="{00000000-0005-0000-0000-0000BF260000}"/>
    <cellStyle name="Input 10 5 5 6" xfId="10129" xr:uid="{00000000-0005-0000-0000-0000C0260000}"/>
    <cellStyle name="Input 10 5 6" xfId="10130" xr:uid="{00000000-0005-0000-0000-0000C1260000}"/>
    <cellStyle name="Input 10 5 6 2" xfId="10131" xr:uid="{00000000-0005-0000-0000-0000C2260000}"/>
    <cellStyle name="Input 10 5 7" xfId="10132" xr:uid="{00000000-0005-0000-0000-0000C3260000}"/>
    <cellStyle name="Input 10 5 7 2" xfId="10133" xr:uid="{00000000-0005-0000-0000-0000C4260000}"/>
    <cellStyle name="Input 10 5 8" xfId="10134" xr:uid="{00000000-0005-0000-0000-0000C5260000}"/>
    <cellStyle name="Input 10 5 9" xfId="10135" xr:uid="{00000000-0005-0000-0000-0000C6260000}"/>
    <cellStyle name="Input 10 6" xfId="10136" xr:uid="{00000000-0005-0000-0000-0000C7260000}"/>
    <cellStyle name="Input 10 6 2" xfId="10137" xr:uid="{00000000-0005-0000-0000-0000C8260000}"/>
    <cellStyle name="Input 10 6 2 2" xfId="10138" xr:uid="{00000000-0005-0000-0000-0000C9260000}"/>
    <cellStyle name="Input 10 6 2 2 2" xfId="10139" xr:uid="{00000000-0005-0000-0000-0000CA260000}"/>
    <cellStyle name="Input 10 6 2 2 2 2" xfId="10140" xr:uid="{00000000-0005-0000-0000-0000CB260000}"/>
    <cellStyle name="Input 10 6 2 2 3" xfId="10141" xr:uid="{00000000-0005-0000-0000-0000CC260000}"/>
    <cellStyle name="Input 10 6 2 2 3 2" xfId="10142" xr:uid="{00000000-0005-0000-0000-0000CD260000}"/>
    <cellStyle name="Input 10 6 2 2 4" xfId="10143" xr:uid="{00000000-0005-0000-0000-0000CE260000}"/>
    <cellStyle name="Input 10 6 2 2 5" xfId="10144" xr:uid="{00000000-0005-0000-0000-0000CF260000}"/>
    <cellStyle name="Input 10 6 2 2 6" xfId="10145" xr:uid="{00000000-0005-0000-0000-0000D0260000}"/>
    <cellStyle name="Input 10 6 2 3" xfId="10146" xr:uid="{00000000-0005-0000-0000-0000D1260000}"/>
    <cellStyle name="Input 10 6 2 3 2" xfId="10147" xr:uid="{00000000-0005-0000-0000-0000D2260000}"/>
    <cellStyle name="Input 10 6 2 4" xfId="10148" xr:uid="{00000000-0005-0000-0000-0000D3260000}"/>
    <cellStyle name="Input 10 6 2 4 2" xfId="10149" xr:uid="{00000000-0005-0000-0000-0000D4260000}"/>
    <cellStyle name="Input 10 6 2 5" xfId="10150" xr:uid="{00000000-0005-0000-0000-0000D5260000}"/>
    <cellStyle name="Input 10 6 2 6" xfId="10151" xr:uid="{00000000-0005-0000-0000-0000D6260000}"/>
    <cellStyle name="Input 10 6 2 7" xfId="10152" xr:uid="{00000000-0005-0000-0000-0000D7260000}"/>
    <cellStyle name="Input 10 6 3" xfId="10153" xr:uid="{00000000-0005-0000-0000-0000D8260000}"/>
    <cellStyle name="Input 10 6 3 2" xfId="10154" xr:uid="{00000000-0005-0000-0000-0000D9260000}"/>
    <cellStyle name="Input 10 6 3 2 2" xfId="10155" xr:uid="{00000000-0005-0000-0000-0000DA260000}"/>
    <cellStyle name="Input 10 6 3 3" xfId="10156" xr:uid="{00000000-0005-0000-0000-0000DB260000}"/>
    <cellStyle name="Input 10 6 3 3 2" xfId="10157" xr:uid="{00000000-0005-0000-0000-0000DC260000}"/>
    <cellStyle name="Input 10 6 3 4" xfId="10158" xr:uid="{00000000-0005-0000-0000-0000DD260000}"/>
    <cellStyle name="Input 10 6 3 5" xfId="10159" xr:uid="{00000000-0005-0000-0000-0000DE260000}"/>
    <cellStyle name="Input 10 6 3 6" xfId="10160" xr:uid="{00000000-0005-0000-0000-0000DF260000}"/>
    <cellStyle name="Input 10 6 4" xfId="10161" xr:uid="{00000000-0005-0000-0000-0000E0260000}"/>
    <cellStyle name="Input 10 6 4 2" xfId="10162" xr:uid="{00000000-0005-0000-0000-0000E1260000}"/>
    <cellStyle name="Input 10 6 5" xfId="10163" xr:uid="{00000000-0005-0000-0000-0000E2260000}"/>
    <cellStyle name="Input 10 6 5 2" xfId="10164" xr:uid="{00000000-0005-0000-0000-0000E3260000}"/>
    <cellStyle name="Input 10 6 6" xfId="10165" xr:uid="{00000000-0005-0000-0000-0000E4260000}"/>
    <cellStyle name="Input 10 6 7" xfId="10166" xr:uid="{00000000-0005-0000-0000-0000E5260000}"/>
    <cellStyle name="Input 10 6 8" xfId="10167" xr:uid="{00000000-0005-0000-0000-0000E6260000}"/>
    <cellStyle name="Input 10 7" xfId="10168" xr:uid="{00000000-0005-0000-0000-0000E7260000}"/>
    <cellStyle name="Input 10 7 2" xfId="10169" xr:uid="{00000000-0005-0000-0000-0000E8260000}"/>
    <cellStyle name="Input 10 7 2 2" xfId="10170" xr:uid="{00000000-0005-0000-0000-0000E9260000}"/>
    <cellStyle name="Input 10 7 2 2 2" xfId="10171" xr:uid="{00000000-0005-0000-0000-0000EA260000}"/>
    <cellStyle name="Input 10 7 2 3" xfId="10172" xr:uid="{00000000-0005-0000-0000-0000EB260000}"/>
    <cellStyle name="Input 10 7 2 3 2" xfId="10173" xr:uid="{00000000-0005-0000-0000-0000EC260000}"/>
    <cellStyle name="Input 10 7 2 4" xfId="10174" xr:uid="{00000000-0005-0000-0000-0000ED260000}"/>
    <cellStyle name="Input 10 7 2 5" xfId="10175" xr:uid="{00000000-0005-0000-0000-0000EE260000}"/>
    <cellStyle name="Input 10 7 2 6" xfId="10176" xr:uid="{00000000-0005-0000-0000-0000EF260000}"/>
    <cellStyle name="Input 10 7 3" xfId="10177" xr:uid="{00000000-0005-0000-0000-0000F0260000}"/>
    <cellStyle name="Input 10 7 3 2" xfId="10178" xr:uid="{00000000-0005-0000-0000-0000F1260000}"/>
    <cellStyle name="Input 10 7 4" xfId="10179" xr:uid="{00000000-0005-0000-0000-0000F2260000}"/>
    <cellStyle name="Input 10 7 4 2" xfId="10180" xr:uid="{00000000-0005-0000-0000-0000F3260000}"/>
    <cellStyle name="Input 10 7 5" xfId="10181" xr:uid="{00000000-0005-0000-0000-0000F4260000}"/>
    <cellStyle name="Input 10 7 6" xfId="10182" xr:uid="{00000000-0005-0000-0000-0000F5260000}"/>
    <cellStyle name="Input 10 7 7" xfId="10183" xr:uid="{00000000-0005-0000-0000-0000F6260000}"/>
    <cellStyle name="Input 10 8" xfId="10184" xr:uid="{00000000-0005-0000-0000-0000F7260000}"/>
    <cellStyle name="Input 10 8 2" xfId="10185" xr:uid="{00000000-0005-0000-0000-0000F8260000}"/>
    <cellStyle name="Input 10 9" xfId="10186" xr:uid="{00000000-0005-0000-0000-0000F9260000}"/>
    <cellStyle name="Input 10 9 2" xfId="10187" xr:uid="{00000000-0005-0000-0000-0000FA260000}"/>
    <cellStyle name="Input 11" xfId="10188" xr:uid="{00000000-0005-0000-0000-0000FB260000}"/>
    <cellStyle name="Input 11 10" xfId="10189" xr:uid="{00000000-0005-0000-0000-0000FC260000}"/>
    <cellStyle name="Input 11 11" xfId="10190" xr:uid="{00000000-0005-0000-0000-0000FD260000}"/>
    <cellStyle name="Input 11 12" xfId="10191" xr:uid="{00000000-0005-0000-0000-0000FE260000}"/>
    <cellStyle name="Input 11 2" xfId="10192" xr:uid="{00000000-0005-0000-0000-0000FF260000}"/>
    <cellStyle name="Input 11 2 10" xfId="10193" xr:uid="{00000000-0005-0000-0000-000000270000}"/>
    <cellStyle name="Input 11 2 11" xfId="10194" xr:uid="{00000000-0005-0000-0000-000001270000}"/>
    <cellStyle name="Input 11 2 12" xfId="10195" xr:uid="{00000000-0005-0000-0000-000002270000}"/>
    <cellStyle name="Input 11 2 2" xfId="10196" xr:uid="{00000000-0005-0000-0000-000003270000}"/>
    <cellStyle name="Input 11 2 2 10" xfId="10197" xr:uid="{00000000-0005-0000-0000-000004270000}"/>
    <cellStyle name="Input 11 2 2 11" xfId="10198" xr:uid="{00000000-0005-0000-0000-000005270000}"/>
    <cellStyle name="Input 11 2 2 2" xfId="10199" xr:uid="{00000000-0005-0000-0000-000006270000}"/>
    <cellStyle name="Input 11 2 2 2 10" xfId="10200" xr:uid="{00000000-0005-0000-0000-000007270000}"/>
    <cellStyle name="Input 11 2 2 2 2" xfId="10201" xr:uid="{00000000-0005-0000-0000-000008270000}"/>
    <cellStyle name="Input 11 2 2 2 2 2" xfId="10202" xr:uid="{00000000-0005-0000-0000-000009270000}"/>
    <cellStyle name="Input 11 2 2 2 2 2 2" xfId="10203" xr:uid="{00000000-0005-0000-0000-00000A270000}"/>
    <cellStyle name="Input 11 2 2 2 2 2 2 2" xfId="10204" xr:uid="{00000000-0005-0000-0000-00000B270000}"/>
    <cellStyle name="Input 11 2 2 2 2 2 2 2 2" xfId="10205" xr:uid="{00000000-0005-0000-0000-00000C270000}"/>
    <cellStyle name="Input 11 2 2 2 2 2 2 3" xfId="10206" xr:uid="{00000000-0005-0000-0000-00000D270000}"/>
    <cellStyle name="Input 11 2 2 2 2 2 2 3 2" xfId="10207" xr:uid="{00000000-0005-0000-0000-00000E270000}"/>
    <cellStyle name="Input 11 2 2 2 2 2 2 4" xfId="10208" xr:uid="{00000000-0005-0000-0000-00000F270000}"/>
    <cellStyle name="Input 11 2 2 2 2 2 2 5" xfId="10209" xr:uid="{00000000-0005-0000-0000-000010270000}"/>
    <cellStyle name="Input 11 2 2 2 2 2 2 6" xfId="10210" xr:uid="{00000000-0005-0000-0000-000011270000}"/>
    <cellStyle name="Input 11 2 2 2 2 2 3" xfId="10211" xr:uid="{00000000-0005-0000-0000-000012270000}"/>
    <cellStyle name="Input 11 2 2 2 2 2 3 2" xfId="10212" xr:uid="{00000000-0005-0000-0000-000013270000}"/>
    <cellStyle name="Input 11 2 2 2 2 2 4" xfId="10213" xr:uid="{00000000-0005-0000-0000-000014270000}"/>
    <cellStyle name="Input 11 2 2 2 2 2 4 2" xfId="10214" xr:uid="{00000000-0005-0000-0000-000015270000}"/>
    <cellStyle name="Input 11 2 2 2 2 2 5" xfId="10215" xr:uid="{00000000-0005-0000-0000-000016270000}"/>
    <cellStyle name="Input 11 2 2 2 2 2 6" xfId="10216" xr:uid="{00000000-0005-0000-0000-000017270000}"/>
    <cellStyle name="Input 11 2 2 2 2 2 7" xfId="10217" xr:uid="{00000000-0005-0000-0000-000018270000}"/>
    <cellStyle name="Input 11 2 2 2 2 3" xfId="10218" xr:uid="{00000000-0005-0000-0000-000019270000}"/>
    <cellStyle name="Input 11 2 2 2 2 3 2" xfId="10219" xr:uid="{00000000-0005-0000-0000-00001A270000}"/>
    <cellStyle name="Input 11 2 2 2 2 3 2 2" xfId="10220" xr:uid="{00000000-0005-0000-0000-00001B270000}"/>
    <cellStyle name="Input 11 2 2 2 2 3 3" xfId="10221" xr:uid="{00000000-0005-0000-0000-00001C270000}"/>
    <cellStyle name="Input 11 2 2 2 2 3 3 2" xfId="10222" xr:uid="{00000000-0005-0000-0000-00001D270000}"/>
    <cellStyle name="Input 11 2 2 2 2 3 4" xfId="10223" xr:uid="{00000000-0005-0000-0000-00001E270000}"/>
    <cellStyle name="Input 11 2 2 2 2 3 5" xfId="10224" xr:uid="{00000000-0005-0000-0000-00001F270000}"/>
    <cellStyle name="Input 11 2 2 2 2 3 6" xfId="10225" xr:uid="{00000000-0005-0000-0000-000020270000}"/>
    <cellStyle name="Input 11 2 2 2 2 4" xfId="10226" xr:uid="{00000000-0005-0000-0000-000021270000}"/>
    <cellStyle name="Input 11 2 2 2 2 4 2" xfId="10227" xr:uid="{00000000-0005-0000-0000-000022270000}"/>
    <cellStyle name="Input 11 2 2 2 2 5" xfId="10228" xr:uid="{00000000-0005-0000-0000-000023270000}"/>
    <cellStyle name="Input 11 2 2 2 2 5 2" xfId="10229" xr:uid="{00000000-0005-0000-0000-000024270000}"/>
    <cellStyle name="Input 11 2 2 2 2 6" xfId="10230" xr:uid="{00000000-0005-0000-0000-000025270000}"/>
    <cellStyle name="Input 11 2 2 2 2 7" xfId="10231" xr:uid="{00000000-0005-0000-0000-000026270000}"/>
    <cellStyle name="Input 11 2 2 2 2 8" xfId="10232" xr:uid="{00000000-0005-0000-0000-000027270000}"/>
    <cellStyle name="Input 11 2 2 2 3" xfId="10233" xr:uid="{00000000-0005-0000-0000-000028270000}"/>
    <cellStyle name="Input 11 2 2 2 3 2" xfId="10234" xr:uid="{00000000-0005-0000-0000-000029270000}"/>
    <cellStyle name="Input 11 2 2 2 3 2 2" xfId="10235" xr:uid="{00000000-0005-0000-0000-00002A270000}"/>
    <cellStyle name="Input 11 2 2 2 3 2 2 2" xfId="10236" xr:uid="{00000000-0005-0000-0000-00002B270000}"/>
    <cellStyle name="Input 11 2 2 2 3 2 2 2 2" xfId="10237" xr:uid="{00000000-0005-0000-0000-00002C270000}"/>
    <cellStyle name="Input 11 2 2 2 3 2 2 3" xfId="10238" xr:uid="{00000000-0005-0000-0000-00002D270000}"/>
    <cellStyle name="Input 11 2 2 2 3 2 2 3 2" xfId="10239" xr:uid="{00000000-0005-0000-0000-00002E270000}"/>
    <cellStyle name="Input 11 2 2 2 3 2 2 4" xfId="10240" xr:uid="{00000000-0005-0000-0000-00002F270000}"/>
    <cellStyle name="Input 11 2 2 2 3 2 2 5" xfId="10241" xr:uid="{00000000-0005-0000-0000-000030270000}"/>
    <cellStyle name="Input 11 2 2 2 3 2 2 6" xfId="10242" xr:uid="{00000000-0005-0000-0000-000031270000}"/>
    <cellStyle name="Input 11 2 2 2 3 2 3" xfId="10243" xr:uid="{00000000-0005-0000-0000-000032270000}"/>
    <cellStyle name="Input 11 2 2 2 3 2 3 2" xfId="10244" xr:uid="{00000000-0005-0000-0000-000033270000}"/>
    <cellStyle name="Input 11 2 2 2 3 2 4" xfId="10245" xr:uid="{00000000-0005-0000-0000-000034270000}"/>
    <cellStyle name="Input 11 2 2 2 3 2 4 2" xfId="10246" xr:uid="{00000000-0005-0000-0000-000035270000}"/>
    <cellStyle name="Input 11 2 2 2 3 2 5" xfId="10247" xr:uid="{00000000-0005-0000-0000-000036270000}"/>
    <cellStyle name="Input 11 2 2 2 3 2 6" xfId="10248" xr:uid="{00000000-0005-0000-0000-000037270000}"/>
    <cellStyle name="Input 11 2 2 2 3 2 7" xfId="10249" xr:uid="{00000000-0005-0000-0000-000038270000}"/>
    <cellStyle name="Input 11 2 2 2 3 3" xfId="10250" xr:uid="{00000000-0005-0000-0000-000039270000}"/>
    <cellStyle name="Input 11 2 2 2 3 3 2" xfId="10251" xr:uid="{00000000-0005-0000-0000-00003A270000}"/>
    <cellStyle name="Input 11 2 2 2 3 3 2 2" xfId="10252" xr:uid="{00000000-0005-0000-0000-00003B270000}"/>
    <cellStyle name="Input 11 2 2 2 3 3 3" xfId="10253" xr:uid="{00000000-0005-0000-0000-00003C270000}"/>
    <cellStyle name="Input 11 2 2 2 3 3 3 2" xfId="10254" xr:uid="{00000000-0005-0000-0000-00003D270000}"/>
    <cellStyle name="Input 11 2 2 2 3 3 4" xfId="10255" xr:uid="{00000000-0005-0000-0000-00003E270000}"/>
    <cellStyle name="Input 11 2 2 2 3 3 5" xfId="10256" xr:uid="{00000000-0005-0000-0000-00003F270000}"/>
    <cellStyle name="Input 11 2 2 2 3 3 6" xfId="10257" xr:uid="{00000000-0005-0000-0000-000040270000}"/>
    <cellStyle name="Input 11 2 2 2 3 4" xfId="10258" xr:uid="{00000000-0005-0000-0000-000041270000}"/>
    <cellStyle name="Input 11 2 2 2 3 4 2" xfId="10259" xr:uid="{00000000-0005-0000-0000-000042270000}"/>
    <cellStyle name="Input 11 2 2 2 3 5" xfId="10260" xr:uid="{00000000-0005-0000-0000-000043270000}"/>
    <cellStyle name="Input 11 2 2 2 3 5 2" xfId="10261" xr:uid="{00000000-0005-0000-0000-000044270000}"/>
    <cellStyle name="Input 11 2 2 2 3 6" xfId="10262" xr:uid="{00000000-0005-0000-0000-000045270000}"/>
    <cellStyle name="Input 11 2 2 2 3 7" xfId="10263" xr:uid="{00000000-0005-0000-0000-000046270000}"/>
    <cellStyle name="Input 11 2 2 2 3 8" xfId="10264" xr:uid="{00000000-0005-0000-0000-000047270000}"/>
    <cellStyle name="Input 11 2 2 2 4" xfId="10265" xr:uid="{00000000-0005-0000-0000-000048270000}"/>
    <cellStyle name="Input 11 2 2 2 4 2" xfId="10266" xr:uid="{00000000-0005-0000-0000-000049270000}"/>
    <cellStyle name="Input 11 2 2 2 4 2 2" xfId="10267" xr:uid="{00000000-0005-0000-0000-00004A270000}"/>
    <cellStyle name="Input 11 2 2 2 4 2 2 2" xfId="10268" xr:uid="{00000000-0005-0000-0000-00004B270000}"/>
    <cellStyle name="Input 11 2 2 2 4 2 3" xfId="10269" xr:uid="{00000000-0005-0000-0000-00004C270000}"/>
    <cellStyle name="Input 11 2 2 2 4 2 3 2" xfId="10270" xr:uid="{00000000-0005-0000-0000-00004D270000}"/>
    <cellStyle name="Input 11 2 2 2 4 2 4" xfId="10271" xr:uid="{00000000-0005-0000-0000-00004E270000}"/>
    <cellStyle name="Input 11 2 2 2 4 2 5" xfId="10272" xr:uid="{00000000-0005-0000-0000-00004F270000}"/>
    <cellStyle name="Input 11 2 2 2 4 2 6" xfId="10273" xr:uid="{00000000-0005-0000-0000-000050270000}"/>
    <cellStyle name="Input 11 2 2 2 4 3" xfId="10274" xr:uid="{00000000-0005-0000-0000-000051270000}"/>
    <cellStyle name="Input 11 2 2 2 4 3 2" xfId="10275" xr:uid="{00000000-0005-0000-0000-000052270000}"/>
    <cellStyle name="Input 11 2 2 2 4 4" xfId="10276" xr:uid="{00000000-0005-0000-0000-000053270000}"/>
    <cellStyle name="Input 11 2 2 2 4 4 2" xfId="10277" xr:uid="{00000000-0005-0000-0000-000054270000}"/>
    <cellStyle name="Input 11 2 2 2 4 5" xfId="10278" xr:uid="{00000000-0005-0000-0000-000055270000}"/>
    <cellStyle name="Input 11 2 2 2 4 6" xfId="10279" xr:uid="{00000000-0005-0000-0000-000056270000}"/>
    <cellStyle name="Input 11 2 2 2 4 7" xfId="10280" xr:uid="{00000000-0005-0000-0000-000057270000}"/>
    <cellStyle name="Input 11 2 2 2 5" xfId="10281" xr:uid="{00000000-0005-0000-0000-000058270000}"/>
    <cellStyle name="Input 11 2 2 2 5 2" xfId="10282" xr:uid="{00000000-0005-0000-0000-000059270000}"/>
    <cellStyle name="Input 11 2 2 2 5 2 2" xfId="10283" xr:uid="{00000000-0005-0000-0000-00005A270000}"/>
    <cellStyle name="Input 11 2 2 2 5 3" xfId="10284" xr:uid="{00000000-0005-0000-0000-00005B270000}"/>
    <cellStyle name="Input 11 2 2 2 5 3 2" xfId="10285" xr:uid="{00000000-0005-0000-0000-00005C270000}"/>
    <cellStyle name="Input 11 2 2 2 5 4" xfId="10286" xr:uid="{00000000-0005-0000-0000-00005D270000}"/>
    <cellStyle name="Input 11 2 2 2 5 5" xfId="10287" xr:uid="{00000000-0005-0000-0000-00005E270000}"/>
    <cellStyle name="Input 11 2 2 2 5 6" xfId="10288" xr:uid="{00000000-0005-0000-0000-00005F270000}"/>
    <cellStyle name="Input 11 2 2 2 6" xfId="10289" xr:uid="{00000000-0005-0000-0000-000060270000}"/>
    <cellStyle name="Input 11 2 2 2 6 2" xfId="10290" xr:uid="{00000000-0005-0000-0000-000061270000}"/>
    <cellStyle name="Input 11 2 2 2 7" xfId="10291" xr:uid="{00000000-0005-0000-0000-000062270000}"/>
    <cellStyle name="Input 11 2 2 2 7 2" xfId="10292" xr:uid="{00000000-0005-0000-0000-000063270000}"/>
    <cellStyle name="Input 11 2 2 2 8" xfId="10293" xr:uid="{00000000-0005-0000-0000-000064270000}"/>
    <cellStyle name="Input 11 2 2 2 9" xfId="10294" xr:uid="{00000000-0005-0000-0000-000065270000}"/>
    <cellStyle name="Input 11 2 2 3" xfId="10295" xr:uid="{00000000-0005-0000-0000-000066270000}"/>
    <cellStyle name="Input 11 2 2 3 2" xfId="10296" xr:uid="{00000000-0005-0000-0000-000067270000}"/>
    <cellStyle name="Input 11 2 2 3 2 2" xfId="10297" xr:uid="{00000000-0005-0000-0000-000068270000}"/>
    <cellStyle name="Input 11 2 2 3 2 2 2" xfId="10298" xr:uid="{00000000-0005-0000-0000-000069270000}"/>
    <cellStyle name="Input 11 2 2 3 2 2 2 2" xfId="10299" xr:uid="{00000000-0005-0000-0000-00006A270000}"/>
    <cellStyle name="Input 11 2 2 3 2 2 3" xfId="10300" xr:uid="{00000000-0005-0000-0000-00006B270000}"/>
    <cellStyle name="Input 11 2 2 3 2 2 3 2" xfId="10301" xr:uid="{00000000-0005-0000-0000-00006C270000}"/>
    <cellStyle name="Input 11 2 2 3 2 2 4" xfId="10302" xr:uid="{00000000-0005-0000-0000-00006D270000}"/>
    <cellStyle name="Input 11 2 2 3 2 2 5" xfId="10303" xr:uid="{00000000-0005-0000-0000-00006E270000}"/>
    <cellStyle name="Input 11 2 2 3 2 2 6" xfId="10304" xr:uid="{00000000-0005-0000-0000-00006F270000}"/>
    <cellStyle name="Input 11 2 2 3 2 3" xfId="10305" xr:uid="{00000000-0005-0000-0000-000070270000}"/>
    <cellStyle name="Input 11 2 2 3 2 3 2" xfId="10306" xr:uid="{00000000-0005-0000-0000-000071270000}"/>
    <cellStyle name="Input 11 2 2 3 2 4" xfId="10307" xr:uid="{00000000-0005-0000-0000-000072270000}"/>
    <cellStyle name="Input 11 2 2 3 2 4 2" xfId="10308" xr:uid="{00000000-0005-0000-0000-000073270000}"/>
    <cellStyle name="Input 11 2 2 3 2 5" xfId="10309" xr:uid="{00000000-0005-0000-0000-000074270000}"/>
    <cellStyle name="Input 11 2 2 3 2 6" xfId="10310" xr:uid="{00000000-0005-0000-0000-000075270000}"/>
    <cellStyle name="Input 11 2 2 3 2 7" xfId="10311" xr:uid="{00000000-0005-0000-0000-000076270000}"/>
    <cellStyle name="Input 11 2 2 3 3" xfId="10312" xr:uid="{00000000-0005-0000-0000-000077270000}"/>
    <cellStyle name="Input 11 2 2 3 3 2" xfId="10313" xr:uid="{00000000-0005-0000-0000-000078270000}"/>
    <cellStyle name="Input 11 2 2 3 3 2 2" xfId="10314" xr:uid="{00000000-0005-0000-0000-000079270000}"/>
    <cellStyle name="Input 11 2 2 3 3 3" xfId="10315" xr:uid="{00000000-0005-0000-0000-00007A270000}"/>
    <cellStyle name="Input 11 2 2 3 3 3 2" xfId="10316" xr:uid="{00000000-0005-0000-0000-00007B270000}"/>
    <cellStyle name="Input 11 2 2 3 3 4" xfId="10317" xr:uid="{00000000-0005-0000-0000-00007C270000}"/>
    <cellStyle name="Input 11 2 2 3 3 5" xfId="10318" xr:uid="{00000000-0005-0000-0000-00007D270000}"/>
    <cellStyle name="Input 11 2 2 3 3 6" xfId="10319" xr:uid="{00000000-0005-0000-0000-00007E270000}"/>
    <cellStyle name="Input 11 2 2 3 4" xfId="10320" xr:uid="{00000000-0005-0000-0000-00007F270000}"/>
    <cellStyle name="Input 11 2 2 3 4 2" xfId="10321" xr:uid="{00000000-0005-0000-0000-000080270000}"/>
    <cellStyle name="Input 11 2 2 3 5" xfId="10322" xr:uid="{00000000-0005-0000-0000-000081270000}"/>
    <cellStyle name="Input 11 2 2 3 5 2" xfId="10323" xr:uid="{00000000-0005-0000-0000-000082270000}"/>
    <cellStyle name="Input 11 2 2 3 6" xfId="10324" xr:uid="{00000000-0005-0000-0000-000083270000}"/>
    <cellStyle name="Input 11 2 2 3 7" xfId="10325" xr:uid="{00000000-0005-0000-0000-000084270000}"/>
    <cellStyle name="Input 11 2 2 3 8" xfId="10326" xr:uid="{00000000-0005-0000-0000-000085270000}"/>
    <cellStyle name="Input 11 2 2 4" xfId="10327" xr:uid="{00000000-0005-0000-0000-000086270000}"/>
    <cellStyle name="Input 11 2 2 4 2" xfId="10328" xr:uid="{00000000-0005-0000-0000-000087270000}"/>
    <cellStyle name="Input 11 2 2 4 2 2" xfId="10329" xr:uid="{00000000-0005-0000-0000-000088270000}"/>
    <cellStyle name="Input 11 2 2 4 2 2 2" xfId="10330" xr:uid="{00000000-0005-0000-0000-000089270000}"/>
    <cellStyle name="Input 11 2 2 4 2 2 2 2" xfId="10331" xr:uid="{00000000-0005-0000-0000-00008A270000}"/>
    <cellStyle name="Input 11 2 2 4 2 2 3" xfId="10332" xr:uid="{00000000-0005-0000-0000-00008B270000}"/>
    <cellStyle name="Input 11 2 2 4 2 2 3 2" xfId="10333" xr:uid="{00000000-0005-0000-0000-00008C270000}"/>
    <cellStyle name="Input 11 2 2 4 2 2 4" xfId="10334" xr:uid="{00000000-0005-0000-0000-00008D270000}"/>
    <cellStyle name="Input 11 2 2 4 2 2 5" xfId="10335" xr:uid="{00000000-0005-0000-0000-00008E270000}"/>
    <cellStyle name="Input 11 2 2 4 2 2 6" xfId="10336" xr:uid="{00000000-0005-0000-0000-00008F270000}"/>
    <cellStyle name="Input 11 2 2 4 2 3" xfId="10337" xr:uid="{00000000-0005-0000-0000-000090270000}"/>
    <cellStyle name="Input 11 2 2 4 2 3 2" xfId="10338" xr:uid="{00000000-0005-0000-0000-000091270000}"/>
    <cellStyle name="Input 11 2 2 4 2 4" xfId="10339" xr:uid="{00000000-0005-0000-0000-000092270000}"/>
    <cellStyle name="Input 11 2 2 4 2 4 2" xfId="10340" xr:uid="{00000000-0005-0000-0000-000093270000}"/>
    <cellStyle name="Input 11 2 2 4 2 5" xfId="10341" xr:uid="{00000000-0005-0000-0000-000094270000}"/>
    <cellStyle name="Input 11 2 2 4 2 6" xfId="10342" xr:uid="{00000000-0005-0000-0000-000095270000}"/>
    <cellStyle name="Input 11 2 2 4 2 7" xfId="10343" xr:uid="{00000000-0005-0000-0000-000096270000}"/>
    <cellStyle name="Input 11 2 2 4 3" xfId="10344" xr:uid="{00000000-0005-0000-0000-000097270000}"/>
    <cellStyle name="Input 11 2 2 4 3 2" xfId="10345" xr:uid="{00000000-0005-0000-0000-000098270000}"/>
    <cellStyle name="Input 11 2 2 4 3 2 2" xfId="10346" xr:uid="{00000000-0005-0000-0000-000099270000}"/>
    <cellStyle name="Input 11 2 2 4 3 3" xfId="10347" xr:uid="{00000000-0005-0000-0000-00009A270000}"/>
    <cellStyle name="Input 11 2 2 4 3 3 2" xfId="10348" xr:uid="{00000000-0005-0000-0000-00009B270000}"/>
    <cellStyle name="Input 11 2 2 4 3 4" xfId="10349" xr:uid="{00000000-0005-0000-0000-00009C270000}"/>
    <cellStyle name="Input 11 2 2 4 3 5" xfId="10350" xr:uid="{00000000-0005-0000-0000-00009D270000}"/>
    <cellStyle name="Input 11 2 2 4 3 6" xfId="10351" xr:uid="{00000000-0005-0000-0000-00009E270000}"/>
    <cellStyle name="Input 11 2 2 4 4" xfId="10352" xr:uid="{00000000-0005-0000-0000-00009F270000}"/>
    <cellStyle name="Input 11 2 2 4 4 2" xfId="10353" xr:uid="{00000000-0005-0000-0000-0000A0270000}"/>
    <cellStyle name="Input 11 2 2 4 5" xfId="10354" xr:uid="{00000000-0005-0000-0000-0000A1270000}"/>
    <cellStyle name="Input 11 2 2 4 5 2" xfId="10355" xr:uid="{00000000-0005-0000-0000-0000A2270000}"/>
    <cellStyle name="Input 11 2 2 4 6" xfId="10356" xr:uid="{00000000-0005-0000-0000-0000A3270000}"/>
    <cellStyle name="Input 11 2 2 4 7" xfId="10357" xr:uid="{00000000-0005-0000-0000-0000A4270000}"/>
    <cellStyle name="Input 11 2 2 4 8" xfId="10358" xr:uid="{00000000-0005-0000-0000-0000A5270000}"/>
    <cellStyle name="Input 11 2 2 5" xfId="10359" xr:uid="{00000000-0005-0000-0000-0000A6270000}"/>
    <cellStyle name="Input 11 2 2 5 2" xfId="10360" xr:uid="{00000000-0005-0000-0000-0000A7270000}"/>
    <cellStyle name="Input 11 2 2 5 2 2" xfId="10361" xr:uid="{00000000-0005-0000-0000-0000A8270000}"/>
    <cellStyle name="Input 11 2 2 5 2 2 2" xfId="10362" xr:uid="{00000000-0005-0000-0000-0000A9270000}"/>
    <cellStyle name="Input 11 2 2 5 2 3" xfId="10363" xr:uid="{00000000-0005-0000-0000-0000AA270000}"/>
    <cellStyle name="Input 11 2 2 5 2 3 2" xfId="10364" xr:uid="{00000000-0005-0000-0000-0000AB270000}"/>
    <cellStyle name="Input 11 2 2 5 2 4" xfId="10365" xr:uid="{00000000-0005-0000-0000-0000AC270000}"/>
    <cellStyle name="Input 11 2 2 5 2 5" xfId="10366" xr:uid="{00000000-0005-0000-0000-0000AD270000}"/>
    <cellStyle name="Input 11 2 2 5 2 6" xfId="10367" xr:uid="{00000000-0005-0000-0000-0000AE270000}"/>
    <cellStyle name="Input 11 2 2 5 3" xfId="10368" xr:uid="{00000000-0005-0000-0000-0000AF270000}"/>
    <cellStyle name="Input 11 2 2 5 3 2" xfId="10369" xr:uid="{00000000-0005-0000-0000-0000B0270000}"/>
    <cellStyle name="Input 11 2 2 5 4" xfId="10370" xr:uid="{00000000-0005-0000-0000-0000B1270000}"/>
    <cellStyle name="Input 11 2 2 5 4 2" xfId="10371" xr:uid="{00000000-0005-0000-0000-0000B2270000}"/>
    <cellStyle name="Input 11 2 2 5 5" xfId="10372" xr:uid="{00000000-0005-0000-0000-0000B3270000}"/>
    <cellStyle name="Input 11 2 2 5 6" xfId="10373" xr:uid="{00000000-0005-0000-0000-0000B4270000}"/>
    <cellStyle name="Input 11 2 2 5 7" xfId="10374" xr:uid="{00000000-0005-0000-0000-0000B5270000}"/>
    <cellStyle name="Input 11 2 2 6" xfId="10375" xr:uid="{00000000-0005-0000-0000-0000B6270000}"/>
    <cellStyle name="Input 11 2 2 6 2" xfId="10376" xr:uid="{00000000-0005-0000-0000-0000B7270000}"/>
    <cellStyle name="Input 11 2 2 6 2 2" xfId="10377" xr:uid="{00000000-0005-0000-0000-0000B8270000}"/>
    <cellStyle name="Input 11 2 2 6 3" xfId="10378" xr:uid="{00000000-0005-0000-0000-0000B9270000}"/>
    <cellStyle name="Input 11 2 2 6 3 2" xfId="10379" xr:uid="{00000000-0005-0000-0000-0000BA270000}"/>
    <cellStyle name="Input 11 2 2 6 4" xfId="10380" xr:uid="{00000000-0005-0000-0000-0000BB270000}"/>
    <cellStyle name="Input 11 2 2 6 5" xfId="10381" xr:uid="{00000000-0005-0000-0000-0000BC270000}"/>
    <cellStyle name="Input 11 2 2 6 6" xfId="10382" xr:uid="{00000000-0005-0000-0000-0000BD270000}"/>
    <cellStyle name="Input 11 2 2 7" xfId="10383" xr:uid="{00000000-0005-0000-0000-0000BE270000}"/>
    <cellStyle name="Input 11 2 2 7 2" xfId="10384" xr:uid="{00000000-0005-0000-0000-0000BF270000}"/>
    <cellStyle name="Input 11 2 2 8" xfId="10385" xr:uid="{00000000-0005-0000-0000-0000C0270000}"/>
    <cellStyle name="Input 11 2 2 8 2" xfId="10386" xr:uid="{00000000-0005-0000-0000-0000C1270000}"/>
    <cellStyle name="Input 11 2 2 9" xfId="10387" xr:uid="{00000000-0005-0000-0000-0000C2270000}"/>
    <cellStyle name="Input 11 2 3" xfId="10388" xr:uid="{00000000-0005-0000-0000-0000C3270000}"/>
    <cellStyle name="Input 11 2 3 10" xfId="10389" xr:uid="{00000000-0005-0000-0000-0000C4270000}"/>
    <cellStyle name="Input 11 2 3 2" xfId="10390" xr:uid="{00000000-0005-0000-0000-0000C5270000}"/>
    <cellStyle name="Input 11 2 3 2 10" xfId="10391" xr:uid="{00000000-0005-0000-0000-0000C6270000}"/>
    <cellStyle name="Input 11 2 3 2 2" xfId="10392" xr:uid="{00000000-0005-0000-0000-0000C7270000}"/>
    <cellStyle name="Input 11 2 3 2 2 2" xfId="10393" xr:uid="{00000000-0005-0000-0000-0000C8270000}"/>
    <cellStyle name="Input 11 2 3 2 2 2 2" xfId="10394" xr:uid="{00000000-0005-0000-0000-0000C9270000}"/>
    <cellStyle name="Input 11 2 3 2 2 2 2 2" xfId="10395" xr:uid="{00000000-0005-0000-0000-0000CA270000}"/>
    <cellStyle name="Input 11 2 3 2 2 2 2 2 2" xfId="10396" xr:uid="{00000000-0005-0000-0000-0000CB270000}"/>
    <cellStyle name="Input 11 2 3 2 2 2 2 3" xfId="10397" xr:uid="{00000000-0005-0000-0000-0000CC270000}"/>
    <cellStyle name="Input 11 2 3 2 2 2 2 3 2" xfId="10398" xr:uid="{00000000-0005-0000-0000-0000CD270000}"/>
    <cellStyle name="Input 11 2 3 2 2 2 2 4" xfId="10399" xr:uid="{00000000-0005-0000-0000-0000CE270000}"/>
    <cellStyle name="Input 11 2 3 2 2 2 2 5" xfId="10400" xr:uid="{00000000-0005-0000-0000-0000CF270000}"/>
    <cellStyle name="Input 11 2 3 2 2 2 2 6" xfId="10401" xr:uid="{00000000-0005-0000-0000-0000D0270000}"/>
    <cellStyle name="Input 11 2 3 2 2 2 3" xfId="10402" xr:uid="{00000000-0005-0000-0000-0000D1270000}"/>
    <cellStyle name="Input 11 2 3 2 2 2 3 2" xfId="10403" xr:uid="{00000000-0005-0000-0000-0000D2270000}"/>
    <cellStyle name="Input 11 2 3 2 2 2 4" xfId="10404" xr:uid="{00000000-0005-0000-0000-0000D3270000}"/>
    <cellStyle name="Input 11 2 3 2 2 2 4 2" xfId="10405" xr:uid="{00000000-0005-0000-0000-0000D4270000}"/>
    <cellStyle name="Input 11 2 3 2 2 2 5" xfId="10406" xr:uid="{00000000-0005-0000-0000-0000D5270000}"/>
    <cellStyle name="Input 11 2 3 2 2 2 6" xfId="10407" xr:uid="{00000000-0005-0000-0000-0000D6270000}"/>
    <cellStyle name="Input 11 2 3 2 2 2 7" xfId="10408" xr:uid="{00000000-0005-0000-0000-0000D7270000}"/>
    <cellStyle name="Input 11 2 3 2 2 3" xfId="10409" xr:uid="{00000000-0005-0000-0000-0000D8270000}"/>
    <cellStyle name="Input 11 2 3 2 2 3 2" xfId="10410" xr:uid="{00000000-0005-0000-0000-0000D9270000}"/>
    <cellStyle name="Input 11 2 3 2 2 3 2 2" xfId="10411" xr:uid="{00000000-0005-0000-0000-0000DA270000}"/>
    <cellStyle name="Input 11 2 3 2 2 3 3" xfId="10412" xr:uid="{00000000-0005-0000-0000-0000DB270000}"/>
    <cellStyle name="Input 11 2 3 2 2 3 3 2" xfId="10413" xr:uid="{00000000-0005-0000-0000-0000DC270000}"/>
    <cellStyle name="Input 11 2 3 2 2 3 4" xfId="10414" xr:uid="{00000000-0005-0000-0000-0000DD270000}"/>
    <cellStyle name="Input 11 2 3 2 2 3 5" xfId="10415" xr:uid="{00000000-0005-0000-0000-0000DE270000}"/>
    <cellStyle name="Input 11 2 3 2 2 3 6" xfId="10416" xr:uid="{00000000-0005-0000-0000-0000DF270000}"/>
    <cellStyle name="Input 11 2 3 2 2 4" xfId="10417" xr:uid="{00000000-0005-0000-0000-0000E0270000}"/>
    <cellStyle name="Input 11 2 3 2 2 4 2" xfId="10418" xr:uid="{00000000-0005-0000-0000-0000E1270000}"/>
    <cellStyle name="Input 11 2 3 2 2 5" xfId="10419" xr:uid="{00000000-0005-0000-0000-0000E2270000}"/>
    <cellStyle name="Input 11 2 3 2 2 5 2" xfId="10420" xr:uid="{00000000-0005-0000-0000-0000E3270000}"/>
    <cellStyle name="Input 11 2 3 2 2 6" xfId="10421" xr:uid="{00000000-0005-0000-0000-0000E4270000}"/>
    <cellStyle name="Input 11 2 3 2 2 7" xfId="10422" xr:uid="{00000000-0005-0000-0000-0000E5270000}"/>
    <cellStyle name="Input 11 2 3 2 2 8" xfId="10423" xr:uid="{00000000-0005-0000-0000-0000E6270000}"/>
    <cellStyle name="Input 11 2 3 2 3" xfId="10424" xr:uid="{00000000-0005-0000-0000-0000E7270000}"/>
    <cellStyle name="Input 11 2 3 2 3 2" xfId="10425" xr:uid="{00000000-0005-0000-0000-0000E8270000}"/>
    <cellStyle name="Input 11 2 3 2 3 2 2" xfId="10426" xr:uid="{00000000-0005-0000-0000-0000E9270000}"/>
    <cellStyle name="Input 11 2 3 2 3 2 2 2" xfId="10427" xr:uid="{00000000-0005-0000-0000-0000EA270000}"/>
    <cellStyle name="Input 11 2 3 2 3 2 2 2 2" xfId="10428" xr:uid="{00000000-0005-0000-0000-0000EB270000}"/>
    <cellStyle name="Input 11 2 3 2 3 2 2 3" xfId="10429" xr:uid="{00000000-0005-0000-0000-0000EC270000}"/>
    <cellStyle name="Input 11 2 3 2 3 2 2 3 2" xfId="10430" xr:uid="{00000000-0005-0000-0000-0000ED270000}"/>
    <cellStyle name="Input 11 2 3 2 3 2 2 4" xfId="10431" xr:uid="{00000000-0005-0000-0000-0000EE270000}"/>
    <cellStyle name="Input 11 2 3 2 3 2 2 5" xfId="10432" xr:uid="{00000000-0005-0000-0000-0000EF270000}"/>
    <cellStyle name="Input 11 2 3 2 3 2 2 6" xfId="10433" xr:uid="{00000000-0005-0000-0000-0000F0270000}"/>
    <cellStyle name="Input 11 2 3 2 3 2 3" xfId="10434" xr:uid="{00000000-0005-0000-0000-0000F1270000}"/>
    <cellStyle name="Input 11 2 3 2 3 2 3 2" xfId="10435" xr:uid="{00000000-0005-0000-0000-0000F2270000}"/>
    <cellStyle name="Input 11 2 3 2 3 2 4" xfId="10436" xr:uid="{00000000-0005-0000-0000-0000F3270000}"/>
    <cellStyle name="Input 11 2 3 2 3 2 4 2" xfId="10437" xr:uid="{00000000-0005-0000-0000-0000F4270000}"/>
    <cellStyle name="Input 11 2 3 2 3 2 5" xfId="10438" xr:uid="{00000000-0005-0000-0000-0000F5270000}"/>
    <cellStyle name="Input 11 2 3 2 3 2 6" xfId="10439" xr:uid="{00000000-0005-0000-0000-0000F6270000}"/>
    <cellStyle name="Input 11 2 3 2 3 2 7" xfId="10440" xr:uid="{00000000-0005-0000-0000-0000F7270000}"/>
    <cellStyle name="Input 11 2 3 2 3 3" xfId="10441" xr:uid="{00000000-0005-0000-0000-0000F8270000}"/>
    <cellStyle name="Input 11 2 3 2 3 3 2" xfId="10442" xr:uid="{00000000-0005-0000-0000-0000F9270000}"/>
    <cellStyle name="Input 11 2 3 2 3 3 2 2" xfId="10443" xr:uid="{00000000-0005-0000-0000-0000FA270000}"/>
    <cellStyle name="Input 11 2 3 2 3 3 3" xfId="10444" xr:uid="{00000000-0005-0000-0000-0000FB270000}"/>
    <cellStyle name="Input 11 2 3 2 3 3 3 2" xfId="10445" xr:uid="{00000000-0005-0000-0000-0000FC270000}"/>
    <cellStyle name="Input 11 2 3 2 3 3 4" xfId="10446" xr:uid="{00000000-0005-0000-0000-0000FD270000}"/>
    <cellStyle name="Input 11 2 3 2 3 3 5" xfId="10447" xr:uid="{00000000-0005-0000-0000-0000FE270000}"/>
    <cellStyle name="Input 11 2 3 2 3 3 6" xfId="10448" xr:uid="{00000000-0005-0000-0000-0000FF270000}"/>
    <cellStyle name="Input 11 2 3 2 3 4" xfId="10449" xr:uid="{00000000-0005-0000-0000-000000280000}"/>
    <cellStyle name="Input 11 2 3 2 3 4 2" xfId="10450" xr:uid="{00000000-0005-0000-0000-000001280000}"/>
    <cellStyle name="Input 11 2 3 2 3 5" xfId="10451" xr:uid="{00000000-0005-0000-0000-000002280000}"/>
    <cellStyle name="Input 11 2 3 2 3 5 2" xfId="10452" xr:uid="{00000000-0005-0000-0000-000003280000}"/>
    <cellStyle name="Input 11 2 3 2 3 6" xfId="10453" xr:uid="{00000000-0005-0000-0000-000004280000}"/>
    <cellStyle name="Input 11 2 3 2 3 7" xfId="10454" xr:uid="{00000000-0005-0000-0000-000005280000}"/>
    <cellStyle name="Input 11 2 3 2 3 8" xfId="10455" xr:uid="{00000000-0005-0000-0000-000006280000}"/>
    <cellStyle name="Input 11 2 3 2 4" xfId="10456" xr:uid="{00000000-0005-0000-0000-000007280000}"/>
    <cellStyle name="Input 11 2 3 2 4 2" xfId="10457" xr:uid="{00000000-0005-0000-0000-000008280000}"/>
    <cellStyle name="Input 11 2 3 2 4 2 2" xfId="10458" xr:uid="{00000000-0005-0000-0000-000009280000}"/>
    <cellStyle name="Input 11 2 3 2 4 2 2 2" xfId="10459" xr:uid="{00000000-0005-0000-0000-00000A280000}"/>
    <cellStyle name="Input 11 2 3 2 4 2 3" xfId="10460" xr:uid="{00000000-0005-0000-0000-00000B280000}"/>
    <cellStyle name="Input 11 2 3 2 4 2 3 2" xfId="10461" xr:uid="{00000000-0005-0000-0000-00000C280000}"/>
    <cellStyle name="Input 11 2 3 2 4 2 4" xfId="10462" xr:uid="{00000000-0005-0000-0000-00000D280000}"/>
    <cellStyle name="Input 11 2 3 2 4 2 5" xfId="10463" xr:uid="{00000000-0005-0000-0000-00000E280000}"/>
    <cellStyle name="Input 11 2 3 2 4 2 6" xfId="10464" xr:uid="{00000000-0005-0000-0000-00000F280000}"/>
    <cellStyle name="Input 11 2 3 2 4 3" xfId="10465" xr:uid="{00000000-0005-0000-0000-000010280000}"/>
    <cellStyle name="Input 11 2 3 2 4 3 2" xfId="10466" xr:uid="{00000000-0005-0000-0000-000011280000}"/>
    <cellStyle name="Input 11 2 3 2 4 4" xfId="10467" xr:uid="{00000000-0005-0000-0000-000012280000}"/>
    <cellStyle name="Input 11 2 3 2 4 4 2" xfId="10468" xr:uid="{00000000-0005-0000-0000-000013280000}"/>
    <cellStyle name="Input 11 2 3 2 4 5" xfId="10469" xr:uid="{00000000-0005-0000-0000-000014280000}"/>
    <cellStyle name="Input 11 2 3 2 4 6" xfId="10470" xr:uid="{00000000-0005-0000-0000-000015280000}"/>
    <cellStyle name="Input 11 2 3 2 4 7" xfId="10471" xr:uid="{00000000-0005-0000-0000-000016280000}"/>
    <cellStyle name="Input 11 2 3 2 5" xfId="10472" xr:uid="{00000000-0005-0000-0000-000017280000}"/>
    <cellStyle name="Input 11 2 3 2 5 2" xfId="10473" xr:uid="{00000000-0005-0000-0000-000018280000}"/>
    <cellStyle name="Input 11 2 3 2 5 2 2" xfId="10474" xr:uid="{00000000-0005-0000-0000-000019280000}"/>
    <cellStyle name="Input 11 2 3 2 5 3" xfId="10475" xr:uid="{00000000-0005-0000-0000-00001A280000}"/>
    <cellStyle name="Input 11 2 3 2 5 3 2" xfId="10476" xr:uid="{00000000-0005-0000-0000-00001B280000}"/>
    <cellStyle name="Input 11 2 3 2 5 4" xfId="10477" xr:uid="{00000000-0005-0000-0000-00001C280000}"/>
    <cellStyle name="Input 11 2 3 2 5 5" xfId="10478" xr:uid="{00000000-0005-0000-0000-00001D280000}"/>
    <cellStyle name="Input 11 2 3 2 5 6" xfId="10479" xr:uid="{00000000-0005-0000-0000-00001E280000}"/>
    <cellStyle name="Input 11 2 3 2 6" xfId="10480" xr:uid="{00000000-0005-0000-0000-00001F280000}"/>
    <cellStyle name="Input 11 2 3 2 6 2" xfId="10481" xr:uid="{00000000-0005-0000-0000-000020280000}"/>
    <cellStyle name="Input 11 2 3 2 7" xfId="10482" xr:uid="{00000000-0005-0000-0000-000021280000}"/>
    <cellStyle name="Input 11 2 3 2 7 2" xfId="10483" xr:uid="{00000000-0005-0000-0000-000022280000}"/>
    <cellStyle name="Input 11 2 3 2 8" xfId="10484" xr:uid="{00000000-0005-0000-0000-000023280000}"/>
    <cellStyle name="Input 11 2 3 2 9" xfId="10485" xr:uid="{00000000-0005-0000-0000-000024280000}"/>
    <cellStyle name="Input 11 2 3 3" xfId="10486" xr:uid="{00000000-0005-0000-0000-000025280000}"/>
    <cellStyle name="Input 11 2 3 3 2" xfId="10487" xr:uid="{00000000-0005-0000-0000-000026280000}"/>
    <cellStyle name="Input 11 2 3 3 2 2" xfId="10488" xr:uid="{00000000-0005-0000-0000-000027280000}"/>
    <cellStyle name="Input 11 2 3 3 2 2 2" xfId="10489" xr:uid="{00000000-0005-0000-0000-000028280000}"/>
    <cellStyle name="Input 11 2 3 3 2 2 2 2" xfId="10490" xr:uid="{00000000-0005-0000-0000-000029280000}"/>
    <cellStyle name="Input 11 2 3 3 2 2 3" xfId="10491" xr:uid="{00000000-0005-0000-0000-00002A280000}"/>
    <cellStyle name="Input 11 2 3 3 2 2 3 2" xfId="10492" xr:uid="{00000000-0005-0000-0000-00002B280000}"/>
    <cellStyle name="Input 11 2 3 3 2 2 4" xfId="10493" xr:uid="{00000000-0005-0000-0000-00002C280000}"/>
    <cellStyle name="Input 11 2 3 3 2 2 5" xfId="10494" xr:uid="{00000000-0005-0000-0000-00002D280000}"/>
    <cellStyle name="Input 11 2 3 3 2 2 6" xfId="10495" xr:uid="{00000000-0005-0000-0000-00002E280000}"/>
    <cellStyle name="Input 11 2 3 3 2 3" xfId="10496" xr:uid="{00000000-0005-0000-0000-00002F280000}"/>
    <cellStyle name="Input 11 2 3 3 2 3 2" xfId="10497" xr:uid="{00000000-0005-0000-0000-000030280000}"/>
    <cellStyle name="Input 11 2 3 3 2 4" xfId="10498" xr:uid="{00000000-0005-0000-0000-000031280000}"/>
    <cellStyle name="Input 11 2 3 3 2 4 2" xfId="10499" xr:uid="{00000000-0005-0000-0000-000032280000}"/>
    <cellStyle name="Input 11 2 3 3 2 5" xfId="10500" xr:uid="{00000000-0005-0000-0000-000033280000}"/>
    <cellStyle name="Input 11 2 3 3 2 6" xfId="10501" xr:uid="{00000000-0005-0000-0000-000034280000}"/>
    <cellStyle name="Input 11 2 3 3 2 7" xfId="10502" xr:uid="{00000000-0005-0000-0000-000035280000}"/>
    <cellStyle name="Input 11 2 3 3 3" xfId="10503" xr:uid="{00000000-0005-0000-0000-000036280000}"/>
    <cellStyle name="Input 11 2 3 3 3 2" xfId="10504" xr:uid="{00000000-0005-0000-0000-000037280000}"/>
    <cellStyle name="Input 11 2 3 3 3 2 2" xfId="10505" xr:uid="{00000000-0005-0000-0000-000038280000}"/>
    <cellStyle name="Input 11 2 3 3 3 3" xfId="10506" xr:uid="{00000000-0005-0000-0000-000039280000}"/>
    <cellStyle name="Input 11 2 3 3 3 3 2" xfId="10507" xr:uid="{00000000-0005-0000-0000-00003A280000}"/>
    <cellStyle name="Input 11 2 3 3 3 4" xfId="10508" xr:uid="{00000000-0005-0000-0000-00003B280000}"/>
    <cellStyle name="Input 11 2 3 3 3 5" xfId="10509" xr:uid="{00000000-0005-0000-0000-00003C280000}"/>
    <cellStyle name="Input 11 2 3 3 3 6" xfId="10510" xr:uid="{00000000-0005-0000-0000-00003D280000}"/>
    <cellStyle name="Input 11 2 3 3 4" xfId="10511" xr:uid="{00000000-0005-0000-0000-00003E280000}"/>
    <cellStyle name="Input 11 2 3 3 4 2" xfId="10512" xr:uid="{00000000-0005-0000-0000-00003F280000}"/>
    <cellStyle name="Input 11 2 3 3 5" xfId="10513" xr:uid="{00000000-0005-0000-0000-000040280000}"/>
    <cellStyle name="Input 11 2 3 3 5 2" xfId="10514" xr:uid="{00000000-0005-0000-0000-000041280000}"/>
    <cellStyle name="Input 11 2 3 3 6" xfId="10515" xr:uid="{00000000-0005-0000-0000-000042280000}"/>
    <cellStyle name="Input 11 2 3 3 7" xfId="10516" xr:uid="{00000000-0005-0000-0000-000043280000}"/>
    <cellStyle name="Input 11 2 3 3 8" xfId="10517" xr:uid="{00000000-0005-0000-0000-000044280000}"/>
    <cellStyle name="Input 11 2 3 4" xfId="10518" xr:uid="{00000000-0005-0000-0000-000045280000}"/>
    <cellStyle name="Input 11 2 3 4 2" xfId="10519" xr:uid="{00000000-0005-0000-0000-000046280000}"/>
    <cellStyle name="Input 11 2 3 4 2 2" xfId="10520" xr:uid="{00000000-0005-0000-0000-000047280000}"/>
    <cellStyle name="Input 11 2 3 4 2 2 2" xfId="10521" xr:uid="{00000000-0005-0000-0000-000048280000}"/>
    <cellStyle name="Input 11 2 3 4 2 3" xfId="10522" xr:uid="{00000000-0005-0000-0000-000049280000}"/>
    <cellStyle name="Input 11 2 3 4 2 3 2" xfId="10523" xr:uid="{00000000-0005-0000-0000-00004A280000}"/>
    <cellStyle name="Input 11 2 3 4 2 4" xfId="10524" xr:uid="{00000000-0005-0000-0000-00004B280000}"/>
    <cellStyle name="Input 11 2 3 4 2 5" xfId="10525" xr:uid="{00000000-0005-0000-0000-00004C280000}"/>
    <cellStyle name="Input 11 2 3 4 2 6" xfId="10526" xr:uid="{00000000-0005-0000-0000-00004D280000}"/>
    <cellStyle name="Input 11 2 3 4 3" xfId="10527" xr:uid="{00000000-0005-0000-0000-00004E280000}"/>
    <cellStyle name="Input 11 2 3 4 3 2" xfId="10528" xr:uid="{00000000-0005-0000-0000-00004F280000}"/>
    <cellStyle name="Input 11 2 3 4 4" xfId="10529" xr:uid="{00000000-0005-0000-0000-000050280000}"/>
    <cellStyle name="Input 11 2 3 4 4 2" xfId="10530" xr:uid="{00000000-0005-0000-0000-000051280000}"/>
    <cellStyle name="Input 11 2 3 4 5" xfId="10531" xr:uid="{00000000-0005-0000-0000-000052280000}"/>
    <cellStyle name="Input 11 2 3 4 6" xfId="10532" xr:uid="{00000000-0005-0000-0000-000053280000}"/>
    <cellStyle name="Input 11 2 3 4 7" xfId="10533" xr:uid="{00000000-0005-0000-0000-000054280000}"/>
    <cellStyle name="Input 11 2 3 5" xfId="10534" xr:uid="{00000000-0005-0000-0000-000055280000}"/>
    <cellStyle name="Input 11 2 3 5 2" xfId="10535" xr:uid="{00000000-0005-0000-0000-000056280000}"/>
    <cellStyle name="Input 11 2 3 5 2 2" xfId="10536" xr:uid="{00000000-0005-0000-0000-000057280000}"/>
    <cellStyle name="Input 11 2 3 5 3" xfId="10537" xr:uid="{00000000-0005-0000-0000-000058280000}"/>
    <cellStyle name="Input 11 2 3 5 3 2" xfId="10538" xr:uid="{00000000-0005-0000-0000-000059280000}"/>
    <cellStyle name="Input 11 2 3 5 4" xfId="10539" xr:uid="{00000000-0005-0000-0000-00005A280000}"/>
    <cellStyle name="Input 11 2 3 5 5" xfId="10540" xr:uid="{00000000-0005-0000-0000-00005B280000}"/>
    <cellStyle name="Input 11 2 3 5 6" xfId="10541" xr:uid="{00000000-0005-0000-0000-00005C280000}"/>
    <cellStyle name="Input 11 2 3 6" xfId="10542" xr:uid="{00000000-0005-0000-0000-00005D280000}"/>
    <cellStyle name="Input 11 2 3 6 2" xfId="10543" xr:uid="{00000000-0005-0000-0000-00005E280000}"/>
    <cellStyle name="Input 11 2 3 7" xfId="10544" xr:uid="{00000000-0005-0000-0000-00005F280000}"/>
    <cellStyle name="Input 11 2 3 7 2" xfId="10545" xr:uid="{00000000-0005-0000-0000-000060280000}"/>
    <cellStyle name="Input 11 2 3 8" xfId="10546" xr:uid="{00000000-0005-0000-0000-000061280000}"/>
    <cellStyle name="Input 11 2 3 9" xfId="10547" xr:uid="{00000000-0005-0000-0000-000062280000}"/>
    <cellStyle name="Input 11 2 4" xfId="10548" xr:uid="{00000000-0005-0000-0000-000063280000}"/>
    <cellStyle name="Input 11 2 4 10" xfId="10549" xr:uid="{00000000-0005-0000-0000-000064280000}"/>
    <cellStyle name="Input 11 2 4 2" xfId="10550" xr:uid="{00000000-0005-0000-0000-000065280000}"/>
    <cellStyle name="Input 11 2 4 2 2" xfId="10551" xr:uid="{00000000-0005-0000-0000-000066280000}"/>
    <cellStyle name="Input 11 2 4 2 2 2" xfId="10552" xr:uid="{00000000-0005-0000-0000-000067280000}"/>
    <cellStyle name="Input 11 2 4 2 2 2 2" xfId="10553" xr:uid="{00000000-0005-0000-0000-000068280000}"/>
    <cellStyle name="Input 11 2 4 2 2 2 2 2" xfId="10554" xr:uid="{00000000-0005-0000-0000-000069280000}"/>
    <cellStyle name="Input 11 2 4 2 2 2 3" xfId="10555" xr:uid="{00000000-0005-0000-0000-00006A280000}"/>
    <cellStyle name="Input 11 2 4 2 2 2 3 2" xfId="10556" xr:uid="{00000000-0005-0000-0000-00006B280000}"/>
    <cellStyle name="Input 11 2 4 2 2 2 4" xfId="10557" xr:uid="{00000000-0005-0000-0000-00006C280000}"/>
    <cellStyle name="Input 11 2 4 2 2 2 5" xfId="10558" xr:uid="{00000000-0005-0000-0000-00006D280000}"/>
    <cellStyle name="Input 11 2 4 2 2 2 6" xfId="10559" xr:uid="{00000000-0005-0000-0000-00006E280000}"/>
    <cellStyle name="Input 11 2 4 2 2 3" xfId="10560" xr:uid="{00000000-0005-0000-0000-00006F280000}"/>
    <cellStyle name="Input 11 2 4 2 2 3 2" xfId="10561" xr:uid="{00000000-0005-0000-0000-000070280000}"/>
    <cellStyle name="Input 11 2 4 2 2 4" xfId="10562" xr:uid="{00000000-0005-0000-0000-000071280000}"/>
    <cellStyle name="Input 11 2 4 2 2 4 2" xfId="10563" xr:uid="{00000000-0005-0000-0000-000072280000}"/>
    <cellStyle name="Input 11 2 4 2 2 5" xfId="10564" xr:uid="{00000000-0005-0000-0000-000073280000}"/>
    <cellStyle name="Input 11 2 4 2 2 6" xfId="10565" xr:uid="{00000000-0005-0000-0000-000074280000}"/>
    <cellStyle name="Input 11 2 4 2 2 7" xfId="10566" xr:uid="{00000000-0005-0000-0000-000075280000}"/>
    <cellStyle name="Input 11 2 4 2 3" xfId="10567" xr:uid="{00000000-0005-0000-0000-000076280000}"/>
    <cellStyle name="Input 11 2 4 2 3 2" xfId="10568" xr:uid="{00000000-0005-0000-0000-000077280000}"/>
    <cellStyle name="Input 11 2 4 2 3 2 2" xfId="10569" xr:uid="{00000000-0005-0000-0000-000078280000}"/>
    <cellStyle name="Input 11 2 4 2 3 3" xfId="10570" xr:uid="{00000000-0005-0000-0000-000079280000}"/>
    <cellStyle name="Input 11 2 4 2 3 3 2" xfId="10571" xr:uid="{00000000-0005-0000-0000-00007A280000}"/>
    <cellStyle name="Input 11 2 4 2 3 4" xfId="10572" xr:uid="{00000000-0005-0000-0000-00007B280000}"/>
    <cellStyle name="Input 11 2 4 2 3 5" xfId="10573" xr:uid="{00000000-0005-0000-0000-00007C280000}"/>
    <cellStyle name="Input 11 2 4 2 3 6" xfId="10574" xr:uid="{00000000-0005-0000-0000-00007D280000}"/>
    <cellStyle name="Input 11 2 4 2 4" xfId="10575" xr:uid="{00000000-0005-0000-0000-00007E280000}"/>
    <cellStyle name="Input 11 2 4 2 4 2" xfId="10576" xr:uid="{00000000-0005-0000-0000-00007F280000}"/>
    <cellStyle name="Input 11 2 4 2 5" xfId="10577" xr:uid="{00000000-0005-0000-0000-000080280000}"/>
    <cellStyle name="Input 11 2 4 2 5 2" xfId="10578" xr:uid="{00000000-0005-0000-0000-000081280000}"/>
    <cellStyle name="Input 11 2 4 2 6" xfId="10579" xr:uid="{00000000-0005-0000-0000-000082280000}"/>
    <cellStyle name="Input 11 2 4 2 7" xfId="10580" xr:uid="{00000000-0005-0000-0000-000083280000}"/>
    <cellStyle name="Input 11 2 4 2 8" xfId="10581" xr:uid="{00000000-0005-0000-0000-000084280000}"/>
    <cellStyle name="Input 11 2 4 3" xfId="10582" xr:uid="{00000000-0005-0000-0000-000085280000}"/>
    <cellStyle name="Input 11 2 4 3 2" xfId="10583" xr:uid="{00000000-0005-0000-0000-000086280000}"/>
    <cellStyle name="Input 11 2 4 3 2 2" xfId="10584" xr:uid="{00000000-0005-0000-0000-000087280000}"/>
    <cellStyle name="Input 11 2 4 3 2 2 2" xfId="10585" xr:uid="{00000000-0005-0000-0000-000088280000}"/>
    <cellStyle name="Input 11 2 4 3 2 2 2 2" xfId="10586" xr:uid="{00000000-0005-0000-0000-000089280000}"/>
    <cellStyle name="Input 11 2 4 3 2 2 3" xfId="10587" xr:uid="{00000000-0005-0000-0000-00008A280000}"/>
    <cellStyle name="Input 11 2 4 3 2 2 3 2" xfId="10588" xr:uid="{00000000-0005-0000-0000-00008B280000}"/>
    <cellStyle name="Input 11 2 4 3 2 2 4" xfId="10589" xr:uid="{00000000-0005-0000-0000-00008C280000}"/>
    <cellStyle name="Input 11 2 4 3 2 2 5" xfId="10590" xr:uid="{00000000-0005-0000-0000-00008D280000}"/>
    <cellStyle name="Input 11 2 4 3 2 2 6" xfId="10591" xr:uid="{00000000-0005-0000-0000-00008E280000}"/>
    <cellStyle name="Input 11 2 4 3 2 3" xfId="10592" xr:uid="{00000000-0005-0000-0000-00008F280000}"/>
    <cellStyle name="Input 11 2 4 3 2 3 2" xfId="10593" xr:uid="{00000000-0005-0000-0000-000090280000}"/>
    <cellStyle name="Input 11 2 4 3 2 4" xfId="10594" xr:uid="{00000000-0005-0000-0000-000091280000}"/>
    <cellStyle name="Input 11 2 4 3 2 4 2" xfId="10595" xr:uid="{00000000-0005-0000-0000-000092280000}"/>
    <cellStyle name="Input 11 2 4 3 2 5" xfId="10596" xr:uid="{00000000-0005-0000-0000-000093280000}"/>
    <cellStyle name="Input 11 2 4 3 2 6" xfId="10597" xr:uid="{00000000-0005-0000-0000-000094280000}"/>
    <cellStyle name="Input 11 2 4 3 2 7" xfId="10598" xr:uid="{00000000-0005-0000-0000-000095280000}"/>
    <cellStyle name="Input 11 2 4 3 3" xfId="10599" xr:uid="{00000000-0005-0000-0000-000096280000}"/>
    <cellStyle name="Input 11 2 4 3 3 2" xfId="10600" xr:uid="{00000000-0005-0000-0000-000097280000}"/>
    <cellStyle name="Input 11 2 4 3 3 2 2" xfId="10601" xr:uid="{00000000-0005-0000-0000-000098280000}"/>
    <cellStyle name="Input 11 2 4 3 3 3" xfId="10602" xr:uid="{00000000-0005-0000-0000-000099280000}"/>
    <cellStyle name="Input 11 2 4 3 3 3 2" xfId="10603" xr:uid="{00000000-0005-0000-0000-00009A280000}"/>
    <cellStyle name="Input 11 2 4 3 3 4" xfId="10604" xr:uid="{00000000-0005-0000-0000-00009B280000}"/>
    <cellStyle name="Input 11 2 4 3 3 5" xfId="10605" xr:uid="{00000000-0005-0000-0000-00009C280000}"/>
    <cellStyle name="Input 11 2 4 3 3 6" xfId="10606" xr:uid="{00000000-0005-0000-0000-00009D280000}"/>
    <cellStyle name="Input 11 2 4 3 4" xfId="10607" xr:uid="{00000000-0005-0000-0000-00009E280000}"/>
    <cellStyle name="Input 11 2 4 3 4 2" xfId="10608" xr:uid="{00000000-0005-0000-0000-00009F280000}"/>
    <cellStyle name="Input 11 2 4 3 5" xfId="10609" xr:uid="{00000000-0005-0000-0000-0000A0280000}"/>
    <cellStyle name="Input 11 2 4 3 5 2" xfId="10610" xr:uid="{00000000-0005-0000-0000-0000A1280000}"/>
    <cellStyle name="Input 11 2 4 3 6" xfId="10611" xr:uid="{00000000-0005-0000-0000-0000A2280000}"/>
    <cellStyle name="Input 11 2 4 3 7" xfId="10612" xr:uid="{00000000-0005-0000-0000-0000A3280000}"/>
    <cellStyle name="Input 11 2 4 3 8" xfId="10613" xr:uid="{00000000-0005-0000-0000-0000A4280000}"/>
    <cellStyle name="Input 11 2 4 4" xfId="10614" xr:uid="{00000000-0005-0000-0000-0000A5280000}"/>
    <cellStyle name="Input 11 2 4 4 2" xfId="10615" xr:uid="{00000000-0005-0000-0000-0000A6280000}"/>
    <cellStyle name="Input 11 2 4 4 2 2" xfId="10616" xr:uid="{00000000-0005-0000-0000-0000A7280000}"/>
    <cellStyle name="Input 11 2 4 4 2 2 2" xfId="10617" xr:uid="{00000000-0005-0000-0000-0000A8280000}"/>
    <cellStyle name="Input 11 2 4 4 2 3" xfId="10618" xr:uid="{00000000-0005-0000-0000-0000A9280000}"/>
    <cellStyle name="Input 11 2 4 4 2 3 2" xfId="10619" xr:uid="{00000000-0005-0000-0000-0000AA280000}"/>
    <cellStyle name="Input 11 2 4 4 2 4" xfId="10620" xr:uid="{00000000-0005-0000-0000-0000AB280000}"/>
    <cellStyle name="Input 11 2 4 4 2 5" xfId="10621" xr:uid="{00000000-0005-0000-0000-0000AC280000}"/>
    <cellStyle name="Input 11 2 4 4 2 6" xfId="10622" xr:uid="{00000000-0005-0000-0000-0000AD280000}"/>
    <cellStyle name="Input 11 2 4 4 3" xfId="10623" xr:uid="{00000000-0005-0000-0000-0000AE280000}"/>
    <cellStyle name="Input 11 2 4 4 3 2" xfId="10624" xr:uid="{00000000-0005-0000-0000-0000AF280000}"/>
    <cellStyle name="Input 11 2 4 4 4" xfId="10625" xr:uid="{00000000-0005-0000-0000-0000B0280000}"/>
    <cellStyle name="Input 11 2 4 4 4 2" xfId="10626" xr:uid="{00000000-0005-0000-0000-0000B1280000}"/>
    <cellStyle name="Input 11 2 4 4 5" xfId="10627" xr:uid="{00000000-0005-0000-0000-0000B2280000}"/>
    <cellStyle name="Input 11 2 4 4 6" xfId="10628" xr:uid="{00000000-0005-0000-0000-0000B3280000}"/>
    <cellStyle name="Input 11 2 4 4 7" xfId="10629" xr:uid="{00000000-0005-0000-0000-0000B4280000}"/>
    <cellStyle name="Input 11 2 4 5" xfId="10630" xr:uid="{00000000-0005-0000-0000-0000B5280000}"/>
    <cellStyle name="Input 11 2 4 5 2" xfId="10631" xr:uid="{00000000-0005-0000-0000-0000B6280000}"/>
    <cellStyle name="Input 11 2 4 5 2 2" xfId="10632" xr:uid="{00000000-0005-0000-0000-0000B7280000}"/>
    <cellStyle name="Input 11 2 4 5 3" xfId="10633" xr:uid="{00000000-0005-0000-0000-0000B8280000}"/>
    <cellStyle name="Input 11 2 4 5 3 2" xfId="10634" xr:uid="{00000000-0005-0000-0000-0000B9280000}"/>
    <cellStyle name="Input 11 2 4 5 4" xfId="10635" xr:uid="{00000000-0005-0000-0000-0000BA280000}"/>
    <cellStyle name="Input 11 2 4 5 5" xfId="10636" xr:uid="{00000000-0005-0000-0000-0000BB280000}"/>
    <cellStyle name="Input 11 2 4 5 6" xfId="10637" xr:uid="{00000000-0005-0000-0000-0000BC280000}"/>
    <cellStyle name="Input 11 2 4 6" xfId="10638" xr:uid="{00000000-0005-0000-0000-0000BD280000}"/>
    <cellStyle name="Input 11 2 4 6 2" xfId="10639" xr:uid="{00000000-0005-0000-0000-0000BE280000}"/>
    <cellStyle name="Input 11 2 4 7" xfId="10640" xr:uid="{00000000-0005-0000-0000-0000BF280000}"/>
    <cellStyle name="Input 11 2 4 7 2" xfId="10641" xr:uid="{00000000-0005-0000-0000-0000C0280000}"/>
    <cellStyle name="Input 11 2 4 8" xfId="10642" xr:uid="{00000000-0005-0000-0000-0000C1280000}"/>
    <cellStyle name="Input 11 2 4 9" xfId="10643" xr:uid="{00000000-0005-0000-0000-0000C2280000}"/>
    <cellStyle name="Input 11 2 5" xfId="10644" xr:uid="{00000000-0005-0000-0000-0000C3280000}"/>
    <cellStyle name="Input 11 2 5 2" xfId="10645" xr:uid="{00000000-0005-0000-0000-0000C4280000}"/>
    <cellStyle name="Input 11 2 5 2 2" xfId="10646" xr:uid="{00000000-0005-0000-0000-0000C5280000}"/>
    <cellStyle name="Input 11 2 5 2 2 2" xfId="10647" xr:uid="{00000000-0005-0000-0000-0000C6280000}"/>
    <cellStyle name="Input 11 2 5 2 2 2 2" xfId="10648" xr:uid="{00000000-0005-0000-0000-0000C7280000}"/>
    <cellStyle name="Input 11 2 5 2 2 3" xfId="10649" xr:uid="{00000000-0005-0000-0000-0000C8280000}"/>
    <cellStyle name="Input 11 2 5 2 2 3 2" xfId="10650" xr:uid="{00000000-0005-0000-0000-0000C9280000}"/>
    <cellStyle name="Input 11 2 5 2 2 4" xfId="10651" xr:uid="{00000000-0005-0000-0000-0000CA280000}"/>
    <cellStyle name="Input 11 2 5 2 2 5" xfId="10652" xr:uid="{00000000-0005-0000-0000-0000CB280000}"/>
    <cellStyle name="Input 11 2 5 2 2 6" xfId="10653" xr:uid="{00000000-0005-0000-0000-0000CC280000}"/>
    <cellStyle name="Input 11 2 5 2 3" xfId="10654" xr:uid="{00000000-0005-0000-0000-0000CD280000}"/>
    <cellStyle name="Input 11 2 5 2 3 2" xfId="10655" xr:uid="{00000000-0005-0000-0000-0000CE280000}"/>
    <cellStyle name="Input 11 2 5 2 4" xfId="10656" xr:uid="{00000000-0005-0000-0000-0000CF280000}"/>
    <cellStyle name="Input 11 2 5 2 4 2" xfId="10657" xr:uid="{00000000-0005-0000-0000-0000D0280000}"/>
    <cellStyle name="Input 11 2 5 2 5" xfId="10658" xr:uid="{00000000-0005-0000-0000-0000D1280000}"/>
    <cellStyle name="Input 11 2 5 2 6" xfId="10659" xr:uid="{00000000-0005-0000-0000-0000D2280000}"/>
    <cellStyle name="Input 11 2 5 2 7" xfId="10660" xr:uid="{00000000-0005-0000-0000-0000D3280000}"/>
    <cellStyle name="Input 11 2 5 3" xfId="10661" xr:uid="{00000000-0005-0000-0000-0000D4280000}"/>
    <cellStyle name="Input 11 2 5 3 2" xfId="10662" xr:uid="{00000000-0005-0000-0000-0000D5280000}"/>
    <cellStyle name="Input 11 2 5 3 2 2" xfId="10663" xr:uid="{00000000-0005-0000-0000-0000D6280000}"/>
    <cellStyle name="Input 11 2 5 3 3" xfId="10664" xr:uid="{00000000-0005-0000-0000-0000D7280000}"/>
    <cellStyle name="Input 11 2 5 3 3 2" xfId="10665" xr:uid="{00000000-0005-0000-0000-0000D8280000}"/>
    <cellStyle name="Input 11 2 5 3 4" xfId="10666" xr:uid="{00000000-0005-0000-0000-0000D9280000}"/>
    <cellStyle name="Input 11 2 5 3 5" xfId="10667" xr:uid="{00000000-0005-0000-0000-0000DA280000}"/>
    <cellStyle name="Input 11 2 5 3 6" xfId="10668" xr:uid="{00000000-0005-0000-0000-0000DB280000}"/>
    <cellStyle name="Input 11 2 5 4" xfId="10669" xr:uid="{00000000-0005-0000-0000-0000DC280000}"/>
    <cellStyle name="Input 11 2 5 4 2" xfId="10670" xr:uid="{00000000-0005-0000-0000-0000DD280000}"/>
    <cellStyle name="Input 11 2 5 5" xfId="10671" xr:uid="{00000000-0005-0000-0000-0000DE280000}"/>
    <cellStyle name="Input 11 2 5 5 2" xfId="10672" xr:uid="{00000000-0005-0000-0000-0000DF280000}"/>
    <cellStyle name="Input 11 2 5 6" xfId="10673" xr:uid="{00000000-0005-0000-0000-0000E0280000}"/>
    <cellStyle name="Input 11 2 5 7" xfId="10674" xr:uid="{00000000-0005-0000-0000-0000E1280000}"/>
    <cellStyle name="Input 11 2 5 8" xfId="10675" xr:uid="{00000000-0005-0000-0000-0000E2280000}"/>
    <cellStyle name="Input 11 2 6" xfId="10676" xr:uid="{00000000-0005-0000-0000-0000E3280000}"/>
    <cellStyle name="Input 11 2 6 2" xfId="10677" xr:uid="{00000000-0005-0000-0000-0000E4280000}"/>
    <cellStyle name="Input 11 2 6 2 2" xfId="10678" xr:uid="{00000000-0005-0000-0000-0000E5280000}"/>
    <cellStyle name="Input 11 2 6 2 2 2" xfId="10679" xr:uid="{00000000-0005-0000-0000-0000E6280000}"/>
    <cellStyle name="Input 11 2 6 2 3" xfId="10680" xr:uid="{00000000-0005-0000-0000-0000E7280000}"/>
    <cellStyle name="Input 11 2 6 2 3 2" xfId="10681" xr:uid="{00000000-0005-0000-0000-0000E8280000}"/>
    <cellStyle name="Input 11 2 6 2 4" xfId="10682" xr:uid="{00000000-0005-0000-0000-0000E9280000}"/>
    <cellStyle name="Input 11 2 6 2 5" xfId="10683" xr:uid="{00000000-0005-0000-0000-0000EA280000}"/>
    <cellStyle name="Input 11 2 6 2 6" xfId="10684" xr:uid="{00000000-0005-0000-0000-0000EB280000}"/>
    <cellStyle name="Input 11 2 6 3" xfId="10685" xr:uid="{00000000-0005-0000-0000-0000EC280000}"/>
    <cellStyle name="Input 11 2 6 3 2" xfId="10686" xr:uid="{00000000-0005-0000-0000-0000ED280000}"/>
    <cellStyle name="Input 11 2 6 4" xfId="10687" xr:uid="{00000000-0005-0000-0000-0000EE280000}"/>
    <cellStyle name="Input 11 2 6 4 2" xfId="10688" xr:uid="{00000000-0005-0000-0000-0000EF280000}"/>
    <cellStyle name="Input 11 2 6 5" xfId="10689" xr:uid="{00000000-0005-0000-0000-0000F0280000}"/>
    <cellStyle name="Input 11 2 6 6" xfId="10690" xr:uid="{00000000-0005-0000-0000-0000F1280000}"/>
    <cellStyle name="Input 11 2 6 7" xfId="10691" xr:uid="{00000000-0005-0000-0000-0000F2280000}"/>
    <cellStyle name="Input 11 2 7" xfId="10692" xr:uid="{00000000-0005-0000-0000-0000F3280000}"/>
    <cellStyle name="Input 11 2 7 2" xfId="10693" xr:uid="{00000000-0005-0000-0000-0000F4280000}"/>
    <cellStyle name="Input 11 2 7 2 2" xfId="10694" xr:uid="{00000000-0005-0000-0000-0000F5280000}"/>
    <cellStyle name="Input 11 2 7 3" xfId="10695" xr:uid="{00000000-0005-0000-0000-0000F6280000}"/>
    <cellStyle name="Input 11 2 7 3 2" xfId="10696" xr:uid="{00000000-0005-0000-0000-0000F7280000}"/>
    <cellStyle name="Input 11 2 7 4" xfId="10697" xr:uid="{00000000-0005-0000-0000-0000F8280000}"/>
    <cellStyle name="Input 11 2 7 5" xfId="10698" xr:uid="{00000000-0005-0000-0000-0000F9280000}"/>
    <cellStyle name="Input 11 2 7 6" xfId="10699" xr:uid="{00000000-0005-0000-0000-0000FA280000}"/>
    <cellStyle name="Input 11 2 8" xfId="10700" xr:uid="{00000000-0005-0000-0000-0000FB280000}"/>
    <cellStyle name="Input 11 2 8 2" xfId="10701" xr:uid="{00000000-0005-0000-0000-0000FC280000}"/>
    <cellStyle name="Input 11 2 9" xfId="10702" xr:uid="{00000000-0005-0000-0000-0000FD280000}"/>
    <cellStyle name="Input 11 2 9 2" xfId="10703" xr:uid="{00000000-0005-0000-0000-0000FE280000}"/>
    <cellStyle name="Input 11 3" xfId="10704" xr:uid="{00000000-0005-0000-0000-0000FF280000}"/>
    <cellStyle name="Input 11 3 10" xfId="10705" xr:uid="{00000000-0005-0000-0000-000000290000}"/>
    <cellStyle name="Input 11 3 11" xfId="10706" xr:uid="{00000000-0005-0000-0000-000001290000}"/>
    <cellStyle name="Input 11 3 2" xfId="10707" xr:uid="{00000000-0005-0000-0000-000002290000}"/>
    <cellStyle name="Input 11 3 2 10" xfId="10708" xr:uid="{00000000-0005-0000-0000-000003290000}"/>
    <cellStyle name="Input 11 3 2 2" xfId="10709" xr:uid="{00000000-0005-0000-0000-000004290000}"/>
    <cellStyle name="Input 11 3 2 2 10" xfId="10710" xr:uid="{00000000-0005-0000-0000-000005290000}"/>
    <cellStyle name="Input 11 3 2 2 2" xfId="10711" xr:uid="{00000000-0005-0000-0000-000006290000}"/>
    <cellStyle name="Input 11 3 2 2 2 2" xfId="10712" xr:uid="{00000000-0005-0000-0000-000007290000}"/>
    <cellStyle name="Input 11 3 2 2 2 2 2" xfId="10713" xr:uid="{00000000-0005-0000-0000-000008290000}"/>
    <cellStyle name="Input 11 3 2 2 2 2 2 2" xfId="10714" xr:uid="{00000000-0005-0000-0000-000009290000}"/>
    <cellStyle name="Input 11 3 2 2 2 2 2 2 2" xfId="10715" xr:uid="{00000000-0005-0000-0000-00000A290000}"/>
    <cellStyle name="Input 11 3 2 2 2 2 2 3" xfId="10716" xr:uid="{00000000-0005-0000-0000-00000B290000}"/>
    <cellStyle name="Input 11 3 2 2 2 2 2 3 2" xfId="10717" xr:uid="{00000000-0005-0000-0000-00000C290000}"/>
    <cellStyle name="Input 11 3 2 2 2 2 2 4" xfId="10718" xr:uid="{00000000-0005-0000-0000-00000D290000}"/>
    <cellStyle name="Input 11 3 2 2 2 2 2 5" xfId="10719" xr:uid="{00000000-0005-0000-0000-00000E290000}"/>
    <cellStyle name="Input 11 3 2 2 2 2 2 6" xfId="10720" xr:uid="{00000000-0005-0000-0000-00000F290000}"/>
    <cellStyle name="Input 11 3 2 2 2 2 3" xfId="10721" xr:uid="{00000000-0005-0000-0000-000010290000}"/>
    <cellStyle name="Input 11 3 2 2 2 2 3 2" xfId="10722" xr:uid="{00000000-0005-0000-0000-000011290000}"/>
    <cellStyle name="Input 11 3 2 2 2 2 4" xfId="10723" xr:uid="{00000000-0005-0000-0000-000012290000}"/>
    <cellStyle name="Input 11 3 2 2 2 2 4 2" xfId="10724" xr:uid="{00000000-0005-0000-0000-000013290000}"/>
    <cellStyle name="Input 11 3 2 2 2 2 5" xfId="10725" xr:uid="{00000000-0005-0000-0000-000014290000}"/>
    <cellStyle name="Input 11 3 2 2 2 2 6" xfId="10726" xr:uid="{00000000-0005-0000-0000-000015290000}"/>
    <cellStyle name="Input 11 3 2 2 2 2 7" xfId="10727" xr:uid="{00000000-0005-0000-0000-000016290000}"/>
    <cellStyle name="Input 11 3 2 2 2 3" xfId="10728" xr:uid="{00000000-0005-0000-0000-000017290000}"/>
    <cellStyle name="Input 11 3 2 2 2 3 2" xfId="10729" xr:uid="{00000000-0005-0000-0000-000018290000}"/>
    <cellStyle name="Input 11 3 2 2 2 3 2 2" xfId="10730" xr:uid="{00000000-0005-0000-0000-000019290000}"/>
    <cellStyle name="Input 11 3 2 2 2 3 3" xfId="10731" xr:uid="{00000000-0005-0000-0000-00001A290000}"/>
    <cellStyle name="Input 11 3 2 2 2 3 3 2" xfId="10732" xr:uid="{00000000-0005-0000-0000-00001B290000}"/>
    <cellStyle name="Input 11 3 2 2 2 3 4" xfId="10733" xr:uid="{00000000-0005-0000-0000-00001C290000}"/>
    <cellStyle name="Input 11 3 2 2 2 3 5" xfId="10734" xr:uid="{00000000-0005-0000-0000-00001D290000}"/>
    <cellStyle name="Input 11 3 2 2 2 3 6" xfId="10735" xr:uid="{00000000-0005-0000-0000-00001E290000}"/>
    <cellStyle name="Input 11 3 2 2 2 4" xfId="10736" xr:uid="{00000000-0005-0000-0000-00001F290000}"/>
    <cellStyle name="Input 11 3 2 2 2 4 2" xfId="10737" xr:uid="{00000000-0005-0000-0000-000020290000}"/>
    <cellStyle name="Input 11 3 2 2 2 5" xfId="10738" xr:uid="{00000000-0005-0000-0000-000021290000}"/>
    <cellStyle name="Input 11 3 2 2 2 5 2" xfId="10739" xr:uid="{00000000-0005-0000-0000-000022290000}"/>
    <cellStyle name="Input 11 3 2 2 2 6" xfId="10740" xr:uid="{00000000-0005-0000-0000-000023290000}"/>
    <cellStyle name="Input 11 3 2 2 2 7" xfId="10741" xr:uid="{00000000-0005-0000-0000-000024290000}"/>
    <cellStyle name="Input 11 3 2 2 2 8" xfId="10742" xr:uid="{00000000-0005-0000-0000-000025290000}"/>
    <cellStyle name="Input 11 3 2 2 3" xfId="10743" xr:uid="{00000000-0005-0000-0000-000026290000}"/>
    <cellStyle name="Input 11 3 2 2 3 2" xfId="10744" xr:uid="{00000000-0005-0000-0000-000027290000}"/>
    <cellStyle name="Input 11 3 2 2 3 2 2" xfId="10745" xr:uid="{00000000-0005-0000-0000-000028290000}"/>
    <cellStyle name="Input 11 3 2 2 3 2 2 2" xfId="10746" xr:uid="{00000000-0005-0000-0000-000029290000}"/>
    <cellStyle name="Input 11 3 2 2 3 2 2 2 2" xfId="10747" xr:uid="{00000000-0005-0000-0000-00002A290000}"/>
    <cellStyle name="Input 11 3 2 2 3 2 2 3" xfId="10748" xr:uid="{00000000-0005-0000-0000-00002B290000}"/>
    <cellStyle name="Input 11 3 2 2 3 2 2 3 2" xfId="10749" xr:uid="{00000000-0005-0000-0000-00002C290000}"/>
    <cellStyle name="Input 11 3 2 2 3 2 2 4" xfId="10750" xr:uid="{00000000-0005-0000-0000-00002D290000}"/>
    <cellStyle name="Input 11 3 2 2 3 2 2 5" xfId="10751" xr:uid="{00000000-0005-0000-0000-00002E290000}"/>
    <cellStyle name="Input 11 3 2 2 3 2 2 6" xfId="10752" xr:uid="{00000000-0005-0000-0000-00002F290000}"/>
    <cellStyle name="Input 11 3 2 2 3 2 3" xfId="10753" xr:uid="{00000000-0005-0000-0000-000030290000}"/>
    <cellStyle name="Input 11 3 2 2 3 2 3 2" xfId="10754" xr:uid="{00000000-0005-0000-0000-000031290000}"/>
    <cellStyle name="Input 11 3 2 2 3 2 4" xfId="10755" xr:uid="{00000000-0005-0000-0000-000032290000}"/>
    <cellStyle name="Input 11 3 2 2 3 2 4 2" xfId="10756" xr:uid="{00000000-0005-0000-0000-000033290000}"/>
    <cellStyle name="Input 11 3 2 2 3 2 5" xfId="10757" xr:uid="{00000000-0005-0000-0000-000034290000}"/>
    <cellStyle name="Input 11 3 2 2 3 2 6" xfId="10758" xr:uid="{00000000-0005-0000-0000-000035290000}"/>
    <cellStyle name="Input 11 3 2 2 3 2 7" xfId="10759" xr:uid="{00000000-0005-0000-0000-000036290000}"/>
    <cellStyle name="Input 11 3 2 2 3 3" xfId="10760" xr:uid="{00000000-0005-0000-0000-000037290000}"/>
    <cellStyle name="Input 11 3 2 2 3 3 2" xfId="10761" xr:uid="{00000000-0005-0000-0000-000038290000}"/>
    <cellStyle name="Input 11 3 2 2 3 3 2 2" xfId="10762" xr:uid="{00000000-0005-0000-0000-000039290000}"/>
    <cellStyle name="Input 11 3 2 2 3 3 3" xfId="10763" xr:uid="{00000000-0005-0000-0000-00003A290000}"/>
    <cellStyle name="Input 11 3 2 2 3 3 3 2" xfId="10764" xr:uid="{00000000-0005-0000-0000-00003B290000}"/>
    <cellStyle name="Input 11 3 2 2 3 3 4" xfId="10765" xr:uid="{00000000-0005-0000-0000-00003C290000}"/>
    <cellStyle name="Input 11 3 2 2 3 3 5" xfId="10766" xr:uid="{00000000-0005-0000-0000-00003D290000}"/>
    <cellStyle name="Input 11 3 2 2 3 3 6" xfId="10767" xr:uid="{00000000-0005-0000-0000-00003E290000}"/>
    <cellStyle name="Input 11 3 2 2 3 4" xfId="10768" xr:uid="{00000000-0005-0000-0000-00003F290000}"/>
    <cellStyle name="Input 11 3 2 2 3 4 2" xfId="10769" xr:uid="{00000000-0005-0000-0000-000040290000}"/>
    <cellStyle name="Input 11 3 2 2 3 5" xfId="10770" xr:uid="{00000000-0005-0000-0000-000041290000}"/>
    <cellStyle name="Input 11 3 2 2 3 5 2" xfId="10771" xr:uid="{00000000-0005-0000-0000-000042290000}"/>
    <cellStyle name="Input 11 3 2 2 3 6" xfId="10772" xr:uid="{00000000-0005-0000-0000-000043290000}"/>
    <cellStyle name="Input 11 3 2 2 3 7" xfId="10773" xr:uid="{00000000-0005-0000-0000-000044290000}"/>
    <cellStyle name="Input 11 3 2 2 3 8" xfId="10774" xr:uid="{00000000-0005-0000-0000-000045290000}"/>
    <cellStyle name="Input 11 3 2 2 4" xfId="10775" xr:uid="{00000000-0005-0000-0000-000046290000}"/>
    <cellStyle name="Input 11 3 2 2 4 2" xfId="10776" xr:uid="{00000000-0005-0000-0000-000047290000}"/>
    <cellStyle name="Input 11 3 2 2 4 2 2" xfId="10777" xr:uid="{00000000-0005-0000-0000-000048290000}"/>
    <cellStyle name="Input 11 3 2 2 4 2 2 2" xfId="10778" xr:uid="{00000000-0005-0000-0000-000049290000}"/>
    <cellStyle name="Input 11 3 2 2 4 2 3" xfId="10779" xr:uid="{00000000-0005-0000-0000-00004A290000}"/>
    <cellStyle name="Input 11 3 2 2 4 2 3 2" xfId="10780" xr:uid="{00000000-0005-0000-0000-00004B290000}"/>
    <cellStyle name="Input 11 3 2 2 4 2 4" xfId="10781" xr:uid="{00000000-0005-0000-0000-00004C290000}"/>
    <cellStyle name="Input 11 3 2 2 4 2 5" xfId="10782" xr:uid="{00000000-0005-0000-0000-00004D290000}"/>
    <cellStyle name="Input 11 3 2 2 4 2 6" xfId="10783" xr:uid="{00000000-0005-0000-0000-00004E290000}"/>
    <cellStyle name="Input 11 3 2 2 4 3" xfId="10784" xr:uid="{00000000-0005-0000-0000-00004F290000}"/>
    <cellStyle name="Input 11 3 2 2 4 3 2" xfId="10785" xr:uid="{00000000-0005-0000-0000-000050290000}"/>
    <cellStyle name="Input 11 3 2 2 4 4" xfId="10786" xr:uid="{00000000-0005-0000-0000-000051290000}"/>
    <cellStyle name="Input 11 3 2 2 4 4 2" xfId="10787" xr:uid="{00000000-0005-0000-0000-000052290000}"/>
    <cellStyle name="Input 11 3 2 2 4 5" xfId="10788" xr:uid="{00000000-0005-0000-0000-000053290000}"/>
    <cellStyle name="Input 11 3 2 2 4 6" xfId="10789" xr:uid="{00000000-0005-0000-0000-000054290000}"/>
    <cellStyle name="Input 11 3 2 2 4 7" xfId="10790" xr:uid="{00000000-0005-0000-0000-000055290000}"/>
    <cellStyle name="Input 11 3 2 2 5" xfId="10791" xr:uid="{00000000-0005-0000-0000-000056290000}"/>
    <cellStyle name="Input 11 3 2 2 5 2" xfId="10792" xr:uid="{00000000-0005-0000-0000-000057290000}"/>
    <cellStyle name="Input 11 3 2 2 5 2 2" xfId="10793" xr:uid="{00000000-0005-0000-0000-000058290000}"/>
    <cellStyle name="Input 11 3 2 2 5 3" xfId="10794" xr:uid="{00000000-0005-0000-0000-000059290000}"/>
    <cellStyle name="Input 11 3 2 2 5 3 2" xfId="10795" xr:uid="{00000000-0005-0000-0000-00005A290000}"/>
    <cellStyle name="Input 11 3 2 2 5 4" xfId="10796" xr:uid="{00000000-0005-0000-0000-00005B290000}"/>
    <cellStyle name="Input 11 3 2 2 5 5" xfId="10797" xr:uid="{00000000-0005-0000-0000-00005C290000}"/>
    <cellStyle name="Input 11 3 2 2 5 6" xfId="10798" xr:uid="{00000000-0005-0000-0000-00005D290000}"/>
    <cellStyle name="Input 11 3 2 2 6" xfId="10799" xr:uid="{00000000-0005-0000-0000-00005E290000}"/>
    <cellStyle name="Input 11 3 2 2 6 2" xfId="10800" xr:uid="{00000000-0005-0000-0000-00005F290000}"/>
    <cellStyle name="Input 11 3 2 2 7" xfId="10801" xr:uid="{00000000-0005-0000-0000-000060290000}"/>
    <cellStyle name="Input 11 3 2 2 7 2" xfId="10802" xr:uid="{00000000-0005-0000-0000-000061290000}"/>
    <cellStyle name="Input 11 3 2 2 8" xfId="10803" xr:uid="{00000000-0005-0000-0000-000062290000}"/>
    <cellStyle name="Input 11 3 2 2 9" xfId="10804" xr:uid="{00000000-0005-0000-0000-000063290000}"/>
    <cellStyle name="Input 11 3 2 3" xfId="10805" xr:uid="{00000000-0005-0000-0000-000064290000}"/>
    <cellStyle name="Input 11 3 2 3 2" xfId="10806" xr:uid="{00000000-0005-0000-0000-000065290000}"/>
    <cellStyle name="Input 11 3 2 3 2 2" xfId="10807" xr:uid="{00000000-0005-0000-0000-000066290000}"/>
    <cellStyle name="Input 11 3 2 3 2 2 2" xfId="10808" xr:uid="{00000000-0005-0000-0000-000067290000}"/>
    <cellStyle name="Input 11 3 2 3 2 2 2 2" xfId="10809" xr:uid="{00000000-0005-0000-0000-000068290000}"/>
    <cellStyle name="Input 11 3 2 3 2 2 3" xfId="10810" xr:uid="{00000000-0005-0000-0000-000069290000}"/>
    <cellStyle name="Input 11 3 2 3 2 2 3 2" xfId="10811" xr:uid="{00000000-0005-0000-0000-00006A290000}"/>
    <cellStyle name="Input 11 3 2 3 2 2 4" xfId="10812" xr:uid="{00000000-0005-0000-0000-00006B290000}"/>
    <cellStyle name="Input 11 3 2 3 2 2 5" xfId="10813" xr:uid="{00000000-0005-0000-0000-00006C290000}"/>
    <cellStyle name="Input 11 3 2 3 2 2 6" xfId="10814" xr:uid="{00000000-0005-0000-0000-00006D290000}"/>
    <cellStyle name="Input 11 3 2 3 2 3" xfId="10815" xr:uid="{00000000-0005-0000-0000-00006E290000}"/>
    <cellStyle name="Input 11 3 2 3 2 3 2" xfId="10816" xr:uid="{00000000-0005-0000-0000-00006F290000}"/>
    <cellStyle name="Input 11 3 2 3 2 4" xfId="10817" xr:uid="{00000000-0005-0000-0000-000070290000}"/>
    <cellStyle name="Input 11 3 2 3 2 4 2" xfId="10818" xr:uid="{00000000-0005-0000-0000-000071290000}"/>
    <cellStyle name="Input 11 3 2 3 2 5" xfId="10819" xr:uid="{00000000-0005-0000-0000-000072290000}"/>
    <cellStyle name="Input 11 3 2 3 2 6" xfId="10820" xr:uid="{00000000-0005-0000-0000-000073290000}"/>
    <cellStyle name="Input 11 3 2 3 2 7" xfId="10821" xr:uid="{00000000-0005-0000-0000-000074290000}"/>
    <cellStyle name="Input 11 3 2 3 3" xfId="10822" xr:uid="{00000000-0005-0000-0000-000075290000}"/>
    <cellStyle name="Input 11 3 2 3 3 2" xfId="10823" xr:uid="{00000000-0005-0000-0000-000076290000}"/>
    <cellStyle name="Input 11 3 2 3 3 2 2" xfId="10824" xr:uid="{00000000-0005-0000-0000-000077290000}"/>
    <cellStyle name="Input 11 3 2 3 3 3" xfId="10825" xr:uid="{00000000-0005-0000-0000-000078290000}"/>
    <cellStyle name="Input 11 3 2 3 3 3 2" xfId="10826" xr:uid="{00000000-0005-0000-0000-000079290000}"/>
    <cellStyle name="Input 11 3 2 3 3 4" xfId="10827" xr:uid="{00000000-0005-0000-0000-00007A290000}"/>
    <cellStyle name="Input 11 3 2 3 3 5" xfId="10828" xr:uid="{00000000-0005-0000-0000-00007B290000}"/>
    <cellStyle name="Input 11 3 2 3 3 6" xfId="10829" xr:uid="{00000000-0005-0000-0000-00007C290000}"/>
    <cellStyle name="Input 11 3 2 3 4" xfId="10830" xr:uid="{00000000-0005-0000-0000-00007D290000}"/>
    <cellStyle name="Input 11 3 2 3 4 2" xfId="10831" xr:uid="{00000000-0005-0000-0000-00007E290000}"/>
    <cellStyle name="Input 11 3 2 3 5" xfId="10832" xr:uid="{00000000-0005-0000-0000-00007F290000}"/>
    <cellStyle name="Input 11 3 2 3 5 2" xfId="10833" xr:uid="{00000000-0005-0000-0000-000080290000}"/>
    <cellStyle name="Input 11 3 2 3 6" xfId="10834" xr:uid="{00000000-0005-0000-0000-000081290000}"/>
    <cellStyle name="Input 11 3 2 3 7" xfId="10835" xr:uid="{00000000-0005-0000-0000-000082290000}"/>
    <cellStyle name="Input 11 3 2 3 8" xfId="10836" xr:uid="{00000000-0005-0000-0000-000083290000}"/>
    <cellStyle name="Input 11 3 2 4" xfId="10837" xr:uid="{00000000-0005-0000-0000-000084290000}"/>
    <cellStyle name="Input 11 3 2 4 2" xfId="10838" xr:uid="{00000000-0005-0000-0000-000085290000}"/>
    <cellStyle name="Input 11 3 2 4 2 2" xfId="10839" xr:uid="{00000000-0005-0000-0000-000086290000}"/>
    <cellStyle name="Input 11 3 2 4 2 2 2" xfId="10840" xr:uid="{00000000-0005-0000-0000-000087290000}"/>
    <cellStyle name="Input 11 3 2 4 2 3" xfId="10841" xr:uid="{00000000-0005-0000-0000-000088290000}"/>
    <cellStyle name="Input 11 3 2 4 2 3 2" xfId="10842" xr:uid="{00000000-0005-0000-0000-000089290000}"/>
    <cellStyle name="Input 11 3 2 4 2 4" xfId="10843" xr:uid="{00000000-0005-0000-0000-00008A290000}"/>
    <cellStyle name="Input 11 3 2 4 2 5" xfId="10844" xr:uid="{00000000-0005-0000-0000-00008B290000}"/>
    <cellStyle name="Input 11 3 2 4 2 6" xfId="10845" xr:uid="{00000000-0005-0000-0000-00008C290000}"/>
    <cellStyle name="Input 11 3 2 4 3" xfId="10846" xr:uid="{00000000-0005-0000-0000-00008D290000}"/>
    <cellStyle name="Input 11 3 2 4 3 2" xfId="10847" xr:uid="{00000000-0005-0000-0000-00008E290000}"/>
    <cellStyle name="Input 11 3 2 4 4" xfId="10848" xr:uid="{00000000-0005-0000-0000-00008F290000}"/>
    <cellStyle name="Input 11 3 2 4 4 2" xfId="10849" xr:uid="{00000000-0005-0000-0000-000090290000}"/>
    <cellStyle name="Input 11 3 2 4 5" xfId="10850" xr:uid="{00000000-0005-0000-0000-000091290000}"/>
    <cellStyle name="Input 11 3 2 4 6" xfId="10851" xr:uid="{00000000-0005-0000-0000-000092290000}"/>
    <cellStyle name="Input 11 3 2 4 7" xfId="10852" xr:uid="{00000000-0005-0000-0000-000093290000}"/>
    <cellStyle name="Input 11 3 2 5" xfId="10853" xr:uid="{00000000-0005-0000-0000-000094290000}"/>
    <cellStyle name="Input 11 3 2 5 2" xfId="10854" xr:uid="{00000000-0005-0000-0000-000095290000}"/>
    <cellStyle name="Input 11 3 2 5 2 2" xfId="10855" xr:uid="{00000000-0005-0000-0000-000096290000}"/>
    <cellStyle name="Input 11 3 2 5 3" xfId="10856" xr:uid="{00000000-0005-0000-0000-000097290000}"/>
    <cellStyle name="Input 11 3 2 5 3 2" xfId="10857" xr:uid="{00000000-0005-0000-0000-000098290000}"/>
    <cellStyle name="Input 11 3 2 5 4" xfId="10858" xr:uid="{00000000-0005-0000-0000-000099290000}"/>
    <cellStyle name="Input 11 3 2 5 5" xfId="10859" xr:uid="{00000000-0005-0000-0000-00009A290000}"/>
    <cellStyle name="Input 11 3 2 5 6" xfId="10860" xr:uid="{00000000-0005-0000-0000-00009B290000}"/>
    <cellStyle name="Input 11 3 2 6" xfId="10861" xr:uid="{00000000-0005-0000-0000-00009C290000}"/>
    <cellStyle name="Input 11 3 2 6 2" xfId="10862" xr:uid="{00000000-0005-0000-0000-00009D290000}"/>
    <cellStyle name="Input 11 3 2 7" xfId="10863" xr:uid="{00000000-0005-0000-0000-00009E290000}"/>
    <cellStyle name="Input 11 3 2 7 2" xfId="10864" xr:uid="{00000000-0005-0000-0000-00009F290000}"/>
    <cellStyle name="Input 11 3 2 8" xfId="10865" xr:uid="{00000000-0005-0000-0000-0000A0290000}"/>
    <cellStyle name="Input 11 3 2 9" xfId="10866" xr:uid="{00000000-0005-0000-0000-0000A1290000}"/>
    <cellStyle name="Input 11 3 3" xfId="10867" xr:uid="{00000000-0005-0000-0000-0000A2290000}"/>
    <cellStyle name="Input 11 3 3 10" xfId="10868" xr:uid="{00000000-0005-0000-0000-0000A3290000}"/>
    <cellStyle name="Input 11 3 3 2" xfId="10869" xr:uid="{00000000-0005-0000-0000-0000A4290000}"/>
    <cellStyle name="Input 11 3 3 2 2" xfId="10870" xr:uid="{00000000-0005-0000-0000-0000A5290000}"/>
    <cellStyle name="Input 11 3 3 2 2 2" xfId="10871" xr:uid="{00000000-0005-0000-0000-0000A6290000}"/>
    <cellStyle name="Input 11 3 3 2 2 2 2" xfId="10872" xr:uid="{00000000-0005-0000-0000-0000A7290000}"/>
    <cellStyle name="Input 11 3 3 2 2 2 2 2" xfId="10873" xr:uid="{00000000-0005-0000-0000-0000A8290000}"/>
    <cellStyle name="Input 11 3 3 2 2 2 3" xfId="10874" xr:uid="{00000000-0005-0000-0000-0000A9290000}"/>
    <cellStyle name="Input 11 3 3 2 2 2 3 2" xfId="10875" xr:uid="{00000000-0005-0000-0000-0000AA290000}"/>
    <cellStyle name="Input 11 3 3 2 2 2 4" xfId="10876" xr:uid="{00000000-0005-0000-0000-0000AB290000}"/>
    <cellStyle name="Input 11 3 3 2 2 2 5" xfId="10877" xr:uid="{00000000-0005-0000-0000-0000AC290000}"/>
    <cellStyle name="Input 11 3 3 2 2 2 6" xfId="10878" xr:uid="{00000000-0005-0000-0000-0000AD290000}"/>
    <cellStyle name="Input 11 3 3 2 2 3" xfId="10879" xr:uid="{00000000-0005-0000-0000-0000AE290000}"/>
    <cellStyle name="Input 11 3 3 2 2 3 2" xfId="10880" xr:uid="{00000000-0005-0000-0000-0000AF290000}"/>
    <cellStyle name="Input 11 3 3 2 2 4" xfId="10881" xr:uid="{00000000-0005-0000-0000-0000B0290000}"/>
    <cellStyle name="Input 11 3 3 2 2 4 2" xfId="10882" xr:uid="{00000000-0005-0000-0000-0000B1290000}"/>
    <cellStyle name="Input 11 3 3 2 2 5" xfId="10883" xr:uid="{00000000-0005-0000-0000-0000B2290000}"/>
    <cellStyle name="Input 11 3 3 2 2 6" xfId="10884" xr:uid="{00000000-0005-0000-0000-0000B3290000}"/>
    <cellStyle name="Input 11 3 3 2 2 7" xfId="10885" xr:uid="{00000000-0005-0000-0000-0000B4290000}"/>
    <cellStyle name="Input 11 3 3 2 3" xfId="10886" xr:uid="{00000000-0005-0000-0000-0000B5290000}"/>
    <cellStyle name="Input 11 3 3 2 3 2" xfId="10887" xr:uid="{00000000-0005-0000-0000-0000B6290000}"/>
    <cellStyle name="Input 11 3 3 2 3 2 2" xfId="10888" xr:uid="{00000000-0005-0000-0000-0000B7290000}"/>
    <cellStyle name="Input 11 3 3 2 3 3" xfId="10889" xr:uid="{00000000-0005-0000-0000-0000B8290000}"/>
    <cellStyle name="Input 11 3 3 2 3 3 2" xfId="10890" xr:uid="{00000000-0005-0000-0000-0000B9290000}"/>
    <cellStyle name="Input 11 3 3 2 3 4" xfId="10891" xr:uid="{00000000-0005-0000-0000-0000BA290000}"/>
    <cellStyle name="Input 11 3 3 2 3 5" xfId="10892" xr:uid="{00000000-0005-0000-0000-0000BB290000}"/>
    <cellStyle name="Input 11 3 3 2 3 6" xfId="10893" xr:uid="{00000000-0005-0000-0000-0000BC290000}"/>
    <cellStyle name="Input 11 3 3 2 4" xfId="10894" xr:uid="{00000000-0005-0000-0000-0000BD290000}"/>
    <cellStyle name="Input 11 3 3 2 4 2" xfId="10895" xr:uid="{00000000-0005-0000-0000-0000BE290000}"/>
    <cellStyle name="Input 11 3 3 2 5" xfId="10896" xr:uid="{00000000-0005-0000-0000-0000BF290000}"/>
    <cellStyle name="Input 11 3 3 2 5 2" xfId="10897" xr:uid="{00000000-0005-0000-0000-0000C0290000}"/>
    <cellStyle name="Input 11 3 3 2 6" xfId="10898" xr:uid="{00000000-0005-0000-0000-0000C1290000}"/>
    <cellStyle name="Input 11 3 3 2 7" xfId="10899" xr:uid="{00000000-0005-0000-0000-0000C2290000}"/>
    <cellStyle name="Input 11 3 3 2 8" xfId="10900" xr:uid="{00000000-0005-0000-0000-0000C3290000}"/>
    <cellStyle name="Input 11 3 3 3" xfId="10901" xr:uid="{00000000-0005-0000-0000-0000C4290000}"/>
    <cellStyle name="Input 11 3 3 3 2" xfId="10902" xr:uid="{00000000-0005-0000-0000-0000C5290000}"/>
    <cellStyle name="Input 11 3 3 3 2 2" xfId="10903" xr:uid="{00000000-0005-0000-0000-0000C6290000}"/>
    <cellStyle name="Input 11 3 3 3 2 2 2" xfId="10904" xr:uid="{00000000-0005-0000-0000-0000C7290000}"/>
    <cellStyle name="Input 11 3 3 3 2 2 2 2" xfId="10905" xr:uid="{00000000-0005-0000-0000-0000C8290000}"/>
    <cellStyle name="Input 11 3 3 3 2 2 3" xfId="10906" xr:uid="{00000000-0005-0000-0000-0000C9290000}"/>
    <cellStyle name="Input 11 3 3 3 2 2 3 2" xfId="10907" xr:uid="{00000000-0005-0000-0000-0000CA290000}"/>
    <cellStyle name="Input 11 3 3 3 2 2 4" xfId="10908" xr:uid="{00000000-0005-0000-0000-0000CB290000}"/>
    <cellStyle name="Input 11 3 3 3 2 2 5" xfId="10909" xr:uid="{00000000-0005-0000-0000-0000CC290000}"/>
    <cellStyle name="Input 11 3 3 3 2 2 6" xfId="10910" xr:uid="{00000000-0005-0000-0000-0000CD290000}"/>
    <cellStyle name="Input 11 3 3 3 2 3" xfId="10911" xr:uid="{00000000-0005-0000-0000-0000CE290000}"/>
    <cellStyle name="Input 11 3 3 3 2 3 2" xfId="10912" xr:uid="{00000000-0005-0000-0000-0000CF290000}"/>
    <cellStyle name="Input 11 3 3 3 2 4" xfId="10913" xr:uid="{00000000-0005-0000-0000-0000D0290000}"/>
    <cellStyle name="Input 11 3 3 3 2 4 2" xfId="10914" xr:uid="{00000000-0005-0000-0000-0000D1290000}"/>
    <cellStyle name="Input 11 3 3 3 2 5" xfId="10915" xr:uid="{00000000-0005-0000-0000-0000D2290000}"/>
    <cellStyle name="Input 11 3 3 3 2 6" xfId="10916" xr:uid="{00000000-0005-0000-0000-0000D3290000}"/>
    <cellStyle name="Input 11 3 3 3 2 7" xfId="10917" xr:uid="{00000000-0005-0000-0000-0000D4290000}"/>
    <cellStyle name="Input 11 3 3 3 3" xfId="10918" xr:uid="{00000000-0005-0000-0000-0000D5290000}"/>
    <cellStyle name="Input 11 3 3 3 3 2" xfId="10919" xr:uid="{00000000-0005-0000-0000-0000D6290000}"/>
    <cellStyle name="Input 11 3 3 3 3 2 2" xfId="10920" xr:uid="{00000000-0005-0000-0000-0000D7290000}"/>
    <cellStyle name="Input 11 3 3 3 3 3" xfId="10921" xr:uid="{00000000-0005-0000-0000-0000D8290000}"/>
    <cellStyle name="Input 11 3 3 3 3 3 2" xfId="10922" xr:uid="{00000000-0005-0000-0000-0000D9290000}"/>
    <cellStyle name="Input 11 3 3 3 3 4" xfId="10923" xr:uid="{00000000-0005-0000-0000-0000DA290000}"/>
    <cellStyle name="Input 11 3 3 3 3 5" xfId="10924" xr:uid="{00000000-0005-0000-0000-0000DB290000}"/>
    <cellStyle name="Input 11 3 3 3 3 6" xfId="10925" xr:uid="{00000000-0005-0000-0000-0000DC290000}"/>
    <cellStyle name="Input 11 3 3 3 4" xfId="10926" xr:uid="{00000000-0005-0000-0000-0000DD290000}"/>
    <cellStyle name="Input 11 3 3 3 4 2" xfId="10927" xr:uid="{00000000-0005-0000-0000-0000DE290000}"/>
    <cellStyle name="Input 11 3 3 3 5" xfId="10928" xr:uid="{00000000-0005-0000-0000-0000DF290000}"/>
    <cellStyle name="Input 11 3 3 3 5 2" xfId="10929" xr:uid="{00000000-0005-0000-0000-0000E0290000}"/>
    <cellStyle name="Input 11 3 3 3 6" xfId="10930" xr:uid="{00000000-0005-0000-0000-0000E1290000}"/>
    <cellStyle name="Input 11 3 3 3 7" xfId="10931" xr:uid="{00000000-0005-0000-0000-0000E2290000}"/>
    <cellStyle name="Input 11 3 3 3 8" xfId="10932" xr:uid="{00000000-0005-0000-0000-0000E3290000}"/>
    <cellStyle name="Input 11 3 3 4" xfId="10933" xr:uid="{00000000-0005-0000-0000-0000E4290000}"/>
    <cellStyle name="Input 11 3 3 4 2" xfId="10934" xr:uid="{00000000-0005-0000-0000-0000E5290000}"/>
    <cellStyle name="Input 11 3 3 4 2 2" xfId="10935" xr:uid="{00000000-0005-0000-0000-0000E6290000}"/>
    <cellStyle name="Input 11 3 3 4 2 2 2" xfId="10936" xr:uid="{00000000-0005-0000-0000-0000E7290000}"/>
    <cellStyle name="Input 11 3 3 4 2 3" xfId="10937" xr:uid="{00000000-0005-0000-0000-0000E8290000}"/>
    <cellStyle name="Input 11 3 3 4 2 3 2" xfId="10938" xr:uid="{00000000-0005-0000-0000-0000E9290000}"/>
    <cellStyle name="Input 11 3 3 4 2 4" xfId="10939" xr:uid="{00000000-0005-0000-0000-0000EA290000}"/>
    <cellStyle name="Input 11 3 3 4 2 5" xfId="10940" xr:uid="{00000000-0005-0000-0000-0000EB290000}"/>
    <cellStyle name="Input 11 3 3 4 2 6" xfId="10941" xr:uid="{00000000-0005-0000-0000-0000EC290000}"/>
    <cellStyle name="Input 11 3 3 4 3" xfId="10942" xr:uid="{00000000-0005-0000-0000-0000ED290000}"/>
    <cellStyle name="Input 11 3 3 4 3 2" xfId="10943" xr:uid="{00000000-0005-0000-0000-0000EE290000}"/>
    <cellStyle name="Input 11 3 3 4 4" xfId="10944" xr:uid="{00000000-0005-0000-0000-0000EF290000}"/>
    <cellStyle name="Input 11 3 3 4 4 2" xfId="10945" xr:uid="{00000000-0005-0000-0000-0000F0290000}"/>
    <cellStyle name="Input 11 3 3 4 5" xfId="10946" xr:uid="{00000000-0005-0000-0000-0000F1290000}"/>
    <cellStyle name="Input 11 3 3 4 6" xfId="10947" xr:uid="{00000000-0005-0000-0000-0000F2290000}"/>
    <cellStyle name="Input 11 3 3 4 7" xfId="10948" xr:uid="{00000000-0005-0000-0000-0000F3290000}"/>
    <cellStyle name="Input 11 3 3 5" xfId="10949" xr:uid="{00000000-0005-0000-0000-0000F4290000}"/>
    <cellStyle name="Input 11 3 3 5 2" xfId="10950" xr:uid="{00000000-0005-0000-0000-0000F5290000}"/>
    <cellStyle name="Input 11 3 3 5 2 2" xfId="10951" xr:uid="{00000000-0005-0000-0000-0000F6290000}"/>
    <cellStyle name="Input 11 3 3 5 3" xfId="10952" xr:uid="{00000000-0005-0000-0000-0000F7290000}"/>
    <cellStyle name="Input 11 3 3 5 3 2" xfId="10953" xr:uid="{00000000-0005-0000-0000-0000F8290000}"/>
    <cellStyle name="Input 11 3 3 5 4" xfId="10954" xr:uid="{00000000-0005-0000-0000-0000F9290000}"/>
    <cellStyle name="Input 11 3 3 5 5" xfId="10955" xr:uid="{00000000-0005-0000-0000-0000FA290000}"/>
    <cellStyle name="Input 11 3 3 5 6" xfId="10956" xr:uid="{00000000-0005-0000-0000-0000FB290000}"/>
    <cellStyle name="Input 11 3 3 6" xfId="10957" xr:uid="{00000000-0005-0000-0000-0000FC290000}"/>
    <cellStyle name="Input 11 3 3 6 2" xfId="10958" xr:uid="{00000000-0005-0000-0000-0000FD290000}"/>
    <cellStyle name="Input 11 3 3 7" xfId="10959" xr:uid="{00000000-0005-0000-0000-0000FE290000}"/>
    <cellStyle name="Input 11 3 3 7 2" xfId="10960" xr:uid="{00000000-0005-0000-0000-0000FF290000}"/>
    <cellStyle name="Input 11 3 3 8" xfId="10961" xr:uid="{00000000-0005-0000-0000-0000002A0000}"/>
    <cellStyle name="Input 11 3 3 9" xfId="10962" xr:uid="{00000000-0005-0000-0000-0000012A0000}"/>
    <cellStyle name="Input 11 3 4" xfId="10963" xr:uid="{00000000-0005-0000-0000-0000022A0000}"/>
    <cellStyle name="Input 11 3 4 2" xfId="10964" xr:uid="{00000000-0005-0000-0000-0000032A0000}"/>
    <cellStyle name="Input 11 3 4 2 2" xfId="10965" xr:uid="{00000000-0005-0000-0000-0000042A0000}"/>
    <cellStyle name="Input 11 3 4 2 2 2" xfId="10966" xr:uid="{00000000-0005-0000-0000-0000052A0000}"/>
    <cellStyle name="Input 11 3 4 2 2 2 2" xfId="10967" xr:uid="{00000000-0005-0000-0000-0000062A0000}"/>
    <cellStyle name="Input 11 3 4 2 2 3" xfId="10968" xr:uid="{00000000-0005-0000-0000-0000072A0000}"/>
    <cellStyle name="Input 11 3 4 2 2 3 2" xfId="10969" xr:uid="{00000000-0005-0000-0000-0000082A0000}"/>
    <cellStyle name="Input 11 3 4 2 2 4" xfId="10970" xr:uid="{00000000-0005-0000-0000-0000092A0000}"/>
    <cellStyle name="Input 11 3 4 2 2 5" xfId="10971" xr:uid="{00000000-0005-0000-0000-00000A2A0000}"/>
    <cellStyle name="Input 11 3 4 2 2 6" xfId="10972" xr:uid="{00000000-0005-0000-0000-00000B2A0000}"/>
    <cellStyle name="Input 11 3 4 2 3" xfId="10973" xr:uid="{00000000-0005-0000-0000-00000C2A0000}"/>
    <cellStyle name="Input 11 3 4 2 3 2" xfId="10974" xr:uid="{00000000-0005-0000-0000-00000D2A0000}"/>
    <cellStyle name="Input 11 3 4 2 4" xfId="10975" xr:uid="{00000000-0005-0000-0000-00000E2A0000}"/>
    <cellStyle name="Input 11 3 4 2 4 2" xfId="10976" xr:uid="{00000000-0005-0000-0000-00000F2A0000}"/>
    <cellStyle name="Input 11 3 4 2 5" xfId="10977" xr:uid="{00000000-0005-0000-0000-0000102A0000}"/>
    <cellStyle name="Input 11 3 4 2 6" xfId="10978" xr:uid="{00000000-0005-0000-0000-0000112A0000}"/>
    <cellStyle name="Input 11 3 4 2 7" xfId="10979" xr:uid="{00000000-0005-0000-0000-0000122A0000}"/>
    <cellStyle name="Input 11 3 4 3" xfId="10980" xr:uid="{00000000-0005-0000-0000-0000132A0000}"/>
    <cellStyle name="Input 11 3 4 3 2" xfId="10981" xr:uid="{00000000-0005-0000-0000-0000142A0000}"/>
    <cellStyle name="Input 11 3 4 3 2 2" xfId="10982" xr:uid="{00000000-0005-0000-0000-0000152A0000}"/>
    <cellStyle name="Input 11 3 4 3 3" xfId="10983" xr:uid="{00000000-0005-0000-0000-0000162A0000}"/>
    <cellStyle name="Input 11 3 4 3 3 2" xfId="10984" xr:uid="{00000000-0005-0000-0000-0000172A0000}"/>
    <cellStyle name="Input 11 3 4 3 4" xfId="10985" xr:uid="{00000000-0005-0000-0000-0000182A0000}"/>
    <cellStyle name="Input 11 3 4 3 5" xfId="10986" xr:uid="{00000000-0005-0000-0000-0000192A0000}"/>
    <cellStyle name="Input 11 3 4 3 6" xfId="10987" xr:uid="{00000000-0005-0000-0000-00001A2A0000}"/>
    <cellStyle name="Input 11 3 4 4" xfId="10988" xr:uid="{00000000-0005-0000-0000-00001B2A0000}"/>
    <cellStyle name="Input 11 3 4 4 2" xfId="10989" xr:uid="{00000000-0005-0000-0000-00001C2A0000}"/>
    <cellStyle name="Input 11 3 4 5" xfId="10990" xr:uid="{00000000-0005-0000-0000-00001D2A0000}"/>
    <cellStyle name="Input 11 3 4 5 2" xfId="10991" xr:uid="{00000000-0005-0000-0000-00001E2A0000}"/>
    <cellStyle name="Input 11 3 4 6" xfId="10992" xr:uid="{00000000-0005-0000-0000-00001F2A0000}"/>
    <cellStyle name="Input 11 3 4 7" xfId="10993" xr:uid="{00000000-0005-0000-0000-0000202A0000}"/>
    <cellStyle name="Input 11 3 4 8" xfId="10994" xr:uid="{00000000-0005-0000-0000-0000212A0000}"/>
    <cellStyle name="Input 11 3 5" xfId="10995" xr:uid="{00000000-0005-0000-0000-0000222A0000}"/>
    <cellStyle name="Input 11 3 5 2" xfId="10996" xr:uid="{00000000-0005-0000-0000-0000232A0000}"/>
    <cellStyle name="Input 11 3 5 2 2" xfId="10997" xr:uid="{00000000-0005-0000-0000-0000242A0000}"/>
    <cellStyle name="Input 11 3 5 2 2 2" xfId="10998" xr:uid="{00000000-0005-0000-0000-0000252A0000}"/>
    <cellStyle name="Input 11 3 5 2 3" xfId="10999" xr:uid="{00000000-0005-0000-0000-0000262A0000}"/>
    <cellStyle name="Input 11 3 5 2 3 2" xfId="11000" xr:uid="{00000000-0005-0000-0000-0000272A0000}"/>
    <cellStyle name="Input 11 3 5 2 4" xfId="11001" xr:uid="{00000000-0005-0000-0000-0000282A0000}"/>
    <cellStyle name="Input 11 3 5 2 5" xfId="11002" xr:uid="{00000000-0005-0000-0000-0000292A0000}"/>
    <cellStyle name="Input 11 3 5 2 6" xfId="11003" xr:uid="{00000000-0005-0000-0000-00002A2A0000}"/>
    <cellStyle name="Input 11 3 5 3" xfId="11004" xr:uid="{00000000-0005-0000-0000-00002B2A0000}"/>
    <cellStyle name="Input 11 3 5 3 2" xfId="11005" xr:uid="{00000000-0005-0000-0000-00002C2A0000}"/>
    <cellStyle name="Input 11 3 5 4" xfId="11006" xr:uid="{00000000-0005-0000-0000-00002D2A0000}"/>
    <cellStyle name="Input 11 3 5 4 2" xfId="11007" xr:uid="{00000000-0005-0000-0000-00002E2A0000}"/>
    <cellStyle name="Input 11 3 5 5" xfId="11008" xr:uid="{00000000-0005-0000-0000-00002F2A0000}"/>
    <cellStyle name="Input 11 3 5 6" xfId="11009" xr:uid="{00000000-0005-0000-0000-0000302A0000}"/>
    <cellStyle name="Input 11 3 5 7" xfId="11010" xr:uid="{00000000-0005-0000-0000-0000312A0000}"/>
    <cellStyle name="Input 11 3 6" xfId="11011" xr:uid="{00000000-0005-0000-0000-0000322A0000}"/>
    <cellStyle name="Input 11 3 6 2" xfId="11012" xr:uid="{00000000-0005-0000-0000-0000332A0000}"/>
    <cellStyle name="Input 11 3 6 2 2" xfId="11013" xr:uid="{00000000-0005-0000-0000-0000342A0000}"/>
    <cellStyle name="Input 11 3 6 3" xfId="11014" xr:uid="{00000000-0005-0000-0000-0000352A0000}"/>
    <cellStyle name="Input 11 3 6 3 2" xfId="11015" xr:uid="{00000000-0005-0000-0000-0000362A0000}"/>
    <cellStyle name="Input 11 3 6 4" xfId="11016" xr:uid="{00000000-0005-0000-0000-0000372A0000}"/>
    <cellStyle name="Input 11 3 6 5" xfId="11017" xr:uid="{00000000-0005-0000-0000-0000382A0000}"/>
    <cellStyle name="Input 11 3 6 6" xfId="11018" xr:uid="{00000000-0005-0000-0000-0000392A0000}"/>
    <cellStyle name="Input 11 3 7" xfId="11019" xr:uid="{00000000-0005-0000-0000-00003A2A0000}"/>
    <cellStyle name="Input 11 3 7 2" xfId="11020" xr:uid="{00000000-0005-0000-0000-00003B2A0000}"/>
    <cellStyle name="Input 11 3 8" xfId="11021" xr:uid="{00000000-0005-0000-0000-00003C2A0000}"/>
    <cellStyle name="Input 11 3 8 2" xfId="11022" xr:uid="{00000000-0005-0000-0000-00003D2A0000}"/>
    <cellStyle name="Input 11 3 9" xfId="11023" xr:uid="{00000000-0005-0000-0000-00003E2A0000}"/>
    <cellStyle name="Input 11 4" xfId="11024" xr:uid="{00000000-0005-0000-0000-00003F2A0000}"/>
    <cellStyle name="Input 11 4 10" xfId="11025" xr:uid="{00000000-0005-0000-0000-0000402A0000}"/>
    <cellStyle name="Input 11 4 11" xfId="11026" xr:uid="{00000000-0005-0000-0000-0000412A0000}"/>
    <cellStyle name="Input 11 4 2" xfId="11027" xr:uid="{00000000-0005-0000-0000-0000422A0000}"/>
    <cellStyle name="Input 11 4 2 10" xfId="11028" xr:uid="{00000000-0005-0000-0000-0000432A0000}"/>
    <cellStyle name="Input 11 4 2 2" xfId="11029" xr:uid="{00000000-0005-0000-0000-0000442A0000}"/>
    <cellStyle name="Input 11 4 2 2 2" xfId="11030" xr:uid="{00000000-0005-0000-0000-0000452A0000}"/>
    <cellStyle name="Input 11 4 2 2 2 2" xfId="11031" xr:uid="{00000000-0005-0000-0000-0000462A0000}"/>
    <cellStyle name="Input 11 4 2 2 2 2 2" xfId="11032" xr:uid="{00000000-0005-0000-0000-0000472A0000}"/>
    <cellStyle name="Input 11 4 2 2 2 2 2 2" xfId="11033" xr:uid="{00000000-0005-0000-0000-0000482A0000}"/>
    <cellStyle name="Input 11 4 2 2 2 2 3" xfId="11034" xr:uid="{00000000-0005-0000-0000-0000492A0000}"/>
    <cellStyle name="Input 11 4 2 2 2 2 3 2" xfId="11035" xr:uid="{00000000-0005-0000-0000-00004A2A0000}"/>
    <cellStyle name="Input 11 4 2 2 2 2 4" xfId="11036" xr:uid="{00000000-0005-0000-0000-00004B2A0000}"/>
    <cellStyle name="Input 11 4 2 2 2 2 5" xfId="11037" xr:uid="{00000000-0005-0000-0000-00004C2A0000}"/>
    <cellStyle name="Input 11 4 2 2 2 2 6" xfId="11038" xr:uid="{00000000-0005-0000-0000-00004D2A0000}"/>
    <cellStyle name="Input 11 4 2 2 2 3" xfId="11039" xr:uid="{00000000-0005-0000-0000-00004E2A0000}"/>
    <cellStyle name="Input 11 4 2 2 2 3 2" xfId="11040" xr:uid="{00000000-0005-0000-0000-00004F2A0000}"/>
    <cellStyle name="Input 11 4 2 2 2 4" xfId="11041" xr:uid="{00000000-0005-0000-0000-0000502A0000}"/>
    <cellStyle name="Input 11 4 2 2 2 4 2" xfId="11042" xr:uid="{00000000-0005-0000-0000-0000512A0000}"/>
    <cellStyle name="Input 11 4 2 2 2 5" xfId="11043" xr:uid="{00000000-0005-0000-0000-0000522A0000}"/>
    <cellStyle name="Input 11 4 2 2 2 6" xfId="11044" xr:uid="{00000000-0005-0000-0000-0000532A0000}"/>
    <cellStyle name="Input 11 4 2 2 2 7" xfId="11045" xr:uid="{00000000-0005-0000-0000-0000542A0000}"/>
    <cellStyle name="Input 11 4 2 2 3" xfId="11046" xr:uid="{00000000-0005-0000-0000-0000552A0000}"/>
    <cellStyle name="Input 11 4 2 2 3 2" xfId="11047" xr:uid="{00000000-0005-0000-0000-0000562A0000}"/>
    <cellStyle name="Input 11 4 2 2 3 2 2" xfId="11048" xr:uid="{00000000-0005-0000-0000-0000572A0000}"/>
    <cellStyle name="Input 11 4 2 2 3 3" xfId="11049" xr:uid="{00000000-0005-0000-0000-0000582A0000}"/>
    <cellStyle name="Input 11 4 2 2 3 3 2" xfId="11050" xr:uid="{00000000-0005-0000-0000-0000592A0000}"/>
    <cellStyle name="Input 11 4 2 2 3 4" xfId="11051" xr:uid="{00000000-0005-0000-0000-00005A2A0000}"/>
    <cellStyle name="Input 11 4 2 2 3 5" xfId="11052" xr:uid="{00000000-0005-0000-0000-00005B2A0000}"/>
    <cellStyle name="Input 11 4 2 2 3 6" xfId="11053" xr:uid="{00000000-0005-0000-0000-00005C2A0000}"/>
    <cellStyle name="Input 11 4 2 2 4" xfId="11054" xr:uid="{00000000-0005-0000-0000-00005D2A0000}"/>
    <cellStyle name="Input 11 4 2 2 4 2" xfId="11055" xr:uid="{00000000-0005-0000-0000-00005E2A0000}"/>
    <cellStyle name="Input 11 4 2 2 5" xfId="11056" xr:uid="{00000000-0005-0000-0000-00005F2A0000}"/>
    <cellStyle name="Input 11 4 2 2 5 2" xfId="11057" xr:uid="{00000000-0005-0000-0000-0000602A0000}"/>
    <cellStyle name="Input 11 4 2 2 6" xfId="11058" xr:uid="{00000000-0005-0000-0000-0000612A0000}"/>
    <cellStyle name="Input 11 4 2 2 7" xfId="11059" xr:uid="{00000000-0005-0000-0000-0000622A0000}"/>
    <cellStyle name="Input 11 4 2 2 8" xfId="11060" xr:uid="{00000000-0005-0000-0000-0000632A0000}"/>
    <cellStyle name="Input 11 4 2 3" xfId="11061" xr:uid="{00000000-0005-0000-0000-0000642A0000}"/>
    <cellStyle name="Input 11 4 2 3 2" xfId="11062" xr:uid="{00000000-0005-0000-0000-0000652A0000}"/>
    <cellStyle name="Input 11 4 2 3 2 2" xfId="11063" xr:uid="{00000000-0005-0000-0000-0000662A0000}"/>
    <cellStyle name="Input 11 4 2 3 2 2 2" xfId="11064" xr:uid="{00000000-0005-0000-0000-0000672A0000}"/>
    <cellStyle name="Input 11 4 2 3 2 2 2 2" xfId="11065" xr:uid="{00000000-0005-0000-0000-0000682A0000}"/>
    <cellStyle name="Input 11 4 2 3 2 2 3" xfId="11066" xr:uid="{00000000-0005-0000-0000-0000692A0000}"/>
    <cellStyle name="Input 11 4 2 3 2 2 3 2" xfId="11067" xr:uid="{00000000-0005-0000-0000-00006A2A0000}"/>
    <cellStyle name="Input 11 4 2 3 2 2 4" xfId="11068" xr:uid="{00000000-0005-0000-0000-00006B2A0000}"/>
    <cellStyle name="Input 11 4 2 3 2 2 5" xfId="11069" xr:uid="{00000000-0005-0000-0000-00006C2A0000}"/>
    <cellStyle name="Input 11 4 2 3 2 2 6" xfId="11070" xr:uid="{00000000-0005-0000-0000-00006D2A0000}"/>
    <cellStyle name="Input 11 4 2 3 2 3" xfId="11071" xr:uid="{00000000-0005-0000-0000-00006E2A0000}"/>
    <cellStyle name="Input 11 4 2 3 2 3 2" xfId="11072" xr:uid="{00000000-0005-0000-0000-00006F2A0000}"/>
    <cellStyle name="Input 11 4 2 3 2 4" xfId="11073" xr:uid="{00000000-0005-0000-0000-0000702A0000}"/>
    <cellStyle name="Input 11 4 2 3 2 4 2" xfId="11074" xr:uid="{00000000-0005-0000-0000-0000712A0000}"/>
    <cellStyle name="Input 11 4 2 3 2 5" xfId="11075" xr:uid="{00000000-0005-0000-0000-0000722A0000}"/>
    <cellStyle name="Input 11 4 2 3 2 6" xfId="11076" xr:uid="{00000000-0005-0000-0000-0000732A0000}"/>
    <cellStyle name="Input 11 4 2 3 2 7" xfId="11077" xr:uid="{00000000-0005-0000-0000-0000742A0000}"/>
    <cellStyle name="Input 11 4 2 3 3" xfId="11078" xr:uid="{00000000-0005-0000-0000-0000752A0000}"/>
    <cellStyle name="Input 11 4 2 3 3 2" xfId="11079" xr:uid="{00000000-0005-0000-0000-0000762A0000}"/>
    <cellStyle name="Input 11 4 2 3 3 2 2" xfId="11080" xr:uid="{00000000-0005-0000-0000-0000772A0000}"/>
    <cellStyle name="Input 11 4 2 3 3 3" xfId="11081" xr:uid="{00000000-0005-0000-0000-0000782A0000}"/>
    <cellStyle name="Input 11 4 2 3 3 3 2" xfId="11082" xr:uid="{00000000-0005-0000-0000-0000792A0000}"/>
    <cellStyle name="Input 11 4 2 3 3 4" xfId="11083" xr:uid="{00000000-0005-0000-0000-00007A2A0000}"/>
    <cellStyle name="Input 11 4 2 3 3 5" xfId="11084" xr:uid="{00000000-0005-0000-0000-00007B2A0000}"/>
    <cellStyle name="Input 11 4 2 3 3 6" xfId="11085" xr:uid="{00000000-0005-0000-0000-00007C2A0000}"/>
    <cellStyle name="Input 11 4 2 3 4" xfId="11086" xr:uid="{00000000-0005-0000-0000-00007D2A0000}"/>
    <cellStyle name="Input 11 4 2 3 4 2" xfId="11087" xr:uid="{00000000-0005-0000-0000-00007E2A0000}"/>
    <cellStyle name="Input 11 4 2 3 5" xfId="11088" xr:uid="{00000000-0005-0000-0000-00007F2A0000}"/>
    <cellStyle name="Input 11 4 2 3 5 2" xfId="11089" xr:uid="{00000000-0005-0000-0000-0000802A0000}"/>
    <cellStyle name="Input 11 4 2 3 6" xfId="11090" xr:uid="{00000000-0005-0000-0000-0000812A0000}"/>
    <cellStyle name="Input 11 4 2 3 7" xfId="11091" xr:uid="{00000000-0005-0000-0000-0000822A0000}"/>
    <cellStyle name="Input 11 4 2 3 8" xfId="11092" xr:uid="{00000000-0005-0000-0000-0000832A0000}"/>
    <cellStyle name="Input 11 4 2 4" xfId="11093" xr:uid="{00000000-0005-0000-0000-0000842A0000}"/>
    <cellStyle name="Input 11 4 2 4 2" xfId="11094" xr:uid="{00000000-0005-0000-0000-0000852A0000}"/>
    <cellStyle name="Input 11 4 2 4 2 2" xfId="11095" xr:uid="{00000000-0005-0000-0000-0000862A0000}"/>
    <cellStyle name="Input 11 4 2 4 2 2 2" xfId="11096" xr:uid="{00000000-0005-0000-0000-0000872A0000}"/>
    <cellStyle name="Input 11 4 2 4 2 3" xfId="11097" xr:uid="{00000000-0005-0000-0000-0000882A0000}"/>
    <cellStyle name="Input 11 4 2 4 2 3 2" xfId="11098" xr:uid="{00000000-0005-0000-0000-0000892A0000}"/>
    <cellStyle name="Input 11 4 2 4 2 4" xfId="11099" xr:uid="{00000000-0005-0000-0000-00008A2A0000}"/>
    <cellStyle name="Input 11 4 2 4 2 5" xfId="11100" xr:uid="{00000000-0005-0000-0000-00008B2A0000}"/>
    <cellStyle name="Input 11 4 2 4 2 6" xfId="11101" xr:uid="{00000000-0005-0000-0000-00008C2A0000}"/>
    <cellStyle name="Input 11 4 2 4 3" xfId="11102" xr:uid="{00000000-0005-0000-0000-00008D2A0000}"/>
    <cellStyle name="Input 11 4 2 4 3 2" xfId="11103" xr:uid="{00000000-0005-0000-0000-00008E2A0000}"/>
    <cellStyle name="Input 11 4 2 4 4" xfId="11104" xr:uid="{00000000-0005-0000-0000-00008F2A0000}"/>
    <cellStyle name="Input 11 4 2 4 4 2" xfId="11105" xr:uid="{00000000-0005-0000-0000-0000902A0000}"/>
    <cellStyle name="Input 11 4 2 4 5" xfId="11106" xr:uid="{00000000-0005-0000-0000-0000912A0000}"/>
    <cellStyle name="Input 11 4 2 4 6" xfId="11107" xr:uid="{00000000-0005-0000-0000-0000922A0000}"/>
    <cellStyle name="Input 11 4 2 4 7" xfId="11108" xr:uid="{00000000-0005-0000-0000-0000932A0000}"/>
    <cellStyle name="Input 11 4 2 5" xfId="11109" xr:uid="{00000000-0005-0000-0000-0000942A0000}"/>
    <cellStyle name="Input 11 4 2 5 2" xfId="11110" xr:uid="{00000000-0005-0000-0000-0000952A0000}"/>
    <cellStyle name="Input 11 4 2 5 2 2" xfId="11111" xr:uid="{00000000-0005-0000-0000-0000962A0000}"/>
    <cellStyle name="Input 11 4 2 5 3" xfId="11112" xr:uid="{00000000-0005-0000-0000-0000972A0000}"/>
    <cellStyle name="Input 11 4 2 5 3 2" xfId="11113" xr:uid="{00000000-0005-0000-0000-0000982A0000}"/>
    <cellStyle name="Input 11 4 2 5 4" xfId="11114" xr:uid="{00000000-0005-0000-0000-0000992A0000}"/>
    <cellStyle name="Input 11 4 2 5 5" xfId="11115" xr:uid="{00000000-0005-0000-0000-00009A2A0000}"/>
    <cellStyle name="Input 11 4 2 5 6" xfId="11116" xr:uid="{00000000-0005-0000-0000-00009B2A0000}"/>
    <cellStyle name="Input 11 4 2 6" xfId="11117" xr:uid="{00000000-0005-0000-0000-00009C2A0000}"/>
    <cellStyle name="Input 11 4 2 6 2" xfId="11118" xr:uid="{00000000-0005-0000-0000-00009D2A0000}"/>
    <cellStyle name="Input 11 4 2 7" xfId="11119" xr:uid="{00000000-0005-0000-0000-00009E2A0000}"/>
    <cellStyle name="Input 11 4 2 7 2" xfId="11120" xr:uid="{00000000-0005-0000-0000-00009F2A0000}"/>
    <cellStyle name="Input 11 4 2 8" xfId="11121" xr:uid="{00000000-0005-0000-0000-0000A02A0000}"/>
    <cellStyle name="Input 11 4 2 9" xfId="11122" xr:uid="{00000000-0005-0000-0000-0000A12A0000}"/>
    <cellStyle name="Input 11 4 3" xfId="11123" xr:uid="{00000000-0005-0000-0000-0000A22A0000}"/>
    <cellStyle name="Input 11 4 3 2" xfId="11124" xr:uid="{00000000-0005-0000-0000-0000A32A0000}"/>
    <cellStyle name="Input 11 4 3 2 2" xfId="11125" xr:uid="{00000000-0005-0000-0000-0000A42A0000}"/>
    <cellStyle name="Input 11 4 3 2 2 2" xfId="11126" xr:uid="{00000000-0005-0000-0000-0000A52A0000}"/>
    <cellStyle name="Input 11 4 3 2 2 2 2" xfId="11127" xr:uid="{00000000-0005-0000-0000-0000A62A0000}"/>
    <cellStyle name="Input 11 4 3 2 2 3" xfId="11128" xr:uid="{00000000-0005-0000-0000-0000A72A0000}"/>
    <cellStyle name="Input 11 4 3 2 2 3 2" xfId="11129" xr:uid="{00000000-0005-0000-0000-0000A82A0000}"/>
    <cellStyle name="Input 11 4 3 2 2 4" xfId="11130" xr:uid="{00000000-0005-0000-0000-0000A92A0000}"/>
    <cellStyle name="Input 11 4 3 2 2 5" xfId="11131" xr:uid="{00000000-0005-0000-0000-0000AA2A0000}"/>
    <cellStyle name="Input 11 4 3 2 2 6" xfId="11132" xr:uid="{00000000-0005-0000-0000-0000AB2A0000}"/>
    <cellStyle name="Input 11 4 3 2 3" xfId="11133" xr:uid="{00000000-0005-0000-0000-0000AC2A0000}"/>
    <cellStyle name="Input 11 4 3 2 3 2" xfId="11134" xr:uid="{00000000-0005-0000-0000-0000AD2A0000}"/>
    <cellStyle name="Input 11 4 3 2 4" xfId="11135" xr:uid="{00000000-0005-0000-0000-0000AE2A0000}"/>
    <cellStyle name="Input 11 4 3 2 4 2" xfId="11136" xr:uid="{00000000-0005-0000-0000-0000AF2A0000}"/>
    <cellStyle name="Input 11 4 3 2 5" xfId="11137" xr:uid="{00000000-0005-0000-0000-0000B02A0000}"/>
    <cellStyle name="Input 11 4 3 2 6" xfId="11138" xr:uid="{00000000-0005-0000-0000-0000B12A0000}"/>
    <cellStyle name="Input 11 4 3 2 7" xfId="11139" xr:uid="{00000000-0005-0000-0000-0000B22A0000}"/>
    <cellStyle name="Input 11 4 3 3" xfId="11140" xr:uid="{00000000-0005-0000-0000-0000B32A0000}"/>
    <cellStyle name="Input 11 4 3 3 2" xfId="11141" xr:uid="{00000000-0005-0000-0000-0000B42A0000}"/>
    <cellStyle name="Input 11 4 3 3 2 2" xfId="11142" xr:uid="{00000000-0005-0000-0000-0000B52A0000}"/>
    <cellStyle name="Input 11 4 3 3 3" xfId="11143" xr:uid="{00000000-0005-0000-0000-0000B62A0000}"/>
    <cellStyle name="Input 11 4 3 3 3 2" xfId="11144" xr:uid="{00000000-0005-0000-0000-0000B72A0000}"/>
    <cellStyle name="Input 11 4 3 3 4" xfId="11145" xr:uid="{00000000-0005-0000-0000-0000B82A0000}"/>
    <cellStyle name="Input 11 4 3 3 5" xfId="11146" xr:uid="{00000000-0005-0000-0000-0000B92A0000}"/>
    <cellStyle name="Input 11 4 3 3 6" xfId="11147" xr:uid="{00000000-0005-0000-0000-0000BA2A0000}"/>
    <cellStyle name="Input 11 4 3 4" xfId="11148" xr:uid="{00000000-0005-0000-0000-0000BB2A0000}"/>
    <cellStyle name="Input 11 4 3 4 2" xfId="11149" xr:uid="{00000000-0005-0000-0000-0000BC2A0000}"/>
    <cellStyle name="Input 11 4 3 5" xfId="11150" xr:uid="{00000000-0005-0000-0000-0000BD2A0000}"/>
    <cellStyle name="Input 11 4 3 5 2" xfId="11151" xr:uid="{00000000-0005-0000-0000-0000BE2A0000}"/>
    <cellStyle name="Input 11 4 3 6" xfId="11152" xr:uid="{00000000-0005-0000-0000-0000BF2A0000}"/>
    <cellStyle name="Input 11 4 3 7" xfId="11153" xr:uid="{00000000-0005-0000-0000-0000C02A0000}"/>
    <cellStyle name="Input 11 4 3 8" xfId="11154" xr:uid="{00000000-0005-0000-0000-0000C12A0000}"/>
    <cellStyle name="Input 11 4 4" xfId="11155" xr:uid="{00000000-0005-0000-0000-0000C22A0000}"/>
    <cellStyle name="Input 11 4 4 2" xfId="11156" xr:uid="{00000000-0005-0000-0000-0000C32A0000}"/>
    <cellStyle name="Input 11 4 4 2 2" xfId="11157" xr:uid="{00000000-0005-0000-0000-0000C42A0000}"/>
    <cellStyle name="Input 11 4 4 2 2 2" xfId="11158" xr:uid="{00000000-0005-0000-0000-0000C52A0000}"/>
    <cellStyle name="Input 11 4 4 2 2 2 2" xfId="11159" xr:uid="{00000000-0005-0000-0000-0000C62A0000}"/>
    <cellStyle name="Input 11 4 4 2 2 3" xfId="11160" xr:uid="{00000000-0005-0000-0000-0000C72A0000}"/>
    <cellStyle name="Input 11 4 4 2 2 3 2" xfId="11161" xr:uid="{00000000-0005-0000-0000-0000C82A0000}"/>
    <cellStyle name="Input 11 4 4 2 2 4" xfId="11162" xr:uid="{00000000-0005-0000-0000-0000C92A0000}"/>
    <cellStyle name="Input 11 4 4 2 2 5" xfId="11163" xr:uid="{00000000-0005-0000-0000-0000CA2A0000}"/>
    <cellStyle name="Input 11 4 4 2 2 6" xfId="11164" xr:uid="{00000000-0005-0000-0000-0000CB2A0000}"/>
    <cellStyle name="Input 11 4 4 2 3" xfId="11165" xr:uid="{00000000-0005-0000-0000-0000CC2A0000}"/>
    <cellStyle name="Input 11 4 4 2 3 2" xfId="11166" xr:uid="{00000000-0005-0000-0000-0000CD2A0000}"/>
    <cellStyle name="Input 11 4 4 2 4" xfId="11167" xr:uid="{00000000-0005-0000-0000-0000CE2A0000}"/>
    <cellStyle name="Input 11 4 4 2 4 2" xfId="11168" xr:uid="{00000000-0005-0000-0000-0000CF2A0000}"/>
    <cellStyle name="Input 11 4 4 2 5" xfId="11169" xr:uid="{00000000-0005-0000-0000-0000D02A0000}"/>
    <cellStyle name="Input 11 4 4 2 6" xfId="11170" xr:uid="{00000000-0005-0000-0000-0000D12A0000}"/>
    <cellStyle name="Input 11 4 4 2 7" xfId="11171" xr:uid="{00000000-0005-0000-0000-0000D22A0000}"/>
    <cellStyle name="Input 11 4 4 3" xfId="11172" xr:uid="{00000000-0005-0000-0000-0000D32A0000}"/>
    <cellStyle name="Input 11 4 4 3 2" xfId="11173" xr:uid="{00000000-0005-0000-0000-0000D42A0000}"/>
    <cellStyle name="Input 11 4 4 3 2 2" xfId="11174" xr:uid="{00000000-0005-0000-0000-0000D52A0000}"/>
    <cellStyle name="Input 11 4 4 3 3" xfId="11175" xr:uid="{00000000-0005-0000-0000-0000D62A0000}"/>
    <cellStyle name="Input 11 4 4 3 3 2" xfId="11176" xr:uid="{00000000-0005-0000-0000-0000D72A0000}"/>
    <cellStyle name="Input 11 4 4 3 4" xfId="11177" xr:uid="{00000000-0005-0000-0000-0000D82A0000}"/>
    <cellStyle name="Input 11 4 4 3 5" xfId="11178" xr:uid="{00000000-0005-0000-0000-0000D92A0000}"/>
    <cellStyle name="Input 11 4 4 3 6" xfId="11179" xr:uid="{00000000-0005-0000-0000-0000DA2A0000}"/>
    <cellStyle name="Input 11 4 4 4" xfId="11180" xr:uid="{00000000-0005-0000-0000-0000DB2A0000}"/>
    <cellStyle name="Input 11 4 4 4 2" xfId="11181" xr:uid="{00000000-0005-0000-0000-0000DC2A0000}"/>
    <cellStyle name="Input 11 4 4 5" xfId="11182" xr:uid="{00000000-0005-0000-0000-0000DD2A0000}"/>
    <cellStyle name="Input 11 4 4 5 2" xfId="11183" xr:uid="{00000000-0005-0000-0000-0000DE2A0000}"/>
    <cellStyle name="Input 11 4 4 6" xfId="11184" xr:uid="{00000000-0005-0000-0000-0000DF2A0000}"/>
    <cellStyle name="Input 11 4 4 7" xfId="11185" xr:uid="{00000000-0005-0000-0000-0000E02A0000}"/>
    <cellStyle name="Input 11 4 4 8" xfId="11186" xr:uid="{00000000-0005-0000-0000-0000E12A0000}"/>
    <cellStyle name="Input 11 4 5" xfId="11187" xr:uid="{00000000-0005-0000-0000-0000E22A0000}"/>
    <cellStyle name="Input 11 4 5 2" xfId="11188" xr:uid="{00000000-0005-0000-0000-0000E32A0000}"/>
    <cellStyle name="Input 11 4 5 2 2" xfId="11189" xr:uid="{00000000-0005-0000-0000-0000E42A0000}"/>
    <cellStyle name="Input 11 4 5 2 2 2" xfId="11190" xr:uid="{00000000-0005-0000-0000-0000E52A0000}"/>
    <cellStyle name="Input 11 4 5 2 3" xfId="11191" xr:uid="{00000000-0005-0000-0000-0000E62A0000}"/>
    <cellStyle name="Input 11 4 5 2 3 2" xfId="11192" xr:uid="{00000000-0005-0000-0000-0000E72A0000}"/>
    <cellStyle name="Input 11 4 5 2 4" xfId="11193" xr:uid="{00000000-0005-0000-0000-0000E82A0000}"/>
    <cellStyle name="Input 11 4 5 2 5" xfId="11194" xr:uid="{00000000-0005-0000-0000-0000E92A0000}"/>
    <cellStyle name="Input 11 4 5 2 6" xfId="11195" xr:uid="{00000000-0005-0000-0000-0000EA2A0000}"/>
    <cellStyle name="Input 11 4 5 3" xfId="11196" xr:uid="{00000000-0005-0000-0000-0000EB2A0000}"/>
    <cellStyle name="Input 11 4 5 3 2" xfId="11197" xr:uid="{00000000-0005-0000-0000-0000EC2A0000}"/>
    <cellStyle name="Input 11 4 5 4" xfId="11198" xr:uid="{00000000-0005-0000-0000-0000ED2A0000}"/>
    <cellStyle name="Input 11 4 5 4 2" xfId="11199" xr:uid="{00000000-0005-0000-0000-0000EE2A0000}"/>
    <cellStyle name="Input 11 4 5 5" xfId="11200" xr:uid="{00000000-0005-0000-0000-0000EF2A0000}"/>
    <cellStyle name="Input 11 4 5 6" xfId="11201" xr:uid="{00000000-0005-0000-0000-0000F02A0000}"/>
    <cellStyle name="Input 11 4 5 7" xfId="11202" xr:uid="{00000000-0005-0000-0000-0000F12A0000}"/>
    <cellStyle name="Input 11 4 6" xfId="11203" xr:uid="{00000000-0005-0000-0000-0000F22A0000}"/>
    <cellStyle name="Input 11 4 6 2" xfId="11204" xr:uid="{00000000-0005-0000-0000-0000F32A0000}"/>
    <cellStyle name="Input 11 4 6 2 2" xfId="11205" xr:uid="{00000000-0005-0000-0000-0000F42A0000}"/>
    <cellStyle name="Input 11 4 6 3" xfId="11206" xr:uid="{00000000-0005-0000-0000-0000F52A0000}"/>
    <cellStyle name="Input 11 4 6 3 2" xfId="11207" xr:uid="{00000000-0005-0000-0000-0000F62A0000}"/>
    <cellStyle name="Input 11 4 6 4" xfId="11208" xr:uid="{00000000-0005-0000-0000-0000F72A0000}"/>
    <cellStyle name="Input 11 4 6 5" xfId="11209" xr:uid="{00000000-0005-0000-0000-0000F82A0000}"/>
    <cellStyle name="Input 11 4 6 6" xfId="11210" xr:uid="{00000000-0005-0000-0000-0000F92A0000}"/>
    <cellStyle name="Input 11 4 7" xfId="11211" xr:uid="{00000000-0005-0000-0000-0000FA2A0000}"/>
    <cellStyle name="Input 11 4 7 2" xfId="11212" xr:uid="{00000000-0005-0000-0000-0000FB2A0000}"/>
    <cellStyle name="Input 11 4 8" xfId="11213" xr:uid="{00000000-0005-0000-0000-0000FC2A0000}"/>
    <cellStyle name="Input 11 4 8 2" xfId="11214" xr:uid="{00000000-0005-0000-0000-0000FD2A0000}"/>
    <cellStyle name="Input 11 4 9" xfId="11215" xr:uid="{00000000-0005-0000-0000-0000FE2A0000}"/>
    <cellStyle name="Input 11 5" xfId="11216" xr:uid="{00000000-0005-0000-0000-0000FF2A0000}"/>
    <cellStyle name="Input 11 5 10" xfId="11217" xr:uid="{00000000-0005-0000-0000-0000002B0000}"/>
    <cellStyle name="Input 11 5 2" xfId="11218" xr:uid="{00000000-0005-0000-0000-0000012B0000}"/>
    <cellStyle name="Input 11 5 2 2" xfId="11219" xr:uid="{00000000-0005-0000-0000-0000022B0000}"/>
    <cellStyle name="Input 11 5 2 2 2" xfId="11220" xr:uid="{00000000-0005-0000-0000-0000032B0000}"/>
    <cellStyle name="Input 11 5 2 2 2 2" xfId="11221" xr:uid="{00000000-0005-0000-0000-0000042B0000}"/>
    <cellStyle name="Input 11 5 2 2 2 2 2" xfId="11222" xr:uid="{00000000-0005-0000-0000-0000052B0000}"/>
    <cellStyle name="Input 11 5 2 2 2 3" xfId="11223" xr:uid="{00000000-0005-0000-0000-0000062B0000}"/>
    <cellStyle name="Input 11 5 2 2 2 3 2" xfId="11224" xr:uid="{00000000-0005-0000-0000-0000072B0000}"/>
    <cellStyle name="Input 11 5 2 2 2 4" xfId="11225" xr:uid="{00000000-0005-0000-0000-0000082B0000}"/>
    <cellStyle name="Input 11 5 2 2 2 5" xfId="11226" xr:uid="{00000000-0005-0000-0000-0000092B0000}"/>
    <cellStyle name="Input 11 5 2 2 2 6" xfId="11227" xr:uid="{00000000-0005-0000-0000-00000A2B0000}"/>
    <cellStyle name="Input 11 5 2 2 3" xfId="11228" xr:uid="{00000000-0005-0000-0000-00000B2B0000}"/>
    <cellStyle name="Input 11 5 2 2 3 2" xfId="11229" xr:uid="{00000000-0005-0000-0000-00000C2B0000}"/>
    <cellStyle name="Input 11 5 2 2 4" xfId="11230" xr:uid="{00000000-0005-0000-0000-00000D2B0000}"/>
    <cellStyle name="Input 11 5 2 2 4 2" xfId="11231" xr:uid="{00000000-0005-0000-0000-00000E2B0000}"/>
    <cellStyle name="Input 11 5 2 2 5" xfId="11232" xr:uid="{00000000-0005-0000-0000-00000F2B0000}"/>
    <cellStyle name="Input 11 5 2 2 6" xfId="11233" xr:uid="{00000000-0005-0000-0000-0000102B0000}"/>
    <cellStyle name="Input 11 5 2 2 7" xfId="11234" xr:uid="{00000000-0005-0000-0000-0000112B0000}"/>
    <cellStyle name="Input 11 5 2 3" xfId="11235" xr:uid="{00000000-0005-0000-0000-0000122B0000}"/>
    <cellStyle name="Input 11 5 2 3 2" xfId="11236" xr:uid="{00000000-0005-0000-0000-0000132B0000}"/>
    <cellStyle name="Input 11 5 2 3 2 2" xfId="11237" xr:uid="{00000000-0005-0000-0000-0000142B0000}"/>
    <cellStyle name="Input 11 5 2 3 3" xfId="11238" xr:uid="{00000000-0005-0000-0000-0000152B0000}"/>
    <cellStyle name="Input 11 5 2 3 3 2" xfId="11239" xr:uid="{00000000-0005-0000-0000-0000162B0000}"/>
    <cellStyle name="Input 11 5 2 3 4" xfId="11240" xr:uid="{00000000-0005-0000-0000-0000172B0000}"/>
    <cellStyle name="Input 11 5 2 3 5" xfId="11241" xr:uid="{00000000-0005-0000-0000-0000182B0000}"/>
    <cellStyle name="Input 11 5 2 3 6" xfId="11242" xr:uid="{00000000-0005-0000-0000-0000192B0000}"/>
    <cellStyle name="Input 11 5 2 4" xfId="11243" xr:uid="{00000000-0005-0000-0000-00001A2B0000}"/>
    <cellStyle name="Input 11 5 2 4 2" xfId="11244" xr:uid="{00000000-0005-0000-0000-00001B2B0000}"/>
    <cellStyle name="Input 11 5 2 5" xfId="11245" xr:uid="{00000000-0005-0000-0000-00001C2B0000}"/>
    <cellStyle name="Input 11 5 2 5 2" xfId="11246" xr:uid="{00000000-0005-0000-0000-00001D2B0000}"/>
    <cellStyle name="Input 11 5 2 6" xfId="11247" xr:uid="{00000000-0005-0000-0000-00001E2B0000}"/>
    <cellStyle name="Input 11 5 2 7" xfId="11248" xr:uid="{00000000-0005-0000-0000-00001F2B0000}"/>
    <cellStyle name="Input 11 5 2 8" xfId="11249" xr:uid="{00000000-0005-0000-0000-0000202B0000}"/>
    <cellStyle name="Input 11 5 3" xfId="11250" xr:uid="{00000000-0005-0000-0000-0000212B0000}"/>
    <cellStyle name="Input 11 5 3 2" xfId="11251" xr:uid="{00000000-0005-0000-0000-0000222B0000}"/>
    <cellStyle name="Input 11 5 3 2 2" xfId="11252" xr:uid="{00000000-0005-0000-0000-0000232B0000}"/>
    <cellStyle name="Input 11 5 3 2 2 2" xfId="11253" xr:uid="{00000000-0005-0000-0000-0000242B0000}"/>
    <cellStyle name="Input 11 5 3 2 2 2 2" xfId="11254" xr:uid="{00000000-0005-0000-0000-0000252B0000}"/>
    <cellStyle name="Input 11 5 3 2 2 3" xfId="11255" xr:uid="{00000000-0005-0000-0000-0000262B0000}"/>
    <cellStyle name="Input 11 5 3 2 2 3 2" xfId="11256" xr:uid="{00000000-0005-0000-0000-0000272B0000}"/>
    <cellStyle name="Input 11 5 3 2 2 4" xfId="11257" xr:uid="{00000000-0005-0000-0000-0000282B0000}"/>
    <cellStyle name="Input 11 5 3 2 2 5" xfId="11258" xr:uid="{00000000-0005-0000-0000-0000292B0000}"/>
    <cellStyle name="Input 11 5 3 2 2 6" xfId="11259" xr:uid="{00000000-0005-0000-0000-00002A2B0000}"/>
    <cellStyle name="Input 11 5 3 2 3" xfId="11260" xr:uid="{00000000-0005-0000-0000-00002B2B0000}"/>
    <cellStyle name="Input 11 5 3 2 3 2" xfId="11261" xr:uid="{00000000-0005-0000-0000-00002C2B0000}"/>
    <cellStyle name="Input 11 5 3 2 4" xfId="11262" xr:uid="{00000000-0005-0000-0000-00002D2B0000}"/>
    <cellStyle name="Input 11 5 3 2 4 2" xfId="11263" xr:uid="{00000000-0005-0000-0000-00002E2B0000}"/>
    <cellStyle name="Input 11 5 3 2 5" xfId="11264" xr:uid="{00000000-0005-0000-0000-00002F2B0000}"/>
    <cellStyle name="Input 11 5 3 2 6" xfId="11265" xr:uid="{00000000-0005-0000-0000-0000302B0000}"/>
    <cellStyle name="Input 11 5 3 2 7" xfId="11266" xr:uid="{00000000-0005-0000-0000-0000312B0000}"/>
    <cellStyle name="Input 11 5 3 3" xfId="11267" xr:uid="{00000000-0005-0000-0000-0000322B0000}"/>
    <cellStyle name="Input 11 5 3 3 2" xfId="11268" xr:uid="{00000000-0005-0000-0000-0000332B0000}"/>
    <cellStyle name="Input 11 5 3 3 2 2" xfId="11269" xr:uid="{00000000-0005-0000-0000-0000342B0000}"/>
    <cellStyle name="Input 11 5 3 3 3" xfId="11270" xr:uid="{00000000-0005-0000-0000-0000352B0000}"/>
    <cellStyle name="Input 11 5 3 3 3 2" xfId="11271" xr:uid="{00000000-0005-0000-0000-0000362B0000}"/>
    <cellStyle name="Input 11 5 3 3 4" xfId="11272" xr:uid="{00000000-0005-0000-0000-0000372B0000}"/>
    <cellStyle name="Input 11 5 3 3 5" xfId="11273" xr:uid="{00000000-0005-0000-0000-0000382B0000}"/>
    <cellStyle name="Input 11 5 3 3 6" xfId="11274" xr:uid="{00000000-0005-0000-0000-0000392B0000}"/>
    <cellStyle name="Input 11 5 3 4" xfId="11275" xr:uid="{00000000-0005-0000-0000-00003A2B0000}"/>
    <cellStyle name="Input 11 5 3 4 2" xfId="11276" xr:uid="{00000000-0005-0000-0000-00003B2B0000}"/>
    <cellStyle name="Input 11 5 3 5" xfId="11277" xr:uid="{00000000-0005-0000-0000-00003C2B0000}"/>
    <cellStyle name="Input 11 5 3 5 2" xfId="11278" xr:uid="{00000000-0005-0000-0000-00003D2B0000}"/>
    <cellStyle name="Input 11 5 3 6" xfId="11279" xr:uid="{00000000-0005-0000-0000-00003E2B0000}"/>
    <cellStyle name="Input 11 5 3 7" xfId="11280" xr:uid="{00000000-0005-0000-0000-00003F2B0000}"/>
    <cellStyle name="Input 11 5 3 8" xfId="11281" xr:uid="{00000000-0005-0000-0000-0000402B0000}"/>
    <cellStyle name="Input 11 5 4" xfId="11282" xr:uid="{00000000-0005-0000-0000-0000412B0000}"/>
    <cellStyle name="Input 11 5 4 2" xfId="11283" xr:uid="{00000000-0005-0000-0000-0000422B0000}"/>
    <cellStyle name="Input 11 5 4 2 2" xfId="11284" xr:uid="{00000000-0005-0000-0000-0000432B0000}"/>
    <cellStyle name="Input 11 5 4 2 2 2" xfId="11285" xr:uid="{00000000-0005-0000-0000-0000442B0000}"/>
    <cellStyle name="Input 11 5 4 2 3" xfId="11286" xr:uid="{00000000-0005-0000-0000-0000452B0000}"/>
    <cellStyle name="Input 11 5 4 2 3 2" xfId="11287" xr:uid="{00000000-0005-0000-0000-0000462B0000}"/>
    <cellStyle name="Input 11 5 4 2 4" xfId="11288" xr:uid="{00000000-0005-0000-0000-0000472B0000}"/>
    <cellStyle name="Input 11 5 4 2 5" xfId="11289" xr:uid="{00000000-0005-0000-0000-0000482B0000}"/>
    <cellStyle name="Input 11 5 4 2 6" xfId="11290" xr:uid="{00000000-0005-0000-0000-0000492B0000}"/>
    <cellStyle name="Input 11 5 4 3" xfId="11291" xr:uid="{00000000-0005-0000-0000-00004A2B0000}"/>
    <cellStyle name="Input 11 5 4 3 2" xfId="11292" xr:uid="{00000000-0005-0000-0000-00004B2B0000}"/>
    <cellStyle name="Input 11 5 4 4" xfId="11293" xr:uid="{00000000-0005-0000-0000-00004C2B0000}"/>
    <cellStyle name="Input 11 5 4 4 2" xfId="11294" xr:uid="{00000000-0005-0000-0000-00004D2B0000}"/>
    <cellStyle name="Input 11 5 4 5" xfId="11295" xr:uid="{00000000-0005-0000-0000-00004E2B0000}"/>
    <cellStyle name="Input 11 5 4 6" xfId="11296" xr:uid="{00000000-0005-0000-0000-00004F2B0000}"/>
    <cellStyle name="Input 11 5 4 7" xfId="11297" xr:uid="{00000000-0005-0000-0000-0000502B0000}"/>
    <cellStyle name="Input 11 5 5" xfId="11298" xr:uid="{00000000-0005-0000-0000-0000512B0000}"/>
    <cellStyle name="Input 11 5 5 2" xfId="11299" xr:uid="{00000000-0005-0000-0000-0000522B0000}"/>
    <cellStyle name="Input 11 5 5 2 2" xfId="11300" xr:uid="{00000000-0005-0000-0000-0000532B0000}"/>
    <cellStyle name="Input 11 5 5 3" xfId="11301" xr:uid="{00000000-0005-0000-0000-0000542B0000}"/>
    <cellStyle name="Input 11 5 5 3 2" xfId="11302" xr:uid="{00000000-0005-0000-0000-0000552B0000}"/>
    <cellStyle name="Input 11 5 5 4" xfId="11303" xr:uid="{00000000-0005-0000-0000-0000562B0000}"/>
    <cellStyle name="Input 11 5 5 5" xfId="11304" xr:uid="{00000000-0005-0000-0000-0000572B0000}"/>
    <cellStyle name="Input 11 5 5 6" xfId="11305" xr:uid="{00000000-0005-0000-0000-0000582B0000}"/>
    <cellStyle name="Input 11 5 6" xfId="11306" xr:uid="{00000000-0005-0000-0000-0000592B0000}"/>
    <cellStyle name="Input 11 5 6 2" xfId="11307" xr:uid="{00000000-0005-0000-0000-00005A2B0000}"/>
    <cellStyle name="Input 11 5 7" xfId="11308" xr:uid="{00000000-0005-0000-0000-00005B2B0000}"/>
    <cellStyle name="Input 11 5 7 2" xfId="11309" xr:uid="{00000000-0005-0000-0000-00005C2B0000}"/>
    <cellStyle name="Input 11 5 8" xfId="11310" xr:uid="{00000000-0005-0000-0000-00005D2B0000}"/>
    <cellStyle name="Input 11 5 9" xfId="11311" xr:uid="{00000000-0005-0000-0000-00005E2B0000}"/>
    <cellStyle name="Input 11 6" xfId="11312" xr:uid="{00000000-0005-0000-0000-00005F2B0000}"/>
    <cellStyle name="Input 11 6 2" xfId="11313" xr:uid="{00000000-0005-0000-0000-0000602B0000}"/>
    <cellStyle name="Input 11 6 2 2" xfId="11314" xr:uid="{00000000-0005-0000-0000-0000612B0000}"/>
    <cellStyle name="Input 11 6 2 2 2" xfId="11315" xr:uid="{00000000-0005-0000-0000-0000622B0000}"/>
    <cellStyle name="Input 11 6 2 2 2 2" xfId="11316" xr:uid="{00000000-0005-0000-0000-0000632B0000}"/>
    <cellStyle name="Input 11 6 2 2 3" xfId="11317" xr:uid="{00000000-0005-0000-0000-0000642B0000}"/>
    <cellStyle name="Input 11 6 2 2 3 2" xfId="11318" xr:uid="{00000000-0005-0000-0000-0000652B0000}"/>
    <cellStyle name="Input 11 6 2 2 4" xfId="11319" xr:uid="{00000000-0005-0000-0000-0000662B0000}"/>
    <cellStyle name="Input 11 6 2 2 5" xfId="11320" xr:uid="{00000000-0005-0000-0000-0000672B0000}"/>
    <cellStyle name="Input 11 6 2 2 6" xfId="11321" xr:uid="{00000000-0005-0000-0000-0000682B0000}"/>
    <cellStyle name="Input 11 6 2 3" xfId="11322" xr:uid="{00000000-0005-0000-0000-0000692B0000}"/>
    <cellStyle name="Input 11 6 2 3 2" xfId="11323" xr:uid="{00000000-0005-0000-0000-00006A2B0000}"/>
    <cellStyle name="Input 11 6 2 4" xfId="11324" xr:uid="{00000000-0005-0000-0000-00006B2B0000}"/>
    <cellStyle name="Input 11 6 2 4 2" xfId="11325" xr:uid="{00000000-0005-0000-0000-00006C2B0000}"/>
    <cellStyle name="Input 11 6 2 5" xfId="11326" xr:uid="{00000000-0005-0000-0000-00006D2B0000}"/>
    <cellStyle name="Input 11 6 2 6" xfId="11327" xr:uid="{00000000-0005-0000-0000-00006E2B0000}"/>
    <cellStyle name="Input 11 6 2 7" xfId="11328" xr:uid="{00000000-0005-0000-0000-00006F2B0000}"/>
    <cellStyle name="Input 11 6 3" xfId="11329" xr:uid="{00000000-0005-0000-0000-0000702B0000}"/>
    <cellStyle name="Input 11 6 3 2" xfId="11330" xr:uid="{00000000-0005-0000-0000-0000712B0000}"/>
    <cellStyle name="Input 11 6 3 2 2" xfId="11331" xr:uid="{00000000-0005-0000-0000-0000722B0000}"/>
    <cellStyle name="Input 11 6 3 3" xfId="11332" xr:uid="{00000000-0005-0000-0000-0000732B0000}"/>
    <cellStyle name="Input 11 6 3 3 2" xfId="11333" xr:uid="{00000000-0005-0000-0000-0000742B0000}"/>
    <cellStyle name="Input 11 6 3 4" xfId="11334" xr:uid="{00000000-0005-0000-0000-0000752B0000}"/>
    <cellStyle name="Input 11 6 3 5" xfId="11335" xr:uid="{00000000-0005-0000-0000-0000762B0000}"/>
    <cellStyle name="Input 11 6 3 6" xfId="11336" xr:uid="{00000000-0005-0000-0000-0000772B0000}"/>
    <cellStyle name="Input 11 6 4" xfId="11337" xr:uid="{00000000-0005-0000-0000-0000782B0000}"/>
    <cellStyle name="Input 11 6 4 2" xfId="11338" xr:uid="{00000000-0005-0000-0000-0000792B0000}"/>
    <cellStyle name="Input 11 6 5" xfId="11339" xr:uid="{00000000-0005-0000-0000-00007A2B0000}"/>
    <cellStyle name="Input 11 6 5 2" xfId="11340" xr:uid="{00000000-0005-0000-0000-00007B2B0000}"/>
    <cellStyle name="Input 11 6 6" xfId="11341" xr:uid="{00000000-0005-0000-0000-00007C2B0000}"/>
    <cellStyle name="Input 11 6 7" xfId="11342" xr:uid="{00000000-0005-0000-0000-00007D2B0000}"/>
    <cellStyle name="Input 11 6 8" xfId="11343" xr:uid="{00000000-0005-0000-0000-00007E2B0000}"/>
    <cellStyle name="Input 11 7" xfId="11344" xr:uid="{00000000-0005-0000-0000-00007F2B0000}"/>
    <cellStyle name="Input 11 7 2" xfId="11345" xr:uid="{00000000-0005-0000-0000-0000802B0000}"/>
    <cellStyle name="Input 11 7 2 2" xfId="11346" xr:uid="{00000000-0005-0000-0000-0000812B0000}"/>
    <cellStyle name="Input 11 7 2 2 2" xfId="11347" xr:uid="{00000000-0005-0000-0000-0000822B0000}"/>
    <cellStyle name="Input 11 7 2 3" xfId="11348" xr:uid="{00000000-0005-0000-0000-0000832B0000}"/>
    <cellStyle name="Input 11 7 2 3 2" xfId="11349" xr:uid="{00000000-0005-0000-0000-0000842B0000}"/>
    <cellStyle name="Input 11 7 2 4" xfId="11350" xr:uid="{00000000-0005-0000-0000-0000852B0000}"/>
    <cellStyle name="Input 11 7 2 5" xfId="11351" xr:uid="{00000000-0005-0000-0000-0000862B0000}"/>
    <cellStyle name="Input 11 7 2 6" xfId="11352" xr:uid="{00000000-0005-0000-0000-0000872B0000}"/>
    <cellStyle name="Input 11 7 3" xfId="11353" xr:uid="{00000000-0005-0000-0000-0000882B0000}"/>
    <cellStyle name="Input 11 7 3 2" xfId="11354" xr:uid="{00000000-0005-0000-0000-0000892B0000}"/>
    <cellStyle name="Input 11 7 4" xfId="11355" xr:uid="{00000000-0005-0000-0000-00008A2B0000}"/>
    <cellStyle name="Input 11 7 4 2" xfId="11356" xr:uid="{00000000-0005-0000-0000-00008B2B0000}"/>
    <cellStyle name="Input 11 7 5" xfId="11357" xr:uid="{00000000-0005-0000-0000-00008C2B0000}"/>
    <cellStyle name="Input 11 7 6" xfId="11358" xr:uid="{00000000-0005-0000-0000-00008D2B0000}"/>
    <cellStyle name="Input 11 7 7" xfId="11359" xr:uid="{00000000-0005-0000-0000-00008E2B0000}"/>
    <cellStyle name="Input 11 8" xfId="11360" xr:uid="{00000000-0005-0000-0000-00008F2B0000}"/>
    <cellStyle name="Input 11 8 2" xfId="11361" xr:uid="{00000000-0005-0000-0000-0000902B0000}"/>
    <cellStyle name="Input 11 9" xfId="11362" xr:uid="{00000000-0005-0000-0000-0000912B0000}"/>
    <cellStyle name="Input 11 9 2" xfId="11363" xr:uid="{00000000-0005-0000-0000-0000922B0000}"/>
    <cellStyle name="Input 12" xfId="11364" xr:uid="{00000000-0005-0000-0000-0000932B0000}"/>
    <cellStyle name="Input 12 10" xfId="11365" xr:uid="{00000000-0005-0000-0000-0000942B0000}"/>
    <cellStyle name="Input 12 11" xfId="11366" xr:uid="{00000000-0005-0000-0000-0000952B0000}"/>
    <cellStyle name="Input 12 12" xfId="11367" xr:uid="{00000000-0005-0000-0000-0000962B0000}"/>
    <cellStyle name="Input 12 2" xfId="11368" xr:uid="{00000000-0005-0000-0000-0000972B0000}"/>
    <cellStyle name="Input 12 2 10" xfId="11369" xr:uid="{00000000-0005-0000-0000-0000982B0000}"/>
    <cellStyle name="Input 12 2 11" xfId="11370" xr:uid="{00000000-0005-0000-0000-0000992B0000}"/>
    <cellStyle name="Input 12 2 12" xfId="11371" xr:uid="{00000000-0005-0000-0000-00009A2B0000}"/>
    <cellStyle name="Input 12 2 2" xfId="11372" xr:uid="{00000000-0005-0000-0000-00009B2B0000}"/>
    <cellStyle name="Input 12 2 2 10" xfId="11373" xr:uid="{00000000-0005-0000-0000-00009C2B0000}"/>
    <cellStyle name="Input 12 2 2 11" xfId="11374" xr:uid="{00000000-0005-0000-0000-00009D2B0000}"/>
    <cellStyle name="Input 12 2 2 2" xfId="11375" xr:uid="{00000000-0005-0000-0000-00009E2B0000}"/>
    <cellStyle name="Input 12 2 2 2 10" xfId="11376" xr:uid="{00000000-0005-0000-0000-00009F2B0000}"/>
    <cellStyle name="Input 12 2 2 2 2" xfId="11377" xr:uid="{00000000-0005-0000-0000-0000A02B0000}"/>
    <cellStyle name="Input 12 2 2 2 2 2" xfId="11378" xr:uid="{00000000-0005-0000-0000-0000A12B0000}"/>
    <cellStyle name="Input 12 2 2 2 2 2 2" xfId="11379" xr:uid="{00000000-0005-0000-0000-0000A22B0000}"/>
    <cellStyle name="Input 12 2 2 2 2 2 2 2" xfId="11380" xr:uid="{00000000-0005-0000-0000-0000A32B0000}"/>
    <cellStyle name="Input 12 2 2 2 2 2 2 2 2" xfId="11381" xr:uid="{00000000-0005-0000-0000-0000A42B0000}"/>
    <cellStyle name="Input 12 2 2 2 2 2 2 3" xfId="11382" xr:uid="{00000000-0005-0000-0000-0000A52B0000}"/>
    <cellStyle name="Input 12 2 2 2 2 2 2 3 2" xfId="11383" xr:uid="{00000000-0005-0000-0000-0000A62B0000}"/>
    <cellStyle name="Input 12 2 2 2 2 2 2 4" xfId="11384" xr:uid="{00000000-0005-0000-0000-0000A72B0000}"/>
    <cellStyle name="Input 12 2 2 2 2 2 2 5" xfId="11385" xr:uid="{00000000-0005-0000-0000-0000A82B0000}"/>
    <cellStyle name="Input 12 2 2 2 2 2 2 6" xfId="11386" xr:uid="{00000000-0005-0000-0000-0000A92B0000}"/>
    <cellStyle name="Input 12 2 2 2 2 2 3" xfId="11387" xr:uid="{00000000-0005-0000-0000-0000AA2B0000}"/>
    <cellStyle name="Input 12 2 2 2 2 2 3 2" xfId="11388" xr:uid="{00000000-0005-0000-0000-0000AB2B0000}"/>
    <cellStyle name="Input 12 2 2 2 2 2 4" xfId="11389" xr:uid="{00000000-0005-0000-0000-0000AC2B0000}"/>
    <cellStyle name="Input 12 2 2 2 2 2 4 2" xfId="11390" xr:uid="{00000000-0005-0000-0000-0000AD2B0000}"/>
    <cellStyle name="Input 12 2 2 2 2 2 5" xfId="11391" xr:uid="{00000000-0005-0000-0000-0000AE2B0000}"/>
    <cellStyle name="Input 12 2 2 2 2 2 6" xfId="11392" xr:uid="{00000000-0005-0000-0000-0000AF2B0000}"/>
    <cellStyle name="Input 12 2 2 2 2 2 7" xfId="11393" xr:uid="{00000000-0005-0000-0000-0000B02B0000}"/>
    <cellStyle name="Input 12 2 2 2 2 3" xfId="11394" xr:uid="{00000000-0005-0000-0000-0000B12B0000}"/>
    <cellStyle name="Input 12 2 2 2 2 3 2" xfId="11395" xr:uid="{00000000-0005-0000-0000-0000B22B0000}"/>
    <cellStyle name="Input 12 2 2 2 2 3 2 2" xfId="11396" xr:uid="{00000000-0005-0000-0000-0000B32B0000}"/>
    <cellStyle name="Input 12 2 2 2 2 3 3" xfId="11397" xr:uid="{00000000-0005-0000-0000-0000B42B0000}"/>
    <cellStyle name="Input 12 2 2 2 2 3 3 2" xfId="11398" xr:uid="{00000000-0005-0000-0000-0000B52B0000}"/>
    <cellStyle name="Input 12 2 2 2 2 3 4" xfId="11399" xr:uid="{00000000-0005-0000-0000-0000B62B0000}"/>
    <cellStyle name="Input 12 2 2 2 2 3 5" xfId="11400" xr:uid="{00000000-0005-0000-0000-0000B72B0000}"/>
    <cellStyle name="Input 12 2 2 2 2 3 6" xfId="11401" xr:uid="{00000000-0005-0000-0000-0000B82B0000}"/>
    <cellStyle name="Input 12 2 2 2 2 4" xfId="11402" xr:uid="{00000000-0005-0000-0000-0000B92B0000}"/>
    <cellStyle name="Input 12 2 2 2 2 4 2" xfId="11403" xr:uid="{00000000-0005-0000-0000-0000BA2B0000}"/>
    <cellStyle name="Input 12 2 2 2 2 5" xfId="11404" xr:uid="{00000000-0005-0000-0000-0000BB2B0000}"/>
    <cellStyle name="Input 12 2 2 2 2 5 2" xfId="11405" xr:uid="{00000000-0005-0000-0000-0000BC2B0000}"/>
    <cellStyle name="Input 12 2 2 2 2 6" xfId="11406" xr:uid="{00000000-0005-0000-0000-0000BD2B0000}"/>
    <cellStyle name="Input 12 2 2 2 2 7" xfId="11407" xr:uid="{00000000-0005-0000-0000-0000BE2B0000}"/>
    <cellStyle name="Input 12 2 2 2 2 8" xfId="11408" xr:uid="{00000000-0005-0000-0000-0000BF2B0000}"/>
    <cellStyle name="Input 12 2 2 2 3" xfId="11409" xr:uid="{00000000-0005-0000-0000-0000C02B0000}"/>
    <cellStyle name="Input 12 2 2 2 3 2" xfId="11410" xr:uid="{00000000-0005-0000-0000-0000C12B0000}"/>
    <cellStyle name="Input 12 2 2 2 3 2 2" xfId="11411" xr:uid="{00000000-0005-0000-0000-0000C22B0000}"/>
    <cellStyle name="Input 12 2 2 2 3 2 2 2" xfId="11412" xr:uid="{00000000-0005-0000-0000-0000C32B0000}"/>
    <cellStyle name="Input 12 2 2 2 3 2 2 2 2" xfId="11413" xr:uid="{00000000-0005-0000-0000-0000C42B0000}"/>
    <cellStyle name="Input 12 2 2 2 3 2 2 3" xfId="11414" xr:uid="{00000000-0005-0000-0000-0000C52B0000}"/>
    <cellStyle name="Input 12 2 2 2 3 2 2 3 2" xfId="11415" xr:uid="{00000000-0005-0000-0000-0000C62B0000}"/>
    <cellStyle name="Input 12 2 2 2 3 2 2 4" xfId="11416" xr:uid="{00000000-0005-0000-0000-0000C72B0000}"/>
    <cellStyle name="Input 12 2 2 2 3 2 2 5" xfId="11417" xr:uid="{00000000-0005-0000-0000-0000C82B0000}"/>
    <cellStyle name="Input 12 2 2 2 3 2 2 6" xfId="11418" xr:uid="{00000000-0005-0000-0000-0000C92B0000}"/>
    <cellStyle name="Input 12 2 2 2 3 2 3" xfId="11419" xr:uid="{00000000-0005-0000-0000-0000CA2B0000}"/>
    <cellStyle name="Input 12 2 2 2 3 2 3 2" xfId="11420" xr:uid="{00000000-0005-0000-0000-0000CB2B0000}"/>
    <cellStyle name="Input 12 2 2 2 3 2 4" xfId="11421" xr:uid="{00000000-0005-0000-0000-0000CC2B0000}"/>
    <cellStyle name="Input 12 2 2 2 3 2 4 2" xfId="11422" xr:uid="{00000000-0005-0000-0000-0000CD2B0000}"/>
    <cellStyle name="Input 12 2 2 2 3 2 5" xfId="11423" xr:uid="{00000000-0005-0000-0000-0000CE2B0000}"/>
    <cellStyle name="Input 12 2 2 2 3 2 6" xfId="11424" xr:uid="{00000000-0005-0000-0000-0000CF2B0000}"/>
    <cellStyle name="Input 12 2 2 2 3 2 7" xfId="11425" xr:uid="{00000000-0005-0000-0000-0000D02B0000}"/>
    <cellStyle name="Input 12 2 2 2 3 3" xfId="11426" xr:uid="{00000000-0005-0000-0000-0000D12B0000}"/>
    <cellStyle name="Input 12 2 2 2 3 3 2" xfId="11427" xr:uid="{00000000-0005-0000-0000-0000D22B0000}"/>
    <cellStyle name="Input 12 2 2 2 3 3 2 2" xfId="11428" xr:uid="{00000000-0005-0000-0000-0000D32B0000}"/>
    <cellStyle name="Input 12 2 2 2 3 3 3" xfId="11429" xr:uid="{00000000-0005-0000-0000-0000D42B0000}"/>
    <cellStyle name="Input 12 2 2 2 3 3 3 2" xfId="11430" xr:uid="{00000000-0005-0000-0000-0000D52B0000}"/>
    <cellStyle name="Input 12 2 2 2 3 3 4" xfId="11431" xr:uid="{00000000-0005-0000-0000-0000D62B0000}"/>
    <cellStyle name="Input 12 2 2 2 3 3 5" xfId="11432" xr:uid="{00000000-0005-0000-0000-0000D72B0000}"/>
    <cellStyle name="Input 12 2 2 2 3 3 6" xfId="11433" xr:uid="{00000000-0005-0000-0000-0000D82B0000}"/>
    <cellStyle name="Input 12 2 2 2 3 4" xfId="11434" xr:uid="{00000000-0005-0000-0000-0000D92B0000}"/>
    <cellStyle name="Input 12 2 2 2 3 4 2" xfId="11435" xr:uid="{00000000-0005-0000-0000-0000DA2B0000}"/>
    <cellStyle name="Input 12 2 2 2 3 5" xfId="11436" xr:uid="{00000000-0005-0000-0000-0000DB2B0000}"/>
    <cellStyle name="Input 12 2 2 2 3 5 2" xfId="11437" xr:uid="{00000000-0005-0000-0000-0000DC2B0000}"/>
    <cellStyle name="Input 12 2 2 2 3 6" xfId="11438" xr:uid="{00000000-0005-0000-0000-0000DD2B0000}"/>
    <cellStyle name="Input 12 2 2 2 3 7" xfId="11439" xr:uid="{00000000-0005-0000-0000-0000DE2B0000}"/>
    <cellStyle name="Input 12 2 2 2 3 8" xfId="11440" xr:uid="{00000000-0005-0000-0000-0000DF2B0000}"/>
    <cellStyle name="Input 12 2 2 2 4" xfId="11441" xr:uid="{00000000-0005-0000-0000-0000E02B0000}"/>
    <cellStyle name="Input 12 2 2 2 4 2" xfId="11442" xr:uid="{00000000-0005-0000-0000-0000E12B0000}"/>
    <cellStyle name="Input 12 2 2 2 4 2 2" xfId="11443" xr:uid="{00000000-0005-0000-0000-0000E22B0000}"/>
    <cellStyle name="Input 12 2 2 2 4 2 2 2" xfId="11444" xr:uid="{00000000-0005-0000-0000-0000E32B0000}"/>
    <cellStyle name="Input 12 2 2 2 4 2 3" xfId="11445" xr:uid="{00000000-0005-0000-0000-0000E42B0000}"/>
    <cellStyle name="Input 12 2 2 2 4 2 3 2" xfId="11446" xr:uid="{00000000-0005-0000-0000-0000E52B0000}"/>
    <cellStyle name="Input 12 2 2 2 4 2 4" xfId="11447" xr:uid="{00000000-0005-0000-0000-0000E62B0000}"/>
    <cellStyle name="Input 12 2 2 2 4 2 5" xfId="11448" xr:uid="{00000000-0005-0000-0000-0000E72B0000}"/>
    <cellStyle name="Input 12 2 2 2 4 2 6" xfId="11449" xr:uid="{00000000-0005-0000-0000-0000E82B0000}"/>
    <cellStyle name="Input 12 2 2 2 4 3" xfId="11450" xr:uid="{00000000-0005-0000-0000-0000E92B0000}"/>
    <cellStyle name="Input 12 2 2 2 4 3 2" xfId="11451" xr:uid="{00000000-0005-0000-0000-0000EA2B0000}"/>
    <cellStyle name="Input 12 2 2 2 4 4" xfId="11452" xr:uid="{00000000-0005-0000-0000-0000EB2B0000}"/>
    <cellStyle name="Input 12 2 2 2 4 4 2" xfId="11453" xr:uid="{00000000-0005-0000-0000-0000EC2B0000}"/>
    <cellStyle name="Input 12 2 2 2 4 5" xfId="11454" xr:uid="{00000000-0005-0000-0000-0000ED2B0000}"/>
    <cellStyle name="Input 12 2 2 2 4 6" xfId="11455" xr:uid="{00000000-0005-0000-0000-0000EE2B0000}"/>
    <cellStyle name="Input 12 2 2 2 4 7" xfId="11456" xr:uid="{00000000-0005-0000-0000-0000EF2B0000}"/>
    <cellStyle name="Input 12 2 2 2 5" xfId="11457" xr:uid="{00000000-0005-0000-0000-0000F02B0000}"/>
    <cellStyle name="Input 12 2 2 2 5 2" xfId="11458" xr:uid="{00000000-0005-0000-0000-0000F12B0000}"/>
    <cellStyle name="Input 12 2 2 2 5 2 2" xfId="11459" xr:uid="{00000000-0005-0000-0000-0000F22B0000}"/>
    <cellStyle name="Input 12 2 2 2 5 3" xfId="11460" xr:uid="{00000000-0005-0000-0000-0000F32B0000}"/>
    <cellStyle name="Input 12 2 2 2 5 3 2" xfId="11461" xr:uid="{00000000-0005-0000-0000-0000F42B0000}"/>
    <cellStyle name="Input 12 2 2 2 5 4" xfId="11462" xr:uid="{00000000-0005-0000-0000-0000F52B0000}"/>
    <cellStyle name="Input 12 2 2 2 5 5" xfId="11463" xr:uid="{00000000-0005-0000-0000-0000F62B0000}"/>
    <cellStyle name="Input 12 2 2 2 5 6" xfId="11464" xr:uid="{00000000-0005-0000-0000-0000F72B0000}"/>
    <cellStyle name="Input 12 2 2 2 6" xfId="11465" xr:uid="{00000000-0005-0000-0000-0000F82B0000}"/>
    <cellStyle name="Input 12 2 2 2 6 2" xfId="11466" xr:uid="{00000000-0005-0000-0000-0000F92B0000}"/>
    <cellStyle name="Input 12 2 2 2 7" xfId="11467" xr:uid="{00000000-0005-0000-0000-0000FA2B0000}"/>
    <cellStyle name="Input 12 2 2 2 7 2" xfId="11468" xr:uid="{00000000-0005-0000-0000-0000FB2B0000}"/>
    <cellStyle name="Input 12 2 2 2 8" xfId="11469" xr:uid="{00000000-0005-0000-0000-0000FC2B0000}"/>
    <cellStyle name="Input 12 2 2 2 9" xfId="11470" xr:uid="{00000000-0005-0000-0000-0000FD2B0000}"/>
    <cellStyle name="Input 12 2 2 3" xfId="11471" xr:uid="{00000000-0005-0000-0000-0000FE2B0000}"/>
    <cellStyle name="Input 12 2 2 3 2" xfId="11472" xr:uid="{00000000-0005-0000-0000-0000FF2B0000}"/>
    <cellStyle name="Input 12 2 2 3 2 2" xfId="11473" xr:uid="{00000000-0005-0000-0000-0000002C0000}"/>
    <cellStyle name="Input 12 2 2 3 2 2 2" xfId="11474" xr:uid="{00000000-0005-0000-0000-0000012C0000}"/>
    <cellStyle name="Input 12 2 2 3 2 2 2 2" xfId="11475" xr:uid="{00000000-0005-0000-0000-0000022C0000}"/>
    <cellStyle name="Input 12 2 2 3 2 2 3" xfId="11476" xr:uid="{00000000-0005-0000-0000-0000032C0000}"/>
    <cellStyle name="Input 12 2 2 3 2 2 3 2" xfId="11477" xr:uid="{00000000-0005-0000-0000-0000042C0000}"/>
    <cellStyle name="Input 12 2 2 3 2 2 4" xfId="11478" xr:uid="{00000000-0005-0000-0000-0000052C0000}"/>
    <cellStyle name="Input 12 2 2 3 2 2 5" xfId="11479" xr:uid="{00000000-0005-0000-0000-0000062C0000}"/>
    <cellStyle name="Input 12 2 2 3 2 2 6" xfId="11480" xr:uid="{00000000-0005-0000-0000-0000072C0000}"/>
    <cellStyle name="Input 12 2 2 3 2 3" xfId="11481" xr:uid="{00000000-0005-0000-0000-0000082C0000}"/>
    <cellStyle name="Input 12 2 2 3 2 3 2" xfId="11482" xr:uid="{00000000-0005-0000-0000-0000092C0000}"/>
    <cellStyle name="Input 12 2 2 3 2 4" xfId="11483" xr:uid="{00000000-0005-0000-0000-00000A2C0000}"/>
    <cellStyle name="Input 12 2 2 3 2 4 2" xfId="11484" xr:uid="{00000000-0005-0000-0000-00000B2C0000}"/>
    <cellStyle name="Input 12 2 2 3 2 5" xfId="11485" xr:uid="{00000000-0005-0000-0000-00000C2C0000}"/>
    <cellStyle name="Input 12 2 2 3 2 6" xfId="11486" xr:uid="{00000000-0005-0000-0000-00000D2C0000}"/>
    <cellStyle name="Input 12 2 2 3 2 7" xfId="11487" xr:uid="{00000000-0005-0000-0000-00000E2C0000}"/>
    <cellStyle name="Input 12 2 2 3 3" xfId="11488" xr:uid="{00000000-0005-0000-0000-00000F2C0000}"/>
    <cellStyle name="Input 12 2 2 3 3 2" xfId="11489" xr:uid="{00000000-0005-0000-0000-0000102C0000}"/>
    <cellStyle name="Input 12 2 2 3 3 2 2" xfId="11490" xr:uid="{00000000-0005-0000-0000-0000112C0000}"/>
    <cellStyle name="Input 12 2 2 3 3 3" xfId="11491" xr:uid="{00000000-0005-0000-0000-0000122C0000}"/>
    <cellStyle name="Input 12 2 2 3 3 3 2" xfId="11492" xr:uid="{00000000-0005-0000-0000-0000132C0000}"/>
    <cellStyle name="Input 12 2 2 3 3 4" xfId="11493" xr:uid="{00000000-0005-0000-0000-0000142C0000}"/>
    <cellStyle name="Input 12 2 2 3 3 5" xfId="11494" xr:uid="{00000000-0005-0000-0000-0000152C0000}"/>
    <cellStyle name="Input 12 2 2 3 3 6" xfId="11495" xr:uid="{00000000-0005-0000-0000-0000162C0000}"/>
    <cellStyle name="Input 12 2 2 3 4" xfId="11496" xr:uid="{00000000-0005-0000-0000-0000172C0000}"/>
    <cellStyle name="Input 12 2 2 3 4 2" xfId="11497" xr:uid="{00000000-0005-0000-0000-0000182C0000}"/>
    <cellStyle name="Input 12 2 2 3 5" xfId="11498" xr:uid="{00000000-0005-0000-0000-0000192C0000}"/>
    <cellStyle name="Input 12 2 2 3 5 2" xfId="11499" xr:uid="{00000000-0005-0000-0000-00001A2C0000}"/>
    <cellStyle name="Input 12 2 2 3 6" xfId="11500" xr:uid="{00000000-0005-0000-0000-00001B2C0000}"/>
    <cellStyle name="Input 12 2 2 3 7" xfId="11501" xr:uid="{00000000-0005-0000-0000-00001C2C0000}"/>
    <cellStyle name="Input 12 2 2 3 8" xfId="11502" xr:uid="{00000000-0005-0000-0000-00001D2C0000}"/>
    <cellStyle name="Input 12 2 2 4" xfId="11503" xr:uid="{00000000-0005-0000-0000-00001E2C0000}"/>
    <cellStyle name="Input 12 2 2 4 2" xfId="11504" xr:uid="{00000000-0005-0000-0000-00001F2C0000}"/>
    <cellStyle name="Input 12 2 2 4 2 2" xfId="11505" xr:uid="{00000000-0005-0000-0000-0000202C0000}"/>
    <cellStyle name="Input 12 2 2 4 2 2 2" xfId="11506" xr:uid="{00000000-0005-0000-0000-0000212C0000}"/>
    <cellStyle name="Input 12 2 2 4 2 2 2 2" xfId="11507" xr:uid="{00000000-0005-0000-0000-0000222C0000}"/>
    <cellStyle name="Input 12 2 2 4 2 2 3" xfId="11508" xr:uid="{00000000-0005-0000-0000-0000232C0000}"/>
    <cellStyle name="Input 12 2 2 4 2 2 3 2" xfId="11509" xr:uid="{00000000-0005-0000-0000-0000242C0000}"/>
    <cellStyle name="Input 12 2 2 4 2 2 4" xfId="11510" xr:uid="{00000000-0005-0000-0000-0000252C0000}"/>
    <cellStyle name="Input 12 2 2 4 2 2 5" xfId="11511" xr:uid="{00000000-0005-0000-0000-0000262C0000}"/>
    <cellStyle name="Input 12 2 2 4 2 2 6" xfId="11512" xr:uid="{00000000-0005-0000-0000-0000272C0000}"/>
    <cellStyle name="Input 12 2 2 4 2 3" xfId="11513" xr:uid="{00000000-0005-0000-0000-0000282C0000}"/>
    <cellStyle name="Input 12 2 2 4 2 3 2" xfId="11514" xr:uid="{00000000-0005-0000-0000-0000292C0000}"/>
    <cellStyle name="Input 12 2 2 4 2 4" xfId="11515" xr:uid="{00000000-0005-0000-0000-00002A2C0000}"/>
    <cellStyle name="Input 12 2 2 4 2 4 2" xfId="11516" xr:uid="{00000000-0005-0000-0000-00002B2C0000}"/>
    <cellStyle name="Input 12 2 2 4 2 5" xfId="11517" xr:uid="{00000000-0005-0000-0000-00002C2C0000}"/>
    <cellStyle name="Input 12 2 2 4 2 6" xfId="11518" xr:uid="{00000000-0005-0000-0000-00002D2C0000}"/>
    <cellStyle name="Input 12 2 2 4 2 7" xfId="11519" xr:uid="{00000000-0005-0000-0000-00002E2C0000}"/>
    <cellStyle name="Input 12 2 2 4 3" xfId="11520" xr:uid="{00000000-0005-0000-0000-00002F2C0000}"/>
    <cellStyle name="Input 12 2 2 4 3 2" xfId="11521" xr:uid="{00000000-0005-0000-0000-0000302C0000}"/>
    <cellStyle name="Input 12 2 2 4 3 2 2" xfId="11522" xr:uid="{00000000-0005-0000-0000-0000312C0000}"/>
    <cellStyle name="Input 12 2 2 4 3 3" xfId="11523" xr:uid="{00000000-0005-0000-0000-0000322C0000}"/>
    <cellStyle name="Input 12 2 2 4 3 3 2" xfId="11524" xr:uid="{00000000-0005-0000-0000-0000332C0000}"/>
    <cellStyle name="Input 12 2 2 4 3 4" xfId="11525" xr:uid="{00000000-0005-0000-0000-0000342C0000}"/>
    <cellStyle name="Input 12 2 2 4 3 5" xfId="11526" xr:uid="{00000000-0005-0000-0000-0000352C0000}"/>
    <cellStyle name="Input 12 2 2 4 3 6" xfId="11527" xr:uid="{00000000-0005-0000-0000-0000362C0000}"/>
    <cellStyle name="Input 12 2 2 4 4" xfId="11528" xr:uid="{00000000-0005-0000-0000-0000372C0000}"/>
    <cellStyle name="Input 12 2 2 4 4 2" xfId="11529" xr:uid="{00000000-0005-0000-0000-0000382C0000}"/>
    <cellStyle name="Input 12 2 2 4 5" xfId="11530" xr:uid="{00000000-0005-0000-0000-0000392C0000}"/>
    <cellStyle name="Input 12 2 2 4 5 2" xfId="11531" xr:uid="{00000000-0005-0000-0000-00003A2C0000}"/>
    <cellStyle name="Input 12 2 2 4 6" xfId="11532" xr:uid="{00000000-0005-0000-0000-00003B2C0000}"/>
    <cellStyle name="Input 12 2 2 4 7" xfId="11533" xr:uid="{00000000-0005-0000-0000-00003C2C0000}"/>
    <cellStyle name="Input 12 2 2 4 8" xfId="11534" xr:uid="{00000000-0005-0000-0000-00003D2C0000}"/>
    <cellStyle name="Input 12 2 2 5" xfId="11535" xr:uid="{00000000-0005-0000-0000-00003E2C0000}"/>
    <cellStyle name="Input 12 2 2 5 2" xfId="11536" xr:uid="{00000000-0005-0000-0000-00003F2C0000}"/>
    <cellStyle name="Input 12 2 2 5 2 2" xfId="11537" xr:uid="{00000000-0005-0000-0000-0000402C0000}"/>
    <cellStyle name="Input 12 2 2 5 2 2 2" xfId="11538" xr:uid="{00000000-0005-0000-0000-0000412C0000}"/>
    <cellStyle name="Input 12 2 2 5 2 3" xfId="11539" xr:uid="{00000000-0005-0000-0000-0000422C0000}"/>
    <cellStyle name="Input 12 2 2 5 2 3 2" xfId="11540" xr:uid="{00000000-0005-0000-0000-0000432C0000}"/>
    <cellStyle name="Input 12 2 2 5 2 4" xfId="11541" xr:uid="{00000000-0005-0000-0000-0000442C0000}"/>
    <cellStyle name="Input 12 2 2 5 2 5" xfId="11542" xr:uid="{00000000-0005-0000-0000-0000452C0000}"/>
    <cellStyle name="Input 12 2 2 5 2 6" xfId="11543" xr:uid="{00000000-0005-0000-0000-0000462C0000}"/>
    <cellStyle name="Input 12 2 2 5 3" xfId="11544" xr:uid="{00000000-0005-0000-0000-0000472C0000}"/>
    <cellStyle name="Input 12 2 2 5 3 2" xfId="11545" xr:uid="{00000000-0005-0000-0000-0000482C0000}"/>
    <cellStyle name="Input 12 2 2 5 4" xfId="11546" xr:uid="{00000000-0005-0000-0000-0000492C0000}"/>
    <cellStyle name="Input 12 2 2 5 4 2" xfId="11547" xr:uid="{00000000-0005-0000-0000-00004A2C0000}"/>
    <cellStyle name="Input 12 2 2 5 5" xfId="11548" xr:uid="{00000000-0005-0000-0000-00004B2C0000}"/>
    <cellStyle name="Input 12 2 2 5 6" xfId="11549" xr:uid="{00000000-0005-0000-0000-00004C2C0000}"/>
    <cellStyle name="Input 12 2 2 5 7" xfId="11550" xr:uid="{00000000-0005-0000-0000-00004D2C0000}"/>
    <cellStyle name="Input 12 2 2 6" xfId="11551" xr:uid="{00000000-0005-0000-0000-00004E2C0000}"/>
    <cellStyle name="Input 12 2 2 6 2" xfId="11552" xr:uid="{00000000-0005-0000-0000-00004F2C0000}"/>
    <cellStyle name="Input 12 2 2 6 2 2" xfId="11553" xr:uid="{00000000-0005-0000-0000-0000502C0000}"/>
    <cellStyle name="Input 12 2 2 6 3" xfId="11554" xr:uid="{00000000-0005-0000-0000-0000512C0000}"/>
    <cellStyle name="Input 12 2 2 6 3 2" xfId="11555" xr:uid="{00000000-0005-0000-0000-0000522C0000}"/>
    <cellStyle name="Input 12 2 2 6 4" xfId="11556" xr:uid="{00000000-0005-0000-0000-0000532C0000}"/>
    <cellStyle name="Input 12 2 2 6 5" xfId="11557" xr:uid="{00000000-0005-0000-0000-0000542C0000}"/>
    <cellStyle name="Input 12 2 2 6 6" xfId="11558" xr:uid="{00000000-0005-0000-0000-0000552C0000}"/>
    <cellStyle name="Input 12 2 2 7" xfId="11559" xr:uid="{00000000-0005-0000-0000-0000562C0000}"/>
    <cellStyle name="Input 12 2 2 7 2" xfId="11560" xr:uid="{00000000-0005-0000-0000-0000572C0000}"/>
    <cellStyle name="Input 12 2 2 8" xfId="11561" xr:uid="{00000000-0005-0000-0000-0000582C0000}"/>
    <cellStyle name="Input 12 2 2 8 2" xfId="11562" xr:uid="{00000000-0005-0000-0000-0000592C0000}"/>
    <cellStyle name="Input 12 2 2 9" xfId="11563" xr:uid="{00000000-0005-0000-0000-00005A2C0000}"/>
    <cellStyle name="Input 12 2 3" xfId="11564" xr:uid="{00000000-0005-0000-0000-00005B2C0000}"/>
    <cellStyle name="Input 12 2 3 10" xfId="11565" xr:uid="{00000000-0005-0000-0000-00005C2C0000}"/>
    <cellStyle name="Input 12 2 3 2" xfId="11566" xr:uid="{00000000-0005-0000-0000-00005D2C0000}"/>
    <cellStyle name="Input 12 2 3 2 10" xfId="11567" xr:uid="{00000000-0005-0000-0000-00005E2C0000}"/>
    <cellStyle name="Input 12 2 3 2 2" xfId="11568" xr:uid="{00000000-0005-0000-0000-00005F2C0000}"/>
    <cellStyle name="Input 12 2 3 2 2 2" xfId="11569" xr:uid="{00000000-0005-0000-0000-0000602C0000}"/>
    <cellStyle name="Input 12 2 3 2 2 2 2" xfId="11570" xr:uid="{00000000-0005-0000-0000-0000612C0000}"/>
    <cellStyle name="Input 12 2 3 2 2 2 2 2" xfId="11571" xr:uid="{00000000-0005-0000-0000-0000622C0000}"/>
    <cellStyle name="Input 12 2 3 2 2 2 2 2 2" xfId="11572" xr:uid="{00000000-0005-0000-0000-0000632C0000}"/>
    <cellStyle name="Input 12 2 3 2 2 2 2 3" xfId="11573" xr:uid="{00000000-0005-0000-0000-0000642C0000}"/>
    <cellStyle name="Input 12 2 3 2 2 2 2 3 2" xfId="11574" xr:uid="{00000000-0005-0000-0000-0000652C0000}"/>
    <cellStyle name="Input 12 2 3 2 2 2 2 4" xfId="11575" xr:uid="{00000000-0005-0000-0000-0000662C0000}"/>
    <cellStyle name="Input 12 2 3 2 2 2 2 5" xfId="11576" xr:uid="{00000000-0005-0000-0000-0000672C0000}"/>
    <cellStyle name="Input 12 2 3 2 2 2 2 6" xfId="11577" xr:uid="{00000000-0005-0000-0000-0000682C0000}"/>
    <cellStyle name="Input 12 2 3 2 2 2 3" xfId="11578" xr:uid="{00000000-0005-0000-0000-0000692C0000}"/>
    <cellStyle name="Input 12 2 3 2 2 2 3 2" xfId="11579" xr:uid="{00000000-0005-0000-0000-00006A2C0000}"/>
    <cellStyle name="Input 12 2 3 2 2 2 4" xfId="11580" xr:uid="{00000000-0005-0000-0000-00006B2C0000}"/>
    <cellStyle name="Input 12 2 3 2 2 2 4 2" xfId="11581" xr:uid="{00000000-0005-0000-0000-00006C2C0000}"/>
    <cellStyle name="Input 12 2 3 2 2 2 5" xfId="11582" xr:uid="{00000000-0005-0000-0000-00006D2C0000}"/>
    <cellStyle name="Input 12 2 3 2 2 2 6" xfId="11583" xr:uid="{00000000-0005-0000-0000-00006E2C0000}"/>
    <cellStyle name="Input 12 2 3 2 2 2 7" xfId="11584" xr:uid="{00000000-0005-0000-0000-00006F2C0000}"/>
    <cellStyle name="Input 12 2 3 2 2 3" xfId="11585" xr:uid="{00000000-0005-0000-0000-0000702C0000}"/>
    <cellStyle name="Input 12 2 3 2 2 3 2" xfId="11586" xr:uid="{00000000-0005-0000-0000-0000712C0000}"/>
    <cellStyle name="Input 12 2 3 2 2 3 2 2" xfId="11587" xr:uid="{00000000-0005-0000-0000-0000722C0000}"/>
    <cellStyle name="Input 12 2 3 2 2 3 3" xfId="11588" xr:uid="{00000000-0005-0000-0000-0000732C0000}"/>
    <cellStyle name="Input 12 2 3 2 2 3 3 2" xfId="11589" xr:uid="{00000000-0005-0000-0000-0000742C0000}"/>
    <cellStyle name="Input 12 2 3 2 2 3 4" xfId="11590" xr:uid="{00000000-0005-0000-0000-0000752C0000}"/>
    <cellStyle name="Input 12 2 3 2 2 3 5" xfId="11591" xr:uid="{00000000-0005-0000-0000-0000762C0000}"/>
    <cellStyle name="Input 12 2 3 2 2 3 6" xfId="11592" xr:uid="{00000000-0005-0000-0000-0000772C0000}"/>
    <cellStyle name="Input 12 2 3 2 2 4" xfId="11593" xr:uid="{00000000-0005-0000-0000-0000782C0000}"/>
    <cellStyle name="Input 12 2 3 2 2 4 2" xfId="11594" xr:uid="{00000000-0005-0000-0000-0000792C0000}"/>
    <cellStyle name="Input 12 2 3 2 2 5" xfId="11595" xr:uid="{00000000-0005-0000-0000-00007A2C0000}"/>
    <cellStyle name="Input 12 2 3 2 2 5 2" xfId="11596" xr:uid="{00000000-0005-0000-0000-00007B2C0000}"/>
    <cellStyle name="Input 12 2 3 2 2 6" xfId="11597" xr:uid="{00000000-0005-0000-0000-00007C2C0000}"/>
    <cellStyle name="Input 12 2 3 2 2 7" xfId="11598" xr:uid="{00000000-0005-0000-0000-00007D2C0000}"/>
    <cellStyle name="Input 12 2 3 2 2 8" xfId="11599" xr:uid="{00000000-0005-0000-0000-00007E2C0000}"/>
    <cellStyle name="Input 12 2 3 2 3" xfId="11600" xr:uid="{00000000-0005-0000-0000-00007F2C0000}"/>
    <cellStyle name="Input 12 2 3 2 3 2" xfId="11601" xr:uid="{00000000-0005-0000-0000-0000802C0000}"/>
    <cellStyle name="Input 12 2 3 2 3 2 2" xfId="11602" xr:uid="{00000000-0005-0000-0000-0000812C0000}"/>
    <cellStyle name="Input 12 2 3 2 3 2 2 2" xfId="11603" xr:uid="{00000000-0005-0000-0000-0000822C0000}"/>
    <cellStyle name="Input 12 2 3 2 3 2 2 2 2" xfId="11604" xr:uid="{00000000-0005-0000-0000-0000832C0000}"/>
    <cellStyle name="Input 12 2 3 2 3 2 2 3" xfId="11605" xr:uid="{00000000-0005-0000-0000-0000842C0000}"/>
    <cellStyle name="Input 12 2 3 2 3 2 2 3 2" xfId="11606" xr:uid="{00000000-0005-0000-0000-0000852C0000}"/>
    <cellStyle name="Input 12 2 3 2 3 2 2 4" xfId="11607" xr:uid="{00000000-0005-0000-0000-0000862C0000}"/>
    <cellStyle name="Input 12 2 3 2 3 2 2 5" xfId="11608" xr:uid="{00000000-0005-0000-0000-0000872C0000}"/>
    <cellStyle name="Input 12 2 3 2 3 2 2 6" xfId="11609" xr:uid="{00000000-0005-0000-0000-0000882C0000}"/>
    <cellStyle name="Input 12 2 3 2 3 2 3" xfId="11610" xr:uid="{00000000-0005-0000-0000-0000892C0000}"/>
    <cellStyle name="Input 12 2 3 2 3 2 3 2" xfId="11611" xr:uid="{00000000-0005-0000-0000-00008A2C0000}"/>
    <cellStyle name="Input 12 2 3 2 3 2 4" xfId="11612" xr:uid="{00000000-0005-0000-0000-00008B2C0000}"/>
    <cellStyle name="Input 12 2 3 2 3 2 4 2" xfId="11613" xr:uid="{00000000-0005-0000-0000-00008C2C0000}"/>
    <cellStyle name="Input 12 2 3 2 3 2 5" xfId="11614" xr:uid="{00000000-0005-0000-0000-00008D2C0000}"/>
    <cellStyle name="Input 12 2 3 2 3 2 6" xfId="11615" xr:uid="{00000000-0005-0000-0000-00008E2C0000}"/>
    <cellStyle name="Input 12 2 3 2 3 2 7" xfId="11616" xr:uid="{00000000-0005-0000-0000-00008F2C0000}"/>
    <cellStyle name="Input 12 2 3 2 3 3" xfId="11617" xr:uid="{00000000-0005-0000-0000-0000902C0000}"/>
    <cellStyle name="Input 12 2 3 2 3 3 2" xfId="11618" xr:uid="{00000000-0005-0000-0000-0000912C0000}"/>
    <cellStyle name="Input 12 2 3 2 3 3 2 2" xfId="11619" xr:uid="{00000000-0005-0000-0000-0000922C0000}"/>
    <cellStyle name="Input 12 2 3 2 3 3 3" xfId="11620" xr:uid="{00000000-0005-0000-0000-0000932C0000}"/>
    <cellStyle name="Input 12 2 3 2 3 3 3 2" xfId="11621" xr:uid="{00000000-0005-0000-0000-0000942C0000}"/>
    <cellStyle name="Input 12 2 3 2 3 3 4" xfId="11622" xr:uid="{00000000-0005-0000-0000-0000952C0000}"/>
    <cellStyle name="Input 12 2 3 2 3 3 5" xfId="11623" xr:uid="{00000000-0005-0000-0000-0000962C0000}"/>
    <cellStyle name="Input 12 2 3 2 3 3 6" xfId="11624" xr:uid="{00000000-0005-0000-0000-0000972C0000}"/>
    <cellStyle name="Input 12 2 3 2 3 4" xfId="11625" xr:uid="{00000000-0005-0000-0000-0000982C0000}"/>
    <cellStyle name="Input 12 2 3 2 3 4 2" xfId="11626" xr:uid="{00000000-0005-0000-0000-0000992C0000}"/>
    <cellStyle name="Input 12 2 3 2 3 5" xfId="11627" xr:uid="{00000000-0005-0000-0000-00009A2C0000}"/>
    <cellStyle name="Input 12 2 3 2 3 5 2" xfId="11628" xr:uid="{00000000-0005-0000-0000-00009B2C0000}"/>
    <cellStyle name="Input 12 2 3 2 3 6" xfId="11629" xr:uid="{00000000-0005-0000-0000-00009C2C0000}"/>
    <cellStyle name="Input 12 2 3 2 3 7" xfId="11630" xr:uid="{00000000-0005-0000-0000-00009D2C0000}"/>
    <cellStyle name="Input 12 2 3 2 3 8" xfId="11631" xr:uid="{00000000-0005-0000-0000-00009E2C0000}"/>
    <cellStyle name="Input 12 2 3 2 4" xfId="11632" xr:uid="{00000000-0005-0000-0000-00009F2C0000}"/>
    <cellStyle name="Input 12 2 3 2 4 2" xfId="11633" xr:uid="{00000000-0005-0000-0000-0000A02C0000}"/>
    <cellStyle name="Input 12 2 3 2 4 2 2" xfId="11634" xr:uid="{00000000-0005-0000-0000-0000A12C0000}"/>
    <cellStyle name="Input 12 2 3 2 4 2 2 2" xfId="11635" xr:uid="{00000000-0005-0000-0000-0000A22C0000}"/>
    <cellStyle name="Input 12 2 3 2 4 2 3" xfId="11636" xr:uid="{00000000-0005-0000-0000-0000A32C0000}"/>
    <cellStyle name="Input 12 2 3 2 4 2 3 2" xfId="11637" xr:uid="{00000000-0005-0000-0000-0000A42C0000}"/>
    <cellStyle name="Input 12 2 3 2 4 2 4" xfId="11638" xr:uid="{00000000-0005-0000-0000-0000A52C0000}"/>
    <cellStyle name="Input 12 2 3 2 4 2 5" xfId="11639" xr:uid="{00000000-0005-0000-0000-0000A62C0000}"/>
    <cellStyle name="Input 12 2 3 2 4 2 6" xfId="11640" xr:uid="{00000000-0005-0000-0000-0000A72C0000}"/>
    <cellStyle name="Input 12 2 3 2 4 3" xfId="11641" xr:uid="{00000000-0005-0000-0000-0000A82C0000}"/>
    <cellStyle name="Input 12 2 3 2 4 3 2" xfId="11642" xr:uid="{00000000-0005-0000-0000-0000A92C0000}"/>
    <cellStyle name="Input 12 2 3 2 4 4" xfId="11643" xr:uid="{00000000-0005-0000-0000-0000AA2C0000}"/>
    <cellStyle name="Input 12 2 3 2 4 4 2" xfId="11644" xr:uid="{00000000-0005-0000-0000-0000AB2C0000}"/>
    <cellStyle name="Input 12 2 3 2 4 5" xfId="11645" xr:uid="{00000000-0005-0000-0000-0000AC2C0000}"/>
    <cellStyle name="Input 12 2 3 2 4 6" xfId="11646" xr:uid="{00000000-0005-0000-0000-0000AD2C0000}"/>
    <cellStyle name="Input 12 2 3 2 4 7" xfId="11647" xr:uid="{00000000-0005-0000-0000-0000AE2C0000}"/>
    <cellStyle name="Input 12 2 3 2 5" xfId="11648" xr:uid="{00000000-0005-0000-0000-0000AF2C0000}"/>
    <cellStyle name="Input 12 2 3 2 5 2" xfId="11649" xr:uid="{00000000-0005-0000-0000-0000B02C0000}"/>
    <cellStyle name="Input 12 2 3 2 5 2 2" xfId="11650" xr:uid="{00000000-0005-0000-0000-0000B12C0000}"/>
    <cellStyle name="Input 12 2 3 2 5 3" xfId="11651" xr:uid="{00000000-0005-0000-0000-0000B22C0000}"/>
    <cellStyle name="Input 12 2 3 2 5 3 2" xfId="11652" xr:uid="{00000000-0005-0000-0000-0000B32C0000}"/>
    <cellStyle name="Input 12 2 3 2 5 4" xfId="11653" xr:uid="{00000000-0005-0000-0000-0000B42C0000}"/>
    <cellStyle name="Input 12 2 3 2 5 5" xfId="11654" xr:uid="{00000000-0005-0000-0000-0000B52C0000}"/>
    <cellStyle name="Input 12 2 3 2 5 6" xfId="11655" xr:uid="{00000000-0005-0000-0000-0000B62C0000}"/>
    <cellStyle name="Input 12 2 3 2 6" xfId="11656" xr:uid="{00000000-0005-0000-0000-0000B72C0000}"/>
    <cellStyle name="Input 12 2 3 2 6 2" xfId="11657" xr:uid="{00000000-0005-0000-0000-0000B82C0000}"/>
    <cellStyle name="Input 12 2 3 2 7" xfId="11658" xr:uid="{00000000-0005-0000-0000-0000B92C0000}"/>
    <cellStyle name="Input 12 2 3 2 7 2" xfId="11659" xr:uid="{00000000-0005-0000-0000-0000BA2C0000}"/>
    <cellStyle name="Input 12 2 3 2 8" xfId="11660" xr:uid="{00000000-0005-0000-0000-0000BB2C0000}"/>
    <cellStyle name="Input 12 2 3 2 9" xfId="11661" xr:uid="{00000000-0005-0000-0000-0000BC2C0000}"/>
    <cellStyle name="Input 12 2 3 3" xfId="11662" xr:uid="{00000000-0005-0000-0000-0000BD2C0000}"/>
    <cellStyle name="Input 12 2 3 3 2" xfId="11663" xr:uid="{00000000-0005-0000-0000-0000BE2C0000}"/>
    <cellStyle name="Input 12 2 3 3 2 2" xfId="11664" xr:uid="{00000000-0005-0000-0000-0000BF2C0000}"/>
    <cellStyle name="Input 12 2 3 3 2 2 2" xfId="11665" xr:uid="{00000000-0005-0000-0000-0000C02C0000}"/>
    <cellStyle name="Input 12 2 3 3 2 2 2 2" xfId="11666" xr:uid="{00000000-0005-0000-0000-0000C12C0000}"/>
    <cellStyle name="Input 12 2 3 3 2 2 3" xfId="11667" xr:uid="{00000000-0005-0000-0000-0000C22C0000}"/>
    <cellStyle name="Input 12 2 3 3 2 2 3 2" xfId="11668" xr:uid="{00000000-0005-0000-0000-0000C32C0000}"/>
    <cellStyle name="Input 12 2 3 3 2 2 4" xfId="11669" xr:uid="{00000000-0005-0000-0000-0000C42C0000}"/>
    <cellStyle name="Input 12 2 3 3 2 2 5" xfId="11670" xr:uid="{00000000-0005-0000-0000-0000C52C0000}"/>
    <cellStyle name="Input 12 2 3 3 2 2 6" xfId="11671" xr:uid="{00000000-0005-0000-0000-0000C62C0000}"/>
    <cellStyle name="Input 12 2 3 3 2 3" xfId="11672" xr:uid="{00000000-0005-0000-0000-0000C72C0000}"/>
    <cellStyle name="Input 12 2 3 3 2 3 2" xfId="11673" xr:uid="{00000000-0005-0000-0000-0000C82C0000}"/>
    <cellStyle name="Input 12 2 3 3 2 4" xfId="11674" xr:uid="{00000000-0005-0000-0000-0000C92C0000}"/>
    <cellStyle name="Input 12 2 3 3 2 4 2" xfId="11675" xr:uid="{00000000-0005-0000-0000-0000CA2C0000}"/>
    <cellStyle name="Input 12 2 3 3 2 5" xfId="11676" xr:uid="{00000000-0005-0000-0000-0000CB2C0000}"/>
    <cellStyle name="Input 12 2 3 3 2 6" xfId="11677" xr:uid="{00000000-0005-0000-0000-0000CC2C0000}"/>
    <cellStyle name="Input 12 2 3 3 2 7" xfId="11678" xr:uid="{00000000-0005-0000-0000-0000CD2C0000}"/>
    <cellStyle name="Input 12 2 3 3 3" xfId="11679" xr:uid="{00000000-0005-0000-0000-0000CE2C0000}"/>
    <cellStyle name="Input 12 2 3 3 3 2" xfId="11680" xr:uid="{00000000-0005-0000-0000-0000CF2C0000}"/>
    <cellStyle name="Input 12 2 3 3 3 2 2" xfId="11681" xr:uid="{00000000-0005-0000-0000-0000D02C0000}"/>
    <cellStyle name="Input 12 2 3 3 3 3" xfId="11682" xr:uid="{00000000-0005-0000-0000-0000D12C0000}"/>
    <cellStyle name="Input 12 2 3 3 3 3 2" xfId="11683" xr:uid="{00000000-0005-0000-0000-0000D22C0000}"/>
    <cellStyle name="Input 12 2 3 3 3 4" xfId="11684" xr:uid="{00000000-0005-0000-0000-0000D32C0000}"/>
    <cellStyle name="Input 12 2 3 3 3 5" xfId="11685" xr:uid="{00000000-0005-0000-0000-0000D42C0000}"/>
    <cellStyle name="Input 12 2 3 3 3 6" xfId="11686" xr:uid="{00000000-0005-0000-0000-0000D52C0000}"/>
    <cellStyle name="Input 12 2 3 3 4" xfId="11687" xr:uid="{00000000-0005-0000-0000-0000D62C0000}"/>
    <cellStyle name="Input 12 2 3 3 4 2" xfId="11688" xr:uid="{00000000-0005-0000-0000-0000D72C0000}"/>
    <cellStyle name="Input 12 2 3 3 5" xfId="11689" xr:uid="{00000000-0005-0000-0000-0000D82C0000}"/>
    <cellStyle name="Input 12 2 3 3 5 2" xfId="11690" xr:uid="{00000000-0005-0000-0000-0000D92C0000}"/>
    <cellStyle name="Input 12 2 3 3 6" xfId="11691" xr:uid="{00000000-0005-0000-0000-0000DA2C0000}"/>
    <cellStyle name="Input 12 2 3 3 7" xfId="11692" xr:uid="{00000000-0005-0000-0000-0000DB2C0000}"/>
    <cellStyle name="Input 12 2 3 3 8" xfId="11693" xr:uid="{00000000-0005-0000-0000-0000DC2C0000}"/>
    <cellStyle name="Input 12 2 3 4" xfId="11694" xr:uid="{00000000-0005-0000-0000-0000DD2C0000}"/>
    <cellStyle name="Input 12 2 3 4 2" xfId="11695" xr:uid="{00000000-0005-0000-0000-0000DE2C0000}"/>
    <cellStyle name="Input 12 2 3 4 2 2" xfId="11696" xr:uid="{00000000-0005-0000-0000-0000DF2C0000}"/>
    <cellStyle name="Input 12 2 3 4 2 2 2" xfId="11697" xr:uid="{00000000-0005-0000-0000-0000E02C0000}"/>
    <cellStyle name="Input 12 2 3 4 2 3" xfId="11698" xr:uid="{00000000-0005-0000-0000-0000E12C0000}"/>
    <cellStyle name="Input 12 2 3 4 2 3 2" xfId="11699" xr:uid="{00000000-0005-0000-0000-0000E22C0000}"/>
    <cellStyle name="Input 12 2 3 4 2 4" xfId="11700" xr:uid="{00000000-0005-0000-0000-0000E32C0000}"/>
    <cellStyle name="Input 12 2 3 4 2 5" xfId="11701" xr:uid="{00000000-0005-0000-0000-0000E42C0000}"/>
    <cellStyle name="Input 12 2 3 4 2 6" xfId="11702" xr:uid="{00000000-0005-0000-0000-0000E52C0000}"/>
    <cellStyle name="Input 12 2 3 4 3" xfId="11703" xr:uid="{00000000-0005-0000-0000-0000E62C0000}"/>
    <cellStyle name="Input 12 2 3 4 3 2" xfId="11704" xr:uid="{00000000-0005-0000-0000-0000E72C0000}"/>
    <cellStyle name="Input 12 2 3 4 4" xfId="11705" xr:uid="{00000000-0005-0000-0000-0000E82C0000}"/>
    <cellStyle name="Input 12 2 3 4 4 2" xfId="11706" xr:uid="{00000000-0005-0000-0000-0000E92C0000}"/>
    <cellStyle name="Input 12 2 3 4 5" xfId="11707" xr:uid="{00000000-0005-0000-0000-0000EA2C0000}"/>
    <cellStyle name="Input 12 2 3 4 6" xfId="11708" xr:uid="{00000000-0005-0000-0000-0000EB2C0000}"/>
    <cellStyle name="Input 12 2 3 4 7" xfId="11709" xr:uid="{00000000-0005-0000-0000-0000EC2C0000}"/>
    <cellStyle name="Input 12 2 3 5" xfId="11710" xr:uid="{00000000-0005-0000-0000-0000ED2C0000}"/>
    <cellStyle name="Input 12 2 3 5 2" xfId="11711" xr:uid="{00000000-0005-0000-0000-0000EE2C0000}"/>
    <cellStyle name="Input 12 2 3 5 2 2" xfId="11712" xr:uid="{00000000-0005-0000-0000-0000EF2C0000}"/>
    <cellStyle name="Input 12 2 3 5 3" xfId="11713" xr:uid="{00000000-0005-0000-0000-0000F02C0000}"/>
    <cellStyle name="Input 12 2 3 5 3 2" xfId="11714" xr:uid="{00000000-0005-0000-0000-0000F12C0000}"/>
    <cellStyle name="Input 12 2 3 5 4" xfId="11715" xr:uid="{00000000-0005-0000-0000-0000F22C0000}"/>
    <cellStyle name="Input 12 2 3 5 5" xfId="11716" xr:uid="{00000000-0005-0000-0000-0000F32C0000}"/>
    <cellStyle name="Input 12 2 3 5 6" xfId="11717" xr:uid="{00000000-0005-0000-0000-0000F42C0000}"/>
    <cellStyle name="Input 12 2 3 6" xfId="11718" xr:uid="{00000000-0005-0000-0000-0000F52C0000}"/>
    <cellStyle name="Input 12 2 3 6 2" xfId="11719" xr:uid="{00000000-0005-0000-0000-0000F62C0000}"/>
    <cellStyle name="Input 12 2 3 7" xfId="11720" xr:uid="{00000000-0005-0000-0000-0000F72C0000}"/>
    <cellStyle name="Input 12 2 3 7 2" xfId="11721" xr:uid="{00000000-0005-0000-0000-0000F82C0000}"/>
    <cellStyle name="Input 12 2 3 8" xfId="11722" xr:uid="{00000000-0005-0000-0000-0000F92C0000}"/>
    <cellStyle name="Input 12 2 3 9" xfId="11723" xr:uid="{00000000-0005-0000-0000-0000FA2C0000}"/>
    <cellStyle name="Input 12 2 4" xfId="11724" xr:uid="{00000000-0005-0000-0000-0000FB2C0000}"/>
    <cellStyle name="Input 12 2 4 10" xfId="11725" xr:uid="{00000000-0005-0000-0000-0000FC2C0000}"/>
    <cellStyle name="Input 12 2 4 2" xfId="11726" xr:uid="{00000000-0005-0000-0000-0000FD2C0000}"/>
    <cellStyle name="Input 12 2 4 2 2" xfId="11727" xr:uid="{00000000-0005-0000-0000-0000FE2C0000}"/>
    <cellStyle name="Input 12 2 4 2 2 2" xfId="11728" xr:uid="{00000000-0005-0000-0000-0000FF2C0000}"/>
    <cellStyle name="Input 12 2 4 2 2 2 2" xfId="11729" xr:uid="{00000000-0005-0000-0000-0000002D0000}"/>
    <cellStyle name="Input 12 2 4 2 2 2 2 2" xfId="11730" xr:uid="{00000000-0005-0000-0000-0000012D0000}"/>
    <cellStyle name="Input 12 2 4 2 2 2 3" xfId="11731" xr:uid="{00000000-0005-0000-0000-0000022D0000}"/>
    <cellStyle name="Input 12 2 4 2 2 2 3 2" xfId="11732" xr:uid="{00000000-0005-0000-0000-0000032D0000}"/>
    <cellStyle name="Input 12 2 4 2 2 2 4" xfId="11733" xr:uid="{00000000-0005-0000-0000-0000042D0000}"/>
    <cellStyle name="Input 12 2 4 2 2 2 5" xfId="11734" xr:uid="{00000000-0005-0000-0000-0000052D0000}"/>
    <cellStyle name="Input 12 2 4 2 2 2 6" xfId="11735" xr:uid="{00000000-0005-0000-0000-0000062D0000}"/>
    <cellStyle name="Input 12 2 4 2 2 3" xfId="11736" xr:uid="{00000000-0005-0000-0000-0000072D0000}"/>
    <cellStyle name="Input 12 2 4 2 2 3 2" xfId="11737" xr:uid="{00000000-0005-0000-0000-0000082D0000}"/>
    <cellStyle name="Input 12 2 4 2 2 4" xfId="11738" xr:uid="{00000000-0005-0000-0000-0000092D0000}"/>
    <cellStyle name="Input 12 2 4 2 2 4 2" xfId="11739" xr:uid="{00000000-0005-0000-0000-00000A2D0000}"/>
    <cellStyle name="Input 12 2 4 2 2 5" xfId="11740" xr:uid="{00000000-0005-0000-0000-00000B2D0000}"/>
    <cellStyle name="Input 12 2 4 2 2 6" xfId="11741" xr:uid="{00000000-0005-0000-0000-00000C2D0000}"/>
    <cellStyle name="Input 12 2 4 2 2 7" xfId="11742" xr:uid="{00000000-0005-0000-0000-00000D2D0000}"/>
    <cellStyle name="Input 12 2 4 2 3" xfId="11743" xr:uid="{00000000-0005-0000-0000-00000E2D0000}"/>
    <cellStyle name="Input 12 2 4 2 3 2" xfId="11744" xr:uid="{00000000-0005-0000-0000-00000F2D0000}"/>
    <cellStyle name="Input 12 2 4 2 3 2 2" xfId="11745" xr:uid="{00000000-0005-0000-0000-0000102D0000}"/>
    <cellStyle name="Input 12 2 4 2 3 3" xfId="11746" xr:uid="{00000000-0005-0000-0000-0000112D0000}"/>
    <cellStyle name="Input 12 2 4 2 3 3 2" xfId="11747" xr:uid="{00000000-0005-0000-0000-0000122D0000}"/>
    <cellStyle name="Input 12 2 4 2 3 4" xfId="11748" xr:uid="{00000000-0005-0000-0000-0000132D0000}"/>
    <cellStyle name="Input 12 2 4 2 3 5" xfId="11749" xr:uid="{00000000-0005-0000-0000-0000142D0000}"/>
    <cellStyle name="Input 12 2 4 2 3 6" xfId="11750" xr:uid="{00000000-0005-0000-0000-0000152D0000}"/>
    <cellStyle name="Input 12 2 4 2 4" xfId="11751" xr:uid="{00000000-0005-0000-0000-0000162D0000}"/>
    <cellStyle name="Input 12 2 4 2 4 2" xfId="11752" xr:uid="{00000000-0005-0000-0000-0000172D0000}"/>
    <cellStyle name="Input 12 2 4 2 5" xfId="11753" xr:uid="{00000000-0005-0000-0000-0000182D0000}"/>
    <cellStyle name="Input 12 2 4 2 5 2" xfId="11754" xr:uid="{00000000-0005-0000-0000-0000192D0000}"/>
    <cellStyle name="Input 12 2 4 2 6" xfId="11755" xr:uid="{00000000-0005-0000-0000-00001A2D0000}"/>
    <cellStyle name="Input 12 2 4 2 7" xfId="11756" xr:uid="{00000000-0005-0000-0000-00001B2D0000}"/>
    <cellStyle name="Input 12 2 4 2 8" xfId="11757" xr:uid="{00000000-0005-0000-0000-00001C2D0000}"/>
    <cellStyle name="Input 12 2 4 3" xfId="11758" xr:uid="{00000000-0005-0000-0000-00001D2D0000}"/>
    <cellStyle name="Input 12 2 4 3 2" xfId="11759" xr:uid="{00000000-0005-0000-0000-00001E2D0000}"/>
    <cellStyle name="Input 12 2 4 3 2 2" xfId="11760" xr:uid="{00000000-0005-0000-0000-00001F2D0000}"/>
    <cellStyle name="Input 12 2 4 3 2 2 2" xfId="11761" xr:uid="{00000000-0005-0000-0000-0000202D0000}"/>
    <cellStyle name="Input 12 2 4 3 2 2 2 2" xfId="11762" xr:uid="{00000000-0005-0000-0000-0000212D0000}"/>
    <cellStyle name="Input 12 2 4 3 2 2 3" xfId="11763" xr:uid="{00000000-0005-0000-0000-0000222D0000}"/>
    <cellStyle name="Input 12 2 4 3 2 2 3 2" xfId="11764" xr:uid="{00000000-0005-0000-0000-0000232D0000}"/>
    <cellStyle name="Input 12 2 4 3 2 2 4" xfId="11765" xr:uid="{00000000-0005-0000-0000-0000242D0000}"/>
    <cellStyle name="Input 12 2 4 3 2 2 5" xfId="11766" xr:uid="{00000000-0005-0000-0000-0000252D0000}"/>
    <cellStyle name="Input 12 2 4 3 2 2 6" xfId="11767" xr:uid="{00000000-0005-0000-0000-0000262D0000}"/>
    <cellStyle name="Input 12 2 4 3 2 3" xfId="11768" xr:uid="{00000000-0005-0000-0000-0000272D0000}"/>
    <cellStyle name="Input 12 2 4 3 2 3 2" xfId="11769" xr:uid="{00000000-0005-0000-0000-0000282D0000}"/>
    <cellStyle name="Input 12 2 4 3 2 4" xfId="11770" xr:uid="{00000000-0005-0000-0000-0000292D0000}"/>
    <cellStyle name="Input 12 2 4 3 2 4 2" xfId="11771" xr:uid="{00000000-0005-0000-0000-00002A2D0000}"/>
    <cellStyle name="Input 12 2 4 3 2 5" xfId="11772" xr:uid="{00000000-0005-0000-0000-00002B2D0000}"/>
    <cellStyle name="Input 12 2 4 3 2 6" xfId="11773" xr:uid="{00000000-0005-0000-0000-00002C2D0000}"/>
    <cellStyle name="Input 12 2 4 3 2 7" xfId="11774" xr:uid="{00000000-0005-0000-0000-00002D2D0000}"/>
    <cellStyle name="Input 12 2 4 3 3" xfId="11775" xr:uid="{00000000-0005-0000-0000-00002E2D0000}"/>
    <cellStyle name="Input 12 2 4 3 3 2" xfId="11776" xr:uid="{00000000-0005-0000-0000-00002F2D0000}"/>
    <cellStyle name="Input 12 2 4 3 3 2 2" xfId="11777" xr:uid="{00000000-0005-0000-0000-0000302D0000}"/>
    <cellStyle name="Input 12 2 4 3 3 3" xfId="11778" xr:uid="{00000000-0005-0000-0000-0000312D0000}"/>
    <cellStyle name="Input 12 2 4 3 3 3 2" xfId="11779" xr:uid="{00000000-0005-0000-0000-0000322D0000}"/>
    <cellStyle name="Input 12 2 4 3 3 4" xfId="11780" xr:uid="{00000000-0005-0000-0000-0000332D0000}"/>
    <cellStyle name="Input 12 2 4 3 3 5" xfId="11781" xr:uid="{00000000-0005-0000-0000-0000342D0000}"/>
    <cellStyle name="Input 12 2 4 3 3 6" xfId="11782" xr:uid="{00000000-0005-0000-0000-0000352D0000}"/>
    <cellStyle name="Input 12 2 4 3 4" xfId="11783" xr:uid="{00000000-0005-0000-0000-0000362D0000}"/>
    <cellStyle name="Input 12 2 4 3 4 2" xfId="11784" xr:uid="{00000000-0005-0000-0000-0000372D0000}"/>
    <cellStyle name="Input 12 2 4 3 5" xfId="11785" xr:uid="{00000000-0005-0000-0000-0000382D0000}"/>
    <cellStyle name="Input 12 2 4 3 5 2" xfId="11786" xr:uid="{00000000-0005-0000-0000-0000392D0000}"/>
    <cellStyle name="Input 12 2 4 3 6" xfId="11787" xr:uid="{00000000-0005-0000-0000-00003A2D0000}"/>
    <cellStyle name="Input 12 2 4 3 7" xfId="11788" xr:uid="{00000000-0005-0000-0000-00003B2D0000}"/>
    <cellStyle name="Input 12 2 4 3 8" xfId="11789" xr:uid="{00000000-0005-0000-0000-00003C2D0000}"/>
    <cellStyle name="Input 12 2 4 4" xfId="11790" xr:uid="{00000000-0005-0000-0000-00003D2D0000}"/>
    <cellStyle name="Input 12 2 4 4 2" xfId="11791" xr:uid="{00000000-0005-0000-0000-00003E2D0000}"/>
    <cellStyle name="Input 12 2 4 4 2 2" xfId="11792" xr:uid="{00000000-0005-0000-0000-00003F2D0000}"/>
    <cellStyle name="Input 12 2 4 4 2 2 2" xfId="11793" xr:uid="{00000000-0005-0000-0000-0000402D0000}"/>
    <cellStyle name="Input 12 2 4 4 2 3" xfId="11794" xr:uid="{00000000-0005-0000-0000-0000412D0000}"/>
    <cellStyle name="Input 12 2 4 4 2 3 2" xfId="11795" xr:uid="{00000000-0005-0000-0000-0000422D0000}"/>
    <cellStyle name="Input 12 2 4 4 2 4" xfId="11796" xr:uid="{00000000-0005-0000-0000-0000432D0000}"/>
    <cellStyle name="Input 12 2 4 4 2 5" xfId="11797" xr:uid="{00000000-0005-0000-0000-0000442D0000}"/>
    <cellStyle name="Input 12 2 4 4 2 6" xfId="11798" xr:uid="{00000000-0005-0000-0000-0000452D0000}"/>
    <cellStyle name="Input 12 2 4 4 3" xfId="11799" xr:uid="{00000000-0005-0000-0000-0000462D0000}"/>
    <cellStyle name="Input 12 2 4 4 3 2" xfId="11800" xr:uid="{00000000-0005-0000-0000-0000472D0000}"/>
    <cellStyle name="Input 12 2 4 4 4" xfId="11801" xr:uid="{00000000-0005-0000-0000-0000482D0000}"/>
    <cellStyle name="Input 12 2 4 4 4 2" xfId="11802" xr:uid="{00000000-0005-0000-0000-0000492D0000}"/>
    <cellStyle name="Input 12 2 4 4 5" xfId="11803" xr:uid="{00000000-0005-0000-0000-00004A2D0000}"/>
    <cellStyle name="Input 12 2 4 4 6" xfId="11804" xr:uid="{00000000-0005-0000-0000-00004B2D0000}"/>
    <cellStyle name="Input 12 2 4 4 7" xfId="11805" xr:uid="{00000000-0005-0000-0000-00004C2D0000}"/>
    <cellStyle name="Input 12 2 4 5" xfId="11806" xr:uid="{00000000-0005-0000-0000-00004D2D0000}"/>
    <cellStyle name="Input 12 2 4 5 2" xfId="11807" xr:uid="{00000000-0005-0000-0000-00004E2D0000}"/>
    <cellStyle name="Input 12 2 4 5 2 2" xfId="11808" xr:uid="{00000000-0005-0000-0000-00004F2D0000}"/>
    <cellStyle name="Input 12 2 4 5 3" xfId="11809" xr:uid="{00000000-0005-0000-0000-0000502D0000}"/>
    <cellStyle name="Input 12 2 4 5 3 2" xfId="11810" xr:uid="{00000000-0005-0000-0000-0000512D0000}"/>
    <cellStyle name="Input 12 2 4 5 4" xfId="11811" xr:uid="{00000000-0005-0000-0000-0000522D0000}"/>
    <cellStyle name="Input 12 2 4 5 5" xfId="11812" xr:uid="{00000000-0005-0000-0000-0000532D0000}"/>
    <cellStyle name="Input 12 2 4 5 6" xfId="11813" xr:uid="{00000000-0005-0000-0000-0000542D0000}"/>
    <cellStyle name="Input 12 2 4 6" xfId="11814" xr:uid="{00000000-0005-0000-0000-0000552D0000}"/>
    <cellStyle name="Input 12 2 4 6 2" xfId="11815" xr:uid="{00000000-0005-0000-0000-0000562D0000}"/>
    <cellStyle name="Input 12 2 4 7" xfId="11816" xr:uid="{00000000-0005-0000-0000-0000572D0000}"/>
    <cellStyle name="Input 12 2 4 7 2" xfId="11817" xr:uid="{00000000-0005-0000-0000-0000582D0000}"/>
    <cellStyle name="Input 12 2 4 8" xfId="11818" xr:uid="{00000000-0005-0000-0000-0000592D0000}"/>
    <cellStyle name="Input 12 2 4 9" xfId="11819" xr:uid="{00000000-0005-0000-0000-00005A2D0000}"/>
    <cellStyle name="Input 12 2 5" xfId="11820" xr:uid="{00000000-0005-0000-0000-00005B2D0000}"/>
    <cellStyle name="Input 12 2 5 2" xfId="11821" xr:uid="{00000000-0005-0000-0000-00005C2D0000}"/>
    <cellStyle name="Input 12 2 5 2 2" xfId="11822" xr:uid="{00000000-0005-0000-0000-00005D2D0000}"/>
    <cellStyle name="Input 12 2 5 2 2 2" xfId="11823" xr:uid="{00000000-0005-0000-0000-00005E2D0000}"/>
    <cellStyle name="Input 12 2 5 2 2 2 2" xfId="11824" xr:uid="{00000000-0005-0000-0000-00005F2D0000}"/>
    <cellStyle name="Input 12 2 5 2 2 3" xfId="11825" xr:uid="{00000000-0005-0000-0000-0000602D0000}"/>
    <cellStyle name="Input 12 2 5 2 2 3 2" xfId="11826" xr:uid="{00000000-0005-0000-0000-0000612D0000}"/>
    <cellStyle name="Input 12 2 5 2 2 4" xfId="11827" xr:uid="{00000000-0005-0000-0000-0000622D0000}"/>
    <cellStyle name="Input 12 2 5 2 2 5" xfId="11828" xr:uid="{00000000-0005-0000-0000-0000632D0000}"/>
    <cellStyle name="Input 12 2 5 2 2 6" xfId="11829" xr:uid="{00000000-0005-0000-0000-0000642D0000}"/>
    <cellStyle name="Input 12 2 5 2 3" xfId="11830" xr:uid="{00000000-0005-0000-0000-0000652D0000}"/>
    <cellStyle name="Input 12 2 5 2 3 2" xfId="11831" xr:uid="{00000000-0005-0000-0000-0000662D0000}"/>
    <cellStyle name="Input 12 2 5 2 4" xfId="11832" xr:uid="{00000000-0005-0000-0000-0000672D0000}"/>
    <cellStyle name="Input 12 2 5 2 4 2" xfId="11833" xr:uid="{00000000-0005-0000-0000-0000682D0000}"/>
    <cellStyle name="Input 12 2 5 2 5" xfId="11834" xr:uid="{00000000-0005-0000-0000-0000692D0000}"/>
    <cellStyle name="Input 12 2 5 2 6" xfId="11835" xr:uid="{00000000-0005-0000-0000-00006A2D0000}"/>
    <cellStyle name="Input 12 2 5 2 7" xfId="11836" xr:uid="{00000000-0005-0000-0000-00006B2D0000}"/>
    <cellStyle name="Input 12 2 5 3" xfId="11837" xr:uid="{00000000-0005-0000-0000-00006C2D0000}"/>
    <cellStyle name="Input 12 2 5 3 2" xfId="11838" xr:uid="{00000000-0005-0000-0000-00006D2D0000}"/>
    <cellStyle name="Input 12 2 5 3 2 2" xfId="11839" xr:uid="{00000000-0005-0000-0000-00006E2D0000}"/>
    <cellStyle name="Input 12 2 5 3 3" xfId="11840" xr:uid="{00000000-0005-0000-0000-00006F2D0000}"/>
    <cellStyle name="Input 12 2 5 3 3 2" xfId="11841" xr:uid="{00000000-0005-0000-0000-0000702D0000}"/>
    <cellStyle name="Input 12 2 5 3 4" xfId="11842" xr:uid="{00000000-0005-0000-0000-0000712D0000}"/>
    <cellStyle name="Input 12 2 5 3 5" xfId="11843" xr:uid="{00000000-0005-0000-0000-0000722D0000}"/>
    <cellStyle name="Input 12 2 5 3 6" xfId="11844" xr:uid="{00000000-0005-0000-0000-0000732D0000}"/>
    <cellStyle name="Input 12 2 5 4" xfId="11845" xr:uid="{00000000-0005-0000-0000-0000742D0000}"/>
    <cellStyle name="Input 12 2 5 4 2" xfId="11846" xr:uid="{00000000-0005-0000-0000-0000752D0000}"/>
    <cellStyle name="Input 12 2 5 5" xfId="11847" xr:uid="{00000000-0005-0000-0000-0000762D0000}"/>
    <cellStyle name="Input 12 2 5 5 2" xfId="11848" xr:uid="{00000000-0005-0000-0000-0000772D0000}"/>
    <cellStyle name="Input 12 2 5 6" xfId="11849" xr:uid="{00000000-0005-0000-0000-0000782D0000}"/>
    <cellStyle name="Input 12 2 5 7" xfId="11850" xr:uid="{00000000-0005-0000-0000-0000792D0000}"/>
    <cellStyle name="Input 12 2 5 8" xfId="11851" xr:uid="{00000000-0005-0000-0000-00007A2D0000}"/>
    <cellStyle name="Input 12 2 6" xfId="11852" xr:uid="{00000000-0005-0000-0000-00007B2D0000}"/>
    <cellStyle name="Input 12 2 6 2" xfId="11853" xr:uid="{00000000-0005-0000-0000-00007C2D0000}"/>
    <cellStyle name="Input 12 2 6 2 2" xfId="11854" xr:uid="{00000000-0005-0000-0000-00007D2D0000}"/>
    <cellStyle name="Input 12 2 6 2 2 2" xfId="11855" xr:uid="{00000000-0005-0000-0000-00007E2D0000}"/>
    <cellStyle name="Input 12 2 6 2 3" xfId="11856" xr:uid="{00000000-0005-0000-0000-00007F2D0000}"/>
    <cellStyle name="Input 12 2 6 2 3 2" xfId="11857" xr:uid="{00000000-0005-0000-0000-0000802D0000}"/>
    <cellStyle name="Input 12 2 6 2 4" xfId="11858" xr:uid="{00000000-0005-0000-0000-0000812D0000}"/>
    <cellStyle name="Input 12 2 6 2 5" xfId="11859" xr:uid="{00000000-0005-0000-0000-0000822D0000}"/>
    <cellStyle name="Input 12 2 6 2 6" xfId="11860" xr:uid="{00000000-0005-0000-0000-0000832D0000}"/>
    <cellStyle name="Input 12 2 6 3" xfId="11861" xr:uid="{00000000-0005-0000-0000-0000842D0000}"/>
    <cellStyle name="Input 12 2 6 3 2" xfId="11862" xr:uid="{00000000-0005-0000-0000-0000852D0000}"/>
    <cellStyle name="Input 12 2 6 4" xfId="11863" xr:uid="{00000000-0005-0000-0000-0000862D0000}"/>
    <cellStyle name="Input 12 2 6 4 2" xfId="11864" xr:uid="{00000000-0005-0000-0000-0000872D0000}"/>
    <cellStyle name="Input 12 2 6 5" xfId="11865" xr:uid="{00000000-0005-0000-0000-0000882D0000}"/>
    <cellStyle name="Input 12 2 6 6" xfId="11866" xr:uid="{00000000-0005-0000-0000-0000892D0000}"/>
    <cellStyle name="Input 12 2 6 7" xfId="11867" xr:uid="{00000000-0005-0000-0000-00008A2D0000}"/>
    <cellStyle name="Input 12 2 7" xfId="11868" xr:uid="{00000000-0005-0000-0000-00008B2D0000}"/>
    <cellStyle name="Input 12 2 7 2" xfId="11869" xr:uid="{00000000-0005-0000-0000-00008C2D0000}"/>
    <cellStyle name="Input 12 2 7 2 2" xfId="11870" xr:uid="{00000000-0005-0000-0000-00008D2D0000}"/>
    <cellStyle name="Input 12 2 7 3" xfId="11871" xr:uid="{00000000-0005-0000-0000-00008E2D0000}"/>
    <cellStyle name="Input 12 2 7 3 2" xfId="11872" xr:uid="{00000000-0005-0000-0000-00008F2D0000}"/>
    <cellStyle name="Input 12 2 7 4" xfId="11873" xr:uid="{00000000-0005-0000-0000-0000902D0000}"/>
    <cellStyle name="Input 12 2 7 5" xfId="11874" xr:uid="{00000000-0005-0000-0000-0000912D0000}"/>
    <cellStyle name="Input 12 2 7 6" xfId="11875" xr:uid="{00000000-0005-0000-0000-0000922D0000}"/>
    <cellStyle name="Input 12 2 8" xfId="11876" xr:uid="{00000000-0005-0000-0000-0000932D0000}"/>
    <cellStyle name="Input 12 2 8 2" xfId="11877" xr:uid="{00000000-0005-0000-0000-0000942D0000}"/>
    <cellStyle name="Input 12 2 9" xfId="11878" xr:uid="{00000000-0005-0000-0000-0000952D0000}"/>
    <cellStyle name="Input 12 2 9 2" xfId="11879" xr:uid="{00000000-0005-0000-0000-0000962D0000}"/>
    <cellStyle name="Input 12 3" xfId="11880" xr:uid="{00000000-0005-0000-0000-0000972D0000}"/>
    <cellStyle name="Input 12 3 10" xfId="11881" xr:uid="{00000000-0005-0000-0000-0000982D0000}"/>
    <cellStyle name="Input 12 3 11" xfId="11882" xr:uid="{00000000-0005-0000-0000-0000992D0000}"/>
    <cellStyle name="Input 12 3 2" xfId="11883" xr:uid="{00000000-0005-0000-0000-00009A2D0000}"/>
    <cellStyle name="Input 12 3 2 10" xfId="11884" xr:uid="{00000000-0005-0000-0000-00009B2D0000}"/>
    <cellStyle name="Input 12 3 2 2" xfId="11885" xr:uid="{00000000-0005-0000-0000-00009C2D0000}"/>
    <cellStyle name="Input 12 3 2 2 10" xfId="11886" xr:uid="{00000000-0005-0000-0000-00009D2D0000}"/>
    <cellStyle name="Input 12 3 2 2 2" xfId="11887" xr:uid="{00000000-0005-0000-0000-00009E2D0000}"/>
    <cellStyle name="Input 12 3 2 2 2 2" xfId="11888" xr:uid="{00000000-0005-0000-0000-00009F2D0000}"/>
    <cellStyle name="Input 12 3 2 2 2 2 2" xfId="11889" xr:uid="{00000000-0005-0000-0000-0000A02D0000}"/>
    <cellStyle name="Input 12 3 2 2 2 2 2 2" xfId="11890" xr:uid="{00000000-0005-0000-0000-0000A12D0000}"/>
    <cellStyle name="Input 12 3 2 2 2 2 2 2 2" xfId="11891" xr:uid="{00000000-0005-0000-0000-0000A22D0000}"/>
    <cellStyle name="Input 12 3 2 2 2 2 2 3" xfId="11892" xr:uid="{00000000-0005-0000-0000-0000A32D0000}"/>
    <cellStyle name="Input 12 3 2 2 2 2 2 3 2" xfId="11893" xr:uid="{00000000-0005-0000-0000-0000A42D0000}"/>
    <cellStyle name="Input 12 3 2 2 2 2 2 4" xfId="11894" xr:uid="{00000000-0005-0000-0000-0000A52D0000}"/>
    <cellStyle name="Input 12 3 2 2 2 2 2 5" xfId="11895" xr:uid="{00000000-0005-0000-0000-0000A62D0000}"/>
    <cellStyle name="Input 12 3 2 2 2 2 2 6" xfId="11896" xr:uid="{00000000-0005-0000-0000-0000A72D0000}"/>
    <cellStyle name="Input 12 3 2 2 2 2 3" xfId="11897" xr:uid="{00000000-0005-0000-0000-0000A82D0000}"/>
    <cellStyle name="Input 12 3 2 2 2 2 3 2" xfId="11898" xr:uid="{00000000-0005-0000-0000-0000A92D0000}"/>
    <cellStyle name="Input 12 3 2 2 2 2 4" xfId="11899" xr:uid="{00000000-0005-0000-0000-0000AA2D0000}"/>
    <cellStyle name="Input 12 3 2 2 2 2 4 2" xfId="11900" xr:uid="{00000000-0005-0000-0000-0000AB2D0000}"/>
    <cellStyle name="Input 12 3 2 2 2 2 5" xfId="11901" xr:uid="{00000000-0005-0000-0000-0000AC2D0000}"/>
    <cellStyle name="Input 12 3 2 2 2 2 6" xfId="11902" xr:uid="{00000000-0005-0000-0000-0000AD2D0000}"/>
    <cellStyle name="Input 12 3 2 2 2 2 7" xfId="11903" xr:uid="{00000000-0005-0000-0000-0000AE2D0000}"/>
    <cellStyle name="Input 12 3 2 2 2 3" xfId="11904" xr:uid="{00000000-0005-0000-0000-0000AF2D0000}"/>
    <cellStyle name="Input 12 3 2 2 2 3 2" xfId="11905" xr:uid="{00000000-0005-0000-0000-0000B02D0000}"/>
    <cellStyle name="Input 12 3 2 2 2 3 2 2" xfId="11906" xr:uid="{00000000-0005-0000-0000-0000B12D0000}"/>
    <cellStyle name="Input 12 3 2 2 2 3 3" xfId="11907" xr:uid="{00000000-0005-0000-0000-0000B22D0000}"/>
    <cellStyle name="Input 12 3 2 2 2 3 3 2" xfId="11908" xr:uid="{00000000-0005-0000-0000-0000B32D0000}"/>
    <cellStyle name="Input 12 3 2 2 2 3 4" xfId="11909" xr:uid="{00000000-0005-0000-0000-0000B42D0000}"/>
    <cellStyle name="Input 12 3 2 2 2 3 5" xfId="11910" xr:uid="{00000000-0005-0000-0000-0000B52D0000}"/>
    <cellStyle name="Input 12 3 2 2 2 3 6" xfId="11911" xr:uid="{00000000-0005-0000-0000-0000B62D0000}"/>
    <cellStyle name="Input 12 3 2 2 2 4" xfId="11912" xr:uid="{00000000-0005-0000-0000-0000B72D0000}"/>
    <cellStyle name="Input 12 3 2 2 2 4 2" xfId="11913" xr:uid="{00000000-0005-0000-0000-0000B82D0000}"/>
    <cellStyle name="Input 12 3 2 2 2 5" xfId="11914" xr:uid="{00000000-0005-0000-0000-0000B92D0000}"/>
    <cellStyle name="Input 12 3 2 2 2 5 2" xfId="11915" xr:uid="{00000000-0005-0000-0000-0000BA2D0000}"/>
    <cellStyle name="Input 12 3 2 2 2 6" xfId="11916" xr:uid="{00000000-0005-0000-0000-0000BB2D0000}"/>
    <cellStyle name="Input 12 3 2 2 2 7" xfId="11917" xr:uid="{00000000-0005-0000-0000-0000BC2D0000}"/>
    <cellStyle name="Input 12 3 2 2 2 8" xfId="11918" xr:uid="{00000000-0005-0000-0000-0000BD2D0000}"/>
    <cellStyle name="Input 12 3 2 2 3" xfId="11919" xr:uid="{00000000-0005-0000-0000-0000BE2D0000}"/>
    <cellStyle name="Input 12 3 2 2 3 2" xfId="11920" xr:uid="{00000000-0005-0000-0000-0000BF2D0000}"/>
    <cellStyle name="Input 12 3 2 2 3 2 2" xfId="11921" xr:uid="{00000000-0005-0000-0000-0000C02D0000}"/>
    <cellStyle name="Input 12 3 2 2 3 2 2 2" xfId="11922" xr:uid="{00000000-0005-0000-0000-0000C12D0000}"/>
    <cellStyle name="Input 12 3 2 2 3 2 2 2 2" xfId="11923" xr:uid="{00000000-0005-0000-0000-0000C22D0000}"/>
    <cellStyle name="Input 12 3 2 2 3 2 2 3" xfId="11924" xr:uid="{00000000-0005-0000-0000-0000C32D0000}"/>
    <cellStyle name="Input 12 3 2 2 3 2 2 3 2" xfId="11925" xr:uid="{00000000-0005-0000-0000-0000C42D0000}"/>
    <cellStyle name="Input 12 3 2 2 3 2 2 4" xfId="11926" xr:uid="{00000000-0005-0000-0000-0000C52D0000}"/>
    <cellStyle name="Input 12 3 2 2 3 2 2 5" xfId="11927" xr:uid="{00000000-0005-0000-0000-0000C62D0000}"/>
    <cellStyle name="Input 12 3 2 2 3 2 2 6" xfId="11928" xr:uid="{00000000-0005-0000-0000-0000C72D0000}"/>
    <cellStyle name="Input 12 3 2 2 3 2 3" xfId="11929" xr:uid="{00000000-0005-0000-0000-0000C82D0000}"/>
    <cellStyle name="Input 12 3 2 2 3 2 3 2" xfId="11930" xr:uid="{00000000-0005-0000-0000-0000C92D0000}"/>
    <cellStyle name="Input 12 3 2 2 3 2 4" xfId="11931" xr:uid="{00000000-0005-0000-0000-0000CA2D0000}"/>
    <cellStyle name="Input 12 3 2 2 3 2 4 2" xfId="11932" xr:uid="{00000000-0005-0000-0000-0000CB2D0000}"/>
    <cellStyle name="Input 12 3 2 2 3 2 5" xfId="11933" xr:uid="{00000000-0005-0000-0000-0000CC2D0000}"/>
    <cellStyle name="Input 12 3 2 2 3 2 6" xfId="11934" xr:uid="{00000000-0005-0000-0000-0000CD2D0000}"/>
    <cellStyle name="Input 12 3 2 2 3 2 7" xfId="11935" xr:uid="{00000000-0005-0000-0000-0000CE2D0000}"/>
    <cellStyle name="Input 12 3 2 2 3 3" xfId="11936" xr:uid="{00000000-0005-0000-0000-0000CF2D0000}"/>
    <cellStyle name="Input 12 3 2 2 3 3 2" xfId="11937" xr:uid="{00000000-0005-0000-0000-0000D02D0000}"/>
    <cellStyle name="Input 12 3 2 2 3 3 2 2" xfId="11938" xr:uid="{00000000-0005-0000-0000-0000D12D0000}"/>
    <cellStyle name="Input 12 3 2 2 3 3 3" xfId="11939" xr:uid="{00000000-0005-0000-0000-0000D22D0000}"/>
    <cellStyle name="Input 12 3 2 2 3 3 3 2" xfId="11940" xr:uid="{00000000-0005-0000-0000-0000D32D0000}"/>
    <cellStyle name="Input 12 3 2 2 3 3 4" xfId="11941" xr:uid="{00000000-0005-0000-0000-0000D42D0000}"/>
    <cellStyle name="Input 12 3 2 2 3 3 5" xfId="11942" xr:uid="{00000000-0005-0000-0000-0000D52D0000}"/>
    <cellStyle name="Input 12 3 2 2 3 3 6" xfId="11943" xr:uid="{00000000-0005-0000-0000-0000D62D0000}"/>
    <cellStyle name="Input 12 3 2 2 3 4" xfId="11944" xr:uid="{00000000-0005-0000-0000-0000D72D0000}"/>
    <cellStyle name="Input 12 3 2 2 3 4 2" xfId="11945" xr:uid="{00000000-0005-0000-0000-0000D82D0000}"/>
    <cellStyle name="Input 12 3 2 2 3 5" xfId="11946" xr:uid="{00000000-0005-0000-0000-0000D92D0000}"/>
    <cellStyle name="Input 12 3 2 2 3 5 2" xfId="11947" xr:uid="{00000000-0005-0000-0000-0000DA2D0000}"/>
    <cellStyle name="Input 12 3 2 2 3 6" xfId="11948" xr:uid="{00000000-0005-0000-0000-0000DB2D0000}"/>
    <cellStyle name="Input 12 3 2 2 3 7" xfId="11949" xr:uid="{00000000-0005-0000-0000-0000DC2D0000}"/>
    <cellStyle name="Input 12 3 2 2 3 8" xfId="11950" xr:uid="{00000000-0005-0000-0000-0000DD2D0000}"/>
    <cellStyle name="Input 12 3 2 2 4" xfId="11951" xr:uid="{00000000-0005-0000-0000-0000DE2D0000}"/>
    <cellStyle name="Input 12 3 2 2 4 2" xfId="11952" xr:uid="{00000000-0005-0000-0000-0000DF2D0000}"/>
    <cellStyle name="Input 12 3 2 2 4 2 2" xfId="11953" xr:uid="{00000000-0005-0000-0000-0000E02D0000}"/>
    <cellStyle name="Input 12 3 2 2 4 2 2 2" xfId="11954" xr:uid="{00000000-0005-0000-0000-0000E12D0000}"/>
    <cellStyle name="Input 12 3 2 2 4 2 3" xfId="11955" xr:uid="{00000000-0005-0000-0000-0000E22D0000}"/>
    <cellStyle name="Input 12 3 2 2 4 2 3 2" xfId="11956" xr:uid="{00000000-0005-0000-0000-0000E32D0000}"/>
    <cellStyle name="Input 12 3 2 2 4 2 4" xfId="11957" xr:uid="{00000000-0005-0000-0000-0000E42D0000}"/>
    <cellStyle name="Input 12 3 2 2 4 2 5" xfId="11958" xr:uid="{00000000-0005-0000-0000-0000E52D0000}"/>
    <cellStyle name="Input 12 3 2 2 4 2 6" xfId="11959" xr:uid="{00000000-0005-0000-0000-0000E62D0000}"/>
    <cellStyle name="Input 12 3 2 2 4 3" xfId="11960" xr:uid="{00000000-0005-0000-0000-0000E72D0000}"/>
    <cellStyle name="Input 12 3 2 2 4 3 2" xfId="11961" xr:uid="{00000000-0005-0000-0000-0000E82D0000}"/>
    <cellStyle name="Input 12 3 2 2 4 4" xfId="11962" xr:uid="{00000000-0005-0000-0000-0000E92D0000}"/>
    <cellStyle name="Input 12 3 2 2 4 4 2" xfId="11963" xr:uid="{00000000-0005-0000-0000-0000EA2D0000}"/>
    <cellStyle name="Input 12 3 2 2 4 5" xfId="11964" xr:uid="{00000000-0005-0000-0000-0000EB2D0000}"/>
    <cellStyle name="Input 12 3 2 2 4 6" xfId="11965" xr:uid="{00000000-0005-0000-0000-0000EC2D0000}"/>
    <cellStyle name="Input 12 3 2 2 4 7" xfId="11966" xr:uid="{00000000-0005-0000-0000-0000ED2D0000}"/>
    <cellStyle name="Input 12 3 2 2 5" xfId="11967" xr:uid="{00000000-0005-0000-0000-0000EE2D0000}"/>
    <cellStyle name="Input 12 3 2 2 5 2" xfId="11968" xr:uid="{00000000-0005-0000-0000-0000EF2D0000}"/>
    <cellStyle name="Input 12 3 2 2 5 2 2" xfId="11969" xr:uid="{00000000-0005-0000-0000-0000F02D0000}"/>
    <cellStyle name="Input 12 3 2 2 5 3" xfId="11970" xr:uid="{00000000-0005-0000-0000-0000F12D0000}"/>
    <cellStyle name="Input 12 3 2 2 5 3 2" xfId="11971" xr:uid="{00000000-0005-0000-0000-0000F22D0000}"/>
    <cellStyle name="Input 12 3 2 2 5 4" xfId="11972" xr:uid="{00000000-0005-0000-0000-0000F32D0000}"/>
    <cellStyle name="Input 12 3 2 2 5 5" xfId="11973" xr:uid="{00000000-0005-0000-0000-0000F42D0000}"/>
    <cellStyle name="Input 12 3 2 2 5 6" xfId="11974" xr:uid="{00000000-0005-0000-0000-0000F52D0000}"/>
    <cellStyle name="Input 12 3 2 2 6" xfId="11975" xr:uid="{00000000-0005-0000-0000-0000F62D0000}"/>
    <cellStyle name="Input 12 3 2 2 6 2" xfId="11976" xr:uid="{00000000-0005-0000-0000-0000F72D0000}"/>
    <cellStyle name="Input 12 3 2 2 7" xfId="11977" xr:uid="{00000000-0005-0000-0000-0000F82D0000}"/>
    <cellStyle name="Input 12 3 2 2 7 2" xfId="11978" xr:uid="{00000000-0005-0000-0000-0000F92D0000}"/>
    <cellStyle name="Input 12 3 2 2 8" xfId="11979" xr:uid="{00000000-0005-0000-0000-0000FA2D0000}"/>
    <cellStyle name="Input 12 3 2 2 9" xfId="11980" xr:uid="{00000000-0005-0000-0000-0000FB2D0000}"/>
    <cellStyle name="Input 12 3 2 3" xfId="11981" xr:uid="{00000000-0005-0000-0000-0000FC2D0000}"/>
    <cellStyle name="Input 12 3 2 3 2" xfId="11982" xr:uid="{00000000-0005-0000-0000-0000FD2D0000}"/>
    <cellStyle name="Input 12 3 2 3 2 2" xfId="11983" xr:uid="{00000000-0005-0000-0000-0000FE2D0000}"/>
    <cellStyle name="Input 12 3 2 3 2 2 2" xfId="11984" xr:uid="{00000000-0005-0000-0000-0000FF2D0000}"/>
    <cellStyle name="Input 12 3 2 3 2 2 2 2" xfId="11985" xr:uid="{00000000-0005-0000-0000-0000002E0000}"/>
    <cellStyle name="Input 12 3 2 3 2 2 3" xfId="11986" xr:uid="{00000000-0005-0000-0000-0000012E0000}"/>
    <cellStyle name="Input 12 3 2 3 2 2 3 2" xfId="11987" xr:uid="{00000000-0005-0000-0000-0000022E0000}"/>
    <cellStyle name="Input 12 3 2 3 2 2 4" xfId="11988" xr:uid="{00000000-0005-0000-0000-0000032E0000}"/>
    <cellStyle name="Input 12 3 2 3 2 2 5" xfId="11989" xr:uid="{00000000-0005-0000-0000-0000042E0000}"/>
    <cellStyle name="Input 12 3 2 3 2 2 6" xfId="11990" xr:uid="{00000000-0005-0000-0000-0000052E0000}"/>
    <cellStyle name="Input 12 3 2 3 2 3" xfId="11991" xr:uid="{00000000-0005-0000-0000-0000062E0000}"/>
    <cellStyle name="Input 12 3 2 3 2 3 2" xfId="11992" xr:uid="{00000000-0005-0000-0000-0000072E0000}"/>
    <cellStyle name="Input 12 3 2 3 2 4" xfId="11993" xr:uid="{00000000-0005-0000-0000-0000082E0000}"/>
    <cellStyle name="Input 12 3 2 3 2 4 2" xfId="11994" xr:uid="{00000000-0005-0000-0000-0000092E0000}"/>
    <cellStyle name="Input 12 3 2 3 2 5" xfId="11995" xr:uid="{00000000-0005-0000-0000-00000A2E0000}"/>
    <cellStyle name="Input 12 3 2 3 2 6" xfId="11996" xr:uid="{00000000-0005-0000-0000-00000B2E0000}"/>
    <cellStyle name="Input 12 3 2 3 2 7" xfId="11997" xr:uid="{00000000-0005-0000-0000-00000C2E0000}"/>
    <cellStyle name="Input 12 3 2 3 3" xfId="11998" xr:uid="{00000000-0005-0000-0000-00000D2E0000}"/>
    <cellStyle name="Input 12 3 2 3 3 2" xfId="11999" xr:uid="{00000000-0005-0000-0000-00000E2E0000}"/>
    <cellStyle name="Input 12 3 2 3 3 2 2" xfId="12000" xr:uid="{00000000-0005-0000-0000-00000F2E0000}"/>
    <cellStyle name="Input 12 3 2 3 3 3" xfId="12001" xr:uid="{00000000-0005-0000-0000-0000102E0000}"/>
    <cellStyle name="Input 12 3 2 3 3 3 2" xfId="12002" xr:uid="{00000000-0005-0000-0000-0000112E0000}"/>
    <cellStyle name="Input 12 3 2 3 3 4" xfId="12003" xr:uid="{00000000-0005-0000-0000-0000122E0000}"/>
    <cellStyle name="Input 12 3 2 3 3 5" xfId="12004" xr:uid="{00000000-0005-0000-0000-0000132E0000}"/>
    <cellStyle name="Input 12 3 2 3 3 6" xfId="12005" xr:uid="{00000000-0005-0000-0000-0000142E0000}"/>
    <cellStyle name="Input 12 3 2 3 4" xfId="12006" xr:uid="{00000000-0005-0000-0000-0000152E0000}"/>
    <cellStyle name="Input 12 3 2 3 4 2" xfId="12007" xr:uid="{00000000-0005-0000-0000-0000162E0000}"/>
    <cellStyle name="Input 12 3 2 3 5" xfId="12008" xr:uid="{00000000-0005-0000-0000-0000172E0000}"/>
    <cellStyle name="Input 12 3 2 3 5 2" xfId="12009" xr:uid="{00000000-0005-0000-0000-0000182E0000}"/>
    <cellStyle name="Input 12 3 2 3 6" xfId="12010" xr:uid="{00000000-0005-0000-0000-0000192E0000}"/>
    <cellStyle name="Input 12 3 2 3 7" xfId="12011" xr:uid="{00000000-0005-0000-0000-00001A2E0000}"/>
    <cellStyle name="Input 12 3 2 3 8" xfId="12012" xr:uid="{00000000-0005-0000-0000-00001B2E0000}"/>
    <cellStyle name="Input 12 3 2 4" xfId="12013" xr:uid="{00000000-0005-0000-0000-00001C2E0000}"/>
    <cellStyle name="Input 12 3 2 4 2" xfId="12014" xr:uid="{00000000-0005-0000-0000-00001D2E0000}"/>
    <cellStyle name="Input 12 3 2 4 2 2" xfId="12015" xr:uid="{00000000-0005-0000-0000-00001E2E0000}"/>
    <cellStyle name="Input 12 3 2 4 2 2 2" xfId="12016" xr:uid="{00000000-0005-0000-0000-00001F2E0000}"/>
    <cellStyle name="Input 12 3 2 4 2 3" xfId="12017" xr:uid="{00000000-0005-0000-0000-0000202E0000}"/>
    <cellStyle name="Input 12 3 2 4 2 3 2" xfId="12018" xr:uid="{00000000-0005-0000-0000-0000212E0000}"/>
    <cellStyle name="Input 12 3 2 4 2 4" xfId="12019" xr:uid="{00000000-0005-0000-0000-0000222E0000}"/>
    <cellStyle name="Input 12 3 2 4 2 5" xfId="12020" xr:uid="{00000000-0005-0000-0000-0000232E0000}"/>
    <cellStyle name="Input 12 3 2 4 2 6" xfId="12021" xr:uid="{00000000-0005-0000-0000-0000242E0000}"/>
    <cellStyle name="Input 12 3 2 4 3" xfId="12022" xr:uid="{00000000-0005-0000-0000-0000252E0000}"/>
    <cellStyle name="Input 12 3 2 4 3 2" xfId="12023" xr:uid="{00000000-0005-0000-0000-0000262E0000}"/>
    <cellStyle name="Input 12 3 2 4 4" xfId="12024" xr:uid="{00000000-0005-0000-0000-0000272E0000}"/>
    <cellStyle name="Input 12 3 2 4 4 2" xfId="12025" xr:uid="{00000000-0005-0000-0000-0000282E0000}"/>
    <cellStyle name="Input 12 3 2 4 5" xfId="12026" xr:uid="{00000000-0005-0000-0000-0000292E0000}"/>
    <cellStyle name="Input 12 3 2 4 6" xfId="12027" xr:uid="{00000000-0005-0000-0000-00002A2E0000}"/>
    <cellStyle name="Input 12 3 2 4 7" xfId="12028" xr:uid="{00000000-0005-0000-0000-00002B2E0000}"/>
    <cellStyle name="Input 12 3 2 5" xfId="12029" xr:uid="{00000000-0005-0000-0000-00002C2E0000}"/>
    <cellStyle name="Input 12 3 2 5 2" xfId="12030" xr:uid="{00000000-0005-0000-0000-00002D2E0000}"/>
    <cellStyle name="Input 12 3 2 5 2 2" xfId="12031" xr:uid="{00000000-0005-0000-0000-00002E2E0000}"/>
    <cellStyle name="Input 12 3 2 5 3" xfId="12032" xr:uid="{00000000-0005-0000-0000-00002F2E0000}"/>
    <cellStyle name="Input 12 3 2 5 3 2" xfId="12033" xr:uid="{00000000-0005-0000-0000-0000302E0000}"/>
    <cellStyle name="Input 12 3 2 5 4" xfId="12034" xr:uid="{00000000-0005-0000-0000-0000312E0000}"/>
    <cellStyle name="Input 12 3 2 5 5" xfId="12035" xr:uid="{00000000-0005-0000-0000-0000322E0000}"/>
    <cellStyle name="Input 12 3 2 5 6" xfId="12036" xr:uid="{00000000-0005-0000-0000-0000332E0000}"/>
    <cellStyle name="Input 12 3 2 6" xfId="12037" xr:uid="{00000000-0005-0000-0000-0000342E0000}"/>
    <cellStyle name="Input 12 3 2 6 2" xfId="12038" xr:uid="{00000000-0005-0000-0000-0000352E0000}"/>
    <cellStyle name="Input 12 3 2 7" xfId="12039" xr:uid="{00000000-0005-0000-0000-0000362E0000}"/>
    <cellStyle name="Input 12 3 2 7 2" xfId="12040" xr:uid="{00000000-0005-0000-0000-0000372E0000}"/>
    <cellStyle name="Input 12 3 2 8" xfId="12041" xr:uid="{00000000-0005-0000-0000-0000382E0000}"/>
    <cellStyle name="Input 12 3 2 9" xfId="12042" xr:uid="{00000000-0005-0000-0000-0000392E0000}"/>
    <cellStyle name="Input 12 3 3" xfId="12043" xr:uid="{00000000-0005-0000-0000-00003A2E0000}"/>
    <cellStyle name="Input 12 3 3 10" xfId="12044" xr:uid="{00000000-0005-0000-0000-00003B2E0000}"/>
    <cellStyle name="Input 12 3 3 2" xfId="12045" xr:uid="{00000000-0005-0000-0000-00003C2E0000}"/>
    <cellStyle name="Input 12 3 3 2 2" xfId="12046" xr:uid="{00000000-0005-0000-0000-00003D2E0000}"/>
    <cellStyle name="Input 12 3 3 2 2 2" xfId="12047" xr:uid="{00000000-0005-0000-0000-00003E2E0000}"/>
    <cellStyle name="Input 12 3 3 2 2 2 2" xfId="12048" xr:uid="{00000000-0005-0000-0000-00003F2E0000}"/>
    <cellStyle name="Input 12 3 3 2 2 2 2 2" xfId="12049" xr:uid="{00000000-0005-0000-0000-0000402E0000}"/>
    <cellStyle name="Input 12 3 3 2 2 2 3" xfId="12050" xr:uid="{00000000-0005-0000-0000-0000412E0000}"/>
    <cellStyle name="Input 12 3 3 2 2 2 3 2" xfId="12051" xr:uid="{00000000-0005-0000-0000-0000422E0000}"/>
    <cellStyle name="Input 12 3 3 2 2 2 4" xfId="12052" xr:uid="{00000000-0005-0000-0000-0000432E0000}"/>
    <cellStyle name="Input 12 3 3 2 2 2 5" xfId="12053" xr:uid="{00000000-0005-0000-0000-0000442E0000}"/>
    <cellStyle name="Input 12 3 3 2 2 2 6" xfId="12054" xr:uid="{00000000-0005-0000-0000-0000452E0000}"/>
    <cellStyle name="Input 12 3 3 2 2 3" xfId="12055" xr:uid="{00000000-0005-0000-0000-0000462E0000}"/>
    <cellStyle name="Input 12 3 3 2 2 3 2" xfId="12056" xr:uid="{00000000-0005-0000-0000-0000472E0000}"/>
    <cellStyle name="Input 12 3 3 2 2 4" xfId="12057" xr:uid="{00000000-0005-0000-0000-0000482E0000}"/>
    <cellStyle name="Input 12 3 3 2 2 4 2" xfId="12058" xr:uid="{00000000-0005-0000-0000-0000492E0000}"/>
    <cellStyle name="Input 12 3 3 2 2 5" xfId="12059" xr:uid="{00000000-0005-0000-0000-00004A2E0000}"/>
    <cellStyle name="Input 12 3 3 2 2 6" xfId="12060" xr:uid="{00000000-0005-0000-0000-00004B2E0000}"/>
    <cellStyle name="Input 12 3 3 2 2 7" xfId="12061" xr:uid="{00000000-0005-0000-0000-00004C2E0000}"/>
    <cellStyle name="Input 12 3 3 2 3" xfId="12062" xr:uid="{00000000-0005-0000-0000-00004D2E0000}"/>
    <cellStyle name="Input 12 3 3 2 3 2" xfId="12063" xr:uid="{00000000-0005-0000-0000-00004E2E0000}"/>
    <cellStyle name="Input 12 3 3 2 3 2 2" xfId="12064" xr:uid="{00000000-0005-0000-0000-00004F2E0000}"/>
    <cellStyle name="Input 12 3 3 2 3 3" xfId="12065" xr:uid="{00000000-0005-0000-0000-0000502E0000}"/>
    <cellStyle name="Input 12 3 3 2 3 3 2" xfId="12066" xr:uid="{00000000-0005-0000-0000-0000512E0000}"/>
    <cellStyle name="Input 12 3 3 2 3 4" xfId="12067" xr:uid="{00000000-0005-0000-0000-0000522E0000}"/>
    <cellStyle name="Input 12 3 3 2 3 5" xfId="12068" xr:uid="{00000000-0005-0000-0000-0000532E0000}"/>
    <cellStyle name="Input 12 3 3 2 3 6" xfId="12069" xr:uid="{00000000-0005-0000-0000-0000542E0000}"/>
    <cellStyle name="Input 12 3 3 2 4" xfId="12070" xr:uid="{00000000-0005-0000-0000-0000552E0000}"/>
    <cellStyle name="Input 12 3 3 2 4 2" xfId="12071" xr:uid="{00000000-0005-0000-0000-0000562E0000}"/>
    <cellStyle name="Input 12 3 3 2 5" xfId="12072" xr:uid="{00000000-0005-0000-0000-0000572E0000}"/>
    <cellStyle name="Input 12 3 3 2 5 2" xfId="12073" xr:uid="{00000000-0005-0000-0000-0000582E0000}"/>
    <cellStyle name="Input 12 3 3 2 6" xfId="12074" xr:uid="{00000000-0005-0000-0000-0000592E0000}"/>
    <cellStyle name="Input 12 3 3 2 7" xfId="12075" xr:uid="{00000000-0005-0000-0000-00005A2E0000}"/>
    <cellStyle name="Input 12 3 3 2 8" xfId="12076" xr:uid="{00000000-0005-0000-0000-00005B2E0000}"/>
    <cellStyle name="Input 12 3 3 3" xfId="12077" xr:uid="{00000000-0005-0000-0000-00005C2E0000}"/>
    <cellStyle name="Input 12 3 3 3 2" xfId="12078" xr:uid="{00000000-0005-0000-0000-00005D2E0000}"/>
    <cellStyle name="Input 12 3 3 3 2 2" xfId="12079" xr:uid="{00000000-0005-0000-0000-00005E2E0000}"/>
    <cellStyle name="Input 12 3 3 3 2 2 2" xfId="12080" xr:uid="{00000000-0005-0000-0000-00005F2E0000}"/>
    <cellStyle name="Input 12 3 3 3 2 2 2 2" xfId="12081" xr:uid="{00000000-0005-0000-0000-0000602E0000}"/>
    <cellStyle name="Input 12 3 3 3 2 2 3" xfId="12082" xr:uid="{00000000-0005-0000-0000-0000612E0000}"/>
    <cellStyle name="Input 12 3 3 3 2 2 3 2" xfId="12083" xr:uid="{00000000-0005-0000-0000-0000622E0000}"/>
    <cellStyle name="Input 12 3 3 3 2 2 4" xfId="12084" xr:uid="{00000000-0005-0000-0000-0000632E0000}"/>
    <cellStyle name="Input 12 3 3 3 2 2 5" xfId="12085" xr:uid="{00000000-0005-0000-0000-0000642E0000}"/>
    <cellStyle name="Input 12 3 3 3 2 2 6" xfId="12086" xr:uid="{00000000-0005-0000-0000-0000652E0000}"/>
    <cellStyle name="Input 12 3 3 3 2 3" xfId="12087" xr:uid="{00000000-0005-0000-0000-0000662E0000}"/>
    <cellStyle name="Input 12 3 3 3 2 3 2" xfId="12088" xr:uid="{00000000-0005-0000-0000-0000672E0000}"/>
    <cellStyle name="Input 12 3 3 3 2 4" xfId="12089" xr:uid="{00000000-0005-0000-0000-0000682E0000}"/>
    <cellStyle name="Input 12 3 3 3 2 4 2" xfId="12090" xr:uid="{00000000-0005-0000-0000-0000692E0000}"/>
    <cellStyle name="Input 12 3 3 3 2 5" xfId="12091" xr:uid="{00000000-0005-0000-0000-00006A2E0000}"/>
    <cellStyle name="Input 12 3 3 3 2 6" xfId="12092" xr:uid="{00000000-0005-0000-0000-00006B2E0000}"/>
    <cellStyle name="Input 12 3 3 3 2 7" xfId="12093" xr:uid="{00000000-0005-0000-0000-00006C2E0000}"/>
    <cellStyle name="Input 12 3 3 3 3" xfId="12094" xr:uid="{00000000-0005-0000-0000-00006D2E0000}"/>
    <cellStyle name="Input 12 3 3 3 3 2" xfId="12095" xr:uid="{00000000-0005-0000-0000-00006E2E0000}"/>
    <cellStyle name="Input 12 3 3 3 3 2 2" xfId="12096" xr:uid="{00000000-0005-0000-0000-00006F2E0000}"/>
    <cellStyle name="Input 12 3 3 3 3 3" xfId="12097" xr:uid="{00000000-0005-0000-0000-0000702E0000}"/>
    <cellStyle name="Input 12 3 3 3 3 3 2" xfId="12098" xr:uid="{00000000-0005-0000-0000-0000712E0000}"/>
    <cellStyle name="Input 12 3 3 3 3 4" xfId="12099" xr:uid="{00000000-0005-0000-0000-0000722E0000}"/>
    <cellStyle name="Input 12 3 3 3 3 5" xfId="12100" xr:uid="{00000000-0005-0000-0000-0000732E0000}"/>
    <cellStyle name="Input 12 3 3 3 3 6" xfId="12101" xr:uid="{00000000-0005-0000-0000-0000742E0000}"/>
    <cellStyle name="Input 12 3 3 3 4" xfId="12102" xr:uid="{00000000-0005-0000-0000-0000752E0000}"/>
    <cellStyle name="Input 12 3 3 3 4 2" xfId="12103" xr:uid="{00000000-0005-0000-0000-0000762E0000}"/>
    <cellStyle name="Input 12 3 3 3 5" xfId="12104" xr:uid="{00000000-0005-0000-0000-0000772E0000}"/>
    <cellStyle name="Input 12 3 3 3 5 2" xfId="12105" xr:uid="{00000000-0005-0000-0000-0000782E0000}"/>
    <cellStyle name="Input 12 3 3 3 6" xfId="12106" xr:uid="{00000000-0005-0000-0000-0000792E0000}"/>
    <cellStyle name="Input 12 3 3 3 7" xfId="12107" xr:uid="{00000000-0005-0000-0000-00007A2E0000}"/>
    <cellStyle name="Input 12 3 3 3 8" xfId="12108" xr:uid="{00000000-0005-0000-0000-00007B2E0000}"/>
    <cellStyle name="Input 12 3 3 4" xfId="12109" xr:uid="{00000000-0005-0000-0000-00007C2E0000}"/>
    <cellStyle name="Input 12 3 3 4 2" xfId="12110" xr:uid="{00000000-0005-0000-0000-00007D2E0000}"/>
    <cellStyle name="Input 12 3 3 4 2 2" xfId="12111" xr:uid="{00000000-0005-0000-0000-00007E2E0000}"/>
    <cellStyle name="Input 12 3 3 4 2 2 2" xfId="12112" xr:uid="{00000000-0005-0000-0000-00007F2E0000}"/>
    <cellStyle name="Input 12 3 3 4 2 3" xfId="12113" xr:uid="{00000000-0005-0000-0000-0000802E0000}"/>
    <cellStyle name="Input 12 3 3 4 2 3 2" xfId="12114" xr:uid="{00000000-0005-0000-0000-0000812E0000}"/>
    <cellStyle name="Input 12 3 3 4 2 4" xfId="12115" xr:uid="{00000000-0005-0000-0000-0000822E0000}"/>
    <cellStyle name="Input 12 3 3 4 2 5" xfId="12116" xr:uid="{00000000-0005-0000-0000-0000832E0000}"/>
    <cellStyle name="Input 12 3 3 4 2 6" xfId="12117" xr:uid="{00000000-0005-0000-0000-0000842E0000}"/>
    <cellStyle name="Input 12 3 3 4 3" xfId="12118" xr:uid="{00000000-0005-0000-0000-0000852E0000}"/>
    <cellStyle name="Input 12 3 3 4 3 2" xfId="12119" xr:uid="{00000000-0005-0000-0000-0000862E0000}"/>
    <cellStyle name="Input 12 3 3 4 4" xfId="12120" xr:uid="{00000000-0005-0000-0000-0000872E0000}"/>
    <cellStyle name="Input 12 3 3 4 4 2" xfId="12121" xr:uid="{00000000-0005-0000-0000-0000882E0000}"/>
    <cellStyle name="Input 12 3 3 4 5" xfId="12122" xr:uid="{00000000-0005-0000-0000-0000892E0000}"/>
    <cellStyle name="Input 12 3 3 4 6" xfId="12123" xr:uid="{00000000-0005-0000-0000-00008A2E0000}"/>
    <cellStyle name="Input 12 3 3 4 7" xfId="12124" xr:uid="{00000000-0005-0000-0000-00008B2E0000}"/>
    <cellStyle name="Input 12 3 3 5" xfId="12125" xr:uid="{00000000-0005-0000-0000-00008C2E0000}"/>
    <cellStyle name="Input 12 3 3 5 2" xfId="12126" xr:uid="{00000000-0005-0000-0000-00008D2E0000}"/>
    <cellStyle name="Input 12 3 3 5 2 2" xfId="12127" xr:uid="{00000000-0005-0000-0000-00008E2E0000}"/>
    <cellStyle name="Input 12 3 3 5 3" xfId="12128" xr:uid="{00000000-0005-0000-0000-00008F2E0000}"/>
    <cellStyle name="Input 12 3 3 5 3 2" xfId="12129" xr:uid="{00000000-0005-0000-0000-0000902E0000}"/>
    <cellStyle name="Input 12 3 3 5 4" xfId="12130" xr:uid="{00000000-0005-0000-0000-0000912E0000}"/>
    <cellStyle name="Input 12 3 3 5 5" xfId="12131" xr:uid="{00000000-0005-0000-0000-0000922E0000}"/>
    <cellStyle name="Input 12 3 3 5 6" xfId="12132" xr:uid="{00000000-0005-0000-0000-0000932E0000}"/>
    <cellStyle name="Input 12 3 3 6" xfId="12133" xr:uid="{00000000-0005-0000-0000-0000942E0000}"/>
    <cellStyle name="Input 12 3 3 6 2" xfId="12134" xr:uid="{00000000-0005-0000-0000-0000952E0000}"/>
    <cellStyle name="Input 12 3 3 7" xfId="12135" xr:uid="{00000000-0005-0000-0000-0000962E0000}"/>
    <cellStyle name="Input 12 3 3 7 2" xfId="12136" xr:uid="{00000000-0005-0000-0000-0000972E0000}"/>
    <cellStyle name="Input 12 3 3 8" xfId="12137" xr:uid="{00000000-0005-0000-0000-0000982E0000}"/>
    <cellStyle name="Input 12 3 3 9" xfId="12138" xr:uid="{00000000-0005-0000-0000-0000992E0000}"/>
    <cellStyle name="Input 12 3 4" xfId="12139" xr:uid="{00000000-0005-0000-0000-00009A2E0000}"/>
    <cellStyle name="Input 12 3 4 2" xfId="12140" xr:uid="{00000000-0005-0000-0000-00009B2E0000}"/>
    <cellStyle name="Input 12 3 4 2 2" xfId="12141" xr:uid="{00000000-0005-0000-0000-00009C2E0000}"/>
    <cellStyle name="Input 12 3 4 2 2 2" xfId="12142" xr:uid="{00000000-0005-0000-0000-00009D2E0000}"/>
    <cellStyle name="Input 12 3 4 2 2 2 2" xfId="12143" xr:uid="{00000000-0005-0000-0000-00009E2E0000}"/>
    <cellStyle name="Input 12 3 4 2 2 3" xfId="12144" xr:uid="{00000000-0005-0000-0000-00009F2E0000}"/>
    <cellStyle name="Input 12 3 4 2 2 3 2" xfId="12145" xr:uid="{00000000-0005-0000-0000-0000A02E0000}"/>
    <cellStyle name="Input 12 3 4 2 2 4" xfId="12146" xr:uid="{00000000-0005-0000-0000-0000A12E0000}"/>
    <cellStyle name="Input 12 3 4 2 2 5" xfId="12147" xr:uid="{00000000-0005-0000-0000-0000A22E0000}"/>
    <cellStyle name="Input 12 3 4 2 2 6" xfId="12148" xr:uid="{00000000-0005-0000-0000-0000A32E0000}"/>
    <cellStyle name="Input 12 3 4 2 3" xfId="12149" xr:uid="{00000000-0005-0000-0000-0000A42E0000}"/>
    <cellStyle name="Input 12 3 4 2 3 2" xfId="12150" xr:uid="{00000000-0005-0000-0000-0000A52E0000}"/>
    <cellStyle name="Input 12 3 4 2 4" xfId="12151" xr:uid="{00000000-0005-0000-0000-0000A62E0000}"/>
    <cellStyle name="Input 12 3 4 2 4 2" xfId="12152" xr:uid="{00000000-0005-0000-0000-0000A72E0000}"/>
    <cellStyle name="Input 12 3 4 2 5" xfId="12153" xr:uid="{00000000-0005-0000-0000-0000A82E0000}"/>
    <cellStyle name="Input 12 3 4 2 6" xfId="12154" xr:uid="{00000000-0005-0000-0000-0000A92E0000}"/>
    <cellStyle name="Input 12 3 4 2 7" xfId="12155" xr:uid="{00000000-0005-0000-0000-0000AA2E0000}"/>
    <cellStyle name="Input 12 3 4 3" xfId="12156" xr:uid="{00000000-0005-0000-0000-0000AB2E0000}"/>
    <cellStyle name="Input 12 3 4 3 2" xfId="12157" xr:uid="{00000000-0005-0000-0000-0000AC2E0000}"/>
    <cellStyle name="Input 12 3 4 3 2 2" xfId="12158" xr:uid="{00000000-0005-0000-0000-0000AD2E0000}"/>
    <cellStyle name="Input 12 3 4 3 3" xfId="12159" xr:uid="{00000000-0005-0000-0000-0000AE2E0000}"/>
    <cellStyle name="Input 12 3 4 3 3 2" xfId="12160" xr:uid="{00000000-0005-0000-0000-0000AF2E0000}"/>
    <cellStyle name="Input 12 3 4 3 4" xfId="12161" xr:uid="{00000000-0005-0000-0000-0000B02E0000}"/>
    <cellStyle name="Input 12 3 4 3 5" xfId="12162" xr:uid="{00000000-0005-0000-0000-0000B12E0000}"/>
    <cellStyle name="Input 12 3 4 3 6" xfId="12163" xr:uid="{00000000-0005-0000-0000-0000B22E0000}"/>
    <cellStyle name="Input 12 3 4 4" xfId="12164" xr:uid="{00000000-0005-0000-0000-0000B32E0000}"/>
    <cellStyle name="Input 12 3 4 4 2" xfId="12165" xr:uid="{00000000-0005-0000-0000-0000B42E0000}"/>
    <cellStyle name="Input 12 3 4 5" xfId="12166" xr:uid="{00000000-0005-0000-0000-0000B52E0000}"/>
    <cellStyle name="Input 12 3 4 5 2" xfId="12167" xr:uid="{00000000-0005-0000-0000-0000B62E0000}"/>
    <cellStyle name="Input 12 3 4 6" xfId="12168" xr:uid="{00000000-0005-0000-0000-0000B72E0000}"/>
    <cellStyle name="Input 12 3 4 7" xfId="12169" xr:uid="{00000000-0005-0000-0000-0000B82E0000}"/>
    <cellStyle name="Input 12 3 4 8" xfId="12170" xr:uid="{00000000-0005-0000-0000-0000B92E0000}"/>
    <cellStyle name="Input 12 3 5" xfId="12171" xr:uid="{00000000-0005-0000-0000-0000BA2E0000}"/>
    <cellStyle name="Input 12 3 5 2" xfId="12172" xr:uid="{00000000-0005-0000-0000-0000BB2E0000}"/>
    <cellStyle name="Input 12 3 5 2 2" xfId="12173" xr:uid="{00000000-0005-0000-0000-0000BC2E0000}"/>
    <cellStyle name="Input 12 3 5 2 2 2" xfId="12174" xr:uid="{00000000-0005-0000-0000-0000BD2E0000}"/>
    <cellStyle name="Input 12 3 5 2 3" xfId="12175" xr:uid="{00000000-0005-0000-0000-0000BE2E0000}"/>
    <cellStyle name="Input 12 3 5 2 3 2" xfId="12176" xr:uid="{00000000-0005-0000-0000-0000BF2E0000}"/>
    <cellStyle name="Input 12 3 5 2 4" xfId="12177" xr:uid="{00000000-0005-0000-0000-0000C02E0000}"/>
    <cellStyle name="Input 12 3 5 2 5" xfId="12178" xr:uid="{00000000-0005-0000-0000-0000C12E0000}"/>
    <cellStyle name="Input 12 3 5 2 6" xfId="12179" xr:uid="{00000000-0005-0000-0000-0000C22E0000}"/>
    <cellStyle name="Input 12 3 5 3" xfId="12180" xr:uid="{00000000-0005-0000-0000-0000C32E0000}"/>
    <cellStyle name="Input 12 3 5 3 2" xfId="12181" xr:uid="{00000000-0005-0000-0000-0000C42E0000}"/>
    <cellStyle name="Input 12 3 5 4" xfId="12182" xr:uid="{00000000-0005-0000-0000-0000C52E0000}"/>
    <cellStyle name="Input 12 3 5 4 2" xfId="12183" xr:uid="{00000000-0005-0000-0000-0000C62E0000}"/>
    <cellStyle name="Input 12 3 5 5" xfId="12184" xr:uid="{00000000-0005-0000-0000-0000C72E0000}"/>
    <cellStyle name="Input 12 3 5 6" xfId="12185" xr:uid="{00000000-0005-0000-0000-0000C82E0000}"/>
    <cellStyle name="Input 12 3 5 7" xfId="12186" xr:uid="{00000000-0005-0000-0000-0000C92E0000}"/>
    <cellStyle name="Input 12 3 6" xfId="12187" xr:uid="{00000000-0005-0000-0000-0000CA2E0000}"/>
    <cellStyle name="Input 12 3 6 2" xfId="12188" xr:uid="{00000000-0005-0000-0000-0000CB2E0000}"/>
    <cellStyle name="Input 12 3 6 2 2" xfId="12189" xr:uid="{00000000-0005-0000-0000-0000CC2E0000}"/>
    <cellStyle name="Input 12 3 6 3" xfId="12190" xr:uid="{00000000-0005-0000-0000-0000CD2E0000}"/>
    <cellStyle name="Input 12 3 6 3 2" xfId="12191" xr:uid="{00000000-0005-0000-0000-0000CE2E0000}"/>
    <cellStyle name="Input 12 3 6 4" xfId="12192" xr:uid="{00000000-0005-0000-0000-0000CF2E0000}"/>
    <cellStyle name="Input 12 3 6 5" xfId="12193" xr:uid="{00000000-0005-0000-0000-0000D02E0000}"/>
    <cellStyle name="Input 12 3 6 6" xfId="12194" xr:uid="{00000000-0005-0000-0000-0000D12E0000}"/>
    <cellStyle name="Input 12 3 7" xfId="12195" xr:uid="{00000000-0005-0000-0000-0000D22E0000}"/>
    <cellStyle name="Input 12 3 7 2" xfId="12196" xr:uid="{00000000-0005-0000-0000-0000D32E0000}"/>
    <cellStyle name="Input 12 3 8" xfId="12197" xr:uid="{00000000-0005-0000-0000-0000D42E0000}"/>
    <cellStyle name="Input 12 3 8 2" xfId="12198" xr:uid="{00000000-0005-0000-0000-0000D52E0000}"/>
    <cellStyle name="Input 12 3 9" xfId="12199" xr:uid="{00000000-0005-0000-0000-0000D62E0000}"/>
    <cellStyle name="Input 12 4" xfId="12200" xr:uid="{00000000-0005-0000-0000-0000D72E0000}"/>
    <cellStyle name="Input 12 4 10" xfId="12201" xr:uid="{00000000-0005-0000-0000-0000D82E0000}"/>
    <cellStyle name="Input 12 4 11" xfId="12202" xr:uid="{00000000-0005-0000-0000-0000D92E0000}"/>
    <cellStyle name="Input 12 4 2" xfId="12203" xr:uid="{00000000-0005-0000-0000-0000DA2E0000}"/>
    <cellStyle name="Input 12 4 2 10" xfId="12204" xr:uid="{00000000-0005-0000-0000-0000DB2E0000}"/>
    <cellStyle name="Input 12 4 2 2" xfId="12205" xr:uid="{00000000-0005-0000-0000-0000DC2E0000}"/>
    <cellStyle name="Input 12 4 2 2 2" xfId="12206" xr:uid="{00000000-0005-0000-0000-0000DD2E0000}"/>
    <cellStyle name="Input 12 4 2 2 2 2" xfId="12207" xr:uid="{00000000-0005-0000-0000-0000DE2E0000}"/>
    <cellStyle name="Input 12 4 2 2 2 2 2" xfId="12208" xr:uid="{00000000-0005-0000-0000-0000DF2E0000}"/>
    <cellStyle name="Input 12 4 2 2 2 2 2 2" xfId="12209" xr:uid="{00000000-0005-0000-0000-0000E02E0000}"/>
    <cellStyle name="Input 12 4 2 2 2 2 3" xfId="12210" xr:uid="{00000000-0005-0000-0000-0000E12E0000}"/>
    <cellStyle name="Input 12 4 2 2 2 2 3 2" xfId="12211" xr:uid="{00000000-0005-0000-0000-0000E22E0000}"/>
    <cellStyle name="Input 12 4 2 2 2 2 4" xfId="12212" xr:uid="{00000000-0005-0000-0000-0000E32E0000}"/>
    <cellStyle name="Input 12 4 2 2 2 2 5" xfId="12213" xr:uid="{00000000-0005-0000-0000-0000E42E0000}"/>
    <cellStyle name="Input 12 4 2 2 2 2 6" xfId="12214" xr:uid="{00000000-0005-0000-0000-0000E52E0000}"/>
    <cellStyle name="Input 12 4 2 2 2 3" xfId="12215" xr:uid="{00000000-0005-0000-0000-0000E62E0000}"/>
    <cellStyle name="Input 12 4 2 2 2 3 2" xfId="12216" xr:uid="{00000000-0005-0000-0000-0000E72E0000}"/>
    <cellStyle name="Input 12 4 2 2 2 4" xfId="12217" xr:uid="{00000000-0005-0000-0000-0000E82E0000}"/>
    <cellStyle name="Input 12 4 2 2 2 4 2" xfId="12218" xr:uid="{00000000-0005-0000-0000-0000E92E0000}"/>
    <cellStyle name="Input 12 4 2 2 2 5" xfId="12219" xr:uid="{00000000-0005-0000-0000-0000EA2E0000}"/>
    <cellStyle name="Input 12 4 2 2 2 6" xfId="12220" xr:uid="{00000000-0005-0000-0000-0000EB2E0000}"/>
    <cellStyle name="Input 12 4 2 2 2 7" xfId="12221" xr:uid="{00000000-0005-0000-0000-0000EC2E0000}"/>
    <cellStyle name="Input 12 4 2 2 3" xfId="12222" xr:uid="{00000000-0005-0000-0000-0000ED2E0000}"/>
    <cellStyle name="Input 12 4 2 2 3 2" xfId="12223" xr:uid="{00000000-0005-0000-0000-0000EE2E0000}"/>
    <cellStyle name="Input 12 4 2 2 3 2 2" xfId="12224" xr:uid="{00000000-0005-0000-0000-0000EF2E0000}"/>
    <cellStyle name="Input 12 4 2 2 3 3" xfId="12225" xr:uid="{00000000-0005-0000-0000-0000F02E0000}"/>
    <cellStyle name="Input 12 4 2 2 3 3 2" xfId="12226" xr:uid="{00000000-0005-0000-0000-0000F12E0000}"/>
    <cellStyle name="Input 12 4 2 2 3 4" xfId="12227" xr:uid="{00000000-0005-0000-0000-0000F22E0000}"/>
    <cellStyle name="Input 12 4 2 2 3 5" xfId="12228" xr:uid="{00000000-0005-0000-0000-0000F32E0000}"/>
    <cellStyle name="Input 12 4 2 2 3 6" xfId="12229" xr:uid="{00000000-0005-0000-0000-0000F42E0000}"/>
    <cellStyle name="Input 12 4 2 2 4" xfId="12230" xr:uid="{00000000-0005-0000-0000-0000F52E0000}"/>
    <cellStyle name="Input 12 4 2 2 4 2" xfId="12231" xr:uid="{00000000-0005-0000-0000-0000F62E0000}"/>
    <cellStyle name="Input 12 4 2 2 5" xfId="12232" xr:uid="{00000000-0005-0000-0000-0000F72E0000}"/>
    <cellStyle name="Input 12 4 2 2 5 2" xfId="12233" xr:uid="{00000000-0005-0000-0000-0000F82E0000}"/>
    <cellStyle name="Input 12 4 2 2 6" xfId="12234" xr:uid="{00000000-0005-0000-0000-0000F92E0000}"/>
    <cellStyle name="Input 12 4 2 2 7" xfId="12235" xr:uid="{00000000-0005-0000-0000-0000FA2E0000}"/>
    <cellStyle name="Input 12 4 2 2 8" xfId="12236" xr:uid="{00000000-0005-0000-0000-0000FB2E0000}"/>
    <cellStyle name="Input 12 4 2 3" xfId="12237" xr:uid="{00000000-0005-0000-0000-0000FC2E0000}"/>
    <cellStyle name="Input 12 4 2 3 2" xfId="12238" xr:uid="{00000000-0005-0000-0000-0000FD2E0000}"/>
    <cellStyle name="Input 12 4 2 3 2 2" xfId="12239" xr:uid="{00000000-0005-0000-0000-0000FE2E0000}"/>
    <cellStyle name="Input 12 4 2 3 2 2 2" xfId="12240" xr:uid="{00000000-0005-0000-0000-0000FF2E0000}"/>
    <cellStyle name="Input 12 4 2 3 2 2 2 2" xfId="12241" xr:uid="{00000000-0005-0000-0000-0000002F0000}"/>
    <cellStyle name="Input 12 4 2 3 2 2 3" xfId="12242" xr:uid="{00000000-0005-0000-0000-0000012F0000}"/>
    <cellStyle name="Input 12 4 2 3 2 2 3 2" xfId="12243" xr:uid="{00000000-0005-0000-0000-0000022F0000}"/>
    <cellStyle name="Input 12 4 2 3 2 2 4" xfId="12244" xr:uid="{00000000-0005-0000-0000-0000032F0000}"/>
    <cellStyle name="Input 12 4 2 3 2 2 5" xfId="12245" xr:uid="{00000000-0005-0000-0000-0000042F0000}"/>
    <cellStyle name="Input 12 4 2 3 2 2 6" xfId="12246" xr:uid="{00000000-0005-0000-0000-0000052F0000}"/>
    <cellStyle name="Input 12 4 2 3 2 3" xfId="12247" xr:uid="{00000000-0005-0000-0000-0000062F0000}"/>
    <cellStyle name="Input 12 4 2 3 2 3 2" xfId="12248" xr:uid="{00000000-0005-0000-0000-0000072F0000}"/>
    <cellStyle name="Input 12 4 2 3 2 4" xfId="12249" xr:uid="{00000000-0005-0000-0000-0000082F0000}"/>
    <cellStyle name="Input 12 4 2 3 2 4 2" xfId="12250" xr:uid="{00000000-0005-0000-0000-0000092F0000}"/>
    <cellStyle name="Input 12 4 2 3 2 5" xfId="12251" xr:uid="{00000000-0005-0000-0000-00000A2F0000}"/>
    <cellStyle name="Input 12 4 2 3 2 6" xfId="12252" xr:uid="{00000000-0005-0000-0000-00000B2F0000}"/>
    <cellStyle name="Input 12 4 2 3 2 7" xfId="12253" xr:uid="{00000000-0005-0000-0000-00000C2F0000}"/>
    <cellStyle name="Input 12 4 2 3 3" xfId="12254" xr:uid="{00000000-0005-0000-0000-00000D2F0000}"/>
    <cellStyle name="Input 12 4 2 3 3 2" xfId="12255" xr:uid="{00000000-0005-0000-0000-00000E2F0000}"/>
    <cellStyle name="Input 12 4 2 3 3 2 2" xfId="12256" xr:uid="{00000000-0005-0000-0000-00000F2F0000}"/>
    <cellStyle name="Input 12 4 2 3 3 3" xfId="12257" xr:uid="{00000000-0005-0000-0000-0000102F0000}"/>
    <cellStyle name="Input 12 4 2 3 3 3 2" xfId="12258" xr:uid="{00000000-0005-0000-0000-0000112F0000}"/>
    <cellStyle name="Input 12 4 2 3 3 4" xfId="12259" xr:uid="{00000000-0005-0000-0000-0000122F0000}"/>
    <cellStyle name="Input 12 4 2 3 3 5" xfId="12260" xr:uid="{00000000-0005-0000-0000-0000132F0000}"/>
    <cellStyle name="Input 12 4 2 3 3 6" xfId="12261" xr:uid="{00000000-0005-0000-0000-0000142F0000}"/>
    <cellStyle name="Input 12 4 2 3 4" xfId="12262" xr:uid="{00000000-0005-0000-0000-0000152F0000}"/>
    <cellStyle name="Input 12 4 2 3 4 2" xfId="12263" xr:uid="{00000000-0005-0000-0000-0000162F0000}"/>
    <cellStyle name="Input 12 4 2 3 5" xfId="12264" xr:uid="{00000000-0005-0000-0000-0000172F0000}"/>
    <cellStyle name="Input 12 4 2 3 5 2" xfId="12265" xr:uid="{00000000-0005-0000-0000-0000182F0000}"/>
    <cellStyle name="Input 12 4 2 3 6" xfId="12266" xr:uid="{00000000-0005-0000-0000-0000192F0000}"/>
    <cellStyle name="Input 12 4 2 3 7" xfId="12267" xr:uid="{00000000-0005-0000-0000-00001A2F0000}"/>
    <cellStyle name="Input 12 4 2 3 8" xfId="12268" xr:uid="{00000000-0005-0000-0000-00001B2F0000}"/>
    <cellStyle name="Input 12 4 2 4" xfId="12269" xr:uid="{00000000-0005-0000-0000-00001C2F0000}"/>
    <cellStyle name="Input 12 4 2 4 2" xfId="12270" xr:uid="{00000000-0005-0000-0000-00001D2F0000}"/>
    <cellStyle name="Input 12 4 2 4 2 2" xfId="12271" xr:uid="{00000000-0005-0000-0000-00001E2F0000}"/>
    <cellStyle name="Input 12 4 2 4 2 2 2" xfId="12272" xr:uid="{00000000-0005-0000-0000-00001F2F0000}"/>
    <cellStyle name="Input 12 4 2 4 2 3" xfId="12273" xr:uid="{00000000-0005-0000-0000-0000202F0000}"/>
    <cellStyle name="Input 12 4 2 4 2 3 2" xfId="12274" xr:uid="{00000000-0005-0000-0000-0000212F0000}"/>
    <cellStyle name="Input 12 4 2 4 2 4" xfId="12275" xr:uid="{00000000-0005-0000-0000-0000222F0000}"/>
    <cellStyle name="Input 12 4 2 4 2 5" xfId="12276" xr:uid="{00000000-0005-0000-0000-0000232F0000}"/>
    <cellStyle name="Input 12 4 2 4 2 6" xfId="12277" xr:uid="{00000000-0005-0000-0000-0000242F0000}"/>
    <cellStyle name="Input 12 4 2 4 3" xfId="12278" xr:uid="{00000000-0005-0000-0000-0000252F0000}"/>
    <cellStyle name="Input 12 4 2 4 3 2" xfId="12279" xr:uid="{00000000-0005-0000-0000-0000262F0000}"/>
    <cellStyle name="Input 12 4 2 4 4" xfId="12280" xr:uid="{00000000-0005-0000-0000-0000272F0000}"/>
    <cellStyle name="Input 12 4 2 4 4 2" xfId="12281" xr:uid="{00000000-0005-0000-0000-0000282F0000}"/>
    <cellStyle name="Input 12 4 2 4 5" xfId="12282" xr:uid="{00000000-0005-0000-0000-0000292F0000}"/>
    <cellStyle name="Input 12 4 2 4 6" xfId="12283" xr:uid="{00000000-0005-0000-0000-00002A2F0000}"/>
    <cellStyle name="Input 12 4 2 4 7" xfId="12284" xr:uid="{00000000-0005-0000-0000-00002B2F0000}"/>
    <cellStyle name="Input 12 4 2 5" xfId="12285" xr:uid="{00000000-0005-0000-0000-00002C2F0000}"/>
    <cellStyle name="Input 12 4 2 5 2" xfId="12286" xr:uid="{00000000-0005-0000-0000-00002D2F0000}"/>
    <cellStyle name="Input 12 4 2 5 2 2" xfId="12287" xr:uid="{00000000-0005-0000-0000-00002E2F0000}"/>
    <cellStyle name="Input 12 4 2 5 3" xfId="12288" xr:uid="{00000000-0005-0000-0000-00002F2F0000}"/>
    <cellStyle name="Input 12 4 2 5 3 2" xfId="12289" xr:uid="{00000000-0005-0000-0000-0000302F0000}"/>
    <cellStyle name="Input 12 4 2 5 4" xfId="12290" xr:uid="{00000000-0005-0000-0000-0000312F0000}"/>
    <cellStyle name="Input 12 4 2 5 5" xfId="12291" xr:uid="{00000000-0005-0000-0000-0000322F0000}"/>
    <cellStyle name="Input 12 4 2 5 6" xfId="12292" xr:uid="{00000000-0005-0000-0000-0000332F0000}"/>
    <cellStyle name="Input 12 4 2 6" xfId="12293" xr:uid="{00000000-0005-0000-0000-0000342F0000}"/>
    <cellStyle name="Input 12 4 2 6 2" xfId="12294" xr:uid="{00000000-0005-0000-0000-0000352F0000}"/>
    <cellStyle name="Input 12 4 2 7" xfId="12295" xr:uid="{00000000-0005-0000-0000-0000362F0000}"/>
    <cellStyle name="Input 12 4 2 7 2" xfId="12296" xr:uid="{00000000-0005-0000-0000-0000372F0000}"/>
    <cellStyle name="Input 12 4 2 8" xfId="12297" xr:uid="{00000000-0005-0000-0000-0000382F0000}"/>
    <cellStyle name="Input 12 4 2 9" xfId="12298" xr:uid="{00000000-0005-0000-0000-0000392F0000}"/>
    <cellStyle name="Input 12 4 3" xfId="12299" xr:uid="{00000000-0005-0000-0000-00003A2F0000}"/>
    <cellStyle name="Input 12 4 3 2" xfId="12300" xr:uid="{00000000-0005-0000-0000-00003B2F0000}"/>
    <cellStyle name="Input 12 4 3 2 2" xfId="12301" xr:uid="{00000000-0005-0000-0000-00003C2F0000}"/>
    <cellStyle name="Input 12 4 3 2 2 2" xfId="12302" xr:uid="{00000000-0005-0000-0000-00003D2F0000}"/>
    <cellStyle name="Input 12 4 3 2 2 2 2" xfId="12303" xr:uid="{00000000-0005-0000-0000-00003E2F0000}"/>
    <cellStyle name="Input 12 4 3 2 2 3" xfId="12304" xr:uid="{00000000-0005-0000-0000-00003F2F0000}"/>
    <cellStyle name="Input 12 4 3 2 2 3 2" xfId="12305" xr:uid="{00000000-0005-0000-0000-0000402F0000}"/>
    <cellStyle name="Input 12 4 3 2 2 4" xfId="12306" xr:uid="{00000000-0005-0000-0000-0000412F0000}"/>
    <cellStyle name="Input 12 4 3 2 2 5" xfId="12307" xr:uid="{00000000-0005-0000-0000-0000422F0000}"/>
    <cellStyle name="Input 12 4 3 2 2 6" xfId="12308" xr:uid="{00000000-0005-0000-0000-0000432F0000}"/>
    <cellStyle name="Input 12 4 3 2 3" xfId="12309" xr:uid="{00000000-0005-0000-0000-0000442F0000}"/>
    <cellStyle name="Input 12 4 3 2 3 2" xfId="12310" xr:uid="{00000000-0005-0000-0000-0000452F0000}"/>
    <cellStyle name="Input 12 4 3 2 4" xfId="12311" xr:uid="{00000000-0005-0000-0000-0000462F0000}"/>
    <cellStyle name="Input 12 4 3 2 4 2" xfId="12312" xr:uid="{00000000-0005-0000-0000-0000472F0000}"/>
    <cellStyle name="Input 12 4 3 2 5" xfId="12313" xr:uid="{00000000-0005-0000-0000-0000482F0000}"/>
    <cellStyle name="Input 12 4 3 2 6" xfId="12314" xr:uid="{00000000-0005-0000-0000-0000492F0000}"/>
    <cellStyle name="Input 12 4 3 2 7" xfId="12315" xr:uid="{00000000-0005-0000-0000-00004A2F0000}"/>
    <cellStyle name="Input 12 4 3 3" xfId="12316" xr:uid="{00000000-0005-0000-0000-00004B2F0000}"/>
    <cellStyle name="Input 12 4 3 3 2" xfId="12317" xr:uid="{00000000-0005-0000-0000-00004C2F0000}"/>
    <cellStyle name="Input 12 4 3 3 2 2" xfId="12318" xr:uid="{00000000-0005-0000-0000-00004D2F0000}"/>
    <cellStyle name="Input 12 4 3 3 3" xfId="12319" xr:uid="{00000000-0005-0000-0000-00004E2F0000}"/>
    <cellStyle name="Input 12 4 3 3 3 2" xfId="12320" xr:uid="{00000000-0005-0000-0000-00004F2F0000}"/>
    <cellStyle name="Input 12 4 3 3 4" xfId="12321" xr:uid="{00000000-0005-0000-0000-0000502F0000}"/>
    <cellStyle name="Input 12 4 3 3 5" xfId="12322" xr:uid="{00000000-0005-0000-0000-0000512F0000}"/>
    <cellStyle name="Input 12 4 3 3 6" xfId="12323" xr:uid="{00000000-0005-0000-0000-0000522F0000}"/>
    <cellStyle name="Input 12 4 3 4" xfId="12324" xr:uid="{00000000-0005-0000-0000-0000532F0000}"/>
    <cellStyle name="Input 12 4 3 4 2" xfId="12325" xr:uid="{00000000-0005-0000-0000-0000542F0000}"/>
    <cellStyle name="Input 12 4 3 5" xfId="12326" xr:uid="{00000000-0005-0000-0000-0000552F0000}"/>
    <cellStyle name="Input 12 4 3 5 2" xfId="12327" xr:uid="{00000000-0005-0000-0000-0000562F0000}"/>
    <cellStyle name="Input 12 4 3 6" xfId="12328" xr:uid="{00000000-0005-0000-0000-0000572F0000}"/>
    <cellStyle name="Input 12 4 3 7" xfId="12329" xr:uid="{00000000-0005-0000-0000-0000582F0000}"/>
    <cellStyle name="Input 12 4 3 8" xfId="12330" xr:uid="{00000000-0005-0000-0000-0000592F0000}"/>
    <cellStyle name="Input 12 4 4" xfId="12331" xr:uid="{00000000-0005-0000-0000-00005A2F0000}"/>
    <cellStyle name="Input 12 4 4 2" xfId="12332" xr:uid="{00000000-0005-0000-0000-00005B2F0000}"/>
    <cellStyle name="Input 12 4 4 2 2" xfId="12333" xr:uid="{00000000-0005-0000-0000-00005C2F0000}"/>
    <cellStyle name="Input 12 4 4 2 2 2" xfId="12334" xr:uid="{00000000-0005-0000-0000-00005D2F0000}"/>
    <cellStyle name="Input 12 4 4 2 2 2 2" xfId="12335" xr:uid="{00000000-0005-0000-0000-00005E2F0000}"/>
    <cellStyle name="Input 12 4 4 2 2 3" xfId="12336" xr:uid="{00000000-0005-0000-0000-00005F2F0000}"/>
    <cellStyle name="Input 12 4 4 2 2 3 2" xfId="12337" xr:uid="{00000000-0005-0000-0000-0000602F0000}"/>
    <cellStyle name="Input 12 4 4 2 2 4" xfId="12338" xr:uid="{00000000-0005-0000-0000-0000612F0000}"/>
    <cellStyle name="Input 12 4 4 2 2 5" xfId="12339" xr:uid="{00000000-0005-0000-0000-0000622F0000}"/>
    <cellStyle name="Input 12 4 4 2 2 6" xfId="12340" xr:uid="{00000000-0005-0000-0000-0000632F0000}"/>
    <cellStyle name="Input 12 4 4 2 3" xfId="12341" xr:uid="{00000000-0005-0000-0000-0000642F0000}"/>
    <cellStyle name="Input 12 4 4 2 3 2" xfId="12342" xr:uid="{00000000-0005-0000-0000-0000652F0000}"/>
    <cellStyle name="Input 12 4 4 2 4" xfId="12343" xr:uid="{00000000-0005-0000-0000-0000662F0000}"/>
    <cellStyle name="Input 12 4 4 2 4 2" xfId="12344" xr:uid="{00000000-0005-0000-0000-0000672F0000}"/>
    <cellStyle name="Input 12 4 4 2 5" xfId="12345" xr:uid="{00000000-0005-0000-0000-0000682F0000}"/>
    <cellStyle name="Input 12 4 4 2 6" xfId="12346" xr:uid="{00000000-0005-0000-0000-0000692F0000}"/>
    <cellStyle name="Input 12 4 4 2 7" xfId="12347" xr:uid="{00000000-0005-0000-0000-00006A2F0000}"/>
    <cellStyle name="Input 12 4 4 3" xfId="12348" xr:uid="{00000000-0005-0000-0000-00006B2F0000}"/>
    <cellStyle name="Input 12 4 4 3 2" xfId="12349" xr:uid="{00000000-0005-0000-0000-00006C2F0000}"/>
    <cellStyle name="Input 12 4 4 3 2 2" xfId="12350" xr:uid="{00000000-0005-0000-0000-00006D2F0000}"/>
    <cellStyle name="Input 12 4 4 3 3" xfId="12351" xr:uid="{00000000-0005-0000-0000-00006E2F0000}"/>
    <cellStyle name="Input 12 4 4 3 3 2" xfId="12352" xr:uid="{00000000-0005-0000-0000-00006F2F0000}"/>
    <cellStyle name="Input 12 4 4 3 4" xfId="12353" xr:uid="{00000000-0005-0000-0000-0000702F0000}"/>
    <cellStyle name="Input 12 4 4 3 5" xfId="12354" xr:uid="{00000000-0005-0000-0000-0000712F0000}"/>
    <cellStyle name="Input 12 4 4 3 6" xfId="12355" xr:uid="{00000000-0005-0000-0000-0000722F0000}"/>
    <cellStyle name="Input 12 4 4 4" xfId="12356" xr:uid="{00000000-0005-0000-0000-0000732F0000}"/>
    <cellStyle name="Input 12 4 4 4 2" xfId="12357" xr:uid="{00000000-0005-0000-0000-0000742F0000}"/>
    <cellStyle name="Input 12 4 4 5" xfId="12358" xr:uid="{00000000-0005-0000-0000-0000752F0000}"/>
    <cellStyle name="Input 12 4 4 5 2" xfId="12359" xr:uid="{00000000-0005-0000-0000-0000762F0000}"/>
    <cellStyle name="Input 12 4 4 6" xfId="12360" xr:uid="{00000000-0005-0000-0000-0000772F0000}"/>
    <cellStyle name="Input 12 4 4 7" xfId="12361" xr:uid="{00000000-0005-0000-0000-0000782F0000}"/>
    <cellStyle name="Input 12 4 4 8" xfId="12362" xr:uid="{00000000-0005-0000-0000-0000792F0000}"/>
    <cellStyle name="Input 12 4 5" xfId="12363" xr:uid="{00000000-0005-0000-0000-00007A2F0000}"/>
    <cellStyle name="Input 12 4 5 2" xfId="12364" xr:uid="{00000000-0005-0000-0000-00007B2F0000}"/>
    <cellStyle name="Input 12 4 5 2 2" xfId="12365" xr:uid="{00000000-0005-0000-0000-00007C2F0000}"/>
    <cellStyle name="Input 12 4 5 2 2 2" xfId="12366" xr:uid="{00000000-0005-0000-0000-00007D2F0000}"/>
    <cellStyle name="Input 12 4 5 2 3" xfId="12367" xr:uid="{00000000-0005-0000-0000-00007E2F0000}"/>
    <cellStyle name="Input 12 4 5 2 3 2" xfId="12368" xr:uid="{00000000-0005-0000-0000-00007F2F0000}"/>
    <cellStyle name="Input 12 4 5 2 4" xfId="12369" xr:uid="{00000000-0005-0000-0000-0000802F0000}"/>
    <cellStyle name="Input 12 4 5 2 5" xfId="12370" xr:uid="{00000000-0005-0000-0000-0000812F0000}"/>
    <cellStyle name="Input 12 4 5 2 6" xfId="12371" xr:uid="{00000000-0005-0000-0000-0000822F0000}"/>
    <cellStyle name="Input 12 4 5 3" xfId="12372" xr:uid="{00000000-0005-0000-0000-0000832F0000}"/>
    <cellStyle name="Input 12 4 5 3 2" xfId="12373" xr:uid="{00000000-0005-0000-0000-0000842F0000}"/>
    <cellStyle name="Input 12 4 5 4" xfId="12374" xr:uid="{00000000-0005-0000-0000-0000852F0000}"/>
    <cellStyle name="Input 12 4 5 4 2" xfId="12375" xr:uid="{00000000-0005-0000-0000-0000862F0000}"/>
    <cellStyle name="Input 12 4 5 5" xfId="12376" xr:uid="{00000000-0005-0000-0000-0000872F0000}"/>
    <cellStyle name="Input 12 4 5 6" xfId="12377" xr:uid="{00000000-0005-0000-0000-0000882F0000}"/>
    <cellStyle name="Input 12 4 5 7" xfId="12378" xr:uid="{00000000-0005-0000-0000-0000892F0000}"/>
    <cellStyle name="Input 12 4 6" xfId="12379" xr:uid="{00000000-0005-0000-0000-00008A2F0000}"/>
    <cellStyle name="Input 12 4 6 2" xfId="12380" xr:uid="{00000000-0005-0000-0000-00008B2F0000}"/>
    <cellStyle name="Input 12 4 6 2 2" xfId="12381" xr:uid="{00000000-0005-0000-0000-00008C2F0000}"/>
    <cellStyle name="Input 12 4 6 3" xfId="12382" xr:uid="{00000000-0005-0000-0000-00008D2F0000}"/>
    <cellStyle name="Input 12 4 6 3 2" xfId="12383" xr:uid="{00000000-0005-0000-0000-00008E2F0000}"/>
    <cellStyle name="Input 12 4 6 4" xfId="12384" xr:uid="{00000000-0005-0000-0000-00008F2F0000}"/>
    <cellStyle name="Input 12 4 6 5" xfId="12385" xr:uid="{00000000-0005-0000-0000-0000902F0000}"/>
    <cellStyle name="Input 12 4 6 6" xfId="12386" xr:uid="{00000000-0005-0000-0000-0000912F0000}"/>
    <cellStyle name="Input 12 4 7" xfId="12387" xr:uid="{00000000-0005-0000-0000-0000922F0000}"/>
    <cellStyle name="Input 12 4 7 2" xfId="12388" xr:uid="{00000000-0005-0000-0000-0000932F0000}"/>
    <cellStyle name="Input 12 4 8" xfId="12389" xr:uid="{00000000-0005-0000-0000-0000942F0000}"/>
    <cellStyle name="Input 12 4 8 2" xfId="12390" xr:uid="{00000000-0005-0000-0000-0000952F0000}"/>
    <cellStyle name="Input 12 4 9" xfId="12391" xr:uid="{00000000-0005-0000-0000-0000962F0000}"/>
    <cellStyle name="Input 12 5" xfId="12392" xr:uid="{00000000-0005-0000-0000-0000972F0000}"/>
    <cellStyle name="Input 12 5 10" xfId="12393" xr:uid="{00000000-0005-0000-0000-0000982F0000}"/>
    <cellStyle name="Input 12 5 2" xfId="12394" xr:uid="{00000000-0005-0000-0000-0000992F0000}"/>
    <cellStyle name="Input 12 5 2 2" xfId="12395" xr:uid="{00000000-0005-0000-0000-00009A2F0000}"/>
    <cellStyle name="Input 12 5 2 2 2" xfId="12396" xr:uid="{00000000-0005-0000-0000-00009B2F0000}"/>
    <cellStyle name="Input 12 5 2 2 2 2" xfId="12397" xr:uid="{00000000-0005-0000-0000-00009C2F0000}"/>
    <cellStyle name="Input 12 5 2 2 2 2 2" xfId="12398" xr:uid="{00000000-0005-0000-0000-00009D2F0000}"/>
    <cellStyle name="Input 12 5 2 2 2 3" xfId="12399" xr:uid="{00000000-0005-0000-0000-00009E2F0000}"/>
    <cellStyle name="Input 12 5 2 2 2 3 2" xfId="12400" xr:uid="{00000000-0005-0000-0000-00009F2F0000}"/>
    <cellStyle name="Input 12 5 2 2 2 4" xfId="12401" xr:uid="{00000000-0005-0000-0000-0000A02F0000}"/>
    <cellStyle name="Input 12 5 2 2 2 5" xfId="12402" xr:uid="{00000000-0005-0000-0000-0000A12F0000}"/>
    <cellStyle name="Input 12 5 2 2 2 6" xfId="12403" xr:uid="{00000000-0005-0000-0000-0000A22F0000}"/>
    <cellStyle name="Input 12 5 2 2 3" xfId="12404" xr:uid="{00000000-0005-0000-0000-0000A32F0000}"/>
    <cellStyle name="Input 12 5 2 2 3 2" xfId="12405" xr:uid="{00000000-0005-0000-0000-0000A42F0000}"/>
    <cellStyle name="Input 12 5 2 2 4" xfId="12406" xr:uid="{00000000-0005-0000-0000-0000A52F0000}"/>
    <cellStyle name="Input 12 5 2 2 4 2" xfId="12407" xr:uid="{00000000-0005-0000-0000-0000A62F0000}"/>
    <cellStyle name="Input 12 5 2 2 5" xfId="12408" xr:uid="{00000000-0005-0000-0000-0000A72F0000}"/>
    <cellStyle name="Input 12 5 2 2 6" xfId="12409" xr:uid="{00000000-0005-0000-0000-0000A82F0000}"/>
    <cellStyle name="Input 12 5 2 2 7" xfId="12410" xr:uid="{00000000-0005-0000-0000-0000A92F0000}"/>
    <cellStyle name="Input 12 5 2 3" xfId="12411" xr:uid="{00000000-0005-0000-0000-0000AA2F0000}"/>
    <cellStyle name="Input 12 5 2 3 2" xfId="12412" xr:uid="{00000000-0005-0000-0000-0000AB2F0000}"/>
    <cellStyle name="Input 12 5 2 3 2 2" xfId="12413" xr:uid="{00000000-0005-0000-0000-0000AC2F0000}"/>
    <cellStyle name="Input 12 5 2 3 3" xfId="12414" xr:uid="{00000000-0005-0000-0000-0000AD2F0000}"/>
    <cellStyle name="Input 12 5 2 3 3 2" xfId="12415" xr:uid="{00000000-0005-0000-0000-0000AE2F0000}"/>
    <cellStyle name="Input 12 5 2 3 4" xfId="12416" xr:uid="{00000000-0005-0000-0000-0000AF2F0000}"/>
    <cellStyle name="Input 12 5 2 3 5" xfId="12417" xr:uid="{00000000-0005-0000-0000-0000B02F0000}"/>
    <cellStyle name="Input 12 5 2 3 6" xfId="12418" xr:uid="{00000000-0005-0000-0000-0000B12F0000}"/>
    <cellStyle name="Input 12 5 2 4" xfId="12419" xr:uid="{00000000-0005-0000-0000-0000B22F0000}"/>
    <cellStyle name="Input 12 5 2 4 2" xfId="12420" xr:uid="{00000000-0005-0000-0000-0000B32F0000}"/>
    <cellStyle name="Input 12 5 2 5" xfId="12421" xr:uid="{00000000-0005-0000-0000-0000B42F0000}"/>
    <cellStyle name="Input 12 5 2 5 2" xfId="12422" xr:uid="{00000000-0005-0000-0000-0000B52F0000}"/>
    <cellStyle name="Input 12 5 2 6" xfId="12423" xr:uid="{00000000-0005-0000-0000-0000B62F0000}"/>
    <cellStyle name="Input 12 5 2 7" xfId="12424" xr:uid="{00000000-0005-0000-0000-0000B72F0000}"/>
    <cellStyle name="Input 12 5 2 8" xfId="12425" xr:uid="{00000000-0005-0000-0000-0000B82F0000}"/>
    <cellStyle name="Input 12 5 3" xfId="12426" xr:uid="{00000000-0005-0000-0000-0000B92F0000}"/>
    <cellStyle name="Input 12 5 3 2" xfId="12427" xr:uid="{00000000-0005-0000-0000-0000BA2F0000}"/>
    <cellStyle name="Input 12 5 3 2 2" xfId="12428" xr:uid="{00000000-0005-0000-0000-0000BB2F0000}"/>
    <cellStyle name="Input 12 5 3 2 2 2" xfId="12429" xr:uid="{00000000-0005-0000-0000-0000BC2F0000}"/>
    <cellStyle name="Input 12 5 3 2 2 2 2" xfId="12430" xr:uid="{00000000-0005-0000-0000-0000BD2F0000}"/>
    <cellStyle name="Input 12 5 3 2 2 3" xfId="12431" xr:uid="{00000000-0005-0000-0000-0000BE2F0000}"/>
    <cellStyle name="Input 12 5 3 2 2 3 2" xfId="12432" xr:uid="{00000000-0005-0000-0000-0000BF2F0000}"/>
    <cellStyle name="Input 12 5 3 2 2 4" xfId="12433" xr:uid="{00000000-0005-0000-0000-0000C02F0000}"/>
    <cellStyle name="Input 12 5 3 2 2 5" xfId="12434" xr:uid="{00000000-0005-0000-0000-0000C12F0000}"/>
    <cellStyle name="Input 12 5 3 2 2 6" xfId="12435" xr:uid="{00000000-0005-0000-0000-0000C22F0000}"/>
    <cellStyle name="Input 12 5 3 2 3" xfId="12436" xr:uid="{00000000-0005-0000-0000-0000C32F0000}"/>
    <cellStyle name="Input 12 5 3 2 3 2" xfId="12437" xr:uid="{00000000-0005-0000-0000-0000C42F0000}"/>
    <cellStyle name="Input 12 5 3 2 4" xfId="12438" xr:uid="{00000000-0005-0000-0000-0000C52F0000}"/>
    <cellStyle name="Input 12 5 3 2 4 2" xfId="12439" xr:uid="{00000000-0005-0000-0000-0000C62F0000}"/>
    <cellStyle name="Input 12 5 3 2 5" xfId="12440" xr:uid="{00000000-0005-0000-0000-0000C72F0000}"/>
    <cellStyle name="Input 12 5 3 2 6" xfId="12441" xr:uid="{00000000-0005-0000-0000-0000C82F0000}"/>
    <cellStyle name="Input 12 5 3 2 7" xfId="12442" xr:uid="{00000000-0005-0000-0000-0000C92F0000}"/>
    <cellStyle name="Input 12 5 3 3" xfId="12443" xr:uid="{00000000-0005-0000-0000-0000CA2F0000}"/>
    <cellStyle name="Input 12 5 3 3 2" xfId="12444" xr:uid="{00000000-0005-0000-0000-0000CB2F0000}"/>
    <cellStyle name="Input 12 5 3 3 2 2" xfId="12445" xr:uid="{00000000-0005-0000-0000-0000CC2F0000}"/>
    <cellStyle name="Input 12 5 3 3 3" xfId="12446" xr:uid="{00000000-0005-0000-0000-0000CD2F0000}"/>
    <cellStyle name="Input 12 5 3 3 3 2" xfId="12447" xr:uid="{00000000-0005-0000-0000-0000CE2F0000}"/>
    <cellStyle name="Input 12 5 3 3 4" xfId="12448" xr:uid="{00000000-0005-0000-0000-0000CF2F0000}"/>
    <cellStyle name="Input 12 5 3 3 5" xfId="12449" xr:uid="{00000000-0005-0000-0000-0000D02F0000}"/>
    <cellStyle name="Input 12 5 3 3 6" xfId="12450" xr:uid="{00000000-0005-0000-0000-0000D12F0000}"/>
    <cellStyle name="Input 12 5 3 4" xfId="12451" xr:uid="{00000000-0005-0000-0000-0000D22F0000}"/>
    <cellStyle name="Input 12 5 3 4 2" xfId="12452" xr:uid="{00000000-0005-0000-0000-0000D32F0000}"/>
    <cellStyle name="Input 12 5 3 5" xfId="12453" xr:uid="{00000000-0005-0000-0000-0000D42F0000}"/>
    <cellStyle name="Input 12 5 3 5 2" xfId="12454" xr:uid="{00000000-0005-0000-0000-0000D52F0000}"/>
    <cellStyle name="Input 12 5 3 6" xfId="12455" xr:uid="{00000000-0005-0000-0000-0000D62F0000}"/>
    <cellStyle name="Input 12 5 3 7" xfId="12456" xr:uid="{00000000-0005-0000-0000-0000D72F0000}"/>
    <cellStyle name="Input 12 5 3 8" xfId="12457" xr:uid="{00000000-0005-0000-0000-0000D82F0000}"/>
    <cellStyle name="Input 12 5 4" xfId="12458" xr:uid="{00000000-0005-0000-0000-0000D92F0000}"/>
    <cellStyle name="Input 12 5 4 2" xfId="12459" xr:uid="{00000000-0005-0000-0000-0000DA2F0000}"/>
    <cellStyle name="Input 12 5 4 2 2" xfId="12460" xr:uid="{00000000-0005-0000-0000-0000DB2F0000}"/>
    <cellStyle name="Input 12 5 4 2 2 2" xfId="12461" xr:uid="{00000000-0005-0000-0000-0000DC2F0000}"/>
    <cellStyle name="Input 12 5 4 2 3" xfId="12462" xr:uid="{00000000-0005-0000-0000-0000DD2F0000}"/>
    <cellStyle name="Input 12 5 4 2 3 2" xfId="12463" xr:uid="{00000000-0005-0000-0000-0000DE2F0000}"/>
    <cellStyle name="Input 12 5 4 2 4" xfId="12464" xr:uid="{00000000-0005-0000-0000-0000DF2F0000}"/>
    <cellStyle name="Input 12 5 4 2 5" xfId="12465" xr:uid="{00000000-0005-0000-0000-0000E02F0000}"/>
    <cellStyle name="Input 12 5 4 2 6" xfId="12466" xr:uid="{00000000-0005-0000-0000-0000E12F0000}"/>
    <cellStyle name="Input 12 5 4 3" xfId="12467" xr:uid="{00000000-0005-0000-0000-0000E22F0000}"/>
    <cellStyle name="Input 12 5 4 3 2" xfId="12468" xr:uid="{00000000-0005-0000-0000-0000E32F0000}"/>
    <cellStyle name="Input 12 5 4 4" xfId="12469" xr:uid="{00000000-0005-0000-0000-0000E42F0000}"/>
    <cellStyle name="Input 12 5 4 4 2" xfId="12470" xr:uid="{00000000-0005-0000-0000-0000E52F0000}"/>
    <cellStyle name="Input 12 5 4 5" xfId="12471" xr:uid="{00000000-0005-0000-0000-0000E62F0000}"/>
    <cellStyle name="Input 12 5 4 6" xfId="12472" xr:uid="{00000000-0005-0000-0000-0000E72F0000}"/>
    <cellStyle name="Input 12 5 4 7" xfId="12473" xr:uid="{00000000-0005-0000-0000-0000E82F0000}"/>
    <cellStyle name="Input 12 5 5" xfId="12474" xr:uid="{00000000-0005-0000-0000-0000E92F0000}"/>
    <cellStyle name="Input 12 5 5 2" xfId="12475" xr:uid="{00000000-0005-0000-0000-0000EA2F0000}"/>
    <cellStyle name="Input 12 5 5 2 2" xfId="12476" xr:uid="{00000000-0005-0000-0000-0000EB2F0000}"/>
    <cellStyle name="Input 12 5 5 3" xfId="12477" xr:uid="{00000000-0005-0000-0000-0000EC2F0000}"/>
    <cellStyle name="Input 12 5 5 3 2" xfId="12478" xr:uid="{00000000-0005-0000-0000-0000ED2F0000}"/>
    <cellStyle name="Input 12 5 5 4" xfId="12479" xr:uid="{00000000-0005-0000-0000-0000EE2F0000}"/>
    <cellStyle name="Input 12 5 5 5" xfId="12480" xr:uid="{00000000-0005-0000-0000-0000EF2F0000}"/>
    <cellStyle name="Input 12 5 5 6" xfId="12481" xr:uid="{00000000-0005-0000-0000-0000F02F0000}"/>
    <cellStyle name="Input 12 5 6" xfId="12482" xr:uid="{00000000-0005-0000-0000-0000F12F0000}"/>
    <cellStyle name="Input 12 5 6 2" xfId="12483" xr:uid="{00000000-0005-0000-0000-0000F22F0000}"/>
    <cellStyle name="Input 12 5 7" xfId="12484" xr:uid="{00000000-0005-0000-0000-0000F32F0000}"/>
    <cellStyle name="Input 12 5 7 2" xfId="12485" xr:uid="{00000000-0005-0000-0000-0000F42F0000}"/>
    <cellStyle name="Input 12 5 8" xfId="12486" xr:uid="{00000000-0005-0000-0000-0000F52F0000}"/>
    <cellStyle name="Input 12 5 9" xfId="12487" xr:uid="{00000000-0005-0000-0000-0000F62F0000}"/>
    <cellStyle name="Input 12 6" xfId="12488" xr:uid="{00000000-0005-0000-0000-0000F72F0000}"/>
    <cellStyle name="Input 12 6 2" xfId="12489" xr:uid="{00000000-0005-0000-0000-0000F82F0000}"/>
    <cellStyle name="Input 12 6 2 2" xfId="12490" xr:uid="{00000000-0005-0000-0000-0000F92F0000}"/>
    <cellStyle name="Input 12 6 2 2 2" xfId="12491" xr:uid="{00000000-0005-0000-0000-0000FA2F0000}"/>
    <cellStyle name="Input 12 6 2 2 2 2" xfId="12492" xr:uid="{00000000-0005-0000-0000-0000FB2F0000}"/>
    <cellStyle name="Input 12 6 2 2 3" xfId="12493" xr:uid="{00000000-0005-0000-0000-0000FC2F0000}"/>
    <cellStyle name="Input 12 6 2 2 3 2" xfId="12494" xr:uid="{00000000-0005-0000-0000-0000FD2F0000}"/>
    <cellStyle name="Input 12 6 2 2 4" xfId="12495" xr:uid="{00000000-0005-0000-0000-0000FE2F0000}"/>
    <cellStyle name="Input 12 6 2 2 5" xfId="12496" xr:uid="{00000000-0005-0000-0000-0000FF2F0000}"/>
    <cellStyle name="Input 12 6 2 2 6" xfId="12497" xr:uid="{00000000-0005-0000-0000-000000300000}"/>
    <cellStyle name="Input 12 6 2 3" xfId="12498" xr:uid="{00000000-0005-0000-0000-000001300000}"/>
    <cellStyle name="Input 12 6 2 3 2" xfId="12499" xr:uid="{00000000-0005-0000-0000-000002300000}"/>
    <cellStyle name="Input 12 6 2 4" xfId="12500" xr:uid="{00000000-0005-0000-0000-000003300000}"/>
    <cellStyle name="Input 12 6 2 4 2" xfId="12501" xr:uid="{00000000-0005-0000-0000-000004300000}"/>
    <cellStyle name="Input 12 6 2 5" xfId="12502" xr:uid="{00000000-0005-0000-0000-000005300000}"/>
    <cellStyle name="Input 12 6 2 6" xfId="12503" xr:uid="{00000000-0005-0000-0000-000006300000}"/>
    <cellStyle name="Input 12 6 2 7" xfId="12504" xr:uid="{00000000-0005-0000-0000-000007300000}"/>
    <cellStyle name="Input 12 6 3" xfId="12505" xr:uid="{00000000-0005-0000-0000-000008300000}"/>
    <cellStyle name="Input 12 6 3 2" xfId="12506" xr:uid="{00000000-0005-0000-0000-000009300000}"/>
    <cellStyle name="Input 12 6 3 2 2" xfId="12507" xr:uid="{00000000-0005-0000-0000-00000A300000}"/>
    <cellStyle name="Input 12 6 3 3" xfId="12508" xr:uid="{00000000-0005-0000-0000-00000B300000}"/>
    <cellStyle name="Input 12 6 3 3 2" xfId="12509" xr:uid="{00000000-0005-0000-0000-00000C300000}"/>
    <cellStyle name="Input 12 6 3 4" xfId="12510" xr:uid="{00000000-0005-0000-0000-00000D300000}"/>
    <cellStyle name="Input 12 6 3 5" xfId="12511" xr:uid="{00000000-0005-0000-0000-00000E300000}"/>
    <cellStyle name="Input 12 6 3 6" xfId="12512" xr:uid="{00000000-0005-0000-0000-00000F300000}"/>
    <cellStyle name="Input 12 6 4" xfId="12513" xr:uid="{00000000-0005-0000-0000-000010300000}"/>
    <cellStyle name="Input 12 6 4 2" xfId="12514" xr:uid="{00000000-0005-0000-0000-000011300000}"/>
    <cellStyle name="Input 12 6 5" xfId="12515" xr:uid="{00000000-0005-0000-0000-000012300000}"/>
    <cellStyle name="Input 12 6 5 2" xfId="12516" xr:uid="{00000000-0005-0000-0000-000013300000}"/>
    <cellStyle name="Input 12 6 6" xfId="12517" xr:uid="{00000000-0005-0000-0000-000014300000}"/>
    <cellStyle name="Input 12 6 7" xfId="12518" xr:uid="{00000000-0005-0000-0000-000015300000}"/>
    <cellStyle name="Input 12 6 8" xfId="12519" xr:uid="{00000000-0005-0000-0000-000016300000}"/>
    <cellStyle name="Input 12 7" xfId="12520" xr:uid="{00000000-0005-0000-0000-000017300000}"/>
    <cellStyle name="Input 12 7 2" xfId="12521" xr:uid="{00000000-0005-0000-0000-000018300000}"/>
    <cellStyle name="Input 12 7 2 2" xfId="12522" xr:uid="{00000000-0005-0000-0000-000019300000}"/>
    <cellStyle name="Input 12 7 2 2 2" xfId="12523" xr:uid="{00000000-0005-0000-0000-00001A300000}"/>
    <cellStyle name="Input 12 7 2 3" xfId="12524" xr:uid="{00000000-0005-0000-0000-00001B300000}"/>
    <cellStyle name="Input 12 7 2 3 2" xfId="12525" xr:uid="{00000000-0005-0000-0000-00001C300000}"/>
    <cellStyle name="Input 12 7 2 4" xfId="12526" xr:uid="{00000000-0005-0000-0000-00001D300000}"/>
    <cellStyle name="Input 12 7 2 5" xfId="12527" xr:uid="{00000000-0005-0000-0000-00001E300000}"/>
    <cellStyle name="Input 12 7 2 6" xfId="12528" xr:uid="{00000000-0005-0000-0000-00001F300000}"/>
    <cellStyle name="Input 12 7 3" xfId="12529" xr:uid="{00000000-0005-0000-0000-000020300000}"/>
    <cellStyle name="Input 12 7 3 2" xfId="12530" xr:uid="{00000000-0005-0000-0000-000021300000}"/>
    <cellStyle name="Input 12 7 4" xfId="12531" xr:uid="{00000000-0005-0000-0000-000022300000}"/>
    <cellStyle name="Input 12 7 4 2" xfId="12532" xr:uid="{00000000-0005-0000-0000-000023300000}"/>
    <cellStyle name="Input 12 7 5" xfId="12533" xr:uid="{00000000-0005-0000-0000-000024300000}"/>
    <cellStyle name="Input 12 7 6" xfId="12534" xr:uid="{00000000-0005-0000-0000-000025300000}"/>
    <cellStyle name="Input 12 7 7" xfId="12535" xr:uid="{00000000-0005-0000-0000-000026300000}"/>
    <cellStyle name="Input 12 8" xfId="12536" xr:uid="{00000000-0005-0000-0000-000027300000}"/>
    <cellStyle name="Input 12 8 2" xfId="12537" xr:uid="{00000000-0005-0000-0000-000028300000}"/>
    <cellStyle name="Input 12 9" xfId="12538" xr:uid="{00000000-0005-0000-0000-000029300000}"/>
    <cellStyle name="Input 12 9 2" xfId="12539" xr:uid="{00000000-0005-0000-0000-00002A300000}"/>
    <cellStyle name="Input 13" xfId="12540" xr:uid="{00000000-0005-0000-0000-00002B300000}"/>
    <cellStyle name="Input 13 10" xfId="12541" xr:uid="{00000000-0005-0000-0000-00002C300000}"/>
    <cellStyle name="Input 13 11" xfId="12542" xr:uid="{00000000-0005-0000-0000-00002D300000}"/>
    <cellStyle name="Input 13 12" xfId="12543" xr:uid="{00000000-0005-0000-0000-00002E300000}"/>
    <cellStyle name="Input 13 2" xfId="12544" xr:uid="{00000000-0005-0000-0000-00002F300000}"/>
    <cellStyle name="Input 13 2 10" xfId="12545" xr:uid="{00000000-0005-0000-0000-000030300000}"/>
    <cellStyle name="Input 13 2 11" xfId="12546" xr:uid="{00000000-0005-0000-0000-000031300000}"/>
    <cellStyle name="Input 13 2 12" xfId="12547" xr:uid="{00000000-0005-0000-0000-000032300000}"/>
    <cellStyle name="Input 13 2 2" xfId="12548" xr:uid="{00000000-0005-0000-0000-000033300000}"/>
    <cellStyle name="Input 13 2 2 10" xfId="12549" xr:uid="{00000000-0005-0000-0000-000034300000}"/>
    <cellStyle name="Input 13 2 2 11" xfId="12550" xr:uid="{00000000-0005-0000-0000-000035300000}"/>
    <cellStyle name="Input 13 2 2 2" xfId="12551" xr:uid="{00000000-0005-0000-0000-000036300000}"/>
    <cellStyle name="Input 13 2 2 2 10" xfId="12552" xr:uid="{00000000-0005-0000-0000-000037300000}"/>
    <cellStyle name="Input 13 2 2 2 2" xfId="12553" xr:uid="{00000000-0005-0000-0000-000038300000}"/>
    <cellStyle name="Input 13 2 2 2 2 2" xfId="12554" xr:uid="{00000000-0005-0000-0000-000039300000}"/>
    <cellStyle name="Input 13 2 2 2 2 2 2" xfId="12555" xr:uid="{00000000-0005-0000-0000-00003A300000}"/>
    <cellStyle name="Input 13 2 2 2 2 2 2 2" xfId="12556" xr:uid="{00000000-0005-0000-0000-00003B300000}"/>
    <cellStyle name="Input 13 2 2 2 2 2 2 2 2" xfId="12557" xr:uid="{00000000-0005-0000-0000-00003C300000}"/>
    <cellStyle name="Input 13 2 2 2 2 2 2 3" xfId="12558" xr:uid="{00000000-0005-0000-0000-00003D300000}"/>
    <cellStyle name="Input 13 2 2 2 2 2 2 3 2" xfId="12559" xr:uid="{00000000-0005-0000-0000-00003E300000}"/>
    <cellStyle name="Input 13 2 2 2 2 2 2 4" xfId="12560" xr:uid="{00000000-0005-0000-0000-00003F300000}"/>
    <cellStyle name="Input 13 2 2 2 2 2 2 5" xfId="12561" xr:uid="{00000000-0005-0000-0000-000040300000}"/>
    <cellStyle name="Input 13 2 2 2 2 2 2 6" xfId="12562" xr:uid="{00000000-0005-0000-0000-000041300000}"/>
    <cellStyle name="Input 13 2 2 2 2 2 3" xfId="12563" xr:uid="{00000000-0005-0000-0000-000042300000}"/>
    <cellStyle name="Input 13 2 2 2 2 2 3 2" xfId="12564" xr:uid="{00000000-0005-0000-0000-000043300000}"/>
    <cellStyle name="Input 13 2 2 2 2 2 4" xfId="12565" xr:uid="{00000000-0005-0000-0000-000044300000}"/>
    <cellStyle name="Input 13 2 2 2 2 2 4 2" xfId="12566" xr:uid="{00000000-0005-0000-0000-000045300000}"/>
    <cellStyle name="Input 13 2 2 2 2 2 5" xfId="12567" xr:uid="{00000000-0005-0000-0000-000046300000}"/>
    <cellStyle name="Input 13 2 2 2 2 2 6" xfId="12568" xr:uid="{00000000-0005-0000-0000-000047300000}"/>
    <cellStyle name="Input 13 2 2 2 2 2 7" xfId="12569" xr:uid="{00000000-0005-0000-0000-000048300000}"/>
    <cellStyle name="Input 13 2 2 2 2 3" xfId="12570" xr:uid="{00000000-0005-0000-0000-000049300000}"/>
    <cellStyle name="Input 13 2 2 2 2 3 2" xfId="12571" xr:uid="{00000000-0005-0000-0000-00004A300000}"/>
    <cellStyle name="Input 13 2 2 2 2 3 2 2" xfId="12572" xr:uid="{00000000-0005-0000-0000-00004B300000}"/>
    <cellStyle name="Input 13 2 2 2 2 3 3" xfId="12573" xr:uid="{00000000-0005-0000-0000-00004C300000}"/>
    <cellStyle name="Input 13 2 2 2 2 3 3 2" xfId="12574" xr:uid="{00000000-0005-0000-0000-00004D300000}"/>
    <cellStyle name="Input 13 2 2 2 2 3 4" xfId="12575" xr:uid="{00000000-0005-0000-0000-00004E300000}"/>
    <cellStyle name="Input 13 2 2 2 2 3 5" xfId="12576" xr:uid="{00000000-0005-0000-0000-00004F300000}"/>
    <cellStyle name="Input 13 2 2 2 2 3 6" xfId="12577" xr:uid="{00000000-0005-0000-0000-000050300000}"/>
    <cellStyle name="Input 13 2 2 2 2 4" xfId="12578" xr:uid="{00000000-0005-0000-0000-000051300000}"/>
    <cellStyle name="Input 13 2 2 2 2 4 2" xfId="12579" xr:uid="{00000000-0005-0000-0000-000052300000}"/>
    <cellStyle name="Input 13 2 2 2 2 5" xfId="12580" xr:uid="{00000000-0005-0000-0000-000053300000}"/>
    <cellStyle name="Input 13 2 2 2 2 5 2" xfId="12581" xr:uid="{00000000-0005-0000-0000-000054300000}"/>
    <cellStyle name="Input 13 2 2 2 2 6" xfId="12582" xr:uid="{00000000-0005-0000-0000-000055300000}"/>
    <cellStyle name="Input 13 2 2 2 2 7" xfId="12583" xr:uid="{00000000-0005-0000-0000-000056300000}"/>
    <cellStyle name="Input 13 2 2 2 2 8" xfId="12584" xr:uid="{00000000-0005-0000-0000-000057300000}"/>
    <cellStyle name="Input 13 2 2 2 3" xfId="12585" xr:uid="{00000000-0005-0000-0000-000058300000}"/>
    <cellStyle name="Input 13 2 2 2 3 2" xfId="12586" xr:uid="{00000000-0005-0000-0000-000059300000}"/>
    <cellStyle name="Input 13 2 2 2 3 2 2" xfId="12587" xr:uid="{00000000-0005-0000-0000-00005A300000}"/>
    <cellStyle name="Input 13 2 2 2 3 2 2 2" xfId="12588" xr:uid="{00000000-0005-0000-0000-00005B300000}"/>
    <cellStyle name="Input 13 2 2 2 3 2 2 2 2" xfId="12589" xr:uid="{00000000-0005-0000-0000-00005C300000}"/>
    <cellStyle name="Input 13 2 2 2 3 2 2 3" xfId="12590" xr:uid="{00000000-0005-0000-0000-00005D300000}"/>
    <cellStyle name="Input 13 2 2 2 3 2 2 3 2" xfId="12591" xr:uid="{00000000-0005-0000-0000-00005E300000}"/>
    <cellStyle name="Input 13 2 2 2 3 2 2 4" xfId="12592" xr:uid="{00000000-0005-0000-0000-00005F300000}"/>
    <cellStyle name="Input 13 2 2 2 3 2 2 5" xfId="12593" xr:uid="{00000000-0005-0000-0000-000060300000}"/>
    <cellStyle name="Input 13 2 2 2 3 2 2 6" xfId="12594" xr:uid="{00000000-0005-0000-0000-000061300000}"/>
    <cellStyle name="Input 13 2 2 2 3 2 3" xfId="12595" xr:uid="{00000000-0005-0000-0000-000062300000}"/>
    <cellStyle name="Input 13 2 2 2 3 2 3 2" xfId="12596" xr:uid="{00000000-0005-0000-0000-000063300000}"/>
    <cellStyle name="Input 13 2 2 2 3 2 4" xfId="12597" xr:uid="{00000000-0005-0000-0000-000064300000}"/>
    <cellStyle name="Input 13 2 2 2 3 2 4 2" xfId="12598" xr:uid="{00000000-0005-0000-0000-000065300000}"/>
    <cellStyle name="Input 13 2 2 2 3 2 5" xfId="12599" xr:uid="{00000000-0005-0000-0000-000066300000}"/>
    <cellStyle name="Input 13 2 2 2 3 2 6" xfId="12600" xr:uid="{00000000-0005-0000-0000-000067300000}"/>
    <cellStyle name="Input 13 2 2 2 3 2 7" xfId="12601" xr:uid="{00000000-0005-0000-0000-000068300000}"/>
    <cellStyle name="Input 13 2 2 2 3 3" xfId="12602" xr:uid="{00000000-0005-0000-0000-000069300000}"/>
    <cellStyle name="Input 13 2 2 2 3 3 2" xfId="12603" xr:uid="{00000000-0005-0000-0000-00006A300000}"/>
    <cellStyle name="Input 13 2 2 2 3 3 2 2" xfId="12604" xr:uid="{00000000-0005-0000-0000-00006B300000}"/>
    <cellStyle name="Input 13 2 2 2 3 3 3" xfId="12605" xr:uid="{00000000-0005-0000-0000-00006C300000}"/>
    <cellStyle name="Input 13 2 2 2 3 3 3 2" xfId="12606" xr:uid="{00000000-0005-0000-0000-00006D300000}"/>
    <cellStyle name="Input 13 2 2 2 3 3 4" xfId="12607" xr:uid="{00000000-0005-0000-0000-00006E300000}"/>
    <cellStyle name="Input 13 2 2 2 3 3 5" xfId="12608" xr:uid="{00000000-0005-0000-0000-00006F300000}"/>
    <cellStyle name="Input 13 2 2 2 3 3 6" xfId="12609" xr:uid="{00000000-0005-0000-0000-000070300000}"/>
    <cellStyle name="Input 13 2 2 2 3 4" xfId="12610" xr:uid="{00000000-0005-0000-0000-000071300000}"/>
    <cellStyle name="Input 13 2 2 2 3 4 2" xfId="12611" xr:uid="{00000000-0005-0000-0000-000072300000}"/>
    <cellStyle name="Input 13 2 2 2 3 5" xfId="12612" xr:uid="{00000000-0005-0000-0000-000073300000}"/>
    <cellStyle name="Input 13 2 2 2 3 5 2" xfId="12613" xr:uid="{00000000-0005-0000-0000-000074300000}"/>
    <cellStyle name="Input 13 2 2 2 3 6" xfId="12614" xr:uid="{00000000-0005-0000-0000-000075300000}"/>
    <cellStyle name="Input 13 2 2 2 3 7" xfId="12615" xr:uid="{00000000-0005-0000-0000-000076300000}"/>
    <cellStyle name="Input 13 2 2 2 3 8" xfId="12616" xr:uid="{00000000-0005-0000-0000-000077300000}"/>
    <cellStyle name="Input 13 2 2 2 4" xfId="12617" xr:uid="{00000000-0005-0000-0000-000078300000}"/>
    <cellStyle name="Input 13 2 2 2 4 2" xfId="12618" xr:uid="{00000000-0005-0000-0000-000079300000}"/>
    <cellStyle name="Input 13 2 2 2 4 2 2" xfId="12619" xr:uid="{00000000-0005-0000-0000-00007A300000}"/>
    <cellStyle name="Input 13 2 2 2 4 2 2 2" xfId="12620" xr:uid="{00000000-0005-0000-0000-00007B300000}"/>
    <cellStyle name="Input 13 2 2 2 4 2 3" xfId="12621" xr:uid="{00000000-0005-0000-0000-00007C300000}"/>
    <cellStyle name="Input 13 2 2 2 4 2 3 2" xfId="12622" xr:uid="{00000000-0005-0000-0000-00007D300000}"/>
    <cellStyle name="Input 13 2 2 2 4 2 4" xfId="12623" xr:uid="{00000000-0005-0000-0000-00007E300000}"/>
    <cellStyle name="Input 13 2 2 2 4 2 5" xfId="12624" xr:uid="{00000000-0005-0000-0000-00007F300000}"/>
    <cellStyle name="Input 13 2 2 2 4 2 6" xfId="12625" xr:uid="{00000000-0005-0000-0000-000080300000}"/>
    <cellStyle name="Input 13 2 2 2 4 3" xfId="12626" xr:uid="{00000000-0005-0000-0000-000081300000}"/>
    <cellStyle name="Input 13 2 2 2 4 3 2" xfId="12627" xr:uid="{00000000-0005-0000-0000-000082300000}"/>
    <cellStyle name="Input 13 2 2 2 4 4" xfId="12628" xr:uid="{00000000-0005-0000-0000-000083300000}"/>
    <cellStyle name="Input 13 2 2 2 4 4 2" xfId="12629" xr:uid="{00000000-0005-0000-0000-000084300000}"/>
    <cellStyle name="Input 13 2 2 2 4 5" xfId="12630" xr:uid="{00000000-0005-0000-0000-000085300000}"/>
    <cellStyle name="Input 13 2 2 2 4 6" xfId="12631" xr:uid="{00000000-0005-0000-0000-000086300000}"/>
    <cellStyle name="Input 13 2 2 2 4 7" xfId="12632" xr:uid="{00000000-0005-0000-0000-000087300000}"/>
    <cellStyle name="Input 13 2 2 2 5" xfId="12633" xr:uid="{00000000-0005-0000-0000-000088300000}"/>
    <cellStyle name="Input 13 2 2 2 5 2" xfId="12634" xr:uid="{00000000-0005-0000-0000-000089300000}"/>
    <cellStyle name="Input 13 2 2 2 5 2 2" xfId="12635" xr:uid="{00000000-0005-0000-0000-00008A300000}"/>
    <cellStyle name="Input 13 2 2 2 5 3" xfId="12636" xr:uid="{00000000-0005-0000-0000-00008B300000}"/>
    <cellStyle name="Input 13 2 2 2 5 3 2" xfId="12637" xr:uid="{00000000-0005-0000-0000-00008C300000}"/>
    <cellStyle name="Input 13 2 2 2 5 4" xfId="12638" xr:uid="{00000000-0005-0000-0000-00008D300000}"/>
    <cellStyle name="Input 13 2 2 2 5 5" xfId="12639" xr:uid="{00000000-0005-0000-0000-00008E300000}"/>
    <cellStyle name="Input 13 2 2 2 5 6" xfId="12640" xr:uid="{00000000-0005-0000-0000-00008F300000}"/>
    <cellStyle name="Input 13 2 2 2 6" xfId="12641" xr:uid="{00000000-0005-0000-0000-000090300000}"/>
    <cellStyle name="Input 13 2 2 2 6 2" xfId="12642" xr:uid="{00000000-0005-0000-0000-000091300000}"/>
    <cellStyle name="Input 13 2 2 2 7" xfId="12643" xr:uid="{00000000-0005-0000-0000-000092300000}"/>
    <cellStyle name="Input 13 2 2 2 7 2" xfId="12644" xr:uid="{00000000-0005-0000-0000-000093300000}"/>
    <cellStyle name="Input 13 2 2 2 8" xfId="12645" xr:uid="{00000000-0005-0000-0000-000094300000}"/>
    <cellStyle name="Input 13 2 2 2 9" xfId="12646" xr:uid="{00000000-0005-0000-0000-000095300000}"/>
    <cellStyle name="Input 13 2 2 3" xfId="12647" xr:uid="{00000000-0005-0000-0000-000096300000}"/>
    <cellStyle name="Input 13 2 2 3 2" xfId="12648" xr:uid="{00000000-0005-0000-0000-000097300000}"/>
    <cellStyle name="Input 13 2 2 3 2 2" xfId="12649" xr:uid="{00000000-0005-0000-0000-000098300000}"/>
    <cellStyle name="Input 13 2 2 3 2 2 2" xfId="12650" xr:uid="{00000000-0005-0000-0000-000099300000}"/>
    <cellStyle name="Input 13 2 2 3 2 2 2 2" xfId="12651" xr:uid="{00000000-0005-0000-0000-00009A300000}"/>
    <cellStyle name="Input 13 2 2 3 2 2 3" xfId="12652" xr:uid="{00000000-0005-0000-0000-00009B300000}"/>
    <cellStyle name="Input 13 2 2 3 2 2 3 2" xfId="12653" xr:uid="{00000000-0005-0000-0000-00009C300000}"/>
    <cellStyle name="Input 13 2 2 3 2 2 4" xfId="12654" xr:uid="{00000000-0005-0000-0000-00009D300000}"/>
    <cellStyle name="Input 13 2 2 3 2 2 5" xfId="12655" xr:uid="{00000000-0005-0000-0000-00009E300000}"/>
    <cellStyle name="Input 13 2 2 3 2 2 6" xfId="12656" xr:uid="{00000000-0005-0000-0000-00009F300000}"/>
    <cellStyle name="Input 13 2 2 3 2 3" xfId="12657" xr:uid="{00000000-0005-0000-0000-0000A0300000}"/>
    <cellStyle name="Input 13 2 2 3 2 3 2" xfId="12658" xr:uid="{00000000-0005-0000-0000-0000A1300000}"/>
    <cellStyle name="Input 13 2 2 3 2 4" xfId="12659" xr:uid="{00000000-0005-0000-0000-0000A2300000}"/>
    <cellStyle name="Input 13 2 2 3 2 4 2" xfId="12660" xr:uid="{00000000-0005-0000-0000-0000A3300000}"/>
    <cellStyle name="Input 13 2 2 3 2 5" xfId="12661" xr:uid="{00000000-0005-0000-0000-0000A4300000}"/>
    <cellStyle name="Input 13 2 2 3 2 6" xfId="12662" xr:uid="{00000000-0005-0000-0000-0000A5300000}"/>
    <cellStyle name="Input 13 2 2 3 2 7" xfId="12663" xr:uid="{00000000-0005-0000-0000-0000A6300000}"/>
    <cellStyle name="Input 13 2 2 3 3" xfId="12664" xr:uid="{00000000-0005-0000-0000-0000A7300000}"/>
    <cellStyle name="Input 13 2 2 3 3 2" xfId="12665" xr:uid="{00000000-0005-0000-0000-0000A8300000}"/>
    <cellStyle name="Input 13 2 2 3 3 2 2" xfId="12666" xr:uid="{00000000-0005-0000-0000-0000A9300000}"/>
    <cellStyle name="Input 13 2 2 3 3 3" xfId="12667" xr:uid="{00000000-0005-0000-0000-0000AA300000}"/>
    <cellStyle name="Input 13 2 2 3 3 3 2" xfId="12668" xr:uid="{00000000-0005-0000-0000-0000AB300000}"/>
    <cellStyle name="Input 13 2 2 3 3 4" xfId="12669" xr:uid="{00000000-0005-0000-0000-0000AC300000}"/>
    <cellStyle name="Input 13 2 2 3 3 5" xfId="12670" xr:uid="{00000000-0005-0000-0000-0000AD300000}"/>
    <cellStyle name="Input 13 2 2 3 3 6" xfId="12671" xr:uid="{00000000-0005-0000-0000-0000AE300000}"/>
    <cellStyle name="Input 13 2 2 3 4" xfId="12672" xr:uid="{00000000-0005-0000-0000-0000AF300000}"/>
    <cellStyle name="Input 13 2 2 3 4 2" xfId="12673" xr:uid="{00000000-0005-0000-0000-0000B0300000}"/>
    <cellStyle name="Input 13 2 2 3 5" xfId="12674" xr:uid="{00000000-0005-0000-0000-0000B1300000}"/>
    <cellStyle name="Input 13 2 2 3 5 2" xfId="12675" xr:uid="{00000000-0005-0000-0000-0000B2300000}"/>
    <cellStyle name="Input 13 2 2 3 6" xfId="12676" xr:uid="{00000000-0005-0000-0000-0000B3300000}"/>
    <cellStyle name="Input 13 2 2 3 7" xfId="12677" xr:uid="{00000000-0005-0000-0000-0000B4300000}"/>
    <cellStyle name="Input 13 2 2 3 8" xfId="12678" xr:uid="{00000000-0005-0000-0000-0000B5300000}"/>
    <cellStyle name="Input 13 2 2 4" xfId="12679" xr:uid="{00000000-0005-0000-0000-0000B6300000}"/>
    <cellStyle name="Input 13 2 2 4 2" xfId="12680" xr:uid="{00000000-0005-0000-0000-0000B7300000}"/>
    <cellStyle name="Input 13 2 2 4 2 2" xfId="12681" xr:uid="{00000000-0005-0000-0000-0000B8300000}"/>
    <cellStyle name="Input 13 2 2 4 2 2 2" xfId="12682" xr:uid="{00000000-0005-0000-0000-0000B9300000}"/>
    <cellStyle name="Input 13 2 2 4 2 2 2 2" xfId="12683" xr:uid="{00000000-0005-0000-0000-0000BA300000}"/>
    <cellStyle name="Input 13 2 2 4 2 2 3" xfId="12684" xr:uid="{00000000-0005-0000-0000-0000BB300000}"/>
    <cellStyle name="Input 13 2 2 4 2 2 3 2" xfId="12685" xr:uid="{00000000-0005-0000-0000-0000BC300000}"/>
    <cellStyle name="Input 13 2 2 4 2 2 4" xfId="12686" xr:uid="{00000000-0005-0000-0000-0000BD300000}"/>
    <cellStyle name="Input 13 2 2 4 2 2 5" xfId="12687" xr:uid="{00000000-0005-0000-0000-0000BE300000}"/>
    <cellStyle name="Input 13 2 2 4 2 2 6" xfId="12688" xr:uid="{00000000-0005-0000-0000-0000BF300000}"/>
    <cellStyle name="Input 13 2 2 4 2 3" xfId="12689" xr:uid="{00000000-0005-0000-0000-0000C0300000}"/>
    <cellStyle name="Input 13 2 2 4 2 3 2" xfId="12690" xr:uid="{00000000-0005-0000-0000-0000C1300000}"/>
    <cellStyle name="Input 13 2 2 4 2 4" xfId="12691" xr:uid="{00000000-0005-0000-0000-0000C2300000}"/>
    <cellStyle name="Input 13 2 2 4 2 4 2" xfId="12692" xr:uid="{00000000-0005-0000-0000-0000C3300000}"/>
    <cellStyle name="Input 13 2 2 4 2 5" xfId="12693" xr:uid="{00000000-0005-0000-0000-0000C4300000}"/>
    <cellStyle name="Input 13 2 2 4 2 6" xfId="12694" xr:uid="{00000000-0005-0000-0000-0000C5300000}"/>
    <cellStyle name="Input 13 2 2 4 2 7" xfId="12695" xr:uid="{00000000-0005-0000-0000-0000C6300000}"/>
    <cellStyle name="Input 13 2 2 4 3" xfId="12696" xr:uid="{00000000-0005-0000-0000-0000C7300000}"/>
    <cellStyle name="Input 13 2 2 4 3 2" xfId="12697" xr:uid="{00000000-0005-0000-0000-0000C8300000}"/>
    <cellStyle name="Input 13 2 2 4 3 2 2" xfId="12698" xr:uid="{00000000-0005-0000-0000-0000C9300000}"/>
    <cellStyle name="Input 13 2 2 4 3 3" xfId="12699" xr:uid="{00000000-0005-0000-0000-0000CA300000}"/>
    <cellStyle name="Input 13 2 2 4 3 3 2" xfId="12700" xr:uid="{00000000-0005-0000-0000-0000CB300000}"/>
    <cellStyle name="Input 13 2 2 4 3 4" xfId="12701" xr:uid="{00000000-0005-0000-0000-0000CC300000}"/>
    <cellStyle name="Input 13 2 2 4 3 5" xfId="12702" xr:uid="{00000000-0005-0000-0000-0000CD300000}"/>
    <cellStyle name="Input 13 2 2 4 3 6" xfId="12703" xr:uid="{00000000-0005-0000-0000-0000CE300000}"/>
    <cellStyle name="Input 13 2 2 4 4" xfId="12704" xr:uid="{00000000-0005-0000-0000-0000CF300000}"/>
    <cellStyle name="Input 13 2 2 4 4 2" xfId="12705" xr:uid="{00000000-0005-0000-0000-0000D0300000}"/>
    <cellStyle name="Input 13 2 2 4 5" xfId="12706" xr:uid="{00000000-0005-0000-0000-0000D1300000}"/>
    <cellStyle name="Input 13 2 2 4 5 2" xfId="12707" xr:uid="{00000000-0005-0000-0000-0000D2300000}"/>
    <cellStyle name="Input 13 2 2 4 6" xfId="12708" xr:uid="{00000000-0005-0000-0000-0000D3300000}"/>
    <cellStyle name="Input 13 2 2 4 7" xfId="12709" xr:uid="{00000000-0005-0000-0000-0000D4300000}"/>
    <cellStyle name="Input 13 2 2 4 8" xfId="12710" xr:uid="{00000000-0005-0000-0000-0000D5300000}"/>
    <cellStyle name="Input 13 2 2 5" xfId="12711" xr:uid="{00000000-0005-0000-0000-0000D6300000}"/>
    <cellStyle name="Input 13 2 2 5 2" xfId="12712" xr:uid="{00000000-0005-0000-0000-0000D7300000}"/>
    <cellStyle name="Input 13 2 2 5 2 2" xfId="12713" xr:uid="{00000000-0005-0000-0000-0000D8300000}"/>
    <cellStyle name="Input 13 2 2 5 2 2 2" xfId="12714" xr:uid="{00000000-0005-0000-0000-0000D9300000}"/>
    <cellStyle name="Input 13 2 2 5 2 3" xfId="12715" xr:uid="{00000000-0005-0000-0000-0000DA300000}"/>
    <cellStyle name="Input 13 2 2 5 2 3 2" xfId="12716" xr:uid="{00000000-0005-0000-0000-0000DB300000}"/>
    <cellStyle name="Input 13 2 2 5 2 4" xfId="12717" xr:uid="{00000000-0005-0000-0000-0000DC300000}"/>
    <cellStyle name="Input 13 2 2 5 2 5" xfId="12718" xr:uid="{00000000-0005-0000-0000-0000DD300000}"/>
    <cellStyle name="Input 13 2 2 5 2 6" xfId="12719" xr:uid="{00000000-0005-0000-0000-0000DE300000}"/>
    <cellStyle name="Input 13 2 2 5 3" xfId="12720" xr:uid="{00000000-0005-0000-0000-0000DF300000}"/>
    <cellStyle name="Input 13 2 2 5 3 2" xfId="12721" xr:uid="{00000000-0005-0000-0000-0000E0300000}"/>
    <cellStyle name="Input 13 2 2 5 4" xfId="12722" xr:uid="{00000000-0005-0000-0000-0000E1300000}"/>
    <cellStyle name="Input 13 2 2 5 4 2" xfId="12723" xr:uid="{00000000-0005-0000-0000-0000E2300000}"/>
    <cellStyle name="Input 13 2 2 5 5" xfId="12724" xr:uid="{00000000-0005-0000-0000-0000E3300000}"/>
    <cellStyle name="Input 13 2 2 5 6" xfId="12725" xr:uid="{00000000-0005-0000-0000-0000E4300000}"/>
    <cellStyle name="Input 13 2 2 5 7" xfId="12726" xr:uid="{00000000-0005-0000-0000-0000E5300000}"/>
    <cellStyle name="Input 13 2 2 6" xfId="12727" xr:uid="{00000000-0005-0000-0000-0000E6300000}"/>
    <cellStyle name="Input 13 2 2 6 2" xfId="12728" xr:uid="{00000000-0005-0000-0000-0000E7300000}"/>
    <cellStyle name="Input 13 2 2 6 2 2" xfId="12729" xr:uid="{00000000-0005-0000-0000-0000E8300000}"/>
    <cellStyle name="Input 13 2 2 6 3" xfId="12730" xr:uid="{00000000-0005-0000-0000-0000E9300000}"/>
    <cellStyle name="Input 13 2 2 6 3 2" xfId="12731" xr:uid="{00000000-0005-0000-0000-0000EA300000}"/>
    <cellStyle name="Input 13 2 2 6 4" xfId="12732" xr:uid="{00000000-0005-0000-0000-0000EB300000}"/>
    <cellStyle name="Input 13 2 2 6 5" xfId="12733" xr:uid="{00000000-0005-0000-0000-0000EC300000}"/>
    <cellStyle name="Input 13 2 2 6 6" xfId="12734" xr:uid="{00000000-0005-0000-0000-0000ED300000}"/>
    <cellStyle name="Input 13 2 2 7" xfId="12735" xr:uid="{00000000-0005-0000-0000-0000EE300000}"/>
    <cellStyle name="Input 13 2 2 7 2" xfId="12736" xr:uid="{00000000-0005-0000-0000-0000EF300000}"/>
    <cellStyle name="Input 13 2 2 8" xfId="12737" xr:uid="{00000000-0005-0000-0000-0000F0300000}"/>
    <cellStyle name="Input 13 2 2 8 2" xfId="12738" xr:uid="{00000000-0005-0000-0000-0000F1300000}"/>
    <cellStyle name="Input 13 2 2 9" xfId="12739" xr:uid="{00000000-0005-0000-0000-0000F2300000}"/>
    <cellStyle name="Input 13 2 3" xfId="12740" xr:uid="{00000000-0005-0000-0000-0000F3300000}"/>
    <cellStyle name="Input 13 2 3 10" xfId="12741" xr:uid="{00000000-0005-0000-0000-0000F4300000}"/>
    <cellStyle name="Input 13 2 3 2" xfId="12742" xr:uid="{00000000-0005-0000-0000-0000F5300000}"/>
    <cellStyle name="Input 13 2 3 2 10" xfId="12743" xr:uid="{00000000-0005-0000-0000-0000F6300000}"/>
    <cellStyle name="Input 13 2 3 2 2" xfId="12744" xr:uid="{00000000-0005-0000-0000-0000F7300000}"/>
    <cellStyle name="Input 13 2 3 2 2 2" xfId="12745" xr:uid="{00000000-0005-0000-0000-0000F8300000}"/>
    <cellStyle name="Input 13 2 3 2 2 2 2" xfId="12746" xr:uid="{00000000-0005-0000-0000-0000F9300000}"/>
    <cellStyle name="Input 13 2 3 2 2 2 2 2" xfId="12747" xr:uid="{00000000-0005-0000-0000-0000FA300000}"/>
    <cellStyle name="Input 13 2 3 2 2 2 2 2 2" xfId="12748" xr:uid="{00000000-0005-0000-0000-0000FB300000}"/>
    <cellStyle name="Input 13 2 3 2 2 2 2 3" xfId="12749" xr:uid="{00000000-0005-0000-0000-0000FC300000}"/>
    <cellStyle name="Input 13 2 3 2 2 2 2 3 2" xfId="12750" xr:uid="{00000000-0005-0000-0000-0000FD300000}"/>
    <cellStyle name="Input 13 2 3 2 2 2 2 4" xfId="12751" xr:uid="{00000000-0005-0000-0000-0000FE300000}"/>
    <cellStyle name="Input 13 2 3 2 2 2 2 5" xfId="12752" xr:uid="{00000000-0005-0000-0000-0000FF300000}"/>
    <cellStyle name="Input 13 2 3 2 2 2 2 6" xfId="12753" xr:uid="{00000000-0005-0000-0000-000000310000}"/>
    <cellStyle name="Input 13 2 3 2 2 2 3" xfId="12754" xr:uid="{00000000-0005-0000-0000-000001310000}"/>
    <cellStyle name="Input 13 2 3 2 2 2 3 2" xfId="12755" xr:uid="{00000000-0005-0000-0000-000002310000}"/>
    <cellStyle name="Input 13 2 3 2 2 2 4" xfId="12756" xr:uid="{00000000-0005-0000-0000-000003310000}"/>
    <cellStyle name="Input 13 2 3 2 2 2 4 2" xfId="12757" xr:uid="{00000000-0005-0000-0000-000004310000}"/>
    <cellStyle name="Input 13 2 3 2 2 2 5" xfId="12758" xr:uid="{00000000-0005-0000-0000-000005310000}"/>
    <cellStyle name="Input 13 2 3 2 2 2 6" xfId="12759" xr:uid="{00000000-0005-0000-0000-000006310000}"/>
    <cellStyle name="Input 13 2 3 2 2 2 7" xfId="12760" xr:uid="{00000000-0005-0000-0000-000007310000}"/>
    <cellStyle name="Input 13 2 3 2 2 3" xfId="12761" xr:uid="{00000000-0005-0000-0000-000008310000}"/>
    <cellStyle name="Input 13 2 3 2 2 3 2" xfId="12762" xr:uid="{00000000-0005-0000-0000-000009310000}"/>
    <cellStyle name="Input 13 2 3 2 2 3 2 2" xfId="12763" xr:uid="{00000000-0005-0000-0000-00000A310000}"/>
    <cellStyle name="Input 13 2 3 2 2 3 3" xfId="12764" xr:uid="{00000000-0005-0000-0000-00000B310000}"/>
    <cellStyle name="Input 13 2 3 2 2 3 3 2" xfId="12765" xr:uid="{00000000-0005-0000-0000-00000C310000}"/>
    <cellStyle name="Input 13 2 3 2 2 3 4" xfId="12766" xr:uid="{00000000-0005-0000-0000-00000D310000}"/>
    <cellStyle name="Input 13 2 3 2 2 3 5" xfId="12767" xr:uid="{00000000-0005-0000-0000-00000E310000}"/>
    <cellStyle name="Input 13 2 3 2 2 3 6" xfId="12768" xr:uid="{00000000-0005-0000-0000-00000F310000}"/>
    <cellStyle name="Input 13 2 3 2 2 4" xfId="12769" xr:uid="{00000000-0005-0000-0000-000010310000}"/>
    <cellStyle name="Input 13 2 3 2 2 4 2" xfId="12770" xr:uid="{00000000-0005-0000-0000-000011310000}"/>
    <cellStyle name="Input 13 2 3 2 2 5" xfId="12771" xr:uid="{00000000-0005-0000-0000-000012310000}"/>
    <cellStyle name="Input 13 2 3 2 2 5 2" xfId="12772" xr:uid="{00000000-0005-0000-0000-000013310000}"/>
    <cellStyle name="Input 13 2 3 2 2 6" xfId="12773" xr:uid="{00000000-0005-0000-0000-000014310000}"/>
    <cellStyle name="Input 13 2 3 2 2 7" xfId="12774" xr:uid="{00000000-0005-0000-0000-000015310000}"/>
    <cellStyle name="Input 13 2 3 2 2 8" xfId="12775" xr:uid="{00000000-0005-0000-0000-000016310000}"/>
    <cellStyle name="Input 13 2 3 2 3" xfId="12776" xr:uid="{00000000-0005-0000-0000-000017310000}"/>
    <cellStyle name="Input 13 2 3 2 3 2" xfId="12777" xr:uid="{00000000-0005-0000-0000-000018310000}"/>
    <cellStyle name="Input 13 2 3 2 3 2 2" xfId="12778" xr:uid="{00000000-0005-0000-0000-000019310000}"/>
    <cellStyle name="Input 13 2 3 2 3 2 2 2" xfId="12779" xr:uid="{00000000-0005-0000-0000-00001A310000}"/>
    <cellStyle name="Input 13 2 3 2 3 2 2 2 2" xfId="12780" xr:uid="{00000000-0005-0000-0000-00001B310000}"/>
    <cellStyle name="Input 13 2 3 2 3 2 2 3" xfId="12781" xr:uid="{00000000-0005-0000-0000-00001C310000}"/>
    <cellStyle name="Input 13 2 3 2 3 2 2 3 2" xfId="12782" xr:uid="{00000000-0005-0000-0000-00001D310000}"/>
    <cellStyle name="Input 13 2 3 2 3 2 2 4" xfId="12783" xr:uid="{00000000-0005-0000-0000-00001E310000}"/>
    <cellStyle name="Input 13 2 3 2 3 2 2 5" xfId="12784" xr:uid="{00000000-0005-0000-0000-00001F310000}"/>
    <cellStyle name="Input 13 2 3 2 3 2 2 6" xfId="12785" xr:uid="{00000000-0005-0000-0000-000020310000}"/>
    <cellStyle name="Input 13 2 3 2 3 2 3" xfId="12786" xr:uid="{00000000-0005-0000-0000-000021310000}"/>
    <cellStyle name="Input 13 2 3 2 3 2 3 2" xfId="12787" xr:uid="{00000000-0005-0000-0000-000022310000}"/>
    <cellStyle name="Input 13 2 3 2 3 2 4" xfId="12788" xr:uid="{00000000-0005-0000-0000-000023310000}"/>
    <cellStyle name="Input 13 2 3 2 3 2 4 2" xfId="12789" xr:uid="{00000000-0005-0000-0000-000024310000}"/>
    <cellStyle name="Input 13 2 3 2 3 2 5" xfId="12790" xr:uid="{00000000-0005-0000-0000-000025310000}"/>
    <cellStyle name="Input 13 2 3 2 3 2 6" xfId="12791" xr:uid="{00000000-0005-0000-0000-000026310000}"/>
    <cellStyle name="Input 13 2 3 2 3 2 7" xfId="12792" xr:uid="{00000000-0005-0000-0000-000027310000}"/>
    <cellStyle name="Input 13 2 3 2 3 3" xfId="12793" xr:uid="{00000000-0005-0000-0000-000028310000}"/>
    <cellStyle name="Input 13 2 3 2 3 3 2" xfId="12794" xr:uid="{00000000-0005-0000-0000-000029310000}"/>
    <cellStyle name="Input 13 2 3 2 3 3 2 2" xfId="12795" xr:uid="{00000000-0005-0000-0000-00002A310000}"/>
    <cellStyle name="Input 13 2 3 2 3 3 3" xfId="12796" xr:uid="{00000000-0005-0000-0000-00002B310000}"/>
    <cellStyle name="Input 13 2 3 2 3 3 3 2" xfId="12797" xr:uid="{00000000-0005-0000-0000-00002C310000}"/>
    <cellStyle name="Input 13 2 3 2 3 3 4" xfId="12798" xr:uid="{00000000-0005-0000-0000-00002D310000}"/>
    <cellStyle name="Input 13 2 3 2 3 3 5" xfId="12799" xr:uid="{00000000-0005-0000-0000-00002E310000}"/>
    <cellStyle name="Input 13 2 3 2 3 3 6" xfId="12800" xr:uid="{00000000-0005-0000-0000-00002F310000}"/>
    <cellStyle name="Input 13 2 3 2 3 4" xfId="12801" xr:uid="{00000000-0005-0000-0000-000030310000}"/>
    <cellStyle name="Input 13 2 3 2 3 4 2" xfId="12802" xr:uid="{00000000-0005-0000-0000-000031310000}"/>
    <cellStyle name="Input 13 2 3 2 3 5" xfId="12803" xr:uid="{00000000-0005-0000-0000-000032310000}"/>
    <cellStyle name="Input 13 2 3 2 3 5 2" xfId="12804" xr:uid="{00000000-0005-0000-0000-000033310000}"/>
    <cellStyle name="Input 13 2 3 2 3 6" xfId="12805" xr:uid="{00000000-0005-0000-0000-000034310000}"/>
    <cellStyle name="Input 13 2 3 2 3 7" xfId="12806" xr:uid="{00000000-0005-0000-0000-000035310000}"/>
    <cellStyle name="Input 13 2 3 2 3 8" xfId="12807" xr:uid="{00000000-0005-0000-0000-000036310000}"/>
    <cellStyle name="Input 13 2 3 2 4" xfId="12808" xr:uid="{00000000-0005-0000-0000-000037310000}"/>
    <cellStyle name="Input 13 2 3 2 4 2" xfId="12809" xr:uid="{00000000-0005-0000-0000-000038310000}"/>
    <cellStyle name="Input 13 2 3 2 4 2 2" xfId="12810" xr:uid="{00000000-0005-0000-0000-000039310000}"/>
    <cellStyle name="Input 13 2 3 2 4 2 2 2" xfId="12811" xr:uid="{00000000-0005-0000-0000-00003A310000}"/>
    <cellStyle name="Input 13 2 3 2 4 2 3" xfId="12812" xr:uid="{00000000-0005-0000-0000-00003B310000}"/>
    <cellStyle name="Input 13 2 3 2 4 2 3 2" xfId="12813" xr:uid="{00000000-0005-0000-0000-00003C310000}"/>
    <cellStyle name="Input 13 2 3 2 4 2 4" xfId="12814" xr:uid="{00000000-0005-0000-0000-00003D310000}"/>
    <cellStyle name="Input 13 2 3 2 4 2 5" xfId="12815" xr:uid="{00000000-0005-0000-0000-00003E310000}"/>
    <cellStyle name="Input 13 2 3 2 4 2 6" xfId="12816" xr:uid="{00000000-0005-0000-0000-00003F310000}"/>
    <cellStyle name="Input 13 2 3 2 4 3" xfId="12817" xr:uid="{00000000-0005-0000-0000-000040310000}"/>
    <cellStyle name="Input 13 2 3 2 4 3 2" xfId="12818" xr:uid="{00000000-0005-0000-0000-000041310000}"/>
    <cellStyle name="Input 13 2 3 2 4 4" xfId="12819" xr:uid="{00000000-0005-0000-0000-000042310000}"/>
    <cellStyle name="Input 13 2 3 2 4 4 2" xfId="12820" xr:uid="{00000000-0005-0000-0000-000043310000}"/>
    <cellStyle name="Input 13 2 3 2 4 5" xfId="12821" xr:uid="{00000000-0005-0000-0000-000044310000}"/>
    <cellStyle name="Input 13 2 3 2 4 6" xfId="12822" xr:uid="{00000000-0005-0000-0000-000045310000}"/>
    <cellStyle name="Input 13 2 3 2 4 7" xfId="12823" xr:uid="{00000000-0005-0000-0000-000046310000}"/>
    <cellStyle name="Input 13 2 3 2 5" xfId="12824" xr:uid="{00000000-0005-0000-0000-000047310000}"/>
    <cellStyle name="Input 13 2 3 2 5 2" xfId="12825" xr:uid="{00000000-0005-0000-0000-000048310000}"/>
    <cellStyle name="Input 13 2 3 2 5 2 2" xfId="12826" xr:uid="{00000000-0005-0000-0000-000049310000}"/>
    <cellStyle name="Input 13 2 3 2 5 3" xfId="12827" xr:uid="{00000000-0005-0000-0000-00004A310000}"/>
    <cellStyle name="Input 13 2 3 2 5 3 2" xfId="12828" xr:uid="{00000000-0005-0000-0000-00004B310000}"/>
    <cellStyle name="Input 13 2 3 2 5 4" xfId="12829" xr:uid="{00000000-0005-0000-0000-00004C310000}"/>
    <cellStyle name="Input 13 2 3 2 5 5" xfId="12830" xr:uid="{00000000-0005-0000-0000-00004D310000}"/>
    <cellStyle name="Input 13 2 3 2 5 6" xfId="12831" xr:uid="{00000000-0005-0000-0000-00004E310000}"/>
    <cellStyle name="Input 13 2 3 2 6" xfId="12832" xr:uid="{00000000-0005-0000-0000-00004F310000}"/>
    <cellStyle name="Input 13 2 3 2 6 2" xfId="12833" xr:uid="{00000000-0005-0000-0000-000050310000}"/>
    <cellStyle name="Input 13 2 3 2 7" xfId="12834" xr:uid="{00000000-0005-0000-0000-000051310000}"/>
    <cellStyle name="Input 13 2 3 2 7 2" xfId="12835" xr:uid="{00000000-0005-0000-0000-000052310000}"/>
    <cellStyle name="Input 13 2 3 2 8" xfId="12836" xr:uid="{00000000-0005-0000-0000-000053310000}"/>
    <cellStyle name="Input 13 2 3 2 9" xfId="12837" xr:uid="{00000000-0005-0000-0000-000054310000}"/>
    <cellStyle name="Input 13 2 3 3" xfId="12838" xr:uid="{00000000-0005-0000-0000-000055310000}"/>
    <cellStyle name="Input 13 2 3 3 2" xfId="12839" xr:uid="{00000000-0005-0000-0000-000056310000}"/>
    <cellStyle name="Input 13 2 3 3 2 2" xfId="12840" xr:uid="{00000000-0005-0000-0000-000057310000}"/>
    <cellStyle name="Input 13 2 3 3 2 2 2" xfId="12841" xr:uid="{00000000-0005-0000-0000-000058310000}"/>
    <cellStyle name="Input 13 2 3 3 2 2 2 2" xfId="12842" xr:uid="{00000000-0005-0000-0000-000059310000}"/>
    <cellStyle name="Input 13 2 3 3 2 2 3" xfId="12843" xr:uid="{00000000-0005-0000-0000-00005A310000}"/>
    <cellStyle name="Input 13 2 3 3 2 2 3 2" xfId="12844" xr:uid="{00000000-0005-0000-0000-00005B310000}"/>
    <cellStyle name="Input 13 2 3 3 2 2 4" xfId="12845" xr:uid="{00000000-0005-0000-0000-00005C310000}"/>
    <cellStyle name="Input 13 2 3 3 2 2 5" xfId="12846" xr:uid="{00000000-0005-0000-0000-00005D310000}"/>
    <cellStyle name="Input 13 2 3 3 2 2 6" xfId="12847" xr:uid="{00000000-0005-0000-0000-00005E310000}"/>
    <cellStyle name="Input 13 2 3 3 2 3" xfId="12848" xr:uid="{00000000-0005-0000-0000-00005F310000}"/>
    <cellStyle name="Input 13 2 3 3 2 3 2" xfId="12849" xr:uid="{00000000-0005-0000-0000-000060310000}"/>
    <cellStyle name="Input 13 2 3 3 2 4" xfId="12850" xr:uid="{00000000-0005-0000-0000-000061310000}"/>
    <cellStyle name="Input 13 2 3 3 2 4 2" xfId="12851" xr:uid="{00000000-0005-0000-0000-000062310000}"/>
    <cellStyle name="Input 13 2 3 3 2 5" xfId="12852" xr:uid="{00000000-0005-0000-0000-000063310000}"/>
    <cellStyle name="Input 13 2 3 3 2 6" xfId="12853" xr:uid="{00000000-0005-0000-0000-000064310000}"/>
    <cellStyle name="Input 13 2 3 3 2 7" xfId="12854" xr:uid="{00000000-0005-0000-0000-000065310000}"/>
    <cellStyle name="Input 13 2 3 3 3" xfId="12855" xr:uid="{00000000-0005-0000-0000-000066310000}"/>
    <cellStyle name="Input 13 2 3 3 3 2" xfId="12856" xr:uid="{00000000-0005-0000-0000-000067310000}"/>
    <cellStyle name="Input 13 2 3 3 3 2 2" xfId="12857" xr:uid="{00000000-0005-0000-0000-000068310000}"/>
    <cellStyle name="Input 13 2 3 3 3 3" xfId="12858" xr:uid="{00000000-0005-0000-0000-000069310000}"/>
    <cellStyle name="Input 13 2 3 3 3 3 2" xfId="12859" xr:uid="{00000000-0005-0000-0000-00006A310000}"/>
    <cellStyle name="Input 13 2 3 3 3 4" xfId="12860" xr:uid="{00000000-0005-0000-0000-00006B310000}"/>
    <cellStyle name="Input 13 2 3 3 3 5" xfId="12861" xr:uid="{00000000-0005-0000-0000-00006C310000}"/>
    <cellStyle name="Input 13 2 3 3 3 6" xfId="12862" xr:uid="{00000000-0005-0000-0000-00006D310000}"/>
    <cellStyle name="Input 13 2 3 3 4" xfId="12863" xr:uid="{00000000-0005-0000-0000-00006E310000}"/>
    <cellStyle name="Input 13 2 3 3 4 2" xfId="12864" xr:uid="{00000000-0005-0000-0000-00006F310000}"/>
    <cellStyle name="Input 13 2 3 3 5" xfId="12865" xr:uid="{00000000-0005-0000-0000-000070310000}"/>
    <cellStyle name="Input 13 2 3 3 5 2" xfId="12866" xr:uid="{00000000-0005-0000-0000-000071310000}"/>
    <cellStyle name="Input 13 2 3 3 6" xfId="12867" xr:uid="{00000000-0005-0000-0000-000072310000}"/>
    <cellStyle name="Input 13 2 3 3 7" xfId="12868" xr:uid="{00000000-0005-0000-0000-000073310000}"/>
    <cellStyle name="Input 13 2 3 3 8" xfId="12869" xr:uid="{00000000-0005-0000-0000-000074310000}"/>
    <cellStyle name="Input 13 2 3 4" xfId="12870" xr:uid="{00000000-0005-0000-0000-000075310000}"/>
    <cellStyle name="Input 13 2 3 4 2" xfId="12871" xr:uid="{00000000-0005-0000-0000-000076310000}"/>
    <cellStyle name="Input 13 2 3 4 2 2" xfId="12872" xr:uid="{00000000-0005-0000-0000-000077310000}"/>
    <cellStyle name="Input 13 2 3 4 2 2 2" xfId="12873" xr:uid="{00000000-0005-0000-0000-000078310000}"/>
    <cellStyle name="Input 13 2 3 4 2 3" xfId="12874" xr:uid="{00000000-0005-0000-0000-000079310000}"/>
    <cellStyle name="Input 13 2 3 4 2 3 2" xfId="12875" xr:uid="{00000000-0005-0000-0000-00007A310000}"/>
    <cellStyle name="Input 13 2 3 4 2 4" xfId="12876" xr:uid="{00000000-0005-0000-0000-00007B310000}"/>
    <cellStyle name="Input 13 2 3 4 2 5" xfId="12877" xr:uid="{00000000-0005-0000-0000-00007C310000}"/>
    <cellStyle name="Input 13 2 3 4 2 6" xfId="12878" xr:uid="{00000000-0005-0000-0000-00007D310000}"/>
    <cellStyle name="Input 13 2 3 4 3" xfId="12879" xr:uid="{00000000-0005-0000-0000-00007E310000}"/>
    <cellStyle name="Input 13 2 3 4 3 2" xfId="12880" xr:uid="{00000000-0005-0000-0000-00007F310000}"/>
    <cellStyle name="Input 13 2 3 4 4" xfId="12881" xr:uid="{00000000-0005-0000-0000-000080310000}"/>
    <cellStyle name="Input 13 2 3 4 4 2" xfId="12882" xr:uid="{00000000-0005-0000-0000-000081310000}"/>
    <cellStyle name="Input 13 2 3 4 5" xfId="12883" xr:uid="{00000000-0005-0000-0000-000082310000}"/>
    <cellStyle name="Input 13 2 3 4 6" xfId="12884" xr:uid="{00000000-0005-0000-0000-000083310000}"/>
    <cellStyle name="Input 13 2 3 4 7" xfId="12885" xr:uid="{00000000-0005-0000-0000-000084310000}"/>
    <cellStyle name="Input 13 2 3 5" xfId="12886" xr:uid="{00000000-0005-0000-0000-000085310000}"/>
    <cellStyle name="Input 13 2 3 5 2" xfId="12887" xr:uid="{00000000-0005-0000-0000-000086310000}"/>
    <cellStyle name="Input 13 2 3 5 2 2" xfId="12888" xr:uid="{00000000-0005-0000-0000-000087310000}"/>
    <cellStyle name="Input 13 2 3 5 3" xfId="12889" xr:uid="{00000000-0005-0000-0000-000088310000}"/>
    <cellStyle name="Input 13 2 3 5 3 2" xfId="12890" xr:uid="{00000000-0005-0000-0000-000089310000}"/>
    <cellStyle name="Input 13 2 3 5 4" xfId="12891" xr:uid="{00000000-0005-0000-0000-00008A310000}"/>
    <cellStyle name="Input 13 2 3 5 5" xfId="12892" xr:uid="{00000000-0005-0000-0000-00008B310000}"/>
    <cellStyle name="Input 13 2 3 5 6" xfId="12893" xr:uid="{00000000-0005-0000-0000-00008C310000}"/>
    <cellStyle name="Input 13 2 3 6" xfId="12894" xr:uid="{00000000-0005-0000-0000-00008D310000}"/>
    <cellStyle name="Input 13 2 3 6 2" xfId="12895" xr:uid="{00000000-0005-0000-0000-00008E310000}"/>
    <cellStyle name="Input 13 2 3 7" xfId="12896" xr:uid="{00000000-0005-0000-0000-00008F310000}"/>
    <cellStyle name="Input 13 2 3 7 2" xfId="12897" xr:uid="{00000000-0005-0000-0000-000090310000}"/>
    <cellStyle name="Input 13 2 3 8" xfId="12898" xr:uid="{00000000-0005-0000-0000-000091310000}"/>
    <cellStyle name="Input 13 2 3 9" xfId="12899" xr:uid="{00000000-0005-0000-0000-000092310000}"/>
    <cellStyle name="Input 13 2 4" xfId="12900" xr:uid="{00000000-0005-0000-0000-000093310000}"/>
    <cellStyle name="Input 13 2 4 10" xfId="12901" xr:uid="{00000000-0005-0000-0000-000094310000}"/>
    <cellStyle name="Input 13 2 4 2" xfId="12902" xr:uid="{00000000-0005-0000-0000-000095310000}"/>
    <cellStyle name="Input 13 2 4 2 2" xfId="12903" xr:uid="{00000000-0005-0000-0000-000096310000}"/>
    <cellStyle name="Input 13 2 4 2 2 2" xfId="12904" xr:uid="{00000000-0005-0000-0000-000097310000}"/>
    <cellStyle name="Input 13 2 4 2 2 2 2" xfId="12905" xr:uid="{00000000-0005-0000-0000-000098310000}"/>
    <cellStyle name="Input 13 2 4 2 2 2 2 2" xfId="12906" xr:uid="{00000000-0005-0000-0000-000099310000}"/>
    <cellStyle name="Input 13 2 4 2 2 2 3" xfId="12907" xr:uid="{00000000-0005-0000-0000-00009A310000}"/>
    <cellStyle name="Input 13 2 4 2 2 2 3 2" xfId="12908" xr:uid="{00000000-0005-0000-0000-00009B310000}"/>
    <cellStyle name="Input 13 2 4 2 2 2 4" xfId="12909" xr:uid="{00000000-0005-0000-0000-00009C310000}"/>
    <cellStyle name="Input 13 2 4 2 2 2 5" xfId="12910" xr:uid="{00000000-0005-0000-0000-00009D310000}"/>
    <cellStyle name="Input 13 2 4 2 2 2 6" xfId="12911" xr:uid="{00000000-0005-0000-0000-00009E310000}"/>
    <cellStyle name="Input 13 2 4 2 2 3" xfId="12912" xr:uid="{00000000-0005-0000-0000-00009F310000}"/>
    <cellStyle name="Input 13 2 4 2 2 3 2" xfId="12913" xr:uid="{00000000-0005-0000-0000-0000A0310000}"/>
    <cellStyle name="Input 13 2 4 2 2 4" xfId="12914" xr:uid="{00000000-0005-0000-0000-0000A1310000}"/>
    <cellStyle name="Input 13 2 4 2 2 4 2" xfId="12915" xr:uid="{00000000-0005-0000-0000-0000A2310000}"/>
    <cellStyle name="Input 13 2 4 2 2 5" xfId="12916" xr:uid="{00000000-0005-0000-0000-0000A3310000}"/>
    <cellStyle name="Input 13 2 4 2 2 6" xfId="12917" xr:uid="{00000000-0005-0000-0000-0000A4310000}"/>
    <cellStyle name="Input 13 2 4 2 2 7" xfId="12918" xr:uid="{00000000-0005-0000-0000-0000A5310000}"/>
    <cellStyle name="Input 13 2 4 2 3" xfId="12919" xr:uid="{00000000-0005-0000-0000-0000A6310000}"/>
    <cellStyle name="Input 13 2 4 2 3 2" xfId="12920" xr:uid="{00000000-0005-0000-0000-0000A7310000}"/>
    <cellStyle name="Input 13 2 4 2 3 2 2" xfId="12921" xr:uid="{00000000-0005-0000-0000-0000A8310000}"/>
    <cellStyle name="Input 13 2 4 2 3 3" xfId="12922" xr:uid="{00000000-0005-0000-0000-0000A9310000}"/>
    <cellStyle name="Input 13 2 4 2 3 3 2" xfId="12923" xr:uid="{00000000-0005-0000-0000-0000AA310000}"/>
    <cellStyle name="Input 13 2 4 2 3 4" xfId="12924" xr:uid="{00000000-0005-0000-0000-0000AB310000}"/>
    <cellStyle name="Input 13 2 4 2 3 5" xfId="12925" xr:uid="{00000000-0005-0000-0000-0000AC310000}"/>
    <cellStyle name="Input 13 2 4 2 3 6" xfId="12926" xr:uid="{00000000-0005-0000-0000-0000AD310000}"/>
    <cellStyle name="Input 13 2 4 2 4" xfId="12927" xr:uid="{00000000-0005-0000-0000-0000AE310000}"/>
    <cellStyle name="Input 13 2 4 2 4 2" xfId="12928" xr:uid="{00000000-0005-0000-0000-0000AF310000}"/>
    <cellStyle name="Input 13 2 4 2 5" xfId="12929" xr:uid="{00000000-0005-0000-0000-0000B0310000}"/>
    <cellStyle name="Input 13 2 4 2 5 2" xfId="12930" xr:uid="{00000000-0005-0000-0000-0000B1310000}"/>
    <cellStyle name="Input 13 2 4 2 6" xfId="12931" xr:uid="{00000000-0005-0000-0000-0000B2310000}"/>
    <cellStyle name="Input 13 2 4 2 7" xfId="12932" xr:uid="{00000000-0005-0000-0000-0000B3310000}"/>
    <cellStyle name="Input 13 2 4 2 8" xfId="12933" xr:uid="{00000000-0005-0000-0000-0000B4310000}"/>
    <cellStyle name="Input 13 2 4 3" xfId="12934" xr:uid="{00000000-0005-0000-0000-0000B5310000}"/>
    <cellStyle name="Input 13 2 4 3 2" xfId="12935" xr:uid="{00000000-0005-0000-0000-0000B6310000}"/>
    <cellStyle name="Input 13 2 4 3 2 2" xfId="12936" xr:uid="{00000000-0005-0000-0000-0000B7310000}"/>
    <cellStyle name="Input 13 2 4 3 2 2 2" xfId="12937" xr:uid="{00000000-0005-0000-0000-0000B8310000}"/>
    <cellStyle name="Input 13 2 4 3 2 2 2 2" xfId="12938" xr:uid="{00000000-0005-0000-0000-0000B9310000}"/>
    <cellStyle name="Input 13 2 4 3 2 2 3" xfId="12939" xr:uid="{00000000-0005-0000-0000-0000BA310000}"/>
    <cellStyle name="Input 13 2 4 3 2 2 3 2" xfId="12940" xr:uid="{00000000-0005-0000-0000-0000BB310000}"/>
    <cellStyle name="Input 13 2 4 3 2 2 4" xfId="12941" xr:uid="{00000000-0005-0000-0000-0000BC310000}"/>
    <cellStyle name="Input 13 2 4 3 2 2 5" xfId="12942" xr:uid="{00000000-0005-0000-0000-0000BD310000}"/>
    <cellStyle name="Input 13 2 4 3 2 2 6" xfId="12943" xr:uid="{00000000-0005-0000-0000-0000BE310000}"/>
    <cellStyle name="Input 13 2 4 3 2 3" xfId="12944" xr:uid="{00000000-0005-0000-0000-0000BF310000}"/>
    <cellStyle name="Input 13 2 4 3 2 3 2" xfId="12945" xr:uid="{00000000-0005-0000-0000-0000C0310000}"/>
    <cellStyle name="Input 13 2 4 3 2 4" xfId="12946" xr:uid="{00000000-0005-0000-0000-0000C1310000}"/>
    <cellStyle name="Input 13 2 4 3 2 4 2" xfId="12947" xr:uid="{00000000-0005-0000-0000-0000C2310000}"/>
    <cellStyle name="Input 13 2 4 3 2 5" xfId="12948" xr:uid="{00000000-0005-0000-0000-0000C3310000}"/>
    <cellStyle name="Input 13 2 4 3 2 6" xfId="12949" xr:uid="{00000000-0005-0000-0000-0000C4310000}"/>
    <cellStyle name="Input 13 2 4 3 2 7" xfId="12950" xr:uid="{00000000-0005-0000-0000-0000C5310000}"/>
    <cellStyle name="Input 13 2 4 3 3" xfId="12951" xr:uid="{00000000-0005-0000-0000-0000C6310000}"/>
    <cellStyle name="Input 13 2 4 3 3 2" xfId="12952" xr:uid="{00000000-0005-0000-0000-0000C7310000}"/>
    <cellStyle name="Input 13 2 4 3 3 2 2" xfId="12953" xr:uid="{00000000-0005-0000-0000-0000C8310000}"/>
    <cellStyle name="Input 13 2 4 3 3 3" xfId="12954" xr:uid="{00000000-0005-0000-0000-0000C9310000}"/>
    <cellStyle name="Input 13 2 4 3 3 3 2" xfId="12955" xr:uid="{00000000-0005-0000-0000-0000CA310000}"/>
    <cellStyle name="Input 13 2 4 3 3 4" xfId="12956" xr:uid="{00000000-0005-0000-0000-0000CB310000}"/>
    <cellStyle name="Input 13 2 4 3 3 5" xfId="12957" xr:uid="{00000000-0005-0000-0000-0000CC310000}"/>
    <cellStyle name="Input 13 2 4 3 3 6" xfId="12958" xr:uid="{00000000-0005-0000-0000-0000CD310000}"/>
    <cellStyle name="Input 13 2 4 3 4" xfId="12959" xr:uid="{00000000-0005-0000-0000-0000CE310000}"/>
    <cellStyle name="Input 13 2 4 3 4 2" xfId="12960" xr:uid="{00000000-0005-0000-0000-0000CF310000}"/>
    <cellStyle name="Input 13 2 4 3 5" xfId="12961" xr:uid="{00000000-0005-0000-0000-0000D0310000}"/>
    <cellStyle name="Input 13 2 4 3 5 2" xfId="12962" xr:uid="{00000000-0005-0000-0000-0000D1310000}"/>
    <cellStyle name="Input 13 2 4 3 6" xfId="12963" xr:uid="{00000000-0005-0000-0000-0000D2310000}"/>
    <cellStyle name="Input 13 2 4 3 7" xfId="12964" xr:uid="{00000000-0005-0000-0000-0000D3310000}"/>
    <cellStyle name="Input 13 2 4 3 8" xfId="12965" xr:uid="{00000000-0005-0000-0000-0000D4310000}"/>
    <cellStyle name="Input 13 2 4 4" xfId="12966" xr:uid="{00000000-0005-0000-0000-0000D5310000}"/>
    <cellStyle name="Input 13 2 4 4 2" xfId="12967" xr:uid="{00000000-0005-0000-0000-0000D6310000}"/>
    <cellStyle name="Input 13 2 4 4 2 2" xfId="12968" xr:uid="{00000000-0005-0000-0000-0000D7310000}"/>
    <cellStyle name="Input 13 2 4 4 2 2 2" xfId="12969" xr:uid="{00000000-0005-0000-0000-0000D8310000}"/>
    <cellStyle name="Input 13 2 4 4 2 3" xfId="12970" xr:uid="{00000000-0005-0000-0000-0000D9310000}"/>
    <cellStyle name="Input 13 2 4 4 2 3 2" xfId="12971" xr:uid="{00000000-0005-0000-0000-0000DA310000}"/>
    <cellStyle name="Input 13 2 4 4 2 4" xfId="12972" xr:uid="{00000000-0005-0000-0000-0000DB310000}"/>
    <cellStyle name="Input 13 2 4 4 2 5" xfId="12973" xr:uid="{00000000-0005-0000-0000-0000DC310000}"/>
    <cellStyle name="Input 13 2 4 4 2 6" xfId="12974" xr:uid="{00000000-0005-0000-0000-0000DD310000}"/>
    <cellStyle name="Input 13 2 4 4 3" xfId="12975" xr:uid="{00000000-0005-0000-0000-0000DE310000}"/>
    <cellStyle name="Input 13 2 4 4 3 2" xfId="12976" xr:uid="{00000000-0005-0000-0000-0000DF310000}"/>
    <cellStyle name="Input 13 2 4 4 4" xfId="12977" xr:uid="{00000000-0005-0000-0000-0000E0310000}"/>
    <cellStyle name="Input 13 2 4 4 4 2" xfId="12978" xr:uid="{00000000-0005-0000-0000-0000E1310000}"/>
    <cellStyle name="Input 13 2 4 4 5" xfId="12979" xr:uid="{00000000-0005-0000-0000-0000E2310000}"/>
    <cellStyle name="Input 13 2 4 4 6" xfId="12980" xr:uid="{00000000-0005-0000-0000-0000E3310000}"/>
    <cellStyle name="Input 13 2 4 4 7" xfId="12981" xr:uid="{00000000-0005-0000-0000-0000E4310000}"/>
    <cellStyle name="Input 13 2 4 5" xfId="12982" xr:uid="{00000000-0005-0000-0000-0000E5310000}"/>
    <cellStyle name="Input 13 2 4 5 2" xfId="12983" xr:uid="{00000000-0005-0000-0000-0000E6310000}"/>
    <cellStyle name="Input 13 2 4 5 2 2" xfId="12984" xr:uid="{00000000-0005-0000-0000-0000E7310000}"/>
    <cellStyle name="Input 13 2 4 5 3" xfId="12985" xr:uid="{00000000-0005-0000-0000-0000E8310000}"/>
    <cellStyle name="Input 13 2 4 5 3 2" xfId="12986" xr:uid="{00000000-0005-0000-0000-0000E9310000}"/>
    <cellStyle name="Input 13 2 4 5 4" xfId="12987" xr:uid="{00000000-0005-0000-0000-0000EA310000}"/>
    <cellStyle name="Input 13 2 4 5 5" xfId="12988" xr:uid="{00000000-0005-0000-0000-0000EB310000}"/>
    <cellStyle name="Input 13 2 4 5 6" xfId="12989" xr:uid="{00000000-0005-0000-0000-0000EC310000}"/>
    <cellStyle name="Input 13 2 4 6" xfId="12990" xr:uid="{00000000-0005-0000-0000-0000ED310000}"/>
    <cellStyle name="Input 13 2 4 6 2" xfId="12991" xr:uid="{00000000-0005-0000-0000-0000EE310000}"/>
    <cellStyle name="Input 13 2 4 7" xfId="12992" xr:uid="{00000000-0005-0000-0000-0000EF310000}"/>
    <cellStyle name="Input 13 2 4 7 2" xfId="12993" xr:uid="{00000000-0005-0000-0000-0000F0310000}"/>
    <cellStyle name="Input 13 2 4 8" xfId="12994" xr:uid="{00000000-0005-0000-0000-0000F1310000}"/>
    <cellStyle name="Input 13 2 4 9" xfId="12995" xr:uid="{00000000-0005-0000-0000-0000F2310000}"/>
    <cellStyle name="Input 13 2 5" xfId="12996" xr:uid="{00000000-0005-0000-0000-0000F3310000}"/>
    <cellStyle name="Input 13 2 5 2" xfId="12997" xr:uid="{00000000-0005-0000-0000-0000F4310000}"/>
    <cellStyle name="Input 13 2 5 2 2" xfId="12998" xr:uid="{00000000-0005-0000-0000-0000F5310000}"/>
    <cellStyle name="Input 13 2 5 2 2 2" xfId="12999" xr:uid="{00000000-0005-0000-0000-0000F6310000}"/>
    <cellStyle name="Input 13 2 5 2 2 2 2" xfId="13000" xr:uid="{00000000-0005-0000-0000-0000F7310000}"/>
    <cellStyle name="Input 13 2 5 2 2 3" xfId="13001" xr:uid="{00000000-0005-0000-0000-0000F8310000}"/>
    <cellStyle name="Input 13 2 5 2 2 3 2" xfId="13002" xr:uid="{00000000-0005-0000-0000-0000F9310000}"/>
    <cellStyle name="Input 13 2 5 2 2 4" xfId="13003" xr:uid="{00000000-0005-0000-0000-0000FA310000}"/>
    <cellStyle name="Input 13 2 5 2 2 5" xfId="13004" xr:uid="{00000000-0005-0000-0000-0000FB310000}"/>
    <cellStyle name="Input 13 2 5 2 2 6" xfId="13005" xr:uid="{00000000-0005-0000-0000-0000FC310000}"/>
    <cellStyle name="Input 13 2 5 2 3" xfId="13006" xr:uid="{00000000-0005-0000-0000-0000FD310000}"/>
    <cellStyle name="Input 13 2 5 2 3 2" xfId="13007" xr:uid="{00000000-0005-0000-0000-0000FE310000}"/>
    <cellStyle name="Input 13 2 5 2 4" xfId="13008" xr:uid="{00000000-0005-0000-0000-0000FF310000}"/>
    <cellStyle name="Input 13 2 5 2 4 2" xfId="13009" xr:uid="{00000000-0005-0000-0000-000000320000}"/>
    <cellStyle name="Input 13 2 5 2 5" xfId="13010" xr:uid="{00000000-0005-0000-0000-000001320000}"/>
    <cellStyle name="Input 13 2 5 2 6" xfId="13011" xr:uid="{00000000-0005-0000-0000-000002320000}"/>
    <cellStyle name="Input 13 2 5 2 7" xfId="13012" xr:uid="{00000000-0005-0000-0000-000003320000}"/>
    <cellStyle name="Input 13 2 5 3" xfId="13013" xr:uid="{00000000-0005-0000-0000-000004320000}"/>
    <cellStyle name="Input 13 2 5 3 2" xfId="13014" xr:uid="{00000000-0005-0000-0000-000005320000}"/>
    <cellStyle name="Input 13 2 5 3 2 2" xfId="13015" xr:uid="{00000000-0005-0000-0000-000006320000}"/>
    <cellStyle name="Input 13 2 5 3 3" xfId="13016" xr:uid="{00000000-0005-0000-0000-000007320000}"/>
    <cellStyle name="Input 13 2 5 3 3 2" xfId="13017" xr:uid="{00000000-0005-0000-0000-000008320000}"/>
    <cellStyle name="Input 13 2 5 3 4" xfId="13018" xr:uid="{00000000-0005-0000-0000-000009320000}"/>
    <cellStyle name="Input 13 2 5 3 5" xfId="13019" xr:uid="{00000000-0005-0000-0000-00000A320000}"/>
    <cellStyle name="Input 13 2 5 3 6" xfId="13020" xr:uid="{00000000-0005-0000-0000-00000B320000}"/>
    <cellStyle name="Input 13 2 5 4" xfId="13021" xr:uid="{00000000-0005-0000-0000-00000C320000}"/>
    <cellStyle name="Input 13 2 5 4 2" xfId="13022" xr:uid="{00000000-0005-0000-0000-00000D320000}"/>
    <cellStyle name="Input 13 2 5 5" xfId="13023" xr:uid="{00000000-0005-0000-0000-00000E320000}"/>
    <cellStyle name="Input 13 2 5 5 2" xfId="13024" xr:uid="{00000000-0005-0000-0000-00000F320000}"/>
    <cellStyle name="Input 13 2 5 6" xfId="13025" xr:uid="{00000000-0005-0000-0000-000010320000}"/>
    <cellStyle name="Input 13 2 5 7" xfId="13026" xr:uid="{00000000-0005-0000-0000-000011320000}"/>
    <cellStyle name="Input 13 2 5 8" xfId="13027" xr:uid="{00000000-0005-0000-0000-000012320000}"/>
    <cellStyle name="Input 13 2 6" xfId="13028" xr:uid="{00000000-0005-0000-0000-000013320000}"/>
    <cellStyle name="Input 13 2 6 2" xfId="13029" xr:uid="{00000000-0005-0000-0000-000014320000}"/>
    <cellStyle name="Input 13 2 6 2 2" xfId="13030" xr:uid="{00000000-0005-0000-0000-000015320000}"/>
    <cellStyle name="Input 13 2 6 2 2 2" xfId="13031" xr:uid="{00000000-0005-0000-0000-000016320000}"/>
    <cellStyle name="Input 13 2 6 2 3" xfId="13032" xr:uid="{00000000-0005-0000-0000-000017320000}"/>
    <cellStyle name="Input 13 2 6 2 3 2" xfId="13033" xr:uid="{00000000-0005-0000-0000-000018320000}"/>
    <cellStyle name="Input 13 2 6 2 4" xfId="13034" xr:uid="{00000000-0005-0000-0000-000019320000}"/>
    <cellStyle name="Input 13 2 6 2 5" xfId="13035" xr:uid="{00000000-0005-0000-0000-00001A320000}"/>
    <cellStyle name="Input 13 2 6 2 6" xfId="13036" xr:uid="{00000000-0005-0000-0000-00001B320000}"/>
    <cellStyle name="Input 13 2 6 3" xfId="13037" xr:uid="{00000000-0005-0000-0000-00001C320000}"/>
    <cellStyle name="Input 13 2 6 3 2" xfId="13038" xr:uid="{00000000-0005-0000-0000-00001D320000}"/>
    <cellStyle name="Input 13 2 6 4" xfId="13039" xr:uid="{00000000-0005-0000-0000-00001E320000}"/>
    <cellStyle name="Input 13 2 6 4 2" xfId="13040" xr:uid="{00000000-0005-0000-0000-00001F320000}"/>
    <cellStyle name="Input 13 2 6 5" xfId="13041" xr:uid="{00000000-0005-0000-0000-000020320000}"/>
    <cellStyle name="Input 13 2 6 6" xfId="13042" xr:uid="{00000000-0005-0000-0000-000021320000}"/>
    <cellStyle name="Input 13 2 6 7" xfId="13043" xr:uid="{00000000-0005-0000-0000-000022320000}"/>
    <cellStyle name="Input 13 2 7" xfId="13044" xr:uid="{00000000-0005-0000-0000-000023320000}"/>
    <cellStyle name="Input 13 2 7 2" xfId="13045" xr:uid="{00000000-0005-0000-0000-000024320000}"/>
    <cellStyle name="Input 13 2 7 2 2" xfId="13046" xr:uid="{00000000-0005-0000-0000-000025320000}"/>
    <cellStyle name="Input 13 2 7 3" xfId="13047" xr:uid="{00000000-0005-0000-0000-000026320000}"/>
    <cellStyle name="Input 13 2 7 3 2" xfId="13048" xr:uid="{00000000-0005-0000-0000-000027320000}"/>
    <cellStyle name="Input 13 2 7 4" xfId="13049" xr:uid="{00000000-0005-0000-0000-000028320000}"/>
    <cellStyle name="Input 13 2 7 5" xfId="13050" xr:uid="{00000000-0005-0000-0000-000029320000}"/>
    <cellStyle name="Input 13 2 7 6" xfId="13051" xr:uid="{00000000-0005-0000-0000-00002A320000}"/>
    <cellStyle name="Input 13 2 8" xfId="13052" xr:uid="{00000000-0005-0000-0000-00002B320000}"/>
    <cellStyle name="Input 13 2 8 2" xfId="13053" xr:uid="{00000000-0005-0000-0000-00002C320000}"/>
    <cellStyle name="Input 13 2 9" xfId="13054" xr:uid="{00000000-0005-0000-0000-00002D320000}"/>
    <cellStyle name="Input 13 2 9 2" xfId="13055" xr:uid="{00000000-0005-0000-0000-00002E320000}"/>
    <cellStyle name="Input 13 3" xfId="13056" xr:uid="{00000000-0005-0000-0000-00002F320000}"/>
    <cellStyle name="Input 13 3 10" xfId="13057" xr:uid="{00000000-0005-0000-0000-000030320000}"/>
    <cellStyle name="Input 13 3 11" xfId="13058" xr:uid="{00000000-0005-0000-0000-000031320000}"/>
    <cellStyle name="Input 13 3 2" xfId="13059" xr:uid="{00000000-0005-0000-0000-000032320000}"/>
    <cellStyle name="Input 13 3 2 10" xfId="13060" xr:uid="{00000000-0005-0000-0000-000033320000}"/>
    <cellStyle name="Input 13 3 2 2" xfId="13061" xr:uid="{00000000-0005-0000-0000-000034320000}"/>
    <cellStyle name="Input 13 3 2 2 10" xfId="13062" xr:uid="{00000000-0005-0000-0000-000035320000}"/>
    <cellStyle name="Input 13 3 2 2 2" xfId="13063" xr:uid="{00000000-0005-0000-0000-000036320000}"/>
    <cellStyle name="Input 13 3 2 2 2 2" xfId="13064" xr:uid="{00000000-0005-0000-0000-000037320000}"/>
    <cellStyle name="Input 13 3 2 2 2 2 2" xfId="13065" xr:uid="{00000000-0005-0000-0000-000038320000}"/>
    <cellStyle name="Input 13 3 2 2 2 2 2 2" xfId="13066" xr:uid="{00000000-0005-0000-0000-000039320000}"/>
    <cellStyle name="Input 13 3 2 2 2 2 2 2 2" xfId="13067" xr:uid="{00000000-0005-0000-0000-00003A320000}"/>
    <cellStyle name="Input 13 3 2 2 2 2 2 3" xfId="13068" xr:uid="{00000000-0005-0000-0000-00003B320000}"/>
    <cellStyle name="Input 13 3 2 2 2 2 2 3 2" xfId="13069" xr:uid="{00000000-0005-0000-0000-00003C320000}"/>
    <cellStyle name="Input 13 3 2 2 2 2 2 4" xfId="13070" xr:uid="{00000000-0005-0000-0000-00003D320000}"/>
    <cellStyle name="Input 13 3 2 2 2 2 2 5" xfId="13071" xr:uid="{00000000-0005-0000-0000-00003E320000}"/>
    <cellStyle name="Input 13 3 2 2 2 2 2 6" xfId="13072" xr:uid="{00000000-0005-0000-0000-00003F320000}"/>
    <cellStyle name="Input 13 3 2 2 2 2 3" xfId="13073" xr:uid="{00000000-0005-0000-0000-000040320000}"/>
    <cellStyle name="Input 13 3 2 2 2 2 3 2" xfId="13074" xr:uid="{00000000-0005-0000-0000-000041320000}"/>
    <cellStyle name="Input 13 3 2 2 2 2 4" xfId="13075" xr:uid="{00000000-0005-0000-0000-000042320000}"/>
    <cellStyle name="Input 13 3 2 2 2 2 4 2" xfId="13076" xr:uid="{00000000-0005-0000-0000-000043320000}"/>
    <cellStyle name="Input 13 3 2 2 2 2 5" xfId="13077" xr:uid="{00000000-0005-0000-0000-000044320000}"/>
    <cellStyle name="Input 13 3 2 2 2 2 6" xfId="13078" xr:uid="{00000000-0005-0000-0000-000045320000}"/>
    <cellStyle name="Input 13 3 2 2 2 2 7" xfId="13079" xr:uid="{00000000-0005-0000-0000-000046320000}"/>
    <cellStyle name="Input 13 3 2 2 2 3" xfId="13080" xr:uid="{00000000-0005-0000-0000-000047320000}"/>
    <cellStyle name="Input 13 3 2 2 2 3 2" xfId="13081" xr:uid="{00000000-0005-0000-0000-000048320000}"/>
    <cellStyle name="Input 13 3 2 2 2 3 2 2" xfId="13082" xr:uid="{00000000-0005-0000-0000-000049320000}"/>
    <cellStyle name="Input 13 3 2 2 2 3 3" xfId="13083" xr:uid="{00000000-0005-0000-0000-00004A320000}"/>
    <cellStyle name="Input 13 3 2 2 2 3 3 2" xfId="13084" xr:uid="{00000000-0005-0000-0000-00004B320000}"/>
    <cellStyle name="Input 13 3 2 2 2 3 4" xfId="13085" xr:uid="{00000000-0005-0000-0000-00004C320000}"/>
    <cellStyle name="Input 13 3 2 2 2 3 5" xfId="13086" xr:uid="{00000000-0005-0000-0000-00004D320000}"/>
    <cellStyle name="Input 13 3 2 2 2 3 6" xfId="13087" xr:uid="{00000000-0005-0000-0000-00004E320000}"/>
    <cellStyle name="Input 13 3 2 2 2 4" xfId="13088" xr:uid="{00000000-0005-0000-0000-00004F320000}"/>
    <cellStyle name="Input 13 3 2 2 2 4 2" xfId="13089" xr:uid="{00000000-0005-0000-0000-000050320000}"/>
    <cellStyle name="Input 13 3 2 2 2 5" xfId="13090" xr:uid="{00000000-0005-0000-0000-000051320000}"/>
    <cellStyle name="Input 13 3 2 2 2 5 2" xfId="13091" xr:uid="{00000000-0005-0000-0000-000052320000}"/>
    <cellStyle name="Input 13 3 2 2 2 6" xfId="13092" xr:uid="{00000000-0005-0000-0000-000053320000}"/>
    <cellStyle name="Input 13 3 2 2 2 7" xfId="13093" xr:uid="{00000000-0005-0000-0000-000054320000}"/>
    <cellStyle name="Input 13 3 2 2 2 8" xfId="13094" xr:uid="{00000000-0005-0000-0000-000055320000}"/>
    <cellStyle name="Input 13 3 2 2 3" xfId="13095" xr:uid="{00000000-0005-0000-0000-000056320000}"/>
    <cellStyle name="Input 13 3 2 2 3 2" xfId="13096" xr:uid="{00000000-0005-0000-0000-000057320000}"/>
    <cellStyle name="Input 13 3 2 2 3 2 2" xfId="13097" xr:uid="{00000000-0005-0000-0000-000058320000}"/>
    <cellStyle name="Input 13 3 2 2 3 2 2 2" xfId="13098" xr:uid="{00000000-0005-0000-0000-000059320000}"/>
    <cellStyle name="Input 13 3 2 2 3 2 2 2 2" xfId="13099" xr:uid="{00000000-0005-0000-0000-00005A320000}"/>
    <cellStyle name="Input 13 3 2 2 3 2 2 3" xfId="13100" xr:uid="{00000000-0005-0000-0000-00005B320000}"/>
    <cellStyle name="Input 13 3 2 2 3 2 2 3 2" xfId="13101" xr:uid="{00000000-0005-0000-0000-00005C320000}"/>
    <cellStyle name="Input 13 3 2 2 3 2 2 4" xfId="13102" xr:uid="{00000000-0005-0000-0000-00005D320000}"/>
    <cellStyle name="Input 13 3 2 2 3 2 2 5" xfId="13103" xr:uid="{00000000-0005-0000-0000-00005E320000}"/>
    <cellStyle name="Input 13 3 2 2 3 2 2 6" xfId="13104" xr:uid="{00000000-0005-0000-0000-00005F320000}"/>
    <cellStyle name="Input 13 3 2 2 3 2 3" xfId="13105" xr:uid="{00000000-0005-0000-0000-000060320000}"/>
    <cellStyle name="Input 13 3 2 2 3 2 3 2" xfId="13106" xr:uid="{00000000-0005-0000-0000-000061320000}"/>
    <cellStyle name="Input 13 3 2 2 3 2 4" xfId="13107" xr:uid="{00000000-0005-0000-0000-000062320000}"/>
    <cellStyle name="Input 13 3 2 2 3 2 4 2" xfId="13108" xr:uid="{00000000-0005-0000-0000-000063320000}"/>
    <cellStyle name="Input 13 3 2 2 3 2 5" xfId="13109" xr:uid="{00000000-0005-0000-0000-000064320000}"/>
    <cellStyle name="Input 13 3 2 2 3 2 6" xfId="13110" xr:uid="{00000000-0005-0000-0000-000065320000}"/>
    <cellStyle name="Input 13 3 2 2 3 2 7" xfId="13111" xr:uid="{00000000-0005-0000-0000-000066320000}"/>
    <cellStyle name="Input 13 3 2 2 3 3" xfId="13112" xr:uid="{00000000-0005-0000-0000-000067320000}"/>
    <cellStyle name="Input 13 3 2 2 3 3 2" xfId="13113" xr:uid="{00000000-0005-0000-0000-000068320000}"/>
    <cellStyle name="Input 13 3 2 2 3 3 2 2" xfId="13114" xr:uid="{00000000-0005-0000-0000-000069320000}"/>
    <cellStyle name="Input 13 3 2 2 3 3 3" xfId="13115" xr:uid="{00000000-0005-0000-0000-00006A320000}"/>
    <cellStyle name="Input 13 3 2 2 3 3 3 2" xfId="13116" xr:uid="{00000000-0005-0000-0000-00006B320000}"/>
    <cellStyle name="Input 13 3 2 2 3 3 4" xfId="13117" xr:uid="{00000000-0005-0000-0000-00006C320000}"/>
    <cellStyle name="Input 13 3 2 2 3 3 5" xfId="13118" xr:uid="{00000000-0005-0000-0000-00006D320000}"/>
    <cellStyle name="Input 13 3 2 2 3 3 6" xfId="13119" xr:uid="{00000000-0005-0000-0000-00006E320000}"/>
    <cellStyle name="Input 13 3 2 2 3 4" xfId="13120" xr:uid="{00000000-0005-0000-0000-00006F320000}"/>
    <cellStyle name="Input 13 3 2 2 3 4 2" xfId="13121" xr:uid="{00000000-0005-0000-0000-000070320000}"/>
    <cellStyle name="Input 13 3 2 2 3 5" xfId="13122" xr:uid="{00000000-0005-0000-0000-000071320000}"/>
    <cellStyle name="Input 13 3 2 2 3 5 2" xfId="13123" xr:uid="{00000000-0005-0000-0000-000072320000}"/>
    <cellStyle name="Input 13 3 2 2 3 6" xfId="13124" xr:uid="{00000000-0005-0000-0000-000073320000}"/>
    <cellStyle name="Input 13 3 2 2 3 7" xfId="13125" xr:uid="{00000000-0005-0000-0000-000074320000}"/>
    <cellStyle name="Input 13 3 2 2 3 8" xfId="13126" xr:uid="{00000000-0005-0000-0000-000075320000}"/>
    <cellStyle name="Input 13 3 2 2 4" xfId="13127" xr:uid="{00000000-0005-0000-0000-000076320000}"/>
    <cellStyle name="Input 13 3 2 2 4 2" xfId="13128" xr:uid="{00000000-0005-0000-0000-000077320000}"/>
    <cellStyle name="Input 13 3 2 2 4 2 2" xfId="13129" xr:uid="{00000000-0005-0000-0000-000078320000}"/>
    <cellStyle name="Input 13 3 2 2 4 2 2 2" xfId="13130" xr:uid="{00000000-0005-0000-0000-000079320000}"/>
    <cellStyle name="Input 13 3 2 2 4 2 3" xfId="13131" xr:uid="{00000000-0005-0000-0000-00007A320000}"/>
    <cellStyle name="Input 13 3 2 2 4 2 3 2" xfId="13132" xr:uid="{00000000-0005-0000-0000-00007B320000}"/>
    <cellStyle name="Input 13 3 2 2 4 2 4" xfId="13133" xr:uid="{00000000-0005-0000-0000-00007C320000}"/>
    <cellStyle name="Input 13 3 2 2 4 2 5" xfId="13134" xr:uid="{00000000-0005-0000-0000-00007D320000}"/>
    <cellStyle name="Input 13 3 2 2 4 2 6" xfId="13135" xr:uid="{00000000-0005-0000-0000-00007E320000}"/>
    <cellStyle name="Input 13 3 2 2 4 3" xfId="13136" xr:uid="{00000000-0005-0000-0000-00007F320000}"/>
    <cellStyle name="Input 13 3 2 2 4 3 2" xfId="13137" xr:uid="{00000000-0005-0000-0000-000080320000}"/>
    <cellStyle name="Input 13 3 2 2 4 4" xfId="13138" xr:uid="{00000000-0005-0000-0000-000081320000}"/>
    <cellStyle name="Input 13 3 2 2 4 4 2" xfId="13139" xr:uid="{00000000-0005-0000-0000-000082320000}"/>
    <cellStyle name="Input 13 3 2 2 4 5" xfId="13140" xr:uid="{00000000-0005-0000-0000-000083320000}"/>
    <cellStyle name="Input 13 3 2 2 4 6" xfId="13141" xr:uid="{00000000-0005-0000-0000-000084320000}"/>
    <cellStyle name="Input 13 3 2 2 4 7" xfId="13142" xr:uid="{00000000-0005-0000-0000-000085320000}"/>
    <cellStyle name="Input 13 3 2 2 5" xfId="13143" xr:uid="{00000000-0005-0000-0000-000086320000}"/>
    <cellStyle name="Input 13 3 2 2 5 2" xfId="13144" xr:uid="{00000000-0005-0000-0000-000087320000}"/>
    <cellStyle name="Input 13 3 2 2 5 2 2" xfId="13145" xr:uid="{00000000-0005-0000-0000-000088320000}"/>
    <cellStyle name="Input 13 3 2 2 5 3" xfId="13146" xr:uid="{00000000-0005-0000-0000-000089320000}"/>
    <cellStyle name="Input 13 3 2 2 5 3 2" xfId="13147" xr:uid="{00000000-0005-0000-0000-00008A320000}"/>
    <cellStyle name="Input 13 3 2 2 5 4" xfId="13148" xr:uid="{00000000-0005-0000-0000-00008B320000}"/>
    <cellStyle name="Input 13 3 2 2 5 5" xfId="13149" xr:uid="{00000000-0005-0000-0000-00008C320000}"/>
    <cellStyle name="Input 13 3 2 2 5 6" xfId="13150" xr:uid="{00000000-0005-0000-0000-00008D320000}"/>
    <cellStyle name="Input 13 3 2 2 6" xfId="13151" xr:uid="{00000000-0005-0000-0000-00008E320000}"/>
    <cellStyle name="Input 13 3 2 2 6 2" xfId="13152" xr:uid="{00000000-0005-0000-0000-00008F320000}"/>
    <cellStyle name="Input 13 3 2 2 7" xfId="13153" xr:uid="{00000000-0005-0000-0000-000090320000}"/>
    <cellStyle name="Input 13 3 2 2 7 2" xfId="13154" xr:uid="{00000000-0005-0000-0000-000091320000}"/>
    <cellStyle name="Input 13 3 2 2 8" xfId="13155" xr:uid="{00000000-0005-0000-0000-000092320000}"/>
    <cellStyle name="Input 13 3 2 2 9" xfId="13156" xr:uid="{00000000-0005-0000-0000-000093320000}"/>
    <cellStyle name="Input 13 3 2 3" xfId="13157" xr:uid="{00000000-0005-0000-0000-000094320000}"/>
    <cellStyle name="Input 13 3 2 3 2" xfId="13158" xr:uid="{00000000-0005-0000-0000-000095320000}"/>
    <cellStyle name="Input 13 3 2 3 2 2" xfId="13159" xr:uid="{00000000-0005-0000-0000-000096320000}"/>
    <cellStyle name="Input 13 3 2 3 2 2 2" xfId="13160" xr:uid="{00000000-0005-0000-0000-000097320000}"/>
    <cellStyle name="Input 13 3 2 3 2 2 2 2" xfId="13161" xr:uid="{00000000-0005-0000-0000-000098320000}"/>
    <cellStyle name="Input 13 3 2 3 2 2 3" xfId="13162" xr:uid="{00000000-0005-0000-0000-000099320000}"/>
    <cellStyle name="Input 13 3 2 3 2 2 3 2" xfId="13163" xr:uid="{00000000-0005-0000-0000-00009A320000}"/>
    <cellStyle name="Input 13 3 2 3 2 2 4" xfId="13164" xr:uid="{00000000-0005-0000-0000-00009B320000}"/>
    <cellStyle name="Input 13 3 2 3 2 2 5" xfId="13165" xr:uid="{00000000-0005-0000-0000-00009C320000}"/>
    <cellStyle name="Input 13 3 2 3 2 2 6" xfId="13166" xr:uid="{00000000-0005-0000-0000-00009D320000}"/>
    <cellStyle name="Input 13 3 2 3 2 3" xfId="13167" xr:uid="{00000000-0005-0000-0000-00009E320000}"/>
    <cellStyle name="Input 13 3 2 3 2 3 2" xfId="13168" xr:uid="{00000000-0005-0000-0000-00009F320000}"/>
    <cellStyle name="Input 13 3 2 3 2 4" xfId="13169" xr:uid="{00000000-0005-0000-0000-0000A0320000}"/>
    <cellStyle name="Input 13 3 2 3 2 4 2" xfId="13170" xr:uid="{00000000-0005-0000-0000-0000A1320000}"/>
    <cellStyle name="Input 13 3 2 3 2 5" xfId="13171" xr:uid="{00000000-0005-0000-0000-0000A2320000}"/>
    <cellStyle name="Input 13 3 2 3 2 6" xfId="13172" xr:uid="{00000000-0005-0000-0000-0000A3320000}"/>
    <cellStyle name="Input 13 3 2 3 2 7" xfId="13173" xr:uid="{00000000-0005-0000-0000-0000A4320000}"/>
    <cellStyle name="Input 13 3 2 3 3" xfId="13174" xr:uid="{00000000-0005-0000-0000-0000A5320000}"/>
    <cellStyle name="Input 13 3 2 3 3 2" xfId="13175" xr:uid="{00000000-0005-0000-0000-0000A6320000}"/>
    <cellStyle name="Input 13 3 2 3 3 2 2" xfId="13176" xr:uid="{00000000-0005-0000-0000-0000A7320000}"/>
    <cellStyle name="Input 13 3 2 3 3 3" xfId="13177" xr:uid="{00000000-0005-0000-0000-0000A8320000}"/>
    <cellStyle name="Input 13 3 2 3 3 3 2" xfId="13178" xr:uid="{00000000-0005-0000-0000-0000A9320000}"/>
    <cellStyle name="Input 13 3 2 3 3 4" xfId="13179" xr:uid="{00000000-0005-0000-0000-0000AA320000}"/>
    <cellStyle name="Input 13 3 2 3 3 5" xfId="13180" xr:uid="{00000000-0005-0000-0000-0000AB320000}"/>
    <cellStyle name="Input 13 3 2 3 3 6" xfId="13181" xr:uid="{00000000-0005-0000-0000-0000AC320000}"/>
    <cellStyle name="Input 13 3 2 3 4" xfId="13182" xr:uid="{00000000-0005-0000-0000-0000AD320000}"/>
    <cellStyle name="Input 13 3 2 3 4 2" xfId="13183" xr:uid="{00000000-0005-0000-0000-0000AE320000}"/>
    <cellStyle name="Input 13 3 2 3 5" xfId="13184" xr:uid="{00000000-0005-0000-0000-0000AF320000}"/>
    <cellStyle name="Input 13 3 2 3 5 2" xfId="13185" xr:uid="{00000000-0005-0000-0000-0000B0320000}"/>
    <cellStyle name="Input 13 3 2 3 6" xfId="13186" xr:uid="{00000000-0005-0000-0000-0000B1320000}"/>
    <cellStyle name="Input 13 3 2 3 7" xfId="13187" xr:uid="{00000000-0005-0000-0000-0000B2320000}"/>
    <cellStyle name="Input 13 3 2 3 8" xfId="13188" xr:uid="{00000000-0005-0000-0000-0000B3320000}"/>
    <cellStyle name="Input 13 3 2 4" xfId="13189" xr:uid="{00000000-0005-0000-0000-0000B4320000}"/>
    <cellStyle name="Input 13 3 2 4 2" xfId="13190" xr:uid="{00000000-0005-0000-0000-0000B5320000}"/>
    <cellStyle name="Input 13 3 2 4 2 2" xfId="13191" xr:uid="{00000000-0005-0000-0000-0000B6320000}"/>
    <cellStyle name="Input 13 3 2 4 2 2 2" xfId="13192" xr:uid="{00000000-0005-0000-0000-0000B7320000}"/>
    <cellStyle name="Input 13 3 2 4 2 3" xfId="13193" xr:uid="{00000000-0005-0000-0000-0000B8320000}"/>
    <cellStyle name="Input 13 3 2 4 2 3 2" xfId="13194" xr:uid="{00000000-0005-0000-0000-0000B9320000}"/>
    <cellStyle name="Input 13 3 2 4 2 4" xfId="13195" xr:uid="{00000000-0005-0000-0000-0000BA320000}"/>
    <cellStyle name="Input 13 3 2 4 2 5" xfId="13196" xr:uid="{00000000-0005-0000-0000-0000BB320000}"/>
    <cellStyle name="Input 13 3 2 4 2 6" xfId="13197" xr:uid="{00000000-0005-0000-0000-0000BC320000}"/>
    <cellStyle name="Input 13 3 2 4 3" xfId="13198" xr:uid="{00000000-0005-0000-0000-0000BD320000}"/>
    <cellStyle name="Input 13 3 2 4 3 2" xfId="13199" xr:uid="{00000000-0005-0000-0000-0000BE320000}"/>
    <cellStyle name="Input 13 3 2 4 4" xfId="13200" xr:uid="{00000000-0005-0000-0000-0000BF320000}"/>
    <cellStyle name="Input 13 3 2 4 4 2" xfId="13201" xr:uid="{00000000-0005-0000-0000-0000C0320000}"/>
    <cellStyle name="Input 13 3 2 4 5" xfId="13202" xr:uid="{00000000-0005-0000-0000-0000C1320000}"/>
    <cellStyle name="Input 13 3 2 4 6" xfId="13203" xr:uid="{00000000-0005-0000-0000-0000C2320000}"/>
    <cellStyle name="Input 13 3 2 4 7" xfId="13204" xr:uid="{00000000-0005-0000-0000-0000C3320000}"/>
    <cellStyle name="Input 13 3 2 5" xfId="13205" xr:uid="{00000000-0005-0000-0000-0000C4320000}"/>
    <cellStyle name="Input 13 3 2 5 2" xfId="13206" xr:uid="{00000000-0005-0000-0000-0000C5320000}"/>
    <cellStyle name="Input 13 3 2 5 2 2" xfId="13207" xr:uid="{00000000-0005-0000-0000-0000C6320000}"/>
    <cellStyle name="Input 13 3 2 5 3" xfId="13208" xr:uid="{00000000-0005-0000-0000-0000C7320000}"/>
    <cellStyle name="Input 13 3 2 5 3 2" xfId="13209" xr:uid="{00000000-0005-0000-0000-0000C8320000}"/>
    <cellStyle name="Input 13 3 2 5 4" xfId="13210" xr:uid="{00000000-0005-0000-0000-0000C9320000}"/>
    <cellStyle name="Input 13 3 2 5 5" xfId="13211" xr:uid="{00000000-0005-0000-0000-0000CA320000}"/>
    <cellStyle name="Input 13 3 2 5 6" xfId="13212" xr:uid="{00000000-0005-0000-0000-0000CB320000}"/>
    <cellStyle name="Input 13 3 2 6" xfId="13213" xr:uid="{00000000-0005-0000-0000-0000CC320000}"/>
    <cellStyle name="Input 13 3 2 6 2" xfId="13214" xr:uid="{00000000-0005-0000-0000-0000CD320000}"/>
    <cellStyle name="Input 13 3 2 7" xfId="13215" xr:uid="{00000000-0005-0000-0000-0000CE320000}"/>
    <cellStyle name="Input 13 3 2 7 2" xfId="13216" xr:uid="{00000000-0005-0000-0000-0000CF320000}"/>
    <cellStyle name="Input 13 3 2 8" xfId="13217" xr:uid="{00000000-0005-0000-0000-0000D0320000}"/>
    <cellStyle name="Input 13 3 2 9" xfId="13218" xr:uid="{00000000-0005-0000-0000-0000D1320000}"/>
    <cellStyle name="Input 13 3 3" xfId="13219" xr:uid="{00000000-0005-0000-0000-0000D2320000}"/>
    <cellStyle name="Input 13 3 3 10" xfId="13220" xr:uid="{00000000-0005-0000-0000-0000D3320000}"/>
    <cellStyle name="Input 13 3 3 2" xfId="13221" xr:uid="{00000000-0005-0000-0000-0000D4320000}"/>
    <cellStyle name="Input 13 3 3 2 2" xfId="13222" xr:uid="{00000000-0005-0000-0000-0000D5320000}"/>
    <cellStyle name="Input 13 3 3 2 2 2" xfId="13223" xr:uid="{00000000-0005-0000-0000-0000D6320000}"/>
    <cellStyle name="Input 13 3 3 2 2 2 2" xfId="13224" xr:uid="{00000000-0005-0000-0000-0000D7320000}"/>
    <cellStyle name="Input 13 3 3 2 2 2 2 2" xfId="13225" xr:uid="{00000000-0005-0000-0000-0000D8320000}"/>
    <cellStyle name="Input 13 3 3 2 2 2 3" xfId="13226" xr:uid="{00000000-0005-0000-0000-0000D9320000}"/>
    <cellStyle name="Input 13 3 3 2 2 2 3 2" xfId="13227" xr:uid="{00000000-0005-0000-0000-0000DA320000}"/>
    <cellStyle name="Input 13 3 3 2 2 2 4" xfId="13228" xr:uid="{00000000-0005-0000-0000-0000DB320000}"/>
    <cellStyle name="Input 13 3 3 2 2 2 5" xfId="13229" xr:uid="{00000000-0005-0000-0000-0000DC320000}"/>
    <cellStyle name="Input 13 3 3 2 2 2 6" xfId="13230" xr:uid="{00000000-0005-0000-0000-0000DD320000}"/>
    <cellStyle name="Input 13 3 3 2 2 3" xfId="13231" xr:uid="{00000000-0005-0000-0000-0000DE320000}"/>
    <cellStyle name="Input 13 3 3 2 2 3 2" xfId="13232" xr:uid="{00000000-0005-0000-0000-0000DF320000}"/>
    <cellStyle name="Input 13 3 3 2 2 4" xfId="13233" xr:uid="{00000000-0005-0000-0000-0000E0320000}"/>
    <cellStyle name="Input 13 3 3 2 2 4 2" xfId="13234" xr:uid="{00000000-0005-0000-0000-0000E1320000}"/>
    <cellStyle name="Input 13 3 3 2 2 5" xfId="13235" xr:uid="{00000000-0005-0000-0000-0000E2320000}"/>
    <cellStyle name="Input 13 3 3 2 2 6" xfId="13236" xr:uid="{00000000-0005-0000-0000-0000E3320000}"/>
    <cellStyle name="Input 13 3 3 2 2 7" xfId="13237" xr:uid="{00000000-0005-0000-0000-0000E4320000}"/>
    <cellStyle name="Input 13 3 3 2 3" xfId="13238" xr:uid="{00000000-0005-0000-0000-0000E5320000}"/>
    <cellStyle name="Input 13 3 3 2 3 2" xfId="13239" xr:uid="{00000000-0005-0000-0000-0000E6320000}"/>
    <cellStyle name="Input 13 3 3 2 3 2 2" xfId="13240" xr:uid="{00000000-0005-0000-0000-0000E7320000}"/>
    <cellStyle name="Input 13 3 3 2 3 3" xfId="13241" xr:uid="{00000000-0005-0000-0000-0000E8320000}"/>
    <cellStyle name="Input 13 3 3 2 3 3 2" xfId="13242" xr:uid="{00000000-0005-0000-0000-0000E9320000}"/>
    <cellStyle name="Input 13 3 3 2 3 4" xfId="13243" xr:uid="{00000000-0005-0000-0000-0000EA320000}"/>
    <cellStyle name="Input 13 3 3 2 3 5" xfId="13244" xr:uid="{00000000-0005-0000-0000-0000EB320000}"/>
    <cellStyle name="Input 13 3 3 2 3 6" xfId="13245" xr:uid="{00000000-0005-0000-0000-0000EC320000}"/>
    <cellStyle name="Input 13 3 3 2 4" xfId="13246" xr:uid="{00000000-0005-0000-0000-0000ED320000}"/>
    <cellStyle name="Input 13 3 3 2 4 2" xfId="13247" xr:uid="{00000000-0005-0000-0000-0000EE320000}"/>
    <cellStyle name="Input 13 3 3 2 5" xfId="13248" xr:uid="{00000000-0005-0000-0000-0000EF320000}"/>
    <cellStyle name="Input 13 3 3 2 5 2" xfId="13249" xr:uid="{00000000-0005-0000-0000-0000F0320000}"/>
    <cellStyle name="Input 13 3 3 2 6" xfId="13250" xr:uid="{00000000-0005-0000-0000-0000F1320000}"/>
    <cellStyle name="Input 13 3 3 2 7" xfId="13251" xr:uid="{00000000-0005-0000-0000-0000F2320000}"/>
    <cellStyle name="Input 13 3 3 2 8" xfId="13252" xr:uid="{00000000-0005-0000-0000-0000F3320000}"/>
    <cellStyle name="Input 13 3 3 3" xfId="13253" xr:uid="{00000000-0005-0000-0000-0000F4320000}"/>
    <cellStyle name="Input 13 3 3 3 2" xfId="13254" xr:uid="{00000000-0005-0000-0000-0000F5320000}"/>
    <cellStyle name="Input 13 3 3 3 2 2" xfId="13255" xr:uid="{00000000-0005-0000-0000-0000F6320000}"/>
    <cellStyle name="Input 13 3 3 3 2 2 2" xfId="13256" xr:uid="{00000000-0005-0000-0000-0000F7320000}"/>
    <cellStyle name="Input 13 3 3 3 2 2 2 2" xfId="13257" xr:uid="{00000000-0005-0000-0000-0000F8320000}"/>
    <cellStyle name="Input 13 3 3 3 2 2 3" xfId="13258" xr:uid="{00000000-0005-0000-0000-0000F9320000}"/>
    <cellStyle name="Input 13 3 3 3 2 2 3 2" xfId="13259" xr:uid="{00000000-0005-0000-0000-0000FA320000}"/>
    <cellStyle name="Input 13 3 3 3 2 2 4" xfId="13260" xr:uid="{00000000-0005-0000-0000-0000FB320000}"/>
    <cellStyle name="Input 13 3 3 3 2 2 5" xfId="13261" xr:uid="{00000000-0005-0000-0000-0000FC320000}"/>
    <cellStyle name="Input 13 3 3 3 2 2 6" xfId="13262" xr:uid="{00000000-0005-0000-0000-0000FD320000}"/>
    <cellStyle name="Input 13 3 3 3 2 3" xfId="13263" xr:uid="{00000000-0005-0000-0000-0000FE320000}"/>
    <cellStyle name="Input 13 3 3 3 2 3 2" xfId="13264" xr:uid="{00000000-0005-0000-0000-0000FF320000}"/>
    <cellStyle name="Input 13 3 3 3 2 4" xfId="13265" xr:uid="{00000000-0005-0000-0000-000000330000}"/>
    <cellStyle name="Input 13 3 3 3 2 4 2" xfId="13266" xr:uid="{00000000-0005-0000-0000-000001330000}"/>
    <cellStyle name="Input 13 3 3 3 2 5" xfId="13267" xr:uid="{00000000-0005-0000-0000-000002330000}"/>
    <cellStyle name="Input 13 3 3 3 2 6" xfId="13268" xr:uid="{00000000-0005-0000-0000-000003330000}"/>
    <cellStyle name="Input 13 3 3 3 2 7" xfId="13269" xr:uid="{00000000-0005-0000-0000-000004330000}"/>
    <cellStyle name="Input 13 3 3 3 3" xfId="13270" xr:uid="{00000000-0005-0000-0000-000005330000}"/>
    <cellStyle name="Input 13 3 3 3 3 2" xfId="13271" xr:uid="{00000000-0005-0000-0000-000006330000}"/>
    <cellStyle name="Input 13 3 3 3 3 2 2" xfId="13272" xr:uid="{00000000-0005-0000-0000-000007330000}"/>
    <cellStyle name="Input 13 3 3 3 3 3" xfId="13273" xr:uid="{00000000-0005-0000-0000-000008330000}"/>
    <cellStyle name="Input 13 3 3 3 3 3 2" xfId="13274" xr:uid="{00000000-0005-0000-0000-000009330000}"/>
    <cellStyle name="Input 13 3 3 3 3 4" xfId="13275" xr:uid="{00000000-0005-0000-0000-00000A330000}"/>
    <cellStyle name="Input 13 3 3 3 3 5" xfId="13276" xr:uid="{00000000-0005-0000-0000-00000B330000}"/>
    <cellStyle name="Input 13 3 3 3 3 6" xfId="13277" xr:uid="{00000000-0005-0000-0000-00000C330000}"/>
    <cellStyle name="Input 13 3 3 3 4" xfId="13278" xr:uid="{00000000-0005-0000-0000-00000D330000}"/>
    <cellStyle name="Input 13 3 3 3 4 2" xfId="13279" xr:uid="{00000000-0005-0000-0000-00000E330000}"/>
    <cellStyle name="Input 13 3 3 3 5" xfId="13280" xr:uid="{00000000-0005-0000-0000-00000F330000}"/>
    <cellStyle name="Input 13 3 3 3 5 2" xfId="13281" xr:uid="{00000000-0005-0000-0000-000010330000}"/>
    <cellStyle name="Input 13 3 3 3 6" xfId="13282" xr:uid="{00000000-0005-0000-0000-000011330000}"/>
    <cellStyle name="Input 13 3 3 3 7" xfId="13283" xr:uid="{00000000-0005-0000-0000-000012330000}"/>
    <cellStyle name="Input 13 3 3 3 8" xfId="13284" xr:uid="{00000000-0005-0000-0000-000013330000}"/>
    <cellStyle name="Input 13 3 3 4" xfId="13285" xr:uid="{00000000-0005-0000-0000-000014330000}"/>
    <cellStyle name="Input 13 3 3 4 2" xfId="13286" xr:uid="{00000000-0005-0000-0000-000015330000}"/>
    <cellStyle name="Input 13 3 3 4 2 2" xfId="13287" xr:uid="{00000000-0005-0000-0000-000016330000}"/>
    <cellStyle name="Input 13 3 3 4 2 2 2" xfId="13288" xr:uid="{00000000-0005-0000-0000-000017330000}"/>
    <cellStyle name="Input 13 3 3 4 2 3" xfId="13289" xr:uid="{00000000-0005-0000-0000-000018330000}"/>
    <cellStyle name="Input 13 3 3 4 2 3 2" xfId="13290" xr:uid="{00000000-0005-0000-0000-000019330000}"/>
    <cellStyle name="Input 13 3 3 4 2 4" xfId="13291" xr:uid="{00000000-0005-0000-0000-00001A330000}"/>
    <cellStyle name="Input 13 3 3 4 2 5" xfId="13292" xr:uid="{00000000-0005-0000-0000-00001B330000}"/>
    <cellStyle name="Input 13 3 3 4 2 6" xfId="13293" xr:uid="{00000000-0005-0000-0000-00001C330000}"/>
    <cellStyle name="Input 13 3 3 4 3" xfId="13294" xr:uid="{00000000-0005-0000-0000-00001D330000}"/>
    <cellStyle name="Input 13 3 3 4 3 2" xfId="13295" xr:uid="{00000000-0005-0000-0000-00001E330000}"/>
    <cellStyle name="Input 13 3 3 4 4" xfId="13296" xr:uid="{00000000-0005-0000-0000-00001F330000}"/>
    <cellStyle name="Input 13 3 3 4 4 2" xfId="13297" xr:uid="{00000000-0005-0000-0000-000020330000}"/>
    <cellStyle name="Input 13 3 3 4 5" xfId="13298" xr:uid="{00000000-0005-0000-0000-000021330000}"/>
    <cellStyle name="Input 13 3 3 4 6" xfId="13299" xr:uid="{00000000-0005-0000-0000-000022330000}"/>
    <cellStyle name="Input 13 3 3 4 7" xfId="13300" xr:uid="{00000000-0005-0000-0000-000023330000}"/>
    <cellStyle name="Input 13 3 3 5" xfId="13301" xr:uid="{00000000-0005-0000-0000-000024330000}"/>
    <cellStyle name="Input 13 3 3 5 2" xfId="13302" xr:uid="{00000000-0005-0000-0000-000025330000}"/>
    <cellStyle name="Input 13 3 3 5 2 2" xfId="13303" xr:uid="{00000000-0005-0000-0000-000026330000}"/>
    <cellStyle name="Input 13 3 3 5 3" xfId="13304" xr:uid="{00000000-0005-0000-0000-000027330000}"/>
    <cellStyle name="Input 13 3 3 5 3 2" xfId="13305" xr:uid="{00000000-0005-0000-0000-000028330000}"/>
    <cellStyle name="Input 13 3 3 5 4" xfId="13306" xr:uid="{00000000-0005-0000-0000-000029330000}"/>
    <cellStyle name="Input 13 3 3 5 5" xfId="13307" xr:uid="{00000000-0005-0000-0000-00002A330000}"/>
    <cellStyle name="Input 13 3 3 5 6" xfId="13308" xr:uid="{00000000-0005-0000-0000-00002B330000}"/>
    <cellStyle name="Input 13 3 3 6" xfId="13309" xr:uid="{00000000-0005-0000-0000-00002C330000}"/>
    <cellStyle name="Input 13 3 3 6 2" xfId="13310" xr:uid="{00000000-0005-0000-0000-00002D330000}"/>
    <cellStyle name="Input 13 3 3 7" xfId="13311" xr:uid="{00000000-0005-0000-0000-00002E330000}"/>
    <cellStyle name="Input 13 3 3 7 2" xfId="13312" xr:uid="{00000000-0005-0000-0000-00002F330000}"/>
    <cellStyle name="Input 13 3 3 8" xfId="13313" xr:uid="{00000000-0005-0000-0000-000030330000}"/>
    <cellStyle name="Input 13 3 3 9" xfId="13314" xr:uid="{00000000-0005-0000-0000-000031330000}"/>
    <cellStyle name="Input 13 3 4" xfId="13315" xr:uid="{00000000-0005-0000-0000-000032330000}"/>
    <cellStyle name="Input 13 3 4 2" xfId="13316" xr:uid="{00000000-0005-0000-0000-000033330000}"/>
    <cellStyle name="Input 13 3 4 2 2" xfId="13317" xr:uid="{00000000-0005-0000-0000-000034330000}"/>
    <cellStyle name="Input 13 3 4 2 2 2" xfId="13318" xr:uid="{00000000-0005-0000-0000-000035330000}"/>
    <cellStyle name="Input 13 3 4 2 2 2 2" xfId="13319" xr:uid="{00000000-0005-0000-0000-000036330000}"/>
    <cellStyle name="Input 13 3 4 2 2 3" xfId="13320" xr:uid="{00000000-0005-0000-0000-000037330000}"/>
    <cellStyle name="Input 13 3 4 2 2 3 2" xfId="13321" xr:uid="{00000000-0005-0000-0000-000038330000}"/>
    <cellStyle name="Input 13 3 4 2 2 4" xfId="13322" xr:uid="{00000000-0005-0000-0000-000039330000}"/>
    <cellStyle name="Input 13 3 4 2 2 5" xfId="13323" xr:uid="{00000000-0005-0000-0000-00003A330000}"/>
    <cellStyle name="Input 13 3 4 2 2 6" xfId="13324" xr:uid="{00000000-0005-0000-0000-00003B330000}"/>
    <cellStyle name="Input 13 3 4 2 3" xfId="13325" xr:uid="{00000000-0005-0000-0000-00003C330000}"/>
    <cellStyle name="Input 13 3 4 2 3 2" xfId="13326" xr:uid="{00000000-0005-0000-0000-00003D330000}"/>
    <cellStyle name="Input 13 3 4 2 4" xfId="13327" xr:uid="{00000000-0005-0000-0000-00003E330000}"/>
    <cellStyle name="Input 13 3 4 2 4 2" xfId="13328" xr:uid="{00000000-0005-0000-0000-00003F330000}"/>
    <cellStyle name="Input 13 3 4 2 5" xfId="13329" xr:uid="{00000000-0005-0000-0000-000040330000}"/>
    <cellStyle name="Input 13 3 4 2 6" xfId="13330" xr:uid="{00000000-0005-0000-0000-000041330000}"/>
    <cellStyle name="Input 13 3 4 2 7" xfId="13331" xr:uid="{00000000-0005-0000-0000-000042330000}"/>
    <cellStyle name="Input 13 3 4 3" xfId="13332" xr:uid="{00000000-0005-0000-0000-000043330000}"/>
    <cellStyle name="Input 13 3 4 3 2" xfId="13333" xr:uid="{00000000-0005-0000-0000-000044330000}"/>
    <cellStyle name="Input 13 3 4 3 2 2" xfId="13334" xr:uid="{00000000-0005-0000-0000-000045330000}"/>
    <cellStyle name="Input 13 3 4 3 3" xfId="13335" xr:uid="{00000000-0005-0000-0000-000046330000}"/>
    <cellStyle name="Input 13 3 4 3 3 2" xfId="13336" xr:uid="{00000000-0005-0000-0000-000047330000}"/>
    <cellStyle name="Input 13 3 4 3 4" xfId="13337" xr:uid="{00000000-0005-0000-0000-000048330000}"/>
    <cellStyle name="Input 13 3 4 3 5" xfId="13338" xr:uid="{00000000-0005-0000-0000-000049330000}"/>
    <cellStyle name="Input 13 3 4 3 6" xfId="13339" xr:uid="{00000000-0005-0000-0000-00004A330000}"/>
    <cellStyle name="Input 13 3 4 4" xfId="13340" xr:uid="{00000000-0005-0000-0000-00004B330000}"/>
    <cellStyle name="Input 13 3 4 4 2" xfId="13341" xr:uid="{00000000-0005-0000-0000-00004C330000}"/>
    <cellStyle name="Input 13 3 4 5" xfId="13342" xr:uid="{00000000-0005-0000-0000-00004D330000}"/>
    <cellStyle name="Input 13 3 4 5 2" xfId="13343" xr:uid="{00000000-0005-0000-0000-00004E330000}"/>
    <cellStyle name="Input 13 3 4 6" xfId="13344" xr:uid="{00000000-0005-0000-0000-00004F330000}"/>
    <cellStyle name="Input 13 3 4 7" xfId="13345" xr:uid="{00000000-0005-0000-0000-000050330000}"/>
    <cellStyle name="Input 13 3 4 8" xfId="13346" xr:uid="{00000000-0005-0000-0000-000051330000}"/>
    <cellStyle name="Input 13 3 5" xfId="13347" xr:uid="{00000000-0005-0000-0000-000052330000}"/>
    <cellStyle name="Input 13 3 5 2" xfId="13348" xr:uid="{00000000-0005-0000-0000-000053330000}"/>
    <cellStyle name="Input 13 3 5 2 2" xfId="13349" xr:uid="{00000000-0005-0000-0000-000054330000}"/>
    <cellStyle name="Input 13 3 5 2 2 2" xfId="13350" xr:uid="{00000000-0005-0000-0000-000055330000}"/>
    <cellStyle name="Input 13 3 5 2 3" xfId="13351" xr:uid="{00000000-0005-0000-0000-000056330000}"/>
    <cellStyle name="Input 13 3 5 2 3 2" xfId="13352" xr:uid="{00000000-0005-0000-0000-000057330000}"/>
    <cellStyle name="Input 13 3 5 2 4" xfId="13353" xr:uid="{00000000-0005-0000-0000-000058330000}"/>
    <cellStyle name="Input 13 3 5 2 5" xfId="13354" xr:uid="{00000000-0005-0000-0000-000059330000}"/>
    <cellStyle name="Input 13 3 5 2 6" xfId="13355" xr:uid="{00000000-0005-0000-0000-00005A330000}"/>
    <cellStyle name="Input 13 3 5 3" xfId="13356" xr:uid="{00000000-0005-0000-0000-00005B330000}"/>
    <cellStyle name="Input 13 3 5 3 2" xfId="13357" xr:uid="{00000000-0005-0000-0000-00005C330000}"/>
    <cellStyle name="Input 13 3 5 4" xfId="13358" xr:uid="{00000000-0005-0000-0000-00005D330000}"/>
    <cellStyle name="Input 13 3 5 4 2" xfId="13359" xr:uid="{00000000-0005-0000-0000-00005E330000}"/>
    <cellStyle name="Input 13 3 5 5" xfId="13360" xr:uid="{00000000-0005-0000-0000-00005F330000}"/>
    <cellStyle name="Input 13 3 5 6" xfId="13361" xr:uid="{00000000-0005-0000-0000-000060330000}"/>
    <cellStyle name="Input 13 3 5 7" xfId="13362" xr:uid="{00000000-0005-0000-0000-000061330000}"/>
    <cellStyle name="Input 13 3 6" xfId="13363" xr:uid="{00000000-0005-0000-0000-000062330000}"/>
    <cellStyle name="Input 13 3 6 2" xfId="13364" xr:uid="{00000000-0005-0000-0000-000063330000}"/>
    <cellStyle name="Input 13 3 6 2 2" xfId="13365" xr:uid="{00000000-0005-0000-0000-000064330000}"/>
    <cellStyle name="Input 13 3 6 3" xfId="13366" xr:uid="{00000000-0005-0000-0000-000065330000}"/>
    <cellStyle name="Input 13 3 6 3 2" xfId="13367" xr:uid="{00000000-0005-0000-0000-000066330000}"/>
    <cellStyle name="Input 13 3 6 4" xfId="13368" xr:uid="{00000000-0005-0000-0000-000067330000}"/>
    <cellStyle name="Input 13 3 6 5" xfId="13369" xr:uid="{00000000-0005-0000-0000-000068330000}"/>
    <cellStyle name="Input 13 3 6 6" xfId="13370" xr:uid="{00000000-0005-0000-0000-000069330000}"/>
    <cellStyle name="Input 13 3 7" xfId="13371" xr:uid="{00000000-0005-0000-0000-00006A330000}"/>
    <cellStyle name="Input 13 3 7 2" xfId="13372" xr:uid="{00000000-0005-0000-0000-00006B330000}"/>
    <cellStyle name="Input 13 3 8" xfId="13373" xr:uid="{00000000-0005-0000-0000-00006C330000}"/>
    <cellStyle name="Input 13 3 8 2" xfId="13374" xr:uid="{00000000-0005-0000-0000-00006D330000}"/>
    <cellStyle name="Input 13 3 9" xfId="13375" xr:uid="{00000000-0005-0000-0000-00006E330000}"/>
    <cellStyle name="Input 13 4" xfId="13376" xr:uid="{00000000-0005-0000-0000-00006F330000}"/>
    <cellStyle name="Input 13 4 10" xfId="13377" xr:uid="{00000000-0005-0000-0000-000070330000}"/>
    <cellStyle name="Input 13 4 11" xfId="13378" xr:uid="{00000000-0005-0000-0000-000071330000}"/>
    <cellStyle name="Input 13 4 2" xfId="13379" xr:uid="{00000000-0005-0000-0000-000072330000}"/>
    <cellStyle name="Input 13 4 2 10" xfId="13380" xr:uid="{00000000-0005-0000-0000-000073330000}"/>
    <cellStyle name="Input 13 4 2 2" xfId="13381" xr:uid="{00000000-0005-0000-0000-000074330000}"/>
    <cellStyle name="Input 13 4 2 2 2" xfId="13382" xr:uid="{00000000-0005-0000-0000-000075330000}"/>
    <cellStyle name="Input 13 4 2 2 2 2" xfId="13383" xr:uid="{00000000-0005-0000-0000-000076330000}"/>
    <cellStyle name="Input 13 4 2 2 2 2 2" xfId="13384" xr:uid="{00000000-0005-0000-0000-000077330000}"/>
    <cellStyle name="Input 13 4 2 2 2 2 2 2" xfId="13385" xr:uid="{00000000-0005-0000-0000-000078330000}"/>
    <cellStyle name="Input 13 4 2 2 2 2 3" xfId="13386" xr:uid="{00000000-0005-0000-0000-000079330000}"/>
    <cellStyle name="Input 13 4 2 2 2 2 3 2" xfId="13387" xr:uid="{00000000-0005-0000-0000-00007A330000}"/>
    <cellStyle name="Input 13 4 2 2 2 2 4" xfId="13388" xr:uid="{00000000-0005-0000-0000-00007B330000}"/>
    <cellStyle name="Input 13 4 2 2 2 2 5" xfId="13389" xr:uid="{00000000-0005-0000-0000-00007C330000}"/>
    <cellStyle name="Input 13 4 2 2 2 2 6" xfId="13390" xr:uid="{00000000-0005-0000-0000-00007D330000}"/>
    <cellStyle name="Input 13 4 2 2 2 3" xfId="13391" xr:uid="{00000000-0005-0000-0000-00007E330000}"/>
    <cellStyle name="Input 13 4 2 2 2 3 2" xfId="13392" xr:uid="{00000000-0005-0000-0000-00007F330000}"/>
    <cellStyle name="Input 13 4 2 2 2 4" xfId="13393" xr:uid="{00000000-0005-0000-0000-000080330000}"/>
    <cellStyle name="Input 13 4 2 2 2 4 2" xfId="13394" xr:uid="{00000000-0005-0000-0000-000081330000}"/>
    <cellStyle name="Input 13 4 2 2 2 5" xfId="13395" xr:uid="{00000000-0005-0000-0000-000082330000}"/>
    <cellStyle name="Input 13 4 2 2 2 6" xfId="13396" xr:uid="{00000000-0005-0000-0000-000083330000}"/>
    <cellStyle name="Input 13 4 2 2 2 7" xfId="13397" xr:uid="{00000000-0005-0000-0000-000084330000}"/>
    <cellStyle name="Input 13 4 2 2 3" xfId="13398" xr:uid="{00000000-0005-0000-0000-000085330000}"/>
    <cellStyle name="Input 13 4 2 2 3 2" xfId="13399" xr:uid="{00000000-0005-0000-0000-000086330000}"/>
    <cellStyle name="Input 13 4 2 2 3 2 2" xfId="13400" xr:uid="{00000000-0005-0000-0000-000087330000}"/>
    <cellStyle name="Input 13 4 2 2 3 3" xfId="13401" xr:uid="{00000000-0005-0000-0000-000088330000}"/>
    <cellStyle name="Input 13 4 2 2 3 3 2" xfId="13402" xr:uid="{00000000-0005-0000-0000-000089330000}"/>
    <cellStyle name="Input 13 4 2 2 3 4" xfId="13403" xr:uid="{00000000-0005-0000-0000-00008A330000}"/>
    <cellStyle name="Input 13 4 2 2 3 5" xfId="13404" xr:uid="{00000000-0005-0000-0000-00008B330000}"/>
    <cellStyle name="Input 13 4 2 2 3 6" xfId="13405" xr:uid="{00000000-0005-0000-0000-00008C330000}"/>
    <cellStyle name="Input 13 4 2 2 4" xfId="13406" xr:uid="{00000000-0005-0000-0000-00008D330000}"/>
    <cellStyle name="Input 13 4 2 2 4 2" xfId="13407" xr:uid="{00000000-0005-0000-0000-00008E330000}"/>
    <cellStyle name="Input 13 4 2 2 5" xfId="13408" xr:uid="{00000000-0005-0000-0000-00008F330000}"/>
    <cellStyle name="Input 13 4 2 2 5 2" xfId="13409" xr:uid="{00000000-0005-0000-0000-000090330000}"/>
    <cellStyle name="Input 13 4 2 2 6" xfId="13410" xr:uid="{00000000-0005-0000-0000-000091330000}"/>
    <cellStyle name="Input 13 4 2 2 7" xfId="13411" xr:uid="{00000000-0005-0000-0000-000092330000}"/>
    <cellStyle name="Input 13 4 2 2 8" xfId="13412" xr:uid="{00000000-0005-0000-0000-000093330000}"/>
    <cellStyle name="Input 13 4 2 3" xfId="13413" xr:uid="{00000000-0005-0000-0000-000094330000}"/>
    <cellStyle name="Input 13 4 2 3 2" xfId="13414" xr:uid="{00000000-0005-0000-0000-000095330000}"/>
    <cellStyle name="Input 13 4 2 3 2 2" xfId="13415" xr:uid="{00000000-0005-0000-0000-000096330000}"/>
    <cellStyle name="Input 13 4 2 3 2 2 2" xfId="13416" xr:uid="{00000000-0005-0000-0000-000097330000}"/>
    <cellStyle name="Input 13 4 2 3 2 2 2 2" xfId="13417" xr:uid="{00000000-0005-0000-0000-000098330000}"/>
    <cellStyle name="Input 13 4 2 3 2 2 3" xfId="13418" xr:uid="{00000000-0005-0000-0000-000099330000}"/>
    <cellStyle name="Input 13 4 2 3 2 2 3 2" xfId="13419" xr:uid="{00000000-0005-0000-0000-00009A330000}"/>
    <cellStyle name="Input 13 4 2 3 2 2 4" xfId="13420" xr:uid="{00000000-0005-0000-0000-00009B330000}"/>
    <cellStyle name="Input 13 4 2 3 2 2 5" xfId="13421" xr:uid="{00000000-0005-0000-0000-00009C330000}"/>
    <cellStyle name="Input 13 4 2 3 2 2 6" xfId="13422" xr:uid="{00000000-0005-0000-0000-00009D330000}"/>
    <cellStyle name="Input 13 4 2 3 2 3" xfId="13423" xr:uid="{00000000-0005-0000-0000-00009E330000}"/>
    <cellStyle name="Input 13 4 2 3 2 3 2" xfId="13424" xr:uid="{00000000-0005-0000-0000-00009F330000}"/>
    <cellStyle name="Input 13 4 2 3 2 4" xfId="13425" xr:uid="{00000000-0005-0000-0000-0000A0330000}"/>
    <cellStyle name="Input 13 4 2 3 2 4 2" xfId="13426" xr:uid="{00000000-0005-0000-0000-0000A1330000}"/>
    <cellStyle name="Input 13 4 2 3 2 5" xfId="13427" xr:uid="{00000000-0005-0000-0000-0000A2330000}"/>
    <cellStyle name="Input 13 4 2 3 2 6" xfId="13428" xr:uid="{00000000-0005-0000-0000-0000A3330000}"/>
    <cellStyle name="Input 13 4 2 3 2 7" xfId="13429" xr:uid="{00000000-0005-0000-0000-0000A4330000}"/>
    <cellStyle name="Input 13 4 2 3 3" xfId="13430" xr:uid="{00000000-0005-0000-0000-0000A5330000}"/>
    <cellStyle name="Input 13 4 2 3 3 2" xfId="13431" xr:uid="{00000000-0005-0000-0000-0000A6330000}"/>
    <cellStyle name="Input 13 4 2 3 3 2 2" xfId="13432" xr:uid="{00000000-0005-0000-0000-0000A7330000}"/>
    <cellStyle name="Input 13 4 2 3 3 3" xfId="13433" xr:uid="{00000000-0005-0000-0000-0000A8330000}"/>
    <cellStyle name="Input 13 4 2 3 3 3 2" xfId="13434" xr:uid="{00000000-0005-0000-0000-0000A9330000}"/>
    <cellStyle name="Input 13 4 2 3 3 4" xfId="13435" xr:uid="{00000000-0005-0000-0000-0000AA330000}"/>
    <cellStyle name="Input 13 4 2 3 3 5" xfId="13436" xr:uid="{00000000-0005-0000-0000-0000AB330000}"/>
    <cellStyle name="Input 13 4 2 3 3 6" xfId="13437" xr:uid="{00000000-0005-0000-0000-0000AC330000}"/>
    <cellStyle name="Input 13 4 2 3 4" xfId="13438" xr:uid="{00000000-0005-0000-0000-0000AD330000}"/>
    <cellStyle name="Input 13 4 2 3 4 2" xfId="13439" xr:uid="{00000000-0005-0000-0000-0000AE330000}"/>
    <cellStyle name="Input 13 4 2 3 5" xfId="13440" xr:uid="{00000000-0005-0000-0000-0000AF330000}"/>
    <cellStyle name="Input 13 4 2 3 5 2" xfId="13441" xr:uid="{00000000-0005-0000-0000-0000B0330000}"/>
    <cellStyle name="Input 13 4 2 3 6" xfId="13442" xr:uid="{00000000-0005-0000-0000-0000B1330000}"/>
    <cellStyle name="Input 13 4 2 3 7" xfId="13443" xr:uid="{00000000-0005-0000-0000-0000B2330000}"/>
    <cellStyle name="Input 13 4 2 3 8" xfId="13444" xr:uid="{00000000-0005-0000-0000-0000B3330000}"/>
    <cellStyle name="Input 13 4 2 4" xfId="13445" xr:uid="{00000000-0005-0000-0000-0000B4330000}"/>
    <cellStyle name="Input 13 4 2 4 2" xfId="13446" xr:uid="{00000000-0005-0000-0000-0000B5330000}"/>
    <cellStyle name="Input 13 4 2 4 2 2" xfId="13447" xr:uid="{00000000-0005-0000-0000-0000B6330000}"/>
    <cellStyle name="Input 13 4 2 4 2 2 2" xfId="13448" xr:uid="{00000000-0005-0000-0000-0000B7330000}"/>
    <cellStyle name="Input 13 4 2 4 2 3" xfId="13449" xr:uid="{00000000-0005-0000-0000-0000B8330000}"/>
    <cellStyle name="Input 13 4 2 4 2 3 2" xfId="13450" xr:uid="{00000000-0005-0000-0000-0000B9330000}"/>
    <cellStyle name="Input 13 4 2 4 2 4" xfId="13451" xr:uid="{00000000-0005-0000-0000-0000BA330000}"/>
    <cellStyle name="Input 13 4 2 4 2 5" xfId="13452" xr:uid="{00000000-0005-0000-0000-0000BB330000}"/>
    <cellStyle name="Input 13 4 2 4 2 6" xfId="13453" xr:uid="{00000000-0005-0000-0000-0000BC330000}"/>
    <cellStyle name="Input 13 4 2 4 3" xfId="13454" xr:uid="{00000000-0005-0000-0000-0000BD330000}"/>
    <cellStyle name="Input 13 4 2 4 3 2" xfId="13455" xr:uid="{00000000-0005-0000-0000-0000BE330000}"/>
    <cellStyle name="Input 13 4 2 4 4" xfId="13456" xr:uid="{00000000-0005-0000-0000-0000BF330000}"/>
    <cellStyle name="Input 13 4 2 4 4 2" xfId="13457" xr:uid="{00000000-0005-0000-0000-0000C0330000}"/>
    <cellStyle name="Input 13 4 2 4 5" xfId="13458" xr:uid="{00000000-0005-0000-0000-0000C1330000}"/>
    <cellStyle name="Input 13 4 2 4 6" xfId="13459" xr:uid="{00000000-0005-0000-0000-0000C2330000}"/>
    <cellStyle name="Input 13 4 2 4 7" xfId="13460" xr:uid="{00000000-0005-0000-0000-0000C3330000}"/>
    <cellStyle name="Input 13 4 2 5" xfId="13461" xr:uid="{00000000-0005-0000-0000-0000C4330000}"/>
    <cellStyle name="Input 13 4 2 5 2" xfId="13462" xr:uid="{00000000-0005-0000-0000-0000C5330000}"/>
    <cellStyle name="Input 13 4 2 5 2 2" xfId="13463" xr:uid="{00000000-0005-0000-0000-0000C6330000}"/>
    <cellStyle name="Input 13 4 2 5 3" xfId="13464" xr:uid="{00000000-0005-0000-0000-0000C7330000}"/>
    <cellStyle name="Input 13 4 2 5 3 2" xfId="13465" xr:uid="{00000000-0005-0000-0000-0000C8330000}"/>
    <cellStyle name="Input 13 4 2 5 4" xfId="13466" xr:uid="{00000000-0005-0000-0000-0000C9330000}"/>
    <cellStyle name="Input 13 4 2 5 5" xfId="13467" xr:uid="{00000000-0005-0000-0000-0000CA330000}"/>
    <cellStyle name="Input 13 4 2 5 6" xfId="13468" xr:uid="{00000000-0005-0000-0000-0000CB330000}"/>
    <cellStyle name="Input 13 4 2 6" xfId="13469" xr:uid="{00000000-0005-0000-0000-0000CC330000}"/>
    <cellStyle name="Input 13 4 2 6 2" xfId="13470" xr:uid="{00000000-0005-0000-0000-0000CD330000}"/>
    <cellStyle name="Input 13 4 2 7" xfId="13471" xr:uid="{00000000-0005-0000-0000-0000CE330000}"/>
    <cellStyle name="Input 13 4 2 7 2" xfId="13472" xr:uid="{00000000-0005-0000-0000-0000CF330000}"/>
    <cellStyle name="Input 13 4 2 8" xfId="13473" xr:uid="{00000000-0005-0000-0000-0000D0330000}"/>
    <cellStyle name="Input 13 4 2 9" xfId="13474" xr:uid="{00000000-0005-0000-0000-0000D1330000}"/>
    <cellStyle name="Input 13 4 3" xfId="13475" xr:uid="{00000000-0005-0000-0000-0000D2330000}"/>
    <cellStyle name="Input 13 4 3 2" xfId="13476" xr:uid="{00000000-0005-0000-0000-0000D3330000}"/>
    <cellStyle name="Input 13 4 3 2 2" xfId="13477" xr:uid="{00000000-0005-0000-0000-0000D4330000}"/>
    <cellStyle name="Input 13 4 3 2 2 2" xfId="13478" xr:uid="{00000000-0005-0000-0000-0000D5330000}"/>
    <cellStyle name="Input 13 4 3 2 2 2 2" xfId="13479" xr:uid="{00000000-0005-0000-0000-0000D6330000}"/>
    <cellStyle name="Input 13 4 3 2 2 3" xfId="13480" xr:uid="{00000000-0005-0000-0000-0000D7330000}"/>
    <cellStyle name="Input 13 4 3 2 2 3 2" xfId="13481" xr:uid="{00000000-0005-0000-0000-0000D8330000}"/>
    <cellStyle name="Input 13 4 3 2 2 4" xfId="13482" xr:uid="{00000000-0005-0000-0000-0000D9330000}"/>
    <cellStyle name="Input 13 4 3 2 2 5" xfId="13483" xr:uid="{00000000-0005-0000-0000-0000DA330000}"/>
    <cellStyle name="Input 13 4 3 2 2 6" xfId="13484" xr:uid="{00000000-0005-0000-0000-0000DB330000}"/>
    <cellStyle name="Input 13 4 3 2 3" xfId="13485" xr:uid="{00000000-0005-0000-0000-0000DC330000}"/>
    <cellStyle name="Input 13 4 3 2 3 2" xfId="13486" xr:uid="{00000000-0005-0000-0000-0000DD330000}"/>
    <cellStyle name="Input 13 4 3 2 4" xfId="13487" xr:uid="{00000000-0005-0000-0000-0000DE330000}"/>
    <cellStyle name="Input 13 4 3 2 4 2" xfId="13488" xr:uid="{00000000-0005-0000-0000-0000DF330000}"/>
    <cellStyle name="Input 13 4 3 2 5" xfId="13489" xr:uid="{00000000-0005-0000-0000-0000E0330000}"/>
    <cellStyle name="Input 13 4 3 2 6" xfId="13490" xr:uid="{00000000-0005-0000-0000-0000E1330000}"/>
    <cellStyle name="Input 13 4 3 2 7" xfId="13491" xr:uid="{00000000-0005-0000-0000-0000E2330000}"/>
    <cellStyle name="Input 13 4 3 3" xfId="13492" xr:uid="{00000000-0005-0000-0000-0000E3330000}"/>
    <cellStyle name="Input 13 4 3 3 2" xfId="13493" xr:uid="{00000000-0005-0000-0000-0000E4330000}"/>
    <cellStyle name="Input 13 4 3 3 2 2" xfId="13494" xr:uid="{00000000-0005-0000-0000-0000E5330000}"/>
    <cellStyle name="Input 13 4 3 3 3" xfId="13495" xr:uid="{00000000-0005-0000-0000-0000E6330000}"/>
    <cellStyle name="Input 13 4 3 3 3 2" xfId="13496" xr:uid="{00000000-0005-0000-0000-0000E7330000}"/>
    <cellStyle name="Input 13 4 3 3 4" xfId="13497" xr:uid="{00000000-0005-0000-0000-0000E8330000}"/>
    <cellStyle name="Input 13 4 3 3 5" xfId="13498" xr:uid="{00000000-0005-0000-0000-0000E9330000}"/>
    <cellStyle name="Input 13 4 3 3 6" xfId="13499" xr:uid="{00000000-0005-0000-0000-0000EA330000}"/>
    <cellStyle name="Input 13 4 3 4" xfId="13500" xr:uid="{00000000-0005-0000-0000-0000EB330000}"/>
    <cellStyle name="Input 13 4 3 4 2" xfId="13501" xr:uid="{00000000-0005-0000-0000-0000EC330000}"/>
    <cellStyle name="Input 13 4 3 5" xfId="13502" xr:uid="{00000000-0005-0000-0000-0000ED330000}"/>
    <cellStyle name="Input 13 4 3 5 2" xfId="13503" xr:uid="{00000000-0005-0000-0000-0000EE330000}"/>
    <cellStyle name="Input 13 4 3 6" xfId="13504" xr:uid="{00000000-0005-0000-0000-0000EF330000}"/>
    <cellStyle name="Input 13 4 3 7" xfId="13505" xr:uid="{00000000-0005-0000-0000-0000F0330000}"/>
    <cellStyle name="Input 13 4 3 8" xfId="13506" xr:uid="{00000000-0005-0000-0000-0000F1330000}"/>
    <cellStyle name="Input 13 4 4" xfId="13507" xr:uid="{00000000-0005-0000-0000-0000F2330000}"/>
    <cellStyle name="Input 13 4 4 2" xfId="13508" xr:uid="{00000000-0005-0000-0000-0000F3330000}"/>
    <cellStyle name="Input 13 4 4 2 2" xfId="13509" xr:uid="{00000000-0005-0000-0000-0000F4330000}"/>
    <cellStyle name="Input 13 4 4 2 2 2" xfId="13510" xr:uid="{00000000-0005-0000-0000-0000F5330000}"/>
    <cellStyle name="Input 13 4 4 2 2 2 2" xfId="13511" xr:uid="{00000000-0005-0000-0000-0000F6330000}"/>
    <cellStyle name="Input 13 4 4 2 2 3" xfId="13512" xr:uid="{00000000-0005-0000-0000-0000F7330000}"/>
    <cellStyle name="Input 13 4 4 2 2 3 2" xfId="13513" xr:uid="{00000000-0005-0000-0000-0000F8330000}"/>
    <cellStyle name="Input 13 4 4 2 2 4" xfId="13514" xr:uid="{00000000-0005-0000-0000-0000F9330000}"/>
    <cellStyle name="Input 13 4 4 2 2 5" xfId="13515" xr:uid="{00000000-0005-0000-0000-0000FA330000}"/>
    <cellStyle name="Input 13 4 4 2 2 6" xfId="13516" xr:uid="{00000000-0005-0000-0000-0000FB330000}"/>
    <cellStyle name="Input 13 4 4 2 3" xfId="13517" xr:uid="{00000000-0005-0000-0000-0000FC330000}"/>
    <cellStyle name="Input 13 4 4 2 3 2" xfId="13518" xr:uid="{00000000-0005-0000-0000-0000FD330000}"/>
    <cellStyle name="Input 13 4 4 2 4" xfId="13519" xr:uid="{00000000-0005-0000-0000-0000FE330000}"/>
    <cellStyle name="Input 13 4 4 2 4 2" xfId="13520" xr:uid="{00000000-0005-0000-0000-0000FF330000}"/>
    <cellStyle name="Input 13 4 4 2 5" xfId="13521" xr:uid="{00000000-0005-0000-0000-000000340000}"/>
    <cellStyle name="Input 13 4 4 2 6" xfId="13522" xr:uid="{00000000-0005-0000-0000-000001340000}"/>
    <cellStyle name="Input 13 4 4 2 7" xfId="13523" xr:uid="{00000000-0005-0000-0000-000002340000}"/>
    <cellStyle name="Input 13 4 4 3" xfId="13524" xr:uid="{00000000-0005-0000-0000-000003340000}"/>
    <cellStyle name="Input 13 4 4 3 2" xfId="13525" xr:uid="{00000000-0005-0000-0000-000004340000}"/>
    <cellStyle name="Input 13 4 4 3 2 2" xfId="13526" xr:uid="{00000000-0005-0000-0000-000005340000}"/>
    <cellStyle name="Input 13 4 4 3 3" xfId="13527" xr:uid="{00000000-0005-0000-0000-000006340000}"/>
    <cellStyle name="Input 13 4 4 3 3 2" xfId="13528" xr:uid="{00000000-0005-0000-0000-000007340000}"/>
    <cellStyle name="Input 13 4 4 3 4" xfId="13529" xr:uid="{00000000-0005-0000-0000-000008340000}"/>
    <cellStyle name="Input 13 4 4 3 5" xfId="13530" xr:uid="{00000000-0005-0000-0000-000009340000}"/>
    <cellStyle name="Input 13 4 4 3 6" xfId="13531" xr:uid="{00000000-0005-0000-0000-00000A340000}"/>
    <cellStyle name="Input 13 4 4 4" xfId="13532" xr:uid="{00000000-0005-0000-0000-00000B340000}"/>
    <cellStyle name="Input 13 4 4 4 2" xfId="13533" xr:uid="{00000000-0005-0000-0000-00000C340000}"/>
    <cellStyle name="Input 13 4 4 5" xfId="13534" xr:uid="{00000000-0005-0000-0000-00000D340000}"/>
    <cellStyle name="Input 13 4 4 5 2" xfId="13535" xr:uid="{00000000-0005-0000-0000-00000E340000}"/>
    <cellStyle name="Input 13 4 4 6" xfId="13536" xr:uid="{00000000-0005-0000-0000-00000F340000}"/>
    <cellStyle name="Input 13 4 4 7" xfId="13537" xr:uid="{00000000-0005-0000-0000-000010340000}"/>
    <cellStyle name="Input 13 4 4 8" xfId="13538" xr:uid="{00000000-0005-0000-0000-000011340000}"/>
    <cellStyle name="Input 13 4 5" xfId="13539" xr:uid="{00000000-0005-0000-0000-000012340000}"/>
    <cellStyle name="Input 13 4 5 2" xfId="13540" xr:uid="{00000000-0005-0000-0000-000013340000}"/>
    <cellStyle name="Input 13 4 5 2 2" xfId="13541" xr:uid="{00000000-0005-0000-0000-000014340000}"/>
    <cellStyle name="Input 13 4 5 2 2 2" xfId="13542" xr:uid="{00000000-0005-0000-0000-000015340000}"/>
    <cellStyle name="Input 13 4 5 2 3" xfId="13543" xr:uid="{00000000-0005-0000-0000-000016340000}"/>
    <cellStyle name="Input 13 4 5 2 3 2" xfId="13544" xr:uid="{00000000-0005-0000-0000-000017340000}"/>
    <cellStyle name="Input 13 4 5 2 4" xfId="13545" xr:uid="{00000000-0005-0000-0000-000018340000}"/>
    <cellStyle name="Input 13 4 5 2 5" xfId="13546" xr:uid="{00000000-0005-0000-0000-000019340000}"/>
    <cellStyle name="Input 13 4 5 2 6" xfId="13547" xr:uid="{00000000-0005-0000-0000-00001A340000}"/>
    <cellStyle name="Input 13 4 5 3" xfId="13548" xr:uid="{00000000-0005-0000-0000-00001B340000}"/>
    <cellStyle name="Input 13 4 5 3 2" xfId="13549" xr:uid="{00000000-0005-0000-0000-00001C340000}"/>
    <cellStyle name="Input 13 4 5 4" xfId="13550" xr:uid="{00000000-0005-0000-0000-00001D340000}"/>
    <cellStyle name="Input 13 4 5 4 2" xfId="13551" xr:uid="{00000000-0005-0000-0000-00001E340000}"/>
    <cellStyle name="Input 13 4 5 5" xfId="13552" xr:uid="{00000000-0005-0000-0000-00001F340000}"/>
    <cellStyle name="Input 13 4 5 6" xfId="13553" xr:uid="{00000000-0005-0000-0000-000020340000}"/>
    <cellStyle name="Input 13 4 5 7" xfId="13554" xr:uid="{00000000-0005-0000-0000-000021340000}"/>
    <cellStyle name="Input 13 4 6" xfId="13555" xr:uid="{00000000-0005-0000-0000-000022340000}"/>
    <cellStyle name="Input 13 4 6 2" xfId="13556" xr:uid="{00000000-0005-0000-0000-000023340000}"/>
    <cellStyle name="Input 13 4 6 2 2" xfId="13557" xr:uid="{00000000-0005-0000-0000-000024340000}"/>
    <cellStyle name="Input 13 4 6 3" xfId="13558" xr:uid="{00000000-0005-0000-0000-000025340000}"/>
    <cellStyle name="Input 13 4 6 3 2" xfId="13559" xr:uid="{00000000-0005-0000-0000-000026340000}"/>
    <cellStyle name="Input 13 4 6 4" xfId="13560" xr:uid="{00000000-0005-0000-0000-000027340000}"/>
    <cellStyle name="Input 13 4 6 5" xfId="13561" xr:uid="{00000000-0005-0000-0000-000028340000}"/>
    <cellStyle name="Input 13 4 6 6" xfId="13562" xr:uid="{00000000-0005-0000-0000-000029340000}"/>
    <cellStyle name="Input 13 4 7" xfId="13563" xr:uid="{00000000-0005-0000-0000-00002A340000}"/>
    <cellStyle name="Input 13 4 7 2" xfId="13564" xr:uid="{00000000-0005-0000-0000-00002B340000}"/>
    <cellStyle name="Input 13 4 8" xfId="13565" xr:uid="{00000000-0005-0000-0000-00002C340000}"/>
    <cellStyle name="Input 13 4 8 2" xfId="13566" xr:uid="{00000000-0005-0000-0000-00002D340000}"/>
    <cellStyle name="Input 13 4 9" xfId="13567" xr:uid="{00000000-0005-0000-0000-00002E340000}"/>
    <cellStyle name="Input 13 5" xfId="13568" xr:uid="{00000000-0005-0000-0000-00002F340000}"/>
    <cellStyle name="Input 13 5 10" xfId="13569" xr:uid="{00000000-0005-0000-0000-000030340000}"/>
    <cellStyle name="Input 13 5 2" xfId="13570" xr:uid="{00000000-0005-0000-0000-000031340000}"/>
    <cellStyle name="Input 13 5 2 2" xfId="13571" xr:uid="{00000000-0005-0000-0000-000032340000}"/>
    <cellStyle name="Input 13 5 2 2 2" xfId="13572" xr:uid="{00000000-0005-0000-0000-000033340000}"/>
    <cellStyle name="Input 13 5 2 2 2 2" xfId="13573" xr:uid="{00000000-0005-0000-0000-000034340000}"/>
    <cellStyle name="Input 13 5 2 2 2 2 2" xfId="13574" xr:uid="{00000000-0005-0000-0000-000035340000}"/>
    <cellStyle name="Input 13 5 2 2 2 3" xfId="13575" xr:uid="{00000000-0005-0000-0000-000036340000}"/>
    <cellStyle name="Input 13 5 2 2 2 3 2" xfId="13576" xr:uid="{00000000-0005-0000-0000-000037340000}"/>
    <cellStyle name="Input 13 5 2 2 2 4" xfId="13577" xr:uid="{00000000-0005-0000-0000-000038340000}"/>
    <cellStyle name="Input 13 5 2 2 2 5" xfId="13578" xr:uid="{00000000-0005-0000-0000-000039340000}"/>
    <cellStyle name="Input 13 5 2 2 2 6" xfId="13579" xr:uid="{00000000-0005-0000-0000-00003A340000}"/>
    <cellStyle name="Input 13 5 2 2 3" xfId="13580" xr:uid="{00000000-0005-0000-0000-00003B340000}"/>
    <cellStyle name="Input 13 5 2 2 3 2" xfId="13581" xr:uid="{00000000-0005-0000-0000-00003C340000}"/>
    <cellStyle name="Input 13 5 2 2 4" xfId="13582" xr:uid="{00000000-0005-0000-0000-00003D340000}"/>
    <cellStyle name="Input 13 5 2 2 4 2" xfId="13583" xr:uid="{00000000-0005-0000-0000-00003E340000}"/>
    <cellStyle name="Input 13 5 2 2 5" xfId="13584" xr:uid="{00000000-0005-0000-0000-00003F340000}"/>
    <cellStyle name="Input 13 5 2 2 6" xfId="13585" xr:uid="{00000000-0005-0000-0000-000040340000}"/>
    <cellStyle name="Input 13 5 2 2 7" xfId="13586" xr:uid="{00000000-0005-0000-0000-000041340000}"/>
    <cellStyle name="Input 13 5 2 3" xfId="13587" xr:uid="{00000000-0005-0000-0000-000042340000}"/>
    <cellStyle name="Input 13 5 2 3 2" xfId="13588" xr:uid="{00000000-0005-0000-0000-000043340000}"/>
    <cellStyle name="Input 13 5 2 3 2 2" xfId="13589" xr:uid="{00000000-0005-0000-0000-000044340000}"/>
    <cellStyle name="Input 13 5 2 3 3" xfId="13590" xr:uid="{00000000-0005-0000-0000-000045340000}"/>
    <cellStyle name="Input 13 5 2 3 3 2" xfId="13591" xr:uid="{00000000-0005-0000-0000-000046340000}"/>
    <cellStyle name="Input 13 5 2 3 4" xfId="13592" xr:uid="{00000000-0005-0000-0000-000047340000}"/>
    <cellStyle name="Input 13 5 2 3 5" xfId="13593" xr:uid="{00000000-0005-0000-0000-000048340000}"/>
    <cellStyle name="Input 13 5 2 3 6" xfId="13594" xr:uid="{00000000-0005-0000-0000-000049340000}"/>
    <cellStyle name="Input 13 5 2 4" xfId="13595" xr:uid="{00000000-0005-0000-0000-00004A340000}"/>
    <cellStyle name="Input 13 5 2 4 2" xfId="13596" xr:uid="{00000000-0005-0000-0000-00004B340000}"/>
    <cellStyle name="Input 13 5 2 5" xfId="13597" xr:uid="{00000000-0005-0000-0000-00004C340000}"/>
    <cellStyle name="Input 13 5 2 5 2" xfId="13598" xr:uid="{00000000-0005-0000-0000-00004D340000}"/>
    <cellStyle name="Input 13 5 2 6" xfId="13599" xr:uid="{00000000-0005-0000-0000-00004E340000}"/>
    <cellStyle name="Input 13 5 2 7" xfId="13600" xr:uid="{00000000-0005-0000-0000-00004F340000}"/>
    <cellStyle name="Input 13 5 2 8" xfId="13601" xr:uid="{00000000-0005-0000-0000-000050340000}"/>
    <cellStyle name="Input 13 5 3" xfId="13602" xr:uid="{00000000-0005-0000-0000-000051340000}"/>
    <cellStyle name="Input 13 5 3 2" xfId="13603" xr:uid="{00000000-0005-0000-0000-000052340000}"/>
    <cellStyle name="Input 13 5 3 2 2" xfId="13604" xr:uid="{00000000-0005-0000-0000-000053340000}"/>
    <cellStyle name="Input 13 5 3 2 2 2" xfId="13605" xr:uid="{00000000-0005-0000-0000-000054340000}"/>
    <cellStyle name="Input 13 5 3 2 2 2 2" xfId="13606" xr:uid="{00000000-0005-0000-0000-000055340000}"/>
    <cellStyle name="Input 13 5 3 2 2 3" xfId="13607" xr:uid="{00000000-0005-0000-0000-000056340000}"/>
    <cellStyle name="Input 13 5 3 2 2 3 2" xfId="13608" xr:uid="{00000000-0005-0000-0000-000057340000}"/>
    <cellStyle name="Input 13 5 3 2 2 4" xfId="13609" xr:uid="{00000000-0005-0000-0000-000058340000}"/>
    <cellStyle name="Input 13 5 3 2 2 5" xfId="13610" xr:uid="{00000000-0005-0000-0000-000059340000}"/>
    <cellStyle name="Input 13 5 3 2 2 6" xfId="13611" xr:uid="{00000000-0005-0000-0000-00005A340000}"/>
    <cellStyle name="Input 13 5 3 2 3" xfId="13612" xr:uid="{00000000-0005-0000-0000-00005B340000}"/>
    <cellStyle name="Input 13 5 3 2 3 2" xfId="13613" xr:uid="{00000000-0005-0000-0000-00005C340000}"/>
    <cellStyle name="Input 13 5 3 2 4" xfId="13614" xr:uid="{00000000-0005-0000-0000-00005D340000}"/>
    <cellStyle name="Input 13 5 3 2 4 2" xfId="13615" xr:uid="{00000000-0005-0000-0000-00005E340000}"/>
    <cellStyle name="Input 13 5 3 2 5" xfId="13616" xr:uid="{00000000-0005-0000-0000-00005F340000}"/>
    <cellStyle name="Input 13 5 3 2 6" xfId="13617" xr:uid="{00000000-0005-0000-0000-000060340000}"/>
    <cellStyle name="Input 13 5 3 2 7" xfId="13618" xr:uid="{00000000-0005-0000-0000-000061340000}"/>
    <cellStyle name="Input 13 5 3 3" xfId="13619" xr:uid="{00000000-0005-0000-0000-000062340000}"/>
    <cellStyle name="Input 13 5 3 3 2" xfId="13620" xr:uid="{00000000-0005-0000-0000-000063340000}"/>
    <cellStyle name="Input 13 5 3 3 2 2" xfId="13621" xr:uid="{00000000-0005-0000-0000-000064340000}"/>
    <cellStyle name="Input 13 5 3 3 3" xfId="13622" xr:uid="{00000000-0005-0000-0000-000065340000}"/>
    <cellStyle name="Input 13 5 3 3 3 2" xfId="13623" xr:uid="{00000000-0005-0000-0000-000066340000}"/>
    <cellStyle name="Input 13 5 3 3 4" xfId="13624" xr:uid="{00000000-0005-0000-0000-000067340000}"/>
    <cellStyle name="Input 13 5 3 3 5" xfId="13625" xr:uid="{00000000-0005-0000-0000-000068340000}"/>
    <cellStyle name="Input 13 5 3 3 6" xfId="13626" xr:uid="{00000000-0005-0000-0000-000069340000}"/>
    <cellStyle name="Input 13 5 3 4" xfId="13627" xr:uid="{00000000-0005-0000-0000-00006A340000}"/>
    <cellStyle name="Input 13 5 3 4 2" xfId="13628" xr:uid="{00000000-0005-0000-0000-00006B340000}"/>
    <cellStyle name="Input 13 5 3 5" xfId="13629" xr:uid="{00000000-0005-0000-0000-00006C340000}"/>
    <cellStyle name="Input 13 5 3 5 2" xfId="13630" xr:uid="{00000000-0005-0000-0000-00006D340000}"/>
    <cellStyle name="Input 13 5 3 6" xfId="13631" xr:uid="{00000000-0005-0000-0000-00006E340000}"/>
    <cellStyle name="Input 13 5 3 7" xfId="13632" xr:uid="{00000000-0005-0000-0000-00006F340000}"/>
    <cellStyle name="Input 13 5 3 8" xfId="13633" xr:uid="{00000000-0005-0000-0000-000070340000}"/>
    <cellStyle name="Input 13 5 4" xfId="13634" xr:uid="{00000000-0005-0000-0000-000071340000}"/>
    <cellStyle name="Input 13 5 4 2" xfId="13635" xr:uid="{00000000-0005-0000-0000-000072340000}"/>
    <cellStyle name="Input 13 5 4 2 2" xfId="13636" xr:uid="{00000000-0005-0000-0000-000073340000}"/>
    <cellStyle name="Input 13 5 4 2 2 2" xfId="13637" xr:uid="{00000000-0005-0000-0000-000074340000}"/>
    <cellStyle name="Input 13 5 4 2 3" xfId="13638" xr:uid="{00000000-0005-0000-0000-000075340000}"/>
    <cellStyle name="Input 13 5 4 2 3 2" xfId="13639" xr:uid="{00000000-0005-0000-0000-000076340000}"/>
    <cellStyle name="Input 13 5 4 2 4" xfId="13640" xr:uid="{00000000-0005-0000-0000-000077340000}"/>
    <cellStyle name="Input 13 5 4 2 5" xfId="13641" xr:uid="{00000000-0005-0000-0000-000078340000}"/>
    <cellStyle name="Input 13 5 4 2 6" xfId="13642" xr:uid="{00000000-0005-0000-0000-000079340000}"/>
    <cellStyle name="Input 13 5 4 3" xfId="13643" xr:uid="{00000000-0005-0000-0000-00007A340000}"/>
    <cellStyle name="Input 13 5 4 3 2" xfId="13644" xr:uid="{00000000-0005-0000-0000-00007B340000}"/>
    <cellStyle name="Input 13 5 4 4" xfId="13645" xr:uid="{00000000-0005-0000-0000-00007C340000}"/>
    <cellStyle name="Input 13 5 4 4 2" xfId="13646" xr:uid="{00000000-0005-0000-0000-00007D340000}"/>
    <cellStyle name="Input 13 5 4 5" xfId="13647" xr:uid="{00000000-0005-0000-0000-00007E340000}"/>
    <cellStyle name="Input 13 5 4 6" xfId="13648" xr:uid="{00000000-0005-0000-0000-00007F340000}"/>
    <cellStyle name="Input 13 5 4 7" xfId="13649" xr:uid="{00000000-0005-0000-0000-000080340000}"/>
    <cellStyle name="Input 13 5 5" xfId="13650" xr:uid="{00000000-0005-0000-0000-000081340000}"/>
    <cellStyle name="Input 13 5 5 2" xfId="13651" xr:uid="{00000000-0005-0000-0000-000082340000}"/>
    <cellStyle name="Input 13 5 5 2 2" xfId="13652" xr:uid="{00000000-0005-0000-0000-000083340000}"/>
    <cellStyle name="Input 13 5 5 3" xfId="13653" xr:uid="{00000000-0005-0000-0000-000084340000}"/>
    <cellStyle name="Input 13 5 5 3 2" xfId="13654" xr:uid="{00000000-0005-0000-0000-000085340000}"/>
    <cellStyle name="Input 13 5 5 4" xfId="13655" xr:uid="{00000000-0005-0000-0000-000086340000}"/>
    <cellStyle name="Input 13 5 5 5" xfId="13656" xr:uid="{00000000-0005-0000-0000-000087340000}"/>
    <cellStyle name="Input 13 5 5 6" xfId="13657" xr:uid="{00000000-0005-0000-0000-000088340000}"/>
    <cellStyle name="Input 13 5 6" xfId="13658" xr:uid="{00000000-0005-0000-0000-000089340000}"/>
    <cellStyle name="Input 13 5 6 2" xfId="13659" xr:uid="{00000000-0005-0000-0000-00008A340000}"/>
    <cellStyle name="Input 13 5 7" xfId="13660" xr:uid="{00000000-0005-0000-0000-00008B340000}"/>
    <cellStyle name="Input 13 5 7 2" xfId="13661" xr:uid="{00000000-0005-0000-0000-00008C340000}"/>
    <cellStyle name="Input 13 5 8" xfId="13662" xr:uid="{00000000-0005-0000-0000-00008D340000}"/>
    <cellStyle name="Input 13 5 9" xfId="13663" xr:uid="{00000000-0005-0000-0000-00008E340000}"/>
    <cellStyle name="Input 13 6" xfId="13664" xr:uid="{00000000-0005-0000-0000-00008F340000}"/>
    <cellStyle name="Input 13 6 2" xfId="13665" xr:uid="{00000000-0005-0000-0000-000090340000}"/>
    <cellStyle name="Input 13 6 2 2" xfId="13666" xr:uid="{00000000-0005-0000-0000-000091340000}"/>
    <cellStyle name="Input 13 6 2 2 2" xfId="13667" xr:uid="{00000000-0005-0000-0000-000092340000}"/>
    <cellStyle name="Input 13 6 2 2 2 2" xfId="13668" xr:uid="{00000000-0005-0000-0000-000093340000}"/>
    <cellStyle name="Input 13 6 2 2 3" xfId="13669" xr:uid="{00000000-0005-0000-0000-000094340000}"/>
    <cellStyle name="Input 13 6 2 2 3 2" xfId="13670" xr:uid="{00000000-0005-0000-0000-000095340000}"/>
    <cellStyle name="Input 13 6 2 2 4" xfId="13671" xr:uid="{00000000-0005-0000-0000-000096340000}"/>
    <cellStyle name="Input 13 6 2 2 5" xfId="13672" xr:uid="{00000000-0005-0000-0000-000097340000}"/>
    <cellStyle name="Input 13 6 2 2 6" xfId="13673" xr:uid="{00000000-0005-0000-0000-000098340000}"/>
    <cellStyle name="Input 13 6 2 3" xfId="13674" xr:uid="{00000000-0005-0000-0000-000099340000}"/>
    <cellStyle name="Input 13 6 2 3 2" xfId="13675" xr:uid="{00000000-0005-0000-0000-00009A340000}"/>
    <cellStyle name="Input 13 6 2 4" xfId="13676" xr:uid="{00000000-0005-0000-0000-00009B340000}"/>
    <cellStyle name="Input 13 6 2 4 2" xfId="13677" xr:uid="{00000000-0005-0000-0000-00009C340000}"/>
    <cellStyle name="Input 13 6 2 5" xfId="13678" xr:uid="{00000000-0005-0000-0000-00009D340000}"/>
    <cellStyle name="Input 13 6 2 6" xfId="13679" xr:uid="{00000000-0005-0000-0000-00009E340000}"/>
    <cellStyle name="Input 13 6 2 7" xfId="13680" xr:uid="{00000000-0005-0000-0000-00009F340000}"/>
    <cellStyle name="Input 13 6 3" xfId="13681" xr:uid="{00000000-0005-0000-0000-0000A0340000}"/>
    <cellStyle name="Input 13 6 3 2" xfId="13682" xr:uid="{00000000-0005-0000-0000-0000A1340000}"/>
    <cellStyle name="Input 13 6 3 2 2" xfId="13683" xr:uid="{00000000-0005-0000-0000-0000A2340000}"/>
    <cellStyle name="Input 13 6 3 3" xfId="13684" xr:uid="{00000000-0005-0000-0000-0000A3340000}"/>
    <cellStyle name="Input 13 6 3 3 2" xfId="13685" xr:uid="{00000000-0005-0000-0000-0000A4340000}"/>
    <cellStyle name="Input 13 6 3 4" xfId="13686" xr:uid="{00000000-0005-0000-0000-0000A5340000}"/>
    <cellStyle name="Input 13 6 3 5" xfId="13687" xr:uid="{00000000-0005-0000-0000-0000A6340000}"/>
    <cellStyle name="Input 13 6 3 6" xfId="13688" xr:uid="{00000000-0005-0000-0000-0000A7340000}"/>
    <cellStyle name="Input 13 6 4" xfId="13689" xr:uid="{00000000-0005-0000-0000-0000A8340000}"/>
    <cellStyle name="Input 13 6 4 2" xfId="13690" xr:uid="{00000000-0005-0000-0000-0000A9340000}"/>
    <cellStyle name="Input 13 6 5" xfId="13691" xr:uid="{00000000-0005-0000-0000-0000AA340000}"/>
    <cellStyle name="Input 13 6 5 2" xfId="13692" xr:uid="{00000000-0005-0000-0000-0000AB340000}"/>
    <cellStyle name="Input 13 6 6" xfId="13693" xr:uid="{00000000-0005-0000-0000-0000AC340000}"/>
    <cellStyle name="Input 13 6 7" xfId="13694" xr:uid="{00000000-0005-0000-0000-0000AD340000}"/>
    <cellStyle name="Input 13 6 8" xfId="13695" xr:uid="{00000000-0005-0000-0000-0000AE340000}"/>
    <cellStyle name="Input 13 7" xfId="13696" xr:uid="{00000000-0005-0000-0000-0000AF340000}"/>
    <cellStyle name="Input 13 7 2" xfId="13697" xr:uid="{00000000-0005-0000-0000-0000B0340000}"/>
    <cellStyle name="Input 13 7 2 2" xfId="13698" xr:uid="{00000000-0005-0000-0000-0000B1340000}"/>
    <cellStyle name="Input 13 7 2 2 2" xfId="13699" xr:uid="{00000000-0005-0000-0000-0000B2340000}"/>
    <cellStyle name="Input 13 7 2 3" xfId="13700" xr:uid="{00000000-0005-0000-0000-0000B3340000}"/>
    <cellStyle name="Input 13 7 2 3 2" xfId="13701" xr:uid="{00000000-0005-0000-0000-0000B4340000}"/>
    <cellStyle name="Input 13 7 2 4" xfId="13702" xr:uid="{00000000-0005-0000-0000-0000B5340000}"/>
    <cellStyle name="Input 13 7 2 5" xfId="13703" xr:uid="{00000000-0005-0000-0000-0000B6340000}"/>
    <cellStyle name="Input 13 7 2 6" xfId="13704" xr:uid="{00000000-0005-0000-0000-0000B7340000}"/>
    <cellStyle name="Input 13 7 3" xfId="13705" xr:uid="{00000000-0005-0000-0000-0000B8340000}"/>
    <cellStyle name="Input 13 7 3 2" xfId="13706" xr:uid="{00000000-0005-0000-0000-0000B9340000}"/>
    <cellStyle name="Input 13 7 4" xfId="13707" xr:uid="{00000000-0005-0000-0000-0000BA340000}"/>
    <cellStyle name="Input 13 7 4 2" xfId="13708" xr:uid="{00000000-0005-0000-0000-0000BB340000}"/>
    <cellStyle name="Input 13 7 5" xfId="13709" xr:uid="{00000000-0005-0000-0000-0000BC340000}"/>
    <cellStyle name="Input 13 7 6" xfId="13710" xr:uid="{00000000-0005-0000-0000-0000BD340000}"/>
    <cellStyle name="Input 13 7 7" xfId="13711" xr:uid="{00000000-0005-0000-0000-0000BE340000}"/>
    <cellStyle name="Input 13 8" xfId="13712" xr:uid="{00000000-0005-0000-0000-0000BF340000}"/>
    <cellStyle name="Input 13 8 2" xfId="13713" xr:uid="{00000000-0005-0000-0000-0000C0340000}"/>
    <cellStyle name="Input 13 9" xfId="13714" xr:uid="{00000000-0005-0000-0000-0000C1340000}"/>
    <cellStyle name="Input 13 9 2" xfId="13715" xr:uid="{00000000-0005-0000-0000-0000C2340000}"/>
    <cellStyle name="Input 14" xfId="13716" xr:uid="{00000000-0005-0000-0000-0000C3340000}"/>
    <cellStyle name="Input 14 10" xfId="13717" xr:uid="{00000000-0005-0000-0000-0000C4340000}"/>
    <cellStyle name="Input 14 11" xfId="13718" xr:uid="{00000000-0005-0000-0000-0000C5340000}"/>
    <cellStyle name="Input 14 12" xfId="13719" xr:uid="{00000000-0005-0000-0000-0000C6340000}"/>
    <cellStyle name="Input 14 2" xfId="13720" xr:uid="{00000000-0005-0000-0000-0000C7340000}"/>
    <cellStyle name="Input 14 2 10" xfId="13721" xr:uid="{00000000-0005-0000-0000-0000C8340000}"/>
    <cellStyle name="Input 14 2 11" xfId="13722" xr:uid="{00000000-0005-0000-0000-0000C9340000}"/>
    <cellStyle name="Input 14 2 12" xfId="13723" xr:uid="{00000000-0005-0000-0000-0000CA340000}"/>
    <cellStyle name="Input 14 2 2" xfId="13724" xr:uid="{00000000-0005-0000-0000-0000CB340000}"/>
    <cellStyle name="Input 14 2 2 10" xfId="13725" xr:uid="{00000000-0005-0000-0000-0000CC340000}"/>
    <cellStyle name="Input 14 2 2 11" xfId="13726" xr:uid="{00000000-0005-0000-0000-0000CD340000}"/>
    <cellStyle name="Input 14 2 2 2" xfId="13727" xr:uid="{00000000-0005-0000-0000-0000CE340000}"/>
    <cellStyle name="Input 14 2 2 2 10" xfId="13728" xr:uid="{00000000-0005-0000-0000-0000CF340000}"/>
    <cellStyle name="Input 14 2 2 2 2" xfId="13729" xr:uid="{00000000-0005-0000-0000-0000D0340000}"/>
    <cellStyle name="Input 14 2 2 2 2 2" xfId="13730" xr:uid="{00000000-0005-0000-0000-0000D1340000}"/>
    <cellStyle name="Input 14 2 2 2 2 2 2" xfId="13731" xr:uid="{00000000-0005-0000-0000-0000D2340000}"/>
    <cellStyle name="Input 14 2 2 2 2 2 2 2" xfId="13732" xr:uid="{00000000-0005-0000-0000-0000D3340000}"/>
    <cellStyle name="Input 14 2 2 2 2 2 2 2 2" xfId="13733" xr:uid="{00000000-0005-0000-0000-0000D4340000}"/>
    <cellStyle name="Input 14 2 2 2 2 2 2 3" xfId="13734" xr:uid="{00000000-0005-0000-0000-0000D5340000}"/>
    <cellStyle name="Input 14 2 2 2 2 2 2 3 2" xfId="13735" xr:uid="{00000000-0005-0000-0000-0000D6340000}"/>
    <cellStyle name="Input 14 2 2 2 2 2 2 4" xfId="13736" xr:uid="{00000000-0005-0000-0000-0000D7340000}"/>
    <cellStyle name="Input 14 2 2 2 2 2 2 5" xfId="13737" xr:uid="{00000000-0005-0000-0000-0000D8340000}"/>
    <cellStyle name="Input 14 2 2 2 2 2 2 6" xfId="13738" xr:uid="{00000000-0005-0000-0000-0000D9340000}"/>
    <cellStyle name="Input 14 2 2 2 2 2 3" xfId="13739" xr:uid="{00000000-0005-0000-0000-0000DA340000}"/>
    <cellStyle name="Input 14 2 2 2 2 2 3 2" xfId="13740" xr:uid="{00000000-0005-0000-0000-0000DB340000}"/>
    <cellStyle name="Input 14 2 2 2 2 2 4" xfId="13741" xr:uid="{00000000-0005-0000-0000-0000DC340000}"/>
    <cellStyle name="Input 14 2 2 2 2 2 4 2" xfId="13742" xr:uid="{00000000-0005-0000-0000-0000DD340000}"/>
    <cellStyle name="Input 14 2 2 2 2 2 5" xfId="13743" xr:uid="{00000000-0005-0000-0000-0000DE340000}"/>
    <cellStyle name="Input 14 2 2 2 2 2 6" xfId="13744" xr:uid="{00000000-0005-0000-0000-0000DF340000}"/>
    <cellStyle name="Input 14 2 2 2 2 2 7" xfId="13745" xr:uid="{00000000-0005-0000-0000-0000E0340000}"/>
    <cellStyle name="Input 14 2 2 2 2 3" xfId="13746" xr:uid="{00000000-0005-0000-0000-0000E1340000}"/>
    <cellStyle name="Input 14 2 2 2 2 3 2" xfId="13747" xr:uid="{00000000-0005-0000-0000-0000E2340000}"/>
    <cellStyle name="Input 14 2 2 2 2 3 2 2" xfId="13748" xr:uid="{00000000-0005-0000-0000-0000E3340000}"/>
    <cellStyle name="Input 14 2 2 2 2 3 3" xfId="13749" xr:uid="{00000000-0005-0000-0000-0000E4340000}"/>
    <cellStyle name="Input 14 2 2 2 2 3 3 2" xfId="13750" xr:uid="{00000000-0005-0000-0000-0000E5340000}"/>
    <cellStyle name="Input 14 2 2 2 2 3 4" xfId="13751" xr:uid="{00000000-0005-0000-0000-0000E6340000}"/>
    <cellStyle name="Input 14 2 2 2 2 3 5" xfId="13752" xr:uid="{00000000-0005-0000-0000-0000E7340000}"/>
    <cellStyle name="Input 14 2 2 2 2 3 6" xfId="13753" xr:uid="{00000000-0005-0000-0000-0000E8340000}"/>
    <cellStyle name="Input 14 2 2 2 2 4" xfId="13754" xr:uid="{00000000-0005-0000-0000-0000E9340000}"/>
    <cellStyle name="Input 14 2 2 2 2 4 2" xfId="13755" xr:uid="{00000000-0005-0000-0000-0000EA340000}"/>
    <cellStyle name="Input 14 2 2 2 2 5" xfId="13756" xr:uid="{00000000-0005-0000-0000-0000EB340000}"/>
    <cellStyle name="Input 14 2 2 2 2 5 2" xfId="13757" xr:uid="{00000000-0005-0000-0000-0000EC340000}"/>
    <cellStyle name="Input 14 2 2 2 2 6" xfId="13758" xr:uid="{00000000-0005-0000-0000-0000ED340000}"/>
    <cellStyle name="Input 14 2 2 2 2 7" xfId="13759" xr:uid="{00000000-0005-0000-0000-0000EE340000}"/>
    <cellStyle name="Input 14 2 2 2 2 8" xfId="13760" xr:uid="{00000000-0005-0000-0000-0000EF340000}"/>
    <cellStyle name="Input 14 2 2 2 3" xfId="13761" xr:uid="{00000000-0005-0000-0000-0000F0340000}"/>
    <cellStyle name="Input 14 2 2 2 3 2" xfId="13762" xr:uid="{00000000-0005-0000-0000-0000F1340000}"/>
    <cellStyle name="Input 14 2 2 2 3 2 2" xfId="13763" xr:uid="{00000000-0005-0000-0000-0000F2340000}"/>
    <cellStyle name="Input 14 2 2 2 3 2 2 2" xfId="13764" xr:uid="{00000000-0005-0000-0000-0000F3340000}"/>
    <cellStyle name="Input 14 2 2 2 3 2 2 2 2" xfId="13765" xr:uid="{00000000-0005-0000-0000-0000F4340000}"/>
    <cellStyle name="Input 14 2 2 2 3 2 2 3" xfId="13766" xr:uid="{00000000-0005-0000-0000-0000F5340000}"/>
    <cellStyle name="Input 14 2 2 2 3 2 2 3 2" xfId="13767" xr:uid="{00000000-0005-0000-0000-0000F6340000}"/>
    <cellStyle name="Input 14 2 2 2 3 2 2 4" xfId="13768" xr:uid="{00000000-0005-0000-0000-0000F7340000}"/>
    <cellStyle name="Input 14 2 2 2 3 2 2 5" xfId="13769" xr:uid="{00000000-0005-0000-0000-0000F8340000}"/>
    <cellStyle name="Input 14 2 2 2 3 2 2 6" xfId="13770" xr:uid="{00000000-0005-0000-0000-0000F9340000}"/>
    <cellStyle name="Input 14 2 2 2 3 2 3" xfId="13771" xr:uid="{00000000-0005-0000-0000-0000FA340000}"/>
    <cellStyle name="Input 14 2 2 2 3 2 3 2" xfId="13772" xr:uid="{00000000-0005-0000-0000-0000FB340000}"/>
    <cellStyle name="Input 14 2 2 2 3 2 4" xfId="13773" xr:uid="{00000000-0005-0000-0000-0000FC340000}"/>
    <cellStyle name="Input 14 2 2 2 3 2 4 2" xfId="13774" xr:uid="{00000000-0005-0000-0000-0000FD340000}"/>
    <cellStyle name="Input 14 2 2 2 3 2 5" xfId="13775" xr:uid="{00000000-0005-0000-0000-0000FE340000}"/>
    <cellStyle name="Input 14 2 2 2 3 2 6" xfId="13776" xr:uid="{00000000-0005-0000-0000-0000FF340000}"/>
    <cellStyle name="Input 14 2 2 2 3 2 7" xfId="13777" xr:uid="{00000000-0005-0000-0000-000000350000}"/>
    <cellStyle name="Input 14 2 2 2 3 3" xfId="13778" xr:uid="{00000000-0005-0000-0000-000001350000}"/>
    <cellStyle name="Input 14 2 2 2 3 3 2" xfId="13779" xr:uid="{00000000-0005-0000-0000-000002350000}"/>
    <cellStyle name="Input 14 2 2 2 3 3 2 2" xfId="13780" xr:uid="{00000000-0005-0000-0000-000003350000}"/>
    <cellStyle name="Input 14 2 2 2 3 3 3" xfId="13781" xr:uid="{00000000-0005-0000-0000-000004350000}"/>
    <cellStyle name="Input 14 2 2 2 3 3 3 2" xfId="13782" xr:uid="{00000000-0005-0000-0000-000005350000}"/>
    <cellStyle name="Input 14 2 2 2 3 3 4" xfId="13783" xr:uid="{00000000-0005-0000-0000-000006350000}"/>
    <cellStyle name="Input 14 2 2 2 3 3 5" xfId="13784" xr:uid="{00000000-0005-0000-0000-000007350000}"/>
    <cellStyle name="Input 14 2 2 2 3 3 6" xfId="13785" xr:uid="{00000000-0005-0000-0000-000008350000}"/>
    <cellStyle name="Input 14 2 2 2 3 4" xfId="13786" xr:uid="{00000000-0005-0000-0000-000009350000}"/>
    <cellStyle name="Input 14 2 2 2 3 4 2" xfId="13787" xr:uid="{00000000-0005-0000-0000-00000A350000}"/>
    <cellStyle name="Input 14 2 2 2 3 5" xfId="13788" xr:uid="{00000000-0005-0000-0000-00000B350000}"/>
    <cellStyle name="Input 14 2 2 2 3 5 2" xfId="13789" xr:uid="{00000000-0005-0000-0000-00000C350000}"/>
    <cellStyle name="Input 14 2 2 2 3 6" xfId="13790" xr:uid="{00000000-0005-0000-0000-00000D350000}"/>
    <cellStyle name="Input 14 2 2 2 3 7" xfId="13791" xr:uid="{00000000-0005-0000-0000-00000E350000}"/>
    <cellStyle name="Input 14 2 2 2 3 8" xfId="13792" xr:uid="{00000000-0005-0000-0000-00000F350000}"/>
    <cellStyle name="Input 14 2 2 2 4" xfId="13793" xr:uid="{00000000-0005-0000-0000-000010350000}"/>
    <cellStyle name="Input 14 2 2 2 4 2" xfId="13794" xr:uid="{00000000-0005-0000-0000-000011350000}"/>
    <cellStyle name="Input 14 2 2 2 4 2 2" xfId="13795" xr:uid="{00000000-0005-0000-0000-000012350000}"/>
    <cellStyle name="Input 14 2 2 2 4 2 2 2" xfId="13796" xr:uid="{00000000-0005-0000-0000-000013350000}"/>
    <cellStyle name="Input 14 2 2 2 4 2 3" xfId="13797" xr:uid="{00000000-0005-0000-0000-000014350000}"/>
    <cellStyle name="Input 14 2 2 2 4 2 3 2" xfId="13798" xr:uid="{00000000-0005-0000-0000-000015350000}"/>
    <cellStyle name="Input 14 2 2 2 4 2 4" xfId="13799" xr:uid="{00000000-0005-0000-0000-000016350000}"/>
    <cellStyle name="Input 14 2 2 2 4 2 5" xfId="13800" xr:uid="{00000000-0005-0000-0000-000017350000}"/>
    <cellStyle name="Input 14 2 2 2 4 2 6" xfId="13801" xr:uid="{00000000-0005-0000-0000-000018350000}"/>
    <cellStyle name="Input 14 2 2 2 4 3" xfId="13802" xr:uid="{00000000-0005-0000-0000-000019350000}"/>
    <cellStyle name="Input 14 2 2 2 4 3 2" xfId="13803" xr:uid="{00000000-0005-0000-0000-00001A350000}"/>
    <cellStyle name="Input 14 2 2 2 4 4" xfId="13804" xr:uid="{00000000-0005-0000-0000-00001B350000}"/>
    <cellStyle name="Input 14 2 2 2 4 4 2" xfId="13805" xr:uid="{00000000-0005-0000-0000-00001C350000}"/>
    <cellStyle name="Input 14 2 2 2 4 5" xfId="13806" xr:uid="{00000000-0005-0000-0000-00001D350000}"/>
    <cellStyle name="Input 14 2 2 2 4 6" xfId="13807" xr:uid="{00000000-0005-0000-0000-00001E350000}"/>
    <cellStyle name="Input 14 2 2 2 4 7" xfId="13808" xr:uid="{00000000-0005-0000-0000-00001F350000}"/>
    <cellStyle name="Input 14 2 2 2 5" xfId="13809" xr:uid="{00000000-0005-0000-0000-000020350000}"/>
    <cellStyle name="Input 14 2 2 2 5 2" xfId="13810" xr:uid="{00000000-0005-0000-0000-000021350000}"/>
    <cellStyle name="Input 14 2 2 2 5 2 2" xfId="13811" xr:uid="{00000000-0005-0000-0000-000022350000}"/>
    <cellStyle name="Input 14 2 2 2 5 3" xfId="13812" xr:uid="{00000000-0005-0000-0000-000023350000}"/>
    <cellStyle name="Input 14 2 2 2 5 3 2" xfId="13813" xr:uid="{00000000-0005-0000-0000-000024350000}"/>
    <cellStyle name="Input 14 2 2 2 5 4" xfId="13814" xr:uid="{00000000-0005-0000-0000-000025350000}"/>
    <cellStyle name="Input 14 2 2 2 5 5" xfId="13815" xr:uid="{00000000-0005-0000-0000-000026350000}"/>
    <cellStyle name="Input 14 2 2 2 5 6" xfId="13816" xr:uid="{00000000-0005-0000-0000-000027350000}"/>
    <cellStyle name="Input 14 2 2 2 6" xfId="13817" xr:uid="{00000000-0005-0000-0000-000028350000}"/>
    <cellStyle name="Input 14 2 2 2 6 2" xfId="13818" xr:uid="{00000000-0005-0000-0000-000029350000}"/>
    <cellStyle name="Input 14 2 2 2 7" xfId="13819" xr:uid="{00000000-0005-0000-0000-00002A350000}"/>
    <cellStyle name="Input 14 2 2 2 7 2" xfId="13820" xr:uid="{00000000-0005-0000-0000-00002B350000}"/>
    <cellStyle name="Input 14 2 2 2 8" xfId="13821" xr:uid="{00000000-0005-0000-0000-00002C350000}"/>
    <cellStyle name="Input 14 2 2 2 9" xfId="13822" xr:uid="{00000000-0005-0000-0000-00002D350000}"/>
    <cellStyle name="Input 14 2 2 3" xfId="13823" xr:uid="{00000000-0005-0000-0000-00002E350000}"/>
    <cellStyle name="Input 14 2 2 3 2" xfId="13824" xr:uid="{00000000-0005-0000-0000-00002F350000}"/>
    <cellStyle name="Input 14 2 2 3 2 2" xfId="13825" xr:uid="{00000000-0005-0000-0000-000030350000}"/>
    <cellStyle name="Input 14 2 2 3 2 2 2" xfId="13826" xr:uid="{00000000-0005-0000-0000-000031350000}"/>
    <cellStyle name="Input 14 2 2 3 2 2 2 2" xfId="13827" xr:uid="{00000000-0005-0000-0000-000032350000}"/>
    <cellStyle name="Input 14 2 2 3 2 2 3" xfId="13828" xr:uid="{00000000-0005-0000-0000-000033350000}"/>
    <cellStyle name="Input 14 2 2 3 2 2 3 2" xfId="13829" xr:uid="{00000000-0005-0000-0000-000034350000}"/>
    <cellStyle name="Input 14 2 2 3 2 2 4" xfId="13830" xr:uid="{00000000-0005-0000-0000-000035350000}"/>
    <cellStyle name="Input 14 2 2 3 2 2 5" xfId="13831" xr:uid="{00000000-0005-0000-0000-000036350000}"/>
    <cellStyle name="Input 14 2 2 3 2 2 6" xfId="13832" xr:uid="{00000000-0005-0000-0000-000037350000}"/>
    <cellStyle name="Input 14 2 2 3 2 3" xfId="13833" xr:uid="{00000000-0005-0000-0000-000038350000}"/>
    <cellStyle name="Input 14 2 2 3 2 3 2" xfId="13834" xr:uid="{00000000-0005-0000-0000-000039350000}"/>
    <cellStyle name="Input 14 2 2 3 2 4" xfId="13835" xr:uid="{00000000-0005-0000-0000-00003A350000}"/>
    <cellStyle name="Input 14 2 2 3 2 4 2" xfId="13836" xr:uid="{00000000-0005-0000-0000-00003B350000}"/>
    <cellStyle name="Input 14 2 2 3 2 5" xfId="13837" xr:uid="{00000000-0005-0000-0000-00003C350000}"/>
    <cellStyle name="Input 14 2 2 3 2 6" xfId="13838" xr:uid="{00000000-0005-0000-0000-00003D350000}"/>
    <cellStyle name="Input 14 2 2 3 2 7" xfId="13839" xr:uid="{00000000-0005-0000-0000-00003E350000}"/>
    <cellStyle name="Input 14 2 2 3 3" xfId="13840" xr:uid="{00000000-0005-0000-0000-00003F350000}"/>
    <cellStyle name="Input 14 2 2 3 3 2" xfId="13841" xr:uid="{00000000-0005-0000-0000-000040350000}"/>
    <cellStyle name="Input 14 2 2 3 3 2 2" xfId="13842" xr:uid="{00000000-0005-0000-0000-000041350000}"/>
    <cellStyle name="Input 14 2 2 3 3 3" xfId="13843" xr:uid="{00000000-0005-0000-0000-000042350000}"/>
    <cellStyle name="Input 14 2 2 3 3 3 2" xfId="13844" xr:uid="{00000000-0005-0000-0000-000043350000}"/>
    <cellStyle name="Input 14 2 2 3 3 4" xfId="13845" xr:uid="{00000000-0005-0000-0000-000044350000}"/>
    <cellStyle name="Input 14 2 2 3 3 5" xfId="13846" xr:uid="{00000000-0005-0000-0000-000045350000}"/>
    <cellStyle name="Input 14 2 2 3 3 6" xfId="13847" xr:uid="{00000000-0005-0000-0000-000046350000}"/>
    <cellStyle name="Input 14 2 2 3 4" xfId="13848" xr:uid="{00000000-0005-0000-0000-000047350000}"/>
    <cellStyle name="Input 14 2 2 3 4 2" xfId="13849" xr:uid="{00000000-0005-0000-0000-000048350000}"/>
    <cellStyle name="Input 14 2 2 3 5" xfId="13850" xr:uid="{00000000-0005-0000-0000-000049350000}"/>
    <cellStyle name="Input 14 2 2 3 5 2" xfId="13851" xr:uid="{00000000-0005-0000-0000-00004A350000}"/>
    <cellStyle name="Input 14 2 2 3 6" xfId="13852" xr:uid="{00000000-0005-0000-0000-00004B350000}"/>
    <cellStyle name="Input 14 2 2 3 7" xfId="13853" xr:uid="{00000000-0005-0000-0000-00004C350000}"/>
    <cellStyle name="Input 14 2 2 3 8" xfId="13854" xr:uid="{00000000-0005-0000-0000-00004D350000}"/>
    <cellStyle name="Input 14 2 2 4" xfId="13855" xr:uid="{00000000-0005-0000-0000-00004E350000}"/>
    <cellStyle name="Input 14 2 2 4 2" xfId="13856" xr:uid="{00000000-0005-0000-0000-00004F350000}"/>
    <cellStyle name="Input 14 2 2 4 2 2" xfId="13857" xr:uid="{00000000-0005-0000-0000-000050350000}"/>
    <cellStyle name="Input 14 2 2 4 2 2 2" xfId="13858" xr:uid="{00000000-0005-0000-0000-000051350000}"/>
    <cellStyle name="Input 14 2 2 4 2 2 2 2" xfId="13859" xr:uid="{00000000-0005-0000-0000-000052350000}"/>
    <cellStyle name="Input 14 2 2 4 2 2 3" xfId="13860" xr:uid="{00000000-0005-0000-0000-000053350000}"/>
    <cellStyle name="Input 14 2 2 4 2 2 3 2" xfId="13861" xr:uid="{00000000-0005-0000-0000-000054350000}"/>
    <cellStyle name="Input 14 2 2 4 2 2 4" xfId="13862" xr:uid="{00000000-0005-0000-0000-000055350000}"/>
    <cellStyle name="Input 14 2 2 4 2 2 5" xfId="13863" xr:uid="{00000000-0005-0000-0000-000056350000}"/>
    <cellStyle name="Input 14 2 2 4 2 2 6" xfId="13864" xr:uid="{00000000-0005-0000-0000-000057350000}"/>
    <cellStyle name="Input 14 2 2 4 2 3" xfId="13865" xr:uid="{00000000-0005-0000-0000-000058350000}"/>
    <cellStyle name="Input 14 2 2 4 2 3 2" xfId="13866" xr:uid="{00000000-0005-0000-0000-000059350000}"/>
    <cellStyle name="Input 14 2 2 4 2 4" xfId="13867" xr:uid="{00000000-0005-0000-0000-00005A350000}"/>
    <cellStyle name="Input 14 2 2 4 2 4 2" xfId="13868" xr:uid="{00000000-0005-0000-0000-00005B350000}"/>
    <cellStyle name="Input 14 2 2 4 2 5" xfId="13869" xr:uid="{00000000-0005-0000-0000-00005C350000}"/>
    <cellStyle name="Input 14 2 2 4 2 6" xfId="13870" xr:uid="{00000000-0005-0000-0000-00005D350000}"/>
    <cellStyle name="Input 14 2 2 4 2 7" xfId="13871" xr:uid="{00000000-0005-0000-0000-00005E350000}"/>
    <cellStyle name="Input 14 2 2 4 3" xfId="13872" xr:uid="{00000000-0005-0000-0000-00005F350000}"/>
    <cellStyle name="Input 14 2 2 4 3 2" xfId="13873" xr:uid="{00000000-0005-0000-0000-000060350000}"/>
    <cellStyle name="Input 14 2 2 4 3 2 2" xfId="13874" xr:uid="{00000000-0005-0000-0000-000061350000}"/>
    <cellStyle name="Input 14 2 2 4 3 3" xfId="13875" xr:uid="{00000000-0005-0000-0000-000062350000}"/>
    <cellStyle name="Input 14 2 2 4 3 3 2" xfId="13876" xr:uid="{00000000-0005-0000-0000-000063350000}"/>
    <cellStyle name="Input 14 2 2 4 3 4" xfId="13877" xr:uid="{00000000-0005-0000-0000-000064350000}"/>
    <cellStyle name="Input 14 2 2 4 3 5" xfId="13878" xr:uid="{00000000-0005-0000-0000-000065350000}"/>
    <cellStyle name="Input 14 2 2 4 3 6" xfId="13879" xr:uid="{00000000-0005-0000-0000-000066350000}"/>
    <cellStyle name="Input 14 2 2 4 4" xfId="13880" xr:uid="{00000000-0005-0000-0000-000067350000}"/>
    <cellStyle name="Input 14 2 2 4 4 2" xfId="13881" xr:uid="{00000000-0005-0000-0000-000068350000}"/>
    <cellStyle name="Input 14 2 2 4 5" xfId="13882" xr:uid="{00000000-0005-0000-0000-000069350000}"/>
    <cellStyle name="Input 14 2 2 4 5 2" xfId="13883" xr:uid="{00000000-0005-0000-0000-00006A350000}"/>
    <cellStyle name="Input 14 2 2 4 6" xfId="13884" xr:uid="{00000000-0005-0000-0000-00006B350000}"/>
    <cellStyle name="Input 14 2 2 4 7" xfId="13885" xr:uid="{00000000-0005-0000-0000-00006C350000}"/>
    <cellStyle name="Input 14 2 2 4 8" xfId="13886" xr:uid="{00000000-0005-0000-0000-00006D350000}"/>
    <cellStyle name="Input 14 2 2 5" xfId="13887" xr:uid="{00000000-0005-0000-0000-00006E350000}"/>
    <cellStyle name="Input 14 2 2 5 2" xfId="13888" xr:uid="{00000000-0005-0000-0000-00006F350000}"/>
    <cellStyle name="Input 14 2 2 5 2 2" xfId="13889" xr:uid="{00000000-0005-0000-0000-000070350000}"/>
    <cellStyle name="Input 14 2 2 5 2 2 2" xfId="13890" xr:uid="{00000000-0005-0000-0000-000071350000}"/>
    <cellStyle name="Input 14 2 2 5 2 3" xfId="13891" xr:uid="{00000000-0005-0000-0000-000072350000}"/>
    <cellStyle name="Input 14 2 2 5 2 3 2" xfId="13892" xr:uid="{00000000-0005-0000-0000-000073350000}"/>
    <cellStyle name="Input 14 2 2 5 2 4" xfId="13893" xr:uid="{00000000-0005-0000-0000-000074350000}"/>
    <cellStyle name="Input 14 2 2 5 2 5" xfId="13894" xr:uid="{00000000-0005-0000-0000-000075350000}"/>
    <cellStyle name="Input 14 2 2 5 2 6" xfId="13895" xr:uid="{00000000-0005-0000-0000-000076350000}"/>
    <cellStyle name="Input 14 2 2 5 3" xfId="13896" xr:uid="{00000000-0005-0000-0000-000077350000}"/>
    <cellStyle name="Input 14 2 2 5 3 2" xfId="13897" xr:uid="{00000000-0005-0000-0000-000078350000}"/>
    <cellStyle name="Input 14 2 2 5 4" xfId="13898" xr:uid="{00000000-0005-0000-0000-000079350000}"/>
    <cellStyle name="Input 14 2 2 5 4 2" xfId="13899" xr:uid="{00000000-0005-0000-0000-00007A350000}"/>
    <cellStyle name="Input 14 2 2 5 5" xfId="13900" xr:uid="{00000000-0005-0000-0000-00007B350000}"/>
    <cellStyle name="Input 14 2 2 5 6" xfId="13901" xr:uid="{00000000-0005-0000-0000-00007C350000}"/>
    <cellStyle name="Input 14 2 2 5 7" xfId="13902" xr:uid="{00000000-0005-0000-0000-00007D350000}"/>
    <cellStyle name="Input 14 2 2 6" xfId="13903" xr:uid="{00000000-0005-0000-0000-00007E350000}"/>
    <cellStyle name="Input 14 2 2 6 2" xfId="13904" xr:uid="{00000000-0005-0000-0000-00007F350000}"/>
    <cellStyle name="Input 14 2 2 6 2 2" xfId="13905" xr:uid="{00000000-0005-0000-0000-000080350000}"/>
    <cellStyle name="Input 14 2 2 6 3" xfId="13906" xr:uid="{00000000-0005-0000-0000-000081350000}"/>
    <cellStyle name="Input 14 2 2 6 3 2" xfId="13907" xr:uid="{00000000-0005-0000-0000-000082350000}"/>
    <cellStyle name="Input 14 2 2 6 4" xfId="13908" xr:uid="{00000000-0005-0000-0000-000083350000}"/>
    <cellStyle name="Input 14 2 2 6 5" xfId="13909" xr:uid="{00000000-0005-0000-0000-000084350000}"/>
    <cellStyle name="Input 14 2 2 6 6" xfId="13910" xr:uid="{00000000-0005-0000-0000-000085350000}"/>
    <cellStyle name="Input 14 2 2 7" xfId="13911" xr:uid="{00000000-0005-0000-0000-000086350000}"/>
    <cellStyle name="Input 14 2 2 7 2" xfId="13912" xr:uid="{00000000-0005-0000-0000-000087350000}"/>
    <cellStyle name="Input 14 2 2 8" xfId="13913" xr:uid="{00000000-0005-0000-0000-000088350000}"/>
    <cellStyle name="Input 14 2 2 8 2" xfId="13914" xr:uid="{00000000-0005-0000-0000-000089350000}"/>
    <cellStyle name="Input 14 2 2 9" xfId="13915" xr:uid="{00000000-0005-0000-0000-00008A350000}"/>
    <cellStyle name="Input 14 2 3" xfId="13916" xr:uid="{00000000-0005-0000-0000-00008B350000}"/>
    <cellStyle name="Input 14 2 3 10" xfId="13917" xr:uid="{00000000-0005-0000-0000-00008C350000}"/>
    <cellStyle name="Input 14 2 3 2" xfId="13918" xr:uid="{00000000-0005-0000-0000-00008D350000}"/>
    <cellStyle name="Input 14 2 3 2 10" xfId="13919" xr:uid="{00000000-0005-0000-0000-00008E350000}"/>
    <cellStyle name="Input 14 2 3 2 2" xfId="13920" xr:uid="{00000000-0005-0000-0000-00008F350000}"/>
    <cellStyle name="Input 14 2 3 2 2 2" xfId="13921" xr:uid="{00000000-0005-0000-0000-000090350000}"/>
    <cellStyle name="Input 14 2 3 2 2 2 2" xfId="13922" xr:uid="{00000000-0005-0000-0000-000091350000}"/>
    <cellStyle name="Input 14 2 3 2 2 2 2 2" xfId="13923" xr:uid="{00000000-0005-0000-0000-000092350000}"/>
    <cellStyle name="Input 14 2 3 2 2 2 2 2 2" xfId="13924" xr:uid="{00000000-0005-0000-0000-000093350000}"/>
    <cellStyle name="Input 14 2 3 2 2 2 2 3" xfId="13925" xr:uid="{00000000-0005-0000-0000-000094350000}"/>
    <cellStyle name="Input 14 2 3 2 2 2 2 3 2" xfId="13926" xr:uid="{00000000-0005-0000-0000-000095350000}"/>
    <cellStyle name="Input 14 2 3 2 2 2 2 4" xfId="13927" xr:uid="{00000000-0005-0000-0000-000096350000}"/>
    <cellStyle name="Input 14 2 3 2 2 2 2 5" xfId="13928" xr:uid="{00000000-0005-0000-0000-000097350000}"/>
    <cellStyle name="Input 14 2 3 2 2 2 2 6" xfId="13929" xr:uid="{00000000-0005-0000-0000-000098350000}"/>
    <cellStyle name="Input 14 2 3 2 2 2 3" xfId="13930" xr:uid="{00000000-0005-0000-0000-000099350000}"/>
    <cellStyle name="Input 14 2 3 2 2 2 3 2" xfId="13931" xr:uid="{00000000-0005-0000-0000-00009A350000}"/>
    <cellStyle name="Input 14 2 3 2 2 2 4" xfId="13932" xr:uid="{00000000-0005-0000-0000-00009B350000}"/>
    <cellStyle name="Input 14 2 3 2 2 2 4 2" xfId="13933" xr:uid="{00000000-0005-0000-0000-00009C350000}"/>
    <cellStyle name="Input 14 2 3 2 2 2 5" xfId="13934" xr:uid="{00000000-0005-0000-0000-00009D350000}"/>
    <cellStyle name="Input 14 2 3 2 2 2 6" xfId="13935" xr:uid="{00000000-0005-0000-0000-00009E350000}"/>
    <cellStyle name="Input 14 2 3 2 2 2 7" xfId="13936" xr:uid="{00000000-0005-0000-0000-00009F350000}"/>
    <cellStyle name="Input 14 2 3 2 2 3" xfId="13937" xr:uid="{00000000-0005-0000-0000-0000A0350000}"/>
    <cellStyle name="Input 14 2 3 2 2 3 2" xfId="13938" xr:uid="{00000000-0005-0000-0000-0000A1350000}"/>
    <cellStyle name="Input 14 2 3 2 2 3 2 2" xfId="13939" xr:uid="{00000000-0005-0000-0000-0000A2350000}"/>
    <cellStyle name="Input 14 2 3 2 2 3 3" xfId="13940" xr:uid="{00000000-0005-0000-0000-0000A3350000}"/>
    <cellStyle name="Input 14 2 3 2 2 3 3 2" xfId="13941" xr:uid="{00000000-0005-0000-0000-0000A4350000}"/>
    <cellStyle name="Input 14 2 3 2 2 3 4" xfId="13942" xr:uid="{00000000-0005-0000-0000-0000A5350000}"/>
    <cellStyle name="Input 14 2 3 2 2 3 5" xfId="13943" xr:uid="{00000000-0005-0000-0000-0000A6350000}"/>
    <cellStyle name="Input 14 2 3 2 2 3 6" xfId="13944" xr:uid="{00000000-0005-0000-0000-0000A7350000}"/>
    <cellStyle name="Input 14 2 3 2 2 4" xfId="13945" xr:uid="{00000000-0005-0000-0000-0000A8350000}"/>
    <cellStyle name="Input 14 2 3 2 2 4 2" xfId="13946" xr:uid="{00000000-0005-0000-0000-0000A9350000}"/>
    <cellStyle name="Input 14 2 3 2 2 5" xfId="13947" xr:uid="{00000000-0005-0000-0000-0000AA350000}"/>
    <cellStyle name="Input 14 2 3 2 2 5 2" xfId="13948" xr:uid="{00000000-0005-0000-0000-0000AB350000}"/>
    <cellStyle name="Input 14 2 3 2 2 6" xfId="13949" xr:uid="{00000000-0005-0000-0000-0000AC350000}"/>
    <cellStyle name="Input 14 2 3 2 2 7" xfId="13950" xr:uid="{00000000-0005-0000-0000-0000AD350000}"/>
    <cellStyle name="Input 14 2 3 2 2 8" xfId="13951" xr:uid="{00000000-0005-0000-0000-0000AE350000}"/>
    <cellStyle name="Input 14 2 3 2 3" xfId="13952" xr:uid="{00000000-0005-0000-0000-0000AF350000}"/>
    <cellStyle name="Input 14 2 3 2 3 2" xfId="13953" xr:uid="{00000000-0005-0000-0000-0000B0350000}"/>
    <cellStyle name="Input 14 2 3 2 3 2 2" xfId="13954" xr:uid="{00000000-0005-0000-0000-0000B1350000}"/>
    <cellStyle name="Input 14 2 3 2 3 2 2 2" xfId="13955" xr:uid="{00000000-0005-0000-0000-0000B2350000}"/>
    <cellStyle name="Input 14 2 3 2 3 2 2 2 2" xfId="13956" xr:uid="{00000000-0005-0000-0000-0000B3350000}"/>
    <cellStyle name="Input 14 2 3 2 3 2 2 3" xfId="13957" xr:uid="{00000000-0005-0000-0000-0000B4350000}"/>
    <cellStyle name="Input 14 2 3 2 3 2 2 3 2" xfId="13958" xr:uid="{00000000-0005-0000-0000-0000B5350000}"/>
    <cellStyle name="Input 14 2 3 2 3 2 2 4" xfId="13959" xr:uid="{00000000-0005-0000-0000-0000B6350000}"/>
    <cellStyle name="Input 14 2 3 2 3 2 2 5" xfId="13960" xr:uid="{00000000-0005-0000-0000-0000B7350000}"/>
    <cellStyle name="Input 14 2 3 2 3 2 2 6" xfId="13961" xr:uid="{00000000-0005-0000-0000-0000B8350000}"/>
    <cellStyle name="Input 14 2 3 2 3 2 3" xfId="13962" xr:uid="{00000000-0005-0000-0000-0000B9350000}"/>
    <cellStyle name="Input 14 2 3 2 3 2 3 2" xfId="13963" xr:uid="{00000000-0005-0000-0000-0000BA350000}"/>
    <cellStyle name="Input 14 2 3 2 3 2 4" xfId="13964" xr:uid="{00000000-0005-0000-0000-0000BB350000}"/>
    <cellStyle name="Input 14 2 3 2 3 2 4 2" xfId="13965" xr:uid="{00000000-0005-0000-0000-0000BC350000}"/>
    <cellStyle name="Input 14 2 3 2 3 2 5" xfId="13966" xr:uid="{00000000-0005-0000-0000-0000BD350000}"/>
    <cellStyle name="Input 14 2 3 2 3 2 6" xfId="13967" xr:uid="{00000000-0005-0000-0000-0000BE350000}"/>
    <cellStyle name="Input 14 2 3 2 3 2 7" xfId="13968" xr:uid="{00000000-0005-0000-0000-0000BF350000}"/>
    <cellStyle name="Input 14 2 3 2 3 3" xfId="13969" xr:uid="{00000000-0005-0000-0000-0000C0350000}"/>
    <cellStyle name="Input 14 2 3 2 3 3 2" xfId="13970" xr:uid="{00000000-0005-0000-0000-0000C1350000}"/>
    <cellStyle name="Input 14 2 3 2 3 3 2 2" xfId="13971" xr:uid="{00000000-0005-0000-0000-0000C2350000}"/>
    <cellStyle name="Input 14 2 3 2 3 3 3" xfId="13972" xr:uid="{00000000-0005-0000-0000-0000C3350000}"/>
    <cellStyle name="Input 14 2 3 2 3 3 3 2" xfId="13973" xr:uid="{00000000-0005-0000-0000-0000C4350000}"/>
    <cellStyle name="Input 14 2 3 2 3 3 4" xfId="13974" xr:uid="{00000000-0005-0000-0000-0000C5350000}"/>
    <cellStyle name="Input 14 2 3 2 3 3 5" xfId="13975" xr:uid="{00000000-0005-0000-0000-0000C6350000}"/>
    <cellStyle name="Input 14 2 3 2 3 3 6" xfId="13976" xr:uid="{00000000-0005-0000-0000-0000C7350000}"/>
    <cellStyle name="Input 14 2 3 2 3 4" xfId="13977" xr:uid="{00000000-0005-0000-0000-0000C8350000}"/>
    <cellStyle name="Input 14 2 3 2 3 4 2" xfId="13978" xr:uid="{00000000-0005-0000-0000-0000C9350000}"/>
    <cellStyle name="Input 14 2 3 2 3 5" xfId="13979" xr:uid="{00000000-0005-0000-0000-0000CA350000}"/>
    <cellStyle name="Input 14 2 3 2 3 5 2" xfId="13980" xr:uid="{00000000-0005-0000-0000-0000CB350000}"/>
    <cellStyle name="Input 14 2 3 2 3 6" xfId="13981" xr:uid="{00000000-0005-0000-0000-0000CC350000}"/>
    <cellStyle name="Input 14 2 3 2 3 7" xfId="13982" xr:uid="{00000000-0005-0000-0000-0000CD350000}"/>
    <cellStyle name="Input 14 2 3 2 3 8" xfId="13983" xr:uid="{00000000-0005-0000-0000-0000CE350000}"/>
    <cellStyle name="Input 14 2 3 2 4" xfId="13984" xr:uid="{00000000-0005-0000-0000-0000CF350000}"/>
    <cellStyle name="Input 14 2 3 2 4 2" xfId="13985" xr:uid="{00000000-0005-0000-0000-0000D0350000}"/>
    <cellStyle name="Input 14 2 3 2 4 2 2" xfId="13986" xr:uid="{00000000-0005-0000-0000-0000D1350000}"/>
    <cellStyle name="Input 14 2 3 2 4 2 2 2" xfId="13987" xr:uid="{00000000-0005-0000-0000-0000D2350000}"/>
    <cellStyle name="Input 14 2 3 2 4 2 3" xfId="13988" xr:uid="{00000000-0005-0000-0000-0000D3350000}"/>
    <cellStyle name="Input 14 2 3 2 4 2 3 2" xfId="13989" xr:uid="{00000000-0005-0000-0000-0000D4350000}"/>
    <cellStyle name="Input 14 2 3 2 4 2 4" xfId="13990" xr:uid="{00000000-0005-0000-0000-0000D5350000}"/>
    <cellStyle name="Input 14 2 3 2 4 2 5" xfId="13991" xr:uid="{00000000-0005-0000-0000-0000D6350000}"/>
    <cellStyle name="Input 14 2 3 2 4 2 6" xfId="13992" xr:uid="{00000000-0005-0000-0000-0000D7350000}"/>
    <cellStyle name="Input 14 2 3 2 4 3" xfId="13993" xr:uid="{00000000-0005-0000-0000-0000D8350000}"/>
    <cellStyle name="Input 14 2 3 2 4 3 2" xfId="13994" xr:uid="{00000000-0005-0000-0000-0000D9350000}"/>
    <cellStyle name="Input 14 2 3 2 4 4" xfId="13995" xr:uid="{00000000-0005-0000-0000-0000DA350000}"/>
    <cellStyle name="Input 14 2 3 2 4 4 2" xfId="13996" xr:uid="{00000000-0005-0000-0000-0000DB350000}"/>
    <cellStyle name="Input 14 2 3 2 4 5" xfId="13997" xr:uid="{00000000-0005-0000-0000-0000DC350000}"/>
    <cellStyle name="Input 14 2 3 2 4 6" xfId="13998" xr:uid="{00000000-0005-0000-0000-0000DD350000}"/>
    <cellStyle name="Input 14 2 3 2 4 7" xfId="13999" xr:uid="{00000000-0005-0000-0000-0000DE350000}"/>
    <cellStyle name="Input 14 2 3 2 5" xfId="14000" xr:uid="{00000000-0005-0000-0000-0000DF350000}"/>
    <cellStyle name="Input 14 2 3 2 5 2" xfId="14001" xr:uid="{00000000-0005-0000-0000-0000E0350000}"/>
    <cellStyle name="Input 14 2 3 2 5 2 2" xfId="14002" xr:uid="{00000000-0005-0000-0000-0000E1350000}"/>
    <cellStyle name="Input 14 2 3 2 5 3" xfId="14003" xr:uid="{00000000-0005-0000-0000-0000E2350000}"/>
    <cellStyle name="Input 14 2 3 2 5 3 2" xfId="14004" xr:uid="{00000000-0005-0000-0000-0000E3350000}"/>
    <cellStyle name="Input 14 2 3 2 5 4" xfId="14005" xr:uid="{00000000-0005-0000-0000-0000E4350000}"/>
    <cellStyle name="Input 14 2 3 2 5 5" xfId="14006" xr:uid="{00000000-0005-0000-0000-0000E5350000}"/>
    <cellStyle name="Input 14 2 3 2 5 6" xfId="14007" xr:uid="{00000000-0005-0000-0000-0000E6350000}"/>
    <cellStyle name="Input 14 2 3 2 6" xfId="14008" xr:uid="{00000000-0005-0000-0000-0000E7350000}"/>
    <cellStyle name="Input 14 2 3 2 6 2" xfId="14009" xr:uid="{00000000-0005-0000-0000-0000E8350000}"/>
    <cellStyle name="Input 14 2 3 2 7" xfId="14010" xr:uid="{00000000-0005-0000-0000-0000E9350000}"/>
    <cellStyle name="Input 14 2 3 2 7 2" xfId="14011" xr:uid="{00000000-0005-0000-0000-0000EA350000}"/>
    <cellStyle name="Input 14 2 3 2 8" xfId="14012" xr:uid="{00000000-0005-0000-0000-0000EB350000}"/>
    <cellStyle name="Input 14 2 3 2 9" xfId="14013" xr:uid="{00000000-0005-0000-0000-0000EC350000}"/>
    <cellStyle name="Input 14 2 3 3" xfId="14014" xr:uid="{00000000-0005-0000-0000-0000ED350000}"/>
    <cellStyle name="Input 14 2 3 3 2" xfId="14015" xr:uid="{00000000-0005-0000-0000-0000EE350000}"/>
    <cellStyle name="Input 14 2 3 3 2 2" xfId="14016" xr:uid="{00000000-0005-0000-0000-0000EF350000}"/>
    <cellStyle name="Input 14 2 3 3 2 2 2" xfId="14017" xr:uid="{00000000-0005-0000-0000-0000F0350000}"/>
    <cellStyle name="Input 14 2 3 3 2 2 2 2" xfId="14018" xr:uid="{00000000-0005-0000-0000-0000F1350000}"/>
    <cellStyle name="Input 14 2 3 3 2 2 3" xfId="14019" xr:uid="{00000000-0005-0000-0000-0000F2350000}"/>
    <cellStyle name="Input 14 2 3 3 2 2 3 2" xfId="14020" xr:uid="{00000000-0005-0000-0000-0000F3350000}"/>
    <cellStyle name="Input 14 2 3 3 2 2 4" xfId="14021" xr:uid="{00000000-0005-0000-0000-0000F4350000}"/>
    <cellStyle name="Input 14 2 3 3 2 2 5" xfId="14022" xr:uid="{00000000-0005-0000-0000-0000F5350000}"/>
    <cellStyle name="Input 14 2 3 3 2 2 6" xfId="14023" xr:uid="{00000000-0005-0000-0000-0000F6350000}"/>
    <cellStyle name="Input 14 2 3 3 2 3" xfId="14024" xr:uid="{00000000-0005-0000-0000-0000F7350000}"/>
    <cellStyle name="Input 14 2 3 3 2 3 2" xfId="14025" xr:uid="{00000000-0005-0000-0000-0000F8350000}"/>
    <cellStyle name="Input 14 2 3 3 2 4" xfId="14026" xr:uid="{00000000-0005-0000-0000-0000F9350000}"/>
    <cellStyle name="Input 14 2 3 3 2 4 2" xfId="14027" xr:uid="{00000000-0005-0000-0000-0000FA350000}"/>
    <cellStyle name="Input 14 2 3 3 2 5" xfId="14028" xr:uid="{00000000-0005-0000-0000-0000FB350000}"/>
    <cellStyle name="Input 14 2 3 3 2 6" xfId="14029" xr:uid="{00000000-0005-0000-0000-0000FC350000}"/>
    <cellStyle name="Input 14 2 3 3 2 7" xfId="14030" xr:uid="{00000000-0005-0000-0000-0000FD350000}"/>
    <cellStyle name="Input 14 2 3 3 3" xfId="14031" xr:uid="{00000000-0005-0000-0000-0000FE350000}"/>
    <cellStyle name="Input 14 2 3 3 3 2" xfId="14032" xr:uid="{00000000-0005-0000-0000-0000FF350000}"/>
    <cellStyle name="Input 14 2 3 3 3 2 2" xfId="14033" xr:uid="{00000000-0005-0000-0000-000000360000}"/>
    <cellStyle name="Input 14 2 3 3 3 3" xfId="14034" xr:uid="{00000000-0005-0000-0000-000001360000}"/>
    <cellStyle name="Input 14 2 3 3 3 3 2" xfId="14035" xr:uid="{00000000-0005-0000-0000-000002360000}"/>
    <cellStyle name="Input 14 2 3 3 3 4" xfId="14036" xr:uid="{00000000-0005-0000-0000-000003360000}"/>
    <cellStyle name="Input 14 2 3 3 3 5" xfId="14037" xr:uid="{00000000-0005-0000-0000-000004360000}"/>
    <cellStyle name="Input 14 2 3 3 3 6" xfId="14038" xr:uid="{00000000-0005-0000-0000-000005360000}"/>
    <cellStyle name="Input 14 2 3 3 4" xfId="14039" xr:uid="{00000000-0005-0000-0000-000006360000}"/>
    <cellStyle name="Input 14 2 3 3 4 2" xfId="14040" xr:uid="{00000000-0005-0000-0000-000007360000}"/>
    <cellStyle name="Input 14 2 3 3 5" xfId="14041" xr:uid="{00000000-0005-0000-0000-000008360000}"/>
    <cellStyle name="Input 14 2 3 3 5 2" xfId="14042" xr:uid="{00000000-0005-0000-0000-000009360000}"/>
    <cellStyle name="Input 14 2 3 3 6" xfId="14043" xr:uid="{00000000-0005-0000-0000-00000A360000}"/>
    <cellStyle name="Input 14 2 3 3 7" xfId="14044" xr:uid="{00000000-0005-0000-0000-00000B360000}"/>
    <cellStyle name="Input 14 2 3 3 8" xfId="14045" xr:uid="{00000000-0005-0000-0000-00000C360000}"/>
    <cellStyle name="Input 14 2 3 4" xfId="14046" xr:uid="{00000000-0005-0000-0000-00000D360000}"/>
    <cellStyle name="Input 14 2 3 4 2" xfId="14047" xr:uid="{00000000-0005-0000-0000-00000E360000}"/>
    <cellStyle name="Input 14 2 3 4 2 2" xfId="14048" xr:uid="{00000000-0005-0000-0000-00000F360000}"/>
    <cellStyle name="Input 14 2 3 4 2 2 2" xfId="14049" xr:uid="{00000000-0005-0000-0000-000010360000}"/>
    <cellStyle name="Input 14 2 3 4 2 3" xfId="14050" xr:uid="{00000000-0005-0000-0000-000011360000}"/>
    <cellStyle name="Input 14 2 3 4 2 3 2" xfId="14051" xr:uid="{00000000-0005-0000-0000-000012360000}"/>
    <cellStyle name="Input 14 2 3 4 2 4" xfId="14052" xr:uid="{00000000-0005-0000-0000-000013360000}"/>
    <cellStyle name="Input 14 2 3 4 2 5" xfId="14053" xr:uid="{00000000-0005-0000-0000-000014360000}"/>
    <cellStyle name="Input 14 2 3 4 2 6" xfId="14054" xr:uid="{00000000-0005-0000-0000-000015360000}"/>
    <cellStyle name="Input 14 2 3 4 3" xfId="14055" xr:uid="{00000000-0005-0000-0000-000016360000}"/>
    <cellStyle name="Input 14 2 3 4 3 2" xfId="14056" xr:uid="{00000000-0005-0000-0000-000017360000}"/>
    <cellStyle name="Input 14 2 3 4 4" xfId="14057" xr:uid="{00000000-0005-0000-0000-000018360000}"/>
    <cellStyle name="Input 14 2 3 4 4 2" xfId="14058" xr:uid="{00000000-0005-0000-0000-000019360000}"/>
    <cellStyle name="Input 14 2 3 4 5" xfId="14059" xr:uid="{00000000-0005-0000-0000-00001A360000}"/>
    <cellStyle name="Input 14 2 3 4 6" xfId="14060" xr:uid="{00000000-0005-0000-0000-00001B360000}"/>
    <cellStyle name="Input 14 2 3 4 7" xfId="14061" xr:uid="{00000000-0005-0000-0000-00001C360000}"/>
    <cellStyle name="Input 14 2 3 5" xfId="14062" xr:uid="{00000000-0005-0000-0000-00001D360000}"/>
    <cellStyle name="Input 14 2 3 5 2" xfId="14063" xr:uid="{00000000-0005-0000-0000-00001E360000}"/>
    <cellStyle name="Input 14 2 3 5 2 2" xfId="14064" xr:uid="{00000000-0005-0000-0000-00001F360000}"/>
    <cellStyle name="Input 14 2 3 5 3" xfId="14065" xr:uid="{00000000-0005-0000-0000-000020360000}"/>
    <cellStyle name="Input 14 2 3 5 3 2" xfId="14066" xr:uid="{00000000-0005-0000-0000-000021360000}"/>
    <cellStyle name="Input 14 2 3 5 4" xfId="14067" xr:uid="{00000000-0005-0000-0000-000022360000}"/>
    <cellStyle name="Input 14 2 3 5 5" xfId="14068" xr:uid="{00000000-0005-0000-0000-000023360000}"/>
    <cellStyle name="Input 14 2 3 5 6" xfId="14069" xr:uid="{00000000-0005-0000-0000-000024360000}"/>
    <cellStyle name="Input 14 2 3 6" xfId="14070" xr:uid="{00000000-0005-0000-0000-000025360000}"/>
    <cellStyle name="Input 14 2 3 6 2" xfId="14071" xr:uid="{00000000-0005-0000-0000-000026360000}"/>
    <cellStyle name="Input 14 2 3 7" xfId="14072" xr:uid="{00000000-0005-0000-0000-000027360000}"/>
    <cellStyle name="Input 14 2 3 7 2" xfId="14073" xr:uid="{00000000-0005-0000-0000-000028360000}"/>
    <cellStyle name="Input 14 2 3 8" xfId="14074" xr:uid="{00000000-0005-0000-0000-000029360000}"/>
    <cellStyle name="Input 14 2 3 9" xfId="14075" xr:uid="{00000000-0005-0000-0000-00002A360000}"/>
    <cellStyle name="Input 14 2 4" xfId="14076" xr:uid="{00000000-0005-0000-0000-00002B360000}"/>
    <cellStyle name="Input 14 2 4 10" xfId="14077" xr:uid="{00000000-0005-0000-0000-00002C360000}"/>
    <cellStyle name="Input 14 2 4 2" xfId="14078" xr:uid="{00000000-0005-0000-0000-00002D360000}"/>
    <cellStyle name="Input 14 2 4 2 2" xfId="14079" xr:uid="{00000000-0005-0000-0000-00002E360000}"/>
    <cellStyle name="Input 14 2 4 2 2 2" xfId="14080" xr:uid="{00000000-0005-0000-0000-00002F360000}"/>
    <cellStyle name="Input 14 2 4 2 2 2 2" xfId="14081" xr:uid="{00000000-0005-0000-0000-000030360000}"/>
    <cellStyle name="Input 14 2 4 2 2 2 2 2" xfId="14082" xr:uid="{00000000-0005-0000-0000-000031360000}"/>
    <cellStyle name="Input 14 2 4 2 2 2 3" xfId="14083" xr:uid="{00000000-0005-0000-0000-000032360000}"/>
    <cellStyle name="Input 14 2 4 2 2 2 3 2" xfId="14084" xr:uid="{00000000-0005-0000-0000-000033360000}"/>
    <cellStyle name="Input 14 2 4 2 2 2 4" xfId="14085" xr:uid="{00000000-0005-0000-0000-000034360000}"/>
    <cellStyle name="Input 14 2 4 2 2 2 5" xfId="14086" xr:uid="{00000000-0005-0000-0000-000035360000}"/>
    <cellStyle name="Input 14 2 4 2 2 2 6" xfId="14087" xr:uid="{00000000-0005-0000-0000-000036360000}"/>
    <cellStyle name="Input 14 2 4 2 2 3" xfId="14088" xr:uid="{00000000-0005-0000-0000-000037360000}"/>
    <cellStyle name="Input 14 2 4 2 2 3 2" xfId="14089" xr:uid="{00000000-0005-0000-0000-000038360000}"/>
    <cellStyle name="Input 14 2 4 2 2 4" xfId="14090" xr:uid="{00000000-0005-0000-0000-000039360000}"/>
    <cellStyle name="Input 14 2 4 2 2 4 2" xfId="14091" xr:uid="{00000000-0005-0000-0000-00003A360000}"/>
    <cellStyle name="Input 14 2 4 2 2 5" xfId="14092" xr:uid="{00000000-0005-0000-0000-00003B360000}"/>
    <cellStyle name="Input 14 2 4 2 2 6" xfId="14093" xr:uid="{00000000-0005-0000-0000-00003C360000}"/>
    <cellStyle name="Input 14 2 4 2 2 7" xfId="14094" xr:uid="{00000000-0005-0000-0000-00003D360000}"/>
    <cellStyle name="Input 14 2 4 2 3" xfId="14095" xr:uid="{00000000-0005-0000-0000-00003E360000}"/>
    <cellStyle name="Input 14 2 4 2 3 2" xfId="14096" xr:uid="{00000000-0005-0000-0000-00003F360000}"/>
    <cellStyle name="Input 14 2 4 2 3 2 2" xfId="14097" xr:uid="{00000000-0005-0000-0000-000040360000}"/>
    <cellStyle name="Input 14 2 4 2 3 3" xfId="14098" xr:uid="{00000000-0005-0000-0000-000041360000}"/>
    <cellStyle name="Input 14 2 4 2 3 3 2" xfId="14099" xr:uid="{00000000-0005-0000-0000-000042360000}"/>
    <cellStyle name="Input 14 2 4 2 3 4" xfId="14100" xr:uid="{00000000-0005-0000-0000-000043360000}"/>
    <cellStyle name="Input 14 2 4 2 3 5" xfId="14101" xr:uid="{00000000-0005-0000-0000-000044360000}"/>
    <cellStyle name="Input 14 2 4 2 3 6" xfId="14102" xr:uid="{00000000-0005-0000-0000-000045360000}"/>
    <cellStyle name="Input 14 2 4 2 4" xfId="14103" xr:uid="{00000000-0005-0000-0000-000046360000}"/>
    <cellStyle name="Input 14 2 4 2 4 2" xfId="14104" xr:uid="{00000000-0005-0000-0000-000047360000}"/>
    <cellStyle name="Input 14 2 4 2 5" xfId="14105" xr:uid="{00000000-0005-0000-0000-000048360000}"/>
    <cellStyle name="Input 14 2 4 2 5 2" xfId="14106" xr:uid="{00000000-0005-0000-0000-000049360000}"/>
    <cellStyle name="Input 14 2 4 2 6" xfId="14107" xr:uid="{00000000-0005-0000-0000-00004A360000}"/>
    <cellStyle name="Input 14 2 4 2 7" xfId="14108" xr:uid="{00000000-0005-0000-0000-00004B360000}"/>
    <cellStyle name="Input 14 2 4 2 8" xfId="14109" xr:uid="{00000000-0005-0000-0000-00004C360000}"/>
    <cellStyle name="Input 14 2 4 3" xfId="14110" xr:uid="{00000000-0005-0000-0000-00004D360000}"/>
    <cellStyle name="Input 14 2 4 3 2" xfId="14111" xr:uid="{00000000-0005-0000-0000-00004E360000}"/>
    <cellStyle name="Input 14 2 4 3 2 2" xfId="14112" xr:uid="{00000000-0005-0000-0000-00004F360000}"/>
    <cellStyle name="Input 14 2 4 3 2 2 2" xfId="14113" xr:uid="{00000000-0005-0000-0000-000050360000}"/>
    <cellStyle name="Input 14 2 4 3 2 2 2 2" xfId="14114" xr:uid="{00000000-0005-0000-0000-000051360000}"/>
    <cellStyle name="Input 14 2 4 3 2 2 3" xfId="14115" xr:uid="{00000000-0005-0000-0000-000052360000}"/>
    <cellStyle name="Input 14 2 4 3 2 2 3 2" xfId="14116" xr:uid="{00000000-0005-0000-0000-000053360000}"/>
    <cellStyle name="Input 14 2 4 3 2 2 4" xfId="14117" xr:uid="{00000000-0005-0000-0000-000054360000}"/>
    <cellStyle name="Input 14 2 4 3 2 2 5" xfId="14118" xr:uid="{00000000-0005-0000-0000-000055360000}"/>
    <cellStyle name="Input 14 2 4 3 2 2 6" xfId="14119" xr:uid="{00000000-0005-0000-0000-000056360000}"/>
    <cellStyle name="Input 14 2 4 3 2 3" xfId="14120" xr:uid="{00000000-0005-0000-0000-000057360000}"/>
    <cellStyle name="Input 14 2 4 3 2 3 2" xfId="14121" xr:uid="{00000000-0005-0000-0000-000058360000}"/>
    <cellStyle name="Input 14 2 4 3 2 4" xfId="14122" xr:uid="{00000000-0005-0000-0000-000059360000}"/>
    <cellStyle name="Input 14 2 4 3 2 4 2" xfId="14123" xr:uid="{00000000-0005-0000-0000-00005A360000}"/>
    <cellStyle name="Input 14 2 4 3 2 5" xfId="14124" xr:uid="{00000000-0005-0000-0000-00005B360000}"/>
    <cellStyle name="Input 14 2 4 3 2 6" xfId="14125" xr:uid="{00000000-0005-0000-0000-00005C360000}"/>
    <cellStyle name="Input 14 2 4 3 2 7" xfId="14126" xr:uid="{00000000-0005-0000-0000-00005D360000}"/>
    <cellStyle name="Input 14 2 4 3 3" xfId="14127" xr:uid="{00000000-0005-0000-0000-00005E360000}"/>
    <cellStyle name="Input 14 2 4 3 3 2" xfId="14128" xr:uid="{00000000-0005-0000-0000-00005F360000}"/>
    <cellStyle name="Input 14 2 4 3 3 2 2" xfId="14129" xr:uid="{00000000-0005-0000-0000-000060360000}"/>
    <cellStyle name="Input 14 2 4 3 3 3" xfId="14130" xr:uid="{00000000-0005-0000-0000-000061360000}"/>
    <cellStyle name="Input 14 2 4 3 3 3 2" xfId="14131" xr:uid="{00000000-0005-0000-0000-000062360000}"/>
    <cellStyle name="Input 14 2 4 3 3 4" xfId="14132" xr:uid="{00000000-0005-0000-0000-000063360000}"/>
    <cellStyle name="Input 14 2 4 3 3 5" xfId="14133" xr:uid="{00000000-0005-0000-0000-000064360000}"/>
    <cellStyle name="Input 14 2 4 3 3 6" xfId="14134" xr:uid="{00000000-0005-0000-0000-000065360000}"/>
    <cellStyle name="Input 14 2 4 3 4" xfId="14135" xr:uid="{00000000-0005-0000-0000-000066360000}"/>
    <cellStyle name="Input 14 2 4 3 4 2" xfId="14136" xr:uid="{00000000-0005-0000-0000-000067360000}"/>
    <cellStyle name="Input 14 2 4 3 5" xfId="14137" xr:uid="{00000000-0005-0000-0000-000068360000}"/>
    <cellStyle name="Input 14 2 4 3 5 2" xfId="14138" xr:uid="{00000000-0005-0000-0000-000069360000}"/>
    <cellStyle name="Input 14 2 4 3 6" xfId="14139" xr:uid="{00000000-0005-0000-0000-00006A360000}"/>
    <cellStyle name="Input 14 2 4 3 7" xfId="14140" xr:uid="{00000000-0005-0000-0000-00006B360000}"/>
    <cellStyle name="Input 14 2 4 3 8" xfId="14141" xr:uid="{00000000-0005-0000-0000-00006C360000}"/>
    <cellStyle name="Input 14 2 4 4" xfId="14142" xr:uid="{00000000-0005-0000-0000-00006D360000}"/>
    <cellStyle name="Input 14 2 4 4 2" xfId="14143" xr:uid="{00000000-0005-0000-0000-00006E360000}"/>
    <cellStyle name="Input 14 2 4 4 2 2" xfId="14144" xr:uid="{00000000-0005-0000-0000-00006F360000}"/>
    <cellStyle name="Input 14 2 4 4 2 2 2" xfId="14145" xr:uid="{00000000-0005-0000-0000-000070360000}"/>
    <cellStyle name="Input 14 2 4 4 2 3" xfId="14146" xr:uid="{00000000-0005-0000-0000-000071360000}"/>
    <cellStyle name="Input 14 2 4 4 2 3 2" xfId="14147" xr:uid="{00000000-0005-0000-0000-000072360000}"/>
    <cellStyle name="Input 14 2 4 4 2 4" xfId="14148" xr:uid="{00000000-0005-0000-0000-000073360000}"/>
    <cellStyle name="Input 14 2 4 4 2 5" xfId="14149" xr:uid="{00000000-0005-0000-0000-000074360000}"/>
    <cellStyle name="Input 14 2 4 4 2 6" xfId="14150" xr:uid="{00000000-0005-0000-0000-000075360000}"/>
    <cellStyle name="Input 14 2 4 4 3" xfId="14151" xr:uid="{00000000-0005-0000-0000-000076360000}"/>
    <cellStyle name="Input 14 2 4 4 3 2" xfId="14152" xr:uid="{00000000-0005-0000-0000-000077360000}"/>
    <cellStyle name="Input 14 2 4 4 4" xfId="14153" xr:uid="{00000000-0005-0000-0000-000078360000}"/>
    <cellStyle name="Input 14 2 4 4 4 2" xfId="14154" xr:uid="{00000000-0005-0000-0000-000079360000}"/>
    <cellStyle name="Input 14 2 4 4 5" xfId="14155" xr:uid="{00000000-0005-0000-0000-00007A360000}"/>
    <cellStyle name="Input 14 2 4 4 6" xfId="14156" xr:uid="{00000000-0005-0000-0000-00007B360000}"/>
    <cellStyle name="Input 14 2 4 4 7" xfId="14157" xr:uid="{00000000-0005-0000-0000-00007C360000}"/>
    <cellStyle name="Input 14 2 4 5" xfId="14158" xr:uid="{00000000-0005-0000-0000-00007D360000}"/>
    <cellStyle name="Input 14 2 4 5 2" xfId="14159" xr:uid="{00000000-0005-0000-0000-00007E360000}"/>
    <cellStyle name="Input 14 2 4 5 2 2" xfId="14160" xr:uid="{00000000-0005-0000-0000-00007F360000}"/>
    <cellStyle name="Input 14 2 4 5 3" xfId="14161" xr:uid="{00000000-0005-0000-0000-000080360000}"/>
    <cellStyle name="Input 14 2 4 5 3 2" xfId="14162" xr:uid="{00000000-0005-0000-0000-000081360000}"/>
    <cellStyle name="Input 14 2 4 5 4" xfId="14163" xr:uid="{00000000-0005-0000-0000-000082360000}"/>
    <cellStyle name="Input 14 2 4 5 5" xfId="14164" xr:uid="{00000000-0005-0000-0000-000083360000}"/>
    <cellStyle name="Input 14 2 4 5 6" xfId="14165" xr:uid="{00000000-0005-0000-0000-000084360000}"/>
    <cellStyle name="Input 14 2 4 6" xfId="14166" xr:uid="{00000000-0005-0000-0000-000085360000}"/>
    <cellStyle name="Input 14 2 4 6 2" xfId="14167" xr:uid="{00000000-0005-0000-0000-000086360000}"/>
    <cellStyle name="Input 14 2 4 7" xfId="14168" xr:uid="{00000000-0005-0000-0000-000087360000}"/>
    <cellStyle name="Input 14 2 4 7 2" xfId="14169" xr:uid="{00000000-0005-0000-0000-000088360000}"/>
    <cellStyle name="Input 14 2 4 8" xfId="14170" xr:uid="{00000000-0005-0000-0000-000089360000}"/>
    <cellStyle name="Input 14 2 4 9" xfId="14171" xr:uid="{00000000-0005-0000-0000-00008A360000}"/>
    <cellStyle name="Input 14 2 5" xfId="14172" xr:uid="{00000000-0005-0000-0000-00008B360000}"/>
    <cellStyle name="Input 14 2 5 2" xfId="14173" xr:uid="{00000000-0005-0000-0000-00008C360000}"/>
    <cellStyle name="Input 14 2 5 2 2" xfId="14174" xr:uid="{00000000-0005-0000-0000-00008D360000}"/>
    <cellStyle name="Input 14 2 5 2 2 2" xfId="14175" xr:uid="{00000000-0005-0000-0000-00008E360000}"/>
    <cellStyle name="Input 14 2 5 2 2 2 2" xfId="14176" xr:uid="{00000000-0005-0000-0000-00008F360000}"/>
    <cellStyle name="Input 14 2 5 2 2 3" xfId="14177" xr:uid="{00000000-0005-0000-0000-000090360000}"/>
    <cellStyle name="Input 14 2 5 2 2 3 2" xfId="14178" xr:uid="{00000000-0005-0000-0000-000091360000}"/>
    <cellStyle name="Input 14 2 5 2 2 4" xfId="14179" xr:uid="{00000000-0005-0000-0000-000092360000}"/>
    <cellStyle name="Input 14 2 5 2 2 5" xfId="14180" xr:uid="{00000000-0005-0000-0000-000093360000}"/>
    <cellStyle name="Input 14 2 5 2 2 6" xfId="14181" xr:uid="{00000000-0005-0000-0000-000094360000}"/>
    <cellStyle name="Input 14 2 5 2 3" xfId="14182" xr:uid="{00000000-0005-0000-0000-000095360000}"/>
    <cellStyle name="Input 14 2 5 2 3 2" xfId="14183" xr:uid="{00000000-0005-0000-0000-000096360000}"/>
    <cellStyle name="Input 14 2 5 2 4" xfId="14184" xr:uid="{00000000-0005-0000-0000-000097360000}"/>
    <cellStyle name="Input 14 2 5 2 4 2" xfId="14185" xr:uid="{00000000-0005-0000-0000-000098360000}"/>
    <cellStyle name="Input 14 2 5 2 5" xfId="14186" xr:uid="{00000000-0005-0000-0000-000099360000}"/>
    <cellStyle name="Input 14 2 5 2 6" xfId="14187" xr:uid="{00000000-0005-0000-0000-00009A360000}"/>
    <cellStyle name="Input 14 2 5 2 7" xfId="14188" xr:uid="{00000000-0005-0000-0000-00009B360000}"/>
    <cellStyle name="Input 14 2 5 3" xfId="14189" xr:uid="{00000000-0005-0000-0000-00009C360000}"/>
    <cellStyle name="Input 14 2 5 3 2" xfId="14190" xr:uid="{00000000-0005-0000-0000-00009D360000}"/>
    <cellStyle name="Input 14 2 5 3 2 2" xfId="14191" xr:uid="{00000000-0005-0000-0000-00009E360000}"/>
    <cellStyle name="Input 14 2 5 3 3" xfId="14192" xr:uid="{00000000-0005-0000-0000-00009F360000}"/>
    <cellStyle name="Input 14 2 5 3 3 2" xfId="14193" xr:uid="{00000000-0005-0000-0000-0000A0360000}"/>
    <cellStyle name="Input 14 2 5 3 4" xfId="14194" xr:uid="{00000000-0005-0000-0000-0000A1360000}"/>
    <cellStyle name="Input 14 2 5 3 5" xfId="14195" xr:uid="{00000000-0005-0000-0000-0000A2360000}"/>
    <cellStyle name="Input 14 2 5 3 6" xfId="14196" xr:uid="{00000000-0005-0000-0000-0000A3360000}"/>
    <cellStyle name="Input 14 2 5 4" xfId="14197" xr:uid="{00000000-0005-0000-0000-0000A4360000}"/>
    <cellStyle name="Input 14 2 5 4 2" xfId="14198" xr:uid="{00000000-0005-0000-0000-0000A5360000}"/>
    <cellStyle name="Input 14 2 5 5" xfId="14199" xr:uid="{00000000-0005-0000-0000-0000A6360000}"/>
    <cellStyle name="Input 14 2 5 5 2" xfId="14200" xr:uid="{00000000-0005-0000-0000-0000A7360000}"/>
    <cellStyle name="Input 14 2 5 6" xfId="14201" xr:uid="{00000000-0005-0000-0000-0000A8360000}"/>
    <cellStyle name="Input 14 2 5 7" xfId="14202" xr:uid="{00000000-0005-0000-0000-0000A9360000}"/>
    <cellStyle name="Input 14 2 5 8" xfId="14203" xr:uid="{00000000-0005-0000-0000-0000AA360000}"/>
    <cellStyle name="Input 14 2 6" xfId="14204" xr:uid="{00000000-0005-0000-0000-0000AB360000}"/>
    <cellStyle name="Input 14 2 6 2" xfId="14205" xr:uid="{00000000-0005-0000-0000-0000AC360000}"/>
    <cellStyle name="Input 14 2 6 2 2" xfId="14206" xr:uid="{00000000-0005-0000-0000-0000AD360000}"/>
    <cellStyle name="Input 14 2 6 2 2 2" xfId="14207" xr:uid="{00000000-0005-0000-0000-0000AE360000}"/>
    <cellStyle name="Input 14 2 6 2 3" xfId="14208" xr:uid="{00000000-0005-0000-0000-0000AF360000}"/>
    <cellStyle name="Input 14 2 6 2 3 2" xfId="14209" xr:uid="{00000000-0005-0000-0000-0000B0360000}"/>
    <cellStyle name="Input 14 2 6 2 4" xfId="14210" xr:uid="{00000000-0005-0000-0000-0000B1360000}"/>
    <cellStyle name="Input 14 2 6 2 5" xfId="14211" xr:uid="{00000000-0005-0000-0000-0000B2360000}"/>
    <cellStyle name="Input 14 2 6 2 6" xfId="14212" xr:uid="{00000000-0005-0000-0000-0000B3360000}"/>
    <cellStyle name="Input 14 2 6 3" xfId="14213" xr:uid="{00000000-0005-0000-0000-0000B4360000}"/>
    <cellStyle name="Input 14 2 6 3 2" xfId="14214" xr:uid="{00000000-0005-0000-0000-0000B5360000}"/>
    <cellStyle name="Input 14 2 6 4" xfId="14215" xr:uid="{00000000-0005-0000-0000-0000B6360000}"/>
    <cellStyle name="Input 14 2 6 4 2" xfId="14216" xr:uid="{00000000-0005-0000-0000-0000B7360000}"/>
    <cellStyle name="Input 14 2 6 5" xfId="14217" xr:uid="{00000000-0005-0000-0000-0000B8360000}"/>
    <cellStyle name="Input 14 2 6 6" xfId="14218" xr:uid="{00000000-0005-0000-0000-0000B9360000}"/>
    <cellStyle name="Input 14 2 6 7" xfId="14219" xr:uid="{00000000-0005-0000-0000-0000BA360000}"/>
    <cellStyle name="Input 14 2 7" xfId="14220" xr:uid="{00000000-0005-0000-0000-0000BB360000}"/>
    <cellStyle name="Input 14 2 7 2" xfId="14221" xr:uid="{00000000-0005-0000-0000-0000BC360000}"/>
    <cellStyle name="Input 14 2 7 2 2" xfId="14222" xr:uid="{00000000-0005-0000-0000-0000BD360000}"/>
    <cellStyle name="Input 14 2 7 3" xfId="14223" xr:uid="{00000000-0005-0000-0000-0000BE360000}"/>
    <cellStyle name="Input 14 2 7 3 2" xfId="14224" xr:uid="{00000000-0005-0000-0000-0000BF360000}"/>
    <cellStyle name="Input 14 2 7 4" xfId="14225" xr:uid="{00000000-0005-0000-0000-0000C0360000}"/>
    <cellStyle name="Input 14 2 7 5" xfId="14226" xr:uid="{00000000-0005-0000-0000-0000C1360000}"/>
    <cellStyle name="Input 14 2 7 6" xfId="14227" xr:uid="{00000000-0005-0000-0000-0000C2360000}"/>
    <cellStyle name="Input 14 2 8" xfId="14228" xr:uid="{00000000-0005-0000-0000-0000C3360000}"/>
    <cellStyle name="Input 14 2 8 2" xfId="14229" xr:uid="{00000000-0005-0000-0000-0000C4360000}"/>
    <cellStyle name="Input 14 2 9" xfId="14230" xr:uid="{00000000-0005-0000-0000-0000C5360000}"/>
    <cellStyle name="Input 14 2 9 2" xfId="14231" xr:uid="{00000000-0005-0000-0000-0000C6360000}"/>
    <cellStyle name="Input 14 3" xfId="14232" xr:uid="{00000000-0005-0000-0000-0000C7360000}"/>
    <cellStyle name="Input 14 3 10" xfId="14233" xr:uid="{00000000-0005-0000-0000-0000C8360000}"/>
    <cellStyle name="Input 14 3 11" xfId="14234" xr:uid="{00000000-0005-0000-0000-0000C9360000}"/>
    <cellStyle name="Input 14 3 2" xfId="14235" xr:uid="{00000000-0005-0000-0000-0000CA360000}"/>
    <cellStyle name="Input 14 3 2 10" xfId="14236" xr:uid="{00000000-0005-0000-0000-0000CB360000}"/>
    <cellStyle name="Input 14 3 2 2" xfId="14237" xr:uid="{00000000-0005-0000-0000-0000CC360000}"/>
    <cellStyle name="Input 14 3 2 2 10" xfId="14238" xr:uid="{00000000-0005-0000-0000-0000CD360000}"/>
    <cellStyle name="Input 14 3 2 2 2" xfId="14239" xr:uid="{00000000-0005-0000-0000-0000CE360000}"/>
    <cellStyle name="Input 14 3 2 2 2 2" xfId="14240" xr:uid="{00000000-0005-0000-0000-0000CF360000}"/>
    <cellStyle name="Input 14 3 2 2 2 2 2" xfId="14241" xr:uid="{00000000-0005-0000-0000-0000D0360000}"/>
    <cellStyle name="Input 14 3 2 2 2 2 2 2" xfId="14242" xr:uid="{00000000-0005-0000-0000-0000D1360000}"/>
    <cellStyle name="Input 14 3 2 2 2 2 2 2 2" xfId="14243" xr:uid="{00000000-0005-0000-0000-0000D2360000}"/>
    <cellStyle name="Input 14 3 2 2 2 2 2 3" xfId="14244" xr:uid="{00000000-0005-0000-0000-0000D3360000}"/>
    <cellStyle name="Input 14 3 2 2 2 2 2 3 2" xfId="14245" xr:uid="{00000000-0005-0000-0000-0000D4360000}"/>
    <cellStyle name="Input 14 3 2 2 2 2 2 4" xfId="14246" xr:uid="{00000000-0005-0000-0000-0000D5360000}"/>
    <cellStyle name="Input 14 3 2 2 2 2 2 5" xfId="14247" xr:uid="{00000000-0005-0000-0000-0000D6360000}"/>
    <cellStyle name="Input 14 3 2 2 2 2 2 6" xfId="14248" xr:uid="{00000000-0005-0000-0000-0000D7360000}"/>
    <cellStyle name="Input 14 3 2 2 2 2 3" xfId="14249" xr:uid="{00000000-0005-0000-0000-0000D8360000}"/>
    <cellStyle name="Input 14 3 2 2 2 2 3 2" xfId="14250" xr:uid="{00000000-0005-0000-0000-0000D9360000}"/>
    <cellStyle name="Input 14 3 2 2 2 2 4" xfId="14251" xr:uid="{00000000-0005-0000-0000-0000DA360000}"/>
    <cellStyle name="Input 14 3 2 2 2 2 4 2" xfId="14252" xr:uid="{00000000-0005-0000-0000-0000DB360000}"/>
    <cellStyle name="Input 14 3 2 2 2 2 5" xfId="14253" xr:uid="{00000000-0005-0000-0000-0000DC360000}"/>
    <cellStyle name="Input 14 3 2 2 2 2 6" xfId="14254" xr:uid="{00000000-0005-0000-0000-0000DD360000}"/>
    <cellStyle name="Input 14 3 2 2 2 2 7" xfId="14255" xr:uid="{00000000-0005-0000-0000-0000DE360000}"/>
    <cellStyle name="Input 14 3 2 2 2 3" xfId="14256" xr:uid="{00000000-0005-0000-0000-0000DF360000}"/>
    <cellStyle name="Input 14 3 2 2 2 3 2" xfId="14257" xr:uid="{00000000-0005-0000-0000-0000E0360000}"/>
    <cellStyle name="Input 14 3 2 2 2 3 2 2" xfId="14258" xr:uid="{00000000-0005-0000-0000-0000E1360000}"/>
    <cellStyle name="Input 14 3 2 2 2 3 3" xfId="14259" xr:uid="{00000000-0005-0000-0000-0000E2360000}"/>
    <cellStyle name="Input 14 3 2 2 2 3 3 2" xfId="14260" xr:uid="{00000000-0005-0000-0000-0000E3360000}"/>
    <cellStyle name="Input 14 3 2 2 2 3 4" xfId="14261" xr:uid="{00000000-0005-0000-0000-0000E4360000}"/>
    <cellStyle name="Input 14 3 2 2 2 3 5" xfId="14262" xr:uid="{00000000-0005-0000-0000-0000E5360000}"/>
    <cellStyle name="Input 14 3 2 2 2 3 6" xfId="14263" xr:uid="{00000000-0005-0000-0000-0000E6360000}"/>
    <cellStyle name="Input 14 3 2 2 2 4" xfId="14264" xr:uid="{00000000-0005-0000-0000-0000E7360000}"/>
    <cellStyle name="Input 14 3 2 2 2 4 2" xfId="14265" xr:uid="{00000000-0005-0000-0000-0000E8360000}"/>
    <cellStyle name="Input 14 3 2 2 2 5" xfId="14266" xr:uid="{00000000-0005-0000-0000-0000E9360000}"/>
    <cellStyle name="Input 14 3 2 2 2 5 2" xfId="14267" xr:uid="{00000000-0005-0000-0000-0000EA360000}"/>
    <cellStyle name="Input 14 3 2 2 2 6" xfId="14268" xr:uid="{00000000-0005-0000-0000-0000EB360000}"/>
    <cellStyle name="Input 14 3 2 2 2 7" xfId="14269" xr:uid="{00000000-0005-0000-0000-0000EC360000}"/>
    <cellStyle name="Input 14 3 2 2 2 8" xfId="14270" xr:uid="{00000000-0005-0000-0000-0000ED360000}"/>
    <cellStyle name="Input 14 3 2 2 3" xfId="14271" xr:uid="{00000000-0005-0000-0000-0000EE360000}"/>
    <cellStyle name="Input 14 3 2 2 3 2" xfId="14272" xr:uid="{00000000-0005-0000-0000-0000EF360000}"/>
    <cellStyle name="Input 14 3 2 2 3 2 2" xfId="14273" xr:uid="{00000000-0005-0000-0000-0000F0360000}"/>
    <cellStyle name="Input 14 3 2 2 3 2 2 2" xfId="14274" xr:uid="{00000000-0005-0000-0000-0000F1360000}"/>
    <cellStyle name="Input 14 3 2 2 3 2 2 2 2" xfId="14275" xr:uid="{00000000-0005-0000-0000-0000F2360000}"/>
    <cellStyle name="Input 14 3 2 2 3 2 2 3" xfId="14276" xr:uid="{00000000-0005-0000-0000-0000F3360000}"/>
    <cellStyle name="Input 14 3 2 2 3 2 2 3 2" xfId="14277" xr:uid="{00000000-0005-0000-0000-0000F4360000}"/>
    <cellStyle name="Input 14 3 2 2 3 2 2 4" xfId="14278" xr:uid="{00000000-0005-0000-0000-0000F5360000}"/>
    <cellStyle name="Input 14 3 2 2 3 2 2 5" xfId="14279" xr:uid="{00000000-0005-0000-0000-0000F6360000}"/>
    <cellStyle name="Input 14 3 2 2 3 2 2 6" xfId="14280" xr:uid="{00000000-0005-0000-0000-0000F7360000}"/>
    <cellStyle name="Input 14 3 2 2 3 2 3" xfId="14281" xr:uid="{00000000-0005-0000-0000-0000F8360000}"/>
    <cellStyle name="Input 14 3 2 2 3 2 3 2" xfId="14282" xr:uid="{00000000-0005-0000-0000-0000F9360000}"/>
    <cellStyle name="Input 14 3 2 2 3 2 4" xfId="14283" xr:uid="{00000000-0005-0000-0000-0000FA360000}"/>
    <cellStyle name="Input 14 3 2 2 3 2 4 2" xfId="14284" xr:uid="{00000000-0005-0000-0000-0000FB360000}"/>
    <cellStyle name="Input 14 3 2 2 3 2 5" xfId="14285" xr:uid="{00000000-0005-0000-0000-0000FC360000}"/>
    <cellStyle name="Input 14 3 2 2 3 2 6" xfId="14286" xr:uid="{00000000-0005-0000-0000-0000FD360000}"/>
    <cellStyle name="Input 14 3 2 2 3 2 7" xfId="14287" xr:uid="{00000000-0005-0000-0000-0000FE360000}"/>
    <cellStyle name="Input 14 3 2 2 3 3" xfId="14288" xr:uid="{00000000-0005-0000-0000-0000FF360000}"/>
    <cellStyle name="Input 14 3 2 2 3 3 2" xfId="14289" xr:uid="{00000000-0005-0000-0000-000000370000}"/>
    <cellStyle name="Input 14 3 2 2 3 3 2 2" xfId="14290" xr:uid="{00000000-0005-0000-0000-000001370000}"/>
    <cellStyle name="Input 14 3 2 2 3 3 3" xfId="14291" xr:uid="{00000000-0005-0000-0000-000002370000}"/>
    <cellStyle name="Input 14 3 2 2 3 3 3 2" xfId="14292" xr:uid="{00000000-0005-0000-0000-000003370000}"/>
    <cellStyle name="Input 14 3 2 2 3 3 4" xfId="14293" xr:uid="{00000000-0005-0000-0000-000004370000}"/>
    <cellStyle name="Input 14 3 2 2 3 3 5" xfId="14294" xr:uid="{00000000-0005-0000-0000-000005370000}"/>
    <cellStyle name="Input 14 3 2 2 3 3 6" xfId="14295" xr:uid="{00000000-0005-0000-0000-000006370000}"/>
    <cellStyle name="Input 14 3 2 2 3 4" xfId="14296" xr:uid="{00000000-0005-0000-0000-000007370000}"/>
    <cellStyle name="Input 14 3 2 2 3 4 2" xfId="14297" xr:uid="{00000000-0005-0000-0000-000008370000}"/>
    <cellStyle name="Input 14 3 2 2 3 5" xfId="14298" xr:uid="{00000000-0005-0000-0000-000009370000}"/>
    <cellStyle name="Input 14 3 2 2 3 5 2" xfId="14299" xr:uid="{00000000-0005-0000-0000-00000A370000}"/>
    <cellStyle name="Input 14 3 2 2 3 6" xfId="14300" xr:uid="{00000000-0005-0000-0000-00000B370000}"/>
    <cellStyle name="Input 14 3 2 2 3 7" xfId="14301" xr:uid="{00000000-0005-0000-0000-00000C370000}"/>
    <cellStyle name="Input 14 3 2 2 3 8" xfId="14302" xr:uid="{00000000-0005-0000-0000-00000D370000}"/>
    <cellStyle name="Input 14 3 2 2 4" xfId="14303" xr:uid="{00000000-0005-0000-0000-00000E370000}"/>
    <cellStyle name="Input 14 3 2 2 4 2" xfId="14304" xr:uid="{00000000-0005-0000-0000-00000F370000}"/>
    <cellStyle name="Input 14 3 2 2 4 2 2" xfId="14305" xr:uid="{00000000-0005-0000-0000-000010370000}"/>
    <cellStyle name="Input 14 3 2 2 4 2 2 2" xfId="14306" xr:uid="{00000000-0005-0000-0000-000011370000}"/>
    <cellStyle name="Input 14 3 2 2 4 2 3" xfId="14307" xr:uid="{00000000-0005-0000-0000-000012370000}"/>
    <cellStyle name="Input 14 3 2 2 4 2 3 2" xfId="14308" xr:uid="{00000000-0005-0000-0000-000013370000}"/>
    <cellStyle name="Input 14 3 2 2 4 2 4" xfId="14309" xr:uid="{00000000-0005-0000-0000-000014370000}"/>
    <cellStyle name="Input 14 3 2 2 4 2 5" xfId="14310" xr:uid="{00000000-0005-0000-0000-000015370000}"/>
    <cellStyle name="Input 14 3 2 2 4 2 6" xfId="14311" xr:uid="{00000000-0005-0000-0000-000016370000}"/>
    <cellStyle name="Input 14 3 2 2 4 3" xfId="14312" xr:uid="{00000000-0005-0000-0000-000017370000}"/>
    <cellStyle name="Input 14 3 2 2 4 3 2" xfId="14313" xr:uid="{00000000-0005-0000-0000-000018370000}"/>
    <cellStyle name="Input 14 3 2 2 4 4" xfId="14314" xr:uid="{00000000-0005-0000-0000-000019370000}"/>
    <cellStyle name="Input 14 3 2 2 4 4 2" xfId="14315" xr:uid="{00000000-0005-0000-0000-00001A370000}"/>
    <cellStyle name="Input 14 3 2 2 4 5" xfId="14316" xr:uid="{00000000-0005-0000-0000-00001B370000}"/>
    <cellStyle name="Input 14 3 2 2 4 6" xfId="14317" xr:uid="{00000000-0005-0000-0000-00001C370000}"/>
    <cellStyle name="Input 14 3 2 2 4 7" xfId="14318" xr:uid="{00000000-0005-0000-0000-00001D370000}"/>
    <cellStyle name="Input 14 3 2 2 5" xfId="14319" xr:uid="{00000000-0005-0000-0000-00001E370000}"/>
    <cellStyle name="Input 14 3 2 2 5 2" xfId="14320" xr:uid="{00000000-0005-0000-0000-00001F370000}"/>
    <cellStyle name="Input 14 3 2 2 5 2 2" xfId="14321" xr:uid="{00000000-0005-0000-0000-000020370000}"/>
    <cellStyle name="Input 14 3 2 2 5 3" xfId="14322" xr:uid="{00000000-0005-0000-0000-000021370000}"/>
    <cellStyle name="Input 14 3 2 2 5 3 2" xfId="14323" xr:uid="{00000000-0005-0000-0000-000022370000}"/>
    <cellStyle name="Input 14 3 2 2 5 4" xfId="14324" xr:uid="{00000000-0005-0000-0000-000023370000}"/>
    <cellStyle name="Input 14 3 2 2 5 5" xfId="14325" xr:uid="{00000000-0005-0000-0000-000024370000}"/>
    <cellStyle name="Input 14 3 2 2 5 6" xfId="14326" xr:uid="{00000000-0005-0000-0000-000025370000}"/>
    <cellStyle name="Input 14 3 2 2 6" xfId="14327" xr:uid="{00000000-0005-0000-0000-000026370000}"/>
    <cellStyle name="Input 14 3 2 2 6 2" xfId="14328" xr:uid="{00000000-0005-0000-0000-000027370000}"/>
    <cellStyle name="Input 14 3 2 2 7" xfId="14329" xr:uid="{00000000-0005-0000-0000-000028370000}"/>
    <cellStyle name="Input 14 3 2 2 7 2" xfId="14330" xr:uid="{00000000-0005-0000-0000-000029370000}"/>
    <cellStyle name="Input 14 3 2 2 8" xfId="14331" xr:uid="{00000000-0005-0000-0000-00002A370000}"/>
    <cellStyle name="Input 14 3 2 2 9" xfId="14332" xr:uid="{00000000-0005-0000-0000-00002B370000}"/>
    <cellStyle name="Input 14 3 2 3" xfId="14333" xr:uid="{00000000-0005-0000-0000-00002C370000}"/>
    <cellStyle name="Input 14 3 2 3 2" xfId="14334" xr:uid="{00000000-0005-0000-0000-00002D370000}"/>
    <cellStyle name="Input 14 3 2 3 2 2" xfId="14335" xr:uid="{00000000-0005-0000-0000-00002E370000}"/>
    <cellStyle name="Input 14 3 2 3 2 2 2" xfId="14336" xr:uid="{00000000-0005-0000-0000-00002F370000}"/>
    <cellStyle name="Input 14 3 2 3 2 2 2 2" xfId="14337" xr:uid="{00000000-0005-0000-0000-000030370000}"/>
    <cellStyle name="Input 14 3 2 3 2 2 3" xfId="14338" xr:uid="{00000000-0005-0000-0000-000031370000}"/>
    <cellStyle name="Input 14 3 2 3 2 2 3 2" xfId="14339" xr:uid="{00000000-0005-0000-0000-000032370000}"/>
    <cellStyle name="Input 14 3 2 3 2 2 4" xfId="14340" xr:uid="{00000000-0005-0000-0000-000033370000}"/>
    <cellStyle name="Input 14 3 2 3 2 2 5" xfId="14341" xr:uid="{00000000-0005-0000-0000-000034370000}"/>
    <cellStyle name="Input 14 3 2 3 2 2 6" xfId="14342" xr:uid="{00000000-0005-0000-0000-000035370000}"/>
    <cellStyle name="Input 14 3 2 3 2 3" xfId="14343" xr:uid="{00000000-0005-0000-0000-000036370000}"/>
    <cellStyle name="Input 14 3 2 3 2 3 2" xfId="14344" xr:uid="{00000000-0005-0000-0000-000037370000}"/>
    <cellStyle name="Input 14 3 2 3 2 4" xfId="14345" xr:uid="{00000000-0005-0000-0000-000038370000}"/>
    <cellStyle name="Input 14 3 2 3 2 4 2" xfId="14346" xr:uid="{00000000-0005-0000-0000-000039370000}"/>
    <cellStyle name="Input 14 3 2 3 2 5" xfId="14347" xr:uid="{00000000-0005-0000-0000-00003A370000}"/>
    <cellStyle name="Input 14 3 2 3 2 6" xfId="14348" xr:uid="{00000000-0005-0000-0000-00003B370000}"/>
    <cellStyle name="Input 14 3 2 3 2 7" xfId="14349" xr:uid="{00000000-0005-0000-0000-00003C370000}"/>
    <cellStyle name="Input 14 3 2 3 3" xfId="14350" xr:uid="{00000000-0005-0000-0000-00003D370000}"/>
    <cellStyle name="Input 14 3 2 3 3 2" xfId="14351" xr:uid="{00000000-0005-0000-0000-00003E370000}"/>
    <cellStyle name="Input 14 3 2 3 3 2 2" xfId="14352" xr:uid="{00000000-0005-0000-0000-00003F370000}"/>
    <cellStyle name="Input 14 3 2 3 3 3" xfId="14353" xr:uid="{00000000-0005-0000-0000-000040370000}"/>
    <cellStyle name="Input 14 3 2 3 3 3 2" xfId="14354" xr:uid="{00000000-0005-0000-0000-000041370000}"/>
    <cellStyle name="Input 14 3 2 3 3 4" xfId="14355" xr:uid="{00000000-0005-0000-0000-000042370000}"/>
    <cellStyle name="Input 14 3 2 3 3 5" xfId="14356" xr:uid="{00000000-0005-0000-0000-000043370000}"/>
    <cellStyle name="Input 14 3 2 3 3 6" xfId="14357" xr:uid="{00000000-0005-0000-0000-000044370000}"/>
    <cellStyle name="Input 14 3 2 3 4" xfId="14358" xr:uid="{00000000-0005-0000-0000-000045370000}"/>
    <cellStyle name="Input 14 3 2 3 4 2" xfId="14359" xr:uid="{00000000-0005-0000-0000-000046370000}"/>
    <cellStyle name="Input 14 3 2 3 5" xfId="14360" xr:uid="{00000000-0005-0000-0000-000047370000}"/>
    <cellStyle name="Input 14 3 2 3 5 2" xfId="14361" xr:uid="{00000000-0005-0000-0000-000048370000}"/>
    <cellStyle name="Input 14 3 2 3 6" xfId="14362" xr:uid="{00000000-0005-0000-0000-000049370000}"/>
    <cellStyle name="Input 14 3 2 3 7" xfId="14363" xr:uid="{00000000-0005-0000-0000-00004A370000}"/>
    <cellStyle name="Input 14 3 2 3 8" xfId="14364" xr:uid="{00000000-0005-0000-0000-00004B370000}"/>
    <cellStyle name="Input 14 3 2 4" xfId="14365" xr:uid="{00000000-0005-0000-0000-00004C370000}"/>
    <cellStyle name="Input 14 3 2 4 2" xfId="14366" xr:uid="{00000000-0005-0000-0000-00004D370000}"/>
    <cellStyle name="Input 14 3 2 4 2 2" xfId="14367" xr:uid="{00000000-0005-0000-0000-00004E370000}"/>
    <cellStyle name="Input 14 3 2 4 2 2 2" xfId="14368" xr:uid="{00000000-0005-0000-0000-00004F370000}"/>
    <cellStyle name="Input 14 3 2 4 2 3" xfId="14369" xr:uid="{00000000-0005-0000-0000-000050370000}"/>
    <cellStyle name="Input 14 3 2 4 2 3 2" xfId="14370" xr:uid="{00000000-0005-0000-0000-000051370000}"/>
    <cellStyle name="Input 14 3 2 4 2 4" xfId="14371" xr:uid="{00000000-0005-0000-0000-000052370000}"/>
    <cellStyle name="Input 14 3 2 4 2 5" xfId="14372" xr:uid="{00000000-0005-0000-0000-000053370000}"/>
    <cellStyle name="Input 14 3 2 4 2 6" xfId="14373" xr:uid="{00000000-0005-0000-0000-000054370000}"/>
    <cellStyle name="Input 14 3 2 4 3" xfId="14374" xr:uid="{00000000-0005-0000-0000-000055370000}"/>
    <cellStyle name="Input 14 3 2 4 3 2" xfId="14375" xr:uid="{00000000-0005-0000-0000-000056370000}"/>
    <cellStyle name="Input 14 3 2 4 4" xfId="14376" xr:uid="{00000000-0005-0000-0000-000057370000}"/>
    <cellStyle name="Input 14 3 2 4 4 2" xfId="14377" xr:uid="{00000000-0005-0000-0000-000058370000}"/>
    <cellStyle name="Input 14 3 2 4 5" xfId="14378" xr:uid="{00000000-0005-0000-0000-000059370000}"/>
    <cellStyle name="Input 14 3 2 4 6" xfId="14379" xr:uid="{00000000-0005-0000-0000-00005A370000}"/>
    <cellStyle name="Input 14 3 2 4 7" xfId="14380" xr:uid="{00000000-0005-0000-0000-00005B370000}"/>
    <cellStyle name="Input 14 3 2 5" xfId="14381" xr:uid="{00000000-0005-0000-0000-00005C370000}"/>
    <cellStyle name="Input 14 3 2 5 2" xfId="14382" xr:uid="{00000000-0005-0000-0000-00005D370000}"/>
    <cellStyle name="Input 14 3 2 5 2 2" xfId="14383" xr:uid="{00000000-0005-0000-0000-00005E370000}"/>
    <cellStyle name="Input 14 3 2 5 3" xfId="14384" xr:uid="{00000000-0005-0000-0000-00005F370000}"/>
    <cellStyle name="Input 14 3 2 5 3 2" xfId="14385" xr:uid="{00000000-0005-0000-0000-000060370000}"/>
    <cellStyle name="Input 14 3 2 5 4" xfId="14386" xr:uid="{00000000-0005-0000-0000-000061370000}"/>
    <cellStyle name="Input 14 3 2 5 5" xfId="14387" xr:uid="{00000000-0005-0000-0000-000062370000}"/>
    <cellStyle name="Input 14 3 2 5 6" xfId="14388" xr:uid="{00000000-0005-0000-0000-000063370000}"/>
    <cellStyle name="Input 14 3 2 6" xfId="14389" xr:uid="{00000000-0005-0000-0000-000064370000}"/>
    <cellStyle name="Input 14 3 2 6 2" xfId="14390" xr:uid="{00000000-0005-0000-0000-000065370000}"/>
    <cellStyle name="Input 14 3 2 7" xfId="14391" xr:uid="{00000000-0005-0000-0000-000066370000}"/>
    <cellStyle name="Input 14 3 2 7 2" xfId="14392" xr:uid="{00000000-0005-0000-0000-000067370000}"/>
    <cellStyle name="Input 14 3 2 8" xfId="14393" xr:uid="{00000000-0005-0000-0000-000068370000}"/>
    <cellStyle name="Input 14 3 2 9" xfId="14394" xr:uid="{00000000-0005-0000-0000-000069370000}"/>
    <cellStyle name="Input 14 3 3" xfId="14395" xr:uid="{00000000-0005-0000-0000-00006A370000}"/>
    <cellStyle name="Input 14 3 3 10" xfId="14396" xr:uid="{00000000-0005-0000-0000-00006B370000}"/>
    <cellStyle name="Input 14 3 3 2" xfId="14397" xr:uid="{00000000-0005-0000-0000-00006C370000}"/>
    <cellStyle name="Input 14 3 3 2 2" xfId="14398" xr:uid="{00000000-0005-0000-0000-00006D370000}"/>
    <cellStyle name="Input 14 3 3 2 2 2" xfId="14399" xr:uid="{00000000-0005-0000-0000-00006E370000}"/>
    <cellStyle name="Input 14 3 3 2 2 2 2" xfId="14400" xr:uid="{00000000-0005-0000-0000-00006F370000}"/>
    <cellStyle name="Input 14 3 3 2 2 2 2 2" xfId="14401" xr:uid="{00000000-0005-0000-0000-000070370000}"/>
    <cellStyle name="Input 14 3 3 2 2 2 3" xfId="14402" xr:uid="{00000000-0005-0000-0000-000071370000}"/>
    <cellStyle name="Input 14 3 3 2 2 2 3 2" xfId="14403" xr:uid="{00000000-0005-0000-0000-000072370000}"/>
    <cellStyle name="Input 14 3 3 2 2 2 4" xfId="14404" xr:uid="{00000000-0005-0000-0000-000073370000}"/>
    <cellStyle name="Input 14 3 3 2 2 2 5" xfId="14405" xr:uid="{00000000-0005-0000-0000-000074370000}"/>
    <cellStyle name="Input 14 3 3 2 2 2 6" xfId="14406" xr:uid="{00000000-0005-0000-0000-000075370000}"/>
    <cellStyle name="Input 14 3 3 2 2 3" xfId="14407" xr:uid="{00000000-0005-0000-0000-000076370000}"/>
    <cellStyle name="Input 14 3 3 2 2 3 2" xfId="14408" xr:uid="{00000000-0005-0000-0000-000077370000}"/>
    <cellStyle name="Input 14 3 3 2 2 4" xfId="14409" xr:uid="{00000000-0005-0000-0000-000078370000}"/>
    <cellStyle name="Input 14 3 3 2 2 4 2" xfId="14410" xr:uid="{00000000-0005-0000-0000-000079370000}"/>
    <cellStyle name="Input 14 3 3 2 2 5" xfId="14411" xr:uid="{00000000-0005-0000-0000-00007A370000}"/>
    <cellStyle name="Input 14 3 3 2 2 6" xfId="14412" xr:uid="{00000000-0005-0000-0000-00007B370000}"/>
    <cellStyle name="Input 14 3 3 2 2 7" xfId="14413" xr:uid="{00000000-0005-0000-0000-00007C370000}"/>
    <cellStyle name="Input 14 3 3 2 3" xfId="14414" xr:uid="{00000000-0005-0000-0000-00007D370000}"/>
    <cellStyle name="Input 14 3 3 2 3 2" xfId="14415" xr:uid="{00000000-0005-0000-0000-00007E370000}"/>
    <cellStyle name="Input 14 3 3 2 3 2 2" xfId="14416" xr:uid="{00000000-0005-0000-0000-00007F370000}"/>
    <cellStyle name="Input 14 3 3 2 3 3" xfId="14417" xr:uid="{00000000-0005-0000-0000-000080370000}"/>
    <cellStyle name="Input 14 3 3 2 3 3 2" xfId="14418" xr:uid="{00000000-0005-0000-0000-000081370000}"/>
    <cellStyle name="Input 14 3 3 2 3 4" xfId="14419" xr:uid="{00000000-0005-0000-0000-000082370000}"/>
    <cellStyle name="Input 14 3 3 2 3 5" xfId="14420" xr:uid="{00000000-0005-0000-0000-000083370000}"/>
    <cellStyle name="Input 14 3 3 2 3 6" xfId="14421" xr:uid="{00000000-0005-0000-0000-000084370000}"/>
    <cellStyle name="Input 14 3 3 2 4" xfId="14422" xr:uid="{00000000-0005-0000-0000-000085370000}"/>
    <cellStyle name="Input 14 3 3 2 4 2" xfId="14423" xr:uid="{00000000-0005-0000-0000-000086370000}"/>
    <cellStyle name="Input 14 3 3 2 5" xfId="14424" xr:uid="{00000000-0005-0000-0000-000087370000}"/>
    <cellStyle name="Input 14 3 3 2 5 2" xfId="14425" xr:uid="{00000000-0005-0000-0000-000088370000}"/>
    <cellStyle name="Input 14 3 3 2 6" xfId="14426" xr:uid="{00000000-0005-0000-0000-000089370000}"/>
    <cellStyle name="Input 14 3 3 2 7" xfId="14427" xr:uid="{00000000-0005-0000-0000-00008A370000}"/>
    <cellStyle name="Input 14 3 3 2 8" xfId="14428" xr:uid="{00000000-0005-0000-0000-00008B370000}"/>
    <cellStyle name="Input 14 3 3 3" xfId="14429" xr:uid="{00000000-0005-0000-0000-00008C370000}"/>
    <cellStyle name="Input 14 3 3 3 2" xfId="14430" xr:uid="{00000000-0005-0000-0000-00008D370000}"/>
    <cellStyle name="Input 14 3 3 3 2 2" xfId="14431" xr:uid="{00000000-0005-0000-0000-00008E370000}"/>
    <cellStyle name="Input 14 3 3 3 2 2 2" xfId="14432" xr:uid="{00000000-0005-0000-0000-00008F370000}"/>
    <cellStyle name="Input 14 3 3 3 2 2 2 2" xfId="14433" xr:uid="{00000000-0005-0000-0000-000090370000}"/>
    <cellStyle name="Input 14 3 3 3 2 2 3" xfId="14434" xr:uid="{00000000-0005-0000-0000-000091370000}"/>
    <cellStyle name="Input 14 3 3 3 2 2 3 2" xfId="14435" xr:uid="{00000000-0005-0000-0000-000092370000}"/>
    <cellStyle name="Input 14 3 3 3 2 2 4" xfId="14436" xr:uid="{00000000-0005-0000-0000-000093370000}"/>
    <cellStyle name="Input 14 3 3 3 2 2 5" xfId="14437" xr:uid="{00000000-0005-0000-0000-000094370000}"/>
    <cellStyle name="Input 14 3 3 3 2 2 6" xfId="14438" xr:uid="{00000000-0005-0000-0000-000095370000}"/>
    <cellStyle name="Input 14 3 3 3 2 3" xfId="14439" xr:uid="{00000000-0005-0000-0000-000096370000}"/>
    <cellStyle name="Input 14 3 3 3 2 3 2" xfId="14440" xr:uid="{00000000-0005-0000-0000-000097370000}"/>
    <cellStyle name="Input 14 3 3 3 2 4" xfId="14441" xr:uid="{00000000-0005-0000-0000-000098370000}"/>
    <cellStyle name="Input 14 3 3 3 2 4 2" xfId="14442" xr:uid="{00000000-0005-0000-0000-000099370000}"/>
    <cellStyle name="Input 14 3 3 3 2 5" xfId="14443" xr:uid="{00000000-0005-0000-0000-00009A370000}"/>
    <cellStyle name="Input 14 3 3 3 2 6" xfId="14444" xr:uid="{00000000-0005-0000-0000-00009B370000}"/>
    <cellStyle name="Input 14 3 3 3 2 7" xfId="14445" xr:uid="{00000000-0005-0000-0000-00009C370000}"/>
    <cellStyle name="Input 14 3 3 3 3" xfId="14446" xr:uid="{00000000-0005-0000-0000-00009D370000}"/>
    <cellStyle name="Input 14 3 3 3 3 2" xfId="14447" xr:uid="{00000000-0005-0000-0000-00009E370000}"/>
    <cellStyle name="Input 14 3 3 3 3 2 2" xfId="14448" xr:uid="{00000000-0005-0000-0000-00009F370000}"/>
    <cellStyle name="Input 14 3 3 3 3 3" xfId="14449" xr:uid="{00000000-0005-0000-0000-0000A0370000}"/>
    <cellStyle name="Input 14 3 3 3 3 3 2" xfId="14450" xr:uid="{00000000-0005-0000-0000-0000A1370000}"/>
    <cellStyle name="Input 14 3 3 3 3 4" xfId="14451" xr:uid="{00000000-0005-0000-0000-0000A2370000}"/>
    <cellStyle name="Input 14 3 3 3 3 5" xfId="14452" xr:uid="{00000000-0005-0000-0000-0000A3370000}"/>
    <cellStyle name="Input 14 3 3 3 3 6" xfId="14453" xr:uid="{00000000-0005-0000-0000-0000A4370000}"/>
    <cellStyle name="Input 14 3 3 3 4" xfId="14454" xr:uid="{00000000-0005-0000-0000-0000A5370000}"/>
    <cellStyle name="Input 14 3 3 3 4 2" xfId="14455" xr:uid="{00000000-0005-0000-0000-0000A6370000}"/>
    <cellStyle name="Input 14 3 3 3 5" xfId="14456" xr:uid="{00000000-0005-0000-0000-0000A7370000}"/>
    <cellStyle name="Input 14 3 3 3 5 2" xfId="14457" xr:uid="{00000000-0005-0000-0000-0000A8370000}"/>
    <cellStyle name="Input 14 3 3 3 6" xfId="14458" xr:uid="{00000000-0005-0000-0000-0000A9370000}"/>
    <cellStyle name="Input 14 3 3 3 7" xfId="14459" xr:uid="{00000000-0005-0000-0000-0000AA370000}"/>
    <cellStyle name="Input 14 3 3 3 8" xfId="14460" xr:uid="{00000000-0005-0000-0000-0000AB370000}"/>
    <cellStyle name="Input 14 3 3 4" xfId="14461" xr:uid="{00000000-0005-0000-0000-0000AC370000}"/>
    <cellStyle name="Input 14 3 3 4 2" xfId="14462" xr:uid="{00000000-0005-0000-0000-0000AD370000}"/>
    <cellStyle name="Input 14 3 3 4 2 2" xfId="14463" xr:uid="{00000000-0005-0000-0000-0000AE370000}"/>
    <cellStyle name="Input 14 3 3 4 2 2 2" xfId="14464" xr:uid="{00000000-0005-0000-0000-0000AF370000}"/>
    <cellStyle name="Input 14 3 3 4 2 3" xfId="14465" xr:uid="{00000000-0005-0000-0000-0000B0370000}"/>
    <cellStyle name="Input 14 3 3 4 2 3 2" xfId="14466" xr:uid="{00000000-0005-0000-0000-0000B1370000}"/>
    <cellStyle name="Input 14 3 3 4 2 4" xfId="14467" xr:uid="{00000000-0005-0000-0000-0000B2370000}"/>
    <cellStyle name="Input 14 3 3 4 2 5" xfId="14468" xr:uid="{00000000-0005-0000-0000-0000B3370000}"/>
    <cellStyle name="Input 14 3 3 4 2 6" xfId="14469" xr:uid="{00000000-0005-0000-0000-0000B4370000}"/>
    <cellStyle name="Input 14 3 3 4 3" xfId="14470" xr:uid="{00000000-0005-0000-0000-0000B5370000}"/>
    <cellStyle name="Input 14 3 3 4 3 2" xfId="14471" xr:uid="{00000000-0005-0000-0000-0000B6370000}"/>
    <cellStyle name="Input 14 3 3 4 4" xfId="14472" xr:uid="{00000000-0005-0000-0000-0000B7370000}"/>
    <cellStyle name="Input 14 3 3 4 4 2" xfId="14473" xr:uid="{00000000-0005-0000-0000-0000B8370000}"/>
    <cellStyle name="Input 14 3 3 4 5" xfId="14474" xr:uid="{00000000-0005-0000-0000-0000B9370000}"/>
    <cellStyle name="Input 14 3 3 4 6" xfId="14475" xr:uid="{00000000-0005-0000-0000-0000BA370000}"/>
    <cellStyle name="Input 14 3 3 4 7" xfId="14476" xr:uid="{00000000-0005-0000-0000-0000BB370000}"/>
    <cellStyle name="Input 14 3 3 5" xfId="14477" xr:uid="{00000000-0005-0000-0000-0000BC370000}"/>
    <cellStyle name="Input 14 3 3 5 2" xfId="14478" xr:uid="{00000000-0005-0000-0000-0000BD370000}"/>
    <cellStyle name="Input 14 3 3 5 2 2" xfId="14479" xr:uid="{00000000-0005-0000-0000-0000BE370000}"/>
    <cellStyle name="Input 14 3 3 5 3" xfId="14480" xr:uid="{00000000-0005-0000-0000-0000BF370000}"/>
    <cellStyle name="Input 14 3 3 5 3 2" xfId="14481" xr:uid="{00000000-0005-0000-0000-0000C0370000}"/>
    <cellStyle name="Input 14 3 3 5 4" xfId="14482" xr:uid="{00000000-0005-0000-0000-0000C1370000}"/>
    <cellStyle name="Input 14 3 3 5 5" xfId="14483" xr:uid="{00000000-0005-0000-0000-0000C2370000}"/>
    <cellStyle name="Input 14 3 3 5 6" xfId="14484" xr:uid="{00000000-0005-0000-0000-0000C3370000}"/>
    <cellStyle name="Input 14 3 3 6" xfId="14485" xr:uid="{00000000-0005-0000-0000-0000C4370000}"/>
    <cellStyle name="Input 14 3 3 6 2" xfId="14486" xr:uid="{00000000-0005-0000-0000-0000C5370000}"/>
    <cellStyle name="Input 14 3 3 7" xfId="14487" xr:uid="{00000000-0005-0000-0000-0000C6370000}"/>
    <cellStyle name="Input 14 3 3 7 2" xfId="14488" xr:uid="{00000000-0005-0000-0000-0000C7370000}"/>
    <cellStyle name="Input 14 3 3 8" xfId="14489" xr:uid="{00000000-0005-0000-0000-0000C8370000}"/>
    <cellStyle name="Input 14 3 3 9" xfId="14490" xr:uid="{00000000-0005-0000-0000-0000C9370000}"/>
    <cellStyle name="Input 14 3 4" xfId="14491" xr:uid="{00000000-0005-0000-0000-0000CA370000}"/>
    <cellStyle name="Input 14 3 4 2" xfId="14492" xr:uid="{00000000-0005-0000-0000-0000CB370000}"/>
    <cellStyle name="Input 14 3 4 2 2" xfId="14493" xr:uid="{00000000-0005-0000-0000-0000CC370000}"/>
    <cellStyle name="Input 14 3 4 2 2 2" xfId="14494" xr:uid="{00000000-0005-0000-0000-0000CD370000}"/>
    <cellStyle name="Input 14 3 4 2 2 2 2" xfId="14495" xr:uid="{00000000-0005-0000-0000-0000CE370000}"/>
    <cellStyle name="Input 14 3 4 2 2 3" xfId="14496" xr:uid="{00000000-0005-0000-0000-0000CF370000}"/>
    <cellStyle name="Input 14 3 4 2 2 3 2" xfId="14497" xr:uid="{00000000-0005-0000-0000-0000D0370000}"/>
    <cellStyle name="Input 14 3 4 2 2 4" xfId="14498" xr:uid="{00000000-0005-0000-0000-0000D1370000}"/>
    <cellStyle name="Input 14 3 4 2 2 5" xfId="14499" xr:uid="{00000000-0005-0000-0000-0000D2370000}"/>
    <cellStyle name="Input 14 3 4 2 2 6" xfId="14500" xr:uid="{00000000-0005-0000-0000-0000D3370000}"/>
    <cellStyle name="Input 14 3 4 2 3" xfId="14501" xr:uid="{00000000-0005-0000-0000-0000D4370000}"/>
    <cellStyle name="Input 14 3 4 2 3 2" xfId="14502" xr:uid="{00000000-0005-0000-0000-0000D5370000}"/>
    <cellStyle name="Input 14 3 4 2 4" xfId="14503" xr:uid="{00000000-0005-0000-0000-0000D6370000}"/>
    <cellStyle name="Input 14 3 4 2 4 2" xfId="14504" xr:uid="{00000000-0005-0000-0000-0000D7370000}"/>
    <cellStyle name="Input 14 3 4 2 5" xfId="14505" xr:uid="{00000000-0005-0000-0000-0000D8370000}"/>
    <cellStyle name="Input 14 3 4 2 6" xfId="14506" xr:uid="{00000000-0005-0000-0000-0000D9370000}"/>
    <cellStyle name="Input 14 3 4 2 7" xfId="14507" xr:uid="{00000000-0005-0000-0000-0000DA370000}"/>
    <cellStyle name="Input 14 3 4 3" xfId="14508" xr:uid="{00000000-0005-0000-0000-0000DB370000}"/>
    <cellStyle name="Input 14 3 4 3 2" xfId="14509" xr:uid="{00000000-0005-0000-0000-0000DC370000}"/>
    <cellStyle name="Input 14 3 4 3 2 2" xfId="14510" xr:uid="{00000000-0005-0000-0000-0000DD370000}"/>
    <cellStyle name="Input 14 3 4 3 3" xfId="14511" xr:uid="{00000000-0005-0000-0000-0000DE370000}"/>
    <cellStyle name="Input 14 3 4 3 3 2" xfId="14512" xr:uid="{00000000-0005-0000-0000-0000DF370000}"/>
    <cellStyle name="Input 14 3 4 3 4" xfId="14513" xr:uid="{00000000-0005-0000-0000-0000E0370000}"/>
    <cellStyle name="Input 14 3 4 3 5" xfId="14514" xr:uid="{00000000-0005-0000-0000-0000E1370000}"/>
    <cellStyle name="Input 14 3 4 3 6" xfId="14515" xr:uid="{00000000-0005-0000-0000-0000E2370000}"/>
    <cellStyle name="Input 14 3 4 4" xfId="14516" xr:uid="{00000000-0005-0000-0000-0000E3370000}"/>
    <cellStyle name="Input 14 3 4 4 2" xfId="14517" xr:uid="{00000000-0005-0000-0000-0000E4370000}"/>
    <cellStyle name="Input 14 3 4 5" xfId="14518" xr:uid="{00000000-0005-0000-0000-0000E5370000}"/>
    <cellStyle name="Input 14 3 4 5 2" xfId="14519" xr:uid="{00000000-0005-0000-0000-0000E6370000}"/>
    <cellStyle name="Input 14 3 4 6" xfId="14520" xr:uid="{00000000-0005-0000-0000-0000E7370000}"/>
    <cellStyle name="Input 14 3 4 7" xfId="14521" xr:uid="{00000000-0005-0000-0000-0000E8370000}"/>
    <cellStyle name="Input 14 3 4 8" xfId="14522" xr:uid="{00000000-0005-0000-0000-0000E9370000}"/>
    <cellStyle name="Input 14 3 5" xfId="14523" xr:uid="{00000000-0005-0000-0000-0000EA370000}"/>
    <cellStyle name="Input 14 3 5 2" xfId="14524" xr:uid="{00000000-0005-0000-0000-0000EB370000}"/>
    <cellStyle name="Input 14 3 5 2 2" xfId="14525" xr:uid="{00000000-0005-0000-0000-0000EC370000}"/>
    <cellStyle name="Input 14 3 5 2 2 2" xfId="14526" xr:uid="{00000000-0005-0000-0000-0000ED370000}"/>
    <cellStyle name="Input 14 3 5 2 3" xfId="14527" xr:uid="{00000000-0005-0000-0000-0000EE370000}"/>
    <cellStyle name="Input 14 3 5 2 3 2" xfId="14528" xr:uid="{00000000-0005-0000-0000-0000EF370000}"/>
    <cellStyle name="Input 14 3 5 2 4" xfId="14529" xr:uid="{00000000-0005-0000-0000-0000F0370000}"/>
    <cellStyle name="Input 14 3 5 2 5" xfId="14530" xr:uid="{00000000-0005-0000-0000-0000F1370000}"/>
    <cellStyle name="Input 14 3 5 2 6" xfId="14531" xr:uid="{00000000-0005-0000-0000-0000F2370000}"/>
    <cellStyle name="Input 14 3 5 3" xfId="14532" xr:uid="{00000000-0005-0000-0000-0000F3370000}"/>
    <cellStyle name="Input 14 3 5 3 2" xfId="14533" xr:uid="{00000000-0005-0000-0000-0000F4370000}"/>
    <cellStyle name="Input 14 3 5 4" xfId="14534" xr:uid="{00000000-0005-0000-0000-0000F5370000}"/>
    <cellStyle name="Input 14 3 5 4 2" xfId="14535" xr:uid="{00000000-0005-0000-0000-0000F6370000}"/>
    <cellStyle name="Input 14 3 5 5" xfId="14536" xr:uid="{00000000-0005-0000-0000-0000F7370000}"/>
    <cellStyle name="Input 14 3 5 6" xfId="14537" xr:uid="{00000000-0005-0000-0000-0000F8370000}"/>
    <cellStyle name="Input 14 3 5 7" xfId="14538" xr:uid="{00000000-0005-0000-0000-0000F9370000}"/>
    <cellStyle name="Input 14 3 6" xfId="14539" xr:uid="{00000000-0005-0000-0000-0000FA370000}"/>
    <cellStyle name="Input 14 3 6 2" xfId="14540" xr:uid="{00000000-0005-0000-0000-0000FB370000}"/>
    <cellStyle name="Input 14 3 6 2 2" xfId="14541" xr:uid="{00000000-0005-0000-0000-0000FC370000}"/>
    <cellStyle name="Input 14 3 6 3" xfId="14542" xr:uid="{00000000-0005-0000-0000-0000FD370000}"/>
    <cellStyle name="Input 14 3 6 3 2" xfId="14543" xr:uid="{00000000-0005-0000-0000-0000FE370000}"/>
    <cellStyle name="Input 14 3 6 4" xfId="14544" xr:uid="{00000000-0005-0000-0000-0000FF370000}"/>
    <cellStyle name="Input 14 3 6 5" xfId="14545" xr:uid="{00000000-0005-0000-0000-000000380000}"/>
    <cellStyle name="Input 14 3 6 6" xfId="14546" xr:uid="{00000000-0005-0000-0000-000001380000}"/>
    <cellStyle name="Input 14 3 7" xfId="14547" xr:uid="{00000000-0005-0000-0000-000002380000}"/>
    <cellStyle name="Input 14 3 7 2" xfId="14548" xr:uid="{00000000-0005-0000-0000-000003380000}"/>
    <cellStyle name="Input 14 3 8" xfId="14549" xr:uid="{00000000-0005-0000-0000-000004380000}"/>
    <cellStyle name="Input 14 3 8 2" xfId="14550" xr:uid="{00000000-0005-0000-0000-000005380000}"/>
    <cellStyle name="Input 14 3 9" xfId="14551" xr:uid="{00000000-0005-0000-0000-000006380000}"/>
    <cellStyle name="Input 14 4" xfId="14552" xr:uid="{00000000-0005-0000-0000-000007380000}"/>
    <cellStyle name="Input 14 4 10" xfId="14553" xr:uid="{00000000-0005-0000-0000-000008380000}"/>
    <cellStyle name="Input 14 4 11" xfId="14554" xr:uid="{00000000-0005-0000-0000-000009380000}"/>
    <cellStyle name="Input 14 4 2" xfId="14555" xr:uid="{00000000-0005-0000-0000-00000A380000}"/>
    <cellStyle name="Input 14 4 2 10" xfId="14556" xr:uid="{00000000-0005-0000-0000-00000B380000}"/>
    <cellStyle name="Input 14 4 2 2" xfId="14557" xr:uid="{00000000-0005-0000-0000-00000C380000}"/>
    <cellStyle name="Input 14 4 2 2 2" xfId="14558" xr:uid="{00000000-0005-0000-0000-00000D380000}"/>
    <cellStyle name="Input 14 4 2 2 2 2" xfId="14559" xr:uid="{00000000-0005-0000-0000-00000E380000}"/>
    <cellStyle name="Input 14 4 2 2 2 2 2" xfId="14560" xr:uid="{00000000-0005-0000-0000-00000F380000}"/>
    <cellStyle name="Input 14 4 2 2 2 2 2 2" xfId="14561" xr:uid="{00000000-0005-0000-0000-000010380000}"/>
    <cellStyle name="Input 14 4 2 2 2 2 3" xfId="14562" xr:uid="{00000000-0005-0000-0000-000011380000}"/>
    <cellStyle name="Input 14 4 2 2 2 2 3 2" xfId="14563" xr:uid="{00000000-0005-0000-0000-000012380000}"/>
    <cellStyle name="Input 14 4 2 2 2 2 4" xfId="14564" xr:uid="{00000000-0005-0000-0000-000013380000}"/>
    <cellStyle name="Input 14 4 2 2 2 2 5" xfId="14565" xr:uid="{00000000-0005-0000-0000-000014380000}"/>
    <cellStyle name="Input 14 4 2 2 2 2 6" xfId="14566" xr:uid="{00000000-0005-0000-0000-000015380000}"/>
    <cellStyle name="Input 14 4 2 2 2 3" xfId="14567" xr:uid="{00000000-0005-0000-0000-000016380000}"/>
    <cellStyle name="Input 14 4 2 2 2 3 2" xfId="14568" xr:uid="{00000000-0005-0000-0000-000017380000}"/>
    <cellStyle name="Input 14 4 2 2 2 4" xfId="14569" xr:uid="{00000000-0005-0000-0000-000018380000}"/>
    <cellStyle name="Input 14 4 2 2 2 4 2" xfId="14570" xr:uid="{00000000-0005-0000-0000-000019380000}"/>
    <cellStyle name="Input 14 4 2 2 2 5" xfId="14571" xr:uid="{00000000-0005-0000-0000-00001A380000}"/>
    <cellStyle name="Input 14 4 2 2 2 6" xfId="14572" xr:uid="{00000000-0005-0000-0000-00001B380000}"/>
    <cellStyle name="Input 14 4 2 2 2 7" xfId="14573" xr:uid="{00000000-0005-0000-0000-00001C380000}"/>
    <cellStyle name="Input 14 4 2 2 3" xfId="14574" xr:uid="{00000000-0005-0000-0000-00001D380000}"/>
    <cellStyle name="Input 14 4 2 2 3 2" xfId="14575" xr:uid="{00000000-0005-0000-0000-00001E380000}"/>
    <cellStyle name="Input 14 4 2 2 3 2 2" xfId="14576" xr:uid="{00000000-0005-0000-0000-00001F380000}"/>
    <cellStyle name="Input 14 4 2 2 3 3" xfId="14577" xr:uid="{00000000-0005-0000-0000-000020380000}"/>
    <cellStyle name="Input 14 4 2 2 3 3 2" xfId="14578" xr:uid="{00000000-0005-0000-0000-000021380000}"/>
    <cellStyle name="Input 14 4 2 2 3 4" xfId="14579" xr:uid="{00000000-0005-0000-0000-000022380000}"/>
    <cellStyle name="Input 14 4 2 2 3 5" xfId="14580" xr:uid="{00000000-0005-0000-0000-000023380000}"/>
    <cellStyle name="Input 14 4 2 2 3 6" xfId="14581" xr:uid="{00000000-0005-0000-0000-000024380000}"/>
    <cellStyle name="Input 14 4 2 2 4" xfId="14582" xr:uid="{00000000-0005-0000-0000-000025380000}"/>
    <cellStyle name="Input 14 4 2 2 4 2" xfId="14583" xr:uid="{00000000-0005-0000-0000-000026380000}"/>
    <cellStyle name="Input 14 4 2 2 5" xfId="14584" xr:uid="{00000000-0005-0000-0000-000027380000}"/>
    <cellStyle name="Input 14 4 2 2 5 2" xfId="14585" xr:uid="{00000000-0005-0000-0000-000028380000}"/>
    <cellStyle name="Input 14 4 2 2 6" xfId="14586" xr:uid="{00000000-0005-0000-0000-000029380000}"/>
    <cellStyle name="Input 14 4 2 2 7" xfId="14587" xr:uid="{00000000-0005-0000-0000-00002A380000}"/>
    <cellStyle name="Input 14 4 2 2 8" xfId="14588" xr:uid="{00000000-0005-0000-0000-00002B380000}"/>
    <cellStyle name="Input 14 4 2 3" xfId="14589" xr:uid="{00000000-0005-0000-0000-00002C380000}"/>
    <cellStyle name="Input 14 4 2 3 2" xfId="14590" xr:uid="{00000000-0005-0000-0000-00002D380000}"/>
    <cellStyle name="Input 14 4 2 3 2 2" xfId="14591" xr:uid="{00000000-0005-0000-0000-00002E380000}"/>
    <cellStyle name="Input 14 4 2 3 2 2 2" xfId="14592" xr:uid="{00000000-0005-0000-0000-00002F380000}"/>
    <cellStyle name="Input 14 4 2 3 2 2 2 2" xfId="14593" xr:uid="{00000000-0005-0000-0000-000030380000}"/>
    <cellStyle name="Input 14 4 2 3 2 2 3" xfId="14594" xr:uid="{00000000-0005-0000-0000-000031380000}"/>
    <cellStyle name="Input 14 4 2 3 2 2 3 2" xfId="14595" xr:uid="{00000000-0005-0000-0000-000032380000}"/>
    <cellStyle name="Input 14 4 2 3 2 2 4" xfId="14596" xr:uid="{00000000-0005-0000-0000-000033380000}"/>
    <cellStyle name="Input 14 4 2 3 2 2 5" xfId="14597" xr:uid="{00000000-0005-0000-0000-000034380000}"/>
    <cellStyle name="Input 14 4 2 3 2 2 6" xfId="14598" xr:uid="{00000000-0005-0000-0000-000035380000}"/>
    <cellStyle name="Input 14 4 2 3 2 3" xfId="14599" xr:uid="{00000000-0005-0000-0000-000036380000}"/>
    <cellStyle name="Input 14 4 2 3 2 3 2" xfId="14600" xr:uid="{00000000-0005-0000-0000-000037380000}"/>
    <cellStyle name="Input 14 4 2 3 2 4" xfId="14601" xr:uid="{00000000-0005-0000-0000-000038380000}"/>
    <cellStyle name="Input 14 4 2 3 2 4 2" xfId="14602" xr:uid="{00000000-0005-0000-0000-000039380000}"/>
    <cellStyle name="Input 14 4 2 3 2 5" xfId="14603" xr:uid="{00000000-0005-0000-0000-00003A380000}"/>
    <cellStyle name="Input 14 4 2 3 2 6" xfId="14604" xr:uid="{00000000-0005-0000-0000-00003B380000}"/>
    <cellStyle name="Input 14 4 2 3 2 7" xfId="14605" xr:uid="{00000000-0005-0000-0000-00003C380000}"/>
    <cellStyle name="Input 14 4 2 3 3" xfId="14606" xr:uid="{00000000-0005-0000-0000-00003D380000}"/>
    <cellStyle name="Input 14 4 2 3 3 2" xfId="14607" xr:uid="{00000000-0005-0000-0000-00003E380000}"/>
    <cellStyle name="Input 14 4 2 3 3 2 2" xfId="14608" xr:uid="{00000000-0005-0000-0000-00003F380000}"/>
    <cellStyle name="Input 14 4 2 3 3 3" xfId="14609" xr:uid="{00000000-0005-0000-0000-000040380000}"/>
    <cellStyle name="Input 14 4 2 3 3 3 2" xfId="14610" xr:uid="{00000000-0005-0000-0000-000041380000}"/>
    <cellStyle name="Input 14 4 2 3 3 4" xfId="14611" xr:uid="{00000000-0005-0000-0000-000042380000}"/>
    <cellStyle name="Input 14 4 2 3 3 5" xfId="14612" xr:uid="{00000000-0005-0000-0000-000043380000}"/>
    <cellStyle name="Input 14 4 2 3 3 6" xfId="14613" xr:uid="{00000000-0005-0000-0000-000044380000}"/>
    <cellStyle name="Input 14 4 2 3 4" xfId="14614" xr:uid="{00000000-0005-0000-0000-000045380000}"/>
    <cellStyle name="Input 14 4 2 3 4 2" xfId="14615" xr:uid="{00000000-0005-0000-0000-000046380000}"/>
    <cellStyle name="Input 14 4 2 3 5" xfId="14616" xr:uid="{00000000-0005-0000-0000-000047380000}"/>
    <cellStyle name="Input 14 4 2 3 5 2" xfId="14617" xr:uid="{00000000-0005-0000-0000-000048380000}"/>
    <cellStyle name="Input 14 4 2 3 6" xfId="14618" xr:uid="{00000000-0005-0000-0000-000049380000}"/>
    <cellStyle name="Input 14 4 2 3 7" xfId="14619" xr:uid="{00000000-0005-0000-0000-00004A380000}"/>
    <cellStyle name="Input 14 4 2 3 8" xfId="14620" xr:uid="{00000000-0005-0000-0000-00004B380000}"/>
    <cellStyle name="Input 14 4 2 4" xfId="14621" xr:uid="{00000000-0005-0000-0000-00004C380000}"/>
    <cellStyle name="Input 14 4 2 4 2" xfId="14622" xr:uid="{00000000-0005-0000-0000-00004D380000}"/>
    <cellStyle name="Input 14 4 2 4 2 2" xfId="14623" xr:uid="{00000000-0005-0000-0000-00004E380000}"/>
    <cellStyle name="Input 14 4 2 4 2 2 2" xfId="14624" xr:uid="{00000000-0005-0000-0000-00004F380000}"/>
    <cellStyle name="Input 14 4 2 4 2 3" xfId="14625" xr:uid="{00000000-0005-0000-0000-000050380000}"/>
    <cellStyle name="Input 14 4 2 4 2 3 2" xfId="14626" xr:uid="{00000000-0005-0000-0000-000051380000}"/>
    <cellStyle name="Input 14 4 2 4 2 4" xfId="14627" xr:uid="{00000000-0005-0000-0000-000052380000}"/>
    <cellStyle name="Input 14 4 2 4 2 5" xfId="14628" xr:uid="{00000000-0005-0000-0000-000053380000}"/>
    <cellStyle name="Input 14 4 2 4 2 6" xfId="14629" xr:uid="{00000000-0005-0000-0000-000054380000}"/>
    <cellStyle name="Input 14 4 2 4 3" xfId="14630" xr:uid="{00000000-0005-0000-0000-000055380000}"/>
    <cellStyle name="Input 14 4 2 4 3 2" xfId="14631" xr:uid="{00000000-0005-0000-0000-000056380000}"/>
    <cellStyle name="Input 14 4 2 4 4" xfId="14632" xr:uid="{00000000-0005-0000-0000-000057380000}"/>
    <cellStyle name="Input 14 4 2 4 4 2" xfId="14633" xr:uid="{00000000-0005-0000-0000-000058380000}"/>
    <cellStyle name="Input 14 4 2 4 5" xfId="14634" xr:uid="{00000000-0005-0000-0000-000059380000}"/>
    <cellStyle name="Input 14 4 2 4 6" xfId="14635" xr:uid="{00000000-0005-0000-0000-00005A380000}"/>
    <cellStyle name="Input 14 4 2 4 7" xfId="14636" xr:uid="{00000000-0005-0000-0000-00005B380000}"/>
    <cellStyle name="Input 14 4 2 5" xfId="14637" xr:uid="{00000000-0005-0000-0000-00005C380000}"/>
    <cellStyle name="Input 14 4 2 5 2" xfId="14638" xr:uid="{00000000-0005-0000-0000-00005D380000}"/>
    <cellStyle name="Input 14 4 2 5 2 2" xfId="14639" xr:uid="{00000000-0005-0000-0000-00005E380000}"/>
    <cellStyle name="Input 14 4 2 5 3" xfId="14640" xr:uid="{00000000-0005-0000-0000-00005F380000}"/>
    <cellStyle name="Input 14 4 2 5 3 2" xfId="14641" xr:uid="{00000000-0005-0000-0000-000060380000}"/>
    <cellStyle name="Input 14 4 2 5 4" xfId="14642" xr:uid="{00000000-0005-0000-0000-000061380000}"/>
    <cellStyle name="Input 14 4 2 5 5" xfId="14643" xr:uid="{00000000-0005-0000-0000-000062380000}"/>
    <cellStyle name="Input 14 4 2 5 6" xfId="14644" xr:uid="{00000000-0005-0000-0000-000063380000}"/>
    <cellStyle name="Input 14 4 2 6" xfId="14645" xr:uid="{00000000-0005-0000-0000-000064380000}"/>
    <cellStyle name="Input 14 4 2 6 2" xfId="14646" xr:uid="{00000000-0005-0000-0000-000065380000}"/>
    <cellStyle name="Input 14 4 2 7" xfId="14647" xr:uid="{00000000-0005-0000-0000-000066380000}"/>
    <cellStyle name="Input 14 4 2 7 2" xfId="14648" xr:uid="{00000000-0005-0000-0000-000067380000}"/>
    <cellStyle name="Input 14 4 2 8" xfId="14649" xr:uid="{00000000-0005-0000-0000-000068380000}"/>
    <cellStyle name="Input 14 4 2 9" xfId="14650" xr:uid="{00000000-0005-0000-0000-000069380000}"/>
    <cellStyle name="Input 14 4 3" xfId="14651" xr:uid="{00000000-0005-0000-0000-00006A380000}"/>
    <cellStyle name="Input 14 4 3 2" xfId="14652" xr:uid="{00000000-0005-0000-0000-00006B380000}"/>
    <cellStyle name="Input 14 4 3 2 2" xfId="14653" xr:uid="{00000000-0005-0000-0000-00006C380000}"/>
    <cellStyle name="Input 14 4 3 2 2 2" xfId="14654" xr:uid="{00000000-0005-0000-0000-00006D380000}"/>
    <cellStyle name="Input 14 4 3 2 2 2 2" xfId="14655" xr:uid="{00000000-0005-0000-0000-00006E380000}"/>
    <cellStyle name="Input 14 4 3 2 2 3" xfId="14656" xr:uid="{00000000-0005-0000-0000-00006F380000}"/>
    <cellStyle name="Input 14 4 3 2 2 3 2" xfId="14657" xr:uid="{00000000-0005-0000-0000-000070380000}"/>
    <cellStyle name="Input 14 4 3 2 2 4" xfId="14658" xr:uid="{00000000-0005-0000-0000-000071380000}"/>
    <cellStyle name="Input 14 4 3 2 2 5" xfId="14659" xr:uid="{00000000-0005-0000-0000-000072380000}"/>
    <cellStyle name="Input 14 4 3 2 2 6" xfId="14660" xr:uid="{00000000-0005-0000-0000-000073380000}"/>
    <cellStyle name="Input 14 4 3 2 3" xfId="14661" xr:uid="{00000000-0005-0000-0000-000074380000}"/>
    <cellStyle name="Input 14 4 3 2 3 2" xfId="14662" xr:uid="{00000000-0005-0000-0000-000075380000}"/>
    <cellStyle name="Input 14 4 3 2 4" xfId="14663" xr:uid="{00000000-0005-0000-0000-000076380000}"/>
    <cellStyle name="Input 14 4 3 2 4 2" xfId="14664" xr:uid="{00000000-0005-0000-0000-000077380000}"/>
    <cellStyle name="Input 14 4 3 2 5" xfId="14665" xr:uid="{00000000-0005-0000-0000-000078380000}"/>
    <cellStyle name="Input 14 4 3 2 6" xfId="14666" xr:uid="{00000000-0005-0000-0000-000079380000}"/>
    <cellStyle name="Input 14 4 3 2 7" xfId="14667" xr:uid="{00000000-0005-0000-0000-00007A380000}"/>
    <cellStyle name="Input 14 4 3 3" xfId="14668" xr:uid="{00000000-0005-0000-0000-00007B380000}"/>
    <cellStyle name="Input 14 4 3 3 2" xfId="14669" xr:uid="{00000000-0005-0000-0000-00007C380000}"/>
    <cellStyle name="Input 14 4 3 3 2 2" xfId="14670" xr:uid="{00000000-0005-0000-0000-00007D380000}"/>
    <cellStyle name="Input 14 4 3 3 3" xfId="14671" xr:uid="{00000000-0005-0000-0000-00007E380000}"/>
    <cellStyle name="Input 14 4 3 3 3 2" xfId="14672" xr:uid="{00000000-0005-0000-0000-00007F380000}"/>
    <cellStyle name="Input 14 4 3 3 4" xfId="14673" xr:uid="{00000000-0005-0000-0000-000080380000}"/>
    <cellStyle name="Input 14 4 3 3 5" xfId="14674" xr:uid="{00000000-0005-0000-0000-000081380000}"/>
    <cellStyle name="Input 14 4 3 3 6" xfId="14675" xr:uid="{00000000-0005-0000-0000-000082380000}"/>
    <cellStyle name="Input 14 4 3 4" xfId="14676" xr:uid="{00000000-0005-0000-0000-000083380000}"/>
    <cellStyle name="Input 14 4 3 4 2" xfId="14677" xr:uid="{00000000-0005-0000-0000-000084380000}"/>
    <cellStyle name="Input 14 4 3 5" xfId="14678" xr:uid="{00000000-0005-0000-0000-000085380000}"/>
    <cellStyle name="Input 14 4 3 5 2" xfId="14679" xr:uid="{00000000-0005-0000-0000-000086380000}"/>
    <cellStyle name="Input 14 4 3 6" xfId="14680" xr:uid="{00000000-0005-0000-0000-000087380000}"/>
    <cellStyle name="Input 14 4 3 7" xfId="14681" xr:uid="{00000000-0005-0000-0000-000088380000}"/>
    <cellStyle name="Input 14 4 3 8" xfId="14682" xr:uid="{00000000-0005-0000-0000-000089380000}"/>
    <cellStyle name="Input 14 4 4" xfId="14683" xr:uid="{00000000-0005-0000-0000-00008A380000}"/>
    <cellStyle name="Input 14 4 4 2" xfId="14684" xr:uid="{00000000-0005-0000-0000-00008B380000}"/>
    <cellStyle name="Input 14 4 4 2 2" xfId="14685" xr:uid="{00000000-0005-0000-0000-00008C380000}"/>
    <cellStyle name="Input 14 4 4 2 2 2" xfId="14686" xr:uid="{00000000-0005-0000-0000-00008D380000}"/>
    <cellStyle name="Input 14 4 4 2 2 2 2" xfId="14687" xr:uid="{00000000-0005-0000-0000-00008E380000}"/>
    <cellStyle name="Input 14 4 4 2 2 3" xfId="14688" xr:uid="{00000000-0005-0000-0000-00008F380000}"/>
    <cellStyle name="Input 14 4 4 2 2 3 2" xfId="14689" xr:uid="{00000000-0005-0000-0000-000090380000}"/>
    <cellStyle name="Input 14 4 4 2 2 4" xfId="14690" xr:uid="{00000000-0005-0000-0000-000091380000}"/>
    <cellStyle name="Input 14 4 4 2 2 5" xfId="14691" xr:uid="{00000000-0005-0000-0000-000092380000}"/>
    <cellStyle name="Input 14 4 4 2 2 6" xfId="14692" xr:uid="{00000000-0005-0000-0000-000093380000}"/>
    <cellStyle name="Input 14 4 4 2 3" xfId="14693" xr:uid="{00000000-0005-0000-0000-000094380000}"/>
    <cellStyle name="Input 14 4 4 2 3 2" xfId="14694" xr:uid="{00000000-0005-0000-0000-000095380000}"/>
    <cellStyle name="Input 14 4 4 2 4" xfId="14695" xr:uid="{00000000-0005-0000-0000-000096380000}"/>
    <cellStyle name="Input 14 4 4 2 4 2" xfId="14696" xr:uid="{00000000-0005-0000-0000-000097380000}"/>
    <cellStyle name="Input 14 4 4 2 5" xfId="14697" xr:uid="{00000000-0005-0000-0000-000098380000}"/>
    <cellStyle name="Input 14 4 4 2 6" xfId="14698" xr:uid="{00000000-0005-0000-0000-000099380000}"/>
    <cellStyle name="Input 14 4 4 2 7" xfId="14699" xr:uid="{00000000-0005-0000-0000-00009A380000}"/>
    <cellStyle name="Input 14 4 4 3" xfId="14700" xr:uid="{00000000-0005-0000-0000-00009B380000}"/>
    <cellStyle name="Input 14 4 4 3 2" xfId="14701" xr:uid="{00000000-0005-0000-0000-00009C380000}"/>
    <cellStyle name="Input 14 4 4 3 2 2" xfId="14702" xr:uid="{00000000-0005-0000-0000-00009D380000}"/>
    <cellStyle name="Input 14 4 4 3 3" xfId="14703" xr:uid="{00000000-0005-0000-0000-00009E380000}"/>
    <cellStyle name="Input 14 4 4 3 3 2" xfId="14704" xr:uid="{00000000-0005-0000-0000-00009F380000}"/>
    <cellStyle name="Input 14 4 4 3 4" xfId="14705" xr:uid="{00000000-0005-0000-0000-0000A0380000}"/>
    <cellStyle name="Input 14 4 4 3 5" xfId="14706" xr:uid="{00000000-0005-0000-0000-0000A1380000}"/>
    <cellStyle name="Input 14 4 4 3 6" xfId="14707" xr:uid="{00000000-0005-0000-0000-0000A2380000}"/>
    <cellStyle name="Input 14 4 4 4" xfId="14708" xr:uid="{00000000-0005-0000-0000-0000A3380000}"/>
    <cellStyle name="Input 14 4 4 4 2" xfId="14709" xr:uid="{00000000-0005-0000-0000-0000A4380000}"/>
    <cellStyle name="Input 14 4 4 5" xfId="14710" xr:uid="{00000000-0005-0000-0000-0000A5380000}"/>
    <cellStyle name="Input 14 4 4 5 2" xfId="14711" xr:uid="{00000000-0005-0000-0000-0000A6380000}"/>
    <cellStyle name="Input 14 4 4 6" xfId="14712" xr:uid="{00000000-0005-0000-0000-0000A7380000}"/>
    <cellStyle name="Input 14 4 4 7" xfId="14713" xr:uid="{00000000-0005-0000-0000-0000A8380000}"/>
    <cellStyle name="Input 14 4 4 8" xfId="14714" xr:uid="{00000000-0005-0000-0000-0000A9380000}"/>
    <cellStyle name="Input 14 4 5" xfId="14715" xr:uid="{00000000-0005-0000-0000-0000AA380000}"/>
    <cellStyle name="Input 14 4 5 2" xfId="14716" xr:uid="{00000000-0005-0000-0000-0000AB380000}"/>
    <cellStyle name="Input 14 4 5 2 2" xfId="14717" xr:uid="{00000000-0005-0000-0000-0000AC380000}"/>
    <cellStyle name="Input 14 4 5 2 2 2" xfId="14718" xr:uid="{00000000-0005-0000-0000-0000AD380000}"/>
    <cellStyle name="Input 14 4 5 2 3" xfId="14719" xr:uid="{00000000-0005-0000-0000-0000AE380000}"/>
    <cellStyle name="Input 14 4 5 2 3 2" xfId="14720" xr:uid="{00000000-0005-0000-0000-0000AF380000}"/>
    <cellStyle name="Input 14 4 5 2 4" xfId="14721" xr:uid="{00000000-0005-0000-0000-0000B0380000}"/>
    <cellStyle name="Input 14 4 5 2 5" xfId="14722" xr:uid="{00000000-0005-0000-0000-0000B1380000}"/>
    <cellStyle name="Input 14 4 5 2 6" xfId="14723" xr:uid="{00000000-0005-0000-0000-0000B2380000}"/>
    <cellStyle name="Input 14 4 5 3" xfId="14724" xr:uid="{00000000-0005-0000-0000-0000B3380000}"/>
    <cellStyle name="Input 14 4 5 3 2" xfId="14725" xr:uid="{00000000-0005-0000-0000-0000B4380000}"/>
    <cellStyle name="Input 14 4 5 4" xfId="14726" xr:uid="{00000000-0005-0000-0000-0000B5380000}"/>
    <cellStyle name="Input 14 4 5 4 2" xfId="14727" xr:uid="{00000000-0005-0000-0000-0000B6380000}"/>
    <cellStyle name="Input 14 4 5 5" xfId="14728" xr:uid="{00000000-0005-0000-0000-0000B7380000}"/>
    <cellStyle name="Input 14 4 5 6" xfId="14729" xr:uid="{00000000-0005-0000-0000-0000B8380000}"/>
    <cellStyle name="Input 14 4 5 7" xfId="14730" xr:uid="{00000000-0005-0000-0000-0000B9380000}"/>
    <cellStyle name="Input 14 4 6" xfId="14731" xr:uid="{00000000-0005-0000-0000-0000BA380000}"/>
    <cellStyle name="Input 14 4 6 2" xfId="14732" xr:uid="{00000000-0005-0000-0000-0000BB380000}"/>
    <cellStyle name="Input 14 4 6 2 2" xfId="14733" xr:uid="{00000000-0005-0000-0000-0000BC380000}"/>
    <cellStyle name="Input 14 4 6 3" xfId="14734" xr:uid="{00000000-0005-0000-0000-0000BD380000}"/>
    <cellStyle name="Input 14 4 6 3 2" xfId="14735" xr:uid="{00000000-0005-0000-0000-0000BE380000}"/>
    <cellStyle name="Input 14 4 6 4" xfId="14736" xr:uid="{00000000-0005-0000-0000-0000BF380000}"/>
    <cellStyle name="Input 14 4 6 5" xfId="14737" xr:uid="{00000000-0005-0000-0000-0000C0380000}"/>
    <cellStyle name="Input 14 4 6 6" xfId="14738" xr:uid="{00000000-0005-0000-0000-0000C1380000}"/>
    <cellStyle name="Input 14 4 7" xfId="14739" xr:uid="{00000000-0005-0000-0000-0000C2380000}"/>
    <cellStyle name="Input 14 4 7 2" xfId="14740" xr:uid="{00000000-0005-0000-0000-0000C3380000}"/>
    <cellStyle name="Input 14 4 8" xfId="14741" xr:uid="{00000000-0005-0000-0000-0000C4380000}"/>
    <cellStyle name="Input 14 4 8 2" xfId="14742" xr:uid="{00000000-0005-0000-0000-0000C5380000}"/>
    <cellStyle name="Input 14 4 9" xfId="14743" xr:uid="{00000000-0005-0000-0000-0000C6380000}"/>
    <cellStyle name="Input 14 5" xfId="14744" xr:uid="{00000000-0005-0000-0000-0000C7380000}"/>
    <cellStyle name="Input 14 5 10" xfId="14745" xr:uid="{00000000-0005-0000-0000-0000C8380000}"/>
    <cellStyle name="Input 14 5 2" xfId="14746" xr:uid="{00000000-0005-0000-0000-0000C9380000}"/>
    <cellStyle name="Input 14 5 2 2" xfId="14747" xr:uid="{00000000-0005-0000-0000-0000CA380000}"/>
    <cellStyle name="Input 14 5 2 2 2" xfId="14748" xr:uid="{00000000-0005-0000-0000-0000CB380000}"/>
    <cellStyle name="Input 14 5 2 2 2 2" xfId="14749" xr:uid="{00000000-0005-0000-0000-0000CC380000}"/>
    <cellStyle name="Input 14 5 2 2 2 2 2" xfId="14750" xr:uid="{00000000-0005-0000-0000-0000CD380000}"/>
    <cellStyle name="Input 14 5 2 2 2 3" xfId="14751" xr:uid="{00000000-0005-0000-0000-0000CE380000}"/>
    <cellStyle name="Input 14 5 2 2 2 3 2" xfId="14752" xr:uid="{00000000-0005-0000-0000-0000CF380000}"/>
    <cellStyle name="Input 14 5 2 2 2 4" xfId="14753" xr:uid="{00000000-0005-0000-0000-0000D0380000}"/>
    <cellStyle name="Input 14 5 2 2 2 5" xfId="14754" xr:uid="{00000000-0005-0000-0000-0000D1380000}"/>
    <cellStyle name="Input 14 5 2 2 2 6" xfId="14755" xr:uid="{00000000-0005-0000-0000-0000D2380000}"/>
    <cellStyle name="Input 14 5 2 2 3" xfId="14756" xr:uid="{00000000-0005-0000-0000-0000D3380000}"/>
    <cellStyle name="Input 14 5 2 2 3 2" xfId="14757" xr:uid="{00000000-0005-0000-0000-0000D4380000}"/>
    <cellStyle name="Input 14 5 2 2 4" xfId="14758" xr:uid="{00000000-0005-0000-0000-0000D5380000}"/>
    <cellStyle name="Input 14 5 2 2 4 2" xfId="14759" xr:uid="{00000000-0005-0000-0000-0000D6380000}"/>
    <cellStyle name="Input 14 5 2 2 5" xfId="14760" xr:uid="{00000000-0005-0000-0000-0000D7380000}"/>
    <cellStyle name="Input 14 5 2 2 6" xfId="14761" xr:uid="{00000000-0005-0000-0000-0000D8380000}"/>
    <cellStyle name="Input 14 5 2 2 7" xfId="14762" xr:uid="{00000000-0005-0000-0000-0000D9380000}"/>
    <cellStyle name="Input 14 5 2 3" xfId="14763" xr:uid="{00000000-0005-0000-0000-0000DA380000}"/>
    <cellStyle name="Input 14 5 2 3 2" xfId="14764" xr:uid="{00000000-0005-0000-0000-0000DB380000}"/>
    <cellStyle name="Input 14 5 2 3 2 2" xfId="14765" xr:uid="{00000000-0005-0000-0000-0000DC380000}"/>
    <cellStyle name="Input 14 5 2 3 3" xfId="14766" xr:uid="{00000000-0005-0000-0000-0000DD380000}"/>
    <cellStyle name="Input 14 5 2 3 3 2" xfId="14767" xr:uid="{00000000-0005-0000-0000-0000DE380000}"/>
    <cellStyle name="Input 14 5 2 3 4" xfId="14768" xr:uid="{00000000-0005-0000-0000-0000DF380000}"/>
    <cellStyle name="Input 14 5 2 3 5" xfId="14769" xr:uid="{00000000-0005-0000-0000-0000E0380000}"/>
    <cellStyle name="Input 14 5 2 3 6" xfId="14770" xr:uid="{00000000-0005-0000-0000-0000E1380000}"/>
    <cellStyle name="Input 14 5 2 4" xfId="14771" xr:uid="{00000000-0005-0000-0000-0000E2380000}"/>
    <cellStyle name="Input 14 5 2 4 2" xfId="14772" xr:uid="{00000000-0005-0000-0000-0000E3380000}"/>
    <cellStyle name="Input 14 5 2 5" xfId="14773" xr:uid="{00000000-0005-0000-0000-0000E4380000}"/>
    <cellStyle name="Input 14 5 2 5 2" xfId="14774" xr:uid="{00000000-0005-0000-0000-0000E5380000}"/>
    <cellStyle name="Input 14 5 2 6" xfId="14775" xr:uid="{00000000-0005-0000-0000-0000E6380000}"/>
    <cellStyle name="Input 14 5 2 7" xfId="14776" xr:uid="{00000000-0005-0000-0000-0000E7380000}"/>
    <cellStyle name="Input 14 5 2 8" xfId="14777" xr:uid="{00000000-0005-0000-0000-0000E8380000}"/>
    <cellStyle name="Input 14 5 3" xfId="14778" xr:uid="{00000000-0005-0000-0000-0000E9380000}"/>
    <cellStyle name="Input 14 5 3 2" xfId="14779" xr:uid="{00000000-0005-0000-0000-0000EA380000}"/>
    <cellStyle name="Input 14 5 3 2 2" xfId="14780" xr:uid="{00000000-0005-0000-0000-0000EB380000}"/>
    <cellStyle name="Input 14 5 3 2 2 2" xfId="14781" xr:uid="{00000000-0005-0000-0000-0000EC380000}"/>
    <cellStyle name="Input 14 5 3 2 2 2 2" xfId="14782" xr:uid="{00000000-0005-0000-0000-0000ED380000}"/>
    <cellStyle name="Input 14 5 3 2 2 3" xfId="14783" xr:uid="{00000000-0005-0000-0000-0000EE380000}"/>
    <cellStyle name="Input 14 5 3 2 2 3 2" xfId="14784" xr:uid="{00000000-0005-0000-0000-0000EF380000}"/>
    <cellStyle name="Input 14 5 3 2 2 4" xfId="14785" xr:uid="{00000000-0005-0000-0000-0000F0380000}"/>
    <cellStyle name="Input 14 5 3 2 2 5" xfId="14786" xr:uid="{00000000-0005-0000-0000-0000F1380000}"/>
    <cellStyle name="Input 14 5 3 2 2 6" xfId="14787" xr:uid="{00000000-0005-0000-0000-0000F2380000}"/>
    <cellStyle name="Input 14 5 3 2 3" xfId="14788" xr:uid="{00000000-0005-0000-0000-0000F3380000}"/>
    <cellStyle name="Input 14 5 3 2 3 2" xfId="14789" xr:uid="{00000000-0005-0000-0000-0000F4380000}"/>
    <cellStyle name="Input 14 5 3 2 4" xfId="14790" xr:uid="{00000000-0005-0000-0000-0000F5380000}"/>
    <cellStyle name="Input 14 5 3 2 4 2" xfId="14791" xr:uid="{00000000-0005-0000-0000-0000F6380000}"/>
    <cellStyle name="Input 14 5 3 2 5" xfId="14792" xr:uid="{00000000-0005-0000-0000-0000F7380000}"/>
    <cellStyle name="Input 14 5 3 2 6" xfId="14793" xr:uid="{00000000-0005-0000-0000-0000F8380000}"/>
    <cellStyle name="Input 14 5 3 2 7" xfId="14794" xr:uid="{00000000-0005-0000-0000-0000F9380000}"/>
    <cellStyle name="Input 14 5 3 3" xfId="14795" xr:uid="{00000000-0005-0000-0000-0000FA380000}"/>
    <cellStyle name="Input 14 5 3 3 2" xfId="14796" xr:uid="{00000000-0005-0000-0000-0000FB380000}"/>
    <cellStyle name="Input 14 5 3 3 2 2" xfId="14797" xr:uid="{00000000-0005-0000-0000-0000FC380000}"/>
    <cellStyle name="Input 14 5 3 3 3" xfId="14798" xr:uid="{00000000-0005-0000-0000-0000FD380000}"/>
    <cellStyle name="Input 14 5 3 3 3 2" xfId="14799" xr:uid="{00000000-0005-0000-0000-0000FE380000}"/>
    <cellStyle name="Input 14 5 3 3 4" xfId="14800" xr:uid="{00000000-0005-0000-0000-0000FF380000}"/>
    <cellStyle name="Input 14 5 3 3 5" xfId="14801" xr:uid="{00000000-0005-0000-0000-000000390000}"/>
    <cellStyle name="Input 14 5 3 3 6" xfId="14802" xr:uid="{00000000-0005-0000-0000-000001390000}"/>
    <cellStyle name="Input 14 5 3 4" xfId="14803" xr:uid="{00000000-0005-0000-0000-000002390000}"/>
    <cellStyle name="Input 14 5 3 4 2" xfId="14804" xr:uid="{00000000-0005-0000-0000-000003390000}"/>
    <cellStyle name="Input 14 5 3 5" xfId="14805" xr:uid="{00000000-0005-0000-0000-000004390000}"/>
    <cellStyle name="Input 14 5 3 5 2" xfId="14806" xr:uid="{00000000-0005-0000-0000-000005390000}"/>
    <cellStyle name="Input 14 5 3 6" xfId="14807" xr:uid="{00000000-0005-0000-0000-000006390000}"/>
    <cellStyle name="Input 14 5 3 7" xfId="14808" xr:uid="{00000000-0005-0000-0000-000007390000}"/>
    <cellStyle name="Input 14 5 3 8" xfId="14809" xr:uid="{00000000-0005-0000-0000-000008390000}"/>
    <cellStyle name="Input 14 5 4" xfId="14810" xr:uid="{00000000-0005-0000-0000-000009390000}"/>
    <cellStyle name="Input 14 5 4 2" xfId="14811" xr:uid="{00000000-0005-0000-0000-00000A390000}"/>
    <cellStyle name="Input 14 5 4 2 2" xfId="14812" xr:uid="{00000000-0005-0000-0000-00000B390000}"/>
    <cellStyle name="Input 14 5 4 2 2 2" xfId="14813" xr:uid="{00000000-0005-0000-0000-00000C390000}"/>
    <cellStyle name="Input 14 5 4 2 3" xfId="14814" xr:uid="{00000000-0005-0000-0000-00000D390000}"/>
    <cellStyle name="Input 14 5 4 2 3 2" xfId="14815" xr:uid="{00000000-0005-0000-0000-00000E390000}"/>
    <cellStyle name="Input 14 5 4 2 4" xfId="14816" xr:uid="{00000000-0005-0000-0000-00000F390000}"/>
    <cellStyle name="Input 14 5 4 2 5" xfId="14817" xr:uid="{00000000-0005-0000-0000-000010390000}"/>
    <cellStyle name="Input 14 5 4 2 6" xfId="14818" xr:uid="{00000000-0005-0000-0000-000011390000}"/>
    <cellStyle name="Input 14 5 4 3" xfId="14819" xr:uid="{00000000-0005-0000-0000-000012390000}"/>
    <cellStyle name="Input 14 5 4 3 2" xfId="14820" xr:uid="{00000000-0005-0000-0000-000013390000}"/>
    <cellStyle name="Input 14 5 4 4" xfId="14821" xr:uid="{00000000-0005-0000-0000-000014390000}"/>
    <cellStyle name="Input 14 5 4 4 2" xfId="14822" xr:uid="{00000000-0005-0000-0000-000015390000}"/>
    <cellStyle name="Input 14 5 4 5" xfId="14823" xr:uid="{00000000-0005-0000-0000-000016390000}"/>
    <cellStyle name="Input 14 5 4 6" xfId="14824" xr:uid="{00000000-0005-0000-0000-000017390000}"/>
    <cellStyle name="Input 14 5 4 7" xfId="14825" xr:uid="{00000000-0005-0000-0000-000018390000}"/>
    <cellStyle name="Input 14 5 5" xfId="14826" xr:uid="{00000000-0005-0000-0000-000019390000}"/>
    <cellStyle name="Input 14 5 5 2" xfId="14827" xr:uid="{00000000-0005-0000-0000-00001A390000}"/>
    <cellStyle name="Input 14 5 5 2 2" xfId="14828" xr:uid="{00000000-0005-0000-0000-00001B390000}"/>
    <cellStyle name="Input 14 5 5 3" xfId="14829" xr:uid="{00000000-0005-0000-0000-00001C390000}"/>
    <cellStyle name="Input 14 5 5 3 2" xfId="14830" xr:uid="{00000000-0005-0000-0000-00001D390000}"/>
    <cellStyle name="Input 14 5 5 4" xfId="14831" xr:uid="{00000000-0005-0000-0000-00001E390000}"/>
    <cellStyle name="Input 14 5 5 5" xfId="14832" xr:uid="{00000000-0005-0000-0000-00001F390000}"/>
    <cellStyle name="Input 14 5 5 6" xfId="14833" xr:uid="{00000000-0005-0000-0000-000020390000}"/>
    <cellStyle name="Input 14 5 6" xfId="14834" xr:uid="{00000000-0005-0000-0000-000021390000}"/>
    <cellStyle name="Input 14 5 6 2" xfId="14835" xr:uid="{00000000-0005-0000-0000-000022390000}"/>
    <cellStyle name="Input 14 5 7" xfId="14836" xr:uid="{00000000-0005-0000-0000-000023390000}"/>
    <cellStyle name="Input 14 5 7 2" xfId="14837" xr:uid="{00000000-0005-0000-0000-000024390000}"/>
    <cellStyle name="Input 14 5 8" xfId="14838" xr:uid="{00000000-0005-0000-0000-000025390000}"/>
    <cellStyle name="Input 14 5 9" xfId="14839" xr:uid="{00000000-0005-0000-0000-000026390000}"/>
    <cellStyle name="Input 14 6" xfId="14840" xr:uid="{00000000-0005-0000-0000-000027390000}"/>
    <cellStyle name="Input 14 6 2" xfId="14841" xr:uid="{00000000-0005-0000-0000-000028390000}"/>
    <cellStyle name="Input 14 6 2 2" xfId="14842" xr:uid="{00000000-0005-0000-0000-000029390000}"/>
    <cellStyle name="Input 14 6 2 2 2" xfId="14843" xr:uid="{00000000-0005-0000-0000-00002A390000}"/>
    <cellStyle name="Input 14 6 2 2 2 2" xfId="14844" xr:uid="{00000000-0005-0000-0000-00002B390000}"/>
    <cellStyle name="Input 14 6 2 2 3" xfId="14845" xr:uid="{00000000-0005-0000-0000-00002C390000}"/>
    <cellStyle name="Input 14 6 2 2 3 2" xfId="14846" xr:uid="{00000000-0005-0000-0000-00002D390000}"/>
    <cellStyle name="Input 14 6 2 2 4" xfId="14847" xr:uid="{00000000-0005-0000-0000-00002E390000}"/>
    <cellStyle name="Input 14 6 2 2 5" xfId="14848" xr:uid="{00000000-0005-0000-0000-00002F390000}"/>
    <cellStyle name="Input 14 6 2 2 6" xfId="14849" xr:uid="{00000000-0005-0000-0000-000030390000}"/>
    <cellStyle name="Input 14 6 2 3" xfId="14850" xr:uid="{00000000-0005-0000-0000-000031390000}"/>
    <cellStyle name="Input 14 6 2 3 2" xfId="14851" xr:uid="{00000000-0005-0000-0000-000032390000}"/>
    <cellStyle name="Input 14 6 2 4" xfId="14852" xr:uid="{00000000-0005-0000-0000-000033390000}"/>
    <cellStyle name="Input 14 6 2 4 2" xfId="14853" xr:uid="{00000000-0005-0000-0000-000034390000}"/>
    <cellStyle name="Input 14 6 2 5" xfId="14854" xr:uid="{00000000-0005-0000-0000-000035390000}"/>
    <cellStyle name="Input 14 6 2 6" xfId="14855" xr:uid="{00000000-0005-0000-0000-000036390000}"/>
    <cellStyle name="Input 14 6 2 7" xfId="14856" xr:uid="{00000000-0005-0000-0000-000037390000}"/>
    <cellStyle name="Input 14 6 3" xfId="14857" xr:uid="{00000000-0005-0000-0000-000038390000}"/>
    <cellStyle name="Input 14 6 3 2" xfId="14858" xr:uid="{00000000-0005-0000-0000-000039390000}"/>
    <cellStyle name="Input 14 6 3 2 2" xfId="14859" xr:uid="{00000000-0005-0000-0000-00003A390000}"/>
    <cellStyle name="Input 14 6 3 3" xfId="14860" xr:uid="{00000000-0005-0000-0000-00003B390000}"/>
    <cellStyle name="Input 14 6 3 3 2" xfId="14861" xr:uid="{00000000-0005-0000-0000-00003C390000}"/>
    <cellStyle name="Input 14 6 3 4" xfId="14862" xr:uid="{00000000-0005-0000-0000-00003D390000}"/>
    <cellStyle name="Input 14 6 3 5" xfId="14863" xr:uid="{00000000-0005-0000-0000-00003E390000}"/>
    <cellStyle name="Input 14 6 3 6" xfId="14864" xr:uid="{00000000-0005-0000-0000-00003F390000}"/>
    <cellStyle name="Input 14 6 4" xfId="14865" xr:uid="{00000000-0005-0000-0000-000040390000}"/>
    <cellStyle name="Input 14 6 4 2" xfId="14866" xr:uid="{00000000-0005-0000-0000-000041390000}"/>
    <cellStyle name="Input 14 6 5" xfId="14867" xr:uid="{00000000-0005-0000-0000-000042390000}"/>
    <cellStyle name="Input 14 6 5 2" xfId="14868" xr:uid="{00000000-0005-0000-0000-000043390000}"/>
    <cellStyle name="Input 14 6 6" xfId="14869" xr:uid="{00000000-0005-0000-0000-000044390000}"/>
    <cellStyle name="Input 14 6 7" xfId="14870" xr:uid="{00000000-0005-0000-0000-000045390000}"/>
    <cellStyle name="Input 14 6 8" xfId="14871" xr:uid="{00000000-0005-0000-0000-000046390000}"/>
    <cellStyle name="Input 14 7" xfId="14872" xr:uid="{00000000-0005-0000-0000-000047390000}"/>
    <cellStyle name="Input 14 7 2" xfId="14873" xr:uid="{00000000-0005-0000-0000-000048390000}"/>
    <cellStyle name="Input 14 7 2 2" xfId="14874" xr:uid="{00000000-0005-0000-0000-000049390000}"/>
    <cellStyle name="Input 14 7 2 2 2" xfId="14875" xr:uid="{00000000-0005-0000-0000-00004A390000}"/>
    <cellStyle name="Input 14 7 2 3" xfId="14876" xr:uid="{00000000-0005-0000-0000-00004B390000}"/>
    <cellStyle name="Input 14 7 2 3 2" xfId="14877" xr:uid="{00000000-0005-0000-0000-00004C390000}"/>
    <cellStyle name="Input 14 7 2 4" xfId="14878" xr:uid="{00000000-0005-0000-0000-00004D390000}"/>
    <cellStyle name="Input 14 7 2 5" xfId="14879" xr:uid="{00000000-0005-0000-0000-00004E390000}"/>
    <cellStyle name="Input 14 7 2 6" xfId="14880" xr:uid="{00000000-0005-0000-0000-00004F390000}"/>
    <cellStyle name="Input 14 7 3" xfId="14881" xr:uid="{00000000-0005-0000-0000-000050390000}"/>
    <cellStyle name="Input 14 7 3 2" xfId="14882" xr:uid="{00000000-0005-0000-0000-000051390000}"/>
    <cellStyle name="Input 14 7 4" xfId="14883" xr:uid="{00000000-0005-0000-0000-000052390000}"/>
    <cellStyle name="Input 14 7 4 2" xfId="14884" xr:uid="{00000000-0005-0000-0000-000053390000}"/>
    <cellStyle name="Input 14 7 5" xfId="14885" xr:uid="{00000000-0005-0000-0000-000054390000}"/>
    <cellStyle name="Input 14 7 6" xfId="14886" xr:uid="{00000000-0005-0000-0000-000055390000}"/>
    <cellStyle name="Input 14 7 7" xfId="14887" xr:uid="{00000000-0005-0000-0000-000056390000}"/>
    <cellStyle name="Input 14 8" xfId="14888" xr:uid="{00000000-0005-0000-0000-000057390000}"/>
    <cellStyle name="Input 14 8 2" xfId="14889" xr:uid="{00000000-0005-0000-0000-000058390000}"/>
    <cellStyle name="Input 14 9" xfId="14890" xr:uid="{00000000-0005-0000-0000-000059390000}"/>
    <cellStyle name="Input 14 9 2" xfId="14891" xr:uid="{00000000-0005-0000-0000-00005A390000}"/>
    <cellStyle name="Input 15" xfId="14892" xr:uid="{00000000-0005-0000-0000-00005B390000}"/>
    <cellStyle name="Input 15 10" xfId="14893" xr:uid="{00000000-0005-0000-0000-00005C390000}"/>
    <cellStyle name="Input 15 11" xfId="14894" xr:uid="{00000000-0005-0000-0000-00005D390000}"/>
    <cellStyle name="Input 15 12" xfId="14895" xr:uid="{00000000-0005-0000-0000-00005E390000}"/>
    <cellStyle name="Input 15 2" xfId="14896" xr:uid="{00000000-0005-0000-0000-00005F390000}"/>
    <cellStyle name="Input 15 2 10" xfId="14897" xr:uid="{00000000-0005-0000-0000-000060390000}"/>
    <cellStyle name="Input 15 2 11" xfId="14898" xr:uid="{00000000-0005-0000-0000-000061390000}"/>
    <cellStyle name="Input 15 2 12" xfId="14899" xr:uid="{00000000-0005-0000-0000-000062390000}"/>
    <cellStyle name="Input 15 2 2" xfId="14900" xr:uid="{00000000-0005-0000-0000-000063390000}"/>
    <cellStyle name="Input 15 2 2 10" xfId="14901" xr:uid="{00000000-0005-0000-0000-000064390000}"/>
    <cellStyle name="Input 15 2 2 11" xfId="14902" xr:uid="{00000000-0005-0000-0000-000065390000}"/>
    <cellStyle name="Input 15 2 2 2" xfId="14903" xr:uid="{00000000-0005-0000-0000-000066390000}"/>
    <cellStyle name="Input 15 2 2 2 10" xfId="14904" xr:uid="{00000000-0005-0000-0000-000067390000}"/>
    <cellStyle name="Input 15 2 2 2 2" xfId="14905" xr:uid="{00000000-0005-0000-0000-000068390000}"/>
    <cellStyle name="Input 15 2 2 2 2 2" xfId="14906" xr:uid="{00000000-0005-0000-0000-000069390000}"/>
    <cellStyle name="Input 15 2 2 2 2 2 2" xfId="14907" xr:uid="{00000000-0005-0000-0000-00006A390000}"/>
    <cellStyle name="Input 15 2 2 2 2 2 2 2" xfId="14908" xr:uid="{00000000-0005-0000-0000-00006B390000}"/>
    <cellStyle name="Input 15 2 2 2 2 2 2 2 2" xfId="14909" xr:uid="{00000000-0005-0000-0000-00006C390000}"/>
    <cellStyle name="Input 15 2 2 2 2 2 2 3" xfId="14910" xr:uid="{00000000-0005-0000-0000-00006D390000}"/>
    <cellStyle name="Input 15 2 2 2 2 2 2 3 2" xfId="14911" xr:uid="{00000000-0005-0000-0000-00006E390000}"/>
    <cellStyle name="Input 15 2 2 2 2 2 2 4" xfId="14912" xr:uid="{00000000-0005-0000-0000-00006F390000}"/>
    <cellStyle name="Input 15 2 2 2 2 2 2 5" xfId="14913" xr:uid="{00000000-0005-0000-0000-000070390000}"/>
    <cellStyle name="Input 15 2 2 2 2 2 2 6" xfId="14914" xr:uid="{00000000-0005-0000-0000-000071390000}"/>
    <cellStyle name="Input 15 2 2 2 2 2 3" xfId="14915" xr:uid="{00000000-0005-0000-0000-000072390000}"/>
    <cellStyle name="Input 15 2 2 2 2 2 3 2" xfId="14916" xr:uid="{00000000-0005-0000-0000-000073390000}"/>
    <cellStyle name="Input 15 2 2 2 2 2 4" xfId="14917" xr:uid="{00000000-0005-0000-0000-000074390000}"/>
    <cellStyle name="Input 15 2 2 2 2 2 4 2" xfId="14918" xr:uid="{00000000-0005-0000-0000-000075390000}"/>
    <cellStyle name="Input 15 2 2 2 2 2 5" xfId="14919" xr:uid="{00000000-0005-0000-0000-000076390000}"/>
    <cellStyle name="Input 15 2 2 2 2 2 6" xfId="14920" xr:uid="{00000000-0005-0000-0000-000077390000}"/>
    <cellStyle name="Input 15 2 2 2 2 2 7" xfId="14921" xr:uid="{00000000-0005-0000-0000-000078390000}"/>
    <cellStyle name="Input 15 2 2 2 2 3" xfId="14922" xr:uid="{00000000-0005-0000-0000-000079390000}"/>
    <cellStyle name="Input 15 2 2 2 2 3 2" xfId="14923" xr:uid="{00000000-0005-0000-0000-00007A390000}"/>
    <cellStyle name="Input 15 2 2 2 2 3 2 2" xfId="14924" xr:uid="{00000000-0005-0000-0000-00007B390000}"/>
    <cellStyle name="Input 15 2 2 2 2 3 3" xfId="14925" xr:uid="{00000000-0005-0000-0000-00007C390000}"/>
    <cellStyle name="Input 15 2 2 2 2 3 3 2" xfId="14926" xr:uid="{00000000-0005-0000-0000-00007D390000}"/>
    <cellStyle name="Input 15 2 2 2 2 3 4" xfId="14927" xr:uid="{00000000-0005-0000-0000-00007E390000}"/>
    <cellStyle name="Input 15 2 2 2 2 3 5" xfId="14928" xr:uid="{00000000-0005-0000-0000-00007F390000}"/>
    <cellStyle name="Input 15 2 2 2 2 3 6" xfId="14929" xr:uid="{00000000-0005-0000-0000-000080390000}"/>
    <cellStyle name="Input 15 2 2 2 2 4" xfId="14930" xr:uid="{00000000-0005-0000-0000-000081390000}"/>
    <cellStyle name="Input 15 2 2 2 2 4 2" xfId="14931" xr:uid="{00000000-0005-0000-0000-000082390000}"/>
    <cellStyle name="Input 15 2 2 2 2 5" xfId="14932" xr:uid="{00000000-0005-0000-0000-000083390000}"/>
    <cellStyle name="Input 15 2 2 2 2 5 2" xfId="14933" xr:uid="{00000000-0005-0000-0000-000084390000}"/>
    <cellStyle name="Input 15 2 2 2 2 6" xfId="14934" xr:uid="{00000000-0005-0000-0000-000085390000}"/>
    <cellStyle name="Input 15 2 2 2 2 7" xfId="14935" xr:uid="{00000000-0005-0000-0000-000086390000}"/>
    <cellStyle name="Input 15 2 2 2 2 8" xfId="14936" xr:uid="{00000000-0005-0000-0000-000087390000}"/>
    <cellStyle name="Input 15 2 2 2 3" xfId="14937" xr:uid="{00000000-0005-0000-0000-000088390000}"/>
    <cellStyle name="Input 15 2 2 2 3 2" xfId="14938" xr:uid="{00000000-0005-0000-0000-000089390000}"/>
    <cellStyle name="Input 15 2 2 2 3 2 2" xfId="14939" xr:uid="{00000000-0005-0000-0000-00008A390000}"/>
    <cellStyle name="Input 15 2 2 2 3 2 2 2" xfId="14940" xr:uid="{00000000-0005-0000-0000-00008B390000}"/>
    <cellStyle name="Input 15 2 2 2 3 2 2 2 2" xfId="14941" xr:uid="{00000000-0005-0000-0000-00008C390000}"/>
    <cellStyle name="Input 15 2 2 2 3 2 2 3" xfId="14942" xr:uid="{00000000-0005-0000-0000-00008D390000}"/>
    <cellStyle name="Input 15 2 2 2 3 2 2 3 2" xfId="14943" xr:uid="{00000000-0005-0000-0000-00008E390000}"/>
    <cellStyle name="Input 15 2 2 2 3 2 2 4" xfId="14944" xr:uid="{00000000-0005-0000-0000-00008F390000}"/>
    <cellStyle name="Input 15 2 2 2 3 2 2 5" xfId="14945" xr:uid="{00000000-0005-0000-0000-000090390000}"/>
    <cellStyle name="Input 15 2 2 2 3 2 2 6" xfId="14946" xr:uid="{00000000-0005-0000-0000-000091390000}"/>
    <cellStyle name="Input 15 2 2 2 3 2 3" xfId="14947" xr:uid="{00000000-0005-0000-0000-000092390000}"/>
    <cellStyle name="Input 15 2 2 2 3 2 3 2" xfId="14948" xr:uid="{00000000-0005-0000-0000-000093390000}"/>
    <cellStyle name="Input 15 2 2 2 3 2 4" xfId="14949" xr:uid="{00000000-0005-0000-0000-000094390000}"/>
    <cellStyle name="Input 15 2 2 2 3 2 4 2" xfId="14950" xr:uid="{00000000-0005-0000-0000-000095390000}"/>
    <cellStyle name="Input 15 2 2 2 3 2 5" xfId="14951" xr:uid="{00000000-0005-0000-0000-000096390000}"/>
    <cellStyle name="Input 15 2 2 2 3 2 6" xfId="14952" xr:uid="{00000000-0005-0000-0000-000097390000}"/>
    <cellStyle name="Input 15 2 2 2 3 2 7" xfId="14953" xr:uid="{00000000-0005-0000-0000-000098390000}"/>
    <cellStyle name="Input 15 2 2 2 3 3" xfId="14954" xr:uid="{00000000-0005-0000-0000-000099390000}"/>
    <cellStyle name="Input 15 2 2 2 3 3 2" xfId="14955" xr:uid="{00000000-0005-0000-0000-00009A390000}"/>
    <cellStyle name="Input 15 2 2 2 3 3 2 2" xfId="14956" xr:uid="{00000000-0005-0000-0000-00009B390000}"/>
    <cellStyle name="Input 15 2 2 2 3 3 3" xfId="14957" xr:uid="{00000000-0005-0000-0000-00009C390000}"/>
    <cellStyle name="Input 15 2 2 2 3 3 3 2" xfId="14958" xr:uid="{00000000-0005-0000-0000-00009D390000}"/>
    <cellStyle name="Input 15 2 2 2 3 3 4" xfId="14959" xr:uid="{00000000-0005-0000-0000-00009E390000}"/>
    <cellStyle name="Input 15 2 2 2 3 3 5" xfId="14960" xr:uid="{00000000-0005-0000-0000-00009F390000}"/>
    <cellStyle name="Input 15 2 2 2 3 3 6" xfId="14961" xr:uid="{00000000-0005-0000-0000-0000A0390000}"/>
    <cellStyle name="Input 15 2 2 2 3 4" xfId="14962" xr:uid="{00000000-0005-0000-0000-0000A1390000}"/>
    <cellStyle name="Input 15 2 2 2 3 4 2" xfId="14963" xr:uid="{00000000-0005-0000-0000-0000A2390000}"/>
    <cellStyle name="Input 15 2 2 2 3 5" xfId="14964" xr:uid="{00000000-0005-0000-0000-0000A3390000}"/>
    <cellStyle name="Input 15 2 2 2 3 5 2" xfId="14965" xr:uid="{00000000-0005-0000-0000-0000A4390000}"/>
    <cellStyle name="Input 15 2 2 2 3 6" xfId="14966" xr:uid="{00000000-0005-0000-0000-0000A5390000}"/>
    <cellStyle name="Input 15 2 2 2 3 7" xfId="14967" xr:uid="{00000000-0005-0000-0000-0000A6390000}"/>
    <cellStyle name="Input 15 2 2 2 3 8" xfId="14968" xr:uid="{00000000-0005-0000-0000-0000A7390000}"/>
    <cellStyle name="Input 15 2 2 2 4" xfId="14969" xr:uid="{00000000-0005-0000-0000-0000A8390000}"/>
    <cellStyle name="Input 15 2 2 2 4 2" xfId="14970" xr:uid="{00000000-0005-0000-0000-0000A9390000}"/>
    <cellStyle name="Input 15 2 2 2 4 2 2" xfId="14971" xr:uid="{00000000-0005-0000-0000-0000AA390000}"/>
    <cellStyle name="Input 15 2 2 2 4 2 2 2" xfId="14972" xr:uid="{00000000-0005-0000-0000-0000AB390000}"/>
    <cellStyle name="Input 15 2 2 2 4 2 3" xfId="14973" xr:uid="{00000000-0005-0000-0000-0000AC390000}"/>
    <cellStyle name="Input 15 2 2 2 4 2 3 2" xfId="14974" xr:uid="{00000000-0005-0000-0000-0000AD390000}"/>
    <cellStyle name="Input 15 2 2 2 4 2 4" xfId="14975" xr:uid="{00000000-0005-0000-0000-0000AE390000}"/>
    <cellStyle name="Input 15 2 2 2 4 2 5" xfId="14976" xr:uid="{00000000-0005-0000-0000-0000AF390000}"/>
    <cellStyle name="Input 15 2 2 2 4 2 6" xfId="14977" xr:uid="{00000000-0005-0000-0000-0000B0390000}"/>
    <cellStyle name="Input 15 2 2 2 4 3" xfId="14978" xr:uid="{00000000-0005-0000-0000-0000B1390000}"/>
    <cellStyle name="Input 15 2 2 2 4 3 2" xfId="14979" xr:uid="{00000000-0005-0000-0000-0000B2390000}"/>
    <cellStyle name="Input 15 2 2 2 4 4" xfId="14980" xr:uid="{00000000-0005-0000-0000-0000B3390000}"/>
    <cellStyle name="Input 15 2 2 2 4 4 2" xfId="14981" xr:uid="{00000000-0005-0000-0000-0000B4390000}"/>
    <cellStyle name="Input 15 2 2 2 4 5" xfId="14982" xr:uid="{00000000-0005-0000-0000-0000B5390000}"/>
    <cellStyle name="Input 15 2 2 2 4 6" xfId="14983" xr:uid="{00000000-0005-0000-0000-0000B6390000}"/>
    <cellStyle name="Input 15 2 2 2 4 7" xfId="14984" xr:uid="{00000000-0005-0000-0000-0000B7390000}"/>
    <cellStyle name="Input 15 2 2 2 5" xfId="14985" xr:uid="{00000000-0005-0000-0000-0000B8390000}"/>
    <cellStyle name="Input 15 2 2 2 5 2" xfId="14986" xr:uid="{00000000-0005-0000-0000-0000B9390000}"/>
    <cellStyle name="Input 15 2 2 2 5 2 2" xfId="14987" xr:uid="{00000000-0005-0000-0000-0000BA390000}"/>
    <cellStyle name="Input 15 2 2 2 5 3" xfId="14988" xr:uid="{00000000-0005-0000-0000-0000BB390000}"/>
    <cellStyle name="Input 15 2 2 2 5 3 2" xfId="14989" xr:uid="{00000000-0005-0000-0000-0000BC390000}"/>
    <cellStyle name="Input 15 2 2 2 5 4" xfId="14990" xr:uid="{00000000-0005-0000-0000-0000BD390000}"/>
    <cellStyle name="Input 15 2 2 2 5 5" xfId="14991" xr:uid="{00000000-0005-0000-0000-0000BE390000}"/>
    <cellStyle name="Input 15 2 2 2 5 6" xfId="14992" xr:uid="{00000000-0005-0000-0000-0000BF390000}"/>
    <cellStyle name="Input 15 2 2 2 6" xfId="14993" xr:uid="{00000000-0005-0000-0000-0000C0390000}"/>
    <cellStyle name="Input 15 2 2 2 6 2" xfId="14994" xr:uid="{00000000-0005-0000-0000-0000C1390000}"/>
    <cellStyle name="Input 15 2 2 2 7" xfId="14995" xr:uid="{00000000-0005-0000-0000-0000C2390000}"/>
    <cellStyle name="Input 15 2 2 2 7 2" xfId="14996" xr:uid="{00000000-0005-0000-0000-0000C3390000}"/>
    <cellStyle name="Input 15 2 2 2 8" xfId="14997" xr:uid="{00000000-0005-0000-0000-0000C4390000}"/>
    <cellStyle name="Input 15 2 2 2 9" xfId="14998" xr:uid="{00000000-0005-0000-0000-0000C5390000}"/>
    <cellStyle name="Input 15 2 2 3" xfId="14999" xr:uid="{00000000-0005-0000-0000-0000C6390000}"/>
    <cellStyle name="Input 15 2 2 3 2" xfId="15000" xr:uid="{00000000-0005-0000-0000-0000C7390000}"/>
    <cellStyle name="Input 15 2 2 3 2 2" xfId="15001" xr:uid="{00000000-0005-0000-0000-0000C8390000}"/>
    <cellStyle name="Input 15 2 2 3 2 2 2" xfId="15002" xr:uid="{00000000-0005-0000-0000-0000C9390000}"/>
    <cellStyle name="Input 15 2 2 3 2 2 2 2" xfId="15003" xr:uid="{00000000-0005-0000-0000-0000CA390000}"/>
    <cellStyle name="Input 15 2 2 3 2 2 3" xfId="15004" xr:uid="{00000000-0005-0000-0000-0000CB390000}"/>
    <cellStyle name="Input 15 2 2 3 2 2 3 2" xfId="15005" xr:uid="{00000000-0005-0000-0000-0000CC390000}"/>
    <cellStyle name="Input 15 2 2 3 2 2 4" xfId="15006" xr:uid="{00000000-0005-0000-0000-0000CD390000}"/>
    <cellStyle name="Input 15 2 2 3 2 2 5" xfId="15007" xr:uid="{00000000-0005-0000-0000-0000CE390000}"/>
    <cellStyle name="Input 15 2 2 3 2 2 6" xfId="15008" xr:uid="{00000000-0005-0000-0000-0000CF390000}"/>
    <cellStyle name="Input 15 2 2 3 2 3" xfId="15009" xr:uid="{00000000-0005-0000-0000-0000D0390000}"/>
    <cellStyle name="Input 15 2 2 3 2 3 2" xfId="15010" xr:uid="{00000000-0005-0000-0000-0000D1390000}"/>
    <cellStyle name="Input 15 2 2 3 2 4" xfId="15011" xr:uid="{00000000-0005-0000-0000-0000D2390000}"/>
    <cellStyle name="Input 15 2 2 3 2 4 2" xfId="15012" xr:uid="{00000000-0005-0000-0000-0000D3390000}"/>
    <cellStyle name="Input 15 2 2 3 2 5" xfId="15013" xr:uid="{00000000-0005-0000-0000-0000D4390000}"/>
    <cellStyle name="Input 15 2 2 3 2 6" xfId="15014" xr:uid="{00000000-0005-0000-0000-0000D5390000}"/>
    <cellStyle name="Input 15 2 2 3 2 7" xfId="15015" xr:uid="{00000000-0005-0000-0000-0000D6390000}"/>
    <cellStyle name="Input 15 2 2 3 3" xfId="15016" xr:uid="{00000000-0005-0000-0000-0000D7390000}"/>
    <cellStyle name="Input 15 2 2 3 3 2" xfId="15017" xr:uid="{00000000-0005-0000-0000-0000D8390000}"/>
    <cellStyle name="Input 15 2 2 3 3 2 2" xfId="15018" xr:uid="{00000000-0005-0000-0000-0000D9390000}"/>
    <cellStyle name="Input 15 2 2 3 3 3" xfId="15019" xr:uid="{00000000-0005-0000-0000-0000DA390000}"/>
    <cellStyle name="Input 15 2 2 3 3 3 2" xfId="15020" xr:uid="{00000000-0005-0000-0000-0000DB390000}"/>
    <cellStyle name="Input 15 2 2 3 3 4" xfId="15021" xr:uid="{00000000-0005-0000-0000-0000DC390000}"/>
    <cellStyle name="Input 15 2 2 3 3 5" xfId="15022" xr:uid="{00000000-0005-0000-0000-0000DD390000}"/>
    <cellStyle name="Input 15 2 2 3 3 6" xfId="15023" xr:uid="{00000000-0005-0000-0000-0000DE390000}"/>
    <cellStyle name="Input 15 2 2 3 4" xfId="15024" xr:uid="{00000000-0005-0000-0000-0000DF390000}"/>
    <cellStyle name="Input 15 2 2 3 4 2" xfId="15025" xr:uid="{00000000-0005-0000-0000-0000E0390000}"/>
    <cellStyle name="Input 15 2 2 3 5" xfId="15026" xr:uid="{00000000-0005-0000-0000-0000E1390000}"/>
    <cellStyle name="Input 15 2 2 3 5 2" xfId="15027" xr:uid="{00000000-0005-0000-0000-0000E2390000}"/>
    <cellStyle name="Input 15 2 2 3 6" xfId="15028" xr:uid="{00000000-0005-0000-0000-0000E3390000}"/>
    <cellStyle name="Input 15 2 2 3 7" xfId="15029" xr:uid="{00000000-0005-0000-0000-0000E4390000}"/>
    <cellStyle name="Input 15 2 2 3 8" xfId="15030" xr:uid="{00000000-0005-0000-0000-0000E5390000}"/>
    <cellStyle name="Input 15 2 2 4" xfId="15031" xr:uid="{00000000-0005-0000-0000-0000E6390000}"/>
    <cellStyle name="Input 15 2 2 4 2" xfId="15032" xr:uid="{00000000-0005-0000-0000-0000E7390000}"/>
    <cellStyle name="Input 15 2 2 4 2 2" xfId="15033" xr:uid="{00000000-0005-0000-0000-0000E8390000}"/>
    <cellStyle name="Input 15 2 2 4 2 2 2" xfId="15034" xr:uid="{00000000-0005-0000-0000-0000E9390000}"/>
    <cellStyle name="Input 15 2 2 4 2 2 2 2" xfId="15035" xr:uid="{00000000-0005-0000-0000-0000EA390000}"/>
    <cellStyle name="Input 15 2 2 4 2 2 3" xfId="15036" xr:uid="{00000000-0005-0000-0000-0000EB390000}"/>
    <cellStyle name="Input 15 2 2 4 2 2 3 2" xfId="15037" xr:uid="{00000000-0005-0000-0000-0000EC390000}"/>
    <cellStyle name="Input 15 2 2 4 2 2 4" xfId="15038" xr:uid="{00000000-0005-0000-0000-0000ED390000}"/>
    <cellStyle name="Input 15 2 2 4 2 2 5" xfId="15039" xr:uid="{00000000-0005-0000-0000-0000EE390000}"/>
    <cellStyle name="Input 15 2 2 4 2 2 6" xfId="15040" xr:uid="{00000000-0005-0000-0000-0000EF390000}"/>
    <cellStyle name="Input 15 2 2 4 2 3" xfId="15041" xr:uid="{00000000-0005-0000-0000-0000F0390000}"/>
    <cellStyle name="Input 15 2 2 4 2 3 2" xfId="15042" xr:uid="{00000000-0005-0000-0000-0000F1390000}"/>
    <cellStyle name="Input 15 2 2 4 2 4" xfId="15043" xr:uid="{00000000-0005-0000-0000-0000F2390000}"/>
    <cellStyle name="Input 15 2 2 4 2 4 2" xfId="15044" xr:uid="{00000000-0005-0000-0000-0000F3390000}"/>
    <cellStyle name="Input 15 2 2 4 2 5" xfId="15045" xr:uid="{00000000-0005-0000-0000-0000F4390000}"/>
    <cellStyle name="Input 15 2 2 4 2 6" xfId="15046" xr:uid="{00000000-0005-0000-0000-0000F5390000}"/>
    <cellStyle name="Input 15 2 2 4 2 7" xfId="15047" xr:uid="{00000000-0005-0000-0000-0000F6390000}"/>
    <cellStyle name="Input 15 2 2 4 3" xfId="15048" xr:uid="{00000000-0005-0000-0000-0000F7390000}"/>
    <cellStyle name="Input 15 2 2 4 3 2" xfId="15049" xr:uid="{00000000-0005-0000-0000-0000F8390000}"/>
    <cellStyle name="Input 15 2 2 4 3 2 2" xfId="15050" xr:uid="{00000000-0005-0000-0000-0000F9390000}"/>
    <cellStyle name="Input 15 2 2 4 3 3" xfId="15051" xr:uid="{00000000-0005-0000-0000-0000FA390000}"/>
    <cellStyle name="Input 15 2 2 4 3 3 2" xfId="15052" xr:uid="{00000000-0005-0000-0000-0000FB390000}"/>
    <cellStyle name="Input 15 2 2 4 3 4" xfId="15053" xr:uid="{00000000-0005-0000-0000-0000FC390000}"/>
    <cellStyle name="Input 15 2 2 4 3 5" xfId="15054" xr:uid="{00000000-0005-0000-0000-0000FD390000}"/>
    <cellStyle name="Input 15 2 2 4 3 6" xfId="15055" xr:uid="{00000000-0005-0000-0000-0000FE390000}"/>
    <cellStyle name="Input 15 2 2 4 4" xfId="15056" xr:uid="{00000000-0005-0000-0000-0000FF390000}"/>
    <cellStyle name="Input 15 2 2 4 4 2" xfId="15057" xr:uid="{00000000-0005-0000-0000-0000003A0000}"/>
    <cellStyle name="Input 15 2 2 4 5" xfId="15058" xr:uid="{00000000-0005-0000-0000-0000013A0000}"/>
    <cellStyle name="Input 15 2 2 4 5 2" xfId="15059" xr:uid="{00000000-0005-0000-0000-0000023A0000}"/>
    <cellStyle name="Input 15 2 2 4 6" xfId="15060" xr:uid="{00000000-0005-0000-0000-0000033A0000}"/>
    <cellStyle name="Input 15 2 2 4 7" xfId="15061" xr:uid="{00000000-0005-0000-0000-0000043A0000}"/>
    <cellStyle name="Input 15 2 2 4 8" xfId="15062" xr:uid="{00000000-0005-0000-0000-0000053A0000}"/>
    <cellStyle name="Input 15 2 2 5" xfId="15063" xr:uid="{00000000-0005-0000-0000-0000063A0000}"/>
    <cellStyle name="Input 15 2 2 5 2" xfId="15064" xr:uid="{00000000-0005-0000-0000-0000073A0000}"/>
    <cellStyle name="Input 15 2 2 5 2 2" xfId="15065" xr:uid="{00000000-0005-0000-0000-0000083A0000}"/>
    <cellStyle name="Input 15 2 2 5 2 2 2" xfId="15066" xr:uid="{00000000-0005-0000-0000-0000093A0000}"/>
    <cellStyle name="Input 15 2 2 5 2 3" xfId="15067" xr:uid="{00000000-0005-0000-0000-00000A3A0000}"/>
    <cellStyle name="Input 15 2 2 5 2 3 2" xfId="15068" xr:uid="{00000000-0005-0000-0000-00000B3A0000}"/>
    <cellStyle name="Input 15 2 2 5 2 4" xfId="15069" xr:uid="{00000000-0005-0000-0000-00000C3A0000}"/>
    <cellStyle name="Input 15 2 2 5 2 5" xfId="15070" xr:uid="{00000000-0005-0000-0000-00000D3A0000}"/>
    <cellStyle name="Input 15 2 2 5 2 6" xfId="15071" xr:uid="{00000000-0005-0000-0000-00000E3A0000}"/>
    <cellStyle name="Input 15 2 2 5 3" xfId="15072" xr:uid="{00000000-0005-0000-0000-00000F3A0000}"/>
    <cellStyle name="Input 15 2 2 5 3 2" xfId="15073" xr:uid="{00000000-0005-0000-0000-0000103A0000}"/>
    <cellStyle name="Input 15 2 2 5 4" xfId="15074" xr:uid="{00000000-0005-0000-0000-0000113A0000}"/>
    <cellStyle name="Input 15 2 2 5 4 2" xfId="15075" xr:uid="{00000000-0005-0000-0000-0000123A0000}"/>
    <cellStyle name="Input 15 2 2 5 5" xfId="15076" xr:uid="{00000000-0005-0000-0000-0000133A0000}"/>
    <cellStyle name="Input 15 2 2 5 6" xfId="15077" xr:uid="{00000000-0005-0000-0000-0000143A0000}"/>
    <cellStyle name="Input 15 2 2 5 7" xfId="15078" xr:uid="{00000000-0005-0000-0000-0000153A0000}"/>
    <cellStyle name="Input 15 2 2 6" xfId="15079" xr:uid="{00000000-0005-0000-0000-0000163A0000}"/>
    <cellStyle name="Input 15 2 2 6 2" xfId="15080" xr:uid="{00000000-0005-0000-0000-0000173A0000}"/>
    <cellStyle name="Input 15 2 2 6 2 2" xfId="15081" xr:uid="{00000000-0005-0000-0000-0000183A0000}"/>
    <cellStyle name="Input 15 2 2 6 3" xfId="15082" xr:uid="{00000000-0005-0000-0000-0000193A0000}"/>
    <cellStyle name="Input 15 2 2 6 3 2" xfId="15083" xr:uid="{00000000-0005-0000-0000-00001A3A0000}"/>
    <cellStyle name="Input 15 2 2 6 4" xfId="15084" xr:uid="{00000000-0005-0000-0000-00001B3A0000}"/>
    <cellStyle name="Input 15 2 2 6 5" xfId="15085" xr:uid="{00000000-0005-0000-0000-00001C3A0000}"/>
    <cellStyle name="Input 15 2 2 6 6" xfId="15086" xr:uid="{00000000-0005-0000-0000-00001D3A0000}"/>
    <cellStyle name="Input 15 2 2 7" xfId="15087" xr:uid="{00000000-0005-0000-0000-00001E3A0000}"/>
    <cellStyle name="Input 15 2 2 7 2" xfId="15088" xr:uid="{00000000-0005-0000-0000-00001F3A0000}"/>
    <cellStyle name="Input 15 2 2 8" xfId="15089" xr:uid="{00000000-0005-0000-0000-0000203A0000}"/>
    <cellStyle name="Input 15 2 2 8 2" xfId="15090" xr:uid="{00000000-0005-0000-0000-0000213A0000}"/>
    <cellStyle name="Input 15 2 2 9" xfId="15091" xr:uid="{00000000-0005-0000-0000-0000223A0000}"/>
    <cellStyle name="Input 15 2 3" xfId="15092" xr:uid="{00000000-0005-0000-0000-0000233A0000}"/>
    <cellStyle name="Input 15 2 3 10" xfId="15093" xr:uid="{00000000-0005-0000-0000-0000243A0000}"/>
    <cellStyle name="Input 15 2 3 2" xfId="15094" xr:uid="{00000000-0005-0000-0000-0000253A0000}"/>
    <cellStyle name="Input 15 2 3 2 10" xfId="15095" xr:uid="{00000000-0005-0000-0000-0000263A0000}"/>
    <cellStyle name="Input 15 2 3 2 2" xfId="15096" xr:uid="{00000000-0005-0000-0000-0000273A0000}"/>
    <cellStyle name="Input 15 2 3 2 2 2" xfId="15097" xr:uid="{00000000-0005-0000-0000-0000283A0000}"/>
    <cellStyle name="Input 15 2 3 2 2 2 2" xfId="15098" xr:uid="{00000000-0005-0000-0000-0000293A0000}"/>
    <cellStyle name="Input 15 2 3 2 2 2 2 2" xfId="15099" xr:uid="{00000000-0005-0000-0000-00002A3A0000}"/>
    <cellStyle name="Input 15 2 3 2 2 2 2 2 2" xfId="15100" xr:uid="{00000000-0005-0000-0000-00002B3A0000}"/>
    <cellStyle name="Input 15 2 3 2 2 2 2 3" xfId="15101" xr:uid="{00000000-0005-0000-0000-00002C3A0000}"/>
    <cellStyle name="Input 15 2 3 2 2 2 2 3 2" xfId="15102" xr:uid="{00000000-0005-0000-0000-00002D3A0000}"/>
    <cellStyle name="Input 15 2 3 2 2 2 2 4" xfId="15103" xr:uid="{00000000-0005-0000-0000-00002E3A0000}"/>
    <cellStyle name="Input 15 2 3 2 2 2 2 5" xfId="15104" xr:uid="{00000000-0005-0000-0000-00002F3A0000}"/>
    <cellStyle name="Input 15 2 3 2 2 2 2 6" xfId="15105" xr:uid="{00000000-0005-0000-0000-0000303A0000}"/>
    <cellStyle name="Input 15 2 3 2 2 2 3" xfId="15106" xr:uid="{00000000-0005-0000-0000-0000313A0000}"/>
    <cellStyle name="Input 15 2 3 2 2 2 3 2" xfId="15107" xr:uid="{00000000-0005-0000-0000-0000323A0000}"/>
    <cellStyle name="Input 15 2 3 2 2 2 4" xfId="15108" xr:uid="{00000000-0005-0000-0000-0000333A0000}"/>
    <cellStyle name="Input 15 2 3 2 2 2 4 2" xfId="15109" xr:uid="{00000000-0005-0000-0000-0000343A0000}"/>
    <cellStyle name="Input 15 2 3 2 2 2 5" xfId="15110" xr:uid="{00000000-0005-0000-0000-0000353A0000}"/>
    <cellStyle name="Input 15 2 3 2 2 2 6" xfId="15111" xr:uid="{00000000-0005-0000-0000-0000363A0000}"/>
    <cellStyle name="Input 15 2 3 2 2 2 7" xfId="15112" xr:uid="{00000000-0005-0000-0000-0000373A0000}"/>
    <cellStyle name="Input 15 2 3 2 2 3" xfId="15113" xr:uid="{00000000-0005-0000-0000-0000383A0000}"/>
    <cellStyle name="Input 15 2 3 2 2 3 2" xfId="15114" xr:uid="{00000000-0005-0000-0000-0000393A0000}"/>
    <cellStyle name="Input 15 2 3 2 2 3 2 2" xfId="15115" xr:uid="{00000000-0005-0000-0000-00003A3A0000}"/>
    <cellStyle name="Input 15 2 3 2 2 3 3" xfId="15116" xr:uid="{00000000-0005-0000-0000-00003B3A0000}"/>
    <cellStyle name="Input 15 2 3 2 2 3 3 2" xfId="15117" xr:uid="{00000000-0005-0000-0000-00003C3A0000}"/>
    <cellStyle name="Input 15 2 3 2 2 3 4" xfId="15118" xr:uid="{00000000-0005-0000-0000-00003D3A0000}"/>
    <cellStyle name="Input 15 2 3 2 2 3 5" xfId="15119" xr:uid="{00000000-0005-0000-0000-00003E3A0000}"/>
    <cellStyle name="Input 15 2 3 2 2 3 6" xfId="15120" xr:uid="{00000000-0005-0000-0000-00003F3A0000}"/>
    <cellStyle name="Input 15 2 3 2 2 4" xfId="15121" xr:uid="{00000000-0005-0000-0000-0000403A0000}"/>
    <cellStyle name="Input 15 2 3 2 2 4 2" xfId="15122" xr:uid="{00000000-0005-0000-0000-0000413A0000}"/>
    <cellStyle name="Input 15 2 3 2 2 5" xfId="15123" xr:uid="{00000000-0005-0000-0000-0000423A0000}"/>
    <cellStyle name="Input 15 2 3 2 2 5 2" xfId="15124" xr:uid="{00000000-0005-0000-0000-0000433A0000}"/>
    <cellStyle name="Input 15 2 3 2 2 6" xfId="15125" xr:uid="{00000000-0005-0000-0000-0000443A0000}"/>
    <cellStyle name="Input 15 2 3 2 2 7" xfId="15126" xr:uid="{00000000-0005-0000-0000-0000453A0000}"/>
    <cellStyle name="Input 15 2 3 2 2 8" xfId="15127" xr:uid="{00000000-0005-0000-0000-0000463A0000}"/>
    <cellStyle name="Input 15 2 3 2 3" xfId="15128" xr:uid="{00000000-0005-0000-0000-0000473A0000}"/>
    <cellStyle name="Input 15 2 3 2 3 2" xfId="15129" xr:uid="{00000000-0005-0000-0000-0000483A0000}"/>
    <cellStyle name="Input 15 2 3 2 3 2 2" xfId="15130" xr:uid="{00000000-0005-0000-0000-0000493A0000}"/>
    <cellStyle name="Input 15 2 3 2 3 2 2 2" xfId="15131" xr:uid="{00000000-0005-0000-0000-00004A3A0000}"/>
    <cellStyle name="Input 15 2 3 2 3 2 2 2 2" xfId="15132" xr:uid="{00000000-0005-0000-0000-00004B3A0000}"/>
    <cellStyle name="Input 15 2 3 2 3 2 2 3" xfId="15133" xr:uid="{00000000-0005-0000-0000-00004C3A0000}"/>
    <cellStyle name="Input 15 2 3 2 3 2 2 3 2" xfId="15134" xr:uid="{00000000-0005-0000-0000-00004D3A0000}"/>
    <cellStyle name="Input 15 2 3 2 3 2 2 4" xfId="15135" xr:uid="{00000000-0005-0000-0000-00004E3A0000}"/>
    <cellStyle name="Input 15 2 3 2 3 2 2 5" xfId="15136" xr:uid="{00000000-0005-0000-0000-00004F3A0000}"/>
    <cellStyle name="Input 15 2 3 2 3 2 2 6" xfId="15137" xr:uid="{00000000-0005-0000-0000-0000503A0000}"/>
    <cellStyle name="Input 15 2 3 2 3 2 3" xfId="15138" xr:uid="{00000000-0005-0000-0000-0000513A0000}"/>
    <cellStyle name="Input 15 2 3 2 3 2 3 2" xfId="15139" xr:uid="{00000000-0005-0000-0000-0000523A0000}"/>
    <cellStyle name="Input 15 2 3 2 3 2 4" xfId="15140" xr:uid="{00000000-0005-0000-0000-0000533A0000}"/>
    <cellStyle name="Input 15 2 3 2 3 2 4 2" xfId="15141" xr:uid="{00000000-0005-0000-0000-0000543A0000}"/>
    <cellStyle name="Input 15 2 3 2 3 2 5" xfId="15142" xr:uid="{00000000-0005-0000-0000-0000553A0000}"/>
    <cellStyle name="Input 15 2 3 2 3 2 6" xfId="15143" xr:uid="{00000000-0005-0000-0000-0000563A0000}"/>
    <cellStyle name="Input 15 2 3 2 3 2 7" xfId="15144" xr:uid="{00000000-0005-0000-0000-0000573A0000}"/>
    <cellStyle name="Input 15 2 3 2 3 3" xfId="15145" xr:uid="{00000000-0005-0000-0000-0000583A0000}"/>
    <cellStyle name="Input 15 2 3 2 3 3 2" xfId="15146" xr:uid="{00000000-0005-0000-0000-0000593A0000}"/>
    <cellStyle name="Input 15 2 3 2 3 3 2 2" xfId="15147" xr:uid="{00000000-0005-0000-0000-00005A3A0000}"/>
    <cellStyle name="Input 15 2 3 2 3 3 3" xfId="15148" xr:uid="{00000000-0005-0000-0000-00005B3A0000}"/>
    <cellStyle name="Input 15 2 3 2 3 3 3 2" xfId="15149" xr:uid="{00000000-0005-0000-0000-00005C3A0000}"/>
    <cellStyle name="Input 15 2 3 2 3 3 4" xfId="15150" xr:uid="{00000000-0005-0000-0000-00005D3A0000}"/>
    <cellStyle name="Input 15 2 3 2 3 3 5" xfId="15151" xr:uid="{00000000-0005-0000-0000-00005E3A0000}"/>
    <cellStyle name="Input 15 2 3 2 3 3 6" xfId="15152" xr:uid="{00000000-0005-0000-0000-00005F3A0000}"/>
    <cellStyle name="Input 15 2 3 2 3 4" xfId="15153" xr:uid="{00000000-0005-0000-0000-0000603A0000}"/>
    <cellStyle name="Input 15 2 3 2 3 4 2" xfId="15154" xr:uid="{00000000-0005-0000-0000-0000613A0000}"/>
    <cellStyle name="Input 15 2 3 2 3 5" xfId="15155" xr:uid="{00000000-0005-0000-0000-0000623A0000}"/>
    <cellStyle name="Input 15 2 3 2 3 5 2" xfId="15156" xr:uid="{00000000-0005-0000-0000-0000633A0000}"/>
    <cellStyle name="Input 15 2 3 2 3 6" xfId="15157" xr:uid="{00000000-0005-0000-0000-0000643A0000}"/>
    <cellStyle name="Input 15 2 3 2 3 7" xfId="15158" xr:uid="{00000000-0005-0000-0000-0000653A0000}"/>
    <cellStyle name="Input 15 2 3 2 3 8" xfId="15159" xr:uid="{00000000-0005-0000-0000-0000663A0000}"/>
    <cellStyle name="Input 15 2 3 2 4" xfId="15160" xr:uid="{00000000-0005-0000-0000-0000673A0000}"/>
    <cellStyle name="Input 15 2 3 2 4 2" xfId="15161" xr:uid="{00000000-0005-0000-0000-0000683A0000}"/>
    <cellStyle name="Input 15 2 3 2 4 2 2" xfId="15162" xr:uid="{00000000-0005-0000-0000-0000693A0000}"/>
    <cellStyle name="Input 15 2 3 2 4 2 2 2" xfId="15163" xr:uid="{00000000-0005-0000-0000-00006A3A0000}"/>
    <cellStyle name="Input 15 2 3 2 4 2 3" xfId="15164" xr:uid="{00000000-0005-0000-0000-00006B3A0000}"/>
    <cellStyle name="Input 15 2 3 2 4 2 3 2" xfId="15165" xr:uid="{00000000-0005-0000-0000-00006C3A0000}"/>
    <cellStyle name="Input 15 2 3 2 4 2 4" xfId="15166" xr:uid="{00000000-0005-0000-0000-00006D3A0000}"/>
    <cellStyle name="Input 15 2 3 2 4 2 5" xfId="15167" xr:uid="{00000000-0005-0000-0000-00006E3A0000}"/>
    <cellStyle name="Input 15 2 3 2 4 2 6" xfId="15168" xr:uid="{00000000-0005-0000-0000-00006F3A0000}"/>
    <cellStyle name="Input 15 2 3 2 4 3" xfId="15169" xr:uid="{00000000-0005-0000-0000-0000703A0000}"/>
    <cellStyle name="Input 15 2 3 2 4 3 2" xfId="15170" xr:uid="{00000000-0005-0000-0000-0000713A0000}"/>
    <cellStyle name="Input 15 2 3 2 4 4" xfId="15171" xr:uid="{00000000-0005-0000-0000-0000723A0000}"/>
    <cellStyle name="Input 15 2 3 2 4 4 2" xfId="15172" xr:uid="{00000000-0005-0000-0000-0000733A0000}"/>
    <cellStyle name="Input 15 2 3 2 4 5" xfId="15173" xr:uid="{00000000-0005-0000-0000-0000743A0000}"/>
    <cellStyle name="Input 15 2 3 2 4 6" xfId="15174" xr:uid="{00000000-0005-0000-0000-0000753A0000}"/>
    <cellStyle name="Input 15 2 3 2 4 7" xfId="15175" xr:uid="{00000000-0005-0000-0000-0000763A0000}"/>
    <cellStyle name="Input 15 2 3 2 5" xfId="15176" xr:uid="{00000000-0005-0000-0000-0000773A0000}"/>
    <cellStyle name="Input 15 2 3 2 5 2" xfId="15177" xr:uid="{00000000-0005-0000-0000-0000783A0000}"/>
    <cellStyle name="Input 15 2 3 2 5 2 2" xfId="15178" xr:uid="{00000000-0005-0000-0000-0000793A0000}"/>
    <cellStyle name="Input 15 2 3 2 5 3" xfId="15179" xr:uid="{00000000-0005-0000-0000-00007A3A0000}"/>
    <cellStyle name="Input 15 2 3 2 5 3 2" xfId="15180" xr:uid="{00000000-0005-0000-0000-00007B3A0000}"/>
    <cellStyle name="Input 15 2 3 2 5 4" xfId="15181" xr:uid="{00000000-0005-0000-0000-00007C3A0000}"/>
    <cellStyle name="Input 15 2 3 2 5 5" xfId="15182" xr:uid="{00000000-0005-0000-0000-00007D3A0000}"/>
    <cellStyle name="Input 15 2 3 2 5 6" xfId="15183" xr:uid="{00000000-0005-0000-0000-00007E3A0000}"/>
    <cellStyle name="Input 15 2 3 2 6" xfId="15184" xr:uid="{00000000-0005-0000-0000-00007F3A0000}"/>
    <cellStyle name="Input 15 2 3 2 6 2" xfId="15185" xr:uid="{00000000-0005-0000-0000-0000803A0000}"/>
    <cellStyle name="Input 15 2 3 2 7" xfId="15186" xr:uid="{00000000-0005-0000-0000-0000813A0000}"/>
    <cellStyle name="Input 15 2 3 2 7 2" xfId="15187" xr:uid="{00000000-0005-0000-0000-0000823A0000}"/>
    <cellStyle name="Input 15 2 3 2 8" xfId="15188" xr:uid="{00000000-0005-0000-0000-0000833A0000}"/>
    <cellStyle name="Input 15 2 3 2 9" xfId="15189" xr:uid="{00000000-0005-0000-0000-0000843A0000}"/>
    <cellStyle name="Input 15 2 3 3" xfId="15190" xr:uid="{00000000-0005-0000-0000-0000853A0000}"/>
    <cellStyle name="Input 15 2 3 3 2" xfId="15191" xr:uid="{00000000-0005-0000-0000-0000863A0000}"/>
    <cellStyle name="Input 15 2 3 3 2 2" xfId="15192" xr:uid="{00000000-0005-0000-0000-0000873A0000}"/>
    <cellStyle name="Input 15 2 3 3 2 2 2" xfId="15193" xr:uid="{00000000-0005-0000-0000-0000883A0000}"/>
    <cellStyle name="Input 15 2 3 3 2 2 2 2" xfId="15194" xr:uid="{00000000-0005-0000-0000-0000893A0000}"/>
    <cellStyle name="Input 15 2 3 3 2 2 3" xfId="15195" xr:uid="{00000000-0005-0000-0000-00008A3A0000}"/>
    <cellStyle name="Input 15 2 3 3 2 2 3 2" xfId="15196" xr:uid="{00000000-0005-0000-0000-00008B3A0000}"/>
    <cellStyle name="Input 15 2 3 3 2 2 4" xfId="15197" xr:uid="{00000000-0005-0000-0000-00008C3A0000}"/>
    <cellStyle name="Input 15 2 3 3 2 2 5" xfId="15198" xr:uid="{00000000-0005-0000-0000-00008D3A0000}"/>
    <cellStyle name="Input 15 2 3 3 2 2 6" xfId="15199" xr:uid="{00000000-0005-0000-0000-00008E3A0000}"/>
    <cellStyle name="Input 15 2 3 3 2 3" xfId="15200" xr:uid="{00000000-0005-0000-0000-00008F3A0000}"/>
    <cellStyle name="Input 15 2 3 3 2 3 2" xfId="15201" xr:uid="{00000000-0005-0000-0000-0000903A0000}"/>
    <cellStyle name="Input 15 2 3 3 2 4" xfId="15202" xr:uid="{00000000-0005-0000-0000-0000913A0000}"/>
    <cellStyle name="Input 15 2 3 3 2 4 2" xfId="15203" xr:uid="{00000000-0005-0000-0000-0000923A0000}"/>
    <cellStyle name="Input 15 2 3 3 2 5" xfId="15204" xr:uid="{00000000-0005-0000-0000-0000933A0000}"/>
    <cellStyle name="Input 15 2 3 3 2 6" xfId="15205" xr:uid="{00000000-0005-0000-0000-0000943A0000}"/>
    <cellStyle name="Input 15 2 3 3 2 7" xfId="15206" xr:uid="{00000000-0005-0000-0000-0000953A0000}"/>
    <cellStyle name="Input 15 2 3 3 3" xfId="15207" xr:uid="{00000000-0005-0000-0000-0000963A0000}"/>
    <cellStyle name="Input 15 2 3 3 3 2" xfId="15208" xr:uid="{00000000-0005-0000-0000-0000973A0000}"/>
    <cellStyle name="Input 15 2 3 3 3 2 2" xfId="15209" xr:uid="{00000000-0005-0000-0000-0000983A0000}"/>
    <cellStyle name="Input 15 2 3 3 3 3" xfId="15210" xr:uid="{00000000-0005-0000-0000-0000993A0000}"/>
    <cellStyle name="Input 15 2 3 3 3 3 2" xfId="15211" xr:uid="{00000000-0005-0000-0000-00009A3A0000}"/>
    <cellStyle name="Input 15 2 3 3 3 4" xfId="15212" xr:uid="{00000000-0005-0000-0000-00009B3A0000}"/>
    <cellStyle name="Input 15 2 3 3 3 5" xfId="15213" xr:uid="{00000000-0005-0000-0000-00009C3A0000}"/>
    <cellStyle name="Input 15 2 3 3 3 6" xfId="15214" xr:uid="{00000000-0005-0000-0000-00009D3A0000}"/>
    <cellStyle name="Input 15 2 3 3 4" xfId="15215" xr:uid="{00000000-0005-0000-0000-00009E3A0000}"/>
    <cellStyle name="Input 15 2 3 3 4 2" xfId="15216" xr:uid="{00000000-0005-0000-0000-00009F3A0000}"/>
    <cellStyle name="Input 15 2 3 3 5" xfId="15217" xr:uid="{00000000-0005-0000-0000-0000A03A0000}"/>
    <cellStyle name="Input 15 2 3 3 5 2" xfId="15218" xr:uid="{00000000-0005-0000-0000-0000A13A0000}"/>
    <cellStyle name="Input 15 2 3 3 6" xfId="15219" xr:uid="{00000000-0005-0000-0000-0000A23A0000}"/>
    <cellStyle name="Input 15 2 3 3 7" xfId="15220" xr:uid="{00000000-0005-0000-0000-0000A33A0000}"/>
    <cellStyle name="Input 15 2 3 3 8" xfId="15221" xr:uid="{00000000-0005-0000-0000-0000A43A0000}"/>
    <cellStyle name="Input 15 2 3 4" xfId="15222" xr:uid="{00000000-0005-0000-0000-0000A53A0000}"/>
    <cellStyle name="Input 15 2 3 4 2" xfId="15223" xr:uid="{00000000-0005-0000-0000-0000A63A0000}"/>
    <cellStyle name="Input 15 2 3 4 2 2" xfId="15224" xr:uid="{00000000-0005-0000-0000-0000A73A0000}"/>
    <cellStyle name="Input 15 2 3 4 2 2 2" xfId="15225" xr:uid="{00000000-0005-0000-0000-0000A83A0000}"/>
    <cellStyle name="Input 15 2 3 4 2 3" xfId="15226" xr:uid="{00000000-0005-0000-0000-0000A93A0000}"/>
    <cellStyle name="Input 15 2 3 4 2 3 2" xfId="15227" xr:uid="{00000000-0005-0000-0000-0000AA3A0000}"/>
    <cellStyle name="Input 15 2 3 4 2 4" xfId="15228" xr:uid="{00000000-0005-0000-0000-0000AB3A0000}"/>
    <cellStyle name="Input 15 2 3 4 2 5" xfId="15229" xr:uid="{00000000-0005-0000-0000-0000AC3A0000}"/>
    <cellStyle name="Input 15 2 3 4 2 6" xfId="15230" xr:uid="{00000000-0005-0000-0000-0000AD3A0000}"/>
    <cellStyle name="Input 15 2 3 4 3" xfId="15231" xr:uid="{00000000-0005-0000-0000-0000AE3A0000}"/>
    <cellStyle name="Input 15 2 3 4 3 2" xfId="15232" xr:uid="{00000000-0005-0000-0000-0000AF3A0000}"/>
    <cellStyle name="Input 15 2 3 4 4" xfId="15233" xr:uid="{00000000-0005-0000-0000-0000B03A0000}"/>
    <cellStyle name="Input 15 2 3 4 4 2" xfId="15234" xr:uid="{00000000-0005-0000-0000-0000B13A0000}"/>
    <cellStyle name="Input 15 2 3 4 5" xfId="15235" xr:uid="{00000000-0005-0000-0000-0000B23A0000}"/>
    <cellStyle name="Input 15 2 3 4 6" xfId="15236" xr:uid="{00000000-0005-0000-0000-0000B33A0000}"/>
    <cellStyle name="Input 15 2 3 4 7" xfId="15237" xr:uid="{00000000-0005-0000-0000-0000B43A0000}"/>
    <cellStyle name="Input 15 2 3 5" xfId="15238" xr:uid="{00000000-0005-0000-0000-0000B53A0000}"/>
    <cellStyle name="Input 15 2 3 5 2" xfId="15239" xr:uid="{00000000-0005-0000-0000-0000B63A0000}"/>
    <cellStyle name="Input 15 2 3 5 2 2" xfId="15240" xr:uid="{00000000-0005-0000-0000-0000B73A0000}"/>
    <cellStyle name="Input 15 2 3 5 3" xfId="15241" xr:uid="{00000000-0005-0000-0000-0000B83A0000}"/>
    <cellStyle name="Input 15 2 3 5 3 2" xfId="15242" xr:uid="{00000000-0005-0000-0000-0000B93A0000}"/>
    <cellStyle name="Input 15 2 3 5 4" xfId="15243" xr:uid="{00000000-0005-0000-0000-0000BA3A0000}"/>
    <cellStyle name="Input 15 2 3 5 5" xfId="15244" xr:uid="{00000000-0005-0000-0000-0000BB3A0000}"/>
    <cellStyle name="Input 15 2 3 5 6" xfId="15245" xr:uid="{00000000-0005-0000-0000-0000BC3A0000}"/>
    <cellStyle name="Input 15 2 3 6" xfId="15246" xr:uid="{00000000-0005-0000-0000-0000BD3A0000}"/>
    <cellStyle name="Input 15 2 3 6 2" xfId="15247" xr:uid="{00000000-0005-0000-0000-0000BE3A0000}"/>
    <cellStyle name="Input 15 2 3 7" xfId="15248" xr:uid="{00000000-0005-0000-0000-0000BF3A0000}"/>
    <cellStyle name="Input 15 2 3 7 2" xfId="15249" xr:uid="{00000000-0005-0000-0000-0000C03A0000}"/>
    <cellStyle name="Input 15 2 3 8" xfId="15250" xr:uid="{00000000-0005-0000-0000-0000C13A0000}"/>
    <cellStyle name="Input 15 2 3 9" xfId="15251" xr:uid="{00000000-0005-0000-0000-0000C23A0000}"/>
    <cellStyle name="Input 15 2 4" xfId="15252" xr:uid="{00000000-0005-0000-0000-0000C33A0000}"/>
    <cellStyle name="Input 15 2 4 10" xfId="15253" xr:uid="{00000000-0005-0000-0000-0000C43A0000}"/>
    <cellStyle name="Input 15 2 4 2" xfId="15254" xr:uid="{00000000-0005-0000-0000-0000C53A0000}"/>
    <cellStyle name="Input 15 2 4 2 2" xfId="15255" xr:uid="{00000000-0005-0000-0000-0000C63A0000}"/>
    <cellStyle name="Input 15 2 4 2 2 2" xfId="15256" xr:uid="{00000000-0005-0000-0000-0000C73A0000}"/>
    <cellStyle name="Input 15 2 4 2 2 2 2" xfId="15257" xr:uid="{00000000-0005-0000-0000-0000C83A0000}"/>
    <cellStyle name="Input 15 2 4 2 2 2 2 2" xfId="15258" xr:uid="{00000000-0005-0000-0000-0000C93A0000}"/>
    <cellStyle name="Input 15 2 4 2 2 2 3" xfId="15259" xr:uid="{00000000-0005-0000-0000-0000CA3A0000}"/>
    <cellStyle name="Input 15 2 4 2 2 2 3 2" xfId="15260" xr:uid="{00000000-0005-0000-0000-0000CB3A0000}"/>
    <cellStyle name="Input 15 2 4 2 2 2 4" xfId="15261" xr:uid="{00000000-0005-0000-0000-0000CC3A0000}"/>
    <cellStyle name="Input 15 2 4 2 2 2 5" xfId="15262" xr:uid="{00000000-0005-0000-0000-0000CD3A0000}"/>
    <cellStyle name="Input 15 2 4 2 2 2 6" xfId="15263" xr:uid="{00000000-0005-0000-0000-0000CE3A0000}"/>
    <cellStyle name="Input 15 2 4 2 2 3" xfId="15264" xr:uid="{00000000-0005-0000-0000-0000CF3A0000}"/>
    <cellStyle name="Input 15 2 4 2 2 3 2" xfId="15265" xr:uid="{00000000-0005-0000-0000-0000D03A0000}"/>
    <cellStyle name="Input 15 2 4 2 2 4" xfId="15266" xr:uid="{00000000-0005-0000-0000-0000D13A0000}"/>
    <cellStyle name="Input 15 2 4 2 2 4 2" xfId="15267" xr:uid="{00000000-0005-0000-0000-0000D23A0000}"/>
    <cellStyle name="Input 15 2 4 2 2 5" xfId="15268" xr:uid="{00000000-0005-0000-0000-0000D33A0000}"/>
    <cellStyle name="Input 15 2 4 2 2 6" xfId="15269" xr:uid="{00000000-0005-0000-0000-0000D43A0000}"/>
    <cellStyle name="Input 15 2 4 2 2 7" xfId="15270" xr:uid="{00000000-0005-0000-0000-0000D53A0000}"/>
    <cellStyle name="Input 15 2 4 2 3" xfId="15271" xr:uid="{00000000-0005-0000-0000-0000D63A0000}"/>
    <cellStyle name="Input 15 2 4 2 3 2" xfId="15272" xr:uid="{00000000-0005-0000-0000-0000D73A0000}"/>
    <cellStyle name="Input 15 2 4 2 3 2 2" xfId="15273" xr:uid="{00000000-0005-0000-0000-0000D83A0000}"/>
    <cellStyle name="Input 15 2 4 2 3 3" xfId="15274" xr:uid="{00000000-0005-0000-0000-0000D93A0000}"/>
    <cellStyle name="Input 15 2 4 2 3 3 2" xfId="15275" xr:uid="{00000000-0005-0000-0000-0000DA3A0000}"/>
    <cellStyle name="Input 15 2 4 2 3 4" xfId="15276" xr:uid="{00000000-0005-0000-0000-0000DB3A0000}"/>
    <cellStyle name="Input 15 2 4 2 3 5" xfId="15277" xr:uid="{00000000-0005-0000-0000-0000DC3A0000}"/>
    <cellStyle name="Input 15 2 4 2 3 6" xfId="15278" xr:uid="{00000000-0005-0000-0000-0000DD3A0000}"/>
    <cellStyle name="Input 15 2 4 2 4" xfId="15279" xr:uid="{00000000-0005-0000-0000-0000DE3A0000}"/>
    <cellStyle name="Input 15 2 4 2 4 2" xfId="15280" xr:uid="{00000000-0005-0000-0000-0000DF3A0000}"/>
    <cellStyle name="Input 15 2 4 2 5" xfId="15281" xr:uid="{00000000-0005-0000-0000-0000E03A0000}"/>
    <cellStyle name="Input 15 2 4 2 5 2" xfId="15282" xr:uid="{00000000-0005-0000-0000-0000E13A0000}"/>
    <cellStyle name="Input 15 2 4 2 6" xfId="15283" xr:uid="{00000000-0005-0000-0000-0000E23A0000}"/>
    <cellStyle name="Input 15 2 4 2 7" xfId="15284" xr:uid="{00000000-0005-0000-0000-0000E33A0000}"/>
    <cellStyle name="Input 15 2 4 2 8" xfId="15285" xr:uid="{00000000-0005-0000-0000-0000E43A0000}"/>
    <cellStyle name="Input 15 2 4 3" xfId="15286" xr:uid="{00000000-0005-0000-0000-0000E53A0000}"/>
    <cellStyle name="Input 15 2 4 3 2" xfId="15287" xr:uid="{00000000-0005-0000-0000-0000E63A0000}"/>
    <cellStyle name="Input 15 2 4 3 2 2" xfId="15288" xr:uid="{00000000-0005-0000-0000-0000E73A0000}"/>
    <cellStyle name="Input 15 2 4 3 2 2 2" xfId="15289" xr:uid="{00000000-0005-0000-0000-0000E83A0000}"/>
    <cellStyle name="Input 15 2 4 3 2 2 2 2" xfId="15290" xr:uid="{00000000-0005-0000-0000-0000E93A0000}"/>
    <cellStyle name="Input 15 2 4 3 2 2 3" xfId="15291" xr:uid="{00000000-0005-0000-0000-0000EA3A0000}"/>
    <cellStyle name="Input 15 2 4 3 2 2 3 2" xfId="15292" xr:uid="{00000000-0005-0000-0000-0000EB3A0000}"/>
    <cellStyle name="Input 15 2 4 3 2 2 4" xfId="15293" xr:uid="{00000000-0005-0000-0000-0000EC3A0000}"/>
    <cellStyle name="Input 15 2 4 3 2 2 5" xfId="15294" xr:uid="{00000000-0005-0000-0000-0000ED3A0000}"/>
    <cellStyle name="Input 15 2 4 3 2 2 6" xfId="15295" xr:uid="{00000000-0005-0000-0000-0000EE3A0000}"/>
    <cellStyle name="Input 15 2 4 3 2 3" xfId="15296" xr:uid="{00000000-0005-0000-0000-0000EF3A0000}"/>
    <cellStyle name="Input 15 2 4 3 2 3 2" xfId="15297" xr:uid="{00000000-0005-0000-0000-0000F03A0000}"/>
    <cellStyle name="Input 15 2 4 3 2 4" xfId="15298" xr:uid="{00000000-0005-0000-0000-0000F13A0000}"/>
    <cellStyle name="Input 15 2 4 3 2 4 2" xfId="15299" xr:uid="{00000000-0005-0000-0000-0000F23A0000}"/>
    <cellStyle name="Input 15 2 4 3 2 5" xfId="15300" xr:uid="{00000000-0005-0000-0000-0000F33A0000}"/>
    <cellStyle name="Input 15 2 4 3 2 6" xfId="15301" xr:uid="{00000000-0005-0000-0000-0000F43A0000}"/>
    <cellStyle name="Input 15 2 4 3 2 7" xfId="15302" xr:uid="{00000000-0005-0000-0000-0000F53A0000}"/>
    <cellStyle name="Input 15 2 4 3 3" xfId="15303" xr:uid="{00000000-0005-0000-0000-0000F63A0000}"/>
    <cellStyle name="Input 15 2 4 3 3 2" xfId="15304" xr:uid="{00000000-0005-0000-0000-0000F73A0000}"/>
    <cellStyle name="Input 15 2 4 3 3 2 2" xfId="15305" xr:uid="{00000000-0005-0000-0000-0000F83A0000}"/>
    <cellStyle name="Input 15 2 4 3 3 3" xfId="15306" xr:uid="{00000000-0005-0000-0000-0000F93A0000}"/>
    <cellStyle name="Input 15 2 4 3 3 3 2" xfId="15307" xr:uid="{00000000-0005-0000-0000-0000FA3A0000}"/>
    <cellStyle name="Input 15 2 4 3 3 4" xfId="15308" xr:uid="{00000000-0005-0000-0000-0000FB3A0000}"/>
    <cellStyle name="Input 15 2 4 3 3 5" xfId="15309" xr:uid="{00000000-0005-0000-0000-0000FC3A0000}"/>
    <cellStyle name="Input 15 2 4 3 3 6" xfId="15310" xr:uid="{00000000-0005-0000-0000-0000FD3A0000}"/>
    <cellStyle name="Input 15 2 4 3 4" xfId="15311" xr:uid="{00000000-0005-0000-0000-0000FE3A0000}"/>
    <cellStyle name="Input 15 2 4 3 4 2" xfId="15312" xr:uid="{00000000-0005-0000-0000-0000FF3A0000}"/>
    <cellStyle name="Input 15 2 4 3 5" xfId="15313" xr:uid="{00000000-0005-0000-0000-0000003B0000}"/>
    <cellStyle name="Input 15 2 4 3 5 2" xfId="15314" xr:uid="{00000000-0005-0000-0000-0000013B0000}"/>
    <cellStyle name="Input 15 2 4 3 6" xfId="15315" xr:uid="{00000000-0005-0000-0000-0000023B0000}"/>
    <cellStyle name="Input 15 2 4 3 7" xfId="15316" xr:uid="{00000000-0005-0000-0000-0000033B0000}"/>
    <cellStyle name="Input 15 2 4 3 8" xfId="15317" xr:uid="{00000000-0005-0000-0000-0000043B0000}"/>
    <cellStyle name="Input 15 2 4 4" xfId="15318" xr:uid="{00000000-0005-0000-0000-0000053B0000}"/>
    <cellStyle name="Input 15 2 4 4 2" xfId="15319" xr:uid="{00000000-0005-0000-0000-0000063B0000}"/>
    <cellStyle name="Input 15 2 4 4 2 2" xfId="15320" xr:uid="{00000000-0005-0000-0000-0000073B0000}"/>
    <cellStyle name="Input 15 2 4 4 2 2 2" xfId="15321" xr:uid="{00000000-0005-0000-0000-0000083B0000}"/>
    <cellStyle name="Input 15 2 4 4 2 3" xfId="15322" xr:uid="{00000000-0005-0000-0000-0000093B0000}"/>
    <cellStyle name="Input 15 2 4 4 2 3 2" xfId="15323" xr:uid="{00000000-0005-0000-0000-00000A3B0000}"/>
    <cellStyle name="Input 15 2 4 4 2 4" xfId="15324" xr:uid="{00000000-0005-0000-0000-00000B3B0000}"/>
    <cellStyle name="Input 15 2 4 4 2 5" xfId="15325" xr:uid="{00000000-0005-0000-0000-00000C3B0000}"/>
    <cellStyle name="Input 15 2 4 4 2 6" xfId="15326" xr:uid="{00000000-0005-0000-0000-00000D3B0000}"/>
    <cellStyle name="Input 15 2 4 4 3" xfId="15327" xr:uid="{00000000-0005-0000-0000-00000E3B0000}"/>
    <cellStyle name="Input 15 2 4 4 3 2" xfId="15328" xr:uid="{00000000-0005-0000-0000-00000F3B0000}"/>
    <cellStyle name="Input 15 2 4 4 4" xfId="15329" xr:uid="{00000000-0005-0000-0000-0000103B0000}"/>
    <cellStyle name="Input 15 2 4 4 4 2" xfId="15330" xr:uid="{00000000-0005-0000-0000-0000113B0000}"/>
    <cellStyle name="Input 15 2 4 4 5" xfId="15331" xr:uid="{00000000-0005-0000-0000-0000123B0000}"/>
    <cellStyle name="Input 15 2 4 4 6" xfId="15332" xr:uid="{00000000-0005-0000-0000-0000133B0000}"/>
    <cellStyle name="Input 15 2 4 4 7" xfId="15333" xr:uid="{00000000-0005-0000-0000-0000143B0000}"/>
    <cellStyle name="Input 15 2 4 5" xfId="15334" xr:uid="{00000000-0005-0000-0000-0000153B0000}"/>
    <cellStyle name="Input 15 2 4 5 2" xfId="15335" xr:uid="{00000000-0005-0000-0000-0000163B0000}"/>
    <cellStyle name="Input 15 2 4 5 2 2" xfId="15336" xr:uid="{00000000-0005-0000-0000-0000173B0000}"/>
    <cellStyle name="Input 15 2 4 5 3" xfId="15337" xr:uid="{00000000-0005-0000-0000-0000183B0000}"/>
    <cellStyle name="Input 15 2 4 5 3 2" xfId="15338" xr:uid="{00000000-0005-0000-0000-0000193B0000}"/>
    <cellStyle name="Input 15 2 4 5 4" xfId="15339" xr:uid="{00000000-0005-0000-0000-00001A3B0000}"/>
    <cellStyle name="Input 15 2 4 5 5" xfId="15340" xr:uid="{00000000-0005-0000-0000-00001B3B0000}"/>
    <cellStyle name="Input 15 2 4 5 6" xfId="15341" xr:uid="{00000000-0005-0000-0000-00001C3B0000}"/>
    <cellStyle name="Input 15 2 4 6" xfId="15342" xr:uid="{00000000-0005-0000-0000-00001D3B0000}"/>
    <cellStyle name="Input 15 2 4 6 2" xfId="15343" xr:uid="{00000000-0005-0000-0000-00001E3B0000}"/>
    <cellStyle name="Input 15 2 4 7" xfId="15344" xr:uid="{00000000-0005-0000-0000-00001F3B0000}"/>
    <cellStyle name="Input 15 2 4 7 2" xfId="15345" xr:uid="{00000000-0005-0000-0000-0000203B0000}"/>
    <cellStyle name="Input 15 2 4 8" xfId="15346" xr:uid="{00000000-0005-0000-0000-0000213B0000}"/>
    <cellStyle name="Input 15 2 4 9" xfId="15347" xr:uid="{00000000-0005-0000-0000-0000223B0000}"/>
    <cellStyle name="Input 15 2 5" xfId="15348" xr:uid="{00000000-0005-0000-0000-0000233B0000}"/>
    <cellStyle name="Input 15 2 5 2" xfId="15349" xr:uid="{00000000-0005-0000-0000-0000243B0000}"/>
    <cellStyle name="Input 15 2 5 2 2" xfId="15350" xr:uid="{00000000-0005-0000-0000-0000253B0000}"/>
    <cellStyle name="Input 15 2 5 2 2 2" xfId="15351" xr:uid="{00000000-0005-0000-0000-0000263B0000}"/>
    <cellStyle name="Input 15 2 5 2 2 2 2" xfId="15352" xr:uid="{00000000-0005-0000-0000-0000273B0000}"/>
    <cellStyle name="Input 15 2 5 2 2 3" xfId="15353" xr:uid="{00000000-0005-0000-0000-0000283B0000}"/>
    <cellStyle name="Input 15 2 5 2 2 3 2" xfId="15354" xr:uid="{00000000-0005-0000-0000-0000293B0000}"/>
    <cellStyle name="Input 15 2 5 2 2 4" xfId="15355" xr:uid="{00000000-0005-0000-0000-00002A3B0000}"/>
    <cellStyle name="Input 15 2 5 2 2 5" xfId="15356" xr:uid="{00000000-0005-0000-0000-00002B3B0000}"/>
    <cellStyle name="Input 15 2 5 2 2 6" xfId="15357" xr:uid="{00000000-0005-0000-0000-00002C3B0000}"/>
    <cellStyle name="Input 15 2 5 2 3" xfId="15358" xr:uid="{00000000-0005-0000-0000-00002D3B0000}"/>
    <cellStyle name="Input 15 2 5 2 3 2" xfId="15359" xr:uid="{00000000-0005-0000-0000-00002E3B0000}"/>
    <cellStyle name="Input 15 2 5 2 4" xfId="15360" xr:uid="{00000000-0005-0000-0000-00002F3B0000}"/>
    <cellStyle name="Input 15 2 5 2 4 2" xfId="15361" xr:uid="{00000000-0005-0000-0000-0000303B0000}"/>
    <cellStyle name="Input 15 2 5 2 5" xfId="15362" xr:uid="{00000000-0005-0000-0000-0000313B0000}"/>
    <cellStyle name="Input 15 2 5 2 6" xfId="15363" xr:uid="{00000000-0005-0000-0000-0000323B0000}"/>
    <cellStyle name="Input 15 2 5 2 7" xfId="15364" xr:uid="{00000000-0005-0000-0000-0000333B0000}"/>
    <cellStyle name="Input 15 2 5 3" xfId="15365" xr:uid="{00000000-0005-0000-0000-0000343B0000}"/>
    <cellStyle name="Input 15 2 5 3 2" xfId="15366" xr:uid="{00000000-0005-0000-0000-0000353B0000}"/>
    <cellStyle name="Input 15 2 5 3 2 2" xfId="15367" xr:uid="{00000000-0005-0000-0000-0000363B0000}"/>
    <cellStyle name="Input 15 2 5 3 3" xfId="15368" xr:uid="{00000000-0005-0000-0000-0000373B0000}"/>
    <cellStyle name="Input 15 2 5 3 3 2" xfId="15369" xr:uid="{00000000-0005-0000-0000-0000383B0000}"/>
    <cellStyle name="Input 15 2 5 3 4" xfId="15370" xr:uid="{00000000-0005-0000-0000-0000393B0000}"/>
    <cellStyle name="Input 15 2 5 3 5" xfId="15371" xr:uid="{00000000-0005-0000-0000-00003A3B0000}"/>
    <cellStyle name="Input 15 2 5 3 6" xfId="15372" xr:uid="{00000000-0005-0000-0000-00003B3B0000}"/>
    <cellStyle name="Input 15 2 5 4" xfId="15373" xr:uid="{00000000-0005-0000-0000-00003C3B0000}"/>
    <cellStyle name="Input 15 2 5 4 2" xfId="15374" xr:uid="{00000000-0005-0000-0000-00003D3B0000}"/>
    <cellStyle name="Input 15 2 5 5" xfId="15375" xr:uid="{00000000-0005-0000-0000-00003E3B0000}"/>
    <cellStyle name="Input 15 2 5 5 2" xfId="15376" xr:uid="{00000000-0005-0000-0000-00003F3B0000}"/>
    <cellStyle name="Input 15 2 5 6" xfId="15377" xr:uid="{00000000-0005-0000-0000-0000403B0000}"/>
    <cellStyle name="Input 15 2 5 7" xfId="15378" xr:uid="{00000000-0005-0000-0000-0000413B0000}"/>
    <cellStyle name="Input 15 2 5 8" xfId="15379" xr:uid="{00000000-0005-0000-0000-0000423B0000}"/>
    <cellStyle name="Input 15 2 6" xfId="15380" xr:uid="{00000000-0005-0000-0000-0000433B0000}"/>
    <cellStyle name="Input 15 2 6 2" xfId="15381" xr:uid="{00000000-0005-0000-0000-0000443B0000}"/>
    <cellStyle name="Input 15 2 6 2 2" xfId="15382" xr:uid="{00000000-0005-0000-0000-0000453B0000}"/>
    <cellStyle name="Input 15 2 6 2 2 2" xfId="15383" xr:uid="{00000000-0005-0000-0000-0000463B0000}"/>
    <cellStyle name="Input 15 2 6 2 3" xfId="15384" xr:uid="{00000000-0005-0000-0000-0000473B0000}"/>
    <cellStyle name="Input 15 2 6 2 3 2" xfId="15385" xr:uid="{00000000-0005-0000-0000-0000483B0000}"/>
    <cellStyle name="Input 15 2 6 2 4" xfId="15386" xr:uid="{00000000-0005-0000-0000-0000493B0000}"/>
    <cellStyle name="Input 15 2 6 2 5" xfId="15387" xr:uid="{00000000-0005-0000-0000-00004A3B0000}"/>
    <cellStyle name="Input 15 2 6 2 6" xfId="15388" xr:uid="{00000000-0005-0000-0000-00004B3B0000}"/>
    <cellStyle name="Input 15 2 6 3" xfId="15389" xr:uid="{00000000-0005-0000-0000-00004C3B0000}"/>
    <cellStyle name="Input 15 2 6 3 2" xfId="15390" xr:uid="{00000000-0005-0000-0000-00004D3B0000}"/>
    <cellStyle name="Input 15 2 6 4" xfId="15391" xr:uid="{00000000-0005-0000-0000-00004E3B0000}"/>
    <cellStyle name="Input 15 2 6 4 2" xfId="15392" xr:uid="{00000000-0005-0000-0000-00004F3B0000}"/>
    <cellStyle name="Input 15 2 6 5" xfId="15393" xr:uid="{00000000-0005-0000-0000-0000503B0000}"/>
    <cellStyle name="Input 15 2 6 6" xfId="15394" xr:uid="{00000000-0005-0000-0000-0000513B0000}"/>
    <cellStyle name="Input 15 2 6 7" xfId="15395" xr:uid="{00000000-0005-0000-0000-0000523B0000}"/>
    <cellStyle name="Input 15 2 7" xfId="15396" xr:uid="{00000000-0005-0000-0000-0000533B0000}"/>
    <cellStyle name="Input 15 2 7 2" xfId="15397" xr:uid="{00000000-0005-0000-0000-0000543B0000}"/>
    <cellStyle name="Input 15 2 7 2 2" xfId="15398" xr:uid="{00000000-0005-0000-0000-0000553B0000}"/>
    <cellStyle name="Input 15 2 7 3" xfId="15399" xr:uid="{00000000-0005-0000-0000-0000563B0000}"/>
    <cellStyle name="Input 15 2 7 3 2" xfId="15400" xr:uid="{00000000-0005-0000-0000-0000573B0000}"/>
    <cellStyle name="Input 15 2 7 4" xfId="15401" xr:uid="{00000000-0005-0000-0000-0000583B0000}"/>
    <cellStyle name="Input 15 2 7 5" xfId="15402" xr:uid="{00000000-0005-0000-0000-0000593B0000}"/>
    <cellStyle name="Input 15 2 7 6" xfId="15403" xr:uid="{00000000-0005-0000-0000-00005A3B0000}"/>
    <cellStyle name="Input 15 2 8" xfId="15404" xr:uid="{00000000-0005-0000-0000-00005B3B0000}"/>
    <cellStyle name="Input 15 2 8 2" xfId="15405" xr:uid="{00000000-0005-0000-0000-00005C3B0000}"/>
    <cellStyle name="Input 15 2 9" xfId="15406" xr:uid="{00000000-0005-0000-0000-00005D3B0000}"/>
    <cellStyle name="Input 15 2 9 2" xfId="15407" xr:uid="{00000000-0005-0000-0000-00005E3B0000}"/>
    <cellStyle name="Input 15 3" xfId="15408" xr:uid="{00000000-0005-0000-0000-00005F3B0000}"/>
    <cellStyle name="Input 15 3 10" xfId="15409" xr:uid="{00000000-0005-0000-0000-0000603B0000}"/>
    <cellStyle name="Input 15 3 11" xfId="15410" xr:uid="{00000000-0005-0000-0000-0000613B0000}"/>
    <cellStyle name="Input 15 3 2" xfId="15411" xr:uid="{00000000-0005-0000-0000-0000623B0000}"/>
    <cellStyle name="Input 15 3 2 10" xfId="15412" xr:uid="{00000000-0005-0000-0000-0000633B0000}"/>
    <cellStyle name="Input 15 3 2 2" xfId="15413" xr:uid="{00000000-0005-0000-0000-0000643B0000}"/>
    <cellStyle name="Input 15 3 2 2 10" xfId="15414" xr:uid="{00000000-0005-0000-0000-0000653B0000}"/>
    <cellStyle name="Input 15 3 2 2 2" xfId="15415" xr:uid="{00000000-0005-0000-0000-0000663B0000}"/>
    <cellStyle name="Input 15 3 2 2 2 2" xfId="15416" xr:uid="{00000000-0005-0000-0000-0000673B0000}"/>
    <cellStyle name="Input 15 3 2 2 2 2 2" xfId="15417" xr:uid="{00000000-0005-0000-0000-0000683B0000}"/>
    <cellStyle name="Input 15 3 2 2 2 2 2 2" xfId="15418" xr:uid="{00000000-0005-0000-0000-0000693B0000}"/>
    <cellStyle name="Input 15 3 2 2 2 2 2 2 2" xfId="15419" xr:uid="{00000000-0005-0000-0000-00006A3B0000}"/>
    <cellStyle name="Input 15 3 2 2 2 2 2 3" xfId="15420" xr:uid="{00000000-0005-0000-0000-00006B3B0000}"/>
    <cellStyle name="Input 15 3 2 2 2 2 2 3 2" xfId="15421" xr:uid="{00000000-0005-0000-0000-00006C3B0000}"/>
    <cellStyle name="Input 15 3 2 2 2 2 2 4" xfId="15422" xr:uid="{00000000-0005-0000-0000-00006D3B0000}"/>
    <cellStyle name="Input 15 3 2 2 2 2 2 5" xfId="15423" xr:uid="{00000000-0005-0000-0000-00006E3B0000}"/>
    <cellStyle name="Input 15 3 2 2 2 2 2 6" xfId="15424" xr:uid="{00000000-0005-0000-0000-00006F3B0000}"/>
    <cellStyle name="Input 15 3 2 2 2 2 3" xfId="15425" xr:uid="{00000000-0005-0000-0000-0000703B0000}"/>
    <cellStyle name="Input 15 3 2 2 2 2 3 2" xfId="15426" xr:uid="{00000000-0005-0000-0000-0000713B0000}"/>
    <cellStyle name="Input 15 3 2 2 2 2 4" xfId="15427" xr:uid="{00000000-0005-0000-0000-0000723B0000}"/>
    <cellStyle name="Input 15 3 2 2 2 2 4 2" xfId="15428" xr:uid="{00000000-0005-0000-0000-0000733B0000}"/>
    <cellStyle name="Input 15 3 2 2 2 2 5" xfId="15429" xr:uid="{00000000-0005-0000-0000-0000743B0000}"/>
    <cellStyle name="Input 15 3 2 2 2 2 6" xfId="15430" xr:uid="{00000000-0005-0000-0000-0000753B0000}"/>
    <cellStyle name="Input 15 3 2 2 2 2 7" xfId="15431" xr:uid="{00000000-0005-0000-0000-0000763B0000}"/>
    <cellStyle name="Input 15 3 2 2 2 3" xfId="15432" xr:uid="{00000000-0005-0000-0000-0000773B0000}"/>
    <cellStyle name="Input 15 3 2 2 2 3 2" xfId="15433" xr:uid="{00000000-0005-0000-0000-0000783B0000}"/>
    <cellStyle name="Input 15 3 2 2 2 3 2 2" xfId="15434" xr:uid="{00000000-0005-0000-0000-0000793B0000}"/>
    <cellStyle name="Input 15 3 2 2 2 3 3" xfId="15435" xr:uid="{00000000-0005-0000-0000-00007A3B0000}"/>
    <cellStyle name="Input 15 3 2 2 2 3 3 2" xfId="15436" xr:uid="{00000000-0005-0000-0000-00007B3B0000}"/>
    <cellStyle name="Input 15 3 2 2 2 3 4" xfId="15437" xr:uid="{00000000-0005-0000-0000-00007C3B0000}"/>
    <cellStyle name="Input 15 3 2 2 2 3 5" xfId="15438" xr:uid="{00000000-0005-0000-0000-00007D3B0000}"/>
    <cellStyle name="Input 15 3 2 2 2 3 6" xfId="15439" xr:uid="{00000000-0005-0000-0000-00007E3B0000}"/>
    <cellStyle name="Input 15 3 2 2 2 4" xfId="15440" xr:uid="{00000000-0005-0000-0000-00007F3B0000}"/>
    <cellStyle name="Input 15 3 2 2 2 4 2" xfId="15441" xr:uid="{00000000-0005-0000-0000-0000803B0000}"/>
    <cellStyle name="Input 15 3 2 2 2 5" xfId="15442" xr:uid="{00000000-0005-0000-0000-0000813B0000}"/>
    <cellStyle name="Input 15 3 2 2 2 5 2" xfId="15443" xr:uid="{00000000-0005-0000-0000-0000823B0000}"/>
    <cellStyle name="Input 15 3 2 2 2 6" xfId="15444" xr:uid="{00000000-0005-0000-0000-0000833B0000}"/>
    <cellStyle name="Input 15 3 2 2 2 7" xfId="15445" xr:uid="{00000000-0005-0000-0000-0000843B0000}"/>
    <cellStyle name="Input 15 3 2 2 2 8" xfId="15446" xr:uid="{00000000-0005-0000-0000-0000853B0000}"/>
    <cellStyle name="Input 15 3 2 2 3" xfId="15447" xr:uid="{00000000-0005-0000-0000-0000863B0000}"/>
    <cellStyle name="Input 15 3 2 2 3 2" xfId="15448" xr:uid="{00000000-0005-0000-0000-0000873B0000}"/>
    <cellStyle name="Input 15 3 2 2 3 2 2" xfId="15449" xr:uid="{00000000-0005-0000-0000-0000883B0000}"/>
    <cellStyle name="Input 15 3 2 2 3 2 2 2" xfId="15450" xr:uid="{00000000-0005-0000-0000-0000893B0000}"/>
    <cellStyle name="Input 15 3 2 2 3 2 2 2 2" xfId="15451" xr:uid="{00000000-0005-0000-0000-00008A3B0000}"/>
    <cellStyle name="Input 15 3 2 2 3 2 2 3" xfId="15452" xr:uid="{00000000-0005-0000-0000-00008B3B0000}"/>
    <cellStyle name="Input 15 3 2 2 3 2 2 3 2" xfId="15453" xr:uid="{00000000-0005-0000-0000-00008C3B0000}"/>
    <cellStyle name="Input 15 3 2 2 3 2 2 4" xfId="15454" xr:uid="{00000000-0005-0000-0000-00008D3B0000}"/>
    <cellStyle name="Input 15 3 2 2 3 2 2 5" xfId="15455" xr:uid="{00000000-0005-0000-0000-00008E3B0000}"/>
    <cellStyle name="Input 15 3 2 2 3 2 2 6" xfId="15456" xr:uid="{00000000-0005-0000-0000-00008F3B0000}"/>
    <cellStyle name="Input 15 3 2 2 3 2 3" xfId="15457" xr:uid="{00000000-0005-0000-0000-0000903B0000}"/>
    <cellStyle name="Input 15 3 2 2 3 2 3 2" xfId="15458" xr:uid="{00000000-0005-0000-0000-0000913B0000}"/>
    <cellStyle name="Input 15 3 2 2 3 2 4" xfId="15459" xr:uid="{00000000-0005-0000-0000-0000923B0000}"/>
    <cellStyle name="Input 15 3 2 2 3 2 4 2" xfId="15460" xr:uid="{00000000-0005-0000-0000-0000933B0000}"/>
    <cellStyle name="Input 15 3 2 2 3 2 5" xfId="15461" xr:uid="{00000000-0005-0000-0000-0000943B0000}"/>
    <cellStyle name="Input 15 3 2 2 3 2 6" xfId="15462" xr:uid="{00000000-0005-0000-0000-0000953B0000}"/>
    <cellStyle name="Input 15 3 2 2 3 2 7" xfId="15463" xr:uid="{00000000-0005-0000-0000-0000963B0000}"/>
    <cellStyle name="Input 15 3 2 2 3 3" xfId="15464" xr:uid="{00000000-0005-0000-0000-0000973B0000}"/>
    <cellStyle name="Input 15 3 2 2 3 3 2" xfId="15465" xr:uid="{00000000-0005-0000-0000-0000983B0000}"/>
    <cellStyle name="Input 15 3 2 2 3 3 2 2" xfId="15466" xr:uid="{00000000-0005-0000-0000-0000993B0000}"/>
    <cellStyle name="Input 15 3 2 2 3 3 3" xfId="15467" xr:uid="{00000000-0005-0000-0000-00009A3B0000}"/>
    <cellStyle name="Input 15 3 2 2 3 3 3 2" xfId="15468" xr:uid="{00000000-0005-0000-0000-00009B3B0000}"/>
    <cellStyle name="Input 15 3 2 2 3 3 4" xfId="15469" xr:uid="{00000000-0005-0000-0000-00009C3B0000}"/>
    <cellStyle name="Input 15 3 2 2 3 3 5" xfId="15470" xr:uid="{00000000-0005-0000-0000-00009D3B0000}"/>
    <cellStyle name="Input 15 3 2 2 3 3 6" xfId="15471" xr:uid="{00000000-0005-0000-0000-00009E3B0000}"/>
    <cellStyle name="Input 15 3 2 2 3 4" xfId="15472" xr:uid="{00000000-0005-0000-0000-00009F3B0000}"/>
    <cellStyle name="Input 15 3 2 2 3 4 2" xfId="15473" xr:uid="{00000000-0005-0000-0000-0000A03B0000}"/>
    <cellStyle name="Input 15 3 2 2 3 5" xfId="15474" xr:uid="{00000000-0005-0000-0000-0000A13B0000}"/>
    <cellStyle name="Input 15 3 2 2 3 5 2" xfId="15475" xr:uid="{00000000-0005-0000-0000-0000A23B0000}"/>
    <cellStyle name="Input 15 3 2 2 3 6" xfId="15476" xr:uid="{00000000-0005-0000-0000-0000A33B0000}"/>
    <cellStyle name="Input 15 3 2 2 3 7" xfId="15477" xr:uid="{00000000-0005-0000-0000-0000A43B0000}"/>
    <cellStyle name="Input 15 3 2 2 3 8" xfId="15478" xr:uid="{00000000-0005-0000-0000-0000A53B0000}"/>
    <cellStyle name="Input 15 3 2 2 4" xfId="15479" xr:uid="{00000000-0005-0000-0000-0000A63B0000}"/>
    <cellStyle name="Input 15 3 2 2 4 2" xfId="15480" xr:uid="{00000000-0005-0000-0000-0000A73B0000}"/>
    <cellStyle name="Input 15 3 2 2 4 2 2" xfId="15481" xr:uid="{00000000-0005-0000-0000-0000A83B0000}"/>
    <cellStyle name="Input 15 3 2 2 4 2 2 2" xfId="15482" xr:uid="{00000000-0005-0000-0000-0000A93B0000}"/>
    <cellStyle name="Input 15 3 2 2 4 2 3" xfId="15483" xr:uid="{00000000-0005-0000-0000-0000AA3B0000}"/>
    <cellStyle name="Input 15 3 2 2 4 2 3 2" xfId="15484" xr:uid="{00000000-0005-0000-0000-0000AB3B0000}"/>
    <cellStyle name="Input 15 3 2 2 4 2 4" xfId="15485" xr:uid="{00000000-0005-0000-0000-0000AC3B0000}"/>
    <cellStyle name="Input 15 3 2 2 4 2 5" xfId="15486" xr:uid="{00000000-0005-0000-0000-0000AD3B0000}"/>
    <cellStyle name="Input 15 3 2 2 4 2 6" xfId="15487" xr:uid="{00000000-0005-0000-0000-0000AE3B0000}"/>
    <cellStyle name="Input 15 3 2 2 4 3" xfId="15488" xr:uid="{00000000-0005-0000-0000-0000AF3B0000}"/>
    <cellStyle name="Input 15 3 2 2 4 3 2" xfId="15489" xr:uid="{00000000-0005-0000-0000-0000B03B0000}"/>
    <cellStyle name="Input 15 3 2 2 4 4" xfId="15490" xr:uid="{00000000-0005-0000-0000-0000B13B0000}"/>
    <cellStyle name="Input 15 3 2 2 4 4 2" xfId="15491" xr:uid="{00000000-0005-0000-0000-0000B23B0000}"/>
    <cellStyle name="Input 15 3 2 2 4 5" xfId="15492" xr:uid="{00000000-0005-0000-0000-0000B33B0000}"/>
    <cellStyle name="Input 15 3 2 2 4 6" xfId="15493" xr:uid="{00000000-0005-0000-0000-0000B43B0000}"/>
    <cellStyle name="Input 15 3 2 2 4 7" xfId="15494" xr:uid="{00000000-0005-0000-0000-0000B53B0000}"/>
    <cellStyle name="Input 15 3 2 2 5" xfId="15495" xr:uid="{00000000-0005-0000-0000-0000B63B0000}"/>
    <cellStyle name="Input 15 3 2 2 5 2" xfId="15496" xr:uid="{00000000-0005-0000-0000-0000B73B0000}"/>
    <cellStyle name="Input 15 3 2 2 5 2 2" xfId="15497" xr:uid="{00000000-0005-0000-0000-0000B83B0000}"/>
    <cellStyle name="Input 15 3 2 2 5 3" xfId="15498" xr:uid="{00000000-0005-0000-0000-0000B93B0000}"/>
    <cellStyle name="Input 15 3 2 2 5 3 2" xfId="15499" xr:uid="{00000000-0005-0000-0000-0000BA3B0000}"/>
    <cellStyle name="Input 15 3 2 2 5 4" xfId="15500" xr:uid="{00000000-0005-0000-0000-0000BB3B0000}"/>
    <cellStyle name="Input 15 3 2 2 5 5" xfId="15501" xr:uid="{00000000-0005-0000-0000-0000BC3B0000}"/>
    <cellStyle name="Input 15 3 2 2 5 6" xfId="15502" xr:uid="{00000000-0005-0000-0000-0000BD3B0000}"/>
    <cellStyle name="Input 15 3 2 2 6" xfId="15503" xr:uid="{00000000-0005-0000-0000-0000BE3B0000}"/>
    <cellStyle name="Input 15 3 2 2 6 2" xfId="15504" xr:uid="{00000000-0005-0000-0000-0000BF3B0000}"/>
    <cellStyle name="Input 15 3 2 2 7" xfId="15505" xr:uid="{00000000-0005-0000-0000-0000C03B0000}"/>
    <cellStyle name="Input 15 3 2 2 7 2" xfId="15506" xr:uid="{00000000-0005-0000-0000-0000C13B0000}"/>
    <cellStyle name="Input 15 3 2 2 8" xfId="15507" xr:uid="{00000000-0005-0000-0000-0000C23B0000}"/>
    <cellStyle name="Input 15 3 2 2 9" xfId="15508" xr:uid="{00000000-0005-0000-0000-0000C33B0000}"/>
    <cellStyle name="Input 15 3 2 3" xfId="15509" xr:uid="{00000000-0005-0000-0000-0000C43B0000}"/>
    <cellStyle name="Input 15 3 2 3 2" xfId="15510" xr:uid="{00000000-0005-0000-0000-0000C53B0000}"/>
    <cellStyle name="Input 15 3 2 3 2 2" xfId="15511" xr:uid="{00000000-0005-0000-0000-0000C63B0000}"/>
    <cellStyle name="Input 15 3 2 3 2 2 2" xfId="15512" xr:uid="{00000000-0005-0000-0000-0000C73B0000}"/>
    <cellStyle name="Input 15 3 2 3 2 2 2 2" xfId="15513" xr:uid="{00000000-0005-0000-0000-0000C83B0000}"/>
    <cellStyle name="Input 15 3 2 3 2 2 3" xfId="15514" xr:uid="{00000000-0005-0000-0000-0000C93B0000}"/>
    <cellStyle name="Input 15 3 2 3 2 2 3 2" xfId="15515" xr:uid="{00000000-0005-0000-0000-0000CA3B0000}"/>
    <cellStyle name="Input 15 3 2 3 2 2 4" xfId="15516" xr:uid="{00000000-0005-0000-0000-0000CB3B0000}"/>
    <cellStyle name="Input 15 3 2 3 2 2 5" xfId="15517" xr:uid="{00000000-0005-0000-0000-0000CC3B0000}"/>
    <cellStyle name="Input 15 3 2 3 2 2 6" xfId="15518" xr:uid="{00000000-0005-0000-0000-0000CD3B0000}"/>
    <cellStyle name="Input 15 3 2 3 2 3" xfId="15519" xr:uid="{00000000-0005-0000-0000-0000CE3B0000}"/>
    <cellStyle name="Input 15 3 2 3 2 3 2" xfId="15520" xr:uid="{00000000-0005-0000-0000-0000CF3B0000}"/>
    <cellStyle name="Input 15 3 2 3 2 4" xfId="15521" xr:uid="{00000000-0005-0000-0000-0000D03B0000}"/>
    <cellStyle name="Input 15 3 2 3 2 4 2" xfId="15522" xr:uid="{00000000-0005-0000-0000-0000D13B0000}"/>
    <cellStyle name="Input 15 3 2 3 2 5" xfId="15523" xr:uid="{00000000-0005-0000-0000-0000D23B0000}"/>
    <cellStyle name="Input 15 3 2 3 2 6" xfId="15524" xr:uid="{00000000-0005-0000-0000-0000D33B0000}"/>
    <cellStyle name="Input 15 3 2 3 2 7" xfId="15525" xr:uid="{00000000-0005-0000-0000-0000D43B0000}"/>
    <cellStyle name="Input 15 3 2 3 3" xfId="15526" xr:uid="{00000000-0005-0000-0000-0000D53B0000}"/>
    <cellStyle name="Input 15 3 2 3 3 2" xfId="15527" xr:uid="{00000000-0005-0000-0000-0000D63B0000}"/>
    <cellStyle name="Input 15 3 2 3 3 2 2" xfId="15528" xr:uid="{00000000-0005-0000-0000-0000D73B0000}"/>
    <cellStyle name="Input 15 3 2 3 3 3" xfId="15529" xr:uid="{00000000-0005-0000-0000-0000D83B0000}"/>
    <cellStyle name="Input 15 3 2 3 3 3 2" xfId="15530" xr:uid="{00000000-0005-0000-0000-0000D93B0000}"/>
    <cellStyle name="Input 15 3 2 3 3 4" xfId="15531" xr:uid="{00000000-0005-0000-0000-0000DA3B0000}"/>
    <cellStyle name="Input 15 3 2 3 3 5" xfId="15532" xr:uid="{00000000-0005-0000-0000-0000DB3B0000}"/>
    <cellStyle name="Input 15 3 2 3 3 6" xfId="15533" xr:uid="{00000000-0005-0000-0000-0000DC3B0000}"/>
    <cellStyle name="Input 15 3 2 3 4" xfId="15534" xr:uid="{00000000-0005-0000-0000-0000DD3B0000}"/>
    <cellStyle name="Input 15 3 2 3 4 2" xfId="15535" xr:uid="{00000000-0005-0000-0000-0000DE3B0000}"/>
    <cellStyle name="Input 15 3 2 3 5" xfId="15536" xr:uid="{00000000-0005-0000-0000-0000DF3B0000}"/>
    <cellStyle name="Input 15 3 2 3 5 2" xfId="15537" xr:uid="{00000000-0005-0000-0000-0000E03B0000}"/>
    <cellStyle name="Input 15 3 2 3 6" xfId="15538" xr:uid="{00000000-0005-0000-0000-0000E13B0000}"/>
    <cellStyle name="Input 15 3 2 3 7" xfId="15539" xr:uid="{00000000-0005-0000-0000-0000E23B0000}"/>
    <cellStyle name="Input 15 3 2 3 8" xfId="15540" xr:uid="{00000000-0005-0000-0000-0000E33B0000}"/>
    <cellStyle name="Input 15 3 2 4" xfId="15541" xr:uid="{00000000-0005-0000-0000-0000E43B0000}"/>
    <cellStyle name="Input 15 3 2 4 2" xfId="15542" xr:uid="{00000000-0005-0000-0000-0000E53B0000}"/>
    <cellStyle name="Input 15 3 2 4 2 2" xfId="15543" xr:uid="{00000000-0005-0000-0000-0000E63B0000}"/>
    <cellStyle name="Input 15 3 2 4 2 2 2" xfId="15544" xr:uid="{00000000-0005-0000-0000-0000E73B0000}"/>
    <cellStyle name="Input 15 3 2 4 2 3" xfId="15545" xr:uid="{00000000-0005-0000-0000-0000E83B0000}"/>
    <cellStyle name="Input 15 3 2 4 2 3 2" xfId="15546" xr:uid="{00000000-0005-0000-0000-0000E93B0000}"/>
    <cellStyle name="Input 15 3 2 4 2 4" xfId="15547" xr:uid="{00000000-0005-0000-0000-0000EA3B0000}"/>
    <cellStyle name="Input 15 3 2 4 2 5" xfId="15548" xr:uid="{00000000-0005-0000-0000-0000EB3B0000}"/>
    <cellStyle name="Input 15 3 2 4 2 6" xfId="15549" xr:uid="{00000000-0005-0000-0000-0000EC3B0000}"/>
    <cellStyle name="Input 15 3 2 4 3" xfId="15550" xr:uid="{00000000-0005-0000-0000-0000ED3B0000}"/>
    <cellStyle name="Input 15 3 2 4 3 2" xfId="15551" xr:uid="{00000000-0005-0000-0000-0000EE3B0000}"/>
    <cellStyle name="Input 15 3 2 4 4" xfId="15552" xr:uid="{00000000-0005-0000-0000-0000EF3B0000}"/>
    <cellStyle name="Input 15 3 2 4 4 2" xfId="15553" xr:uid="{00000000-0005-0000-0000-0000F03B0000}"/>
    <cellStyle name="Input 15 3 2 4 5" xfId="15554" xr:uid="{00000000-0005-0000-0000-0000F13B0000}"/>
    <cellStyle name="Input 15 3 2 4 6" xfId="15555" xr:uid="{00000000-0005-0000-0000-0000F23B0000}"/>
    <cellStyle name="Input 15 3 2 4 7" xfId="15556" xr:uid="{00000000-0005-0000-0000-0000F33B0000}"/>
    <cellStyle name="Input 15 3 2 5" xfId="15557" xr:uid="{00000000-0005-0000-0000-0000F43B0000}"/>
    <cellStyle name="Input 15 3 2 5 2" xfId="15558" xr:uid="{00000000-0005-0000-0000-0000F53B0000}"/>
    <cellStyle name="Input 15 3 2 5 2 2" xfId="15559" xr:uid="{00000000-0005-0000-0000-0000F63B0000}"/>
    <cellStyle name="Input 15 3 2 5 3" xfId="15560" xr:uid="{00000000-0005-0000-0000-0000F73B0000}"/>
    <cellStyle name="Input 15 3 2 5 3 2" xfId="15561" xr:uid="{00000000-0005-0000-0000-0000F83B0000}"/>
    <cellStyle name="Input 15 3 2 5 4" xfId="15562" xr:uid="{00000000-0005-0000-0000-0000F93B0000}"/>
    <cellStyle name="Input 15 3 2 5 5" xfId="15563" xr:uid="{00000000-0005-0000-0000-0000FA3B0000}"/>
    <cellStyle name="Input 15 3 2 5 6" xfId="15564" xr:uid="{00000000-0005-0000-0000-0000FB3B0000}"/>
    <cellStyle name="Input 15 3 2 6" xfId="15565" xr:uid="{00000000-0005-0000-0000-0000FC3B0000}"/>
    <cellStyle name="Input 15 3 2 6 2" xfId="15566" xr:uid="{00000000-0005-0000-0000-0000FD3B0000}"/>
    <cellStyle name="Input 15 3 2 7" xfId="15567" xr:uid="{00000000-0005-0000-0000-0000FE3B0000}"/>
    <cellStyle name="Input 15 3 2 7 2" xfId="15568" xr:uid="{00000000-0005-0000-0000-0000FF3B0000}"/>
    <cellStyle name="Input 15 3 2 8" xfId="15569" xr:uid="{00000000-0005-0000-0000-0000003C0000}"/>
    <cellStyle name="Input 15 3 2 9" xfId="15570" xr:uid="{00000000-0005-0000-0000-0000013C0000}"/>
    <cellStyle name="Input 15 3 3" xfId="15571" xr:uid="{00000000-0005-0000-0000-0000023C0000}"/>
    <cellStyle name="Input 15 3 3 10" xfId="15572" xr:uid="{00000000-0005-0000-0000-0000033C0000}"/>
    <cellStyle name="Input 15 3 3 2" xfId="15573" xr:uid="{00000000-0005-0000-0000-0000043C0000}"/>
    <cellStyle name="Input 15 3 3 2 2" xfId="15574" xr:uid="{00000000-0005-0000-0000-0000053C0000}"/>
    <cellStyle name="Input 15 3 3 2 2 2" xfId="15575" xr:uid="{00000000-0005-0000-0000-0000063C0000}"/>
    <cellStyle name="Input 15 3 3 2 2 2 2" xfId="15576" xr:uid="{00000000-0005-0000-0000-0000073C0000}"/>
    <cellStyle name="Input 15 3 3 2 2 2 2 2" xfId="15577" xr:uid="{00000000-0005-0000-0000-0000083C0000}"/>
    <cellStyle name="Input 15 3 3 2 2 2 3" xfId="15578" xr:uid="{00000000-0005-0000-0000-0000093C0000}"/>
    <cellStyle name="Input 15 3 3 2 2 2 3 2" xfId="15579" xr:uid="{00000000-0005-0000-0000-00000A3C0000}"/>
    <cellStyle name="Input 15 3 3 2 2 2 4" xfId="15580" xr:uid="{00000000-0005-0000-0000-00000B3C0000}"/>
    <cellStyle name="Input 15 3 3 2 2 2 5" xfId="15581" xr:uid="{00000000-0005-0000-0000-00000C3C0000}"/>
    <cellStyle name="Input 15 3 3 2 2 2 6" xfId="15582" xr:uid="{00000000-0005-0000-0000-00000D3C0000}"/>
    <cellStyle name="Input 15 3 3 2 2 3" xfId="15583" xr:uid="{00000000-0005-0000-0000-00000E3C0000}"/>
    <cellStyle name="Input 15 3 3 2 2 3 2" xfId="15584" xr:uid="{00000000-0005-0000-0000-00000F3C0000}"/>
    <cellStyle name="Input 15 3 3 2 2 4" xfId="15585" xr:uid="{00000000-0005-0000-0000-0000103C0000}"/>
    <cellStyle name="Input 15 3 3 2 2 4 2" xfId="15586" xr:uid="{00000000-0005-0000-0000-0000113C0000}"/>
    <cellStyle name="Input 15 3 3 2 2 5" xfId="15587" xr:uid="{00000000-0005-0000-0000-0000123C0000}"/>
    <cellStyle name="Input 15 3 3 2 2 6" xfId="15588" xr:uid="{00000000-0005-0000-0000-0000133C0000}"/>
    <cellStyle name="Input 15 3 3 2 2 7" xfId="15589" xr:uid="{00000000-0005-0000-0000-0000143C0000}"/>
    <cellStyle name="Input 15 3 3 2 3" xfId="15590" xr:uid="{00000000-0005-0000-0000-0000153C0000}"/>
    <cellStyle name="Input 15 3 3 2 3 2" xfId="15591" xr:uid="{00000000-0005-0000-0000-0000163C0000}"/>
    <cellStyle name="Input 15 3 3 2 3 2 2" xfId="15592" xr:uid="{00000000-0005-0000-0000-0000173C0000}"/>
    <cellStyle name="Input 15 3 3 2 3 3" xfId="15593" xr:uid="{00000000-0005-0000-0000-0000183C0000}"/>
    <cellStyle name="Input 15 3 3 2 3 3 2" xfId="15594" xr:uid="{00000000-0005-0000-0000-0000193C0000}"/>
    <cellStyle name="Input 15 3 3 2 3 4" xfId="15595" xr:uid="{00000000-0005-0000-0000-00001A3C0000}"/>
    <cellStyle name="Input 15 3 3 2 3 5" xfId="15596" xr:uid="{00000000-0005-0000-0000-00001B3C0000}"/>
    <cellStyle name="Input 15 3 3 2 3 6" xfId="15597" xr:uid="{00000000-0005-0000-0000-00001C3C0000}"/>
    <cellStyle name="Input 15 3 3 2 4" xfId="15598" xr:uid="{00000000-0005-0000-0000-00001D3C0000}"/>
    <cellStyle name="Input 15 3 3 2 4 2" xfId="15599" xr:uid="{00000000-0005-0000-0000-00001E3C0000}"/>
    <cellStyle name="Input 15 3 3 2 5" xfId="15600" xr:uid="{00000000-0005-0000-0000-00001F3C0000}"/>
    <cellStyle name="Input 15 3 3 2 5 2" xfId="15601" xr:uid="{00000000-0005-0000-0000-0000203C0000}"/>
    <cellStyle name="Input 15 3 3 2 6" xfId="15602" xr:uid="{00000000-0005-0000-0000-0000213C0000}"/>
    <cellStyle name="Input 15 3 3 2 7" xfId="15603" xr:uid="{00000000-0005-0000-0000-0000223C0000}"/>
    <cellStyle name="Input 15 3 3 2 8" xfId="15604" xr:uid="{00000000-0005-0000-0000-0000233C0000}"/>
    <cellStyle name="Input 15 3 3 3" xfId="15605" xr:uid="{00000000-0005-0000-0000-0000243C0000}"/>
    <cellStyle name="Input 15 3 3 3 2" xfId="15606" xr:uid="{00000000-0005-0000-0000-0000253C0000}"/>
    <cellStyle name="Input 15 3 3 3 2 2" xfId="15607" xr:uid="{00000000-0005-0000-0000-0000263C0000}"/>
    <cellStyle name="Input 15 3 3 3 2 2 2" xfId="15608" xr:uid="{00000000-0005-0000-0000-0000273C0000}"/>
    <cellStyle name="Input 15 3 3 3 2 2 2 2" xfId="15609" xr:uid="{00000000-0005-0000-0000-0000283C0000}"/>
    <cellStyle name="Input 15 3 3 3 2 2 3" xfId="15610" xr:uid="{00000000-0005-0000-0000-0000293C0000}"/>
    <cellStyle name="Input 15 3 3 3 2 2 3 2" xfId="15611" xr:uid="{00000000-0005-0000-0000-00002A3C0000}"/>
    <cellStyle name="Input 15 3 3 3 2 2 4" xfId="15612" xr:uid="{00000000-0005-0000-0000-00002B3C0000}"/>
    <cellStyle name="Input 15 3 3 3 2 2 5" xfId="15613" xr:uid="{00000000-0005-0000-0000-00002C3C0000}"/>
    <cellStyle name="Input 15 3 3 3 2 2 6" xfId="15614" xr:uid="{00000000-0005-0000-0000-00002D3C0000}"/>
    <cellStyle name="Input 15 3 3 3 2 3" xfId="15615" xr:uid="{00000000-0005-0000-0000-00002E3C0000}"/>
    <cellStyle name="Input 15 3 3 3 2 3 2" xfId="15616" xr:uid="{00000000-0005-0000-0000-00002F3C0000}"/>
    <cellStyle name="Input 15 3 3 3 2 4" xfId="15617" xr:uid="{00000000-0005-0000-0000-0000303C0000}"/>
    <cellStyle name="Input 15 3 3 3 2 4 2" xfId="15618" xr:uid="{00000000-0005-0000-0000-0000313C0000}"/>
    <cellStyle name="Input 15 3 3 3 2 5" xfId="15619" xr:uid="{00000000-0005-0000-0000-0000323C0000}"/>
    <cellStyle name="Input 15 3 3 3 2 6" xfId="15620" xr:uid="{00000000-0005-0000-0000-0000333C0000}"/>
    <cellStyle name="Input 15 3 3 3 2 7" xfId="15621" xr:uid="{00000000-0005-0000-0000-0000343C0000}"/>
    <cellStyle name="Input 15 3 3 3 3" xfId="15622" xr:uid="{00000000-0005-0000-0000-0000353C0000}"/>
    <cellStyle name="Input 15 3 3 3 3 2" xfId="15623" xr:uid="{00000000-0005-0000-0000-0000363C0000}"/>
    <cellStyle name="Input 15 3 3 3 3 2 2" xfId="15624" xr:uid="{00000000-0005-0000-0000-0000373C0000}"/>
    <cellStyle name="Input 15 3 3 3 3 3" xfId="15625" xr:uid="{00000000-0005-0000-0000-0000383C0000}"/>
    <cellStyle name="Input 15 3 3 3 3 3 2" xfId="15626" xr:uid="{00000000-0005-0000-0000-0000393C0000}"/>
    <cellStyle name="Input 15 3 3 3 3 4" xfId="15627" xr:uid="{00000000-0005-0000-0000-00003A3C0000}"/>
    <cellStyle name="Input 15 3 3 3 3 5" xfId="15628" xr:uid="{00000000-0005-0000-0000-00003B3C0000}"/>
    <cellStyle name="Input 15 3 3 3 3 6" xfId="15629" xr:uid="{00000000-0005-0000-0000-00003C3C0000}"/>
    <cellStyle name="Input 15 3 3 3 4" xfId="15630" xr:uid="{00000000-0005-0000-0000-00003D3C0000}"/>
    <cellStyle name="Input 15 3 3 3 4 2" xfId="15631" xr:uid="{00000000-0005-0000-0000-00003E3C0000}"/>
    <cellStyle name="Input 15 3 3 3 5" xfId="15632" xr:uid="{00000000-0005-0000-0000-00003F3C0000}"/>
    <cellStyle name="Input 15 3 3 3 5 2" xfId="15633" xr:uid="{00000000-0005-0000-0000-0000403C0000}"/>
    <cellStyle name="Input 15 3 3 3 6" xfId="15634" xr:uid="{00000000-0005-0000-0000-0000413C0000}"/>
    <cellStyle name="Input 15 3 3 3 7" xfId="15635" xr:uid="{00000000-0005-0000-0000-0000423C0000}"/>
    <cellStyle name="Input 15 3 3 3 8" xfId="15636" xr:uid="{00000000-0005-0000-0000-0000433C0000}"/>
    <cellStyle name="Input 15 3 3 4" xfId="15637" xr:uid="{00000000-0005-0000-0000-0000443C0000}"/>
    <cellStyle name="Input 15 3 3 4 2" xfId="15638" xr:uid="{00000000-0005-0000-0000-0000453C0000}"/>
    <cellStyle name="Input 15 3 3 4 2 2" xfId="15639" xr:uid="{00000000-0005-0000-0000-0000463C0000}"/>
    <cellStyle name="Input 15 3 3 4 2 2 2" xfId="15640" xr:uid="{00000000-0005-0000-0000-0000473C0000}"/>
    <cellStyle name="Input 15 3 3 4 2 3" xfId="15641" xr:uid="{00000000-0005-0000-0000-0000483C0000}"/>
    <cellStyle name="Input 15 3 3 4 2 3 2" xfId="15642" xr:uid="{00000000-0005-0000-0000-0000493C0000}"/>
    <cellStyle name="Input 15 3 3 4 2 4" xfId="15643" xr:uid="{00000000-0005-0000-0000-00004A3C0000}"/>
    <cellStyle name="Input 15 3 3 4 2 5" xfId="15644" xr:uid="{00000000-0005-0000-0000-00004B3C0000}"/>
    <cellStyle name="Input 15 3 3 4 2 6" xfId="15645" xr:uid="{00000000-0005-0000-0000-00004C3C0000}"/>
    <cellStyle name="Input 15 3 3 4 3" xfId="15646" xr:uid="{00000000-0005-0000-0000-00004D3C0000}"/>
    <cellStyle name="Input 15 3 3 4 3 2" xfId="15647" xr:uid="{00000000-0005-0000-0000-00004E3C0000}"/>
    <cellStyle name="Input 15 3 3 4 4" xfId="15648" xr:uid="{00000000-0005-0000-0000-00004F3C0000}"/>
    <cellStyle name="Input 15 3 3 4 4 2" xfId="15649" xr:uid="{00000000-0005-0000-0000-0000503C0000}"/>
    <cellStyle name="Input 15 3 3 4 5" xfId="15650" xr:uid="{00000000-0005-0000-0000-0000513C0000}"/>
    <cellStyle name="Input 15 3 3 4 6" xfId="15651" xr:uid="{00000000-0005-0000-0000-0000523C0000}"/>
    <cellStyle name="Input 15 3 3 4 7" xfId="15652" xr:uid="{00000000-0005-0000-0000-0000533C0000}"/>
    <cellStyle name="Input 15 3 3 5" xfId="15653" xr:uid="{00000000-0005-0000-0000-0000543C0000}"/>
    <cellStyle name="Input 15 3 3 5 2" xfId="15654" xr:uid="{00000000-0005-0000-0000-0000553C0000}"/>
    <cellStyle name="Input 15 3 3 5 2 2" xfId="15655" xr:uid="{00000000-0005-0000-0000-0000563C0000}"/>
    <cellStyle name="Input 15 3 3 5 3" xfId="15656" xr:uid="{00000000-0005-0000-0000-0000573C0000}"/>
    <cellStyle name="Input 15 3 3 5 3 2" xfId="15657" xr:uid="{00000000-0005-0000-0000-0000583C0000}"/>
    <cellStyle name="Input 15 3 3 5 4" xfId="15658" xr:uid="{00000000-0005-0000-0000-0000593C0000}"/>
    <cellStyle name="Input 15 3 3 5 5" xfId="15659" xr:uid="{00000000-0005-0000-0000-00005A3C0000}"/>
    <cellStyle name="Input 15 3 3 5 6" xfId="15660" xr:uid="{00000000-0005-0000-0000-00005B3C0000}"/>
    <cellStyle name="Input 15 3 3 6" xfId="15661" xr:uid="{00000000-0005-0000-0000-00005C3C0000}"/>
    <cellStyle name="Input 15 3 3 6 2" xfId="15662" xr:uid="{00000000-0005-0000-0000-00005D3C0000}"/>
    <cellStyle name="Input 15 3 3 7" xfId="15663" xr:uid="{00000000-0005-0000-0000-00005E3C0000}"/>
    <cellStyle name="Input 15 3 3 7 2" xfId="15664" xr:uid="{00000000-0005-0000-0000-00005F3C0000}"/>
    <cellStyle name="Input 15 3 3 8" xfId="15665" xr:uid="{00000000-0005-0000-0000-0000603C0000}"/>
    <cellStyle name="Input 15 3 3 9" xfId="15666" xr:uid="{00000000-0005-0000-0000-0000613C0000}"/>
    <cellStyle name="Input 15 3 4" xfId="15667" xr:uid="{00000000-0005-0000-0000-0000623C0000}"/>
    <cellStyle name="Input 15 3 4 2" xfId="15668" xr:uid="{00000000-0005-0000-0000-0000633C0000}"/>
    <cellStyle name="Input 15 3 4 2 2" xfId="15669" xr:uid="{00000000-0005-0000-0000-0000643C0000}"/>
    <cellStyle name="Input 15 3 4 2 2 2" xfId="15670" xr:uid="{00000000-0005-0000-0000-0000653C0000}"/>
    <cellStyle name="Input 15 3 4 2 2 2 2" xfId="15671" xr:uid="{00000000-0005-0000-0000-0000663C0000}"/>
    <cellStyle name="Input 15 3 4 2 2 3" xfId="15672" xr:uid="{00000000-0005-0000-0000-0000673C0000}"/>
    <cellStyle name="Input 15 3 4 2 2 3 2" xfId="15673" xr:uid="{00000000-0005-0000-0000-0000683C0000}"/>
    <cellStyle name="Input 15 3 4 2 2 4" xfId="15674" xr:uid="{00000000-0005-0000-0000-0000693C0000}"/>
    <cellStyle name="Input 15 3 4 2 2 5" xfId="15675" xr:uid="{00000000-0005-0000-0000-00006A3C0000}"/>
    <cellStyle name="Input 15 3 4 2 2 6" xfId="15676" xr:uid="{00000000-0005-0000-0000-00006B3C0000}"/>
    <cellStyle name="Input 15 3 4 2 3" xfId="15677" xr:uid="{00000000-0005-0000-0000-00006C3C0000}"/>
    <cellStyle name="Input 15 3 4 2 3 2" xfId="15678" xr:uid="{00000000-0005-0000-0000-00006D3C0000}"/>
    <cellStyle name="Input 15 3 4 2 4" xfId="15679" xr:uid="{00000000-0005-0000-0000-00006E3C0000}"/>
    <cellStyle name="Input 15 3 4 2 4 2" xfId="15680" xr:uid="{00000000-0005-0000-0000-00006F3C0000}"/>
    <cellStyle name="Input 15 3 4 2 5" xfId="15681" xr:uid="{00000000-0005-0000-0000-0000703C0000}"/>
    <cellStyle name="Input 15 3 4 2 6" xfId="15682" xr:uid="{00000000-0005-0000-0000-0000713C0000}"/>
    <cellStyle name="Input 15 3 4 2 7" xfId="15683" xr:uid="{00000000-0005-0000-0000-0000723C0000}"/>
    <cellStyle name="Input 15 3 4 3" xfId="15684" xr:uid="{00000000-0005-0000-0000-0000733C0000}"/>
    <cellStyle name="Input 15 3 4 3 2" xfId="15685" xr:uid="{00000000-0005-0000-0000-0000743C0000}"/>
    <cellStyle name="Input 15 3 4 3 2 2" xfId="15686" xr:uid="{00000000-0005-0000-0000-0000753C0000}"/>
    <cellStyle name="Input 15 3 4 3 3" xfId="15687" xr:uid="{00000000-0005-0000-0000-0000763C0000}"/>
    <cellStyle name="Input 15 3 4 3 3 2" xfId="15688" xr:uid="{00000000-0005-0000-0000-0000773C0000}"/>
    <cellStyle name="Input 15 3 4 3 4" xfId="15689" xr:uid="{00000000-0005-0000-0000-0000783C0000}"/>
    <cellStyle name="Input 15 3 4 3 5" xfId="15690" xr:uid="{00000000-0005-0000-0000-0000793C0000}"/>
    <cellStyle name="Input 15 3 4 3 6" xfId="15691" xr:uid="{00000000-0005-0000-0000-00007A3C0000}"/>
    <cellStyle name="Input 15 3 4 4" xfId="15692" xr:uid="{00000000-0005-0000-0000-00007B3C0000}"/>
    <cellStyle name="Input 15 3 4 4 2" xfId="15693" xr:uid="{00000000-0005-0000-0000-00007C3C0000}"/>
    <cellStyle name="Input 15 3 4 5" xfId="15694" xr:uid="{00000000-0005-0000-0000-00007D3C0000}"/>
    <cellStyle name="Input 15 3 4 5 2" xfId="15695" xr:uid="{00000000-0005-0000-0000-00007E3C0000}"/>
    <cellStyle name="Input 15 3 4 6" xfId="15696" xr:uid="{00000000-0005-0000-0000-00007F3C0000}"/>
    <cellStyle name="Input 15 3 4 7" xfId="15697" xr:uid="{00000000-0005-0000-0000-0000803C0000}"/>
    <cellStyle name="Input 15 3 4 8" xfId="15698" xr:uid="{00000000-0005-0000-0000-0000813C0000}"/>
    <cellStyle name="Input 15 3 5" xfId="15699" xr:uid="{00000000-0005-0000-0000-0000823C0000}"/>
    <cellStyle name="Input 15 3 5 2" xfId="15700" xr:uid="{00000000-0005-0000-0000-0000833C0000}"/>
    <cellStyle name="Input 15 3 5 2 2" xfId="15701" xr:uid="{00000000-0005-0000-0000-0000843C0000}"/>
    <cellStyle name="Input 15 3 5 2 2 2" xfId="15702" xr:uid="{00000000-0005-0000-0000-0000853C0000}"/>
    <cellStyle name="Input 15 3 5 2 3" xfId="15703" xr:uid="{00000000-0005-0000-0000-0000863C0000}"/>
    <cellStyle name="Input 15 3 5 2 3 2" xfId="15704" xr:uid="{00000000-0005-0000-0000-0000873C0000}"/>
    <cellStyle name="Input 15 3 5 2 4" xfId="15705" xr:uid="{00000000-0005-0000-0000-0000883C0000}"/>
    <cellStyle name="Input 15 3 5 2 5" xfId="15706" xr:uid="{00000000-0005-0000-0000-0000893C0000}"/>
    <cellStyle name="Input 15 3 5 2 6" xfId="15707" xr:uid="{00000000-0005-0000-0000-00008A3C0000}"/>
    <cellStyle name="Input 15 3 5 3" xfId="15708" xr:uid="{00000000-0005-0000-0000-00008B3C0000}"/>
    <cellStyle name="Input 15 3 5 3 2" xfId="15709" xr:uid="{00000000-0005-0000-0000-00008C3C0000}"/>
    <cellStyle name="Input 15 3 5 4" xfId="15710" xr:uid="{00000000-0005-0000-0000-00008D3C0000}"/>
    <cellStyle name="Input 15 3 5 4 2" xfId="15711" xr:uid="{00000000-0005-0000-0000-00008E3C0000}"/>
    <cellStyle name="Input 15 3 5 5" xfId="15712" xr:uid="{00000000-0005-0000-0000-00008F3C0000}"/>
    <cellStyle name="Input 15 3 5 6" xfId="15713" xr:uid="{00000000-0005-0000-0000-0000903C0000}"/>
    <cellStyle name="Input 15 3 5 7" xfId="15714" xr:uid="{00000000-0005-0000-0000-0000913C0000}"/>
    <cellStyle name="Input 15 3 6" xfId="15715" xr:uid="{00000000-0005-0000-0000-0000923C0000}"/>
    <cellStyle name="Input 15 3 6 2" xfId="15716" xr:uid="{00000000-0005-0000-0000-0000933C0000}"/>
    <cellStyle name="Input 15 3 6 2 2" xfId="15717" xr:uid="{00000000-0005-0000-0000-0000943C0000}"/>
    <cellStyle name="Input 15 3 6 3" xfId="15718" xr:uid="{00000000-0005-0000-0000-0000953C0000}"/>
    <cellStyle name="Input 15 3 6 3 2" xfId="15719" xr:uid="{00000000-0005-0000-0000-0000963C0000}"/>
    <cellStyle name="Input 15 3 6 4" xfId="15720" xr:uid="{00000000-0005-0000-0000-0000973C0000}"/>
    <cellStyle name="Input 15 3 6 5" xfId="15721" xr:uid="{00000000-0005-0000-0000-0000983C0000}"/>
    <cellStyle name="Input 15 3 6 6" xfId="15722" xr:uid="{00000000-0005-0000-0000-0000993C0000}"/>
    <cellStyle name="Input 15 3 7" xfId="15723" xr:uid="{00000000-0005-0000-0000-00009A3C0000}"/>
    <cellStyle name="Input 15 3 7 2" xfId="15724" xr:uid="{00000000-0005-0000-0000-00009B3C0000}"/>
    <cellStyle name="Input 15 3 8" xfId="15725" xr:uid="{00000000-0005-0000-0000-00009C3C0000}"/>
    <cellStyle name="Input 15 3 8 2" xfId="15726" xr:uid="{00000000-0005-0000-0000-00009D3C0000}"/>
    <cellStyle name="Input 15 3 9" xfId="15727" xr:uid="{00000000-0005-0000-0000-00009E3C0000}"/>
    <cellStyle name="Input 15 4" xfId="15728" xr:uid="{00000000-0005-0000-0000-00009F3C0000}"/>
    <cellStyle name="Input 15 4 10" xfId="15729" xr:uid="{00000000-0005-0000-0000-0000A03C0000}"/>
    <cellStyle name="Input 15 4 11" xfId="15730" xr:uid="{00000000-0005-0000-0000-0000A13C0000}"/>
    <cellStyle name="Input 15 4 2" xfId="15731" xr:uid="{00000000-0005-0000-0000-0000A23C0000}"/>
    <cellStyle name="Input 15 4 2 10" xfId="15732" xr:uid="{00000000-0005-0000-0000-0000A33C0000}"/>
    <cellStyle name="Input 15 4 2 2" xfId="15733" xr:uid="{00000000-0005-0000-0000-0000A43C0000}"/>
    <cellStyle name="Input 15 4 2 2 2" xfId="15734" xr:uid="{00000000-0005-0000-0000-0000A53C0000}"/>
    <cellStyle name="Input 15 4 2 2 2 2" xfId="15735" xr:uid="{00000000-0005-0000-0000-0000A63C0000}"/>
    <cellStyle name="Input 15 4 2 2 2 2 2" xfId="15736" xr:uid="{00000000-0005-0000-0000-0000A73C0000}"/>
    <cellStyle name="Input 15 4 2 2 2 2 2 2" xfId="15737" xr:uid="{00000000-0005-0000-0000-0000A83C0000}"/>
    <cellStyle name="Input 15 4 2 2 2 2 3" xfId="15738" xr:uid="{00000000-0005-0000-0000-0000A93C0000}"/>
    <cellStyle name="Input 15 4 2 2 2 2 3 2" xfId="15739" xr:uid="{00000000-0005-0000-0000-0000AA3C0000}"/>
    <cellStyle name="Input 15 4 2 2 2 2 4" xfId="15740" xr:uid="{00000000-0005-0000-0000-0000AB3C0000}"/>
    <cellStyle name="Input 15 4 2 2 2 2 5" xfId="15741" xr:uid="{00000000-0005-0000-0000-0000AC3C0000}"/>
    <cellStyle name="Input 15 4 2 2 2 2 6" xfId="15742" xr:uid="{00000000-0005-0000-0000-0000AD3C0000}"/>
    <cellStyle name="Input 15 4 2 2 2 3" xfId="15743" xr:uid="{00000000-0005-0000-0000-0000AE3C0000}"/>
    <cellStyle name="Input 15 4 2 2 2 3 2" xfId="15744" xr:uid="{00000000-0005-0000-0000-0000AF3C0000}"/>
    <cellStyle name="Input 15 4 2 2 2 4" xfId="15745" xr:uid="{00000000-0005-0000-0000-0000B03C0000}"/>
    <cellStyle name="Input 15 4 2 2 2 4 2" xfId="15746" xr:uid="{00000000-0005-0000-0000-0000B13C0000}"/>
    <cellStyle name="Input 15 4 2 2 2 5" xfId="15747" xr:uid="{00000000-0005-0000-0000-0000B23C0000}"/>
    <cellStyle name="Input 15 4 2 2 2 6" xfId="15748" xr:uid="{00000000-0005-0000-0000-0000B33C0000}"/>
    <cellStyle name="Input 15 4 2 2 2 7" xfId="15749" xr:uid="{00000000-0005-0000-0000-0000B43C0000}"/>
    <cellStyle name="Input 15 4 2 2 3" xfId="15750" xr:uid="{00000000-0005-0000-0000-0000B53C0000}"/>
    <cellStyle name="Input 15 4 2 2 3 2" xfId="15751" xr:uid="{00000000-0005-0000-0000-0000B63C0000}"/>
    <cellStyle name="Input 15 4 2 2 3 2 2" xfId="15752" xr:uid="{00000000-0005-0000-0000-0000B73C0000}"/>
    <cellStyle name="Input 15 4 2 2 3 3" xfId="15753" xr:uid="{00000000-0005-0000-0000-0000B83C0000}"/>
    <cellStyle name="Input 15 4 2 2 3 3 2" xfId="15754" xr:uid="{00000000-0005-0000-0000-0000B93C0000}"/>
    <cellStyle name="Input 15 4 2 2 3 4" xfId="15755" xr:uid="{00000000-0005-0000-0000-0000BA3C0000}"/>
    <cellStyle name="Input 15 4 2 2 3 5" xfId="15756" xr:uid="{00000000-0005-0000-0000-0000BB3C0000}"/>
    <cellStyle name="Input 15 4 2 2 3 6" xfId="15757" xr:uid="{00000000-0005-0000-0000-0000BC3C0000}"/>
    <cellStyle name="Input 15 4 2 2 4" xfId="15758" xr:uid="{00000000-0005-0000-0000-0000BD3C0000}"/>
    <cellStyle name="Input 15 4 2 2 4 2" xfId="15759" xr:uid="{00000000-0005-0000-0000-0000BE3C0000}"/>
    <cellStyle name="Input 15 4 2 2 5" xfId="15760" xr:uid="{00000000-0005-0000-0000-0000BF3C0000}"/>
    <cellStyle name="Input 15 4 2 2 5 2" xfId="15761" xr:uid="{00000000-0005-0000-0000-0000C03C0000}"/>
    <cellStyle name="Input 15 4 2 2 6" xfId="15762" xr:uid="{00000000-0005-0000-0000-0000C13C0000}"/>
    <cellStyle name="Input 15 4 2 2 7" xfId="15763" xr:uid="{00000000-0005-0000-0000-0000C23C0000}"/>
    <cellStyle name="Input 15 4 2 2 8" xfId="15764" xr:uid="{00000000-0005-0000-0000-0000C33C0000}"/>
    <cellStyle name="Input 15 4 2 3" xfId="15765" xr:uid="{00000000-0005-0000-0000-0000C43C0000}"/>
    <cellStyle name="Input 15 4 2 3 2" xfId="15766" xr:uid="{00000000-0005-0000-0000-0000C53C0000}"/>
    <cellStyle name="Input 15 4 2 3 2 2" xfId="15767" xr:uid="{00000000-0005-0000-0000-0000C63C0000}"/>
    <cellStyle name="Input 15 4 2 3 2 2 2" xfId="15768" xr:uid="{00000000-0005-0000-0000-0000C73C0000}"/>
    <cellStyle name="Input 15 4 2 3 2 2 2 2" xfId="15769" xr:uid="{00000000-0005-0000-0000-0000C83C0000}"/>
    <cellStyle name="Input 15 4 2 3 2 2 3" xfId="15770" xr:uid="{00000000-0005-0000-0000-0000C93C0000}"/>
    <cellStyle name="Input 15 4 2 3 2 2 3 2" xfId="15771" xr:uid="{00000000-0005-0000-0000-0000CA3C0000}"/>
    <cellStyle name="Input 15 4 2 3 2 2 4" xfId="15772" xr:uid="{00000000-0005-0000-0000-0000CB3C0000}"/>
    <cellStyle name="Input 15 4 2 3 2 2 5" xfId="15773" xr:uid="{00000000-0005-0000-0000-0000CC3C0000}"/>
    <cellStyle name="Input 15 4 2 3 2 2 6" xfId="15774" xr:uid="{00000000-0005-0000-0000-0000CD3C0000}"/>
    <cellStyle name="Input 15 4 2 3 2 3" xfId="15775" xr:uid="{00000000-0005-0000-0000-0000CE3C0000}"/>
    <cellStyle name="Input 15 4 2 3 2 3 2" xfId="15776" xr:uid="{00000000-0005-0000-0000-0000CF3C0000}"/>
    <cellStyle name="Input 15 4 2 3 2 4" xfId="15777" xr:uid="{00000000-0005-0000-0000-0000D03C0000}"/>
    <cellStyle name="Input 15 4 2 3 2 4 2" xfId="15778" xr:uid="{00000000-0005-0000-0000-0000D13C0000}"/>
    <cellStyle name="Input 15 4 2 3 2 5" xfId="15779" xr:uid="{00000000-0005-0000-0000-0000D23C0000}"/>
    <cellStyle name="Input 15 4 2 3 2 6" xfId="15780" xr:uid="{00000000-0005-0000-0000-0000D33C0000}"/>
    <cellStyle name="Input 15 4 2 3 2 7" xfId="15781" xr:uid="{00000000-0005-0000-0000-0000D43C0000}"/>
    <cellStyle name="Input 15 4 2 3 3" xfId="15782" xr:uid="{00000000-0005-0000-0000-0000D53C0000}"/>
    <cellStyle name="Input 15 4 2 3 3 2" xfId="15783" xr:uid="{00000000-0005-0000-0000-0000D63C0000}"/>
    <cellStyle name="Input 15 4 2 3 3 2 2" xfId="15784" xr:uid="{00000000-0005-0000-0000-0000D73C0000}"/>
    <cellStyle name="Input 15 4 2 3 3 3" xfId="15785" xr:uid="{00000000-0005-0000-0000-0000D83C0000}"/>
    <cellStyle name="Input 15 4 2 3 3 3 2" xfId="15786" xr:uid="{00000000-0005-0000-0000-0000D93C0000}"/>
    <cellStyle name="Input 15 4 2 3 3 4" xfId="15787" xr:uid="{00000000-0005-0000-0000-0000DA3C0000}"/>
    <cellStyle name="Input 15 4 2 3 3 5" xfId="15788" xr:uid="{00000000-0005-0000-0000-0000DB3C0000}"/>
    <cellStyle name="Input 15 4 2 3 3 6" xfId="15789" xr:uid="{00000000-0005-0000-0000-0000DC3C0000}"/>
    <cellStyle name="Input 15 4 2 3 4" xfId="15790" xr:uid="{00000000-0005-0000-0000-0000DD3C0000}"/>
    <cellStyle name="Input 15 4 2 3 4 2" xfId="15791" xr:uid="{00000000-0005-0000-0000-0000DE3C0000}"/>
    <cellStyle name="Input 15 4 2 3 5" xfId="15792" xr:uid="{00000000-0005-0000-0000-0000DF3C0000}"/>
    <cellStyle name="Input 15 4 2 3 5 2" xfId="15793" xr:uid="{00000000-0005-0000-0000-0000E03C0000}"/>
    <cellStyle name="Input 15 4 2 3 6" xfId="15794" xr:uid="{00000000-0005-0000-0000-0000E13C0000}"/>
    <cellStyle name="Input 15 4 2 3 7" xfId="15795" xr:uid="{00000000-0005-0000-0000-0000E23C0000}"/>
    <cellStyle name="Input 15 4 2 3 8" xfId="15796" xr:uid="{00000000-0005-0000-0000-0000E33C0000}"/>
    <cellStyle name="Input 15 4 2 4" xfId="15797" xr:uid="{00000000-0005-0000-0000-0000E43C0000}"/>
    <cellStyle name="Input 15 4 2 4 2" xfId="15798" xr:uid="{00000000-0005-0000-0000-0000E53C0000}"/>
    <cellStyle name="Input 15 4 2 4 2 2" xfId="15799" xr:uid="{00000000-0005-0000-0000-0000E63C0000}"/>
    <cellStyle name="Input 15 4 2 4 2 2 2" xfId="15800" xr:uid="{00000000-0005-0000-0000-0000E73C0000}"/>
    <cellStyle name="Input 15 4 2 4 2 3" xfId="15801" xr:uid="{00000000-0005-0000-0000-0000E83C0000}"/>
    <cellStyle name="Input 15 4 2 4 2 3 2" xfId="15802" xr:uid="{00000000-0005-0000-0000-0000E93C0000}"/>
    <cellStyle name="Input 15 4 2 4 2 4" xfId="15803" xr:uid="{00000000-0005-0000-0000-0000EA3C0000}"/>
    <cellStyle name="Input 15 4 2 4 2 5" xfId="15804" xr:uid="{00000000-0005-0000-0000-0000EB3C0000}"/>
    <cellStyle name="Input 15 4 2 4 2 6" xfId="15805" xr:uid="{00000000-0005-0000-0000-0000EC3C0000}"/>
    <cellStyle name="Input 15 4 2 4 3" xfId="15806" xr:uid="{00000000-0005-0000-0000-0000ED3C0000}"/>
    <cellStyle name="Input 15 4 2 4 3 2" xfId="15807" xr:uid="{00000000-0005-0000-0000-0000EE3C0000}"/>
    <cellStyle name="Input 15 4 2 4 4" xfId="15808" xr:uid="{00000000-0005-0000-0000-0000EF3C0000}"/>
    <cellStyle name="Input 15 4 2 4 4 2" xfId="15809" xr:uid="{00000000-0005-0000-0000-0000F03C0000}"/>
    <cellStyle name="Input 15 4 2 4 5" xfId="15810" xr:uid="{00000000-0005-0000-0000-0000F13C0000}"/>
    <cellStyle name="Input 15 4 2 4 6" xfId="15811" xr:uid="{00000000-0005-0000-0000-0000F23C0000}"/>
    <cellStyle name="Input 15 4 2 4 7" xfId="15812" xr:uid="{00000000-0005-0000-0000-0000F33C0000}"/>
    <cellStyle name="Input 15 4 2 5" xfId="15813" xr:uid="{00000000-0005-0000-0000-0000F43C0000}"/>
    <cellStyle name="Input 15 4 2 5 2" xfId="15814" xr:uid="{00000000-0005-0000-0000-0000F53C0000}"/>
    <cellStyle name="Input 15 4 2 5 2 2" xfId="15815" xr:uid="{00000000-0005-0000-0000-0000F63C0000}"/>
    <cellStyle name="Input 15 4 2 5 3" xfId="15816" xr:uid="{00000000-0005-0000-0000-0000F73C0000}"/>
    <cellStyle name="Input 15 4 2 5 3 2" xfId="15817" xr:uid="{00000000-0005-0000-0000-0000F83C0000}"/>
    <cellStyle name="Input 15 4 2 5 4" xfId="15818" xr:uid="{00000000-0005-0000-0000-0000F93C0000}"/>
    <cellStyle name="Input 15 4 2 5 5" xfId="15819" xr:uid="{00000000-0005-0000-0000-0000FA3C0000}"/>
    <cellStyle name="Input 15 4 2 5 6" xfId="15820" xr:uid="{00000000-0005-0000-0000-0000FB3C0000}"/>
    <cellStyle name="Input 15 4 2 6" xfId="15821" xr:uid="{00000000-0005-0000-0000-0000FC3C0000}"/>
    <cellStyle name="Input 15 4 2 6 2" xfId="15822" xr:uid="{00000000-0005-0000-0000-0000FD3C0000}"/>
    <cellStyle name="Input 15 4 2 7" xfId="15823" xr:uid="{00000000-0005-0000-0000-0000FE3C0000}"/>
    <cellStyle name="Input 15 4 2 7 2" xfId="15824" xr:uid="{00000000-0005-0000-0000-0000FF3C0000}"/>
    <cellStyle name="Input 15 4 2 8" xfId="15825" xr:uid="{00000000-0005-0000-0000-0000003D0000}"/>
    <cellStyle name="Input 15 4 2 9" xfId="15826" xr:uid="{00000000-0005-0000-0000-0000013D0000}"/>
    <cellStyle name="Input 15 4 3" xfId="15827" xr:uid="{00000000-0005-0000-0000-0000023D0000}"/>
    <cellStyle name="Input 15 4 3 2" xfId="15828" xr:uid="{00000000-0005-0000-0000-0000033D0000}"/>
    <cellStyle name="Input 15 4 3 2 2" xfId="15829" xr:uid="{00000000-0005-0000-0000-0000043D0000}"/>
    <cellStyle name="Input 15 4 3 2 2 2" xfId="15830" xr:uid="{00000000-0005-0000-0000-0000053D0000}"/>
    <cellStyle name="Input 15 4 3 2 2 2 2" xfId="15831" xr:uid="{00000000-0005-0000-0000-0000063D0000}"/>
    <cellStyle name="Input 15 4 3 2 2 3" xfId="15832" xr:uid="{00000000-0005-0000-0000-0000073D0000}"/>
    <cellStyle name="Input 15 4 3 2 2 3 2" xfId="15833" xr:uid="{00000000-0005-0000-0000-0000083D0000}"/>
    <cellStyle name="Input 15 4 3 2 2 4" xfId="15834" xr:uid="{00000000-0005-0000-0000-0000093D0000}"/>
    <cellStyle name="Input 15 4 3 2 2 5" xfId="15835" xr:uid="{00000000-0005-0000-0000-00000A3D0000}"/>
    <cellStyle name="Input 15 4 3 2 2 6" xfId="15836" xr:uid="{00000000-0005-0000-0000-00000B3D0000}"/>
    <cellStyle name="Input 15 4 3 2 3" xfId="15837" xr:uid="{00000000-0005-0000-0000-00000C3D0000}"/>
    <cellStyle name="Input 15 4 3 2 3 2" xfId="15838" xr:uid="{00000000-0005-0000-0000-00000D3D0000}"/>
    <cellStyle name="Input 15 4 3 2 4" xfId="15839" xr:uid="{00000000-0005-0000-0000-00000E3D0000}"/>
    <cellStyle name="Input 15 4 3 2 4 2" xfId="15840" xr:uid="{00000000-0005-0000-0000-00000F3D0000}"/>
    <cellStyle name="Input 15 4 3 2 5" xfId="15841" xr:uid="{00000000-0005-0000-0000-0000103D0000}"/>
    <cellStyle name="Input 15 4 3 2 6" xfId="15842" xr:uid="{00000000-0005-0000-0000-0000113D0000}"/>
    <cellStyle name="Input 15 4 3 2 7" xfId="15843" xr:uid="{00000000-0005-0000-0000-0000123D0000}"/>
    <cellStyle name="Input 15 4 3 3" xfId="15844" xr:uid="{00000000-0005-0000-0000-0000133D0000}"/>
    <cellStyle name="Input 15 4 3 3 2" xfId="15845" xr:uid="{00000000-0005-0000-0000-0000143D0000}"/>
    <cellStyle name="Input 15 4 3 3 2 2" xfId="15846" xr:uid="{00000000-0005-0000-0000-0000153D0000}"/>
    <cellStyle name="Input 15 4 3 3 3" xfId="15847" xr:uid="{00000000-0005-0000-0000-0000163D0000}"/>
    <cellStyle name="Input 15 4 3 3 3 2" xfId="15848" xr:uid="{00000000-0005-0000-0000-0000173D0000}"/>
    <cellStyle name="Input 15 4 3 3 4" xfId="15849" xr:uid="{00000000-0005-0000-0000-0000183D0000}"/>
    <cellStyle name="Input 15 4 3 3 5" xfId="15850" xr:uid="{00000000-0005-0000-0000-0000193D0000}"/>
    <cellStyle name="Input 15 4 3 3 6" xfId="15851" xr:uid="{00000000-0005-0000-0000-00001A3D0000}"/>
    <cellStyle name="Input 15 4 3 4" xfId="15852" xr:uid="{00000000-0005-0000-0000-00001B3D0000}"/>
    <cellStyle name="Input 15 4 3 4 2" xfId="15853" xr:uid="{00000000-0005-0000-0000-00001C3D0000}"/>
    <cellStyle name="Input 15 4 3 5" xfId="15854" xr:uid="{00000000-0005-0000-0000-00001D3D0000}"/>
    <cellStyle name="Input 15 4 3 5 2" xfId="15855" xr:uid="{00000000-0005-0000-0000-00001E3D0000}"/>
    <cellStyle name="Input 15 4 3 6" xfId="15856" xr:uid="{00000000-0005-0000-0000-00001F3D0000}"/>
    <cellStyle name="Input 15 4 3 7" xfId="15857" xr:uid="{00000000-0005-0000-0000-0000203D0000}"/>
    <cellStyle name="Input 15 4 3 8" xfId="15858" xr:uid="{00000000-0005-0000-0000-0000213D0000}"/>
    <cellStyle name="Input 15 4 4" xfId="15859" xr:uid="{00000000-0005-0000-0000-0000223D0000}"/>
    <cellStyle name="Input 15 4 4 2" xfId="15860" xr:uid="{00000000-0005-0000-0000-0000233D0000}"/>
    <cellStyle name="Input 15 4 4 2 2" xfId="15861" xr:uid="{00000000-0005-0000-0000-0000243D0000}"/>
    <cellStyle name="Input 15 4 4 2 2 2" xfId="15862" xr:uid="{00000000-0005-0000-0000-0000253D0000}"/>
    <cellStyle name="Input 15 4 4 2 2 2 2" xfId="15863" xr:uid="{00000000-0005-0000-0000-0000263D0000}"/>
    <cellStyle name="Input 15 4 4 2 2 3" xfId="15864" xr:uid="{00000000-0005-0000-0000-0000273D0000}"/>
    <cellStyle name="Input 15 4 4 2 2 3 2" xfId="15865" xr:uid="{00000000-0005-0000-0000-0000283D0000}"/>
    <cellStyle name="Input 15 4 4 2 2 4" xfId="15866" xr:uid="{00000000-0005-0000-0000-0000293D0000}"/>
    <cellStyle name="Input 15 4 4 2 2 5" xfId="15867" xr:uid="{00000000-0005-0000-0000-00002A3D0000}"/>
    <cellStyle name="Input 15 4 4 2 2 6" xfId="15868" xr:uid="{00000000-0005-0000-0000-00002B3D0000}"/>
    <cellStyle name="Input 15 4 4 2 3" xfId="15869" xr:uid="{00000000-0005-0000-0000-00002C3D0000}"/>
    <cellStyle name="Input 15 4 4 2 3 2" xfId="15870" xr:uid="{00000000-0005-0000-0000-00002D3D0000}"/>
    <cellStyle name="Input 15 4 4 2 4" xfId="15871" xr:uid="{00000000-0005-0000-0000-00002E3D0000}"/>
    <cellStyle name="Input 15 4 4 2 4 2" xfId="15872" xr:uid="{00000000-0005-0000-0000-00002F3D0000}"/>
    <cellStyle name="Input 15 4 4 2 5" xfId="15873" xr:uid="{00000000-0005-0000-0000-0000303D0000}"/>
    <cellStyle name="Input 15 4 4 2 6" xfId="15874" xr:uid="{00000000-0005-0000-0000-0000313D0000}"/>
    <cellStyle name="Input 15 4 4 2 7" xfId="15875" xr:uid="{00000000-0005-0000-0000-0000323D0000}"/>
    <cellStyle name="Input 15 4 4 3" xfId="15876" xr:uid="{00000000-0005-0000-0000-0000333D0000}"/>
    <cellStyle name="Input 15 4 4 3 2" xfId="15877" xr:uid="{00000000-0005-0000-0000-0000343D0000}"/>
    <cellStyle name="Input 15 4 4 3 2 2" xfId="15878" xr:uid="{00000000-0005-0000-0000-0000353D0000}"/>
    <cellStyle name="Input 15 4 4 3 3" xfId="15879" xr:uid="{00000000-0005-0000-0000-0000363D0000}"/>
    <cellStyle name="Input 15 4 4 3 3 2" xfId="15880" xr:uid="{00000000-0005-0000-0000-0000373D0000}"/>
    <cellStyle name="Input 15 4 4 3 4" xfId="15881" xr:uid="{00000000-0005-0000-0000-0000383D0000}"/>
    <cellStyle name="Input 15 4 4 3 5" xfId="15882" xr:uid="{00000000-0005-0000-0000-0000393D0000}"/>
    <cellStyle name="Input 15 4 4 3 6" xfId="15883" xr:uid="{00000000-0005-0000-0000-00003A3D0000}"/>
    <cellStyle name="Input 15 4 4 4" xfId="15884" xr:uid="{00000000-0005-0000-0000-00003B3D0000}"/>
    <cellStyle name="Input 15 4 4 4 2" xfId="15885" xr:uid="{00000000-0005-0000-0000-00003C3D0000}"/>
    <cellStyle name="Input 15 4 4 5" xfId="15886" xr:uid="{00000000-0005-0000-0000-00003D3D0000}"/>
    <cellStyle name="Input 15 4 4 5 2" xfId="15887" xr:uid="{00000000-0005-0000-0000-00003E3D0000}"/>
    <cellStyle name="Input 15 4 4 6" xfId="15888" xr:uid="{00000000-0005-0000-0000-00003F3D0000}"/>
    <cellStyle name="Input 15 4 4 7" xfId="15889" xr:uid="{00000000-0005-0000-0000-0000403D0000}"/>
    <cellStyle name="Input 15 4 4 8" xfId="15890" xr:uid="{00000000-0005-0000-0000-0000413D0000}"/>
    <cellStyle name="Input 15 4 5" xfId="15891" xr:uid="{00000000-0005-0000-0000-0000423D0000}"/>
    <cellStyle name="Input 15 4 5 2" xfId="15892" xr:uid="{00000000-0005-0000-0000-0000433D0000}"/>
    <cellStyle name="Input 15 4 5 2 2" xfId="15893" xr:uid="{00000000-0005-0000-0000-0000443D0000}"/>
    <cellStyle name="Input 15 4 5 2 2 2" xfId="15894" xr:uid="{00000000-0005-0000-0000-0000453D0000}"/>
    <cellStyle name="Input 15 4 5 2 3" xfId="15895" xr:uid="{00000000-0005-0000-0000-0000463D0000}"/>
    <cellStyle name="Input 15 4 5 2 3 2" xfId="15896" xr:uid="{00000000-0005-0000-0000-0000473D0000}"/>
    <cellStyle name="Input 15 4 5 2 4" xfId="15897" xr:uid="{00000000-0005-0000-0000-0000483D0000}"/>
    <cellStyle name="Input 15 4 5 2 5" xfId="15898" xr:uid="{00000000-0005-0000-0000-0000493D0000}"/>
    <cellStyle name="Input 15 4 5 2 6" xfId="15899" xr:uid="{00000000-0005-0000-0000-00004A3D0000}"/>
    <cellStyle name="Input 15 4 5 3" xfId="15900" xr:uid="{00000000-0005-0000-0000-00004B3D0000}"/>
    <cellStyle name="Input 15 4 5 3 2" xfId="15901" xr:uid="{00000000-0005-0000-0000-00004C3D0000}"/>
    <cellStyle name="Input 15 4 5 4" xfId="15902" xr:uid="{00000000-0005-0000-0000-00004D3D0000}"/>
    <cellStyle name="Input 15 4 5 4 2" xfId="15903" xr:uid="{00000000-0005-0000-0000-00004E3D0000}"/>
    <cellStyle name="Input 15 4 5 5" xfId="15904" xr:uid="{00000000-0005-0000-0000-00004F3D0000}"/>
    <cellStyle name="Input 15 4 5 6" xfId="15905" xr:uid="{00000000-0005-0000-0000-0000503D0000}"/>
    <cellStyle name="Input 15 4 5 7" xfId="15906" xr:uid="{00000000-0005-0000-0000-0000513D0000}"/>
    <cellStyle name="Input 15 4 6" xfId="15907" xr:uid="{00000000-0005-0000-0000-0000523D0000}"/>
    <cellStyle name="Input 15 4 6 2" xfId="15908" xr:uid="{00000000-0005-0000-0000-0000533D0000}"/>
    <cellStyle name="Input 15 4 6 2 2" xfId="15909" xr:uid="{00000000-0005-0000-0000-0000543D0000}"/>
    <cellStyle name="Input 15 4 6 3" xfId="15910" xr:uid="{00000000-0005-0000-0000-0000553D0000}"/>
    <cellStyle name="Input 15 4 6 3 2" xfId="15911" xr:uid="{00000000-0005-0000-0000-0000563D0000}"/>
    <cellStyle name="Input 15 4 6 4" xfId="15912" xr:uid="{00000000-0005-0000-0000-0000573D0000}"/>
    <cellStyle name="Input 15 4 6 5" xfId="15913" xr:uid="{00000000-0005-0000-0000-0000583D0000}"/>
    <cellStyle name="Input 15 4 6 6" xfId="15914" xr:uid="{00000000-0005-0000-0000-0000593D0000}"/>
    <cellStyle name="Input 15 4 7" xfId="15915" xr:uid="{00000000-0005-0000-0000-00005A3D0000}"/>
    <cellStyle name="Input 15 4 7 2" xfId="15916" xr:uid="{00000000-0005-0000-0000-00005B3D0000}"/>
    <cellStyle name="Input 15 4 8" xfId="15917" xr:uid="{00000000-0005-0000-0000-00005C3D0000}"/>
    <cellStyle name="Input 15 4 8 2" xfId="15918" xr:uid="{00000000-0005-0000-0000-00005D3D0000}"/>
    <cellStyle name="Input 15 4 9" xfId="15919" xr:uid="{00000000-0005-0000-0000-00005E3D0000}"/>
    <cellStyle name="Input 15 5" xfId="15920" xr:uid="{00000000-0005-0000-0000-00005F3D0000}"/>
    <cellStyle name="Input 15 5 10" xfId="15921" xr:uid="{00000000-0005-0000-0000-0000603D0000}"/>
    <cellStyle name="Input 15 5 2" xfId="15922" xr:uid="{00000000-0005-0000-0000-0000613D0000}"/>
    <cellStyle name="Input 15 5 2 2" xfId="15923" xr:uid="{00000000-0005-0000-0000-0000623D0000}"/>
    <cellStyle name="Input 15 5 2 2 2" xfId="15924" xr:uid="{00000000-0005-0000-0000-0000633D0000}"/>
    <cellStyle name="Input 15 5 2 2 2 2" xfId="15925" xr:uid="{00000000-0005-0000-0000-0000643D0000}"/>
    <cellStyle name="Input 15 5 2 2 2 2 2" xfId="15926" xr:uid="{00000000-0005-0000-0000-0000653D0000}"/>
    <cellStyle name="Input 15 5 2 2 2 3" xfId="15927" xr:uid="{00000000-0005-0000-0000-0000663D0000}"/>
    <cellStyle name="Input 15 5 2 2 2 3 2" xfId="15928" xr:uid="{00000000-0005-0000-0000-0000673D0000}"/>
    <cellStyle name="Input 15 5 2 2 2 4" xfId="15929" xr:uid="{00000000-0005-0000-0000-0000683D0000}"/>
    <cellStyle name="Input 15 5 2 2 2 5" xfId="15930" xr:uid="{00000000-0005-0000-0000-0000693D0000}"/>
    <cellStyle name="Input 15 5 2 2 2 6" xfId="15931" xr:uid="{00000000-0005-0000-0000-00006A3D0000}"/>
    <cellStyle name="Input 15 5 2 2 3" xfId="15932" xr:uid="{00000000-0005-0000-0000-00006B3D0000}"/>
    <cellStyle name="Input 15 5 2 2 3 2" xfId="15933" xr:uid="{00000000-0005-0000-0000-00006C3D0000}"/>
    <cellStyle name="Input 15 5 2 2 4" xfId="15934" xr:uid="{00000000-0005-0000-0000-00006D3D0000}"/>
    <cellStyle name="Input 15 5 2 2 4 2" xfId="15935" xr:uid="{00000000-0005-0000-0000-00006E3D0000}"/>
    <cellStyle name="Input 15 5 2 2 5" xfId="15936" xr:uid="{00000000-0005-0000-0000-00006F3D0000}"/>
    <cellStyle name="Input 15 5 2 2 6" xfId="15937" xr:uid="{00000000-0005-0000-0000-0000703D0000}"/>
    <cellStyle name="Input 15 5 2 2 7" xfId="15938" xr:uid="{00000000-0005-0000-0000-0000713D0000}"/>
    <cellStyle name="Input 15 5 2 3" xfId="15939" xr:uid="{00000000-0005-0000-0000-0000723D0000}"/>
    <cellStyle name="Input 15 5 2 3 2" xfId="15940" xr:uid="{00000000-0005-0000-0000-0000733D0000}"/>
    <cellStyle name="Input 15 5 2 3 2 2" xfId="15941" xr:uid="{00000000-0005-0000-0000-0000743D0000}"/>
    <cellStyle name="Input 15 5 2 3 3" xfId="15942" xr:uid="{00000000-0005-0000-0000-0000753D0000}"/>
    <cellStyle name="Input 15 5 2 3 3 2" xfId="15943" xr:uid="{00000000-0005-0000-0000-0000763D0000}"/>
    <cellStyle name="Input 15 5 2 3 4" xfId="15944" xr:uid="{00000000-0005-0000-0000-0000773D0000}"/>
    <cellStyle name="Input 15 5 2 3 5" xfId="15945" xr:uid="{00000000-0005-0000-0000-0000783D0000}"/>
    <cellStyle name="Input 15 5 2 3 6" xfId="15946" xr:uid="{00000000-0005-0000-0000-0000793D0000}"/>
    <cellStyle name="Input 15 5 2 4" xfId="15947" xr:uid="{00000000-0005-0000-0000-00007A3D0000}"/>
    <cellStyle name="Input 15 5 2 4 2" xfId="15948" xr:uid="{00000000-0005-0000-0000-00007B3D0000}"/>
    <cellStyle name="Input 15 5 2 5" xfId="15949" xr:uid="{00000000-0005-0000-0000-00007C3D0000}"/>
    <cellStyle name="Input 15 5 2 5 2" xfId="15950" xr:uid="{00000000-0005-0000-0000-00007D3D0000}"/>
    <cellStyle name="Input 15 5 2 6" xfId="15951" xr:uid="{00000000-0005-0000-0000-00007E3D0000}"/>
    <cellStyle name="Input 15 5 2 7" xfId="15952" xr:uid="{00000000-0005-0000-0000-00007F3D0000}"/>
    <cellStyle name="Input 15 5 2 8" xfId="15953" xr:uid="{00000000-0005-0000-0000-0000803D0000}"/>
    <cellStyle name="Input 15 5 3" xfId="15954" xr:uid="{00000000-0005-0000-0000-0000813D0000}"/>
    <cellStyle name="Input 15 5 3 2" xfId="15955" xr:uid="{00000000-0005-0000-0000-0000823D0000}"/>
    <cellStyle name="Input 15 5 3 2 2" xfId="15956" xr:uid="{00000000-0005-0000-0000-0000833D0000}"/>
    <cellStyle name="Input 15 5 3 2 2 2" xfId="15957" xr:uid="{00000000-0005-0000-0000-0000843D0000}"/>
    <cellStyle name="Input 15 5 3 2 2 2 2" xfId="15958" xr:uid="{00000000-0005-0000-0000-0000853D0000}"/>
    <cellStyle name="Input 15 5 3 2 2 3" xfId="15959" xr:uid="{00000000-0005-0000-0000-0000863D0000}"/>
    <cellStyle name="Input 15 5 3 2 2 3 2" xfId="15960" xr:uid="{00000000-0005-0000-0000-0000873D0000}"/>
    <cellStyle name="Input 15 5 3 2 2 4" xfId="15961" xr:uid="{00000000-0005-0000-0000-0000883D0000}"/>
    <cellStyle name="Input 15 5 3 2 2 5" xfId="15962" xr:uid="{00000000-0005-0000-0000-0000893D0000}"/>
    <cellStyle name="Input 15 5 3 2 2 6" xfId="15963" xr:uid="{00000000-0005-0000-0000-00008A3D0000}"/>
    <cellStyle name="Input 15 5 3 2 3" xfId="15964" xr:uid="{00000000-0005-0000-0000-00008B3D0000}"/>
    <cellStyle name="Input 15 5 3 2 3 2" xfId="15965" xr:uid="{00000000-0005-0000-0000-00008C3D0000}"/>
    <cellStyle name="Input 15 5 3 2 4" xfId="15966" xr:uid="{00000000-0005-0000-0000-00008D3D0000}"/>
    <cellStyle name="Input 15 5 3 2 4 2" xfId="15967" xr:uid="{00000000-0005-0000-0000-00008E3D0000}"/>
    <cellStyle name="Input 15 5 3 2 5" xfId="15968" xr:uid="{00000000-0005-0000-0000-00008F3D0000}"/>
    <cellStyle name="Input 15 5 3 2 6" xfId="15969" xr:uid="{00000000-0005-0000-0000-0000903D0000}"/>
    <cellStyle name="Input 15 5 3 2 7" xfId="15970" xr:uid="{00000000-0005-0000-0000-0000913D0000}"/>
    <cellStyle name="Input 15 5 3 3" xfId="15971" xr:uid="{00000000-0005-0000-0000-0000923D0000}"/>
    <cellStyle name="Input 15 5 3 3 2" xfId="15972" xr:uid="{00000000-0005-0000-0000-0000933D0000}"/>
    <cellStyle name="Input 15 5 3 3 2 2" xfId="15973" xr:uid="{00000000-0005-0000-0000-0000943D0000}"/>
    <cellStyle name="Input 15 5 3 3 3" xfId="15974" xr:uid="{00000000-0005-0000-0000-0000953D0000}"/>
    <cellStyle name="Input 15 5 3 3 3 2" xfId="15975" xr:uid="{00000000-0005-0000-0000-0000963D0000}"/>
    <cellStyle name="Input 15 5 3 3 4" xfId="15976" xr:uid="{00000000-0005-0000-0000-0000973D0000}"/>
    <cellStyle name="Input 15 5 3 3 5" xfId="15977" xr:uid="{00000000-0005-0000-0000-0000983D0000}"/>
    <cellStyle name="Input 15 5 3 3 6" xfId="15978" xr:uid="{00000000-0005-0000-0000-0000993D0000}"/>
    <cellStyle name="Input 15 5 3 4" xfId="15979" xr:uid="{00000000-0005-0000-0000-00009A3D0000}"/>
    <cellStyle name="Input 15 5 3 4 2" xfId="15980" xr:uid="{00000000-0005-0000-0000-00009B3D0000}"/>
    <cellStyle name="Input 15 5 3 5" xfId="15981" xr:uid="{00000000-0005-0000-0000-00009C3D0000}"/>
    <cellStyle name="Input 15 5 3 5 2" xfId="15982" xr:uid="{00000000-0005-0000-0000-00009D3D0000}"/>
    <cellStyle name="Input 15 5 3 6" xfId="15983" xr:uid="{00000000-0005-0000-0000-00009E3D0000}"/>
    <cellStyle name="Input 15 5 3 7" xfId="15984" xr:uid="{00000000-0005-0000-0000-00009F3D0000}"/>
    <cellStyle name="Input 15 5 3 8" xfId="15985" xr:uid="{00000000-0005-0000-0000-0000A03D0000}"/>
    <cellStyle name="Input 15 5 4" xfId="15986" xr:uid="{00000000-0005-0000-0000-0000A13D0000}"/>
    <cellStyle name="Input 15 5 4 2" xfId="15987" xr:uid="{00000000-0005-0000-0000-0000A23D0000}"/>
    <cellStyle name="Input 15 5 4 2 2" xfId="15988" xr:uid="{00000000-0005-0000-0000-0000A33D0000}"/>
    <cellStyle name="Input 15 5 4 2 2 2" xfId="15989" xr:uid="{00000000-0005-0000-0000-0000A43D0000}"/>
    <cellStyle name="Input 15 5 4 2 3" xfId="15990" xr:uid="{00000000-0005-0000-0000-0000A53D0000}"/>
    <cellStyle name="Input 15 5 4 2 3 2" xfId="15991" xr:uid="{00000000-0005-0000-0000-0000A63D0000}"/>
    <cellStyle name="Input 15 5 4 2 4" xfId="15992" xr:uid="{00000000-0005-0000-0000-0000A73D0000}"/>
    <cellStyle name="Input 15 5 4 2 5" xfId="15993" xr:uid="{00000000-0005-0000-0000-0000A83D0000}"/>
    <cellStyle name="Input 15 5 4 2 6" xfId="15994" xr:uid="{00000000-0005-0000-0000-0000A93D0000}"/>
    <cellStyle name="Input 15 5 4 3" xfId="15995" xr:uid="{00000000-0005-0000-0000-0000AA3D0000}"/>
    <cellStyle name="Input 15 5 4 3 2" xfId="15996" xr:uid="{00000000-0005-0000-0000-0000AB3D0000}"/>
    <cellStyle name="Input 15 5 4 4" xfId="15997" xr:uid="{00000000-0005-0000-0000-0000AC3D0000}"/>
    <cellStyle name="Input 15 5 4 4 2" xfId="15998" xr:uid="{00000000-0005-0000-0000-0000AD3D0000}"/>
    <cellStyle name="Input 15 5 4 5" xfId="15999" xr:uid="{00000000-0005-0000-0000-0000AE3D0000}"/>
    <cellStyle name="Input 15 5 4 6" xfId="16000" xr:uid="{00000000-0005-0000-0000-0000AF3D0000}"/>
    <cellStyle name="Input 15 5 4 7" xfId="16001" xr:uid="{00000000-0005-0000-0000-0000B03D0000}"/>
    <cellStyle name="Input 15 5 5" xfId="16002" xr:uid="{00000000-0005-0000-0000-0000B13D0000}"/>
    <cellStyle name="Input 15 5 5 2" xfId="16003" xr:uid="{00000000-0005-0000-0000-0000B23D0000}"/>
    <cellStyle name="Input 15 5 5 2 2" xfId="16004" xr:uid="{00000000-0005-0000-0000-0000B33D0000}"/>
    <cellStyle name="Input 15 5 5 3" xfId="16005" xr:uid="{00000000-0005-0000-0000-0000B43D0000}"/>
    <cellStyle name="Input 15 5 5 3 2" xfId="16006" xr:uid="{00000000-0005-0000-0000-0000B53D0000}"/>
    <cellStyle name="Input 15 5 5 4" xfId="16007" xr:uid="{00000000-0005-0000-0000-0000B63D0000}"/>
    <cellStyle name="Input 15 5 5 5" xfId="16008" xr:uid="{00000000-0005-0000-0000-0000B73D0000}"/>
    <cellStyle name="Input 15 5 5 6" xfId="16009" xr:uid="{00000000-0005-0000-0000-0000B83D0000}"/>
    <cellStyle name="Input 15 5 6" xfId="16010" xr:uid="{00000000-0005-0000-0000-0000B93D0000}"/>
    <cellStyle name="Input 15 5 6 2" xfId="16011" xr:uid="{00000000-0005-0000-0000-0000BA3D0000}"/>
    <cellStyle name="Input 15 5 7" xfId="16012" xr:uid="{00000000-0005-0000-0000-0000BB3D0000}"/>
    <cellStyle name="Input 15 5 7 2" xfId="16013" xr:uid="{00000000-0005-0000-0000-0000BC3D0000}"/>
    <cellStyle name="Input 15 5 8" xfId="16014" xr:uid="{00000000-0005-0000-0000-0000BD3D0000}"/>
    <cellStyle name="Input 15 5 9" xfId="16015" xr:uid="{00000000-0005-0000-0000-0000BE3D0000}"/>
    <cellStyle name="Input 15 6" xfId="16016" xr:uid="{00000000-0005-0000-0000-0000BF3D0000}"/>
    <cellStyle name="Input 15 6 2" xfId="16017" xr:uid="{00000000-0005-0000-0000-0000C03D0000}"/>
    <cellStyle name="Input 15 6 2 2" xfId="16018" xr:uid="{00000000-0005-0000-0000-0000C13D0000}"/>
    <cellStyle name="Input 15 6 2 2 2" xfId="16019" xr:uid="{00000000-0005-0000-0000-0000C23D0000}"/>
    <cellStyle name="Input 15 6 2 2 2 2" xfId="16020" xr:uid="{00000000-0005-0000-0000-0000C33D0000}"/>
    <cellStyle name="Input 15 6 2 2 3" xfId="16021" xr:uid="{00000000-0005-0000-0000-0000C43D0000}"/>
    <cellStyle name="Input 15 6 2 2 3 2" xfId="16022" xr:uid="{00000000-0005-0000-0000-0000C53D0000}"/>
    <cellStyle name="Input 15 6 2 2 4" xfId="16023" xr:uid="{00000000-0005-0000-0000-0000C63D0000}"/>
    <cellStyle name="Input 15 6 2 2 5" xfId="16024" xr:uid="{00000000-0005-0000-0000-0000C73D0000}"/>
    <cellStyle name="Input 15 6 2 2 6" xfId="16025" xr:uid="{00000000-0005-0000-0000-0000C83D0000}"/>
    <cellStyle name="Input 15 6 2 3" xfId="16026" xr:uid="{00000000-0005-0000-0000-0000C93D0000}"/>
    <cellStyle name="Input 15 6 2 3 2" xfId="16027" xr:uid="{00000000-0005-0000-0000-0000CA3D0000}"/>
    <cellStyle name="Input 15 6 2 4" xfId="16028" xr:uid="{00000000-0005-0000-0000-0000CB3D0000}"/>
    <cellStyle name="Input 15 6 2 4 2" xfId="16029" xr:uid="{00000000-0005-0000-0000-0000CC3D0000}"/>
    <cellStyle name="Input 15 6 2 5" xfId="16030" xr:uid="{00000000-0005-0000-0000-0000CD3D0000}"/>
    <cellStyle name="Input 15 6 2 6" xfId="16031" xr:uid="{00000000-0005-0000-0000-0000CE3D0000}"/>
    <cellStyle name="Input 15 6 2 7" xfId="16032" xr:uid="{00000000-0005-0000-0000-0000CF3D0000}"/>
    <cellStyle name="Input 15 6 3" xfId="16033" xr:uid="{00000000-0005-0000-0000-0000D03D0000}"/>
    <cellStyle name="Input 15 6 3 2" xfId="16034" xr:uid="{00000000-0005-0000-0000-0000D13D0000}"/>
    <cellStyle name="Input 15 6 3 2 2" xfId="16035" xr:uid="{00000000-0005-0000-0000-0000D23D0000}"/>
    <cellStyle name="Input 15 6 3 3" xfId="16036" xr:uid="{00000000-0005-0000-0000-0000D33D0000}"/>
    <cellStyle name="Input 15 6 3 3 2" xfId="16037" xr:uid="{00000000-0005-0000-0000-0000D43D0000}"/>
    <cellStyle name="Input 15 6 3 4" xfId="16038" xr:uid="{00000000-0005-0000-0000-0000D53D0000}"/>
    <cellStyle name="Input 15 6 3 5" xfId="16039" xr:uid="{00000000-0005-0000-0000-0000D63D0000}"/>
    <cellStyle name="Input 15 6 3 6" xfId="16040" xr:uid="{00000000-0005-0000-0000-0000D73D0000}"/>
    <cellStyle name="Input 15 6 4" xfId="16041" xr:uid="{00000000-0005-0000-0000-0000D83D0000}"/>
    <cellStyle name="Input 15 6 4 2" xfId="16042" xr:uid="{00000000-0005-0000-0000-0000D93D0000}"/>
    <cellStyle name="Input 15 6 5" xfId="16043" xr:uid="{00000000-0005-0000-0000-0000DA3D0000}"/>
    <cellStyle name="Input 15 6 5 2" xfId="16044" xr:uid="{00000000-0005-0000-0000-0000DB3D0000}"/>
    <cellStyle name="Input 15 6 6" xfId="16045" xr:uid="{00000000-0005-0000-0000-0000DC3D0000}"/>
    <cellStyle name="Input 15 6 7" xfId="16046" xr:uid="{00000000-0005-0000-0000-0000DD3D0000}"/>
    <cellStyle name="Input 15 6 8" xfId="16047" xr:uid="{00000000-0005-0000-0000-0000DE3D0000}"/>
    <cellStyle name="Input 15 7" xfId="16048" xr:uid="{00000000-0005-0000-0000-0000DF3D0000}"/>
    <cellStyle name="Input 15 7 2" xfId="16049" xr:uid="{00000000-0005-0000-0000-0000E03D0000}"/>
    <cellStyle name="Input 15 7 2 2" xfId="16050" xr:uid="{00000000-0005-0000-0000-0000E13D0000}"/>
    <cellStyle name="Input 15 7 2 2 2" xfId="16051" xr:uid="{00000000-0005-0000-0000-0000E23D0000}"/>
    <cellStyle name="Input 15 7 2 3" xfId="16052" xr:uid="{00000000-0005-0000-0000-0000E33D0000}"/>
    <cellStyle name="Input 15 7 2 3 2" xfId="16053" xr:uid="{00000000-0005-0000-0000-0000E43D0000}"/>
    <cellStyle name="Input 15 7 2 4" xfId="16054" xr:uid="{00000000-0005-0000-0000-0000E53D0000}"/>
    <cellStyle name="Input 15 7 2 5" xfId="16055" xr:uid="{00000000-0005-0000-0000-0000E63D0000}"/>
    <cellStyle name="Input 15 7 2 6" xfId="16056" xr:uid="{00000000-0005-0000-0000-0000E73D0000}"/>
    <cellStyle name="Input 15 7 3" xfId="16057" xr:uid="{00000000-0005-0000-0000-0000E83D0000}"/>
    <cellStyle name="Input 15 7 3 2" xfId="16058" xr:uid="{00000000-0005-0000-0000-0000E93D0000}"/>
    <cellStyle name="Input 15 7 4" xfId="16059" xr:uid="{00000000-0005-0000-0000-0000EA3D0000}"/>
    <cellStyle name="Input 15 7 4 2" xfId="16060" xr:uid="{00000000-0005-0000-0000-0000EB3D0000}"/>
    <cellStyle name="Input 15 7 5" xfId="16061" xr:uid="{00000000-0005-0000-0000-0000EC3D0000}"/>
    <cellStyle name="Input 15 7 6" xfId="16062" xr:uid="{00000000-0005-0000-0000-0000ED3D0000}"/>
    <cellStyle name="Input 15 7 7" xfId="16063" xr:uid="{00000000-0005-0000-0000-0000EE3D0000}"/>
    <cellStyle name="Input 15 8" xfId="16064" xr:uid="{00000000-0005-0000-0000-0000EF3D0000}"/>
    <cellStyle name="Input 15 8 2" xfId="16065" xr:uid="{00000000-0005-0000-0000-0000F03D0000}"/>
    <cellStyle name="Input 15 9" xfId="16066" xr:uid="{00000000-0005-0000-0000-0000F13D0000}"/>
    <cellStyle name="Input 15 9 2" xfId="16067" xr:uid="{00000000-0005-0000-0000-0000F23D0000}"/>
    <cellStyle name="Input 16" xfId="16068" xr:uid="{00000000-0005-0000-0000-0000F33D0000}"/>
    <cellStyle name="Input 16 10" xfId="16069" xr:uid="{00000000-0005-0000-0000-0000F43D0000}"/>
    <cellStyle name="Input 16 11" xfId="16070" xr:uid="{00000000-0005-0000-0000-0000F53D0000}"/>
    <cellStyle name="Input 16 12" xfId="16071" xr:uid="{00000000-0005-0000-0000-0000F63D0000}"/>
    <cellStyle name="Input 16 2" xfId="16072" xr:uid="{00000000-0005-0000-0000-0000F73D0000}"/>
    <cellStyle name="Input 16 2 10" xfId="16073" xr:uid="{00000000-0005-0000-0000-0000F83D0000}"/>
    <cellStyle name="Input 16 2 11" xfId="16074" xr:uid="{00000000-0005-0000-0000-0000F93D0000}"/>
    <cellStyle name="Input 16 2 12" xfId="16075" xr:uid="{00000000-0005-0000-0000-0000FA3D0000}"/>
    <cellStyle name="Input 16 2 2" xfId="16076" xr:uid="{00000000-0005-0000-0000-0000FB3D0000}"/>
    <cellStyle name="Input 16 2 2 10" xfId="16077" xr:uid="{00000000-0005-0000-0000-0000FC3D0000}"/>
    <cellStyle name="Input 16 2 2 11" xfId="16078" xr:uid="{00000000-0005-0000-0000-0000FD3D0000}"/>
    <cellStyle name="Input 16 2 2 2" xfId="16079" xr:uid="{00000000-0005-0000-0000-0000FE3D0000}"/>
    <cellStyle name="Input 16 2 2 2 10" xfId="16080" xr:uid="{00000000-0005-0000-0000-0000FF3D0000}"/>
    <cellStyle name="Input 16 2 2 2 2" xfId="16081" xr:uid="{00000000-0005-0000-0000-0000003E0000}"/>
    <cellStyle name="Input 16 2 2 2 2 2" xfId="16082" xr:uid="{00000000-0005-0000-0000-0000013E0000}"/>
    <cellStyle name="Input 16 2 2 2 2 2 2" xfId="16083" xr:uid="{00000000-0005-0000-0000-0000023E0000}"/>
    <cellStyle name="Input 16 2 2 2 2 2 2 2" xfId="16084" xr:uid="{00000000-0005-0000-0000-0000033E0000}"/>
    <cellStyle name="Input 16 2 2 2 2 2 2 2 2" xfId="16085" xr:uid="{00000000-0005-0000-0000-0000043E0000}"/>
    <cellStyle name="Input 16 2 2 2 2 2 2 3" xfId="16086" xr:uid="{00000000-0005-0000-0000-0000053E0000}"/>
    <cellStyle name="Input 16 2 2 2 2 2 2 3 2" xfId="16087" xr:uid="{00000000-0005-0000-0000-0000063E0000}"/>
    <cellStyle name="Input 16 2 2 2 2 2 2 4" xfId="16088" xr:uid="{00000000-0005-0000-0000-0000073E0000}"/>
    <cellStyle name="Input 16 2 2 2 2 2 2 5" xfId="16089" xr:uid="{00000000-0005-0000-0000-0000083E0000}"/>
    <cellStyle name="Input 16 2 2 2 2 2 2 6" xfId="16090" xr:uid="{00000000-0005-0000-0000-0000093E0000}"/>
    <cellStyle name="Input 16 2 2 2 2 2 3" xfId="16091" xr:uid="{00000000-0005-0000-0000-00000A3E0000}"/>
    <cellStyle name="Input 16 2 2 2 2 2 3 2" xfId="16092" xr:uid="{00000000-0005-0000-0000-00000B3E0000}"/>
    <cellStyle name="Input 16 2 2 2 2 2 4" xfId="16093" xr:uid="{00000000-0005-0000-0000-00000C3E0000}"/>
    <cellStyle name="Input 16 2 2 2 2 2 4 2" xfId="16094" xr:uid="{00000000-0005-0000-0000-00000D3E0000}"/>
    <cellStyle name="Input 16 2 2 2 2 2 5" xfId="16095" xr:uid="{00000000-0005-0000-0000-00000E3E0000}"/>
    <cellStyle name="Input 16 2 2 2 2 2 6" xfId="16096" xr:uid="{00000000-0005-0000-0000-00000F3E0000}"/>
    <cellStyle name="Input 16 2 2 2 2 2 7" xfId="16097" xr:uid="{00000000-0005-0000-0000-0000103E0000}"/>
    <cellStyle name="Input 16 2 2 2 2 3" xfId="16098" xr:uid="{00000000-0005-0000-0000-0000113E0000}"/>
    <cellStyle name="Input 16 2 2 2 2 3 2" xfId="16099" xr:uid="{00000000-0005-0000-0000-0000123E0000}"/>
    <cellStyle name="Input 16 2 2 2 2 3 2 2" xfId="16100" xr:uid="{00000000-0005-0000-0000-0000133E0000}"/>
    <cellStyle name="Input 16 2 2 2 2 3 3" xfId="16101" xr:uid="{00000000-0005-0000-0000-0000143E0000}"/>
    <cellStyle name="Input 16 2 2 2 2 3 3 2" xfId="16102" xr:uid="{00000000-0005-0000-0000-0000153E0000}"/>
    <cellStyle name="Input 16 2 2 2 2 3 4" xfId="16103" xr:uid="{00000000-0005-0000-0000-0000163E0000}"/>
    <cellStyle name="Input 16 2 2 2 2 3 5" xfId="16104" xr:uid="{00000000-0005-0000-0000-0000173E0000}"/>
    <cellStyle name="Input 16 2 2 2 2 3 6" xfId="16105" xr:uid="{00000000-0005-0000-0000-0000183E0000}"/>
    <cellStyle name="Input 16 2 2 2 2 4" xfId="16106" xr:uid="{00000000-0005-0000-0000-0000193E0000}"/>
    <cellStyle name="Input 16 2 2 2 2 4 2" xfId="16107" xr:uid="{00000000-0005-0000-0000-00001A3E0000}"/>
    <cellStyle name="Input 16 2 2 2 2 5" xfId="16108" xr:uid="{00000000-0005-0000-0000-00001B3E0000}"/>
    <cellStyle name="Input 16 2 2 2 2 5 2" xfId="16109" xr:uid="{00000000-0005-0000-0000-00001C3E0000}"/>
    <cellStyle name="Input 16 2 2 2 2 6" xfId="16110" xr:uid="{00000000-0005-0000-0000-00001D3E0000}"/>
    <cellStyle name="Input 16 2 2 2 2 7" xfId="16111" xr:uid="{00000000-0005-0000-0000-00001E3E0000}"/>
    <cellStyle name="Input 16 2 2 2 2 8" xfId="16112" xr:uid="{00000000-0005-0000-0000-00001F3E0000}"/>
    <cellStyle name="Input 16 2 2 2 3" xfId="16113" xr:uid="{00000000-0005-0000-0000-0000203E0000}"/>
    <cellStyle name="Input 16 2 2 2 3 2" xfId="16114" xr:uid="{00000000-0005-0000-0000-0000213E0000}"/>
    <cellStyle name="Input 16 2 2 2 3 2 2" xfId="16115" xr:uid="{00000000-0005-0000-0000-0000223E0000}"/>
    <cellStyle name="Input 16 2 2 2 3 2 2 2" xfId="16116" xr:uid="{00000000-0005-0000-0000-0000233E0000}"/>
    <cellStyle name="Input 16 2 2 2 3 2 2 2 2" xfId="16117" xr:uid="{00000000-0005-0000-0000-0000243E0000}"/>
    <cellStyle name="Input 16 2 2 2 3 2 2 3" xfId="16118" xr:uid="{00000000-0005-0000-0000-0000253E0000}"/>
    <cellStyle name="Input 16 2 2 2 3 2 2 3 2" xfId="16119" xr:uid="{00000000-0005-0000-0000-0000263E0000}"/>
    <cellStyle name="Input 16 2 2 2 3 2 2 4" xfId="16120" xr:uid="{00000000-0005-0000-0000-0000273E0000}"/>
    <cellStyle name="Input 16 2 2 2 3 2 2 5" xfId="16121" xr:uid="{00000000-0005-0000-0000-0000283E0000}"/>
    <cellStyle name="Input 16 2 2 2 3 2 2 6" xfId="16122" xr:uid="{00000000-0005-0000-0000-0000293E0000}"/>
    <cellStyle name="Input 16 2 2 2 3 2 3" xfId="16123" xr:uid="{00000000-0005-0000-0000-00002A3E0000}"/>
    <cellStyle name="Input 16 2 2 2 3 2 3 2" xfId="16124" xr:uid="{00000000-0005-0000-0000-00002B3E0000}"/>
    <cellStyle name="Input 16 2 2 2 3 2 4" xfId="16125" xr:uid="{00000000-0005-0000-0000-00002C3E0000}"/>
    <cellStyle name="Input 16 2 2 2 3 2 4 2" xfId="16126" xr:uid="{00000000-0005-0000-0000-00002D3E0000}"/>
    <cellStyle name="Input 16 2 2 2 3 2 5" xfId="16127" xr:uid="{00000000-0005-0000-0000-00002E3E0000}"/>
    <cellStyle name="Input 16 2 2 2 3 2 6" xfId="16128" xr:uid="{00000000-0005-0000-0000-00002F3E0000}"/>
    <cellStyle name="Input 16 2 2 2 3 2 7" xfId="16129" xr:uid="{00000000-0005-0000-0000-0000303E0000}"/>
    <cellStyle name="Input 16 2 2 2 3 3" xfId="16130" xr:uid="{00000000-0005-0000-0000-0000313E0000}"/>
    <cellStyle name="Input 16 2 2 2 3 3 2" xfId="16131" xr:uid="{00000000-0005-0000-0000-0000323E0000}"/>
    <cellStyle name="Input 16 2 2 2 3 3 2 2" xfId="16132" xr:uid="{00000000-0005-0000-0000-0000333E0000}"/>
    <cellStyle name="Input 16 2 2 2 3 3 3" xfId="16133" xr:uid="{00000000-0005-0000-0000-0000343E0000}"/>
    <cellStyle name="Input 16 2 2 2 3 3 3 2" xfId="16134" xr:uid="{00000000-0005-0000-0000-0000353E0000}"/>
    <cellStyle name="Input 16 2 2 2 3 3 4" xfId="16135" xr:uid="{00000000-0005-0000-0000-0000363E0000}"/>
    <cellStyle name="Input 16 2 2 2 3 3 5" xfId="16136" xr:uid="{00000000-0005-0000-0000-0000373E0000}"/>
    <cellStyle name="Input 16 2 2 2 3 3 6" xfId="16137" xr:uid="{00000000-0005-0000-0000-0000383E0000}"/>
    <cellStyle name="Input 16 2 2 2 3 4" xfId="16138" xr:uid="{00000000-0005-0000-0000-0000393E0000}"/>
    <cellStyle name="Input 16 2 2 2 3 4 2" xfId="16139" xr:uid="{00000000-0005-0000-0000-00003A3E0000}"/>
    <cellStyle name="Input 16 2 2 2 3 5" xfId="16140" xr:uid="{00000000-0005-0000-0000-00003B3E0000}"/>
    <cellStyle name="Input 16 2 2 2 3 5 2" xfId="16141" xr:uid="{00000000-0005-0000-0000-00003C3E0000}"/>
    <cellStyle name="Input 16 2 2 2 3 6" xfId="16142" xr:uid="{00000000-0005-0000-0000-00003D3E0000}"/>
    <cellStyle name="Input 16 2 2 2 3 7" xfId="16143" xr:uid="{00000000-0005-0000-0000-00003E3E0000}"/>
    <cellStyle name="Input 16 2 2 2 3 8" xfId="16144" xr:uid="{00000000-0005-0000-0000-00003F3E0000}"/>
    <cellStyle name="Input 16 2 2 2 4" xfId="16145" xr:uid="{00000000-0005-0000-0000-0000403E0000}"/>
    <cellStyle name="Input 16 2 2 2 4 2" xfId="16146" xr:uid="{00000000-0005-0000-0000-0000413E0000}"/>
    <cellStyle name="Input 16 2 2 2 4 2 2" xfId="16147" xr:uid="{00000000-0005-0000-0000-0000423E0000}"/>
    <cellStyle name="Input 16 2 2 2 4 2 2 2" xfId="16148" xr:uid="{00000000-0005-0000-0000-0000433E0000}"/>
    <cellStyle name="Input 16 2 2 2 4 2 3" xfId="16149" xr:uid="{00000000-0005-0000-0000-0000443E0000}"/>
    <cellStyle name="Input 16 2 2 2 4 2 3 2" xfId="16150" xr:uid="{00000000-0005-0000-0000-0000453E0000}"/>
    <cellStyle name="Input 16 2 2 2 4 2 4" xfId="16151" xr:uid="{00000000-0005-0000-0000-0000463E0000}"/>
    <cellStyle name="Input 16 2 2 2 4 2 5" xfId="16152" xr:uid="{00000000-0005-0000-0000-0000473E0000}"/>
    <cellStyle name="Input 16 2 2 2 4 2 6" xfId="16153" xr:uid="{00000000-0005-0000-0000-0000483E0000}"/>
    <cellStyle name="Input 16 2 2 2 4 3" xfId="16154" xr:uid="{00000000-0005-0000-0000-0000493E0000}"/>
    <cellStyle name="Input 16 2 2 2 4 3 2" xfId="16155" xr:uid="{00000000-0005-0000-0000-00004A3E0000}"/>
    <cellStyle name="Input 16 2 2 2 4 4" xfId="16156" xr:uid="{00000000-0005-0000-0000-00004B3E0000}"/>
    <cellStyle name="Input 16 2 2 2 4 4 2" xfId="16157" xr:uid="{00000000-0005-0000-0000-00004C3E0000}"/>
    <cellStyle name="Input 16 2 2 2 4 5" xfId="16158" xr:uid="{00000000-0005-0000-0000-00004D3E0000}"/>
    <cellStyle name="Input 16 2 2 2 4 6" xfId="16159" xr:uid="{00000000-0005-0000-0000-00004E3E0000}"/>
    <cellStyle name="Input 16 2 2 2 4 7" xfId="16160" xr:uid="{00000000-0005-0000-0000-00004F3E0000}"/>
    <cellStyle name="Input 16 2 2 2 5" xfId="16161" xr:uid="{00000000-0005-0000-0000-0000503E0000}"/>
    <cellStyle name="Input 16 2 2 2 5 2" xfId="16162" xr:uid="{00000000-0005-0000-0000-0000513E0000}"/>
    <cellStyle name="Input 16 2 2 2 5 2 2" xfId="16163" xr:uid="{00000000-0005-0000-0000-0000523E0000}"/>
    <cellStyle name="Input 16 2 2 2 5 3" xfId="16164" xr:uid="{00000000-0005-0000-0000-0000533E0000}"/>
    <cellStyle name="Input 16 2 2 2 5 3 2" xfId="16165" xr:uid="{00000000-0005-0000-0000-0000543E0000}"/>
    <cellStyle name="Input 16 2 2 2 5 4" xfId="16166" xr:uid="{00000000-0005-0000-0000-0000553E0000}"/>
    <cellStyle name="Input 16 2 2 2 5 5" xfId="16167" xr:uid="{00000000-0005-0000-0000-0000563E0000}"/>
    <cellStyle name="Input 16 2 2 2 5 6" xfId="16168" xr:uid="{00000000-0005-0000-0000-0000573E0000}"/>
    <cellStyle name="Input 16 2 2 2 6" xfId="16169" xr:uid="{00000000-0005-0000-0000-0000583E0000}"/>
    <cellStyle name="Input 16 2 2 2 6 2" xfId="16170" xr:uid="{00000000-0005-0000-0000-0000593E0000}"/>
    <cellStyle name="Input 16 2 2 2 7" xfId="16171" xr:uid="{00000000-0005-0000-0000-00005A3E0000}"/>
    <cellStyle name="Input 16 2 2 2 7 2" xfId="16172" xr:uid="{00000000-0005-0000-0000-00005B3E0000}"/>
    <cellStyle name="Input 16 2 2 2 8" xfId="16173" xr:uid="{00000000-0005-0000-0000-00005C3E0000}"/>
    <cellStyle name="Input 16 2 2 2 9" xfId="16174" xr:uid="{00000000-0005-0000-0000-00005D3E0000}"/>
    <cellStyle name="Input 16 2 2 3" xfId="16175" xr:uid="{00000000-0005-0000-0000-00005E3E0000}"/>
    <cellStyle name="Input 16 2 2 3 2" xfId="16176" xr:uid="{00000000-0005-0000-0000-00005F3E0000}"/>
    <cellStyle name="Input 16 2 2 3 2 2" xfId="16177" xr:uid="{00000000-0005-0000-0000-0000603E0000}"/>
    <cellStyle name="Input 16 2 2 3 2 2 2" xfId="16178" xr:uid="{00000000-0005-0000-0000-0000613E0000}"/>
    <cellStyle name="Input 16 2 2 3 2 2 2 2" xfId="16179" xr:uid="{00000000-0005-0000-0000-0000623E0000}"/>
    <cellStyle name="Input 16 2 2 3 2 2 3" xfId="16180" xr:uid="{00000000-0005-0000-0000-0000633E0000}"/>
    <cellStyle name="Input 16 2 2 3 2 2 3 2" xfId="16181" xr:uid="{00000000-0005-0000-0000-0000643E0000}"/>
    <cellStyle name="Input 16 2 2 3 2 2 4" xfId="16182" xr:uid="{00000000-0005-0000-0000-0000653E0000}"/>
    <cellStyle name="Input 16 2 2 3 2 2 5" xfId="16183" xr:uid="{00000000-0005-0000-0000-0000663E0000}"/>
    <cellStyle name="Input 16 2 2 3 2 2 6" xfId="16184" xr:uid="{00000000-0005-0000-0000-0000673E0000}"/>
    <cellStyle name="Input 16 2 2 3 2 3" xfId="16185" xr:uid="{00000000-0005-0000-0000-0000683E0000}"/>
    <cellStyle name="Input 16 2 2 3 2 3 2" xfId="16186" xr:uid="{00000000-0005-0000-0000-0000693E0000}"/>
    <cellStyle name="Input 16 2 2 3 2 4" xfId="16187" xr:uid="{00000000-0005-0000-0000-00006A3E0000}"/>
    <cellStyle name="Input 16 2 2 3 2 4 2" xfId="16188" xr:uid="{00000000-0005-0000-0000-00006B3E0000}"/>
    <cellStyle name="Input 16 2 2 3 2 5" xfId="16189" xr:uid="{00000000-0005-0000-0000-00006C3E0000}"/>
    <cellStyle name="Input 16 2 2 3 2 6" xfId="16190" xr:uid="{00000000-0005-0000-0000-00006D3E0000}"/>
    <cellStyle name="Input 16 2 2 3 2 7" xfId="16191" xr:uid="{00000000-0005-0000-0000-00006E3E0000}"/>
    <cellStyle name="Input 16 2 2 3 3" xfId="16192" xr:uid="{00000000-0005-0000-0000-00006F3E0000}"/>
    <cellStyle name="Input 16 2 2 3 3 2" xfId="16193" xr:uid="{00000000-0005-0000-0000-0000703E0000}"/>
    <cellStyle name="Input 16 2 2 3 3 2 2" xfId="16194" xr:uid="{00000000-0005-0000-0000-0000713E0000}"/>
    <cellStyle name="Input 16 2 2 3 3 3" xfId="16195" xr:uid="{00000000-0005-0000-0000-0000723E0000}"/>
    <cellStyle name="Input 16 2 2 3 3 3 2" xfId="16196" xr:uid="{00000000-0005-0000-0000-0000733E0000}"/>
    <cellStyle name="Input 16 2 2 3 3 4" xfId="16197" xr:uid="{00000000-0005-0000-0000-0000743E0000}"/>
    <cellStyle name="Input 16 2 2 3 3 5" xfId="16198" xr:uid="{00000000-0005-0000-0000-0000753E0000}"/>
    <cellStyle name="Input 16 2 2 3 3 6" xfId="16199" xr:uid="{00000000-0005-0000-0000-0000763E0000}"/>
    <cellStyle name="Input 16 2 2 3 4" xfId="16200" xr:uid="{00000000-0005-0000-0000-0000773E0000}"/>
    <cellStyle name="Input 16 2 2 3 4 2" xfId="16201" xr:uid="{00000000-0005-0000-0000-0000783E0000}"/>
    <cellStyle name="Input 16 2 2 3 5" xfId="16202" xr:uid="{00000000-0005-0000-0000-0000793E0000}"/>
    <cellStyle name="Input 16 2 2 3 5 2" xfId="16203" xr:uid="{00000000-0005-0000-0000-00007A3E0000}"/>
    <cellStyle name="Input 16 2 2 3 6" xfId="16204" xr:uid="{00000000-0005-0000-0000-00007B3E0000}"/>
    <cellStyle name="Input 16 2 2 3 7" xfId="16205" xr:uid="{00000000-0005-0000-0000-00007C3E0000}"/>
    <cellStyle name="Input 16 2 2 3 8" xfId="16206" xr:uid="{00000000-0005-0000-0000-00007D3E0000}"/>
    <cellStyle name="Input 16 2 2 4" xfId="16207" xr:uid="{00000000-0005-0000-0000-00007E3E0000}"/>
    <cellStyle name="Input 16 2 2 4 2" xfId="16208" xr:uid="{00000000-0005-0000-0000-00007F3E0000}"/>
    <cellStyle name="Input 16 2 2 4 2 2" xfId="16209" xr:uid="{00000000-0005-0000-0000-0000803E0000}"/>
    <cellStyle name="Input 16 2 2 4 2 2 2" xfId="16210" xr:uid="{00000000-0005-0000-0000-0000813E0000}"/>
    <cellStyle name="Input 16 2 2 4 2 2 2 2" xfId="16211" xr:uid="{00000000-0005-0000-0000-0000823E0000}"/>
    <cellStyle name="Input 16 2 2 4 2 2 3" xfId="16212" xr:uid="{00000000-0005-0000-0000-0000833E0000}"/>
    <cellStyle name="Input 16 2 2 4 2 2 3 2" xfId="16213" xr:uid="{00000000-0005-0000-0000-0000843E0000}"/>
    <cellStyle name="Input 16 2 2 4 2 2 4" xfId="16214" xr:uid="{00000000-0005-0000-0000-0000853E0000}"/>
    <cellStyle name="Input 16 2 2 4 2 2 5" xfId="16215" xr:uid="{00000000-0005-0000-0000-0000863E0000}"/>
    <cellStyle name="Input 16 2 2 4 2 2 6" xfId="16216" xr:uid="{00000000-0005-0000-0000-0000873E0000}"/>
    <cellStyle name="Input 16 2 2 4 2 3" xfId="16217" xr:uid="{00000000-0005-0000-0000-0000883E0000}"/>
    <cellStyle name="Input 16 2 2 4 2 3 2" xfId="16218" xr:uid="{00000000-0005-0000-0000-0000893E0000}"/>
    <cellStyle name="Input 16 2 2 4 2 4" xfId="16219" xr:uid="{00000000-0005-0000-0000-00008A3E0000}"/>
    <cellStyle name="Input 16 2 2 4 2 4 2" xfId="16220" xr:uid="{00000000-0005-0000-0000-00008B3E0000}"/>
    <cellStyle name="Input 16 2 2 4 2 5" xfId="16221" xr:uid="{00000000-0005-0000-0000-00008C3E0000}"/>
    <cellStyle name="Input 16 2 2 4 2 6" xfId="16222" xr:uid="{00000000-0005-0000-0000-00008D3E0000}"/>
    <cellStyle name="Input 16 2 2 4 2 7" xfId="16223" xr:uid="{00000000-0005-0000-0000-00008E3E0000}"/>
    <cellStyle name="Input 16 2 2 4 3" xfId="16224" xr:uid="{00000000-0005-0000-0000-00008F3E0000}"/>
    <cellStyle name="Input 16 2 2 4 3 2" xfId="16225" xr:uid="{00000000-0005-0000-0000-0000903E0000}"/>
    <cellStyle name="Input 16 2 2 4 3 2 2" xfId="16226" xr:uid="{00000000-0005-0000-0000-0000913E0000}"/>
    <cellStyle name="Input 16 2 2 4 3 3" xfId="16227" xr:uid="{00000000-0005-0000-0000-0000923E0000}"/>
    <cellStyle name="Input 16 2 2 4 3 3 2" xfId="16228" xr:uid="{00000000-0005-0000-0000-0000933E0000}"/>
    <cellStyle name="Input 16 2 2 4 3 4" xfId="16229" xr:uid="{00000000-0005-0000-0000-0000943E0000}"/>
    <cellStyle name="Input 16 2 2 4 3 5" xfId="16230" xr:uid="{00000000-0005-0000-0000-0000953E0000}"/>
    <cellStyle name="Input 16 2 2 4 3 6" xfId="16231" xr:uid="{00000000-0005-0000-0000-0000963E0000}"/>
    <cellStyle name="Input 16 2 2 4 4" xfId="16232" xr:uid="{00000000-0005-0000-0000-0000973E0000}"/>
    <cellStyle name="Input 16 2 2 4 4 2" xfId="16233" xr:uid="{00000000-0005-0000-0000-0000983E0000}"/>
    <cellStyle name="Input 16 2 2 4 5" xfId="16234" xr:uid="{00000000-0005-0000-0000-0000993E0000}"/>
    <cellStyle name="Input 16 2 2 4 5 2" xfId="16235" xr:uid="{00000000-0005-0000-0000-00009A3E0000}"/>
    <cellStyle name="Input 16 2 2 4 6" xfId="16236" xr:uid="{00000000-0005-0000-0000-00009B3E0000}"/>
    <cellStyle name="Input 16 2 2 4 7" xfId="16237" xr:uid="{00000000-0005-0000-0000-00009C3E0000}"/>
    <cellStyle name="Input 16 2 2 4 8" xfId="16238" xr:uid="{00000000-0005-0000-0000-00009D3E0000}"/>
    <cellStyle name="Input 16 2 2 5" xfId="16239" xr:uid="{00000000-0005-0000-0000-00009E3E0000}"/>
    <cellStyle name="Input 16 2 2 5 2" xfId="16240" xr:uid="{00000000-0005-0000-0000-00009F3E0000}"/>
    <cellStyle name="Input 16 2 2 5 2 2" xfId="16241" xr:uid="{00000000-0005-0000-0000-0000A03E0000}"/>
    <cellStyle name="Input 16 2 2 5 2 2 2" xfId="16242" xr:uid="{00000000-0005-0000-0000-0000A13E0000}"/>
    <cellStyle name="Input 16 2 2 5 2 3" xfId="16243" xr:uid="{00000000-0005-0000-0000-0000A23E0000}"/>
    <cellStyle name="Input 16 2 2 5 2 3 2" xfId="16244" xr:uid="{00000000-0005-0000-0000-0000A33E0000}"/>
    <cellStyle name="Input 16 2 2 5 2 4" xfId="16245" xr:uid="{00000000-0005-0000-0000-0000A43E0000}"/>
    <cellStyle name="Input 16 2 2 5 2 5" xfId="16246" xr:uid="{00000000-0005-0000-0000-0000A53E0000}"/>
    <cellStyle name="Input 16 2 2 5 2 6" xfId="16247" xr:uid="{00000000-0005-0000-0000-0000A63E0000}"/>
    <cellStyle name="Input 16 2 2 5 3" xfId="16248" xr:uid="{00000000-0005-0000-0000-0000A73E0000}"/>
    <cellStyle name="Input 16 2 2 5 3 2" xfId="16249" xr:uid="{00000000-0005-0000-0000-0000A83E0000}"/>
    <cellStyle name="Input 16 2 2 5 4" xfId="16250" xr:uid="{00000000-0005-0000-0000-0000A93E0000}"/>
    <cellStyle name="Input 16 2 2 5 4 2" xfId="16251" xr:uid="{00000000-0005-0000-0000-0000AA3E0000}"/>
    <cellStyle name="Input 16 2 2 5 5" xfId="16252" xr:uid="{00000000-0005-0000-0000-0000AB3E0000}"/>
    <cellStyle name="Input 16 2 2 5 6" xfId="16253" xr:uid="{00000000-0005-0000-0000-0000AC3E0000}"/>
    <cellStyle name="Input 16 2 2 5 7" xfId="16254" xr:uid="{00000000-0005-0000-0000-0000AD3E0000}"/>
    <cellStyle name="Input 16 2 2 6" xfId="16255" xr:uid="{00000000-0005-0000-0000-0000AE3E0000}"/>
    <cellStyle name="Input 16 2 2 6 2" xfId="16256" xr:uid="{00000000-0005-0000-0000-0000AF3E0000}"/>
    <cellStyle name="Input 16 2 2 6 2 2" xfId="16257" xr:uid="{00000000-0005-0000-0000-0000B03E0000}"/>
    <cellStyle name="Input 16 2 2 6 3" xfId="16258" xr:uid="{00000000-0005-0000-0000-0000B13E0000}"/>
    <cellStyle name="Input 16 2 2 6 3 2" xfId="16259" xr:uid="{00000000-0005-0000-0000-0000B23E0000}"/>
    <cellStyle name="Input 16 2 2 6 4" xfId="16260" xr:uid="{00000000-0005-0000-0000-0000B33E0000}"/>
    <cellStyle name="Input 16 2 2 6 5" xfId="16261" xr:uid="{00000000-0005-0000-0000-0000B43E0000}"/>
    <cellStyle name="Input 16 2 2 6 6" xfId="16262" xr:uid="{00000000-0005-0000-0000-0000B53E0000}"/>
    <cellStyle name="Input 16 2 2 7" xfId="16263" xr:uid="{00000000-0005-0000-0000-0000B63E0000}"/>
    <cellStyle name="Input 16 2 2 7 2" xfId="16264" xr:uid="{00000000-0005-0000-0000-0000B73E0000}"/>
    <cellStyle name="Input 16 2 2 8" xfId="16265" xr:uid="{00000000-0005-0000-0000-0000B83E0000}"/>
    <cellStyle name="Input 16 2 2 8 2" xfId="16266" xr:uid="{00000000-0005-0000-0000-0000B93E0000}"/>
    <cellStyle name="Input 16 2 2 9" xfId="16267" xr:uid="{00000000-0005-0000-0000-0000BA3E0000}"/>
    <cellStyle name="Input 16 2 3" xfId="16268" xr:uid="{00000000-0005-0000-0000-0000BB3E0000}"/>
    <cellStyle name="Input 16 2 3 10" xfId="16269" xr:uid="{00000000-0005-0000-0000-0000BC3E0000}"/>
    <cellStyle name="Input 16 2 3 2" xfId="16270" xr:uid="{00000000-0005-0000-0000-0000BD3E0000}"/>
    <cellStyle name="Input 16 2 3 2 10" xfId="16271" xr:uid="{00000000-0005-0000-0000-0000BE3E0000}"/>
    <cellStyle name="Input 16 2 3 2 2" xfId="16272" xr:uid="{00000000-0005-0000-0000-0000BF3E0000}"/>
    <cellStyle name="Input 16 2 3 2 2 2" xfId="16273" xr:uid="{00000000-0005-0000-0000-0000C03E0000}"/>
    <cellStyle name="Input 16 2 3 2 2 2 2" xfId="16274" xr:uid="{00000000-0005-0000-0000-0000C13E0000}"/>
    <cellStyle name="Input 16 2 3 2 2 2 2 2" xfId="16275" xr:uid="{00000000-0005-0000-0000-0000C23E0000}"/>
    <cellStyle name="Input 16 2 3 2 2 2 2 2 2" xfId="16276" xr:uid="{00000000-0005-0000-0000-0000C33E0000}"/>
    <cellStyle name="Input 16 2 3 2 2 2 2 3" xfId="16277" xr:uid="{00000000-0005-0000-0000-0000C43E0000}"/>
    <cellStyle name="Input 16 2 3 2 2 2 2 3 2" xfId="16278" xr:uid="{00000000-0005-0000-0000-0000C53E0000}"/>
    <cellStyle name="Input 16 2 3 2 2 2 2 4" xfId="16279" xr:uid="{00000000-0005-0000-0000-0000C63E0000}"/>
    <cellStyle name="Input 16 2 3 2 2 2 2 5" xfId="16280" xr:uid="{00000000-0005-0000-0000-0000C73E0000}"/>
    <cellStyle name="Input 16 2 3 2 2 2 2 6" xfId="16281" xr:uid="{00000000-0005-0000-0000-0000C83E0000}"/>
    <cellStyle name="Input 16 2 3 2 2 2 3" xfId="16282" xr:uid="{00000000-0005-0000-0000-0000C93E0000}"/>
    <cellStyle name="Input 16 2 3 2 2 2 3 2" xfId="16283" xr:uid="{00000000-0005-0000-0000-0000CA3E0000}"/>
    <cellStyle name="Input 16 2 3 2 2 2 4" xfId="16284" xr:uid="{00000000-0005-0000-0000-0000CB3E0000}"/>
    <cellStyle name="Input 16 2 3 2 2 2 4 2" xfId="16285" xr:uid="{00000000-0005-0000-0000-0000CC3E0000}"/>
    <cellStyle name="Input 16 2 3 2 2 2 5" xfId="16286" xr:uid="{00000000-0005-0000-0000-0000CD3E0000}"/>
    <cellStyle name="Input 16 2 3 2 2 2 6" xfId="16287" xr:uid="{00000000-0005-0000-0000-0000CE3E0000}"/>
    <cellStyle name="Input 16 2 3 2 2 2 7" xfId="16288" xr:uid="{00000000-0005-0000-0000-0000CF3E0000}"/>
    <cellStyle name="Input 16 2 3 2 2 3" xfId="16289" xr:uid="{00000000-0005-0000-0000-0000D03E0000}"/>
    <cellStyle name="Input 16 2 3 2 2 3 2" xfId="16290" xr:uid="{00000000-0005-0000-0000-0000D13E0000}"/>
    <cellStyle name="Input 16 2 3 2 2 3 2 2" xfId="16291" xr:uid="{00000000-0005-0000-0000-0000D23E0000}"/>
    <cellStyle name="Input 16 2 3 2 2 3 3" xfId="16292" xr:uid="{00000000-0005-0000-0000-0000D33E0000}"/>
    <cellStyle name="Input 16 2 3 2 2 3 3 2" xfId="16293" xr:uid="{00000000-0005-0000-0000-0000D43E0000}"/>
    <cellStyle name="Input 16 2 3 2 2 3 4" xfId="16294" xr:uid="{00000000-0005-0000-0000-0000D53E0000}"/>
    <cellStyle name="Input 16 2 3 2 2 3 5" xfId="16295" xr:uid="{00000000-0005-0000-0000-0000D63E0000}"/>
    <cellStyle name="Input 16 2 3 2 2 3 6" xfId="16296" xr:uid="{00000000-0005-0000-0000-0000D73E0000}"/>
    <cellStyle name="Input 16 2 3 2 2 4" xfId="16297" xr:uid="{00000000-0005-0000-0000-0000D83E0000}"/>
    <cellStyle name="Input 16 2 3 2 2 4 2" xfId="16298" xr:uid="{00000000-0005-0000-0000-0000D93E0000}"/>
    <cellStyle name="Input 16 2 3 2 2 5" xfId="16299" xr:uid="{00000000-0005-0000-0000-0000DA3E0000}"/>
    <cellStyle name="Input 16 2 3 2 2 5 2" xfId="16300" xr:uid="{00000000-0005-0000-0000-0000DB3E0000}"/>
    <cellStyle name="Input 16 2 3 2 2 6" xfId="16301" xr:uid="{00000000-0005-0000-0000-0000DC3E0000}"/>
    <cellStyle name="Input 16 2 3 2 2 7" xfId="16302" xr:uid="{00000000-0005-0000-0000-0000DD3E0000}"/>
    <cellStyle name="Input 16 2 3 2 2 8" xfId="16303" xr:uid="{00000000-0005-0000-0000-0000DE3E0000}"/>
    <cellStyle name="Input 16 2 3 2 3" xfId="16304" xr:uid="{00000000-0005-0000-0000-0000DF3E0000}"/>
    <cellStyle name="Input 16 2 3 2 3 2" xfId="16305" xr:uid="{00000000-0005-0000-0000-0000E03E0000}"/>
    <cellStyle name="Input 16 2 3 2 3 2 2" xfId="16306" xr:uid="{00000000-0005-0000-0000-0000E13E0000}"/>
    <cellStyle name="Input 16 2 3 2 3 2 2 2" xfId="16307" xr:uid="{00000000-0005-0000-0000-0000E23E0000}"/>
    <cellStyle name="Input 16 2 3 2 3 2 2 2 2" xfId="16308" xr:uid="{00000000-0005-0000-0000-0000E33E0000}"/>
    <cellStyle name="Input 16 2 3 2 3 2 2 3" xfId="16309" xr:uid="{00000000-0005-0000-0000-0000E43E0000}"/>
    <cellStyle name="Input 16 2 3 2 3 2 2 3 2" xfId="16310" xr:uid="{00000000-0005-0000-0000-0000E53E0000}"/>
    <cellStyle name="Input 16 2 3 2 3 2 2 4" xfId="16311" xr:uid="{00000000-0005-0000-0000-0000E63E0000}"/>
    <cellStyle name="Input 16 2 3 2 3 2 2 5" xfId="16312" xr:uid="{00000000-0005-0000-0000-0000E73E0000}"/>
    <cellStyle name="Input 16 2 3 2 3 2 2 6" xfId="16313" xr:uid="{00000000-0005-0000-0000-0000E83E0000}"/>
    <cellStyle name="Input 16 2 3 2 3 2 3" xfId="16314" xr:uid="{00000000-0005-0000-0000-0000E93E0000}"/>
    <cellStyle name="Input 16 2 3 2 3 2 3 2" xfId="16315" xr:uid="{00000000-0005-0000-0000-0000EA3E0000}"/>
    <cellStyle name="Input 16 2 3 2 3 2 4" xfId="16316" xr:uid="{00000000-0005-0000-0000-0000EB3E0000}"/>
    <cellStyle name="Input 16 2 3 2 3 2 4 2" xfId="16317" xr:uid="{00000000-0005-0000-0000-0000EC3E0000}"/>
    <cellStyle name="Input 16 2 3 2 3 2 5" xfId="16318" xr:uid="{00000000-0005-0000-0000-0000ED3E0000}"/>
    <cellStyle name="Input 16 2 3 2 3 2 6" xfId="16319" xr:uid="{00000000-0005-0000-0000-0000EE3E0000}"/>
    <cellStyle name="Input 16 2 3 2 3 2 7" xfId="16320" xr:uid="{00000000-0005-0000-0000-0000EF3E0000}"/>
    <cellStyle name="Input 16 2 3 2 3 3" xfId="16321" xr:uid="{00000000-0005-0000-0000-0000F03E0000}"/>
    <cellStyle name="Input 16 2 3 2 3 3 2" xfId="16322" xr:uid="{00000000-0005-0000-0000-0000F13E0000}"/>
    <cellStyle name="Input 16 2 3 2 3 3 2 2" xfId="16323" xr:uid="{00000000-0005-0000-0000-0000F23E0000}"/>
    <cellStyle name="Input 16 2 3 2 3 3 3" xfId="16324" xr:uid="{00000000-0005-0000-0000-0000F33E0000}"/>
    <cellStyle name="Input 16 2 3 2 3 3 3 2" xfId="16325" xr:uid="{00000000-0005-0000-0000-0000F43E0000}"/>
    <cellStyle name="Input 16 2 3 2 3 3 4" xfId="16326" xr:uid="{00000000-0005-0000-0000-0000F53E0000}"/>
    <cellStyle name="Input 16 2 3 2 3 3 5" xfId="16327" xr:uid="{00000000-0005-0000-0000-0000F63E0000}"/>
    <cellStyle name="Input 16 2 3 2 3 3 6" xfId="16328" xr:uid="{00000000-0005-0000-0000-0000F73E0000}"/>
    <cellStyle name="Input 16 2 3 2 3 4" xfId="16329" xr:uid="{00000000-0005-0000-0000-0000F83E0000}"/>
    <cellStyle name="Input 16 2 3 2 3 4 2" xfId="16330" xr:uid="{00000000-0005-0000-0000-0000F93E0000}"/>
    <cellStyle name="Input 16 2 3 2 3 5" xfId="16331" xr:uid="{00000000-0005-0000-0000-0000FA3E0000}"/>
    <cellStyle name="Input 16 2 3 2 3 5 2" xfId="16332" xr:uid="{00000000-0005-0000-0000-0000FB3E0000}"/>
    <cellStyle name="Input 16 2 3 2 3 6" xfId="16333" xr:uid="{00000000-0005-0000-0000-0000FC3E0000}"/>
    <cellStyle name="Input 16 2 3 2 3 7" xfId="16334" xr:uid="{00000000-0005-0000-0000-0000FD3E0000}"/>
    <cellStyle name="Input 16 2 3 2 3 8" xfId="16335" xr:uid="{00000000-0005-0000-0000-0000FE3E0000}"/>
    <cellStyle name="Input 16 2 3 2 4" xfId="16336" xr:uid="{00000000-0005-0000-0000-0000FF3E0000}"/>
    <cellStyle name="Input 16 2 3 2 4 2" xfId="16337" xr:uid="{00000000-0005-0000-0000-0000003F0000}"/>
    <cellStyle name="Input 16 2 3 2 4 2 2" xfId="16338" xr:uid="{00000000-0005-0000-0000-0000013F0000}"/>
    <cellStyle name="Input 16 2 3 2 4 2 2 2" xfId="16339" xr:uid="{00000000-0005-0000-0000-0000023F0000}"/>
    <cellStyle name="Input 16 2 3 2 4 2 3" xfId="16340" xr:uid="{00000000-0005-0000-0000-0000033F0000}"/>
    <cellStyle name="Input 16 2 3 2 4 2 3 2" xfId="16341" xr:uid="{00000000-0005-0000-0000-0000043F0000}"/>
    <cellStyle name="Input 16 2 3 2 4 2 4" xfId="16342" xr:uid="{00000000-0005-0000-0000-0000053F0000}"/>
    <cellStyle name="Input 16 2 3 2 4 2 5" xfId="16343" xr:uid="{00000000-0005-0000-0000-0000063F0000}"/>
    <cellStyle name="Input 16 2 3 2 4 2 6" xfId="16344" xr:uid="{00000000-0005-0000-0000-0000073F0000}"/>
    <cellStyle name="Input 16 2 3 2 4 3" xfId="16345" xr:uid="{00000000-0005-0000-0000-0000083F0000}"/>
    <cellStyle name="Input 16 2 3 2 4 3 2" xfId="16346" xr:uid="{00000000-0005-0000-0000-0000093F0000}"/>
    <cellStyle name="Input 16 2 3 2 4 4" xfId="16347" xr:uid="{00000000-0005-0000-0000-00000A3F0000}"/>
    <cellStyle name="Input 16 2 3 2 4 4 2" xfId="16348" xr:uid="{00000000-0005-0000-0000-00000B3F0000}"/>
    <cellStyle name="Input 16 2 3 2 4 5" xfId="16349" xr:uid="{00000000-0005-0000-0000-00000C3F0000}"/>
    <cellStyle name="Input 16 2 3 2 4 6" xfId="16350" xr:uid="{00000000-0005-0000-0000-00000D3F0000}"/>
    <cellStyle name="Input 16 2 3 2 4 7" xfId="16351" xr:uid="{00000000-0005-0000-0000-00000E3F0000}"/>
    <cellStyle name="Input 16 2 3 2 5" xfId="16352" xr:uid="{00000000-0005-0000-0000-00000F3F0000}"/>
    <cellStyle name="Input 16 2 3 2 5 2" xfId="16353" xr:uid="{00000000-0005-0000-0000-0000103F0000}"/>
    <cellStyle name="Input 16 2 3 2 5 2 2" xfId="16354" xr:uid="{00000000-0005-0000-0000-0000113F0000}"/>
    <cellStyle name="Input 16 2 3 2 5 3" xfId="16355" xr:uid="{00000000-0005-0000-0000-0000123F0000}"/>
    <cellStyle name="Input 16 2 3 2 5 3 2" xfId="16356" xr:uid="{00000000-0005-0000-0000-0000133F0000}"/>
    <cellStyle name="Input 16 2 3 2 5 4" xfId="16357" xr:uid="{00000000-0005-0000-0000-0000143F0000}"/>
    <cellStyle name="Input 16 2 3 2 5 5" xfId="16358" xr:uid="{00000000-0005-0000-0000-0000153F0000}"/>
    <cellStyle name="Input 16 2 3 2 5 6" xfId="16359" xr:uid="{00000000-0005-0000-0000-0000163F0000}"/>
    <cellStyle name="Input 16 2 3 2 6" xfId="16360" xr:uid="{00000000-0005-0000-0000-0000173F0000}"/>
    <cellStyle name="Input 16 2 3 2 6 2" xfId="16361" xr:uid="{00000000-0005-0000-0000-0000183F0000}"/>
    <cellStyle name="Input 16 2 3 2 7" xfId="16362" xr:uid="{00000000-0005-0000-0000-0000193F0000}"/>
    <cellStyle name="Input 16 2 3 2 7 2" xfId="16363" xr:uid="{00000000-0005-0000-0000-00001A3F0000}"/>
    <cellStyle name="Input 16 2 3 2 8" xfId="16364" xr:uid="{00000000-0005-0000-0000-00001B3F0000}"/>
    <cellStyle name="Input 16 2 3 2 9" xfId="16365" xr:uid="{00000000-0005-0000-0000-00001C3F0000}"/>
    <cellStyle name="Input 16 2 3 3" xfId="16366" xr:uid="{00000000-0005-0000-0000-00001D3F0000}"/>
    <cellStyle name="Input 16 2 3 3 2" xfId="16367" xr:uid="{00000000-0005-0000-0000-00001E3F0000}"/>
    <cellStyle name="Input 16 2 3 3 2 2" xfId="16368" xr:uid="{00000000-0005-0000-0000-00001F3F0000}"/>
    <cellStyle name="Input 16 2 3 3 2 2 2" xfId="16369" xr:uid="{00000000-0005-0000-0000-0000203F0000}"/>
    <cellStyle name="Input 16 2 3 3 2 2 2 2" xfId="16370" xr:uid="{00000000-0005-0000-0000-0000213F0000}"/>
    <cellStyle name="Input 16 2 3 3 2 2 3" xfId="16371" xr:uid="{00000000-0005-0000-0000-0000223F0000}"/>
    <cellStyle name="Input 16 2 3 3 2 2 3 2" xfId="16372" xr:uid="{00000000-0005-0000-0000-0000233F0000}"/>
    <cellStyle name="Input 16 2 3 3 2 2 4" xfId="16373" xr:uid="{00000000-0005-0000-0000-0000243F0000}"/>
    <cellStyle name="Input 16 2 3 3 2 2 5" xfId="16374" xr:uid="{00000000-0005-0000-0000-0000253F0000}"/>
    <cellStyle name="Input 16 2 3 3 2 2 6" xfId="16375" xr:uid="{00000000-0005-0000-0000-0000263F0000}"/>
    <cellStyle name="Input 16 2 3 3 2 3" xfId="16376" xr:uid="{00000000-0005-0000-0000-0000273F0000}"/>
    <cellStyle name="Input 16 2 3 3 2 3 2" xfId="16377" xr:uid="{00000000-0005-0000-0000-0000283F0000}"/>
    <cellStyle name="Input 16 2 3 3 2 4" xfId="16378" xr:uid="{00000000-0005-0000-0000-0000293F0000}"/>
    <cellStyle name="Input 16 2 3 3 2 4 2" xfId="16379" xr:uid="{00000000-0005-0000-0000-00002A3F0000}"/>
    <cellStyle name="Input 16 2 3 3 2 5" xfId="16380" xr:uid="{00000000-0005-0000-0000-00002B3F0000}"/>
    <cellStyle name="Input 16 2 3 3 2 6" xfId="16381" xr:uid="{00000000-0005-0000-0000-00002C3F0000}"/>
    <cellStyle name="Input 16 2 3 3 2 7" xfId="16382" xr:uid="{00000000-0005-0000-0000-00002D3F0000}"/>
    <cellStyle name="Input 16 2 3 3 3" xfId="16383" xr:uid="{00000000-0005-0000-0000-00002E3F0000}"/>
    <cellStyle name="Input 16 2 3 3 3 2" xfId="16384" xr:uid="{00000000-0005-0000-0000-00002F3F0000}"/>
    <cellStyle name="Input 16 2 3 3 3 2 2" xfId="16385" xr:uid="{00000000-0005-0000-0000-0000303F0000}"/>
    <cellStyle name="Input 16 2 3 3 3 3" xfId="16386" xr:uid="{00000000-0005-0000-0000-0000313F0000}"/>
    <cellStyle name="Input 16 2 3 3 3 3 2" xfId="16387" xr:uid="{00000000-0005-0000-0000-0000323F0000}"/>
    <cellStyle name="Input 16 2 3 3 3 4" xfId="16388" xr:uid="{00000000-0005-0000-0000-0000333F0000}"/>
    <cellStyle name="Input 16 2 3 3 3 5" xfId="16389" xr:uid="{00000000-0005-0000-0000-0000343F0000}"/>
    <cellStyle name="Input 16 2 3 3 3 6" xfId="16390" xr:uid="{00000000-0005-0000-0000-0000353F0000}"/>
    <cellStyle name="Input 16 2 3 3 4" xfId="16391" xr:uid="{00000000-0005-0000-0000-0000363F0000}"/>
    <cellStyle name="Input 16 2 3 3 4 2" xfId="16392" xr:uid="{00000000-0005-0000-0000-0000373F0000}"/>
    <cellStyle name="Input 16 2 3 3 5" xfId="16393" xr:uid="{00000000-0005-0000-0000-0000383F0000}"/>
    <cellStyle name="Input 16 2 3 3 5 2" xfId="16394" xr:uid="{00000000-0005-0000-0000-0000393F0000}"/>
    <cellStyle name="Input 16 2 3 3 6" xfId="16395" xr:uid="{00000000-0005-0000-0000-00003A3F0000}"/>
    <cellStyle name="Input 16 2 3 3 7" xfId="16396" xr:uid="{00000000-0005-0000-0000-00003B3F0000}"/>
    <cellStyle name="Input 16 2 3 3 8" xfId="16397" xr:uid="{00000000-0005-0000-0000-00003C3F0000}"/>
    <cellStyle name="Input 16 2 3 4" xfId="16398" xr:uid="{00000000-0005-0000-0000-00003D3F0000}"/>
    <cellStyle name="Input 16 2 3 4 2" xfId="16399" xr:uid="{00000000-0005-0000-0000-00003E3F0000}"/>
    <cellStyle name="Input 16 2 3 4 2 2" xfId="16400" xr:uid="{00000000-0005-0000-0000-00003F3F0000}"/>
    <cellStyle name="Input 16 2 3 4 2 2 2" xfId="16401" xr:uid="{00000000-0005-0000-0000-0000403F0000}"/>
    <cellStyle name="Input 16 2 3 4 2 3" xfId="16402" xr:uid="{00000000-0005-0000-0000-0000413F0000}"/>
    <cellStyle name="Input 16 2 3 4 2 3 2" xfId="16403" xr:uid="{00000000-0005-0000-0000-0000423F0000}"/>
    <cellStyle name="Input 16 2 3 4 2 4" xfId="16404" xr:uid="{00000000-0005-0000-0000-0000433F0000}"/>
    <cellStyle name="Input 16 2 3 4 2 5" xfId="16405" xr:uid="{00000000-0005-0000-0000-0000443F0000}"/>
    <cellStyle name="Input 16 2 3 4 2 6" xfId="16406" xr:uid="{00000000-0005-0000-0000-0000453F0000}"/>
    <cellStyle name="Input 16 2 3 4 3" xfId="16407" xr:uid="{00000000-0005-0000-0000-0000463F0000}"/>
    <cellStyle name="Input 16 2 3 4 3 2" xfId="16408" xr:uid="{00000000-0005-0000-0000-0000473F0000}"/>
    <cellStyle name="Input 16 2 3 4 4" xfId="16409" xr:uid="{00000000-0005-0000-0000-0000483F0000}"/>
    <cellStyle name="Input 16 2 3 4 4 2" xfId="16410" xr:uid="{00000000-0005-0000-0000-0000493F0000}"/>
    <cellStyle name="Input 16 2 3 4 5" xfId="16411" xr:uid="{00000000-0005-0000-0000-00004A3F0000}"/>
    <cellStyle name="Input 16 2 3 4 6" xfId="16412" xr:uid="{00000000-0005-0000-0000-00004B3F0000}"/>
    <cellStyle name="Input 16 2 3 4 7" xfId="16413" xr:uid="{00000000-0005-0000-0000-00004C3F0000}"/>
    <cellStyle name="Input 16 2 3 5" xfId="16414" xr:uid="{00000000-0005-0000-0000-00004D3F0000}"/>
    <cellStyle name="Input 16 2 3 5 2" xfId="16415" xr:uid="{00000000-0005-0000-0000-00004E3F0000}"/>
    <cellStyle name="Input 16 2 3 5 2 2" xfId="16416" xr:uid="{00000000-0005-0000-0000-00004F3F0000}"/>
    <cellStyle name="Input 16 2 3 5 3" xfId="16417" xr:uid="{00000000-0005-0000-0000-0000503F0000}"/>
    <cellStyle name="Input 16 2 3 5 3 2" xfId="16418" xr:uid="{00000000-0005-0000-0000-0000513F0000}"/>
    <cellStyle name="Input 16 2 3 5 4" xfId="16419" xr:uid="{00000000-0005-0000-0000-0000523F0000}"/>
    <cellStyle name="Input 16 2 3 5 5" xfId="16420" xr:uid="{00000000-0005-0000-0000-0000533F0000}"/>
    <cellStyle name="Input 16 2 3 5 6" xfId="16421" xr:uid="{00000000-0005-0000-0000-0000543F0000}"/>
    <cellStyle name="Input 16 2 3 6" xfId="16422" xr:uid="{00000000-0005-0000-0000-0000553F0000}"/>
    <cellStyle name="Input 16 2 3 6 2" xfId="16423" xr:uid="{00000000-0005-0000-0000-0000563F0000}"/>
    <cellStyle name="Input 16 2 3 7" xfId="16424" xr:uid="{00000000-0005-0000-0000-0000573F0000}"/>
    <cellStyle name="Input 16 2 3 7 2" xfId="16425" xr:uid="{00000000-0005-0000-0000-0000583F0000}"/>
    <cellStyle name="Input 16 2 3 8" xfId="16426" xr:uid="{00000000-0005-0000-0000-0000593F0000}"/>
    <cellStyle name="Input 16 2 3 9" xfId="16427" xr:uid="{00000000-0005-0000-0000-00005A3F0000}"/>
    <cellStyle name="Input 16 2 4" xfId="16428" xr:uid="{00000000-0005-0000-0000-00005B3F0000}"/>
    <cellStyle name="Input 16 2 4 10" xfId="16429" xr:uid="{00000000-0005-0000-0000-00005C3F0000}"/>
    <cellStyle name="Input 16 2 4 2" xfId="16430" xr:uid="{00000000-0005-0000-0000-00005D3F0000}"/>
    <cellStyle name="Input 16 2 4 2 2" xfId="16431" xr:uid="{00000000-0005-0000-0000-00005E3F0000}"/>
    <cellStyle name="Input 16 2 4 2 2 2" xfId="16432" xr:uid="{00000000-0005-0000-0000-00005F3F0000}"/>
    <cellStyle name="Input 16 2 4 2 2 2 2" xfId="16433" xr:uid="{00000000-0005-0000-0000-0000603F0000}"/>
    <cellStyle name="Input 16 2 4 2 2 2 2 2" xfId="16434" xr:uid="{00000000-0005-0000-0000-0000613F0000}"/>
    <cellStyle name="Input 16 2 4 2 2 2 3" xfId="16435" xr:uid="{00000000-0005-0000-0000-0000623F0000}"/>
    <cellStyle name="Input 16 2 4 2 2 2 3 2" xfId="16436" xr:uid="{00000000-0005-0000-0000-0000633F0000}"/>
    <cellStyle name="Input 16 2 4 2 2 2 4" xfId="16437" xr:uid="{00000000-0005-0000-0000-0000643F0000}"/>
    <cellStyle name="Input 16 2 4 2 2 2 5" xfId="16438" xr:uid="{00000000-0005-0000-0000-0000653F0000}"/>
    <cellStyle name="Input 16 2 4 2 2 2 6" xfId="16439" xr:uid="{00000000-0005-0000-0000-0000663F0000}"/>
    <cellStyle name="Input 16 2 4 2 2 3" xfId="16440" xr:uid="{00000000-0005-0000-0000-0000673F0000}"/>
    <cellStyle name="Input 16 2 4 2 2 3 2" xfId="16441" xr:uid="{00000000-0005-0000-0000-0000683F0000}"/>
    <cellStyle name="Input 16 2 4 2 2 4" xfId="16442" xr:uid="{00000000-0005-0000-0000-0000693F0000}"/>
    <cellStyle name="Input 16 2 4 2 2 4 2" xfId="16443" xr:uid="{00000000-0005-0000-0000-00006A3F0000}"/>
    <cellStyle name="Input 16 2 4 2 2 5" xfId="16444" xr:uid="{00000000-0005-0000-0000-00006B3F0000}"/>
    <cellStyle name="Input 16 2 4 2 2 6" xfId="16445" xr:uid="{00000000-0005-0000-0000-00006C3F0000}"/>
    <cellStyle name="Input 16 2 4 2 2 7" xfId="16446" xr:uid="{00000000-0005-0000-0000-00006D3F0000}"/>
    <cellStyle name="Input 16 2 4 2 3" xfId="16447" xr:uid="{00000000-0005-0000-0000-00006E3F0000}"/>
    <cellStyle name="Input 16 2 4 2 3 2" xfId="16448" xr:uid="{00000000-0005-0000-0000-00006F3F0000}"/>
    <cellStyle name="Input 16 2 4 2 3 2 2" xfId="16449" xr:uid="{00000000-0005-0000-0000-0000703F0000}"/>
    <cellStyle name="Input 16 2 4 2 3 3" xfId="16450" xr:uid="{00000000-0005-0000-0000-0000713F0000}"/>
    <cellStyle name="Input 16 2 4 2 3 3 2" xfId="16451" xr:uid="{00000000-0005-0000-0000-0000723F0000}"/>
    <cellStyle name="Input 16 2 4 2 3 4" xfId="16452" xr:uid="{00000000-0005-0000-0000-0000733F0000}"/>
    <cellStyle name="Input 16 2 4 2 3 5" xfId="16453" xr:uid="{00000000-0005-0000-0000-0000743F0000}"/>
    <cellStyle name="Input 16 2 4 2 3 6" xfId="16454" xr:uid="{00000000-0005-0000-0000-0000753F0000}"/>
    <cellStyle name="Input 16 2 4 2 4" xfId="16455" xr:uid="{00000000-0005-0000-0000-0000763F0000}"/>
    <cellStyle name="Input 16 2 4 2 4 2" xfId="16456" xr:uid="{00000000-0005-0000-0000-0000773F0000}"/>
    <cellStyle name="Input 16 2 4 2 5" xfId="16457" xr:uid="{00000000-0005-0000-0000-0000783F0000}"/>
    <cellStyle name="Input 16 2 4 2 5 2" xfId="16458" xr:uid="{00000000-0005-0000-0000-0000793F0000}"/>
    <cellStyle name="Input 16 2 4 2 6" xfId="16459" xr:uid="{00000000-0005-0000-0000-00007A3F0000}"/>
    <cellStyle name="Input 16 2 4 2 7" xfId="16460" xr:uid="{00000000-0005-0000-0000-00007B3F0000}"/>
    <cellStyle name="Input 16 2 4 2 8" xfId="16461" xr:uid="{00000000-0005-0000-0000-00007C3F0000}"/>
    <cellStyle name="Input 16 2 4 3" xfId="16462" xr:uid="{00000000-0005-0000-0000-00007D3F0000}"/>
    <cellStyle name="Input 16 2 4 3 2" xfId="16463" xr:uid="{00000000-0005-0000-0000-00007E3F0000}"/>
    <cellStyle name="Input 16 2 4 3 2 2" xfId="16464" xr:uid="{00000000-0005-0000-0000-00007F3F0000}"/>
    <cellStyle name="Input 16 2 4 3 2 2 2" xfId="16465" xr:uid="{00000000-0005-0000-0000-0000803F0000}"/>
    <cellStyle name="Input 16 2 4 3 2 2 2 2" xfId="16466" xr:uid="{00000000-0005-0000-0000-0000813F0000}"/>
    <cellStyle name="Input 16 2 4 3 2 2 3" xfId="16467" xr:uid="{00000000-0005-0000-0000-0000823F0000}"/>
    <cellStyle name="Input 16 2 4 3 2 2 3 2" xfId="16468" xr:uid="{00000000-0005-0000-0000-0000833F0000}"/>
    <cellStyle name="Input 16 2 4 3 2 2 4" xfId="16469" xr:uid="{00000000-0005-0000-0000-0000843F0000}"/>
    <cellStyle name="Input 16 2 4 3 2 2 5" xfId="16470" xr:uid="{00000000-0005-0000-0000-0000853F0000}"/>
    <cellStyle name="Input 16 2 4 3 2 2 6" xfId="16471" xr:uid="{00000000-0005-0000-0000-0000863F0000}"/>
    <cellStyle name="Input 16 2 4 3 2 3" xfId="16472" xr:uid="{00000000-0005-0000-0000-0000873F0000}"/>
    <cellStyle name="Input 16 2 4 3 2 3 2" xfId="16473" xr:uid="{00000000-0005-0000-0000-0000883F0000}"/>
    <cellStyle name="Input 16 2 4 3 2 4" xfId="16474" xr:uid="{00000000-0005-0000-0000-0000893F0000}"/>
    <cellStyle name="Input 16 2 4 3 2 4 2" xfId="16475" xr:uid="{00000000-0005-0000-0000-00008A3F0000}"/>
    <cellStyle name="Input 16 2 4 3 2 5" xfId="16476" xr:uid="{00000000-0005-0000-0000-00008B3F0000}"/>
    <cellStyle name="Input 16 2 4 3 2 6" xfId="16477" xr:uid="{00000000-0005-0000-0000-00008C3F0000}"/>
    <cellStyle name="Input 16 2 4 3 2 7" xfId="16478" xr:uid="{00000000-0005-0000-0000-00008D3F0000}"/>
    <cellStyle name="Input 16 2 4 3 3" xfId="16479" xr:uid="{00000000-0005-0000-0000-00008E3F0000}"/>
    <cellStyle name="Input 16 2 4 3 3 2" xfId="16480" xr:uid="{00000000-0005-0000-0000-00008F3F0000}"/>
    <cellStyle name="Input 16 2 4 3 3 2 2" xfId="16481" xr:uid="{00000000-0005-0000-0000-0000903F0000}"/>
    <cellStyle name="Input 16 2 4 3 3 3" xfId="16482" xr:uid="{00000000-0005-0000-0000-0000913F0000}"/>
    <cellStyle name="Input 16 2 4 3 3 3 2" xfId="16483" xr:uid="{00000000-0005-0000-0000-0000923F0000}"/>
    <cellStyle name="Input 16 2 4 3 3 4" xfId="16484" xr:uid="{00000000-0005-0000-0000-0000933F0000}"/>
    <cellStyle name="Input 16 2 4 3 3 5" xfId="16485" xr:uid="{00000000-0005-0000-0000-0000943F0000}"/>
    <cellStyle name="Input 16 2 4 3 3 6" xfId="16486" xr:uid="{00000000-0005-0000-0000-0000953F0000}"/>
    <cellStyle name="Input 16 2 4 3 4" xfId="16487" xr:uid="{00000000-0005-0000-0000-0000963F0000}"/>
    <cellStyle name="Input 16 2 4 3 4 2" xfId="16488" xr:uid="{00000000-0005-0000-0000-0000973F0000}"/>
    <cellStyle name="Input 16 2 4 3 5" xfId="16489" xr:uid="{00000000-0005-0000-0000-0000983F0000}"/>
    <cellStyle name="Input 16 2 4 3 5 2" xfId="16490" xr:uid="{00000000-0005-0000-0000-0000993F0000}"/>
    <cellStyle name="Input 16 2 4 3 6" xfId="16491" xr:uid="{00000000-0005-0000-0000-00009A3F0000}"/>
    <cellStyle name="Input 16 2 4 3 7" xfId="16492" xr:uid="{00000000-0005-0000-0000-00009B3F0000}"/>
    <cellStyle name="Input 16 2 4 3 8" xfId="16493" xr:uid="{00000000-0005-0000-0000-00009C3F0000}"/>
    <cellStyle name="Input 16 2 4 4" xfId="16494" xr:uid="{00000000-0005-0000-0000-00009D3F0000}"/>
    <cellStyle name="Input 16 2 4 4 2" xfId="16495" xr:uid="{00000000-0005-0000-0000-00009E3F0000}"/>
    <cellStyle name="Input 16 2 4 4 2 2" xfId="16496" xr:uid="{00000000-0005-0000-0000-00009F3F0000}"/>
    <cellStyle name="Input 16 2 4 4 2 2 2" xfId="16497" xr:uid="{00000000-0005-0000-0000-0000A03F0000}"/>
    <cellStyle name="Input 16 2 4 4 2 3" xfId="16498" xr:uid="{00000000-0005-0000-0000-0000A13F0000}"/>
    <cellStyle name="Input 16 2 4 4 2 3 2" xfId="16499" xr:uid="{00000000-0005-0000-0000-0000A23F0000}"/>
    <cellStyle name="Input 16 2 4 4 2 4" xfId="16500" xr:uid="{00000000-0005-0000-0000-0000A33F0000}"/>
    <cellStyle name="Input 16 2 4 4 2 5" xfId="16501" xr:uid="{00000000-0005-0000-0000-0000A43F0000}"/>
    <cellStyle name="Input 16 2 4 4 2 6" xfId="16502" xr:uid="{00000000-0005-0000-0000-0000A53F0000}"/>
    <cellStyle name="Input 16 2 4 4 3" xfId="16503" xr:uid="{00000000-0005-0000-0000-0000A63F0000}"/>
    <cellStyle name="Input 16 2 4 4 3 2" xfId="16504" xr:uid="{00000000-0005-0000-0000-0000A73F0000}"/>
    <cellStyle name="Input 16 2 4 4 4" xfId="16505" xr:uid="{00000000-0005-0000-0000-0000A83F0000}"/>
    <cellStyle name="Input 16 2 4 4 4 2" xfId="16506" xr:uid="{00000000-0005-0000-0000-0000A93F0000}"/>
    <cellStyle name="Input 16 2 4 4 5" xfId="16507" xr:uid="{00000000-0005-0000-0000-0000AA3F0000}"/>
    <cellStyle name="Input 16 2 4 4 6" xfId="16508" xr:uid="{00000000-0005-0000-0000-0000AB3F0000}"/>
    <cellStyle name="Input 16 2 4 4 7" xfId="16509" xr:uid="{00000000-0005-0000-0000-0000AC3F0000}"/>
    <cellStyle name="Input 16 2 4 5" xfId="16510" xr:uid="{00000000-0005-0000-0000-0000AD3F0000}"/>
    <cellStyle name="Input 16 2 4 5 2" xfId="16511" xr:uid="{00000000-0005-0000-0000-0000AE3F0000}"/>
    <cellStyle name="Input 16 2 4 5 2 2" xfId="16512" xr:uid="{00000000-0005-0000-0000-0000AF3F0000}"/>
    <cellStyle name="Input 16 2 4 5 3" xfId="16513" xr:uid="{00000000-0005-0000-0000-0000B03F0000}"/>
    <cellStyle name="Input 16 2 4 5 3 2" xfId="16514" xr:uid="{00000000-0005-0000-0000-0000B13F0000}"/>
    <cellStyle name="Input 16 2 4 5 4" xfId="16515" xr:uid="{00000000-0005-0000-0000-0000B23F0000}"/>
    <cellStyle name="Input 16 2 4 5 5" xfId="16516" xr:uid="{00000000-0005-0000-0000-0000B33F0000}"/>
    <cellStyle name="Input 16 2 4 5 6" xfId="16517" xr:uid="{00000000-0005-0000-0000-0000B43F0000}"/>
    <cellStyle name="Input 16 2 4 6" xfId="16518" xr:uid="{00000000-0005-0000-0000-0000B53F0000}"/>
    <cellStyle name="Input 16 2 4 6 2" xfId="16519" xr:uid="{00000000-0005-0000-0000-0000B63F0000}"/>
    <cellStyle name="Input 16 2 4 7" xfId="16520" xr:uid="{00000000-0005-0000-0000-0000B73F0000}"/>
    <cellStyle name="Input 16 2 4 7 2" xfId="16521" xr:uid="{00000000-0005-0000-0000-0000B83F0000}"/>
    <cellStyle name="Input 16 2 4 8" xfId="16522" xr:uid="{00000000-0005-0000-0000-0000B93F0000}"/>
    <cellStyle name="Input 16 2 4 9" xfId="16523" xr:uid="{00000000-0005-0000-0000-0000BA3F0000}"/>
    <cellStyle name="Input 16 2 5" xfId="16524" xr:uid="{00000000-0005-0000-0000-0000BB3F0000}"/>
    <cellStyle name="Input 16 2 5 2" xfId="16525" xr:uid="{00000000-0005-0000-0000-0000BC3F0000}"/>
    <cellStyle name="Input 16 2 5 2 2" xfId="16526" xr:uid="{00000000-0005-0000-0000-0000BD3F0000}"/>
    <cellStyle name="Input 16 2 5 2 2 2" xfId="16527" xr:uid="{00000000-0005-0000-0000-0000BE3F0000}"/>
    <cellStyle name="Input 16 2 5 2 2 2 2" xfId="16528" xr:uid="{00000000-0005-0000-0000-0000BF3F0000}"/>
    <cellStyle name="Input 16 2 5 2 2 3" xfId="16529" xr:uid="{00000000-0005-0000-0000-0000C03F0000}"/>
    <cellStyle name="Input 16 2 5 2 2 3 2" xfId="16530" xr:uid="{00000000-0005-0000-0000-0000C13F0000}"/>
    <cellStyle name="Input 16 2 5 2 2 4" xfId="16531" xr:uid="{00000000-0005-0000-0000-0000C23F0000}"/>
    <cellStyle name="Input 16 2 5 2 2 5" xfId="16532" xr:uid="{00000000-0005-0000-0000-0000C33F0000}"/>
    <cellStyle name="Input 16 2 5 2 2 6" xfId="16533" xr:uid="{00000000-0005-0000-0000-0000C43F0000}"/>
    <cellStyle name="Input 16 2 5 2 3" xfId="16534" xr:uid="{00000000-0005-0000-0000-0000C53F0000}"/>
    <cellStyle name="Input 16 2 5 2 3 2" xfId="16535" xr:uid="{00000000-0005-0000-0000-0000C63F0000}"/>
    <cellStyle name="Input 16 2 5 2 4" xfId="16536" xr:uid="{00000000-0005-0000-0000-0000C73F0000}"/>
    <cellStyle name="Input 16 2 5 2 4 2" xfId="16537" xr:uid="{00000000-0005-0000-0000-0000C83F0000}"/>
    <cellStyle name="Input 16 2 5 2 5" xfId="16538" xr:uid="{00000000-0005-0000-0000-0000C93F0000}"/>
    <cellStyle name="Input 16 2 5 2 6" xfId="16539" xr:uid="{00000000-0005-0000-0000-0000CA3F0000}"/>
    <cellStyle name="Input 16 2 5 2 7" xfId="16540" xr:uid="{00000000-0005-0000-0000-0000CB3F0000}"/>
    <cellStyle name="Input 16 2 5 3" xfId="16541" xr:uid="{00000000-0005-0000-0000-0000CC3F0000}"/>
    <cellStyle name="Input 16 2 5 3 2" xfId="16542" xr:uid="{00000000-0005-0000-0000-0000CD3F0000}"/>
    <cellStyle name="Input 16 2 5 3 2 2" xfId="16543" xr:uid="{00000000-0005-0000-0000-0000CE3F0000}"/>
    <cellStyle name="Input 16 2 5 3 3" xfId="16544" xr:uid="{00000000-0005-0000-0000-0000CF3F0000}"/>
    <cellStyle name="Input 16 2 5 3 3 2" xfId="16545" xr:uid="{00000000-0005-0000-0000-0000D03F0000}"/>
    <cellStyle name="Input 16 2 5 3 4" xfId="16546" xr:uid="{00000000-0005-0000-0000-0000D13F0000}"/>
    <cellStyle name="Input 16 2 5 3 5" xfId="16547" xr:uid="{00000000-0005-0000-0000-0000D23F0000}"/>
    <cellStyle name="Input 16 2 5 3 6" xfId="16548" xr:uid="{00000000-0005-0000-0000-0000D33F0000}"/>
    <cellStyle name="Input 16 2 5 4" xfId="16549" xr:uid="{00000000-0005-0000-0000-0000D43F0000}"/>
    <cellStyle name="Input 16 2 5 4 2" xfId="16550" xr:uid="{00000000-0005-0000-0000-0000D53F0000}"/>
    <cellStyle name="Input 16 2 5 5" xfId="16551" xr:uid="{00000000-0005-0000-0000-0000D63F0000}"/>
    <cellStyle name="Input 16 2 5 5 2" xfId="16552" xr:uid="{00000000-0005-0000-0000-0000D73F0000}"/>
    <cellStyle name="Input 16 2 5 6" xfId="16553" xr:uid="{00000000-0005-0000-0000-0000D83F0000}"/>
    <cellStyle name="Input 16 2 5 7" xfId="16554" xr:uid="{00000000-0005-0000-0000-0000D93F0000}"/>
    <cellStyle name="Input 16 2 5 8" xfId="16555" xr:uid="{00000000-0005-0000-0000-0000DA3F0000}"/>
    <cellStyle name="Input 16 2 6" xfId="16556" xr:uid="{00000000-0005-0000-0000-0000DB3F0000}"/>
    <cellStyle name="Input 16 2 6 2" xfId="16557" xr:uid="{00000000-0005-0000-0000-0000DC3F0000}"/>
    <cellStyle name="Input 16 2 6 2 2" xfId="16558" xr:uid="{00000000-0005-0000-0000-0000DD3F0000}"/>
    <cellStyle name="Input 16 2 6 2 2 2" xfId="16559" xr:uid="{00000000-0005-0000-0000-0000DE3F0000}"/>
    <cellStyle name="Input 16 2 6 2 3" xfId="16560" xr:uid="{00000000-0005-0000-0000-0000DF3F0000}"/>
    <cellStyle name="Input 16 2 6 2 3 2" xfId="16561" xr:uid="{00000000-0005-0000-0000-0000E03F0000}"/>
    <cellStyle name="Input 16 2 6 2 4" xfId="16562" xr:uid="{00000000-0005-0000-0000-0000E13F0000}"/>
    <cellStyle name="Input 16 2 6 2 5" xfId="16563" xr:uid="{00000000-0005-0000-0000-0000E23F0000}"/>
    <cellStyle name="Input 16 2 6 2 6" xfId="16564" xr:uid="{00000000-0005-0000-0000-0000E33F0000}"/>
    <cellStyle name="Input 16 2 6 3" xfId="16565" xr:uid="{00000000-0005-0000-0000-0000E43F0000}"/>
    <cellStyle name="Input 16 2 6 3 2" xfId="16566" xr:uid="{00000000-0005-0000-0000-0000E53F0000}"/>
    <cellStyle name="Input 16 2 6 4" xfId="16567" xr:uid="{00000000-0005-0000-0000-0000E63F0000}"/>
    <cellStyle name="Input 16 2 6 4 2" xfId="16568" xr:uid="{00000000-0005-0000-0000-0000E73F0000}"/>
    <cellStyle name="Input 16 2 6 5" xfId="16569" xr:uid="{00000000-0005-0000-0000-0000E83F0000}"/>
    <cellStyle name="Input 16 2 6 6" xfId="16570" xr:uid="{00000000-0005-0000-0000-0000E93F0000}"/>
    <cellStyle name="Input 16 2 6 7" xfId="16571" xr:uid="{00000000-0005-0000-0000-0000EA3F0000}"/>
    <cellStyle name="Input 16 2 7" xfId="16572" xr:uid="{00000000-0005-0000-0000-0000EB3F0000}"/>
    <cellStyle name="Input 16 2 7 2" xfId="16573" xr:uid="{00000000-0005-0000-0000-0000EC3F0000}"/>
    <cellStyle name="Input 16 2 7 2 2" xfId="16574" xr:uid="{00000000-0005-0000-0000-0000ED3F0000}"/>
    <cellStyle name="Input 16 2 7 3" xfId="16575" xr:uid="{00000000-0005-0000-0000-0000EE3F0000}"/>
    <cellStyle name="Input 16 2 7 3 2" xfId="16576" xr:uid="{00000000-0005-0000-0000-0000EF3F0000}"/>
    <cellStyle name="Input 16 2 7 4" xfId="16577" xr:uid="{00000000-0005-0000-0000-0000F03F0000}"/>
    <cellStyle name="Input 16 2 7 5" xfId="16578" xr:uid="{00000000-0005-0000-0000-0000F13F0000}"/>
    <cellStyle name="Input 16 2 7 6" xfId="16579" xr:uid="{00000000-0005-0000-0000-0000F23F0000}"/>
    <cellStyle name="Input 16 2 8" xfId="16580" xr:uid="{00000000-0005-0000-0000-0000F33F0000}"/>
    <cellStyle name="Input 16 2 8 2" xfId="16581" xr:uid="{00000000-0005-0000-0000-0000F43F0000}"/>
    <cellStyle name="Input 16 2 9" xfId="16582" xr:uid="{00000000-0005-0000-0000-0000F53F0000}"/>
    <cellStyle name="Input 16 2 9 2" xfId="16583" xr:uid="{00000000-0005-0000-0000-0000F63F0000}"/>
    <cellStyle name="Input 16 3" xfId="16584" xr:uid="{00000000-0005-0000-0000-0000F73F0000}"/>
    <cellStyle name="Input 16 3 10" xfId="16585" xr:uid="{00000000-0005-0000-0000-0000F83F0000}"/>
    <cellStyle name="Input 16 3 11" xfId="16586" xr:uid="{00000000-0005-0000-0000-0000F93F0000}"/>
    <cellStyle name="Input 16 3 2" xfId="16587" xr:uid="{00000000-0005-0000-0000-0000FA3F0000}"/>
    <cellStyle name="Input 16 3 2 10" xfId="16588" xr:uid="{00000000-0005-0000-0000-0000FB3F0000}"/>
    <cellStyle name="Input 16 3 2 2" xfId="16589" xr:uid="{00000000-0005-0000-0000-0000FC3F0000}"/>
    <cellStyle name="Input 16 3 2 2 10" xfId="16590" xr:uid="{00000000-0005-0000-0000-0000FD3F0000}"/>
    <cellStyle name="Input 16 3 2 2 2" xfId="16591" xr:uid="{00000000-0005-0000-0000-0000FE3F0000}"/>
    <cellStyle name="Input 16 3 2 2 2 2" xfId="16592" xr:uid="{00000000-0005-0000-0000-0000FF3F0000}"/>
    <cellStyle name="Input 16 3 2 2 2 2 2" xfId="16593" xr:uid="{00000000-0005-0000-0000-000000400000}"/>
    <cellStyle name="Input 16 3 2 2 2 2 2 2" xfId="16594" xr:uid="{00000000-0005-0000-0000-000001400000}"/>
    <cellStyle name="Input 16 3 2 2 2 2 2 2 2" xfId="16595" xr:uid="{00000000-0005-0000-0000-000002400000}"/>
    <cellStyle name="Input 16 3 2 2 2 2 2 3" xfId="16596" xr:uid="{00000000-0005-0000-0000-000003400000}"/>
    <cellStyle name="Input 16 3 2 2 2 2 2 3 2" xfId="16597" xr:uid="{00000000-0005-0000-0000-000004400000}"/>
    <cellStyle name="Input 16 3 2 2 2 2 2 4" xfId="16598" xr:uid="{00000000-0005-0000-0000-000005400000}"/>
    <cellStyle name="Input 16 3 2 2 2 2 2 5" xfId="16599" xr:uid="{00000000-0005-0000-0000-000006400000}"/>
    <cellStyle name="Input 16 3 2 2 2 2 2 6" xfId="16600" xr:uid="{00000000-0005-0000-0000-000007400000}"/>
    <cellStyle name="Input 16 3 2 2 2 2 3" xfId="16601" xr:uid="{00000000-0005-0000-0000-000008400000}"/>
    <cellStyle name="Input 16 3 2 2 2 2 3 2" xfId="16602" xr:uid="{00000000-0005-0000-0000-000009400000}"/>
    <cellStyle name="Input 16 3 2 2 2 2 4" xfId="16603" xr:uid="{00000000-0005-0000-0000-00000A400000}"/>
    <cellStyle name="Input 16 3 2 2 2 2 4 2" xfId="16604" xr:uid="{00000000-0005-0000-0000-00000B400000}"/>
    <cellStyle name="Input 16 3 2 2 2 2 5" xfId="16605" xr:uid="{00000000-0005-0000-0000-00000C400000}"/>
    <cellStyle name="Input 16 3 2 2 2 2 6" xfId="16606" xr:uid="{00000000-0005-0000-0000-00000D400000}"/>
    <cellStyle name="Input 16 3 2 2 2 2 7" xfId="16607" xr:uid="{00000000-0005-0000-0000-00000E400000}"/>
    <cellStyle name="Input 16 3 2 2 2 3" xfId="16608" xr:uid="{00000000-0005-0000-0000-00000F400000}"/>
    <cellStyle name="Input 16 3 2 2 2 3 2" xfId="16609" xr:uid="{00000000-0005-0000-0000-000010400000}"/>
    <cellStyle name="Input 16 3 2 2 2 3 2 2" xfId="16610" xr:uid="{00000000-0005-0000-0000-000011400000}"/>
    <cellStyle name="Input 16 3 2 2 2 3 3" xfId="16611" xr:uid="{00000000-0005-0000-0000-000012400000}"/>
    <cellStyle name="Input 16 3 2 2 2 3 3 2" xfId="16612" xr:uid="{00000000-0005-0000-0000-000013400000}"/>
    <cellStyle name="Input 16 3 2 2 2 3 4" xfId="16613" xr:uid="{00000000-0005-0000-0000-000014400000}"/>
    <cellStyle name="Input 16 3 2 2 2 3 5" xfId="16614" xr:uid="{00000000-0005-0000-0000-000015400000}"/>
    <cellStyle name="Input 16 3 2 2 2 3 6" xfId="16615" xr:uid="{00000000-0005-0000-0000-000016400000}"/>
    <cellStyle name="Input 16 3 2 2 2 4" xfId="16616" xr:uid="{00000000-0005-0000-0000-000017400000}"/>
    <cellStyle name="Input 16 3 2 2 2 4 2" xfId="16617" xr:uid="{00000000-0005-0000-0000-000018400000}"/>
    <cellStyle name="Input 16 3 2 2 2 5" xfId="16618" xr:uid="{00000000-0005-0000-0000-000019400000}"/>
    <cellStyle name="Input 16 3 2 2 2 5 2" xfId="16619" xr:uid="{00000000-0005-0000-0000-00001A400000}"/>
    <cellStyle name="Input 16 3 2 2 2 6" xfId="16620" xr:uid="{00000000-0005-0000-0000-00001B400000}"/>
    <cellStyle name="Input 16 3 2 2 2 7" xfId="16621" xr:uid="{00000000-0005-0000-0000-00001C400000}"/>
    <cellStyle name="Input 16 3 2 2 2 8" xfId="16622" xr:uid="{00000000-0005-0000-0000-00001D400000}"/>
    <cellStyle name="Input 16 3 2 2 3" xfId="16623" xr:uid="{00000000-0005-0000-0000-00001E400000}"/>
    <cellStyle name="Input 16 3 2 2 3 2" xfId="16624" xr:uid="{00000000-0005-0000-0000-00001F400000}"/>
    <cellStyle name="Input 16 3 2 2 3 2 2" xfId="16625" xr:uid="{00000000-0005-0000-0000-000020400000}"/>
    <cellStyle name="Input 16 3 2 2 3 2 2 2" xfId="16626" xr:uid="{00000000-0005-0000-0000-000021400000}"/>
    <cellStyle name="Input 16 3 2 2 3 2 2 2 2" xfId="16627" xr:uid="{00000000-0005-0000-0000-000022400000}"/>
    <cellStyle name="Input 16 3 2 2 3 2 2 3" xfId="16628" xr:uid="{00000000-0005-0000-0000-000023400000}"/>
    <cellStyle name="Input 16 3 2 2 3 2 2 3 2" xfId="16629" xr:uid="{00000000-0005-0000-0000-000024400000}"/>
    <cellStyle name="Input 16 3 2 2 3 2 2 4" xfId="16630" xr:uid="{00000000-0005-0000-0000-000025400000}"/>
    <cellStyle name="Input 16 3 2 2 3 2 2 5" xfId="16631" xr:uid="{00000000-0005-0000-0000-000026400000}"/>
    <cellStyle name="Input 16 3 2 2 3 2 2 6" xfId="16632" xr:uid="{00000000-0005-0000-0000-000027400000}"/>
    <cellStyle name="Input 16 3 2 2 3 2 3" xfId="16633" xr:uid="{00000000-0005-0000-0000-000028400000}"/>
    <cellStyle name="Input 16 3 2 2 3 2 3 2" xfId="16634" xr:uid="{00000000-0005-0000-0000-000029400000}"/>
    <cellStyle name="Input 16 3 2 2 3 2 4" xfId="16635" xr:uid="{00000000-0005-0000-0000-00002A400000}"/>
    <cellStyle name="Input 16 3 2 2 3 2 4 2" xfId="16636" xr:uid="{00000000-0005-0000-0000-00002B400000}"/>
    <cellStyle name="Input 16 3 2 2 3 2 5" xfId="16637" xr:uid="{00000000-0005-0000-0000-00002C400000}"/>
    <cellStyle name="Input 16 3 2 2 3 2 6" xfId="16638" xr:uid="{00000000-0005-0000-0000-00002D400000}"/>
    <cellStyle name="Input 16 3 2 2 3 2 7" xfId="16639" xr:uid="{00000000-0005-0000-0000-00002E400000}"/>
    <cellStyle name="Input 16 3 2 2 3 3" xfId="16640" xr:uid="{00000000-0005-0000-0000-00002F400000}"/>
    <cellStyle name="Input 16 3 2 2 3 3 2" xfId="16641" xr:uid="{00000000-0005-0000-0000-000030400000}"/>
    <cellStyle name="Input 16 3 2 2 3 3 2 2" xfId="16642" xr:uid="{00000000-0005-0000-0000-000031400000}"/>
    <cellStyle name="Input 16 3 2 2 3 3 3" xfId="16643" xr:uid="{00000000-0005-0000-0000-000032400000}"/>
    <cellStyle name="Input 16 3 2 2 3 3 3 2" xfId="16644" xr:uid="{00000000-0005-0000-0000-000033400000}"/>
    <cellStyle name="Input 16 3 2 2 3 3 4" xfId="16645" xr:uid="{00000000-0005-0000-0000-000034400000}"/>
    <cellStyle name="Input 16 3 2 2 3 3 5" xfId="16646" xr:uid="{00000000-0005-0000-0000-000035400000}"/>
    <cellStyle name="Input 16 3 2 2 3 3 6" xfId="16647" xr:uid="{00000000-0005-0000-0000-000036400000}"/>
    <cellStyle name="Input 16 3 2 2 3 4" xfId="16648" xr:uid="{00000000-0005-0000-0000-000037400000}"/>
    <cellStyle name="Input 16 3 2 2 3 4 2" xfId="16649" xr:uid="{00000000-0005-0000-0000-000038400000}"/>
    <cellStyle name="Input 16 3 2 2 3 5" xfId="16650" xr:uid="{00000000-0005-0000-0000-000039400000}"/>
    <cellStyle name="Input 16 3 2 2 3 5 2" xfId="16651" xr:uid="{00000000-0005-0000-0000-00003A400000}"/>
    <cellStyle name="Input 16 3 2 2 3 6" xfId="16652" xr:uid="{00000000-0005-0000-0000-00003B400000}"/>
    <cellStyle name="Input 16 3 2 2 3 7" xfId="16653" xr:uid="{00000000-0005-0000-0000-00003C400000}"/>
    <cellStyle name="Input 16 3 2 2 3 8" xfId="16654" xr:uid="{00000000-0005-0000-0000-00003D400000}"/>
    <cellStyle name="Input 16 3 2 2 4" xfId="16655" xr:uid="{00000000-0005-0000-0000-00003E400000}"/>
    <cellStyle name="Input 16 3 2 2 4 2" xfId="16656" xr:uid="{00000000-0005-0000-0000-00003F400000}"/>
    <cellStyle name="Input 16 3 2 2 4 2 2" xfId="16657" xr:uid="{00000000-0005-0000-0000-000040400000}"/>
    <cellStyle name="Input 16 3 2 2 4 2 2 2" xfId="16658" xr:uid="{00000000-0005-0000-0000-000041400000}"/>
    <cellStyle name="Input 16 3 2 2 4 2 3" xfId="16659" xr:uid="{00000000-0005-0000-0000-000042400000}"/>
    <cellStyle name="Input 16 3 2 2 4 2 3 2" xfId="16660" xr:uid="{00000000-0005-0000-0000-000043400000}"/>
    <cellStyle name="Input 16 3 2 2 4 2 4" xfId="16661" xr:uid="{00000000-0005-0000-0000-000044400000}"/>
    <cellStyle name="Input 16 3 2 2 4 2 5" xfId="16662" xr:uid="{00000000-0005-0000-0000-000045400000}"/>
    <cellStyle name="Input 16 3 2 2 4 2 6" xfId="16663" xr:uid="{00000000-0005-0000-0000-000046400000}"/>
    <cellStyle name="Input 16 3 2 2 4 3" xfId="16664" xr:uid="{00000000-0005-0000-0000-000047400000}"/>
    <cellStyle name="Input 16 3 2 2 4 3 2" xfId="16665" xr:uid="{00000000-0005-0000-0000-000048400000}"/>
    <cellStyle name="Input 16 3 2 2 4 4" xfId="16666" xr:uid="{00000000-0005-0000-0000-000049400000}"/>
    <cellStyle name="Input 16 3 2 2 4 4 2" xfId="16667" xr:uid="{00000000-0005-0000-0000-00004A400000}"/>
    <cellStyle name="Input 16 3 2 2 4 5" xfId="16668" xr:uid="{00000000-0005-0000-0000-00004B400000}"/>
    <cellStyle name="Input 16 3 2 2 4 6" xfId="16669" xr:uid="{00000000-0005-0000-0000-00004C400000}"/>
    <cellStyle name="Input 16 3 2 2 4 7" xfId="16670" xr:uid="{00000000-0005-0000-0000-00004D400000}"/>
    <cellStyle name="Input 16 3 2 2 5" xfId="16671" xr:uid="{00000000-0005-0000-0000-00004E400000}"/>
    <cellStyle name="Input 16 3 2 2 5 2" xfId="16672" xr:uid="{00000000-0005-0000-0000-00004F400000}"/>
    <cellStyle name="Input 16 3 2 2 5 2 2" xfId="16673" xr:uid="{00000000-0005-0000-0000-000050400000}"/>
    <cellStyle name="Input 16 3 2 2 5 3" xfId="16674" xr:uid="{00000000-0005-0000-0000-000051400000}"/>
    <cellStyle name="Input 16 3 2 2 5 3 2" xfId="16675" xr:uid="{00000000-0005-0000-0000-000052400000}"/>
    <cellStyle name="Input 16 3 2 2 5 4" xfId="16676" xr:uid="{00000000-0005-0000-0000-000053400000}"/>
    <cellStyle name="Input 16 3 2 2 5 5" xfId="16677" xr:uid="{00000000-0005-0000-0000-000054400000}"/>
    <cellStyle name="Input 16 3 2 2 5 6" xfId="16678" xr:uid="{00000000-0005-0000-0000-000055400000}"/>
    <cellStyle name="Input 16 3 2 2 6" xfId="16679" xr:uid="{00000000-0005-0000-0000-000056400000}"/>
    <cellStyle name="Input 16 3 2 2 6 2" xfId="16680" xr:uid="{00000000-0005-0000-0000-000057400000}"/>
    <cellStyle name="Input 16 3 2 2 7" xfId="16681" xr:uid="{00000000-0005-0000-0000-000058400000}"/>
    <cellStyle name="Input 16 3 2 2 7 2" xfId="16682" xr:uid="{00000000-0005-0000-0000-000059400000}"/>
    <cellStyle name="Input 16 3 2 2 8" xfId="16683" xr:uid="{00000000-0005-0000-0000-00005A400000}"/>
    <cellStyle name="Input 16 3 2 2 9" xfId="16684" xr:uid="{00000000-0005-0000-0000-00005B400000}"/>
    <cellStyle name="Input 16 3 2 3" xfId="16685" xr:uid="{00000000-0005-0000-0000-00005C400000}"/>
    <cellStyle name="Input 16 3 2 3 2" xfId="16686" xr:uid="{00000000-0005-0000-0000-00005D400000}"/>
    <cellStyle name="Input 16 3 2 3 2 2" xfId="16687" xr:uid="{00000000-0005-0000-0000-00005E400000}"/>
    <cellStyle name="Input 16 3 2 3 2 2 2" xfId="16688" xr:uid="{00000000-0005-0000-0000-00005F400000}"/>
    <cellStyle name="Input 16 3 2 3 2 2 2 2" xfId="16689" xr:uid="{00000000-0005-0000-0000-000060400000}"/>
    <cellStyle name="Input 16 3 2 3 2 2 3" xfId="16690" xr:uid="{00000000-0005-0000-0000-000061400000}"/>
    <cellStyle name="Input 16 3 2 3 2 2 3 2" xfId="16691" xr:uid="{00000000-0005-0000-0000-000062400000}"/>
    <cellStyle name="Input 16 3 2 3 2 2 4" xfId="16692" xr:uid="{00000000-0005-0000-0000-000063400000}"/>
    <cellStyle name="Input 16 3 2 3 2 2 5" xfId="16693" xr:uid="{00000000-0005-0000-0000-000064400000}"/>
    <cellStyle name="Input 16 3 2 3 2 2 6" xfId="16694" xr:uid="{00000000-0005-0000-0000-000065400000}"/>
    <cellStyle name="Input 16 3 2 3 2 3" xfId="16695" xr:uid="{00000000-0005-0000-0000-000066400000}"/>
    <cellStyle name="Input 16 3 2 3 2 3 2" xfId="16696" xr:uid="{00000000-0005-0000-0000-000067400000}"/>
    <cellStyle name="Input 16 3 2 3 2 4" xfId="16697" xr:uid="{00000000-0005-0000-0000-000068400000}"/>
    <cellStyle name="Input 16 3 2 3 2 4 2" xfId="16698" xr:uid="{00000000-0005-0000-0000-000069400000}"/>
    <cellStyle name="Input 16 3 2 3 2 5" xfId="16699" xr:uid="{00000000-0005-0000-0000-00006A400000}"/>
    <cellStyle name="Input 16 3 2 3 2 6" xfId="16700" xr:uid="{00000000-0005-0000-0000-00006B400000}"/>
    <cellStyle name="Input 16 3 2 3 2 7" xfId="16701" xr:uid="{00000000-0005-0000-0000-00006C400000}"/>
    <cellStyle name="Input 16 3 2 3 3" xfId="16702" xr:uid="{00000000-0005-0000-0000-00006D400000}"/>
    <cellStyle name="Input 16 3 2 3 3 2" xfId="16703" xr:uid="{00000000-0005-0000-0000-00006E400000}"/>
    <cellStyle name="Input 16 3 2 3 3 2 2" xfId="16704" xr:uid="{00000000-0005-0000-0000-00006F400000}"/>
    <cellStyle name="Input 16 3 2 3 3 3" xfId="16705" xr:uid="{00000000-0005-0000-0000-000070400000}"/>
    <cellStyle name="Input 16 3 2 3 3 3 2" xfId="16706" xr:uid="{00000000-0005-0000-0000-000071400000}"/>
    <cellStyle name="Input 16 3 2 3 3 4" xfId="16707" xr:uid="{00000000-0005-0000-0000-000072400000}"/>
    <cellStyle name="Input 16 3 2 3 3 5" xfId="16708" xr:uid="{00000000-0005-0000-0000-000073400000}"/>
    <cellStyle name="Input 16 3 2 3 3 6" xfId="16709" xr:uid="{00000000-0005-0000-0000-000074400000}"/>
    <cellStyle name="Input 16 3 2 3 4" xfId="16710" xr:uid="{00000000-0005-0000-0000-000075400000}"/>
    <cellStyle name="Input 16 3 2 3 4 2" xfId="16711" xr:uid="{00000000-0005-0000-0000-000076400000}"/>
    <cellStyle name="Input 16 3 2 3 5" xfId="16712" xr:uid="{00000000-0005-0000-0000-000077400000}"/>
    <cellStyle name="Input 16 3 2 3 5 2" xfId="16713" xr:uid="{00000000-0005-0000-0000-000078400000}"/>
    <cellStyle name="Input 16 3 2 3 6" xfId="16714" xr:uid="{00000000-0005-0000-0000-000079400000}"/>
    <cellStyle name="Input 16 3 2 3 7" xfId="16715" xr:uid="{00000000-0005-0000-0000-00007A400000}"/>
    <cellStyle name="Input 16 3 2 3 8" xfId="16716" xr:uid="{00000000-0005-0000-0000-00007B400000}"/>
    <cellStyle name="Input 16 3 2 4" xfId="16717" xr:uid="{00000000-0005-0000-0000-00007C400000}"/>
    <cellStyle name="Input 16 3 2 4 2" xfId="16718" xr:uid="{00000000-0005-0000-0000-00007D400000}"/>
    <cellStyle name="Input 16 3 2 4 2 2" xfId="16719" xr:uid="{00000000-0005-0000-0000-00007E400000}"/>
    <cellStyle name="Input 16 3 2 4 2 2 2" xfId="16720" xr:uid="{00000000-0005-0000-0000-00007F400000}"/>
    <cellStyle name="Input 16 3 2 4 2 3" xfId="16721" xr:uid="{00000000-0005-0000-0000-000080400000}"/>
    <cellStyle name="Input 16 3 2 4 2 3 2" xfId="16722" xr:uid="{00000000-0005-0000-0000-000081400000}"/>
    <cellStyle name="Input 16 3 2 4 2 4" xfId="16723" xr:uid="{00000000-0005-0000-0000-000082400000}"/>
    <cellStyle name="Input 16 3 2 4 2 5" xfId="16724" xr:uid="{00000000-0005-0000-0000-000083400000}"/>
    <cellStyle name="Input 16 3 2 4 2 6" xfId="16725" xr:uid="{00000000-0005-0000-0000-000084400000}"/>
    <cellStyle name="Input 16 3 2 4 3" xfId="16726" xr:uid="{00000000-0005-0000-0000-000085400000}"/>
    <cellStyle name="Input 16 3 2 4 3 2" xfId="16727" xr:uid="{00000000-0005-0000-0000-000086400000}"/>
    <cellStyle name="Input 16 3 2 4 4" xfId="16728" xr:uid="{00000000-0005-0000-0000-000087400000}"/>
    <cellStyle name="Input 16 3 2 4 4 2" xfId="16729" xr:uid="{00000000-0005-0000-0000-000088400000}"/>
    <cellStyle name="Input 16 3 2 4 5" xfId="16730" xr:uid="{00000000-0005-0000-0000-000089400000}"/>
    <cellStyle name="Input 16 3 2 4 6" xfId="16731" xr:uid="{00000000-0005-0000-0000-00008A400000}"/>
    <cellStyle name="Input 16 3 2 4 7" xfId="16732" xr:uid="{00000000-0005-0000-0000-00008B400000}"/>
    <cellStyle name="Input 16 3 2 5" xfId="16733" xr:uid="{00000000-0005-0000-0000-00008C400000}"/>
    <cellStyle name="Input 16 3 2 5 2" xfId="16734" xr:uid="{00000000-0005-0000-0000-00008D400000}"/>
    <cellStyle name="Input 16 3 2 5 2 2" xfId="16735" xr:uid="{00000000-0005-0000-0000-00008E400000}"/>
    <cellStyle name="Input 16 3 2 5 3" xfId="16736" xr:uid="{00000000-0005-0000-0000-00008F400000}"/>
    <cellStyle name="Input 16 3 2 5 3 2" xfId="16737" xr:uid="{00000000-0005-0000-0000-000090400000}"/>
    <cellStyle name="Input 16 3 2 5 4" xfId="16738" xr:uid="{00000000-0005-0000-0000-000091400000}"/>
    <cellStyle name="Input 16 3 2 5 5" xfId="16739" xr:uid="{00000000-0005-0000-0000-000092400000}"/>
    <cellStyle name="Input 16 3 2 5 6" xfId="16740" xr:uid="{00000000-0005-0000-0000-000093400000}"/>
    <cellStyle name="Input 16 3 2 6" xfId="16741" xr:uid="{00000000-0005-0000-0000-000094400000}"/>
    <cellStyle name="Input 16 3 2 6 2" xfId="16742" xr:uid="{00000000-0005-0000-0000-000095400000}"/>
    <cellStyle name="Input 16 3 2 7" xfId="16743" xr:uid="{00000000-0005-0000-0000-000096400000}"/>
    <cellStyle name="Input 16 3 2 7 2" xfId="16744" xr:uid="{00000000-0005-0000-0000-000097400000}"/>
    <cellStyle name="Input 16 3 2 8" xfId="16745" xr:uid="{00000000-0005-0000-0000-000098400000}"/>
    <cellStyle name="Input 16 3 2 9" xfId="16746" xr:uid="{00000000-0005-0000-0000-000099400000}"/>
    <cellStyle name="Input 16 3 3" xfId="16747" xr:uid="{00000000-0005-0000-0000-00009A400000}"/>
    <cellStyle name="Input 16 3 3 10" xfId="16748" xr:uid="{00000000-0005-0000-0000-00009B400000}"/>
    <cellStyle name="Input 16 3 3 2" xfId="16749" xr:uid="{00000000-0005-0000-0000-00009C400000}"/>
    <cellStyle name="Input 16 3 3 2 2" xfId="16750" xr:uid="{00000000-0005-0000-0000-00009D400000}"/>
    <cellStyle name="Input 16 3 3 2 2 2" xfId="16751" xr:uid="{00000000-0005-0000-0000-00009E400000}"/>
    <cellStyle name="Input 16 3 3 2 2 2 2" xfId="16752" xr:uid="{00000000-0005-0000-0000-00009F400000}"/>
    <cellStyle name="Input 16 3 3 2 2 2 2 2" xfId="16753" xr:uid="{00000000-0005-0000-0000-0000A0400000}"/>
    <cellStyle name="Input 16 3 3 2 2 2 3" xfId="16754" xr:uid="{00000000-0005-0000-0000-0000A1400000}"/>
    <cellStyle name="Input 16 3 3 2 2 2 3 2" xfId="16755" xr:uid="{00000000-0005-0000-0000-0000A2400000}"/>
    <cellStyle name="Input 16 3 3 2 2 2 4" xfId="16756" xr:uid="{00000000-0005-0000-0000-0000A3400000}"/>
    <cellStyle name="Input 16 3 3 2 2 2 5" xfId="16757" xr:uid="{00000000-0005-0000-0000-0000A4400000}"/>
    <cellStyle name="Input 16 3 3 2 2 2 6" xfId="16758" xr:uid="{00000000-0005-0000-0000-0000A5400000}"/>
    <cellStyle name="Input 16 3 3 2 2 3" xfId="16759" xr:uid="{00000000-0005-0000-0000-0000A6400000}"/>
    <cellStyle name="Input 16 3 3 2 2 3 2" xfId="16760" xr:uid="{00000000-0005-0000-0000-0000A7400000}"/>
    <cellStyle name="Input 16 3 3 2 2 4" xfId="16761" xr:uid="{00000000-0005-0000-0000-0000A8400000}"/>
    <cellStyle name="Input 16 3 3 2 2 4 2" xfId="16762" xr:uid="{00000000-0005-0000-0000-0000A9400000}"/>
    <cellStyle name="Input 16 3 3 2 2 5" xfId="16763" xr:uid="{00000000-0005-0000-0000-0000AA400000}"/>
    <cellStyle name="Input 16 3 3 2 2 6" xfId="16764" xr:uid="{00000000-0005-0000-0000-0000AB400000}"/>
    <cellStyle name="Input 16 3 3 2 2 7" xfId="16765" xr:uid="{00000000-0005-0000-0000-0000AC400000}"/>
    <cellStyle name="Input 16 3 3 2 3" xfId="16766" xr:uid="{00000000-0005-0000-0000-0000AD400000}"/>
    <cellStyle name="Input 16 3 3 2 3 2" xfId="16767" xr:uid="{00000000-0005-0000-0000-0000AE400000}"/>
    <cellStyle name="Input 16 3 3 2 3 2 2" xfId="16768" xr:uid="{00000000-0005-0000-0000-0000AF400000}"/>
    <cellStyle name="Input 16 3 3 2 3 3" xfId="16769" xr:uid="{00000000-0005-0000-0000-0000B0400000}"/>
    <cellStyle name="Input 16 3 3 2 3 3 2" xfId="16770" xr:uid="{00000000-0005-0000-0000-0000B1400000}"/>
    <cellStyle name="Input 16 3 3 2 3 4" xfId="16771" xr:uid="{00000000-0005-0000-0000-0000B2400000}"/>
    <cellStyle name="Input 16 3 3 2 3 5" xfId="16772" xr:uid="{00000000-0005-0000-0000-0000B3400000}"/>
    <cellStyle name="Input 16 3 3 2 3 6" xfId="16773" xr:uid="{00000000-0005-0000-0000-0000B4400000}"/>
    <cellStyle name="Input 16 3 3 2 4" xfId="16774" xr:uid="{00000000-0005-0000-0000-0000B5400000}"/>
    <cellStyle name="Input 16 3 3 2 4 2" xfId="16775" xr:uid="{00000000-0005-0000-0000-0000B6400000}"/>
    <cellStyle name="Input 16 3 3 2 5" xfId="16776" xr:uid="{00000000-0005-0000-0000-0000B7400000}"/>
    <cellStyle name="Input 16 3 3 2 5 2" xfId="16777" xr:uid="{00000000-0005-0000-0000-0000B8400000}"/>
    <cellStyle name="Input 16 3 3 2 6" xfId="16778" xr:uid="{00000000-0005-0000-0000-0000B9400000}"/>
    <cellStyle name="Input 16 3 3 2 7" xfId="16779" xr:uid="{00000000-0005-0000-0000-0000BA400000}"/>
    <cellStyle name="Input 16 3 3 2 8" xfId="16780" xr:uid="{00000000-0005-0000-0000-0000BB400000}"/>
    <cellStyle name="Input 16 3 3 3" xfId="16781" xr:uid="{00000000-0005-0000-0000-0000BC400000}"/>
    <cellStyle name="Input 16 3 3 3 2" xfId="16782" xr:uid="{00000000-0005-0000-0000-0000BD400000}"/>
    <cellStyle name="Input 16 3 3 3 2 2" xfId="16783" xr:uid="{00000000-0005-0000-0000-0000BE400000}"/>
    <cellStyle name="Input 16 3 3 3 2 2 2" xfId="16784" xr:uid="{00000000-0005-0000-0000-0000BF400000}"/>
    <cellStyle name="Input 16 3 3 3 2 2 2 2" xfId="16785" xr:uid="{00000000-0005-0000-0000-0000C0400000}"/>
    <cellStyle name="Input 16 3 3 3 2 2 3" xfId="16786" xr:uid="{00000000-0005-0000-0000-0000C1400000}"/>
    <cellStyle name="Input 16 3 3 3 2 2 3 2" xfId="16787" xr:uid="{00000000-0005-0000-0000-0000C2400000}"/>
    <cellStyle name="Input 16 3 3 3 2 2 4" xfId="16788" xr:uid="{00000000-0005-0000-0000-0000C3400000}"/>
    <cellStyle name="Input 16 3 3 3 2 2 5" xfId="16789" xr:uid="{00000000-0005-0000-0000-0000C4400000}"/>
    <cellStyle name="Input 16 3 3 3 2 2 6" xfId="16790" xr:uid="{00000000-0005-0000-0000-0000C5400000}"/>
    <cellStyle name="Input 16 3 3 3 2 3" xfId="16791" xr:uid="{00000000-0005-0000-0000-0000C6400000}"/>
    <cellStyle name="Input 16 3 3 3 2 3 2" xfId="16792" xr:uid="{00000000-0005-0000-0000-0000C7400000}"/>
    <cellStyle name="Input 16 3 3 3 2 4" xfId="16793" xr:uid="{00000000-0005-0000-0000-0000C8400000}"/>
    <cellStyle name="Input 16 3 3 3 2 4 2" xfId="16794" xr:uid="{00000000-0005-0000-0000-0000C9400000}"/>
    <cellStyle name="Input 16 3 3 3 2 5" xfId="16795" xr:uid="{00000000-0005-0000-0000-0000CA400000}"/>
    <cellStyle name="Input 16 3 3 3 2 6" xfId="16796" xr:uid="{00000000-0005-0000-0000-0000CB400000}"/>
    <cellStyle name="Input 16 3 3 3 2 7" xfId="16797" xr:uid="{00000000-0005-0000-0000-0000CC400000}"/>
    <cellStyle name="Input 16 3 3 3 3" xfId="16798" xr:uid="{00000000-0005-0000-0000-0000CD400000}"/>
    <cellStyle name="Input 16 3 3 3 3 2" xfId="16799" xr:uid="{00000000-0005-0000-0000-0000CE400000}"/>
    <cellStyle name="Input 16 3 3 3 3 2 2" xfId="16800" xr:uid="{00000000-0005-0000-0000-0000CF400000}"/>
    <cellStyle name="Input 16 3 3 3 3 3" xfId="16801" xr:uid="{00000000-0005-0000-0000-0000D0400000}"/>
    <cellStyle name="Input 16 3 3 3 3 3 2" xfId="16802" xr:uid="{00000000-0005-0000-0000-0000D1400000}"/>
    <cellStyle name="Input 16 3 3 3 3 4" xfId="16803" xr:uid="{00000000-0005-0000-0000-0000D2400000}"/>
    <cellStyle name="Input 16 3 3 3 3 5" xfId="16804" xr:uid="{00000000-0005-0000-0000-0000D3400000}"/>
    <cellStyle name="Input 16 3 3 3 3 6" xfId="16805" xr:uid="{00000000-0005-0000-0000-0000D4400000}"/>
    <cellStyle name="Input 16 3 3 3 4" xfId="16806" xr:uid="{00000000-0005-0000-0000-0000D5400000}"/>
    <cellStyle name="Input 16 3 3 3 4 2" xfId="16807" xr:uid="{00000000-0005-0000-0000-0000D6400000}"/>
    <cellStyle name="Input 16 3 3 3 5" xfId="16808" xr:uid="{00000000-0005-0000-0000-0000D7400000}"/>
    <cellStyle name="Input 16 3 3 3 5 2" xfId="16809" xr:uid="{00000000-0005-0000-0000-0000D8400000}"/>
    <cellStyle name="Input 16 3 3 3 6" xfId="16810" xr:uid="{00000000-0005-0000-0000-0000D9400000}"/>
    <cellStyle name="Input 16 3 3 3 7" xfId="16811" xr:uid="{00000000-0005-0000-0000-0000DA400000}"/>
    <cellStyle name="Input 16 3 3 3 8" xfId="16812" xr:uid="{00000000-0005-0000-0000-0000DB400000}"/>
    <cellStyle name="Input 16 3 3 4" xfId="16813" xr:uid="{00000000-0005-0000-0000-0000DC400000}"/>
    <cellStyle name="Input 16 3 3 4 2" xfId="16814" xr:uid="{00000000-0005-0000-0000-0000DD400000}"/>
    <cellStyle name="Input 16 3 3 4 2 2" xfId="16815" xr:uid="{00000000-0005-0000-0000-0000DE400000}"/>
    <cellStyle name="Input 16 3 3 4 2 2 2" xfId="16816" xr:uid="{00000000-0005-0000-0000-0000DF400000}"/>
    <cellStyle name="Input 16 3 3 4 2 3" xfId="16817" xr:uid="{00000000-0005-0000-0000-0000E0400000}"/>
    <cellStyle name="Input 16 3 3 4 2 3 2" xfId="16818" xr:uid="{00000000-0005-0000-0000-0000E1400000}"/>
    <cellStyle name="Input 16 3 3 4 2 4" xfId="16819" xr:uid="{00000000-0005-0000-0000-0000E2400000}"/>
    <cellStyle name="Input 16 3 3 4 2 5" xfId="16820" xr:uid="{00000000-0005-0000-0000-0000E3400000}"/>
    <cellStyle name="Input 16 3 3 4 2 6" xfId="16821" xr:uid="{00000000-0005-0000-0000-0000E4400000}"/>
    <cellStyle name="Input 16 3 3 4 3" xfId="16822" xr:uid="{00000000-0005-0000-0000-0000E5400000}"/>
    <cellStyle name="Input 16 3 3 4 3 2" xfId="16823" xr:uid="{00000000-0005-0000-0000-0000E6400000}"/>
    <cellStyle name="Input 16 3 3 4 4" xfId="16824" xr:uid="{00000000-0005-0000-0000-0000E7400000}"/>
    <cellStyle name="Input 16 3 3 4 4 2" xfId="16825" xr:uid="{00000000-0005-0000-0000-0000E8400000}"/>
    <cellStyle name="Input 16 3 3 4 5" xfId="16826" xr:uid="{00000000-0005-0000-0000-0000E9400000}"/>
    <cellStyle name="Input 16 3 3 4 6" xfId="16827" xr:uid="{00000000-0005-0000-0000-0000EA400000}"/>
    <cellStyle name="Input 16 3 3 4 7" xfId="16828" xr:uid="{00000000-0005-0000-0000-0000EB400000}"/>
    <cellStyle name="Input 16 3 3 5" xfId="16829" xr:uid="{00000000-0005-0000-0000-0000EC400000}"/>
    <cellStyle name="Input 16 3 3 5 2" xfId="16830" xr:uid="{00000000-0005-0000-0000-0000ED400000}"/>
    <cellStyle name="Input 16 3 3 5 2 2" xfId="16831" xr:uid="{00000000-0005-0000-0000-0000EE400000}"/>
    <cellStyle name="Input 16 3 3 5 3" xfId="16832" xr:uid="{00000000-0005-0000-0000-0000EF400000}"/>
    <cellStyle name="Input 16 3 3 5 3 2" xfId="16833" xr:uid="{00000000-0005-0000-0000-0000F0400000}"/>
    <cellStyle name="Input 16 3 3 5 4" xfId="16834" xr:uid="{00000000-0005-0000-0000-0000F1400000}"/>
    <cellStyle name="Input 16 3 3 5 5" xfId="16835" xr:uid="{00000000-0005-0000-0000-0000F2400000}"/>
    <cellStyle name="Input 16 3 3 5 6" xfId="16836" xr:uid="{00000000-0005-0000-0000-0000F3400000}"/>
    <cellStyle name="Input 16 3 3 6" xfId="16837" xr:uid="{00000000-0005-0000-0000-0000F4400000}"/>
    <cellStyle name="Input 16 3 3 6 2" xfId="16838" xr:uid="{00000000-0005-0000-0000-0000F5400000}"/>
    <cellStyle name="Input 16 3 3 7" xfId="16839" xr:uid="{00000000-0005-0000-0000-0000F6400000}"/>
    <cellStyle name="Input 16 3 3 7 2" xfId="16840" xr:uid="{00000000-0005-0000-0000-0000F7400000}"/>
    <cellStyle name="Input 16 3 3 8" xfId="16841" xr:uid="{00000000-0005-0000-0000-0000F8400000}"/>
    <cellStyle name="Input 16 3 3 9" xfId="16842" xr:uid="{00000000-0005-0000-0000-0000F9400000}"/>
    <cellStyle name="Input 16 3 4" xfId="16843" xr:uid="{00000000-0005-0000-0000-0000FA400000}"/>
    <cellStyle name="Input 16 3 4 2" xfId="16844" xr:uid="{00000000-0005-0000-0000-0000FB400000}"/>
    <cellStyle name="Input 16 3 4 2 2" xfId="16845" xr:uid="{00000000-0005-0000-0000-0000FC400000}"/>
    <cellStyle name="Input 16 3 4 2 2 2" xfId="16846" xr:uid="{00000000-0005-0000-0000-0000FD400000}"/>
    <cellStyle name="Input 16 3 4 2 2 2 2" xfId="16847" xr:uid="{00000000-0005-0000-0000-0000FE400000}"/>
    <cellStyle name="Input 16 3 4 2 2 3" xfId="16848" xr:uid="{00000000-0005-0000-0000-0000FF400000}"/>
    <cellStyle name="Input 16 3 4 2 2 3 2" xfId="16849" xr:uid="{00000000-0005-0000-0000-000000410000}"/>
    <cellStyle name="Input 16 3 4 2 2 4" xfId="16850" xr:uid="{00000000-0005-0000-0000-000001410000}"/>
    <cellStyle name="Input 16 3 4 2 2 5" xfId="16851" xr:uid="{00000000-0005-0000-0000-000002410000}"/>
    <cellStyle name="Input 16 3 4 2 2 6" xfId="16852" xr:uid="{00000000-0005-0000-0000-000003410000}"/>
    <cellStyle name="Input 16 3 4 2 3" xfId="16853" xr:uid="{00000000-0005-0000-0000-000004410000}"/>
    <cellStyle name="Input 16 3 4 2 3 2" xfId="16854" xr:uid="{00000000-0005-0000-0000-000005410000}"/>
    <cellStyle name="Input 16 3 4 2 4" xfId="16855" xr:uid="{00000000-0005-0000-0000-000006410000}"/>
    <cellStyle name="Input 16 3 4 2 4 2" xfId="16856" xr:uid="{00000000-0005-0000-0000-000007410000}"/>
    <cellStyle name="Input 16 3 4 2 5" xfId="16857" xr:uid="{00000000-0005-0000-0000-000008410000}"/>
    <cellStyle name="Input 16 3 4 2 6" xfId="16858" xr:uid="{00000000-0005-0000-0000-000009410000}"/>
    <cellStyle name="Input 16 3 4 2 7" xfId="16859" xr:uid="{00000000-0005-0000-0000-00000A410000}"/>
    <cellStyle name="Input 16 3 4 3" xfId="16860" xr:uid="{00000000-0005-0000-0000-00000B410000}"/>
    <cellStyle name="Input 16 3 4 3 2" xfId="16861" xr:uid="{00000000-0005-0000-0000-00000C410000}"/>
    <cellStyle name="Input 16 3 4 3 2 2" xfId="16862" xr:uid="{00000000-0005-0000-0000-00000D410000}"/>
    <cellStyle name="Input 16 3 4 3 3" xfId="16863" xr:uid="{00000000-0005-0000-0000-00000E410000}"/>
    <cellStyle name="Input 16 3 4 3 3 2" xfId="16864" xr:uid="{00000000-0005-0000-0000-00000F410000}"/>
    <cellStyle name="Input 16 3 4 3 4" xfId="16865" xr:uid="{00000000-0005-0000-0000-000010410000}"/>
    <cellStyle name="Input 16 3 4 3 5" xfId="16866" xr:uid="{00000000-0005-0000-0000-000011410000}"/>
    <cellStyle name="Input 16 3 4 3 6" xfId="16867" xr:uid="{00000000-0005-0000-0000-000012410000}"/>
    <cellStyle name="Input 16 3 4 4" xfId="16868" xr:uid="{00000000-0005-0000-0000-000013410000}"/>
    <cellStyle name="Input 16 3 4 4 2" xfId="16869" xr:uid="{00000000-0005-0000-0000-000014410000}"/>
    <cellStyle name="Input 16 3 4 5" xfId="16870" xr:uid="{00000000-0005-0000-0000-000015410000}"/>
    <cellStyle name="Input 16 3 4 5 2" xfId="16871" xr:uid="{00000000-0005-0000-0000-000016410000}"/>
    <cellStyle name="Input 16 3 4 6" xfId="16872" xr:uid="{00000000-0005-0000-0000-000017410000}"/>
    <cellStyle name="Input 16 3 4 7" xfId="16873" xr:uid="{00000000-0005-0000-0000-000018410000}"/>
    <cellStyle name="Input 16 3 4 8" xfId="16874" xr:uid="{00000000-0005-0000-0000-000019410000}"/>
    <cellStyle name="Input 16 3 5" xfId="16875" xr:uid="{00000000-0005-0000-0000-00001A410000}"/>
    <cellStyle name="Input 16 3 5 2" xfId="16876" xr:uid="{00000000-0005-0000-0000-00001B410000}"/>
    <cellStyle name="Input 16 3 5 2 2" xfId="16877" xr:uid="{00000000-0005-0000-0000-00001C410000}"/>
    <cellStyle name="Input 16 3 5 2 2 2" xfId="16878" xr:uid="{00000000-0005-0000-0000-00001D410000}"/>
    <cellStyle name="Input 16 3 5 2 3" xfId="16879" xr:uid="{00000000-0005-0000-0000-00001E410000}"/>
    <cellStyle name="Input 16 3 5 2 3 2" xfId="16880" xr:uid="{00000000-0005-0000-0000-00001F410000}"/>
    <cellStyle name="Input 16 3 5 2 4" xfId="16881" xr:uid="{00000000-0005-0000-0000-000020410000}"/>
    <cellStyle name="Input 16 3 5 2 5" xfId="16882" xr:uid="{00000000-0005-0000-0000-000021410000}"/>
    <cellStyle name="Input 16 3 5 2 6" xfId="16883" xr:uid="{00000000-0005-0000-0000-000022410000}"/>
    <cellStyle name="Input 16 3 5 3" xfId="16884" xr:uid="{00000000-0005-0000-0000-000023410000}"/>
    <cellStyle name="Input 16 3 5 3 2" xfId="16885" xr:uid="{00000000-0005-0000-0000-000024410000}"/>
    <cellStyle name="Input 16 3 5 4" xfId="16886" xr:uid="{00000000-0005-0000-0000-000025410000}"/>
    <cellStyle name="Input 16 3 5 4 2" xfId="16887" xr:uid="{00000000-0005-0000-0000-000026410000}"/>
    <cellStyle name="Input 16 3 5 5" xfId="16888" xr:uid="{00000000-0005-0000-0000-000027410000}"/>
    <cellStyle name="Input 16 3 5 6" xfId="16889" xr:uid="{00000000-0005-0000-0000-000028410000}"/>
    <cellStyle name="Input 16 3 5 7" xfId="16890" xr:uid="{00000000-0005-0000-0000-000029410000}"/>
    <cellStyle name="Input 16 3 6" xfId="16891" xr:uid="{00000000-0005-0000-0000-00002A410000}"/>
    <cellStyle name="Input 16 3 6 2" xfId="16892" xr:uid="{00000000-0005-0000-0000-00002B410000}"/>
    <cellStyle name="Input 16 3 6 2 2" xfId="16893" xr:uid="{00000000-0005-0000-0000-00002C410000}"/>
    <cellStyle name="Input 16 3 6 3" xfId="16894" xr:uid="{00000000-0005-0000-0000-00002D410000}"/>
    <cellStyle name="Input 16 3 6 3 2" xfId="16895" xr:uid="{00000000-0005-0000-0000-00002E410000}"/>
    <cellStyle name="Input 16 3 6 4" xfId="16896" xr:uid="{00000000-0005-0000-0000-00002F410000}"/>
    <cellStyle name="Input 16 3 6 5" xfId="16897" xr:uid="{00000000-0005-0000-0000-000030410000}"/>
    <cellStyle name="Input 16 3 6 6" xfId="16898" xr:uid="{00000000-0005-0000-0000-000031410000}"/>
    <cellStyle name="Input 16 3 7" xfId="16899" xr:uid="{00000000-0005-0000-0000-000032410000}"/>
    <cellStyle name="Input 16 3 7 2" xfId="16900" xr:uid="{00000000-0005-0000-0000-000033410000}"/>
    <cellStyle name="Input 16 3 8" xfId="16901" xr:uid="{00000000-0005-0000-0000-000034410000}"/>
    <cellStyle name="Input 16 3 8 2" xfId="16902" xr:uid="{00000000-0005-0000-0000-000035410000}"/>
    <cellStyle name="Input 16 3 9" xfId="16903" xr:uid="{00000000-0005-0000-0000-000036410000}"/>
    <cellStyle name="Input 16 4" xfId="16904" xr:uid="{00000000-0005-0000-0000-000037410000}"/>
    <cellStyle name="Input 16 4 10" xfId="16905" xr:uid="{00000000-0005-0000-0000-000038410000}"/>
    <cellStyle name="Input 16 4 11" xfId="16906" xr:uid="{00000000-0005-0000-0000-000039410000}"/>
    <cellStyle name="Input 16 4 2" xfId="16907" xr:uid="{00000000-0005-0000-0000-00003A410000}"/>
    <cellStyle name="Input 16 4 2 10" xfId="16908" xr:uid="{00000000-0005-0000-0000-00003B410000}"/>
    <cellStyle name="Input 16 4 2 2" xfId="16909" xr:uid="{00000000-0005-0000-0000-00003C410000}"/>
    <cellStyle name="Input 16 4 2 2 2" xfId="16910" xr:uid="{00000000-0005-0000-0000-00003D410000}"/>
    <cellStyle name="Input 16 4 2 2 2 2" xfId="16911" xr:uid="{00000000-0005-0000-0000-00003E410000}"/>
    <cellStyle name="Input 16 4 2 2 2 2 2" xfId="16912" xr:uid="{00000000-0005-0000-0000-00003F410000}"/>
    <cellStyle name="Input 16 4 2 2 2 2 2 2" xfId="16913" xr:uid="{00000000-0005-0000-0000-000040410000}"/>
    <cellStyle name="Input 16 4 2 2 2 2 3" xfId="16914" xr:uid="{00000000-0005-0000-0000-000041410000}"/>
    <cellStyle name="Input 16 4 2 2 2 2 3 2" xfId="16915" xr:uid="{00000000-0005-0000-0000-000042410000}"/>
    <cellStyle name="Input 16 4 2 2 2 2 4" xfId="16916" xr:uid="{00000000-0005-0000-0000-000043410000}"/>
    <cellStyle name="Input 16 4 2 2 2 2 5" xfId="16917" xr:uid="{00000000-0005-0000-0000-000044410000}"/>
    <cellStyle name="Input 16 4 2 2 2 2 6" xfId="16918" xr:uid="{00000000-0005-0000-0000-000045410000}"/>
    <cellStyle name="Input 16 4 2 2 2 3" xfId="16919" xr:uid="{00000000-0005-0000-0000-000046410000}"/>
    <cellStyle name="Input 16 4 2 2 2 3 2" xfId="16920" xr:uid="{00000000-0005-0000-0000-000047410000}"/>
    <cellStyle name="Input 16 4 2 2 2 4" xfId="16921" xr:uid="{00000000-0005-0000-0000-000048410000}"/>
    <cellStyle name="Input 16 4 2 2 2 4 2" xfId="16922" xr:uid="{00000000-0005-0000-0000-000049410000}"/>
    <cellStyle name="Input 16 4 2 2 2 5" xfId="16923" xr:uid="{00000000-0005-0000-0000-00004A410000}"/>
    <cellStyle name="Input 16 4 2 2 2 6" xfId="16924" xr:uid="{00000000-0005-0000-0000-00004B410000}"/>
    <cellStyle name="Input 16 4 2 2 2 7" xfId="16925" xr:uid="{00000000-0005-0000-0000-00004C410000}"/>
    <cellStyle name="Input 16 4 2 2 3" xfId="16926" xr:uid="{00000000-0005-0000-0000-00004D410000}"/>
    <cellStyle name="Input 16 4 2 2 3 2" xfId="16927" xr:uid="{00000000-0005-0000-0000-00004E410000}"/>
    <cellStyle name="Input 16 4 2 2 3 2 2" xfId="16928" xr:uid="{00000000-0005-0000-0000-00004F410000}"/>
    <cellStyle name="Input 16 4 2 2 3 3" xfId="16929" xr:uid="{00000000-0005-0000-0000-000050410000}"/>
    <cellStyle name="Input 16 4 2 2 3 3 2" xfId="16930" xr:uid="{00000000-0005-0000-0000-000051410000}"/>
    <cellStyle name="Input 16 4 2 2 3 4" xfId="16931" xr:uid="{00000000-0005-0000-0000-000052410000}"/>
    <cellStyle name="Input 16 4 2 2 3 5" xfId="16932" xr:uid="{00000000-0005-0000-0000-000053410000}"/>
    <cellStyle name="Input 16 4 2 2 3 6" xfId="16933" xr:uid="{00000000-0005-0000-0000-000054410000}"/>
    <cellStyle name="Input 16 4 2 2 4" xfId="16934" xr:uid="{00000000-0005-0000-0000-000055410000}"/>
    <cellStyle name="Input 16 4 2 2 4 2" xfId="16935" xr:uid="{00000000-0005-0000-0000-000056410000}"/>
    <cellStyle name="Input 16 4 2 2 5" xfId="16936" xr:uid="{00000000-0005-0000-0000-000057410000}"/>
    <cellStyle name="Input 16 4 2 2 5 2" xfId="16937" xr:uid="{00000000-0005-0000-0000-000058410000}"/>
    <cellStyle name="Input 16 4 2 2 6" xfId="16938" xr:uid="{00000000-0005-0000-0000-000059410000}"/>
    <cellStyle name="Input 16 4 2 2 7" xfId="16939" xr:uid="{00000000-0005-0000-0000-00005A410000}"/>
    <cellStyle name="Input 16 4 2 2 8" xfId="16940" xr:uid="{00000000-0005-0000-0000-00005B410000}"/>
    <cellStyle name="Input 16 4 2 3" xfId="16941" xr:uid="{00000000-0005-0000-0000-00005C410000}"/>
    <cellStyle name="Input 16 4 2 3 2" xfId="16942" xr:uid="{00000000-0005-0000-0000-00005D410000}"/>
    <cellStyle name="Input 16 4 2 3 2 2" xfId="16943" xr:uid="{00000000-0005-0000-0000-00005E410000}"/>
    <cellStyle name="Input 16 4 2 3 2 2 2" xfId="16944" xr:uid="{00000000-0005-0000-0000-00005F410000}"/>
    <cellStyle name="Input 16 4 2 3 2 2 2 2" xfId="16945" xr:uid="{00000000-0005-0000-0000-000060410000}"/>
    <cellStyle name="Input 16 4 2 3 2 2 3" xfId="16946" xr:uid="{00000000-0005-0000-0000-000061410000}"/>
    <cellStyle name="Input 16 4 2 3 2 2 3 2" xfId="16947" xr:uid="{00000000-0005-0000-0000-000062410000}"/>
    <cellStyle name="Input 16 4 2 3 2 2 4" xfId="16948" xr:uid="{00000000-0005-0000-0000-000063410000}"/>
    <cellStyle name="Input 16 4 2 3 2 2 5" xfId="16949" xr:uid="{00000000-0005-0000-0000-000064410000}"/>
    <cellStyle name="Input 16 4 2 3 2 2 6" xfId="16950" xr:uid="{00000000-0005-0000-0000-000065410000}"/>
    <cellStyle name="Input 16 4 2 3 2 3" xfId="16951" xr:uid="{00000000-0005-0000-0000-000066410000}"/>
    <cellStyle name="Input 16 4 2 3 2 3 2" xfId="16952" xr:uid="{00000000-0005-0000-0000-000067410000}"/>
    <cellStyle name="Input 16 4 2 3 2 4" xfId="16953" xr:uid="{00000000-0005-0000-0000-000068410000}"/>
    <cellStyle name="Input 16 4 2 3 2 4 2" xfId="16954" xr:uid="{00000000-0005-0000-0000-000069410000}"/>
    <cellStyle name="Input 16 4 2 3 2 5" xfId="16955" xr:uid="{00000000-0005-0000-0000-00006A410000}"/>
    <cellStyle name="Input 16 4 2 3 2 6" xfId="16956" xr:uid="{00000000-0005-0000-0000-00006B410000}"/>
    <cellStyle name="Input 16 4 2 3 2 7" xfId="16957" xr:uid="{00000000-0005-0000-0000-00006C410000}"/>
    <cellStyle name="Input 16 4 2 3 3" xfId="16958" xr:uid="{00000000-0005-0000-0000-00006D410000}"/>
    <cellStyle name="Input 16 4 2 3 3 2" xfId="16959" xr:uid="{00000000-0005-0000-0000-00006E410000}"/>
    <cellStyle name="Input 16 4 2 3 3 2 2" xfId="16960" xr:uid="{00000000-0005-0000-0000-00006F410000}"/>
    <cellStyle name="Input 16 4 2 3 3 3" xfId="16961" xr:uid="{00000000-0005-0000-0000-000070410000}"/>
    <cellStyle name="Input 16 4 2 3 3 3 2" xfId="16962" xr:uid="{00000000-0005-0000-0000-000071410000}"/>
    <cellStyle name="Input 16 4 2 3 3 4" xfId="16963" xr:uid="{00000000-0005-0000-0000-000072410000}"/>
    <cellStyle name="Input 16 4 2 3 3 5" xfId="16964" xr:uid="{00000000-0005-0000-0000-000073410000}"/>
    <cellStyle name="Input 16 4 2 3 3 6" xfId="16965" xr:uid="{00000000-0005-0000-0000-000074410000}"/>
    <cellStyle name="Input 16 4 2 3 4" xfId="16966" xr:uid="{00000000-0005-0000-0000-000075410000}"/>
    <cellStyle name="Input 16 4 2 3 4 2" xfId="16967" xr:uid="{00000000-0005-0000-0000-000076410000}"/>
    <cellStyle name="Input 16 4 2 3 5" xfId="16968" xr:uid="{00000000-0005-0000-0000-000077410000}"/>
    <cellStyle name="Input 16 4 2 3 5 2" xfId="16969" xr:uid="{00000000-0005-0000-0000-000078410000}"/>
    <cellStyle name="Input 16 4 2 3 6" xfId="16970" xr:uid="{00000000-0005-0000-0000-000079410000}"/>
    <cellStyle name="Input 16 4 2 3 7" xfId="16971" xr:uid="{00000000-0005-0000-0000-00007A410000}"/>
    <cellStyle name="Input 16 4 2 3 8" xfId="16972" xr:uid="{00000000-0005-0000-0000-00007B410000}"/>
    <cellStyle name="Input 16 4 2 4" xfId="16973" xr:uid="{00000000-0005-0000-0000-00007C410000}"/>
    <cellStyle name="Input 16 4 2 4 2" xfId="16974" xr:uid="{00000000-0005-0000-0000-00007D410000}"/>
    <cellStyle name="Input 16 4 2 4 2 2" xfId="16975" xr:uid="{00000000-0005-0000-0000-00007E410000}"/>
    <cellStyle name="Input 16 4 2 4 2 2 2" xfId="16976" xr:uid="{00000000-0005-0000-0000-00007F410000}"/>
    <cellStyle name="Input 16 4 2 4 2 3" xfId="16977" xr:uid="{00000000-0005-0000-0000-000080410000}"/>
    <cellStyle name="Input 16 4 2 4 2 3 2" xfId="16978" xr:uid="{00000000-0005-0000-0000-000081410000}"/>
    <cellStyle name="Input 16 4 2 4 2 4" xfId="16979" xr:uid="{00000000-0005-0000-0000-000082410000}"/>
    <cellStyle name="Input 16 4 2 4 2 5" xfId="16980" xr:uid="{00000000-0005-0000-0000-000083410000}"/>
    <cellStyle name="Input 16 4 2 4 2 6" xfId="16981" xr:uid="{00000000-0005-0000-0000-000084410000}"/>
    <cellStyle name="Input 16 4 2 4 3" xfId="16982" xr:uid="{00000000-0005-0000-0000-000085410000}"/>
    <cellStyle name="Input 16 4 2 4 3 2" xfId="16983" xr:uid="{00000000-0005-0000-0000-000086410000}"/>
    <cellStyle name="Input 16 4 2 4 4" xfId="16984" xr:uid="{00000000-0005-0000-0000-000087410000}"/>
    <cellStyle name="Input 16 4 2 4 4 2" xfId="16985" xr:uid="{00000000-0005-0000-0000-000088410000}"/>
    <cellStyle name="Input 16 4 2 4 5" xfId="16986" xr:uid="{00000000-0005-0000-0000-000089410000}"/>
    <cellStyle name="Input 16 4 2 4 6" xfId="16987" xr:uid="{00000000-0005-0000-0000-00008A410000}"/>
    <cellStyle name="Input 16 4 2 4 7" xfId="16988" xr:uid="{00000000-0005-0000-0000-00008B410000}"/>
    <cellStyle name="Input 16 4 2 5" xfId="16989" xr:uid="{00000000-0005-0000-0000-00008C410000}"/>
    <cellStyle name="Input 16 4 2 5 2" xfId="16990" xr:uid="{00000000-0005-0000-0000-00008D410000}"/>
    <cellStyle name="Input 16 4 2 5 2 2" xfId="16991" xr:uid="{00000000-0005-0000-0000-00008E410000}"/>
    <cellStyle name="Input 16 4 2 5 3" xfId="16992" xr:uid="{00000000-0005-0000-0000-00008F410000}"/>
    <cellStyle name="Input 16 4 2 5 3 2" xfId="16993" xr:uid="{00000000-0005-0000-0000-000090410000}"/>
    <cellStyle name="Input 16 4 2 5 4" xfId="16994" xr:uid="{00000000-0005-0000-0000-000091410000}"/>
    <cellStyle name="Input 16 4 2 5 5" xfId="16995" xr:uid="{00000000-0005-0000-0000-000092410000}"/>
    <cellStyle name="Input 16 4 2 5 6" xfId="16996" xr:uid="{00000000-0005-0000-0000-000093410000}"/>
    <cellStyle name="Input 16 4 2 6" xfId="16997" xr:uid="{00000000-0005-0000-0000-000094410000}"/>
    <cellStyle name="Input 16 4 2 6 2" xfId="16998" xr:uid="{00000000-0005-0000-0000-000095410000}"/>
    <cellStyle name="Input 16 4 2 7" xfId="16999" xr:uid="{00000000-0005-0000-0000-000096410000}"/>
    <cellStyle name="Input 16 4 2 7 2" xfId="17000" xr:uid="{00000000-0005-0000-0000-000097410000}"/>
    <cellStyle name="Input 16 4 2 8" xfId="17001" xr:uid="{00000000-0005-0000-0000-000098410000}"/>
    <cellStyle name="Input 16 4 2 9" xfId="17002" xr:uid="{00000000-0005-0000-0000-000099410000}"/>
    <cellStyle name="Input 16 4 3" xfId="17003" xr:uid="{00000000-0005-0000-0000-00009A410000}"/>
    <cellStyle name="Input 16 4 3 2" xfId="17004" xr:uid="{00000000-0005-0000-0000-00009B410000}"/>
    <cellStyle name="Input 16 4 3 2 2" xfId="17005" xr:uid="{00000000-0005-0000-0000-00009C410000}"/>
    <cellStyle name="Input 16 4 3 2 2 2" xfId="17006" xr:uid="{00000000-0005-0000-0000-00009D410000}"/>
    <cellStyle name="Input 16 4 3 2 2 2 2" xfId="17007" xr:uid="{00000000-0005-0000-0000-00009E410000}"/>
    <cellStyle name="Input 16 4 3 2 2 3" xfId="17008" xr:uid="{00000000-0005-0000-0000-00009F410000}"/>
    <cellStyle name="Input 16 4 3 2 2 3 2" xfId="17009" xr:uid="{00000000-0005-0000-0000-0000A0410000}"/>
    <cellStyle name="Input 16 4 3 2 2 4" xfId="17010" xr:uid="{00000000-0005-0000-0000-0000A1410000}"/>
    <cellStyle name="Input 16 4 3 2 2 5" xfId="17011" xr:uid="{00000000-0005-0000-0000-0000A2410000}"/>
    <cellStyle name="Input 16 4 3 2 2 6" xfId="17012" xr:uid="{00000000-0005-0000-0000-0000A3410000}"/>
    <cellStyle name="Input 16 4 3 2 3" xfId="17013" xr:uid="{00000000-0005-0000-0000-0000A4410000}"/>
    <cellStyle name="Input 16 4 3 2 3 2" xfId="17014" xr:uid="{00000000-0005-0000-0000-0000A5410000}"/>
    <cellStyle name="Input 16 4 3 2 4" xfId="17015" xr:uid="{00000000-0005-0000-0000-0000A6410000}"/>
    <cellStyle name="Input 16 4 3 2 4 2" xfId="17016" xr:uid="{00000000-0005-0000-0000-0000A7410000}"/>
    <cellStyle name="Input 16 4 3 2 5" xfId="17017" xr:uid="{00000000-0005-0000-0000-0000A8410000}"/>
    <cellStyle name="Input 16 4 3 2 6" xfId="17018" xr:uid="{00000000-0005-0000-0000-0000A9410000}"/>
    <cellStyle name="Input 16 4 3 2 7" xfId="17019" xr:uid="{00000000-0005-0000-0000-0000AA410000}"/>
    <cellStyle name="Input 16 4 3 3" xfId="17020" xr:uid="{00000000-0005-0000-0000-0000AB410000}"/>
    <cellStyle name="Input 16 4 3 3 2" xfId="17021" xr:uid="{00000000-0005-0000-0000-0000AC410000}"/>
    <cellStyle name="Input 16 4 3 3 2 2" xfId="17022" xr:uid="{00000000-0005-0000-0000-0000AD410000}"/>
    <cellStyle name="Input 16 4 3 3 3" xfId="17023" xr:uid="{00000000-0005-0000-0000-0000AE410000}"/>
    <cellStyle name="Input 16 4 3 3 3 2" xfId="17024" xr:uid="{00000000-0005-0000-0000-0000AF410000}"/>
    <cellStyle name="Input 16 4 3 3 4" xfId="17025" xr:uid="{00000000-0005-0000-0000-0000B0410000}"/>
    <cellStyle name="Input 16 4 3 3 5" xfId="17026" xr:uid="{00000000-0005-0000-0000-0000B1410000}"/>
    <cellStyle name="Input 16 4 3 3 6" xfId="17027" xr:uid="{00000000-0005-0000-0000-0000B2410000}"/>
    <cellStyle name="Input 16 4 3 4" xfId="17028" xr:uid="{00000000-0005-0000-0000-0000B3410000}"/>
    <cellStyle name="Input 16 4 3 4 2" xfId="17029" xr:uid="{00000000-0005-0000-0000-0000B4410000}"/>
    <cellStyle name="Input 16 4 3 5" xfId="17030" xr:uid="{00000000-0005-0000-0000-0000B5410000}"/>
    <cellStyle name="Input 16 4 3 5 2" xfId="17031" xr:uid="{00000000-0005-0000-0000-0000B6410000}"/>
    <cellStyle name="Input 16 4 3 6" xfId="17032" xr:uid="{00000000-0005-0000-0000-0000B7410000}"/>
    <cellStyle name="Input 16 4 3 7" xfId="17033" xr:uid="{00000000-0005-0000-0000-0000B8410000}"/>
    <cellStyle name="Input 16 4 3 8" xfId="17034" xr:uid="{00000000-0005-0000-0000-0000B9410000}"/>
    <cellStyle name="Input 16 4 4" xfId="17035" xr:uid="{00000000-0005-0000-0000-0000BA410000}"/>
    <cellStyle name="Input 16 4 4 2" xfId="17036" xr:uid="{00000000-0005-0000-0000-0000BB410000}"/>
    <cellStyle name="Input 16 4 4 2 2" xfId="17037" xr:uid="{00000000-0005-0000-0000-0000BC410000}"/>
    <cellStyle name="Input 16 4 4 2 2 2" xfId="17038" xr:uid="{00000000-0005-0000-0000-0000BD410000}"/>
    <cellStyle name="Input 16 4 4 2 2 2 2" xfId="17039" xr:uid="{00000000-0005-0000-0000-0000BE410000}"/>
    <cellStyle name="Input 16 4 4 2 2 3" xfId="17040" xr:uid="{00000000-0005-0000-0000-0000BF410000}"/>
    <cellStyle name="Input 16 4 4 2 2 3 2" xfId="17041" xr:uid="{00000000-0005-0000-0000-0000C0410000}"/>
    <cellStyle name="Input 16 4 4 2 2 4" xfId="17042" xr:uid="{00000000-0005-0000-0000-0000C1410000}"/>
    <cellStyle name="Input 16 4 4 2 2 5" xfId="17043" xr:uid="{00000000-0005-0000-0000-0000C2410000}"/>
    <cellStyle name="Input 16 4 4 2 2 6" xfId="17044" xr:uid="{00000000-0005-0000-0000-0000C3410000}"/>
    <cellStyle name="Input 16 4 4 2 3" xfId="17045" xr:uid="{00000000-0005-0000-0000-0000C4410000}"/>
    <cellStyle name="Input 16 4 4 2 3 2" xfId="17046" xr:uid="{00000000-0005-0000-0000-0000C5410000}"/>
    <cellStyle name="Input 16 4 4 2 4" xfId="17047" xr:uid="{00000000-0005-0000-0000-0000C6410000}"/>
    <cellStyle name="Input 16 4 4 2 4 2" xfId="17048" xr:uid="{00000000-0005-0000-0000-0000C7410000}"/>
    <cellStyle name="Input 16 4 4 2 5" xfId="17049" xr:uid="{00000000-0005-0000-0000-0000C8410000}"/>
    <cellStyle name="Input 16 4 4 2 6" xfId="17050" xr:uid="{00000000-0005-0000-0000-0000C9410000}"/>
    <cellStyle name="Input 16 4 4 2 7" xfId="17051" xr:uid="{00000000-0005-0000-0000-0000CA410000}"/>
    <cellStyle name="Input 16 4 4 3" xfId="17052" xr:uid="{00000000-0005-0000-0000-0000CB410000}"/>
    <cellStyle name="Input 16 4 4 3 2" xfId="17053" xr:uid="{00000000-0005-0000-0000-0000CC410000}"/>
    <cellStyle name="Input 16 4 4 3 2 2" xfId="17054" xr:uid="{00000000-0005-0000-0000-0000CD410000}"/>
    <cellStyle name="Input 16 4 4 3 3" xfId="17055" xr:uid="{00000000-0005-0000-0000-0000CE410000}"/>
    <cellStyle name="Input 16 4 4 3 3 2" xfId="17056" xr:uid="{00000000-0005-0000-0000-0000CF410000}"/>
    <cellStyle name="Input 16 4 4 3 4" xfId="17057" xr:uid="{00000000-0005-0000-0000-0000D0410000}"/>
    <cellStyle name="Input 16 4 4 3 5" xfId="17058" xr:uid="{00000000-0005-0000-0000-0000D1410000}"/>
    <cellStyle name="Input 16 4 4 3 6" xfId="17059" xr:uid="{00000000-0005-0000-0000-0000D2410000}"/>
    <cellStyle name="Input 16 4 4 4" xfId="17060" xr:uid="{00000000-0005-0000-0000-0000D3410000}"/>
    <cellStyle name="Input 16 4 4 4 2" xfId="17061" xr:uid="{00000000-0005-0000-0000-0000D4410000}"/>
    <cellStyle name="Input 16 4 4 5" xfId="17062" xr:uid="{00000000-0005-0000-0000-0000D5410000}"/>
    <cellStyle name="Input 16 4 4 5 2" xfId="17063" xr:uid="{00000000-0005-0000-0000-0000D6410000}"/>
    <cellStyle name="Input 16 4 4 6" xfId="17064" xr:uid="{00000000-0005-0000-0000-0000D7410000}"/>
    <cellStyle name="Input 16 4 4 7" xfId="17065" xr:uid="{00000000-0005-0000-0000-0000D8410000}"/>
    <cellStyle name="Input 16 4 4 8" xfId="17066" xr:uid="{00000000-0005-0000-0000-0000D9410000}"/>
    <cellStyle name="Input 16 4 5" xfId="17067" xr:uid="{00000000-0005-0000-0000-0000DA410000}"/>
    <cellStyle name="Input 16 4 5 2" xfId="17068" xr:uid="{00000000-0005-0000-0000-0000DB410000}"/>
    <cellStyle name="Input 16 4 5 2 2" xfId="17069" xr:uid="{00000000-0005-0000-0000-0000DC410000}"/>
    <cellStyle name="Input 16 4 5 2 2 2" xfId="17070" xr:uid="{00000000-0005-0000-0000-0000DD410000}"/>
    <cellStyle name="Input 16 4 5 2 3" xfId="17071" xr:uid="{00000000-0005-0000-0000-0000DE410000}"/>
    <cellStyle name="Input 16 4 5 2 3 2" xfId="17072" xr:uid="{00000000-0005-0000-0000-0000DF410000}"/>
    <cellStyle name="Input 16 4 5 2 4" xfId="17073" xr:uid="{00000000-0005-0000-0000-0000E0410000}"/>
    <cellStyle name="Input 16 4 5 2 5" xfId="17074" xr:uid="{00000000-0005-0000-0000-0000E1410000}"/>
    <cellStyle name="Input 16 4 5 2 6" xfId="17075" xr:uid="{00000000-0005-0000-0000-0000E2410000}"/>
    <cellStyle name="Input 16 4 5 3" xfId="17076" xr:uid="{00000000-0005-0000-0000-0000E3410000}"/>
    <cellStyle name="Input 16 4 5 3 2" xfId="17077" xr:uid="{00000000-0005-0000-0000-0000E4410000}"/>
    <cellStyle name="Input 16 4 5 4" xfId="17078" xr:uid="{00000000-0005-0000-0000-0000E5410000}"/>
    <cellStyle name="Input 16 4 5 4 2" xfId="17079" xr:uid="{00000000-0005-0000-0000-0000E6410000}"/>
    <cellStyle name="Input 16 4 5 5" xfId="17080" xr:uid="{00000000-0005-0000-0000-0000E7410000}"/>
    <cellStyle name="Input 16 4 5 6" xfId="17081" xr:uid="{00000000-0005-0000-0000-0000E8410000}"/>
    <cellStyle name="Input 16 4 5 7" xfId="17082" xr:uid="{00000000-0005-0000-0000-0000E9410000}"/>
    <cellStyle name="Input 16 4 6" xfId="17083" xr:uid="{00000000-0005-0000-0000-0000EA410000}"/>
    <cellStyle name="Input 16 4 6 2" xfId="17084" xr:uid="{00000000-0005-0000-0000-0000EB410000}"/>
    <cellStyle name="Input 16 4 6 2 2" xfId="17085" xr:uid="{00000000-0005-0000-0000-0000EC410000}"/>
    <cellStyle name="Input 16 4 6 3" xfId="17086" xr:uid="{00000000-0005-0000-0000-0000ED410000}"/>
    <cellStyle name="Input 16 4 6 3 2" xfId="17087" xr:uid="{00000000-0005-0000-0000-0000EE410000}"/>
    <cellStyle name="Input 16 4 6 4" xfId="17088" xr:uid="{00000000-0005-0000-0000-0000EF410000}"/>
    <cellStyle name="Input 16 4 6 5" xfId="17089" xr:uid="{00000000-0005-0000-0000-0000F0410000}"/>
    <cellStyle name="Input 16 4 6 6" xfId="17090" xr:uid="{00000000-0005-0000-0000-0000F1410000}"/>
    <cellStyle name="Input 16 4 7" xfId="17091" xr:uid="{00000000-0005-0000-0000-0000F2410000}"/>
    <cellStyle name="Input 16 4 7 2" xfId="17092" xr:uid="{00000000-0005-0000-0000-0000F3410000}"/>
    <cellStyle name="Input 16 4 8" xfId="17093" xr:uid="{00000000-0005-0000-0000-0000F4410000}"/>
    <cellStyle name="Input 16 4 8 2" xfId="17094" xr:uid="{00000000-0005-0000-0000-0000F5410000}"/>
    <cellStyle name="Input 16 4 9" xfId="17095" xr:uid="{00000000-0005-0000-0000-0000F6410000}"/>
    <cellStyle name="Input 16 5" xfId="17096" xr:uid="{00000000-0005-0000-0000-0000F7410000}"/>
    <cellStyle name="Input 16 5 10" xfId="17097" xr:uid="{00000000-0005-0000-0000-0000F8410000}"/>
    <cellStyle name="Input 16 5 2" xfId="17098" xr:uid="{00000000-0005-0000-0000-0000F9410000}"/>
    <cellStyle name="Input 16 5 2 2" xfId="17099" xr:uid="{00000000-0005-0000-0000-0000FA410000}"/>
    <cellStyle name="Input 16 5 2 2 2" xfId="17100" xr:uid="{00000000-0005-0000-0000-0000FB410000}"/>
    <cellStyle name="Input 16 5 2 2 2 2" xfId="17101" xr:uid="{00000000-0005-0000-0000-0000FC410000}"/>
    <cellStyle name="Input 16 5 2 2 2 2 2" xfId="17102" xr:uid="{00000000-0005-0000-0000-0000FD410000}"/>
    <cellStyle name="Input 16 5 2 2 2 3" xfId="17103" xr:uid="{00000000-0005-0000-0000-0000FE410000}"/>
    <cellStyle name="Input 16 5 2 2 2 3 2" xfId="17104" xr:uid="{00000000-0005-0000-0000-0000FF410000}"/>
    <cellStyle name="Input 16 5 2 2 2 4" xfId="17105" xr:uid="{00000000-0005-0000-0000-000000420000}"/>
    <cellStyle name="Input 16 5 2 2 2 5" xfId="17106" xr:uid="{00000000-0005-0000-0000-000001420000}"/>
    <cellStyle name="Input 16 5 2 2 2 6" xfId="17107" xr:uid="{00000000-0005-0000-0000-000002420000}"/>
    <cellStyle name="Input 16 5 2 2 3" xfId="17108" xr:uid="{00000000-0005-0000-0000-000003420000}"/>
    <cellStyle name="Input 16 5 2 2 3 2" xfId="17109" xr:uid="{00000000-0005-0000-0000-000004420000}"/>
    <cellStyle name="Input 16 5 2 2 4" xfId="17110" xr:uid="{00000000-0005-0000-0000-000005420000}"/>
    <cellStyle name="Input 16 5 2 2 4 2" xfId="17111" xr:uid="{00000000-0005-0000-0000-000006420000}"/>
    <cellStyle name="Input 16 5 2 2 5" xfId="17112" xr:uid="{00000000-0005-0000-0000-000007420000}"/>
    <cellStyle name="Input 16 5 2 2 6" xfId="17113" xr:uid="{00000000-0005-0000-0000-000008420000}"/>
    <cellStyle name="Input 16 5 2 2 7" xfId="17114" xr:uid="{00000000-0005-0000-0000-000009420000}"/>
    <cellStyle name="Input 16 5 2 3" xfId="17115" xr:uid="{00000000-0005-0000-0000-00000A420000}"/>
    <cellStyle name="Input 16 5 2 3 2" xfId="17116" xr:uid="{00000000-0005-0000-0000-00000B420000}"/>
    <cellStyle name="Input 16 5 2 3 2 2" xfId="17117" xr:uid="{00000000-0005-0000-0000-00000C420000}"/>
    <cellStyle name="Input 16 5 2 3 3" xfId="17118" xr:uid="{00000000-0005-0000-0000-00000D420000}"/>
    <cellStyle name="Input 16 5 2 3 3 2" xfId="17119" xr:uid="{00000000-0005-0000-0000-00000E420000}"/>
    <cellStyle name="Input 16 5 2 3 4" xfId="17120" xr:uid="{00000000-0005-0000-0000-00000F420000}"/>
    <cellStyle name="Input 16 5 2 3 5" xfId="17121" xr:uid="{00000000-0005-0000-0000-000010420000}"/>
    <cellStyle name="Input 16 5 2 3 6" xfId="17122" xr:uid="{00000000-0005-0000-0000-000011420000}"/>
    <cellStyle name="Input 16 5 2 4" xfId="17123" xr:uid="{00000000-0005-0000-0000-000012420000}"/>
    <cellStyle name="Input 16 5 2 4 2" xfId="17124" xr:uid="{00000000-0005-0000-0000-000013420000}"/>
    <cellStyle name="Input 16 5 2 5" xfId="17125" xr:uid="{00000000-0005-0000-0000-000014420000}"/>
    <cellStyle name="Input 16 5 2 5 2" xfId="17126" xr:uid="{00000000-0005-0000-0000-000015420000}"/>
    <cellStyle name="Input 16 5 2 6" xfId="17127" xr:uid="{00000000-0005-0000-0000-000016420000}"/>
    <cellStyle name="Input 16 5 2 7" xfId="17128" xr:uid="{00000000-0005-0000-0000-000017420000}"/>
    <cellStyle name="Input 16 5 2 8" xfId="17129" xr:uid="{00000000-0005-0000-0000-000018420000}"/>
    <cellStyle name="Input 16 5 3" xfId="17130" xr:uid="{00000000-0005-0000-0000-000019420000}"/>
    <cellStyle name="Input 16 5 3 2" xfId="17131" xr:uid="{00000000-0005-0000-0000-00001A420000}"/>
    <cellStyle name="Input 16 5 3 2 2" xfId="17132" xr:uid="{00000000-0005-0000-0000-00001B420000}"/>
    <cellStyle name="Input 16 5 3 2 2 2" xfId="17133" xr:uid="{00000000-0005-0000-0000-00001C420000}"/>
    <cellStyle name="Input 16 5 3 2 2 2 2" xfId="17134" xr:uid="{00000000-0005-0000-0000-00001D420000}"/>
    <cellStyle name="Input 16 5 3 2 2 3" xfId="17135" xr:uid="{00000000-0005-0000-0000-00001E420000}"/>
    <cellStyle name="Input 16 5 3 2 2 3 2" xfId="17136" xr:uid="{00000000-0005-0000-0000-00001F420000}"/>
    <cellStyle name="Input 16 5 3 2 2 4" xfId="17137" xr:uid="{00000000-0005-0000-0000-000020420000}"/>
    <cellStyle name="Input 16 5 3 2 2 5" xfId="17138" xr:uid="{00000000-0005-0000-0000-000021420000}"/>
    <cellStyle name="Input 16 5 3 2 2 6" xfId="17139" xr:uid="{00000000-0005-0000-0000-000022420000}"/>
    <cellStyle name="Input 16 5 3 2 3" xfId="17140" xr:uid="{00000000-0005-0000-0000-000023420000}"/>
    <cellStyle name="Input 16 5 3 2 3 2" xfId="17141" xr:uid="{00000000-0005-0000-0000-000024420000}"/>
    <cellStyle name="Input 16 5 3 2 4" xfId="17142" xr:uid="{00000000-0005-0000-0000-000025420000}"/>
    <cellStyle name="Input 16 5 3 2 4 2" xfId="17143" xr:uid="{00000000-0005-0000-0000-000026420000}"/>
    <cellStyle name="Input 16 5 3 2 5" xfId="17144" xr:uid="{00000000-0005-0000-0000-000027420000}"/>
    <cellStyle name="Input 16 5 3 2 6" xfId="17145" xr:uid="{00000000-0005-0000-0000-000028420000}"/>
    <cellStyle name="Input 16 5 3 2 7" xfId="17146" xr:uid="{00000000-0005-0000-0000-000029420000}"/>
    <cellStyle name="Input 16 5 3 3" xfId="17147" xr:uid="{00000000-0005-0000-0000-00002A420000}"/>
    <cellStyle name="Input 16 5 3 3 2" xfId="17148" xr:uid="{00000000-0005-0000-0000-00002B420000}"/>
    <cellStyle name="Input 16 5 3 3 2 2" xfId="17149" xr:uid="{00000000-0005-0000-0000-00002C420000}"/>
    <cellStyle name="Input 16 5 3 3 3" xfId="17150" xr:uid="{00000000-0005-0000-0000-00002D420000}"/>
    <cellStyle name="Input 16 5 3 3 3 2" xfId="17151" xr:uid="{00000000-0005-0000-0000-00002E420000}"/>
    <cellStyle name="Input 16 5 3 3 4" xfId="17152" xr:uid="{00000000-0005-0000-0000-00002F420000}"/>
    <cellStyle name="Input 16 5 3 3 5" xfId="17153" xr:uid="{00000000-0005-0000-0000-000030420000}"/>
    <cellStyle name="Input 16 5 3 3 6" xfId="17154" xr:uid="{00000000-0005-0000-0000-000031420000}"/>
    <cellStyle name="Input 16 5 3 4" xfId="17155" xr:uid="{00000000-0005-0000-0000-000032420000}"/>
    <cellStyle name="Input 16 5 3 4 2" xfId="17156" xr:uid="{00000000-0005-0000-0000-000033420000}"/>
    <cellStyle name="Input 16 5 3 5" xfId="17157" xr:uid="{00000000-0005-0000-0000-000034420000}"/>
    <cellStyle name="Input 16 5 3 5 2" xfId="17158" xr:uid="{00000000-0005-0000-0000-000035420000}"/>
    <cellStyle name="Input 16 5 3 6" xfId="17159" xr:uid="{00000000-0005-0000-0000-000036420000}"/>
    <cellStyle name="Input 16 5 3 7" xfId="17160" xr:uid="{00000000-0005-0000-0000-000037420000}"/>
    <cellStyle name="Input 16 5 3 8" xfId="17161" xr:uid="{00000000-0005-0000-0000-000038420000}"/>
    <cellStyle name="Input 16 5 4" xfId="17162" xr:uid="{00000000-0005-0000-0000-000039420000}"/>
    <cellStyle name="Input 16 5 4 2" xfId="17163" xr:uid="{00000000-0005-0000-0000-00003A420000}"/>
    <cellStyle name="Input 16 5 4 2 2" xfId="17164" xr:uid="{00000000-0005-0000-0000-00003B420000}"/>
    <cellStyle name="Input 16 5 4 2 2 2" xfId="17165" xr:uid="{00000000-0005-0000-0000-00003C420000}"/>
    <cellStyle name="Input 16 5 4 2 3" xfId="17166" xr:uid="{00000000-0005-0000-0000-00003D420000}"/>
    <cellStyle name="Input 16 5 4 2 3 2" xfId="17167" xr:uid="{00000000-0005-0000-0000-00003E420000}"/>
    <cellStyle name="Input 16 5 4 2 4" xfId="17168" xr:uid="{00000000-0005-0000-0000-00003F420000}"/>
    <cellStyle name="Input 16 5 4 2 5" xfId="17169" xr:uid="{00000000-0005-0000-0000-000040420000}"/>
    <cellStyle name="Input 16 5 4 2 6" xfId="17170" xr:uid="{00000000-0005-0000-0000-000041420000}"/>
    <cellStyle name="Input 16 5 4 3" xfId="17171" xr:uid="{00000000-0005-0000-0000-000042420000}"/>
    <cellStyle name="Input 16 5 4 3 2" xfId="17172" xr:uid="{00000000-0005-0000-0000-000043420000}"/>
    <cellStyle name="Input 16 5 4 4" xfId="17173" xr:uid="{00000000-0005-0000-0000-000044420000}"/>
    <cellStyle name="Input 16 5 4 4 2" xfId="17174" xr:uid="{00000000-0005-0000-0000-000045420000}"/>
    <cellStyle name="Input 16 5 4 5" xfId="17175" xr:uid="{00000000-0005-0000-0000-000046420000}"/>
    <cellStyle name="Input 16 5 4 6" xfId="17176" xr:uid="{00000000-0005-0000-0000-000047420000}"/>
    <cellStyle name="Input 16 5 4 7" xfId="17177" xr:uid="{00000000-0005-0000-0000-000048420000}"/>
    <cellStyle name="Input 16 5 5" xfId="17178" xr:uid="{00000000-0005-0000-0000-000049420000}"/>
    <cellStyle name="Input 16 5 5 2" xfId="17179" xr:uid="{00000000-0005-0000-0000-00004A420000}"/>
    <cellStyle name="Input 16 5 5 2 2" xfId="17180" xr:uid="{00000000-0005-0000-0000-00004B420000}"/>
    <cellStyle name="Input 16 5 5 3" xfId="17181" xr:uid="{00000000-0005-0000-0000-00004C420000}"/>
    <cellStyle name="Input 16 5 5 3 2" xfId="17182" xr:uid="{00000000-0005-0000-0000-00004D420000}"/>
    <cellStyle name="Input 16 5 5 4" xfId="17183" xr:uid="{00000000-0005-0000-0000-00004E420000}"/>
    <cellStyle name="Input 16 5 5 5" xfId="17184" xr:uid="{00000000-0005-0000-0000-00004F420000}"/>
    <cellStyle name="Input 16 5 5 6" xfId="17185" xr:uid="{00000000-0005-0000-0000-000050420000}"/>
    <cellStyle name="Input 16 5 6" xfId="17186" xr:uid="{00000000-0005-0000-0000-000051420000}"/>
    <cellStyle name="Input 16 5 6 2" xfId="17187" xr:uid="{00000000-0005-0000-0000-000052420000}"/>
    <cellStyle name="Input 16 5 7" xfId="17188" xr:uid="{00000000-0005-0000-0000-000053420000}"/>
    <cellStyle name="Input 16 5 7 2" xfId="17189" xr:uid="{00000000-0005-0000-0000-000054420000}"/>
    <cellStyle name="Input 16 5 8" xfId="17190" xr:uid="{00000000-0005-0000-0000-000055420000}"/>
    <cellStyle name="Input 16 5 9" xfId="17191" xr:uid="{00000000-0005-0000-0000-000056420000}"/>
    <cellStyle name="Input 16 6" xfId="17192" xr:uid="{00000000-0005-0000-0000-000057420000}"/>
    <cellStyle name="Input 16 6 2" xfId="17193" xr:uid="{00000000-0005-0000-0000-000058420000}"/>
    <cellStyle name="Input 16 6 2 2" xfId="17194" xr:uid="{00000000-0005-0000-0000-000059420000}"/>
    <cellStyle name="Input 16 6 2 2 2" xfId="17195" xr:uid="{00000000-0005-0000-0000-00005A420000}"/>
    <cellStyle name="Input 16 6 2 2 2 2" xfId="17196" xr:uid="{00000000-0005-0000-0000-00005B420000}"/>
    <cellStyle name="Input 16 6 2 2 3" xfId="17197" xr:uid="{00000000-0005-0000-0000-00005C420000}"/>
    <cellStyle name="Input 16 6 2 2 3 2" xfId="17198" xr:uid="{00000000-0005-0000-0000-00005D420000}"/>
    <cellStyle name="Input 16 6 2 2 4" xfId="17199" xr:uid="{00000000-0005-0000-0000-00005E420000}"/>
    <cellStyle name="Input 16 6 2 2 5" xfId="17200" xr:uid="{00000000-0005-0000-0000-00005F420000}"/>
    <cellStyle name="Input 16 6 2 2 6" xfId="17201" xr:uid="{00000000-0005-0000-0000-000060420000}"/>
    <cellStyle name="Input 16 6 2 3" xfId="17202" xr:uid="{00000000-0005-0000-0000-000061420000}"/>
    <cellStyle name="Input 16 6 2 3 2" xfId="17203" xr:uid="{00000000-0005-0000-0000-000062420000}"/>
    <cellStyle name="Input 16 6 2 4" xfId="17204" xr:uid="{00000000-0005-0000-0000-000063420000}"/>
    <cellStyle name="Input 16 6 2 4 2" xfId="17205" xr:uid="{00000000-0005-0000-0000-000064420000}"/>
    <cellStyle name="Input 16 6 2 5" xfId="17206" xr:uid="{00000000-0005-0000-0000-000065420000}"/>
    <cellStyle name="Input 16 6 2 6" xfId="17207" xr:uid="{00000000-0005-0000-0000-000066420000}"/>
    <cellStyle name="Input 16 6 2 7" xfId="17208" xr:uid="{00000000-0005-0000-0000-000067420000}"/>
    <cellStyle name="Input 16 6 3" xfId="17209" xr:uid="{00000000-0005-0000-0000-000068420000}"/>
    <cellStyle name="Input 16 6 3 2" xfId="17210" xr:uid="{00000000-0005-0000-0000-000069420000}"/>
    <cellStyle name="Input 16 6 3 2 2" xfId="17211" xr:uid="{00000000-0005-0000-0000-00006A420000}"/>
    <cellStyle name="Input 16 6 3 3" xfId="17212" xr:uid="{00000000-0005-0000-0000-00006B420000}"/>
    <cellStyle name="Input 16 6 3 3 2" xfId="17213" xr:uid="{00000000-0005-0000-0000-00006C420000}"/>
    <cellStyle name="Input 16 6 3 4" xfId="17214" xr:uid="{00000000-0005-0000-0000-00006D420000}"/>
    <cellStyle name="Input 16 6 3 5" xfId="17215" xr:uid="{00000000-0005-0000-0000-00006E420000}"/>
    <cellStyle name="Input 16 6 3 6" xfId="17216" xr:uid="{00000000-0005-0000-0000-00006F420000}"/>
    <cellStyle name="Input 16 6 4" xfId="17217" xr:uid="{00000000-0005-0000-0000-000070420000}"/>
    <cellStyle name="Input 16 6 4 2" xfId="17218" xr:uid="{00000000-0005-0000-0000-000071420000}"/>
    <cellStyle name="Input 16 6 5" xfId="17219" xr:uid="{00000000-0005-0000-0000-000072420000}"/>
    <cellStyle name="Input 16 6 5 2" xfId="17220" xr:uid="{00000000-0005-0000-0000-000073420000}"/>
    <cellStyle name="Input 16 6 6" xfId="17221" xr:uid="{00000000-0005-0000-0000-000074420000}"/>
    <cellStyle name="Input 16 6 7" xfId="17222" xr:uid="{00000000-0005-0000-0000-000075420000}"/>
    <cellStyle name="Input 16 6 8" xfId="17223" xr:uid="{00000000-0005-0000-0000-000076420000}"/>
    <cellStyle name="Input 16 7" xfId="17224" xr:uid="{00000000-0005-0000-0000-000077420000}"/>
    <cellStyle name="Input 16 7 2" xfId="17225" xr:uid="{00000000-0005-0000-0000-000078420000}"/>
    <cellStyle name="Input 16 7 2 2" xfId="17226" xr:uid="{00000000-0005-0000-0000-000079420000}"/>
    <cellStyle name="Input 16 7 2 2 2" xfId="17227" xr:uid="{00000000-0005-0000-0000-00007A420000}"/>
    <cellStyle name="Input 16 7 2 3" xfId="17228" xr:uid="{00000000-0005-0000-0000-00007B420000}"/>
    <cellStyle name="Input 16 7 2 3 2" xfId="17229" xr:uid="{00000000-0005-0000-0000-00007C420000}"/>
    <cellStyle name="Input 16 7 2 4" xfId="17230" xr:uid="{00000000-0005-0000-0000-00007D420000}"/>
    <cellStyle name="Input 16 7 2 5" xfId="17231" xr:uid="{00000000-0005-0000-0000-00007E420000}"/>
    <cellStyle name="Input 16 7 2 6" xfId="17232" xr:uid="{00000000-0005-0000-0000-00007F420000}"/>
    <cellStyle name="Input 16 7 3" xfId="17233" xr:uid="{00000000-0005-0000-0000-000080420000}"/>
    <cellStyle name="Input 16 7 3 2" xfId="17234" xr:uid="{00000000-0005-0000-0000-000081420000}"/>
    <cellStyle name="Input 16 7 4" xfId="17235" xr:uid="{00000000-0005-0000-0000-000082420000}"/>
    <cellStyle name="Input 16 7 4 2" xfId="17236" xr:uid="{00000000-0005-0000-0000-000083420000}"/>
    <cellStyle name="Input 16 7 5" xfId="17237" xr:uid="{00000000-0005-0000-0000-000084420000}"/>
    <cellStyle name="Input 16 7 6" xfId="17238" xr:uid="{00000000-0005-0000-0000-000085420000}"/>
    <cellStyle name="Input 16 7 7" xfId="17239" xr:uid="{00000000-0005-0000-0000-000086420000}"/>
    <cellStyle name="Input 16 8" xfId="17240" xr:uid="{00000000-0005-0000-0000-000087420000}"/>
    <cellStyle name="Input 16 8 2" xfId="17241" xr:uid="{00000000-0005-0000-0000-000088420000}"/>
    <cellStyle name="Input 16 9" xfId="17242" xr:uid="{00000000-0005-0000-0000-000089420000}"/>
    <cellStyle name="Input 16 9 2" xfId="17243" xr:uid="{00000000-0005-0000-0000-00008A420000}"/>
    <cellStyle name="Input 17" xfId="17244" xr:uid="{00000000-0005-0000-0000-00008B420000}"/>
    <cellStyle name="Input 17 10" xfId="17245" xr:uid="{00000000-0005-0000-0000-00008C420000}"/>
    <cellStyle name="Input 17 11" xfId="17246" xr:uid="{00000000-0005-0000-0000-00008D420000}"/>
    <cellStyle name="Input 17 12" xfId="17247" xr:uid="{00000000-0005-0000-0000-00008E420000}"/>
    <cellStyle name="Input 17 2" xfId="17248" xr:uid="{00000000-0005-0000-0000-00008F420000}"/>
    <cellStyle name="Input 17 2 10" xfId="17249" xr:uid="{00000000-0005-0000-0000-000090420000}"/>
    <cellStyle name="Input 17 2 11" xfId="17250" xr:uid="{00000000-0005-0000-0000-000091420000}"/>
    <cellStyle name="Input 17 2 12" xfId="17251" xr:uid="{00000000-0005-0000-0000-000092420000}"/>
    <cellStyle name="Input 17 2 2" xfId="17252" xr:uid="{00000000-0005-0000-0000-000093420000}"/>
    <cellStyle name="Input 17 2 2 10" xfId="17253" xr:uid="{00000000-0005-0000-0000-000094420000}"/>
    <cellStyle name="Input 17 2 2 11" xfId="17254" xr:uid="{00000000-0005-0000-0000-000095420000}"/>
    <cellStyle name="Input 17 2 2 2" xfId="17255" xr:uid="{00000000-0005-0000-0000-000096420000}"/>
    <cellStyle name="Input 17 2 2 2 10" xfId="17256" xr:uid="{00000000-0005-0000-0000-000097420000}"/>
    <cellStyle name="Input 17 2 2 2 2" xfId="17257" xr:uid="{00000000-0005-0000-0000-000098420000}"/>
    <cellStyle name="Input 17 2 2 2 2 2" xfId="17258" xr:uid="{00000000-0005-0000-0000-000099420000}"/>
    <cellStyle name="Input 17 2 2 2 2 2 2" xfId="17259" xr:uid="{00000000-0005-0000-0000-00009A420000}"/>
    <cellStyle name="Input 17 2 2 2 2 2 2 2" xfId="17260" xr:uid="{00000000-0005-0000-0000-00009B420000}"/>
    <cellStyle name="Input 17 2 2 2 2 2 2 2 2" xfId="17261" xr:uid="{00000000-0005-0000-0000-00009C420000}"/>
    <cellStyle name="Input 17 2 2 2 2 2 2 3" xfId="17262" xr:uid="{00000000-0005-0000-0000-00009D420000}"/>
    <cellStyle name="Input 17 2 2 2 2 2 2 3 2" xfId="17263" xr:uid="{00000000-0005-0000-0000-00009E420000}"/>
    <cellStyle name="Input 17 2 2 2 2 2 2 4" xfId="17264" xr:uid="{00000000-0005-0000-0000-00009F420000}"/>
    <cellStyle name="Input 17 2 2 2 2 2 2 5" xfId="17265" xr:uid="{00000000-0005-0000-0000-0000A0420000}"/>
    <cellStyle name="Input 17 2 2 2 2 2 2 6" xfId="17266" xr:uid="{00000000-0005-0000-0000-0000A1420000}"/>
    <cellStyle name="Input 17 2 2 2 2 2 3" xfId="17267" xr:uid="{00000000-0005-0000-0000-0000A2420000}"/>
    <cellStyle name="Input 17 2 2 2 2 2 3 2" xfId="17268" xr:uid="{00000000-0005-0000-0000-0000A3420000}"/>
    <cellStyle name="Input 17 2 2 2 2 2 4" xfId="17269" xr:uid="{00000000-0005-0000-0000-0000A4420000}"/>
    <cellStyle name="Input 17 2 2 2 2 2 4 2" xfId="17270" xr:uid="{00000000-0005-0000-0000-0000A5420000}"/>
    <cellStyle name="Input 17 2 2 2 2 2 5" xfId="17271" xr:uid="{00000000-0005-0000-0000-0000A6420000}"/>
    <cellStyle name="Input 17 2 2 2 2 2 6" xfId="17272" xr:uid="{00000000-0005-0000-0000-0000A7420000}"/>
    <cellStyle name="Input 17 2 2 2 2 2 7" xfId="17273" xr:uid="{00000000-0005-0000-0000-0000A8420000}"/>
    <cellStyle name="Input 17 2 2 2 2 3" xfId="17274" xr:uid="{00000000-0005-0000-0000-0000A9420000}"/>
    <cellStyle name="Input 17 2 2 2 2 3 2" xfId="17275" xr:uid="{00000000-0005-0000-0000-0000AA420000}"/>
    <cellStyle name="Input 17 2 2 2 2 3 2 2" xfId="17276" xr:uid="{00000000-0005-0000-0000-0000AB420000}"/>
    <cellStyle name="Input 17 2 2 2 2 3 3" xfId="17277" xr:uid="{00000000-0005-0000-0000-0000AC420000}"/>
    <cellStyle name="Input 17 2 2 2 2 3 3 2" xfId="17278" xr:uid="{00000000-0005-0000-0000-0000AD420000}"/>
    <cellStyle name="Input 17 2 2 2 2 3 4" xfId="17279" xr:uid="{00000000-0005-0000-0000-0000AE420000}"/>
    <cellStyle name="Input 17 2 2 2 2 3 5" xfId="17280" xr:uid="{00000000-0005-0000-0000-0000AF420000}"/>
    <cellStyle name="Input 17 2 2 2 2 3 6" xfId="17281" xr:uid="{00000000-0005-0000-0000-0000B0420000}"/>
    <cellStyle name="Input 17 2 2 2 2 4" xfId="17282" xr:uid="{00000000-0005-0000-0000-0000B1420000}"/>
    <cellStyle name="Input 17 2 2 2 2 4 2" xfId="17283" xr:uid="{00000000-0005-0000-0000-0000B2420000}"/>
    <cellStyle name="Input 17 2 2 2 2 5" xfId="17284" xr:uid="{00000000-0005-0000-0000-0000B3420000}"/>
    <cellStyle name="Input 17 2 2 2 2 5 2" xfId="17285" xr:uid="{00000000-0005-0000-0000-0000B4420000}"/>
    <cellStyle name="Input 17 2 2 2 2 6" xfId="17286" xr:uid="{00000000-0005-0000-0000-0000B5420000}"/>
    <cellStyle name="Input 17 2 2 2 2 7" xfId="17287" xr:uid="{00000000-0005-0000-0000-0000B6420000}"/>
    <cellStyle name="Input 17 2 2 2 2 8" xfId="17288" xr:uid="{00000000-0005-0000-0000-0000B7420000}"/>
    <cellStyle name="Input 17 2 2 2 3" xfId="17289" xr:uid="{00000000-0005-0000-0000-0000B8420000}"/>
    <cellStyle name="Input 17 2 2 2 3 2" xfId="17290" xr:uid="{00000000-0005-0000-0000-0000B9420000}"/>
    <cellStyle name="Input 17 2 2 2 3 2 2" xfId="17291" xr:uid="{00000000-0005-0000-0000-0000BA420000}"/>
    <cellStyle name="Input 17 2 2 2 3 2 2 2" xfId="17292" xr:uid="{00000000-0005-0000-0000-0000BB420000}"/>
    <cellStyle name="Input 17 2 2 2 3 2 2 2 2" xfId="17293" xr:uid="{00000000-0005-0000-0000-0000BC420000}"/>
    <cellStyle name="Input 17 2 2 2 3 2 2 3" xfId="17294" xr:uid="{00000000-0005-0000-0000-0000BD420000}"/>
    <cellStyle name="Input 17 2 2 2 3 2 2 3 2" xfId="17295" xr:uid="{00000000-0005-0000-0000-0000BE420000}"/>
    <cellStyle name="Input 17 2 2 2 3 2 2 4" xfId="17296" xr:uid="{00000000-0005-0000-0000-0000BF420000}"/>
    <cellStyle name="Input 17 2 2 2 3 2 2 5" xfId="17297" xr:uid="{00000000-0005-0000-0000-0000C0420000}"/>
    <cellStyle name="Input 17 2 2 2 3 2 2 6" xfId="17298" xr:uid="{00000000-0005-0000-0000-0000C1420000}"/>
    <cellStyle name="Input 17 2 2 2 3 2 3" xfId="17299" xr:uid="{00000000-0005-0000-0000-0000C2420000}"/>
    <cellStyle name="Input 17 2 2 2 3 2 3 2" xfId="17300" xr:uid="{00000000-0005-0000-0000-0000C3420000}"/>
    <cellStyle name="Input 17 2 2 2 3 2 4" xfId="17301" xr:uid="{00000000-0005-0000-0000-0000C4420000}"/>
    <cellStyle name="Input 17 2 2 2 3 2 4 2" xfId="17302" xr:uid="{00000000-0005-0000-0000-0000C5420000}"/>
    <cellStyle name="Input 17 2 2 2 3 2 5" xfId="17303" xr:uid="{00000000-0005-0000-0000-0000C6420000}"/>
    <cellStyle name="Input 17 2 2 2 3 2 6" xfId="17304" xr:uid="{00000000-0005-0000-0000-0000C7420000}"/>
    <cellStyle name="Input 17 2 2 2 3 2 7" xfId="17305" xr:uid="{00000000-0005-0000-0000-0000C8420000}"/>
    <cellStyle name="Input 17 2 2 2 3 3" xfId="17306" xr:uid="{00000000-0005-0000-0000-0000C9420000}"/>
    <cellStyle name="Input 17 2 2 2 3 3 2" xfId="17307" xr:uid="{00000000-0005-0000-0000-0000CA420000}"/>
    <cellStyle name="Input 17 2 2 2 3 3 2 2" xfId="17308" xr:uid="{00000000-0005-0000-0000-0000CB420000}"/>
    <cellStyle name="Input 17 2 2 2 3 3 3" xfId="17309" xr:uid="{00000000-0005-0000-0000-0000CC420000}"/>
    <cellStyle name="Input 17 2 2 2 3 3 3 2" xfId="17310" xr:uid="{00000000-0005-0000-0000-0000CD420000}"/>
    <cellStyle name="Input 17 2 2 2 3 3 4" xfId="17311" xr:uid="{00000000-0005-0000-0000-0000CE420000}"/>
    <cellStyle name="Input 17 2 2 2 3 3 5" xfId="17312" xr:uid="{00000000-0005-0000-0000-0000CF420000}"/>
    <cellStyle name="Input 17 2 2 2 3 3 6" xfId="17313" xr:uid="{00000000-0005-0000-0000-0000D0420000}"/>
    <cellStyle name="Input 17 2 2 2 3 4" xfId="17314" xr:uid="{00000000-0005-0000-0000-0000D1420000}"/>
    <cellStyle name="Input 17 2 2 2 3 4 2" xfId="17315" xr:uid="{00000000-0005-0000-0000-0000D2420000}"/>
    <cellStyle name="Input 17 2 2 2 3 5" xfId="17316" xr:uid="{00000000-0005-0000-0000-0000D3420000}"/>
    <cellStyle name="Input 17 2 2 2 3 5 2" xfId="17317" xr:uid="{00000000-0005-0000-0000-0000D4420000}"/>
    <cellStyle name="Input 17 2 2 2 3 6" xfId="17318" xr:uid="{00000000-0005-0000-0000-0000D5420000}"/>
    <cellStyle name="Input 17 2 2 2 3 7" xfId="17319" xr:uid="{00000000-0005-0000-0000-0000D6420000}"/>
    <cellStyle name="Input 17 2 2 2 3 8" xfId="17320" xr:uid="{00000000-0005-0000-0000-0000D7420000}"/>
    <cellStyle name="Input 17 2 2 2 4" xfId="17321" xr:uid="{00000000-0005-0000-0000-0000D8420000}"/>
    <cellStyle name="Input 17 2 2 2 4 2" xfId="17322" xr:uid="{00000000-0005-0000-0000-0000D9420000}"/>
    <cellStyle name="Input 17 2 2 2 4 2 2" xfId="17323" xr:uid="{00000000-0005-0000-0000-0000DA420000}"/>
    <cellStyle name="Input 17 2 2 2 4 2 2 2" xfId="17324" xr:uid="{00000000-0005-0000-0000-0000DB420000}"/>
    <cellStyle name="Input 17 2 2 2 4 2 3" xfId="17325" xr:uid="{00000000-0005-0000-0000-0000DC420000}"/>
    <cellStyle name="Input 17 2 2 2 4 2 3 2" xfId="17326" xr:uid="{00000000-0005-0000-0000-0000DD420000}"/>
    <cellStyle name="Input 17 2 2 2 4 2 4" xfId="17327" xr:uid="{00000000-0005-0000-0000-0000DE420000}"/>
    <cellStyle name="Input 17 2 2 2 4 2 5" xfId="17328" xr:uid="{00000000-0005-0000-0000-0000DF420000}"/>
    <cellStyle name="Input 17 2 2 2 4 2 6" xfId="17329" xr:uid="{00000000-0005-0000-0000-0000E0420000}"/>
    <cellStyle name="Input 17 2 2 2 4 3" xfId="17330" xr:uid="{00000000-0005-0000-0000-0000E1420000}"/>
    <cellStyle name="Input 17 2 2 2 4 3 2" xfId="17331" xr:uid="{00000000-0005-0000-0000-0000E2420000}"/>
    <cellStyle name="Input 17 2 2 2 4 4" xfId="17332" xr:uid="{00000000-0005-0000-0000-0000E3420000}"/>
    <cellStyle name="Input 17 2 2 2 4 4 2" xfId="17333" xr:uid="{00000000-0005-0000-0000-0000E4420000}"/>
    <cellStyle name="Input 17 2 2 2 4 5" xfId="17334" xr:uid="{00000000-0005-0000-0000-0000E5420000}"/>
    <cellStyle name="Input 17 2 2 2 4 6" xfId="17335" xr:uid="{00000000-0005-0000-0000-0000E6420000}"/>
    <cellStyle name="Input 17 2 2 2 4 7" xfId="17336" xr:uid="{00000000-0005-0000-0000-0000E7420000}"/>
    <cellStyle name="Input 17 2 2 2 5" xfId="17337" xr:uid="{00000000-0005-0000-0000-0000E8420000}"/>
    <cellStyle name="Input 17 2 2 2 5 2" xfId="17338" xr:uid="{00000000-0005-0000-0000-0000E9420000}"/>
    <cellStyle name="Input 17 2 2 2 5 2 2" xfId="17339" xr:uid="{00000000-0005-0000-0000-0000EA420000}"/>
    <cellStyle name="Input 17 2 2 2 5 3" xfId="17340" xr:uid="{00000000-0005-0000-0000-0000EB420000}"/>
    <cellStyle name="Input 17 2 2 2 5 3 2" xfId="17341" xr:uid="{00000000-0005-0000-0000-0000EC420000}"/>
    <cellStyle name="Input 17 2 2 2 5 4" xfId="17342" xr:uid="{00000000-0005-0000-0000-0000ED420000}"/>
    <cellStyle name="Input 17 2 2 2 5 5" xfId="17343" xr:uid="{00000000-0005-0000-0000-0000EE420000}"/>
    <cellStyle name="Input 17 2 2 2 5 6" xfId="17344" xr:uid="{00000000-0005-0000-0000-0000EF420000}"/>
    <cellStyle name="Input 17 2 2 2 6" xfId="17345" xr:uid="{00000000-0005-0000-0000-0000F0420000}"/>
    <cellStyle name="Input 17 2 2 2 6 2" xfId="17346" xr:uid="{00000000-0005-0000-0000-0000F1420000}"/>
    <cellStyle name="Input 17 2 2 2 7" xfId="17347" xr:uid="{00000000-0005-0000-0000-0000F2420000}"/>
    <cellStyle name="Input 17 2 2 2 7 2" xfId="17348" xr:uid="{00000000-0005-0000-0000-0000F3420000}"/>
    <cellStyle name="Input 17 2 2 2 8" xfId="17349" xr:uid="{00000000-0005-0000-0000-0000F4420000}"/>
    <cellStyle name="Input 17 2 2 2 9" xfId="17350" xr:uid="{00000000-0005-0000-0000-0000F5420000}"/>
    <cellStyle name="Input 17 2 2 3" xfId="17351" xr:uid="{00000000-0005-0000-0000-0000F6420000}"/>
    <cellStyle name="Input 17 2 2 3 2" xfId="17352" xr:uid="{00000000-0005-0000-0000-0000F7420000}"/>
    <cellStyle name="Input 17 2 2 3 2 2" xfId="17353" xr:uid="{00000000-0005-0000-0000-0000F8420000}"/>
    <cellStyle name="Input 17 2 2 3 2 2 2" xfId="17354" xr:uid="{00000000-0005-0000-0000-0000F9420000}"/>
    <cellStyle name="Input 17 2 2 3 2 2 2 2" xfId="17355" xr:uid="{00000000-0005-0000-0000-0000FA420000}"/>
    <cellStyle name="Input 17 2 2 3 2 2 3" xfId="17356" xr:uid="{00000000-0005-0000-0000-0000FB420000}"/>
    <cellStyle name="Input 17 2 2 3 2 2 3 2" xfId="17357" xr:uid="{00000000-0005-0000-0000-0000FC420000}"/>
    <cellStyle name="Input 17 2 2 3 2 2 4" xfId="17358" xr:uid="{00000000-0005-0000-0000-0000FD420000}"/>
    <cellStyle name="Input 17 2 2 3 2 2 5" xfId="17359" xr:uid="{00000000-0005-0000-0000-0000FE420000}"/>
    <cellStyle name="Input 17 2 2 3 2 2 6" xfId="17360" xr:uid="{00000000-0005-0000-0000-0000FF420000}"/>
    <cellStyle name="Input 17 2 2 3 2 3" xfId="17361" xr:uid="{00000000-0005-0000-0000-000000430000}"/>
    <cellStyle name="Input 17 2 2 3 2 3 2" xfId="17362" xr:uid="{00000000-0005-0000-0000-000001430000}"/>
    <cellStyle name="Input 17 2 2 3 2 4" xfId="17363" xr:uid="{00000000-0005-0000-0000-000002430000}"/>
    <cellStyle name="Input 17 2 2 3 2 4 2" xfId="17364" xr:uid="{00000000-0005-0000-0000-000003430000}"/>
    <cellStyle name="Input 17 2 2 3 2 5" xfId="17365" xr:uid="{00000000-0005-0000-0000-000004430000}"/>
    <cellStyle name="Input 17 2 2 3 2 6" xfId="17366" xr:uid="{00000000-0005-0000-0000-000005430000}"/>
    <cellStyle name="Input 17 2 2 3 2 7" xfId="17367" xr:uid="{00000000-0005-0000-0000-000006430000}"/>
    <cellStyle name="Input 17 2 2 3 3" xfId="17368" xr:uid="{00000000-0005-0000-0000-000007430000}"/>
    <cellStyle name="Input 17 2 2 3 3 2" xfId="17369" xr:uid="{00000000-0005-0000-0000-000008430000}"/>
    <cellStyle name="Input 17 2 2 3 3 2 2" xfId="17370" xr:uid="{00000000-0005-0000-0000-000009430000}"/>
    <cellStyle name="Input 17 2 2 3 3 3" xfId="17371" xr:uid="{00000000-0005-0000-0000-00000A430000}"/>
    <cellStyle name="Input 17 2 2 3 3 3 2" xfId="17372" xr:uid="{00000000-0005-0000-0000-00000B430000}"/>
    <cellStyle name="Input 17 2 2 3 3 4" xfId="17373" xr:uid="{00000000-0005-0000-0000-00000C430000}"/>
    <cellStyle name="Input 17 2 2 3 3 5" xfId="17374" xr:uid="{00000000-0005-0000-0000-00000D430000}"/>
    <cellStyle name="Input 17 2 2 3 3 6" xfId="17375" xr:uid="{00000000-0005-0000-0000-00000E430000}"/>
    <cellStyle name="Input 17 2 2 3 4" xfId="17376" xr:uid="{00000000-0005-0000-0000-00000F430000}"/>
    <cellStyle name="Input 17 2 2 3 4 2" xfId="17377" xr:uid="{00000000-0005-0000-0000-000010430000}"/>
    <cellStyle name="Input 17 2 2 3 5" xfId="17378" xr:uid="{00000000-0005-0000-0000-000011430000}"/>
    <cellStyle name="Input 17 2 2 3 5 2" xfId="17379" xr:uid="{00000000-0005-0000-0000-000012430000}"/>
    <cellStyle name="Input 17 2 2 3 6" xfId="17380" xr:uid="{00000000-0005-0000-0000-000013430000}"/>
    <cellStyle name="Input 17 2 2 3 7" xfId="17381" xr:uid="{00000000-0005-0000-0000-000014430000}"/>
    <cellStyle name="Input 17 2 2 3 8" xfId="17382" xr:uid="{00000000-0005-0000-0000-000015430000}"/>
    <cellStyle name="Input 17 2 2 4" xfId="17383" xr:uid="{00000000-0005-0000-0000-000016430000}"/>
    <cellStyle name="Input 17 2 2 4 2" xfId="17384" xr:uid="{00000000-0005-0000-0000-000017430000}"/>
    <cellStyle name="Input 17 2 2 4 2 2" xfId="17385" xr:uid="{00000000-0005-0000-0000-000018430000}"/>
    <cellStyle name="Input 17 2 2 4 2 2 2" xfId="17386" xr:uid="{00000000-0005-0000-0000-000019430000}"/>
    <cellStyle name="Input 17 2 2 4 2 2 2 2" xfId="17387" xr:uid="{00000000-0005-0000-0000-00001A430000}"/>
    <cellStyle name="Input 17 2 2 4 2 2 3" xfId="17388" xr:uid="{00000000-0005-0000-0000-00001B430000}"/>
    <cellStyle name="Input 17 2 2 4 2 2 3 2" xfId="17389" xr:uid="{00000000-0005-0000-0000-00001C430000}"/>
    <cellStyle name="Input 17 2 2 4 2 2 4" xfId="17390" xr:uid="{00000000-0005-0000-0000-00001D430000}"/>
    <cellStyle name="Input 17 2 2 4 2 2 5" xfId="17391" xr:uid="{00000000-0005-0000-0000-00001E430000}"/>
    <cellStyle name="Input 17 2 2 4 2 2 6" xfId="17392" xr:uid="{00000000-0005-0000-0000-00001F430000}"/>
    <cellStyle name="Input 17 2 2 4 2 3" xfId="17393" xr:uid="{00000000-0005-0000-0000-000020430000}"/>
    <cellStyle name="Input 17 2 2 4 2 3 2" xfId="17394" xr:uid="{00000000-0005-0000-0000-000021430000}"/>
    <cellStyle name="Input 17 2 2 4 2 4" xfId="17395" xr:uid="{00000000-0005-0000-0000-000022430000}"/>
    <cellStyle name="Input 17 2 2 4 2 4 2" xfId="17396" xr:uid="{00000000-0005-0000-0000-000023430000}"/>
    <cellStyle name="Input 17 2 2 4 2 5" xfId="17397" xr:uid="{00000000-0005-0000-0000-000024430000}"/>
    <cellStyle name="Input 17 2 2 4 2 6" xfId="17398" xr:uid="{00000000-0005-0000-0000-000025430000}"/>
    <cellStyle name="Input 17 2 2 4 2 7" xfId="17399" xr:uid="{00000000-0005-0000-0000-000026430000}"/>
    <cellStyle name="Input 17 2 2 4 3" xfId="17400" xr:uid="{00000000-0005-0000-0000-000027430000}"/>
    <cellStyle name="Input 17 2 2 4 3 2" xfId="17401" xr:uid="{00000000-0005-0000-0000-000028430000}"/>
    <cellStyle name="Input 17 2 2 4 3 2 2" xfId="17402" xr:uid="{00000000-0005-0000-0000-000029430000}"/>
    <cellStyle name="Input 17 2 2 4 3 3" xfId="17403" xr:uid="{00000000-0005-0000-0000-00002A430000}"/>
    <cellStyle name="Input 17 2 2 4 3 3 2" xfId="17404" xr:uid="{00000000-0005-0000-0000-00002B430000}"/>
    <cellStyle name="Input 17 2 2 4 3 4" xfId="17405" xr:uid="{00000000-0005-0000-0000-00002C430000}"/>
    <cellStyle name="Input 17 2 2 4 3 5" xfId="17406" xr:uid="{00000000-0005-0000-0000-00002D430000}"/>
    <cellStyle name="Input 17 2 2 4 3 6" xfId="17407" xr:uid="{00000000-0005-0000-0000-00002E430000}"/>
    <cellStyle name="Input 17 2 2 4 4" xfId="17408" xr:uid="{00000000-0005-0000-0000-00002F430000}"/>
    <cellStyle name="Input 17 2 2 4 4 2" xfId="17409" xr:uid="{00000000-0005-0000-0000-000030430000}"/>
    <cellStyle name="Input 17 2 2 4 5" xfId="17410" xr:uid="{00000000-0005-0000-0000-000031430000}"/>
    <cellStyle name="Input 17 2 2 4 5 2" xfId="17411" xr:uid="{00000000-0005-0000-0000-000032430000}"/>
    <cellStyle name="Input 17 2 2 4 6" xfId="17412" xr:uid="{00000000-0005-0000-0000-000033430000}"/>
    <cellStyle name="Input 17 2 2 4 7" xfId="17413" xr:uid="{00000000-0005-0000-0000-000034430000}"/>
    <cellStyle name="Input 17 2 2 4 8" xfId="17414" xr:uid="{00000000-0005-0000-0000-000035430000}"/>
    <cellStyle name="Input 17 2 2 5" xfId="17415" xr:uid="{00000000-0005-0000-0000-000036430000}"/>
    <cellStyle name="Input 17 2 2 5 2" xfId="17416" xr:uid="{00000000-0005-0000-0000-000037430000}"/>
    <cellStyle name="Input 17 2 2 5 2 2" xfId="17417" xr:uid="{00000000-0005-0000-0000-000038430000}"/>
    <cellStyle name="Input 17 2 2 5 2 2 2" xfId="17418" xr:uid="{00000000-0005-0000-0000-000039430000}"/>
    <cellStyle name="Input 17 2 2 5 2 3" xfId="17419" xr:uid="{00000000-0005-0000-0000-00003A430000}"/>
    <cellStyle name="Input 17 2 2 5 2 3 2" xfId="17420" xr:uid="{00000000-0005-0000-0000-00003B430000}"/>
    <cellStyle name="Input 17 2 2 5 2 4" xfId="17421" xr:uid="{00000000-0005-0000-0000-00003C430000}"/>
    <cellStyle name="Input 17 2 2 5 2 5" xfId="17422" xr:uid="{00000000-0005-0000-0000-00003D430000}"/>
    <cellStyle name="Input 17 2 2 5 2 6" xfId="17423" xr:uid="{00000000-0005-0000-0000-00003E430000}"/>
    <cellStyle name="Input 17 2 2 5 3" xfId="17424" xr:uid="{00000000-0005-0000-0000-00003F430000}"/>
    <cellStyle name="Input 17 2 2 5 3 2" xfId="17425" xr:uid="{00000000-0005-0000-0000-000040430000}"/>
    <cellStyle name="Input 17 2 2 5 4" xfId="17426" xr:uid="{00000000-0005-0000-0000-000041430000}"/>
    <cellStyle name="Input 17 2 2 5 4 2" xfId="17427" xr:uid="{00000000-0005-0000-0000-000042430000}"/>
    <cellStyle name="Input 17 2 2 5 5" xfId="17428" xr:uid="{00000000-0005-0000-0000-000043430000}"/>
    <cellStyle name="Input 17 2 2 5 6" xfId="17429" xr:uid="{00000000-0005-0000-0000-000044430000}"/>
    <cellStyle name="Input 17 2 2 5 7" xfId="17430" xr:uid="{00000000-0005-0000-0000-000045430000}"/>
    <cellStyle name="Input 17 2 2 6" xfId="17431" xr:uid="{00000000-0005-0000-0000-000046430000}"/>
    <cellStyle name="Input 17 2 2 6 2" xfId="17432" xr:uid="{00000000-0005-0000-0000-000047430000}"/>
    <cellStyle name="Input 17 2 2 6 2 2" xfId="17433" xr:uid="{00000000-0005-0000-0000-000048430000}"/>
    <cellStyle name="Input 17 2 2 6 3" xfId="17434" xr:uid="{00000000-0005-0000-0000-000049430000}"/>
    <cellStyle name="Input 17 2 2 6 3 2" xfId="17435" xr:uid="{00000000-0005-0000-0000-00004A430000}"/>
    <cellStyle name="Input 17 2 2 6 4" xfId="17436" xr:uid="{00000000-0005-0000-0000-00004B430000}"/>
    <cellStyle name="Input 17 2 2 6 5" xfId="17437" xr:uid="{00000000-0005-0000-0000-00004C430000}"/>
    <cellStyle name="Input 17 2 2 6 6" xfId="17438" xr:uid="{00000000-0005-0000-0000-00004D430000}"/>
    <cellStyle name="Input 17 2 2 7" xfId="17439" xr:uid="{00000000-0005-0000-0000-00004E430000}"/>
    <cellStyle name="Input 17 2 2 7 2" xfId="17440" xr:uid="{00000000-0005-0000-0000-00004F430000}"/>
    <cellStyle name="Input 17 2 2 8" xfId="17441" xr:uid="{00000000-0005-0000-0000-000050430000}"/>
    <cellStyle name="Input 17 2 2 8 2" xfId="17442" xr:uid="{00000000-0005-0000-0000-000051430000}"/>
    <cellStyle name="Input 17 2 2 9" xfId="17443" xr:uid="{00000000-0005-0000-0000-000052430000}"/>
    <cellStyle name="Input 17 2 3" xfId="17444" xr:uid="{00000000-0005-0000-0000-000053430000}"/>
    <cellStyle name="Input 17 2 3 10" xfId="17445" xr:uid="{00000000-0005-0000-0000-000054430000}"/>
    <cellStyle name="Input 17 2 3 2" xfId="17446" xr:uid="{00000000-0005-0000-0000-000055430000}"/>
    <cellStyle name="Input 17 2 3 2 10" xfId="17447" xr:uid="{00000000-0005-0000-0000-000056430000}"/>
    <cellStyle name="Input 17 2 3 2 2" xfId="17448" xr:uid="{00000000-0005-0000-0000-000057430000}"/>
    <cellStyle name="Input 17 2 3 2 2 2" xfId="17449" xr:uid="{00000000-0005-0000-0000-000058430000}"/>
    <cellStyle name="Input 17 2 3 2 2 2 2" xfId="17450" xr:uid="{00000000-0005-0000-0000-000059430000}"/>
    <cellStyle name="Input 17 2 3 2 2 2 2 2" xfId="17451" xr:uid="{00000000-0005-0000-0000-00005A430000}"/>
    <cellStyle name="Input 17 2 3 2 2 2 2 2 2" xfId="17452" xr:uid="{00000000-0005-0000-0000-00005B430000}"/>
    <cellStyle name="Input 17 2 3 2 2 2 2 3" xfId="17453" xr:uid="{00000000-0005-0000-0000-00005C430000}"/>
    <cellStyle name="Input 17 2 3 2 2 2 2 3 2" xfId="17454" xr:uid="{00000000-0005-0000-0000-00005D430000}"/>
    <cellStyle name="Input 17 2 3 2 2 2 2 4" xfId="17455" xr:uid="{00000000-0005-0000-0000-00005E430000}"/>
    <cellStyle name="Input 17 2 3 2 2 2 2 5" xfId="17456" xr:uid="{00000000-0005-0000-0000-00005F430000}"/>
    <cellStyle name="Input 17 2 3 2 2 2 2 6" xfId="17457" xr:uid="{00000000-0005-0000-0000-000060430000}"/>
    <cellStyle name="Input 17 2 3 2 2 2 3" xfId="17458" xr:uid="{00000000-0005-0000-0000-000061430000}"/>
    <cellStyle name="Input 17 2 3 2 2 2 3 2" xfId="17459" xr:uid="{00000000-0005-0000-0000-000062430000}"/>
    <cellStyle name="Input 17 2 3 2 2 2 4" xfId="17460" xr:uid="{00000000-0005-0000-0000-000063430000}"/>
    <cellStyle name="Input 17 2 3 2 2 2 4 2" xfId="17461" xr:uid="{00000000-0005-0000-0000-000064430000}"/>
    <cellStyle name="Input 17 2 3 2 2 2 5" xfId="17462" xr:uid="{00000000-0005-0000-0000-000065430000}"/>
    <cellStyle name="Input 17 2 3 2 2 2 6" xfId="17463" xr:uid="{00000000-0005-0000-0000-000066430000}"/>
    <cellStyle name="Input 17 2 3 2 2 2 7" xfId="17464" xr:uid="{00000000-0005-0000-0000-000067430000}"/>
    <cellStyle name="Input 17 2 3 2 2 3" xfId="17465" xr:uid="{00000000-0005-0000-0000-000068430000}"/>
    <cellStyle name="Input 17 2 3 2 2 3 2" xfId="17466" xr:uid="{00000000-0005-0000-0000-000069430000}"/>
    <cellStyle name="Input 17 2 3 2 2 3 2 2" xfId="17467" xr:uid="{00000000-0005-0000-0000-00006A430000}"/>
    <cellStyle name="Input 17 2 3 2 2 3 3" xfId="17468" xr:uid="{00000000-0005-0000-0000-00006B430000}"/>
    <cellStyle name="Input 17 2 3 2 2 3 3 2" xfId="17469" xr:uid="{00000000-0005-0000-0000-00006C430000}"/>
    <cellStyle name="Input 17 2 3 2 2 3 4" xfId="17470" xr:uid="{00000000-0005-0000-0000-00006D430000}"/>
    <cellStyle name="Input 17 2 3 2 2 3 5" xfId="17471" xr:uid="{00000000-0005-0000-0000-00006E430000}"/>
    <cellStyle name="Input 17 2 3 2 2 3 6" xfId="17472" xr:uid="{00000000-0005-0000-0000-00006F430000}"/>
    <cellStyle name="Input 17 2 3 2 2 4" xfId="17473" xr:uid="{00000000-0005-0000-0000-000070430000}"/>
    <cellStyle name="Input 17 2 3 2 2 4 2" xfId="17474" xr:uid="{00000000-0005-0000-0000-000071430000}"/>
    <cellStyle name="Input 17 2 3 2 2 5" xfId="17475" xr:uid="{00000000-0005-0000-0000-000072430000}"/>
    <cellStyle name="Input 17 2 3 2 2 5 2" xfId="17476" xr:uid="{00000000-0005-0000-0000-000073430000}"/>
    <cellStyle name="Input 17 2 3 2 2 6" xfId="17477" xr:uid="{00000000-0005-0000-0000-000074430000}"/>
    <cellStyle name="Input 17 2 3 2 2 7" xfId="17478" xr:uid="{00000000-0005-0000-0000-000075430000}"/>
    <cellStyle name="Input 17 2 3 2 2 8" xfId="17479" xr:uid="{00000000-0005-0000-0000-000076430000}"/>
    <cellStyle name="Input 17 2 3 2 3" xfId="17480" xr:uid="{00000000-0005-0000-0000-000077430000}"/>
    <cellStyle name="Input 17 2 3 2 3 2" xfId="17481" xr:uid="{00000000-0005-0000-0000-000078430000}"/>
    <cellStyle name="Input 17 2 3 2 3 2 2" xfId="17482" xr:uid="{00000000-0005-0000-0000-000079430000}"/>
    <cellStyle name="Input 17 2 3 2 3 2 2 2" xfId="17483" xr:uid="{00000000-0005-0000-0000-00007A430000}"/>
    <cellStyle name="Input 17 2 3 2 3 2 2 2 2" xfId="17484" xr:uid="{00000000-0005-0000-0000-00007B430000}"/>
    <cellStyle name="Input 17 2 3 2 3 2 2 3" xfId="17485" xr:uid="{00000000-0005-0000-0000-00007C430000}"/>
    <cellStyle name="Input 17 2 3 2 3 2 2 3 2" xfId="17486" xr:uid="{00000000-0005-0000-0000-00007D430000}"/>
    <cellStyle name="Input 17 2 3 2 3 2 2 4" xfId="17487" xr:uid="{00000000-0005-0000-0000-00007E430000}"/>
    <cellStyle name="Input 17 2 3 2 3 2 2 5" xfId="17488" xr:uid="{00000000-0005-0000-0000-00007F430000}"/>
    <cellStyle name="Input 17 2 3 2 3 2 2 6" xfId="17489" xr:uid="{00000000-0005-0000-0000-000080430000}"/>
    <cellStyle name="Input 17 2 3 2 3 2 3" xfId="17490" xr:uid="{00000000-0005-0000-0000-000081430000}"/>
    <cellStyle name="Input 17 2 3 2 3 2 3 2" xfId="17491" xr:uid="{00000000-0005-0000-0000-000082430000}"/>
    <cellStyle name="Input 17 2 3 2 3 2 4" xfId="17492" xr:uid="{00000000-0005-0000-0000-000083430000}"/>
    <cellStyle name="Input 17 2 3 2 3 2 4 2" xfId="17493" xr:uid="{00000000-0005-0000-0000-000084430000}"/>
    <cellStyle name="Input 17 2 3 2 3 2 5" xfId="17494" xr:uid="{00000000-0005-0000-0000-000085430000}"/>
    <cellStyle name="Input 17 2 3 2 3 2 6" xfId="17495" xr:uid="{00000000-0005-0000-0000-000086430000}"/>
    <cellStyle name="Input 17 2 3 2 3 2 7" xfId="17496" xr:uid="{00000000-0005-0000-0000-000087430000}"/>
    <cellStyle name="Input 17 2 3 2 3 3" xfId="17497" xr:uid="{00000000-0005-0000-0000-000088430000}"/>
    <cellStyle name="Input 17 2 3 2 3 3 2" xfId="17498" xr:uid="{00000000-0005-0000-0000-000089430000}"/>
    <cellStyle name="Input 17 2 3 2 3 3 2 2" xfId="17499" xr:uid="{00000000-0005-0000-0000-00008A430000}"/>
    <cellStyle name="Input 17 2 3 2 3 3 3" xfId="17500" xr:uid="{00000000-0005-0000-0000-00008B430000}"/>
    <cellStyle name="Input 17 2 3 2 3 3 3 2" xfId="17501" xr:uid="{00000000-0005-0000-0000-00008C430000}"/>
    <cellStyle name="Input 17 2 3 2 3 3 4" xfId="17502" xr:uid="{00000000-0005-0000-0000-00008D430000}"/>
    <cellStyle name="Input 17 2 3 2 3 3 5" xfId="17503" xr:uid="{00000000-0005-0000-0000-00008E430000}"/>
    <cellStyle name="Input 17 2 3 2 3 3 6" xfId="17504" xr:uid="{00000000-0005-0000-0000-00008F430000}"/>
    <cellStyle name="Input 17 2 3 2 3 4" xfId="17505" xr:uid="{00000000-0005-0000-0000-000090430000}"/>
    <cellStyle name="Input 17 2 3 2 3 4 2" xfId="17506" xr:uid="{00000000-0005-0000-0000-000091430000}"/>
    <cellStyle name="Input 17 2 3 2 3 5" xfId="17507" xr:uid="{00000000-0005-0000-0000-000092430000}"/>
    <cellStyle name="Input 17 2 3 2 3 5 2" xfId="17508" xr:uid="{00000000-0005-0000-0000-000093430000}"/>
    <cellStyle name="Input 17 2 3 2 3 6" xfId="17509" xr:uid="{00000000-0005-0000-0000-000094430000}"/>
    <cellStyle name="Input 17 2 3 2 3 7" xfId="17510" xr:uid="{00000000-0005-0000-0000-000095430000}"/>
    <cellStyle name="Input 17 2 3 2 3 8" xfId="17511" xr:uid="{00000000-0005-0000-0000-000096430000}"/>
    <cellStyle name="Input 17 2 3 2 4" xfId="17512" xr:uid="{00000000-0005-0000-0000-000097430000}"/>
    <cellStyle name="Input 17 2 3 2 4 2" xfId="17513" xr:uid="{00000000-0005-0000-0000-000098430000}"/>
    <cellStyle name="Input 17 2 3 2 4 2 2" xfId="17514" xr:uid="{00000000-0005-0000-0000-000099430000}"/>
    <cellStyle name="Input 17 2 3 2 4 2 2 2" xfId="17515" xr:uid="{00000000-0005-0000-0000-00009A430000}"/>
    <cellStyle name="Input 17 2 3 2 4 2 3" xfId="17516" xr:uid="{00000000-0005-0000-0000-00009B430000}"/>
    <cellStyle name="Input 17 2 3 2 4 2 3 2" xfId="17517" xr:uid="{00000000-0005-0000-0000-00009C430000}"/>
    <cellStyle name="Input 17 2 3 2 4 2 4" xfId="17518" xr:uid="{00000000-0005-0000-0000-00009D430000}"/>
    <cellStyle name="Input 17 2 3 2 4 2 5" xfId="17519" xr:uid="{00000000-0005-0000-0000-00009E430000}"/>
    <cellStyle name="Input 17 2 3 2 4 2 6" xfId="17520" xr:uid="{00000000-0005-0000-0000-00009F430000}"/>
    <cellStyle name="Input 17 2 3 2 4 3" xfId="17521" xr:uid="{00000000-0005-0000-0000-0000A0430000}"/>
    <cellStyle name="Input 17 2 3 2 4 3 2" xfId="17522" xr:uid="{00000000-0005-0000-0000-0000A1430000}"/>
    <cellStyle name="Input 17 2 3 2 4 4" xfId="17523" xr:uid="{00000000-0005-0000-0000-0000A2430000}"/>
    <cellStyle name="Input 17 2 3 2 4 4 2" xfId="17524" xr:uid="{00000000-0005-0000-0000-0000A3430000}"/>
    <cellStyle name="Input 17 2 3 2 4 5" xfId="17525" xr:uid="{00000000-0005-0000-0000-0000A4430000}"/>
    <cellStyle name="Input 17 2 3 2 4 6" xfId="17526" xr:uid="{00000000-0005-0000-0000-0000A5430000}"/>
    <cellStyle name="Input 17 2 3 2 4 7" xfId="17527" xr:uid="{00000000-0005-0000-0000-0000A6430000}"/>
    <cellStyle name="Input 17 2 3 2 5" xfId="17528" xr:uid="{00000000-0005-0000-0000-0000A7430000}"/>
    <cellStyle name="Input 17 2 3 2 5 2" xfId="17529" xr:uid="{00000000-0005-0000-0000-0000A8430000}"/>
    <cellStyle name="Input 17 2 3 2 5 2 2" xfId="17530" xr:uid="{00000000-0005-0000-0000-0000A9430000}"/>
    <cellStyle name="Input 17 2 3 2 5 3" xfId="17531" xr:uid="{00000000-0005-0000-0000-0000AA430000}"/>
    <cellStyle name="Input 17 2 3 2 5 3 2" xfId="17532" xr:uid="{00000000-0005-0000-0000-0000AB430000}"/>
    <cellStyle name="Input 17 2 3 2 5 4" xfId="17533" xr:uid="{00000000-0005-0000-0000-0000AC430000}"/>
    <cellStyle name="Input 17 2 3 2 5 5" xfId="17534" xr:uid="{00000000-0005-0000-0000-0000AD430000}"/>
    <cellStyle name="Input 17 2 3 2 5 6" xfId="17535" xr:uid="{00000000-0005-0000-0000-0000AE430000}"/>
    <cellStyle name="Input 17 2 3 2 6" xfId="17536" xr:uid="{00000000-0005-0000-0000-0000AF430000}"/>
    <cellStyle name="Input 17 2 3 2 6 2" xfId="17537" xr:uid="{00000000-0005-0000-0000-0000B0430000}"/>
    <cellStyle name="Input 17 2 3 2 7" xfId="17538" xr:uid="{00000000-0005-0000-0000-0000B1430000}"/>
    <cellStyle name="Input 17 2 3 2 7 2" xfId="17539" xr:uid="{00000000-0005-0000-0000-0000B2430000}"/>
    <cellStyle name="Input 17 2 3 2 8" xfId="17540" xr:uid="{00000000-0005-0000-0000-0000B3430000}"/>
    <cellStyle name="Input 17 2 3 2 9" xfId="17541" xr:uid="{00000000-0005-0000-0000-0000B4430000}"/>
    <cellStyle name="Input 17 2 3 3" xfId="17542" xr:uid="{00000000-0005-0000-0000-0000B5430000}"/>
    <cellStyle name="Input 17 2 3 3 2" xfId="17543" xr:uid="{00000000-0005-0000-0000-0000B6430000}"/>
    <cellStyle name="Input 17 2 3 3 2 2" xfId="17544" xr:uid="{00000000-0005-0000-0000-0000B7430000}"/>
    <cellStyle name="Input 17 2 3 3 2 2 2" xfId="17545" xr:uid="{00000000-0005-0000-0000-0000B8430000}"/>
    <cellStyle name="Input 17 2 3 3 2 2 2 2" xfId="17546" xr:uid="{00000000-0005-0000-0000-0000B9430000}"/>
    <cellStyle name="Input 17 2 3 3 2 2 3" xfId="17547" xr:uid="{00000000-0005-0000-0000-0000BA430000}"/>
    <cellStyle name="Input 17 2 3 3 2 2 3 2" xfId="17548" xr:uid="{00000000-0005-0000-0000-0000BB430000}"/>
    <cellStyle name="Input 17 2 3 3 2 2 4" xfId="17549" xr:uid="{00000000-0005-0000-0000-0000BC430000}"/>
    <cellStyle name="Input 17 2 3 3 2 2 5" xfId="17550" xr:uid="{00000000-0005-0000-0000-0000BD430000}"/>
    <cellStyle name="Input 17 2 3 3 2 2 6" xfId="17551" xr:uid="{00000000-0005-0000-0000-0000BE430000}"/>
    <cellStyle name="Input 17 2 3 3 2 3" xfId="17552" xr:uid="{00000000-0005-0000-0000-0000BF430000}"/>
    <cellStyle name="Input 17 2 3 3 2 3 2" xfId="17553" xr:uid="{00000000-0005-0000-0000-0000C0430000}"/>
    <cellStyle name="Input 17 2 3 3 2 4" xfId="17554" xr:uid="{00000000-0005-0000-0000-0000C1430000}"/>
    <cellStyle name="Input 17 2 3 3 2 4 2" xfId="17555" xr:uid="{00000000-0005-0000-0000-0000C2430000}"/>
    <cellStyle name="Input 17 2 3 3 2 5" xfId="17556" xr:uid="{00000000-0005-0000-0000-0000C3430000}"/>
    <cellStyle name="Input 17 2 3 3 2 6" xfId="17557" xr:uid="{00000000-0005-0000-0000-0000C4430000}"/>
    <cellStyle name="Input 17 2 3 3 2 7" xfId="17558" xr:uid="{00000000-0005-0000-0000-0000C5430000}"/>
    <cellStyle name="Input 17 2 3 3 3" xfId="17559" xr:uid="{00000000-0005-0000-0000-0000C6430000}"/>
    <cellStyle name="Input 17 2 3 3 3 2" xfId="17560" xr:uid="{00000000-0005-0000-0000-0000C7430000}"/>
    <cellStyle name="Input 17 2 3 3 3 2 2" xfId="17561" xr:uid="{00000000-0005-0000-0000-0000C8430000}"/>
    <cellStyle name="Input 17 2 3 3 3 3" xfId="17562" xr:uid="{00000000-0005-0000-0000-0000C9430000}"/>
    <cellStyle name="Input 17 2 3 3 3 3 2" xfId="17563" xr:uid="{00000000-0005-0000-0000-0000CA430000}"/>
    <cellStyle name="Input 17 2 3 3 3 4" xfId="17564" xr:uid="{00000000-0005-0000-0000-0000CB430000}"/>
    <cellStyle name="Input 17 2 3 3 3 5" xfId="17565" xr:uid="{00000000-0005-0000-0000-0000CC430000}"/>
    <cellStyle name="Input 17 2 3 3 3 6" xfId="17566" xr:uid="{00000000-0005-0000-0000-0000CD430000}"/>
    <cellStyle name="Input 17 2 3 3 4" xfId="17567" xr:uid="{00000000-0005-0000-0000-0000CE430000}"/>
    <cellStyle name="Input 17 2 3 3 4 2" xfId="17568" xr:uid="{00000000-0005-0000-0000-0000CF430000}"/>
    <cellStyle name="Input 17 2 3 3 5" xfId="17569" xr:uid="{00000000-0005-0000-0000-0000D0430000}"/>
    <cellStyle name="Input 17 2 3 3 5 2" xfId="17570" xr:uid="{00000000-0005-0000-0000-0000D1430000}"/>
    <cellStyle name="Input 17 2 3 3 6" xfId="17571" xr:uid="{00000000-0005-0000-0000-0000D2430000}"/>
    <cellStyle name="Input 17 2 3 3 7" xfId="17572" xr:uid="{00000000-0005-0000-0000-0000D3430000}"/>
    <cellStyle name="Input 17 2 3 3 8" xfId="17573" xr:uid="{00000000-0005-0000-0000-0000D4430000}"/>
    <cellStyle name="Input 17 2 3 4" xfId="17574" xr:uid="{00000000-0005-0000-0000-0000D5430000}"/>
    <cellStyle name="Input 17 2 3 4 2" xfId="17575" xr:uid="{00000000-0005-0000-0000-0000D6430000}"/>
    <cellStyle name="Input 17 2 3 4 2 2" xfId="17576" xr:uid="{00000000-0005-0000-0000-0000D7430000}"/>
    <cellStyle name="Input 17 2 3 4 2 2 2" xfId="17577" xr:uid="{00000000-0005-0000-0000-0000D8430000}"/>
    <cellStyle name="Input 17 2 3 4 2 3" xfId="17578" xr:uid="{00000000-0005-0000-0000-0000D9430000}"/>
    <cellStyle name="Input 17 2 3 4 2 3 2" xfId="17579" xr:uid="{00000000-0005-0000-0000-0000DA430000}"/>
    <cellStyle name="Input 17 2 3 4 2 4" xfId="17580" xr:uid="{00000000-0005-0000-0000-0000DB430000}"/>
    <cellStyle name="Input 17 2 3 4 2 5" xfId="17581" xr:uid="{00000000-0005-0000-0000-0000DC430000}"/>
    <cellStyle name="Input 17 2 3 4 2 6" xfId="17582" xr:uid="{00000000-0005-0000-0000-0000DD430000}"/>
    <cellStyle name="Input 17 2 3 4 3" xfId="17583" xr:uid="{00000000-0005-0000-0000-0000DE430000}"/>
    <cellStyle name="Input 17 2 3 4 3 2" xfId="17584" xr:uid="{00000000-0005-0000-0000-0000DF430000}"/>
    <cellStyle name="Input 17 2 3 4 4" xfId="17585" xr:uid="{00000000-0005-0000-0000-0000E0430000}"/>
    <cellStyle name="Input 17 2 3 4 4 2" xfId="17586" xr:uid="{00000000-0005-0000-0000-0000E1430000}"/>
    <cellStyle name="Input 17 2 3 4 5" xfId="17587" xr:uid="{00000000-0005-0000-0000-0000E2430000}"/>
    <cellStyle name="Input 17 2 3 4 6" xfId="17588" xr:uid="{00000000-0005-0000-0000-0000E3430000}"/>
    <cellStyle name="Input 17 2 3 4 7" xfId="17589" xr:uid="{00000000-0005-0000-0000-0000E4430000}"/>
    <cellStyle name="Input 17 2 3 5" xfId="17590" xr:uid="{00000000-0005-0000-0000-0000E5430000}"/>
    <cellStyle name="Input 17 2 3 5 2" xfId="17591" xr:uid="{00000000-0005-0000-0000-0000E6430000}"/>
    <cellStyle name="Input 17 2 3 5 2 2" xfId="17592" xr:uid="{00000000-0005-0000-0000-0000E7430000}"/>
    <cellStyle name="Input 17 2 3 5 3" xfId="17593" xr:uid="{00000000-0005-0000-0000-0000E8430000}"/>
    <cellStyle name="Input 17 2 3 5 3 2" xfId="17594" xr:uid="{00000000-0005-0000-0000-0000E9430000}"/>
    <cellStyle name="Input 17 2 3 5 4" xfId="17595" xr:uid="{00000000-0005-0000-0000-0000EA430000}"/>
    <cellStyle name="Input 17 2 3 5 5" xfId="17596" xr:uid="{00000000-0005-0000-0000-0000EB430000}"/>
    <cellStyle name="Input 17 2 3 5 6" xfId="17597" xr:uid="{00000000-0005-0000-0000-0000EC430000}"/>
    <cellStyle name="Input 17 2 3 6" xfId="17598" xr:uid="{00000000-0005-0000-0000-0000ED430000}"/>
    <cellStyle name="Input 17 2 3 6 2" xfId="17599" xr:uid="{00000000-0005-0000-0000-0000EE430000}"/>
    <cellStyle name="Input 17 2 3 7" xfId="17600" xr:uid="{00000000-0005-0000-0000-0000EF430000}"/>
    <cellStyle name="Input 17 2 3 7 2" xfId="17601" xr:uid="{00000000-0005-0000-0000-0000F0430000}"/>
    <cellStyle name="Input 17 2 3 8" xfId="17602" xr:uid="{00000000-0005-0000-0000-0000F1430000}"/>
    <cellStyle name="Input 17 2 3 9" xfId="17603" xr:uid="{00000000-0005-0000-0000-0000F2430000}"/>
    <cellStyle name="Input 17 2 4" xfId="17604" xr:uid="{00000000-0005-0000-0000-0000F3430000}"/>
    <cellStyle name="Input 17 2 4 10" xfId="17605" xr:uid="{00000000-0005-0000-0000-0000F4430000}"/>
    <cellStyle name="Input 17 2 4 2" xfId="17606" xr:uid="{00000000-0005-0000-0000-0000F5430000}"/>
    <cellStyle name="Input 17 2 4 2 2" xfId="17607" xr:uid="{00000000-0005-0000-0000-0000F6430000}"/>
    <cellStyle name="Input 17 2 4 2 2 2" xfId="17608" xr:uid="{00000000-0005-0000-0000-0000F7430000}"/>
    <cellStyle name="Input 17 2 4 2 2 2 2" xfId="17609" xr:uid="{00000000-0005-0000-0000-0000F8430000}"/>
    <cellStyle name="Input 17 2 4 2 2 2 2 2" xfId="17610" xr:uid="{00000000-0005-0000-0000-0000F9430000}"/>
    <cellStyle name="Input 17 2 4 2 2 2 3" xfId="17611" xr:uid="{00000000-0005-0000-0000-0000FA430000}"/>
    <cellStyle name="Input 17 2 4 2 2 2 3 2" xfId="17612" xr:uid="{00000000-0005-0000-0000-0000FB430000}"/>
    <cellStyle name="Input 17 2 4 2 2 2 4" xfId="17613" xr:uid="{00000000-0005-0000-0000-0000FC430000}"/>
    <cellStyle name="Input 17 2 4 2 2 2 5" xfId="17614" xr:uid="{00000000-0005-0000-0000-0000FD430000}"/>
    <cellStyle name="Input 17 2 4 2 2 2 6" xfId="17615" xr:uid="{00000000-0005-0000-0000-0000FE430000}"/>
    <cellStyle name="Input 17 2 4 2 2 3" xfId="17616" xr:uid="{00000000-0005-0000-0000-0000FF430000}"/>
    <cellStyle name="Input 17 2 4 2 2 3 2" xfId="17617" xr:uid="{00000000-0005-0000-0000-000000440000}"/>
    <cellStyle name="Input 17 2 4 2 2 4" xfId="17618" xr:uid="{00000000-0005-0000-0000-000001440000}"/>
    <cellStyle name="Input 17 2 4 2 2 4 2" xfId="17619" xr:uid="{00000000-0005-0000-0000-000002440000}"/>
    <cellStyle name="Input 17 2 4 2 2 5" xfId="17620" xr:uid="{00000000-0005-0000-0000-000003440000}"/>
    <cellStyle name="Input 17 2 4 2 2 6" xfId="17621" xr:uid="{00000000-0005-0000-0000-000004440000}"/>
    <cellStyle name="Input 17 2 4 2 2 7" xfId="17622" xr:uid="{00000000-0005-0000-0000-000005440000}"/>
    <cellStyle name="Input 17 2 4 2 3" xfId="17623" xr:uid="{00000000-0005-0000-0000-000006440000}"/>
    <cellStyle name="Input 17 2 4 2 3 2" xfId="17624" xr:uid="{00000000-0005-0000-0000-000007440000}"/>
    <cellStyle name="Input 17 2 4 2 3 2 2" xfId="17625" xr:uid="{00000000-0005-0000-0000-000008440000}"/>
    <cellStyle name="Input 17 2 4 2 3 3" xfId="17626" xr:uid="{00000000-0005-0000-0000-000009440000}"/>
    <cellStyle name="Input 17 2 4 2 3 3 2" xfId="17627" xr:uid="{00000000-0005-0000-0000-00000A440000}"/>
    <cellStyle name="Input 17 2 4 2 3 4" xfId="17628" xr:uid="{00000000-0005-0000-0000-00000B440000}"/>
    <cellStyle name="Input 17 2 4 2 3 5" xfId="17629" xr:uid="{00000000-0005-0000-0000-00000C440000}"/>
    <cellStyle name="Input 17 2 4 2 3 6" xfId="17630" xr:uid="{00000000-0005-0000-0000-00000D440000}"/>
    <cellStyle name="Input 17 2 4 2 4" xfId="17631" xr:uid="{00000000-0005-0000-0000-00000E440000}"/>
    <cellStyle name="Input 17 2 4 2 4 2" xfId="17632" xr:uid="{00000000-0005-0000-0000-00000F440000}"/>
    <cellStyle name="Input 17 2 4 2 5" xfId="17633" xr:uid="{00000000-0005-0000-0000-000010440000}"/>
    <cellStyle name="Input 17 2 4 2 5 2" xfId="17634" xr:uid="{00000000-0005-0000-0000-000011440000}"/>
    <cellStyle name="Input 17 2 4 2 6" xfId="17635" xr:uid="{00000000-0005-0000-0000-000012440000}"/>
    <cellStyle name="Input 17 2 4 2 7" xfId="17636" xr:uid="{00000000-0005-0000-0000-000013440000}"/>
    <cellStyle name="Input 17 2 4 2 8" xfId="17637" xr:uid="{00000000-0005-0000-0000-000014440000}"/>
    <cellStyle name="Input 17 2 4 3" xfId="17638" xr:uid="{00000000-0005-0000-0000-000015440000}"/>
    <cellStyle name="Input 17 2 4 3 2" xfId="17639" xr:uid="{00000000-0005-0000-0000-000016440000}"/>
    <cellStyle name="Input 17 2 4 3 2 2" xfId="17640" xr:uid="{00000000-0005-0000-0000-000017440000}"/>
    <cellStyle name="Input 17 2 4 3 2 2 2" xfId="17641" xr:uid="{00000000-0005-0000-0000-000018440000}"/>
    <cellStyle name="Input 17 2 4 3 2 2 2 2" xfId="17642" xr:uid="{00000000-0005-0000-0000-000019440000}"/>
    <cellStyle name="Input 17 2 4 3 2 2 3" xfId="17643" xr:uid="{00000000-0005-0000-0000-00001A440000}"/>
    <cellStyle name="Input 17 2 4 3 2 2 3 2" xfId="17644" xr:uid="{00000000-0005-0000-0000-00001B440000}"/>
    <cellStyle name="Input 17 2 4 3 2 2 4" xfId="17645" xr:uid="{00000000-0005-0000-0000-00001C440000}"/>
    <cellStyle name="Input 17 2 4 3 2 2 5" xfId="17646" xr:uid="{00000000-0005-0000-0000-00001D440000}"/>
    <cellStyle name="Input 17 2 4 3 2 2 6" xfId="17647" xr:uid="{00000000-0005-0000-0000-00001E440000}"/>
    <cellStyle name="Input 17 2 4 3 2 3" xfId="17648" xr:uid="{00000000-0005-0000-0000-00001F440000}"/>
    <cellStyle name="Input 17 2 4 3 2 3 2" xfId="17649" xr:uid="{00000000-0005-0000-0000-000020440000}"/>
    <cellStyle name="Input 17 2 4 3 2 4" xfId="17650" xr:uid="{00000000-0005-0000-0000-000021440000}"/>
    <cellStyle name="Input 17 2 4 3 2 4 2" xfId="17651" xr:uid="{00000000-0005-0000-0000-000022440000}"/>
    <cellStyle name="Input 17 2 4 3 2 5" xfId="17652" xr:uid="{00000000-0005-0000-0000-000023440000}"/>
    <cellStyle name="Input 17 2 4 3 2 6" xfId="17653" xr:uid="{00000000-0005-0000-0000-000024440000}"/>
    <cellStyle name="Input 17 2 4 3 2 7" xfId="17654" xr:uid="{00000000-0005-0000-0000-000025440000}"/>
    <cellStyle name="Input 17 2 4 3 3" xfId="17655" xr:uid="{00000000-0005-0000-0000-000026440000}"/>
    <cellStyle name="Input 17 2 4 3 3 2" xfId="17656" xr:uid="{00000000-0005-0000-0000-000027440000}"/>
    <cellStyle name="Input 17 2 4 3 3 2 2" xfId="17657" xr:uid="{00000000-0005-0000-0000-000028440000}"/>
    <cellStyle name="Input 17 2 4 3 3 3" xfId="17658" xr:uid="{00000000-0005-0000-0000-000029440000}"/>
    <cellStyle name="Input 17 2 4 3 3 3 2" xfId="17659" xr:uid="{00000000-0005-0000-0000-00002A440000}"/>
    <cellStyle name="Input 17 2 4 3 3 4" xfId="17660" xr:uid="{00000000-0005-0000-0000-00002B440000}"/>
    <cellStyle name="Input 17 2 4 3 3 5" xfId="17661" xr:uid="{00000000-0005-0000-0000-00002C440000}"/>
    <cellStyle name="Input 17 2 4 3 3 6" xfId="17662" xr:uid="{00000000-0005-0000-0000-00002D440000}"/>
    <cellStyle name="Input 17 2 4 3 4" xfId="17663" xr:uid="{00000000-0005-0000-0000-00002E440000}"/>
    <cellStyle name="Input 17 2 4 3 4 2" xfId="17664" xr:uid="{00000000-0005-0000-0000-00002F440000}"/>
    <cellStyle name="Input 17 2 4 3 5" xfId="17665" xr:uid="{00000000-0005-0000-0000-000030440000}"/>
    <cellStyle name="Input 17 2 4 3 5 2" xfId="17666" xr:uid="{00000000-0005-0000-0000-000031440000}"/>
    <cellStyle name="Input 17 2 4 3 6" xfId="17667" xr:uid="{00000000-0005-0000-0000-000032440000}"/>
    <cellStyle name="Input 17 2 4 3 7" xfId="17668" xr:uid="{00000000-0005-0000-0000-000033440000}"/>
    <cellStyle name="Input 17 2 4 3 8" xfId="17669" xr:uid="{00000000-0005-0000-0000-000034440000}"/>
    <cellStyle name="Input 17 2 4 4" xfId="17670" xr:uid="{00000000-0005-0000-0000-000035440000}"/>
    <cellStyle name="Input 17 2 4 4 2" xfId="17671" xr:uid="{00000000-0005-0000-0000-000036440000}"/>
    <cellStyle name="Input 17 2 4 4 2 2" xfId="17672" xr:uid="{00000000-0005-0000-0000-000037440000}"/>
    <cellStyle name="Input 17 2 4 4 2 2 2" xfId="17673" xr:uid="{00000000-0005-0000-0000-000038440000}"/>
    <cellStyle name="Input 17 2 4 4 2 3" xfId="17674" xr:uid="{00000000-0005-0000-0000-000039440000}"/>
    <cellStyle name="Input 17 2 4 4 2 3 2" xfId="17675" xr:uid="{00000000-0005-0000-0000-00003A440000}"/>
    <cellStyle name="Input 17 2 4 4 2 4" xfId="17676" xr:uid="{00000000-0005-0000-0000-00003B440000}"/>
    <cellStyle name="Input 17 2 4 4 2 5" xfId="17677" xr:uid="{00000000-0005-0000-0000-00003C440000}"/>
    <cellStyle name="Input 17 2 4 4 2 6" xfId="17678" xr:uid="{00000000-0005-0000-0000-00003D440000}"/>
    <cellStyle name="Input 17 2 4 4 3" xfId="17679" xr:uid="{00000000-0005-0000-0000-00003E440000}"/>
    <cellStyle name="Input 17 2 4 4 3 2" xfId="17680" xr:uid="{00000000-0005-0000-0000-00003F440000}"/>
    <cellStyle name="Input 17 2 4 4 4" xfId="17681" xr:uid="{00000000-0005-0000-0000-000040440000}"/>
    <cellStyle name="Input 17 2 4 4 4 2" xfId="17682" xr:uid="{00000000-0005-0000-0000-000041440000}"/>
    <cellStyle name="Input 17 2 4 4 5" xfId="17683" xr:uid="{00000000-0005-0000-0000-000042440000}"/>
    <cellStyle name="Input 17 2 4 4 6" xfId="17684" xr:uid="{00000000-0005-0000-0000-000043440000}"/>
    <cellStyle name="Input 17 2 4 4 7" xfId="17685" xr:uid="{00000000-0005-0000-0000-000044440000}"/>
    <cellStyle name="Input 17 2 4 5" xfId="17686" xr:uid="{00000000-0005-0000-0000-000045440000}"/>
    <cellStyle name="Input 17 2 4 5 2" xfId="17687" xr:uid="{00000000-0005-0000-0000-000046440000}"/>
    <cellStyle name="Input 17 2 4 5 2 2" xfId="17688" xr:uid="{00000000-0005-0000-0000-000047440000}"/>
    <cellStyle name="Input 17 2 4 5 3" xfId="17689" xr:uid="{00000000-0005-0000-0000-000048440000}"/>
    <cellStyle name="Input 17 2 4 5 3 2" xfId="17690" xr:uid="{00000000-0005-0000-0000-000049440000}"/>
    <cellStyle name="Input 17 2 4 5 4" xfId="17691" xr:uid="{00000000-0005-0000-0000-00004A440000}"/>
    <cellStyle name="Input 17 2 4 5 5" xfId="17692" xr:uid="{00000000-0005-0000-0000-00004B440000}"/>
    <cellStyle name="Input 17 2 4 5 6" xfId="17693" xr:uid="{00000000-0005-0000-0000-00004C440000}"/>
    <cellStyle name="Input 17 2 4 6" xfId="17694" xr:uid="{00000000-0005-0000-0000-00004D440000}"/>
    <cellStyle name="Input 17 2 4 6 2" xfId="17695" xr:uid="{00000000-0005-0000-0000-00004E440000}"/>
    <cellStyle name="Input 17 2 4 7" xfId="17696" xr:uid="{00000000-0005-0000-0000-00004F440000}"/>
    <cellStyle name="Input 17 2 4 7 2" xfId="17697" xr:uid="{00000000-0005-0000-0000-000050440000}"/>
    <cellStyle name="Input 17 2 4 8" xfId="17698" xr:uid="{00000000-0005-0000-0000-000051440000}"/>
    <cellStyle name="Input 17 2 4 9" xfId="17699" xr:uid="{00000000-0005-0000-0000-000052440000}"/>
    <cellStyle name="Input 17 2 5" xfId="17700" xr:uid="{00000000-0005-0000-0000-000053440000}"/>
    <cellStyle name="Input 17 2 5 2" xfId="17701" xr:uid="{00000000-0005-0000-0000-000054440000}"/>
    <cellStyle name="Input 17 2 5 2 2" xfId="17702" xr:uid="{00000000-0005-0000-0000-000055440000}"/>
    <cellStyle name="Input 17 2 5 2 2 2" xfId="17703" xr:uid="{00000000-0005-0000-0000-000056440000}"/>
    <cellStyle name="Input 17 2 5 2 2 2 2" xfId="17704" xr:uid="{00000000-0005-0000-0000-000057440000}"/>
    <cellStyle name="Input 17 2 5 2 2 3" xfId="17705" xr:uid="{00000000-0005-0000-0000-000058440000}"/>
    <cellStyle name="Input 17 2 5 2 2 3 2" xfId="17706" xr:uid="{00000000-0005-0000-0000-000059440000}"/>
    <cellStyle name="Input 17 2 5 2 2 4" xfId="17707" xr:uid="{00000000-0005-0000-0000-00005A440000}"/>
    <cellStyle name="Input 17 2 5 2 2 5" xfId="17708" xr:uid="{00000000-0005-0000-0000-00005B440000}"/>
    <cellStyle name="Input 17 2 5 2 2 6" xfId="17709" xr:uid="{00000000-0005-0000-0000-00005C440000}"/>
    <cellStyle name="Input 17 2 5 2 3" xfId="17710" xr:uid="{00000000-0005-0000-0000-00005D440000}"/>
    <cellStyle name="Input 17 2 5 2 3 2" xfId="17711" xr:uid="{00000000-0005-0000-0000-00005E440000}"/>
    <cellStyle name="Input 17 2 5 2 4" xfId="17712" xr:uid="{00000000-0005-0000-0000-00005F440000}"/>
    <cellStyle name="Input 17 2 5 2 4 2" xfId="17713" xr:uid="{00000000-0005-0000-0000-000060440000}"/>
    <cellStyle name="Input 17 2 5 2 5" xfId="17714" xr:uid="{00000000-0005-0000-0000-000061440000}"/>
    <cellStyle name="Input 17 2 5 2 6" xfId="17715" xr:uid="{00000000-0005-0000-0000-000062440000}"/>
    <cellStyle name="Input 17 2 5 2 7" xfId="17716" xr:uid="{00000000-0005-0000-0000-000063440000}"/>
    <cellStyle name="Input 17 2 5 3" xfId="17717" xr:uid="{00000000-0005-0000-0000-000064440000}"/>
    <cellStyle name="Input 17 2 5 3 2" xfId="17718" xr:uid="{00000000-0005-0000-0000-000065440000}"/>
    <cellStyle name="Input 17 2 5 3 2 2" xfId="17719" xr:uid="{00000000-0005-0000-0000-000066440000}"/>
    <cellStyle name="Input 17 2 5 3 3" xfId="17720" xr:uid="{00000000-0005-0000-0000-000067440000}"/>
    <cellStyle name="Input 17 2 5 3 3 2" xfId="17721" xr:uid="{00000000-0005-0000-0000-000068440000}"/>
    <cellStyle name="Input 17 2 5 3 4" xfId="17722" xr:uid="{00000000-0005-0000-0000-000069440000}"/>
    <cellStyle name="Input 17 2 5 3 5" xfId="17723" xr:uid="{00000000-0005-0000-0000-00006A440000}"/>
    <cellStyle name="Input 17 2 5 3 6" xfId="17724" xr:uid="{00000000-0005-0000-0000-00006B440000}"/>
    <cellStyle name="Input 17 2 5 4" xfId="17725" xr:uid="{00000000-0005-0000-0000-00006C440000}"/>
    <cellStyle name="Input 17 2 5 4 2" xfId="17726" xr:uid="{00000000-0005-0000-0000-00006D440000}"/>
    <cellStyle name="Input 17 2 5 5" xfId="17727" xr:uid="{00000000-0005-0000-0000-00006E440000}"/>
    <cellStyle name="Input 17 2 5 5 2" xfId="17728" xr:uid="{00000000-0005-0000-0000-00006F440000}"/>
    <cellStyle name="Input 17 2 5 6" xfId="17729" xr:uid="{00000000-0005-0000-0000-000070440000}"/>
    <cellStyle name="Input 17 2 5 7" xfId="17730" xr:uid="{00000000-0005-0000-0000-000071440000}"/>
    <cellStyle name="Input 17 2 5 8" xfId="17731" xr:uid="{00000000-0005-0000-0000-000072440000}"/>
    <cellStyle name="Input 17 2 6" xfId="17732" xr:uid="{00000000-0005-0000-0000-000073440000}"/>
    <cellStyle name="Input 17 2 6 2" xfId="17733" xr:uid="{00000000-0005-0000-0000-000074440000}"/>
    <cellStyle name="Input 17 2 6 2 2" xfId="17734" xr:uid="{00000000-0005-0000-0000-000075440000}"/>
    <cellStyle name="Input 17 2 6 2 2 2" xfId="17735" xr:uid="{00000000-0005-0000-0000-000076440000}"/>
    <cellStyle name="Input 17 2 6 2 3" xfId="17736" xr:uid="{00000000-0005-0000-0000-000077440000}"/>
    <cellStyle name="Input 17 2 6 2 3 2" xfId="17737" xr:uid="{00000000-0005-0000-0000-000078440000}"/>
    <cellStyle name="Input 17 2 6 2 4" xfId="17738" xr:uid="{00000000-0005-0000-0000-000079440000}"/>
    <cellStyle name="Input 17 2 6 2 5" xfId="17739" xr:uid="{00000000-0005-0000-0000-00007A440000}"/>
    <cellStyle name="Input 17 2 6 2 6" xfId="17740" xr:uid="{00000000-0005-0000-0000-00007B440000}"/>
    <cellStyle name="Input 17 2 6 3" xfId="17741" xr:uid="{00000000-0005-0000-0000-00007C440000}"/>
    <cellStyle name="Input 17 2 6 3 2" xfId="17742" xr:uid="{00000000-0005-0000-0000-00007D440000}"/>
    <cellStyle name="Input 17 2 6 4" xfId="17743" xr:uid="{00000000-0005-0000-0000-00007E440000}"/>
    <cellStyle name="Input 17 2 6 4 2" xfId="17744" xr:uid="{00000000-0005-0000-0000-00007F440000}"/>
    <cellStyle name="Input 17 2 6 5" xfId="17745" xr:uid="{00000000-0005-0000-0000-000080440000}"/>
    <cellStyle name="Input 17 2 6 6" xfId="17746" xr:uid="{00000000-0005-0000-0000-000081440000}"/>
    <cellStyle name="Input 17 2 6 7" xfId="17747" xr:uid="{00000000-0005-0000-0000-000082440000}"/>
    <cellStyle name="Input 17 2 7" xfId="17748" xr:uid="{00000000-0005-0000-0000-000083440000}"/>
    <cellStyle name="Input 17 2 7 2" xfId="17749" xr:uid="{00000000-0005-0000-0000-000084440000}"/>
    <cellStyle name="Input 17 2 7 2 2" xfId="17750" xr:uid="{00000000-0005-0000-0000-000085440000}"/>
    <cellStyle name="Input 17 2 7 3" xfId="17751" xr:uid="{00000000-0005-0000-0000-000086440000}"/>
    <cellStyle name="Input 17 2 7 3 2" xfId="17752" xr:uid="{00000000-0005-0000-0000-000087440000}"/>
    <cellStyle name="Input 17 2 7 4" xfId="17753" xr:uid="{00000000-0005-0000-0000-000088440000}"/>
    <cellStyle name="Input 17 2 7 5" xfId="17754" xr:uid="{00000000-0005-0000-0000-000089440000}"/>
    <cellStyle name="Input 17 2 7 6" xfId="17755" xr:uid="{00000000-0005-0000-0000-00008A440000}"/>
    <cellStyle name="Input 17 2 8" xfId="17756" xr:uid="{00000000-0005-0000-0000-00008B440000}"/>
    <cellStyle name="Input 17 2 8 2" xfId="17757" xr:uid="{00000000-0005-0000-0000-00008C440000}"/>
    <cellStyle name="Input 17 2 9" xfId="17758" xr:uid="{00000000-0005-0000-0000-00008D440000}"/>
    <cellStyle name="Input 17 2 9 2" xfId="17759" xr:uid="{00000000-0005-0000-0000-00008E440000}"/>
    <cellStyle name="Input 17 3" xfId="17760" xr:uid="{00000000-0005-0000-0000-00008F440000}"/>
    <cellStyle name="Input 17 3 10" xfId="17761" xr:uid="{00000000-0005-0000-0000-000090440000}"/>
    <cellStyle name="Input 17 3 11" xfId="17762" xr:uid="{00000000-0005-0000-0000-000091440000}"/>
    <cellStyle name="Input 17 3 2" xfId="17763" xr:uid="{00000000-0005-0000-0000-000092440000}"/>
    <cellStyle name="Input 17 3 2 10" xfId="17764" xr:uid="{00000000-0005-0000-0000-000093440000}"/>
    <cellStyle name="Input 17 3 2 2" xfId="17765" xr:uid="{00000000-0005-0000-0000-000094440000}"/>
    <cellStyle name="Input 17 3 2 2 10" xfId="17766" xr:uid="{00000000-0005-0000-0000-000095440000}"/>
    <cellStyle name="Input 17 3 2 2 2" xfId="17767" xr:uid="{00000000-0005-0000-0000-000096440000}"/>
    <cellStyle name="Input 17 3 2 2 2 2" xfId="17768" xr:uid="{00000000-0005-0000-0000-000097440000}"/>
    <cellStyle name="Input 17 3 2 2 2 2 2" xfId="17769" xr:uid="{00000000-0005-0000-0000-000098440000}"/>
    <cellStyle name="Input 17 3 2 2 2 2 2 2" xfId="17770" xr:uid="{00000000-0005-0000-0000-000099440000}"/>
    <cellStyle name="Input 17 3 2 2 2 2 2 2 2" xfId="17771" xr:uid="{00000000-0005-0000-0000-00009A440000}"/>
    <cellStyle name="Input 17 3 2 2 2 2 2 3" xfId="17772" xr:uid="{00000000-0005-0000-0000-00009B440000}"/>
    <cellStyle name="Input 17 3 2 2 2 2 2 3 2" xfId="17773" xr:uid="{00000000-0005-0000-0000-00009C440000}"/>
    <cellStyle name="Input 17 3 2 2 2 2 2 4" xfId="17774" xr:uid="{00000000-0005-0000-0000-00009D440000}"/>
    <cellStyle name="Input 17 3 2 2 2 2 2 5" xfId="17775" xr:uid="{00000000-0005-0000-0000-00009E440000}"/>
    <cellStyle name="Input 17 3 2 2 2 2 2 6" xfId="17776" xr:uid="{00000000-0005-0000-0000-00009F440000}"/>
    <cellStyle name="Input 17 3 2 2 2 2 3" xfId="17777" xr:uid="{00000000-0005-0000-0000-0000A0440000}"/>
    <cellStyle name="Input 17 3 2 2 2 2 3 2" xfId="17778" xr:uid="{00000000-0005-0000-0000-0000A1440000}"/>
    <cellStyle name="Input 17 3 2 2 2 2 4" xfId="17779" xr:uid="{00000000-0005-0000-0000-0000A2440000}"/>
    <cellStyle name="Input 17 3 2 2 2 2 4 2" xfId="17780" xr:uid="{00000000-0005-0000-0000-0000A3440000}"/>
    <cellStyle name="Input 17 3 2 2 2 2 5" xfId="17781" xr:uid="{00000000-0005-0000-0000-0000A4440000}"/>
    <cellStyle name="Input 17 3 2 2 2 2 6" xfId="17782" xr:uid="{00000000-0005-0000-0000-0000A5440000}"/>
    <cellStyle name="Input 17 3 2 2 2 2 7" xfId="17783" xr:uid="{00000000-0005-0000-0000-0000A6440000}"/>
    <cellStyle name="Input 17 3 2 2 2 3" xfId="17784" xr:uid="{00000000-0005-0000-0000-0000A7440000}"/>
    <cellStyle name="Input 17 3 2 2 2 3 2" xfId="17785" xr:uid="{00000000-0005-0000-0000-0000A8440000}"/>
    <cellStyle name="Input 17 3 2 2 2 3 2 2" xfId="17786" xr:uid="{00000000-0005-0000-0000-0000A9440000}"/>
    <cellStyle name="Input 17 3 2 2 2 3 3" xfId="17787" xr:uid="{00000000-0005-0000-0000-0000AA440000}"/>
    <cellStyle name="Input 17 3 2 2 2 3 3 2" xfId="17788" xr:uid="{00000000-0005-0000-0000-0000AB440000}"/>
    <cellStyle name="Input 17 3 2 2 2 3 4" xfId="17789" xr:uid="{00000000-0005-0000-0000-0000AC440000}"/>
    <cellStyle name="Input 17 3 2 2 2 3 5" xfId="17790" xr:uid="{00000000-0005-0000-0000-0000AD440000}"/>
    <cellStyle name="Input 17 3 2 2 2 3 6" xfId="17791" xr:uid="{00000000-0005-0000-0000-0000AE440000}"/>
    <cellStyle name="Input 17 3 2 2 2 4" xfId="17792" xr:uid="{00000000-0005-0000-0000-0000AF440000}"/>
    <cellStyle name="Input 17 3 2 2 2 4 2" xfId="17793" xr:uid="{00000000-0005-0000-0000-0000B0440000}"/>
    <cellStyle name="Input 17 3 2 2 2 5" xfId="17794" xr:uid="{00000000-0005-0000-0000-0000B1440000}"/>
    <cellStyle name="Input 17 3 2 2 2 5 2" xfId="17795" xr:uid="{00000000-0005-0000-0000-0000B2440000}"/>
    <cellStyle name="Input 17 3 2 2 2 6" xfId="17796" xr:uid="{00000000-0005-0000-0000-0000B3440000}"/>
    <cellStyle name="Input 17 3 2 2 2 7" xfId="17797" xr:uid="{00000000-0005-0000-0000-0000B4440000}"/>
    <cellStyle name="Input 17 3 2 2 2 8" xfId="17798" xr:uid="{00000000-0005-0000-0000-0000B5440000}"/>
    <cellStyle name="Input 17 3 2 2 3" xfId="17799" xr:uid="{00000000-0005-0000-0000-0000B6440000}"/>
    <cellStyle name="Input 17 3 2 2 3 2" xfId="17800" xr:uid="{00000000-0005-0000-0000-0000B7440000}"/>
    <cellStyle name="Input 17 3 2 2 3 2 2" xfId="17801" xr:uid="{00000000-0005-0000-0000-0000B8440000}"/>
    <cellStyle name="Input 17 3 2 2 3 2 2 2" xfId="17802" xr:uid="{00000000-0005-0000-0000-0000B9440000}"/>
    <cellStyle name="Input 17 3 2 2 3 2 2 2 2" xfId="17803" xr:uid="{00000000-0005-0000-0000-0000BA440000}"/>
    <cellStyle name="Input 17 3 2 2 3 2 2 3" xfId="17804" xr:uid="{00000000-0005-0000-0000-0000BB440000}"/>
    <cellStyle name="Input 17 3 2 2 3 2 2 3 2" xfId="17805" xr:uid="{00000000-0005-0000-0000-0000BC440000}"/>
    <cellStyle name="Input 17 3 2 2 3 2 2 4" xfId="17806" xr:uid="{00000000-0005-0000-0000-0000BD440000}"/>
    <cellStyle name="Input 17 3 2 2 3 2 2 5" xfId="17807" xr:uid="{00000000-0005-0000-0000-0000BE440000}"/>
    <cellStyle name="Input 17 3 2 2 3 2 2 6" xfId="17808" xr:uid="{00000000-0005-0000-0000-0000BF440000}"/>
    <cellStyle name="Input 17 3 2 2 3 2 3" xfId="17809" xr:uid="{00000000-0005-0000-0000-0000C0440000}"/>
    <cellStyle name="Input 17 3 2 2 3 2 3 2" xfId="17810" xr:uid="{00000000-0005-0000-0000-0000C1440000}"/>
    <cellStyle name="Input 17 3 2 2 3 2 4" xfId="17811" xr:uid="{00000000-0005-0000-0000-0000C2440000}"/>
    <cellStyle name="Input 17 3 2 2 3 2 4 2" xfId="17812" xr:uid="{00000000-0005-0000-0000-0000C3440000}"/>
    <cellStyle name="Input 17 3 2 2 3 2 5" xfId="17813" xr:uid="{00000000-0005-0000-0000-0000C4440000}"/>
    <cellStyle name="Input 17 3 2 2 3 2 6" xfId="17814" xr:uid="{00000000-0005-0000-0000-0000C5440000}"/>
    <cellStyle name="Input 17 3 2 2 3 2 7" xfId="17815" xr:uid="{00000000-0005-0000-0000-0000C6440000}"/>
    <cellStyle name="Input 17 3 2 2 3 3" xfId="17816" xr:uid="{00000000-0005-0000-0000-0000C7440000}"/>
    <cellStyle name="Input 17 3 2 2 3 3 2" xfId="17817" xr:uid="{00000000-0005-0000-0000-0000C8440000}"/>
    <cellStyle name="Input 17 3 2 2 3 3 2 2" xfId="17818" xr:uid="{00000000-0005-0000-0000-0000C9440000}"/>
    <cellStyle name="Input 17 3 2 2 3 3 3" xfId="17819" xr:uid="{00000000-0005-0000-0000-0000CA440000}"/>
    <cellStyle name="Input 17 3 2 2 3 3 3 2" xfId="17820" xr:uid="{00000000-0005-0000-0000-0000CB440000}"/>
    <cellStyle name="Input 17 3 2 2 3 3 4" xfId="17821" xr:uid="{00000000-0005-0000-0000-0000CC440000}"/>
    <cellStyle name="Input 17 3 2 2 3 3 5" xfId="17822" xr:uid="{00000000-0005-0000-0000-0000CD440000}"/>
    <cellStyle name="Input 17 3 2 2 3 3 6" xfId="17823" xr:uid="{00000000-0005-0000-0000-0000CE440000}"/>
    <cellStyle name="Input 17 3 2 2 3 4" xfId="17824" xr:uid="{00000000-0005-0000-0000-0000CF440000}"/>
    <cellStyle name="Input 17 3 2 2 3 4 2" xfId="17825" xr:uid="{00000000-0005-0000-0000-0000D0440000}"/>
    <cellStyle name="Input 17 3 2 2 3 5" xfId="17826" xr:uid="{00000000-0005-0000-0000-0000D1440000}"/>
    <cellStyle name="Input 17 3 2 2 3 5 2" xfId="17827" xr:uid="{00000000-0005-0000-0000-0000D2440000}"/>
    <cellStyle name="Input 17 3 2 2 3 6" xfId="17828" xr:uid="{00000000-0005-0000-0000-0000D3440000}"/>
    <cellStyle name="Input 17 3 2 2 3 7" xfId="17829" xr:uid="{00000000-0005-0000-0000-0000D4440000}"/>
    <cellStyle name="Input 17 3 2 2 3 8" xfId="17830" xr:uid="{00000000-0005-0000-0000-0000D5440000}"/>
    <cellStyle name="Input 17 3 2 2 4" xfId="17831" xr:uid="{00000000-0005-0000-0000-0000D6440000}"/>
    <cellStyle name="Input 17 3 2 2 4 2" xfId="17832" xr:uid="{00000000-0005-0000-0000-0000D7440000}"/>
    <cellStyle name="Input 17 3 2 2 4 2 2" xfId="17833" xr:uid="{00000000-0005-0000-0000-0000D8440000}"/>
    <cellStyle name="Input 17 3 2 2 4 2 2 2" xfId="17834" xr:uid="{00000000-0005-0000-0000-0000D9440000}"/>
    <cellStyle name="Input 17 3 2 2 4 2 3" xfId="17835" xr:uid="{00000000-0005-0000-0000-0000DA440000}"/>
    <cellStyle name="Input 17 3 2 2 4 2 3 2" xfId="17836" xr:uid="{00000000-0005-0000-0000-0000DB440000}"/>
    <cellStyle name="Input 17 3 2 2 4 2 4" xfId="17837" xr:uid="{00000000-0005-0000-0000-0000DC440000}"/>
    <cellStyle name="Input 17 3 2 2 4 2 5" xfId="17838" xr:uid="{00000000-0005-0000-0000-0000DD440000}"/>
    <cellStyle name="Input 17 3 2 2 4 2 6" xfId="17839" xr:uid="{00000000-0005-0000-0000-0000DE440000}"/>
    <cellStyle name="Input 17 3 2 2 4 3" xfId="17840" xr:uid="{00000000-0005-0000-0000-0000DF440000}"/>
    <cellStyle name="Input 17 3 2 2 4 3 2" xfId="17841" xr:uid="{00000000-0005-0000-0000-0000E0440000}"/>
    <cellStyle name="Input 17 3 2 2 4 4" xfId="17842" xr:uid="{00000000-0005-0000-0000-0000E1440000}"/>
    <cellStyle name="Input 17 3 2 2 4 4 2" xfId="17843" xr:uid="{00000000-0005-0000-0000-0000E2440000}"/>
    <cellStyle name="Input 17 3 2 2 4 5" xfId="17844" xr:uid="{00000000-0005-0000-0000-0000E3440000}"/>
    <cellStyle name="Input 17 3 2 2 4 6" xfId="17845" xr:uid="{00000000-0005-0000-0000-0000E4440000}"/>
    <cellStyle name="Input 17 3 2 2 4 7" xfId="17846" xr:uid="{00000000-0005-0000-0000-0000E5440000}"/>
    <cellStyle name="Input 17 3 2 2 5" xfId="17847" xr:uid="{00000000-0005-0000-0000-0000E6440000}"/>
    <cellStyle name="Input 17 3 2 2 5 2" xfId="17848" xr:uid="{00000000-0005-0000-0000-0000E7440000}"/>
    <cellStyle name="Input 17 3 2 2 5 2 2" xfId="17849" xr:uid="{00000000-0005-0000-0000-0000E8440000}"/>
    <cellStyle name="Input 17 3 2 2 5 3" xfId="17850" xr:uid="{00000000-0005-0000-0000-0000E9440000}"/>
    <cellStyle name="Input 17 3 2 2 5 3 2" xfId="17851" xr:uid="{00000000-0005-0000-0000-0000EA440000}"/>
    <cellStyle name="Input 17 3 2 2 5 4" xfId="17852" xr:uid="{00000000-0005-0000-0000-0000EB440000}"/>
    <cellStyle name="Input 17 3 2 2 5 5" xfId="17853" xr:uid="{00000000-0005-0000-0000-0000EC440000}"/>
    <cellStyle name="Input 17 3 2 2 5 6" xfId="17854" xr:uid="{00000000-0005-0000-0000-0000ED440000}"/>
    <cellStyle name="Input 17 3 2 2 6" xfId="17855" xr:uid="{00000000-0005-0000-0000-0000EE440000}"/>
    <cellStyle name="Input 17 3 2 2 6 2" xfId="17856" xr:uid="{00000000-0005-0000-0000-0000EF440000}"/>
    <cellStyle name="Input 17 3 2 2 7" xfId="17857" xr:uid="{00000000-0005-0000-0000-0000F0440000}"/>
    <cellStyle name="Input 17 3 2 2 7 2" xfId="17858" xr:uid="{00000000-0005-0000-0000-0000F1440000}"/>
    <cellStyle name="Input 17 3 2 2 8" xfId="17859" xr:uid="{00000000-0005-0000-0000-0000F2440000}"/>
    <cellStyle name="Input 17 3 2 2 9" xfId="17860" xr:uid="{00000000-0005-0000-0000-0000F3440000}"/>
    <cellStyle name="Input 17 3 2 3" xfId="17861" xr:uid="{00000000-0005-0000-0000-0000F4440000}"/>
    <cellStyle name="Input 17 3 2 3 2" xfId="17862" xr:uid="{00000000-0005-0000-0000-0000F5440000}"/>
    <cellStyle name="Input 17 3 2 3 2 2" xfId="17863" xr:uid="{00000000-0005-0000-0000-0000F6440000}"/>
    <cellStyle name="Input 17 3 2 3 2 2 2" xfId="17864" xr:uid="{00000000-0005-0000-0000-0000F7440000}"/>
    <cellStyle name="Input 17 3 2 3 2 2 2 2" xfId="17865" xr:uid="{00000000-0005-0000-0000-0000F8440000}"/>
    <cellStyle name="Input 17 3 2 3 2 2 3" xfId="17866" xr:uid="{00000000-0005-0000-0000-0000F9440000}"/>
    <cellStyle name="Input 17 3 2 3 2 2 3 2" xfId="17867" xr:uid="{00000000-0005-0000-0000-0000FA440000}"/>
    <cellStyle name="Input 17 3 2 3 2 2 4" xfId="17868" xr:uid="{00000000-0005-0000-0000-0000FB440000}"/>
    <cellStyle name="Input 17 3 2 3 2 2 5" xfId="17869" xr:uid="{00000000-0005-0000-0000-0000FC440000}"/>
    <cellStyle name="Input 17 3 2 3 2 2 6" xfId="17870" xr:uid="{00000000-0005-0000-0000-0000FD440000}"/>
    <cellStyle name="Input 17 3 2 3 2 3" xfId="17871" xr:uid="{00000000-0005-0000-0000-0000FE440000}"/>
    <cellStyle name="Input 17 3 2 3 2 3 2" xfId="17872" xr:uid="{00000000-0005-0000-0000-0000FF440000}"/>
    <cellStyle name="Input 17 3 2 3 2 4" xfId="17873" xr:uid="{00000000-0005-0000-0000-000000450000}"/>
    <cellStyle name="Input 17 3 2 3 2 4 2" xfId="17874" xr:uid="{00000000-0005-0000-0000-000001450000}"/>
    <cellStyle name="Input 17 3 2 3 2 5" xfId="17875" xr:uid="{00000000-0005-0000-0000-000002450000}"/>
    <cellStyle name="Input 17 3 2 3 2 6" xfId="17876" xr:uid="{00000000-0005-0000-0000-000003450000}"/>
    <cellStyle name="Input 17 3 2 3 2 7" xfId="17877" xr:uid="{00000000-0005-0000-0000-000004450000}"/>
    <cellStyle name="Input 17 3 2 3 3" xfId="17878" xr:uid="{00000000-0005-0000-0000-000005450000}"/>
    <cellStyle name="Input 17 3 2 3 3 2" xfId="17879" xr:uid="{00000000-0005-0000-0000-000006450000}"/>
    <cellStyle name="Input 17 3 2 3 3 2 2" xfId="17880" xr:uid="{00000000-0005-0000-0000-000007450000}"/>
    <cellStyle name="Input 17 3 2 3 3 3" xfId="17881" xr:uid="{00000000-0005-0000-0000-000008450000}"/>
    <cellStyle name="Input 17 3 2 3 3 3 2" xfId="17882" xr:uid="{00000000-0005-0000-0000-000009450000}"/>
    <cellStyle name="Input 17 3 2 3 3 4" xfId="17883" xr:uid="{00000000-0005-0000-0000-00000A450000}"/>
    <cellStyle name="Input 17 3 2 3 3 5" xfId="17884" xr:uid="{00000000-0005-0000-0000-00000B450000}"/>
    <cellStyle name="Input 17 3 2 3 3 6" xfId="17885" xr:uid="{00000000-0005-0000-0000-00000C450000}"/>
    <cellStyle name="Input 17 3 2 3 4" xfId="17886" xr:uid="{00000000-0005-0000-0000-00000D450000}"/>
    <cellStyle name="Input 17 3 2 3 4 2" xfId="17887" xr:uid="{00000000-0005-0000-0000-00000E450000}"/>
    <cellStyle name="Input 17 3 2 3 5" xfId="17888" xr:uid="{00000000-0005-0000-0000-00000F450000}"/>
    <cellStyle name="Input 17 3 2 3 5 2" xfId="17889" xr:uid="{00000000-0005-0000-0000-000010450000}"/>
    <cellStyle name="Input 17 3 2 3 6" xfId="17890" xr:uid="{00000000-0005-0000-0000-000011450000}"/>
    <cellStyle name="Input 17 3 2 3 7" xfId="17891" xr:uid="{00000000-0005-0000-0000-000012450000}"/>
    <cellStyle name="Input 17 3 2 3 8" xfId="17892" xr:uid="{00000000-0005-0000-0000-000013450000}"/>
    <cellStyle name="Input 17 3 2 4" xfId="17893" xr:uid="{00000000-0005-0000-0000-000014450000}"/>
    <cellStyle name="Input 17 3 2 4 2" xfId="17894" xr:uid="{00000000-0005-0000-0000-000015450000}"/>
    <cellStyle name="Input 17 3 2 4 2 2" xfId="17895" xr:uid="{00000000-0005-0000-0000-000016450000}"/>
    <cellStyle name="Input 17 3 2 4 2 2 2" xfId="17896" xr:uid="{00000000-0005-0000-0000-000017450000}"/>
    <cellStyle name="Input 17 3 2 4 2 3" xfId="17897" xr:uid="{00000000-0005-0000-0000-000018450000}"/>
    <cellStyle name="Input 17 3 2 4 2 3 2" xfId="17898" xr:uid="{00000000-0005-0000-0000-000019450000}"/>
    <cellStyle name="Input 17 3 2 4 2 4" xfId="17899" xr:uid="{00000000-0005-0000-0000-00001A450000}"/>
    <cellStyle name="Input 17 3 2 4 2 5" xfId="17900" xr:uid="{00000000-0005-0000-0000-00001B450000}"/>
    <cellStyle name="Input 17 3 2 4 2 6" xfId="17901" xr:uid="{00000000-0005-0000-0000-00001C450000}"/>
    <cellStyle name="Input 17 3 2 4 3" xfId="17902" xr:uid="{00000000-0005-0000-0000-00001D450000}"/>
    <cellStyle name="Input 17 3 2 4 3 2" xfId="17903" xr:uid="{00000000-0005-0000-0000-00001E450000}"/>
    <cellStyle name="Input 17 3 2 4 4" xfId="17904" xr:uid="{00000000-0005-0000-0000-00001F450000}"/>
    <cellStyle name="Input 17 3 2 4 4 2" xfId="17905" xr:uid="{00000000-0005-0000-0000-000020450000}"/>
    <cellStyle name="Input 17 3 2 4 5" xfId="17906" xr:uid="{00000000-0005-0000-0000-000021450000}"/>
    <cellStyle name="Input 17 3 2 4 6" xfId="17907" xr:uid="{00000000-0005-0000-0000-000022450000}"/>
    <cellStyle name="Input 17 3 2 4 7" xfId="17908" xr:uid="{00000000-0005-0000-0000-000023450000}"/>
    <cellStyle name="Input 17 3 2 5" xfId="17909" xr:uid="{00000000-0005-0000-0000-000024450000}"/>
    <cellStyle name="Input 17 3 2 5 2" xfId="17910" xr:uid="{00000000-0005-0000-0000-000025450000}"/>
    <cellStyle name="Input 17 3 2 5 2 2" xfId="17911" xr:uid="{00000000-0005-0000-0000-000026450000}"/>
    <cellStyle name="Input 17 3 2 5 3" xfId="17912" xr:uid="{00000000-0005-0000-0000-000027450000}"/>
    <cellStyle name="Input 17 3 2 5 3 2" xfId="17913" xr:uid="{00000000-0005-0000-0000-000028450000}"/>
    <cellStyle name="Input 17 3 2 5 4" xfId="17914" xr:uid="{00000000-0005-0000-0000-000029450000}"/>
    <cellStyle name="Input 17 3 2 5 5" xfId="17915" xr:uid="{00000000-0005-0000-0000-00002A450000}"/>
    <cellStyle name="Input 17 3 2 5 6" xfId="17916" xr:uid="{00000000-0005-0000-0000-00002B450000}"/>
    <cellStyle name="Input 17 3 2 6" xfId="17917" xr:uid="{00000000-0005-0000-0000-00002C450000}"/>
    <cellStyle name="Input 17 3 2 6 2" xfId="17918" xr:uid="{00000000-0005-0000-0000-00002D450000}"/>
    <cellStyle name="Input 17 3 2 7" xfId="17919" xr:uid="{00000000-0005-0000-0000-00002E450000}"/>
    <cellStyle name="Input 17 3 2 7 2" xfId="17920" xr:uid="{00000000-0005-0000-0000-00002F450000}"/>
    <cellStyle name="Input 17 3 2 8" xfId="17921" xr:uid="{00000000-0005-0000-0000-000030450000}"/>
    <cellStyle name="Input 17 3 2 9" xfId="17922" xr:uid="{00000000-0005-0000-0000-000031450000}"/>
    <cellStyle name="Input 17 3 3" xfId="17923" xr:uid="{00000000-0005-0000-0000-000032450000}"/>
    <cellStyle name="Input 17 3 3 10" xfId="17924" xr:uid="{00000000-0005-0000-0000-000033450000}"/>
    <cellStyle name="Input 17 3 3 2" xfId="17925" xr:uid="{00000000-0005-0000-0000-000034450000}"/>
    <cellStyle name="Input 17 3 3 2 2" xfId="17926" xr:uid="{00000000-0005-0000-0000-000035450000}"/>
    <cellStyle name="Input 17 3 3 2 2 2" xfId="17927" xr:uid="{00000000-0005-0000-0000-000036450000}"/>
    <cellStyle name="Input 17 3 3 2 2 2 2" xfId="17928" xr:uid="{00000000-0005-0000-0000-000037450000}"/>
    <cellStyle name="Input 17 3 3 2 2 2 2 2" xfId="17929" xr:uid="{00000000-0005-0000-0000-000038450000}"/>
    <cellStyle name="Input 17 3 3 2 2 2 3" xfId="17930" xr:uid="{00000000-0005-0000-0000-000039450000}"/>
    <cellStyle name="Input 17 3 3 2 2 2 3 2" xfId="17931" xr:uid="{00000000-0005-0000-0000-00003A450000}"/>
    <cellStyle name="Input 17 3 3 2 2 2 4" xfId="17932" xr:uid="{00000000-0005-0000-0000-00003B450000}"/>
    <cellStyle name="Input 17 3 3 2 2 2 5" xfId="17933" xr:uid="{00000000-0005-0000-0000-00003C450000}"/>
    <cellStyle name="Input 17 3 3 2 2 2 6" xfId="17934" xr:uid="{00000000-0005-0000-0000-00003D450000}"/>
    <cellStyle name="Input 17 3 3 2 2 3" xfId="17935" xr:uid="{00000000-0005-0000-0000-00003E450000}"/>
    <cellStyle name="Input 17 3 3 2 2 3 2" xfId="17936" xr:uid="{00000000-0005-0000-0000-00003F450000}"/>
    <cellStyle name="Input 17 3 3 2 2 4" xfId="17937" xr:uid="{00000000-0005-0000-0000-000040450000}"/>
    <cellStyle name="Input 17 3 3 2 2 4 2" xfId="17938" xr:uid="{00000000-0005-0000-0000-000041450000}"/>
    <cellStyle name="Input 17 3 3 2 2 5" xfId="17939" xr:uid="{00000000-0005-0000-0000-000042450000}"/>
    <cellStyle name="Input 17 3 3 2 2 6" xfId="17940" xr:uid="{00000000-0005-0000-0000-000043450000}"/>
    <cellStyle name="Input 17 3 3 2 2 7" xfId="17941" xr:uid="{00000000-0005-0000-0000-000044450000}"/>
    <cellStyle name="Input 17 3 3 2 3" xfId="17942" xr:uid="{00000000-0005-0000-0000-000045450000}"/>
    <cellStyle name="Input 17 3 3 2 3 2" xfId="17943" xr:uid="{00000000-0005-0000-0000-000046450000}"/>
    <cellStyle name="Input 17 3 3 2 3 2 2" xfId="17944" xr:uid="{00000000-0005-0000-0000-000047450000}"/>
    <cellStyle name="Input 17 3 3 2 3 3" xfId="17945" xr:uid="{00000000-0005-0000-0000-000048450000}"/>
    <cellStyle name="Input 17 3 3 2 3 3 2" xfId="17946" xr:uid="{00000000-0005-0000-0000-000049450000}"/>
    <cellStyle name="Input 17 3 3 2 3 4" xfId="17947" xr:uid="{00000000-0005-0000-0000-00004A450000}"/>
    <cellStyle name="Input 17 3 3 2 3 5" xfId="17948" xr:uid="{00000000-0005-0000-0000-00004B450000}"/>
    <cellStyle name="Input 17 3 3 2 3 6" xfId="17949" xr:uid="{00000000-0005-0000-0000-00004C450000}"/>
    <cellStyle name="Input 17 3 3 2 4" xfId="17950" xr:uid="{00000000-0005-0000-0000-00004D450000}"/>
    <cellStyle name="Input 17 3 3 2 4 2" xfId="17951" xr:uid="{00000000-0005-0000-0000-00004E450000}"/>
    <cellStyle name="Input 17 3 3 2 5" xfId="17952" xr:uid="{00000000-0005-0000-0000-00004F450000}"/>
    <cellStyle name="Input 17 3 3 2 5 2" xfId="17953" xr:uid="{00000000-0005-0000-0000-000050450000}"/>
    <cellStyle name="Input 17 3 3 2 6" xfId="17954" xr:uid="{00000000-0005-0000-0000-000051450000}"/>
    <cellStyle name="Input 17 3 3 2 7" xfId="17955" xr:uid="{00000000-0005-0000-0000-000052450000}"/>
    <cellStyle name="Input 17 3 3 2 8" xfId="17956" xr:uid="{00000000-0005-0000-0000-000053450000}"/>
    <cellStyle name="Input 17 3 3 3" xfId="17957" xr:uid="{00000000-0005-0000-0000-000054450000}"/>
    <cellStyle name="Input 17 3 3 3 2" xfId="17958" xr:uid="{00000000-0005-0000-0000-000055450000}"/>
    <cellStyle name="Input 17 3 3 3 2 2" xfId="17959" xr:uid="{00000000-0005-0000-0000-000056450000}"/>
    <cellStyle name="Input 17 3 3 3 2 2 2" xfId="17960" xr:uid="{00000000-0005-0000-0000-000057450000}"/>
    <cellStyle name="Input 17 3 3 3 2 2 2 2" xfId="17961" xr:uid="{00000000-0005-0000-0000-000058450000}"/>
    <cellStyle name="Input 17 3 3 3 2 2 3" xfId="17962" xr:uid="{00000000-0005-0000-0000-000059450000}"/>
    <cellStyle name="Input 17 3 3 3 2 2 3 2" xfId="17963" xr:uid="{00000000-0005-0000-0000-00005A450000}"/>
    <cellStyle name="Input 17 3 3 3 2 2 4" xfId="17964" xr:uid="{00000000-0005-0000-0000-00005B450000}"/>
    <cellStyle name="Input 17 3 3 3 2 2 5" xfId="17965" xr:uid="{00000000-0005-0000-0000-00005C450000}"/>
    <cellStyle name="Input 17 3 3 3 2 2 6" xfId="17966" xr:uid="{00000000-0005-0000-0000-00005D450000}"/>
    <cellStyle name="Input 17 3 3 3 2 3" xfId="17967" xr:uid="{00000000-0005-0000-0000-00005E450000}"/>
    <cellStyle name="Input 17 3 3 3 2 3 2" xfId="17968" xr:uid="{00000000-0005-0000-0000-00005F450000}"/>
    <cellStyle name="Input 17 3 3 3 2 4" xfId="17969" xr:uid="{00000000-0005-0000-0000-000060450000}"/>
    <cellStyle name="Input 17 3 3 3 2 4 2" xfId="17970" xr:uid="{00000000-0005-0000-0000-000061450000}"/>
    <cellStyle name="Input 17 3 3 3 2 5" xfId="17971" xr:uid="{00000000-0005-0000-0000-000062450000}"/>
    <cellStyle name="Input 17 3 3 3 2 6" xfId="17972" xr:uid="{00000000-0005-0000-0000-000063450000}"/>
    <cellStyle name="Input 17 3 3 3 2 7" xfId="17973" xr:uid="{00000000-0005-0000-0000-000064450000}"/>
    <cellStyle name="Input 17 3 3 3 3" xfId="17974" xr:uid="{00000000-0005-0000-0000-000065450000}"/>
    <cellStyle name="Input 17 3 3 3 3 2" xfId="17975" xr:uid="{00000000-0005-0000-0000-000066450000}"/>
    <cellStyle name="Input 17 3 3 3 3 2 2" xfId="17976" xr:uid="{00000000-0005-0000-0000-000067450000}"/>
    <cellStyle name="Input 17 3 3 3 3 3" xfId="17977" xr:uid="{00000000-0005-0000-0000-000068450000}"/>
    <cellStyle name="Input 17 3 3 3 3 3 2" xfId="17978" xr:uid="{00000000-0005-0000-0000-000069450000}"/>
    <cellStyle name="Input 17 3 3 3 3 4" xfId="17979" xr:uid="{00000000-0005-0000-0000-00006A450000}"/>
    <cellStyle name="Input 17 3 3 3 3 5" xfId="17980" xr:uid="{00000000-0005-0000-0000-00006B450000}"/>
    <cellStyle name="Input 17 3 3 3 3 6" xfId="17981" xr:uid="{00000000-0005-0000-0000-00006C450000}"/>
    <cellStyle name="Input 17 3 3 3 4" xfId="17982" xr:uid="{00000000-0005-0000-0000-00006D450000}"/>
    <cellStyle name="Input 17 3 3 3 4 2" xfId="17983" xr:uid="{00000000-0005-0000-0000-00006E450000}"/>
    <cellStyle name="Input 17 3 3 3 5" xfId="17984" xr:uid="{00000000-0005-0000-0000-00006F450000}"/>
    <cellStyle name="Input 17 3 3 3 5 2" xfId="17985" xr:uid="{00000000-0005-0000-0000-000070450000}"/>
    <cellStyle name="Input 17 3 3 3 6" xfId="17986" xr:uid="{00000000-0005-0000-0000-000071450000}"/>
    <cellStyle name="Input 17 3 3 3 7" xfId="17987" xr:uid="{00000000-0005-0000-0000-000072450000}"/>
    <cellStyle name="Input 17 3 3 3 8" xfId="17988" xr:uid="{00000000-0005-0000-0000-000073450000}"/>
    <cellStyle name="Input 17 3 3 4" xfId="17989" xr:uid="{00000000-0005-0000-0000-000074450000}"/>
    <cellStyle name="Input 17 3 3 4 2" xfId="17990" xr:uid="{00000000-0005-0000-0000-000075450000}"/>
    <cellStyle name="Input 17 3 3 4 2 2" xfId="17991" xr:uid="{00000000-0005-0000-0000-000076450000}"/>
    <cellStyle name="Input 17 3 3 4 2 2 2" xfId="17992" xr:uid="{00000000-0005-0000-0000-000077450000}"/>
    <cellStyle name="Input 17 3 3 4 2 3" xfId="17993" xr:uid="{00000000-0005-0000-0000-000078450000}"/>
    <cellStyle name="Input 17 3 3 4 2 3 2" xfId="17994" xr:uid="{00000000-0005-0000-0000-000079450000}"/>
    <cellStyle name="Input 17 3 3 4 2 4" xfId="17995" xr:uid="{00000000-0005-0000-0000-00007A450000}"/>
    <cellStyle name="Input 17 3 3 4 2 5" xfId="17996" xr:uid="{00000000-0005-0000-0000-00007B450000}"/>
    <cellStyle name="Input 17 3 3 4 2 6" xfId="17997" xr:uid="{00000000-0005-0000-0000-00007C450000}"/>
    <cellStyle name="Input 17 3 3 4 3" xfId="17998" xr:uid="{00000000-0005-0000-0000-00007D450000}"/>
    <cellStyle name="Input 17 3 3 4 3 2" xfId="17999" xr:uid="{00000000-0005-0000-0000-00007E450000}"/>
    <cellStyle name="Input 17 3 3 4 4" xfId="18000" xr:uid="{00000000-0005-0000-0000-00007F450000}"/>
    <cellStyle name="Input 17 3 3 4 4 2" xfId="18001" xr:uid="{00000000-0005-0000-0000-000080450000}"/>
    <cellStyle name="Input 17 3 3 4 5" xfId="18002" xr:uid="{00000000-0005-0000-0000-000081450000}"/>
    <cellStyle name="Input 17 3 3 4 6" xfId="18003" xr:uid="{00000000-0005-0000-0000-000082450000}"/>
    <cellStyle name="Input 17 3 3 4 7" xfId="18004" xr:uid="{00000000-0005-0000-0000-000083450000}"/>
    <cellStyle name="Input 17 3 3 5" xfId="18005" xr:uid="{00000000-0005-0000-0000-000084450000}"/>
    <cellStyle name="Input 17 3 3 5 2" xfId="18006" xr:uid="{00000000-0005-0000-0000-000085450000}"/>
    <cellStyle name="Input 17 3 3 5 2 2" xfId="18007" xr:uid="{00000000-0005-0000-0000-000086450000}"/>
    <cellStyle name="Input 17 3 3 5 3" xfId="18008" xr:uid="{00000000-0005-0000-0000-000087450000}"/>
    <cellStyle name="Input 17 3 3 5 3 2" xfId="18009" xr:uid="{00000000-0005-0000-0000-000088450000}"/>
    <cellStyle name="Input 17 3 3 5 4" xfId="18010" xr:uid="{00000000-0005-0000-0000-000089450000}"/>
    <cellStyle name="Input 17 3 3 5 5" xfId="18011" xr:uid="{00000000-0005-0000-0000-00008A450000}"/>
    <cellStyle name="Input 17 3 3 5 6" xfId="18012" xr:uid="{00000000-0005-0000-0000-00008B450000}"/>
    <cellStyle name="Input 17 3 3 6" xfId="18013" xr:uid="{00000000-0005-0000-0000-00008C450000}"/>
    <cellStyle name="Input 17 3 3 6 2" xfId="18014" xr:uid="{00000000-0005-0000-0000-00008D450000}"/>
    <cellStyle name="Input 17 3 3 7" xfId="18015" xr:uid="{00000000-0005-0000-0000-00008E450000}"/>
    <cellStyle name="Input 17 3 3 7 2" xfId="18016" xr:uid="{00000000-0005-0000-0000-00008F450000}"/>
    <cellStyle name="Input 17 3 3 8" xfId="18017" xr:uid="{00000000-0005-0000-0000-000090450000}"/>
    <cellStyle name="Input 17 3 3 9" xfId="18018" xr:uid="{00000000-0005-0000-0000-000091450000}"/>
    <cellStyle name="Input 17 3 4" xfId="18019" xr:uid="{00000000-0005-0000-0000-000092450000}"/>
    <cellStyle name="Input 17 3 4 2" xfId="18020" xr:uid="{00000000-0005-0000-0000-000093450000}"/>
    <cellStyle name="Input 17 3 4 2 2" xfId="18021" xr:uid="{00000000-0005-0000-0000-000094450000}"/>
    <cellStyle name="Input 17 3 4 2 2 2" xfId="18022" xr:uid="{00000000-0005-0000-0000-000095450000}"/>
    <cellStyle name="Input 17 3 4 2 2 2 2" xfId="18023" xr:uid="{00000000-0005-0000-0000-000096450000}"/>
    <cellStyle name="Input 17 3 4 2 2 3" xfId="18024" xr:uid="{00000000-0005-0000-0000-000097450000}"/>
    <cellStyle name="Input 17 3 4 2 2 3 2" xfId="18025" xr:uid="{00000000-0005-0000-0000-000098450000}"/>
    <cellStyle name="Input 17 3 4 2 2 4" xfId="18026" xr:uid="{00000000-0005-0000-0000-000099450000}"/>
    <cellStyle name="Input 17 3 4 2 2 5" xfId="18027" xr:uid="{00000000-0005-0000-0000-00009A450000}"/>
    <cellStyle name="Input 17 3 4 2 2 6" xfId="18028" xr:uid="{00000000-0005-0000-0000-00009B450000}"/>
    <cellStyle name="Input 17 3 4 2 3" xfId="18029" xr:uid="{00000000-0005-0000-0000-00009C450000}"/>
    <cellStyle name="Input 17 3 4 2 3 2" xfId="18030" xr:uid="{00000000-0005-0000-0000-00009D450000}"/>
    <cellStyle name="Input 17 3 4 2 4" xfId="18031" xr:uid="{00000000-0005-0000-0000-00009E450000}"/>
    <cellStyle name="Input 17 3 4 2 4 2" xfId="18032" xr:uid="{00000000-0005-0000-0000-00009F450000}"/>
    <cellStyle name="Input 17 3 4 2 5" xfId="18033" xr:uid="{00000000-0005-0000-0000-0000A0450000}"/>
    <cellStyle name="Input 17 3 4 2 6" xfId="18034" xr:uid="{00000000-0005-0000-0000-0000A1450000}"/>
    <cellStyle name="Input 17 3 4 2 7" xfId="18035" xr:uid="{00000000-0005-0000-0000-0000A2450000}"/>
    <cellStyle name="Input 17 3 4 3" xfId="18036" xr:uid="{00000000-0005-0000-0000-0000A3450000}"/>
    <cellStyle name="Input 17 3 4 3 2" xfId="18037" xr:uid="{00000000-0005-0000-0000-0000A4450000}"/>
    <cellStyle name="Input 17 3 4 3 2 2" xfId="18038" xr:uid="{00000000-0005-0000-0000-0000A5450000}"/>
    <cellStyle name="Input 17 3 4 3 3" xfId="18039" xr:uid="{00000000-0005-0000-0000-0000A6450000}"/>
    <cellStyle name="Input 17 3 4 3 3 2" xfId="18040" xr:uid="{00000000-0005-0000-0000-0000A7450000}"/>
    <cellStyle name="Input 17 3 4 3 4" xfId="18041" xr:uid="{00000000-0005-0000-0000-0000A8450000}"/>
    <cellStyle name="Input 17 3 4 3 5" xfId="18042" xr:uid="{00000000-0005-0000-0000-0000A9450000}"/>
    <cellStyle name="Input 17 3 4 3 6" xfId="18043" xr:uid="{00000000-0005-0000-0000-0000AA450000}"/>
    <cellStyle name="Input 17 3 4 4" xfId="18044" xr:uid="{00000000-0005-0000-0000-0000AB450000}"/>
    <cellStyle name="Input 17 3 4 4 2" xfId="18045" xr:uid="{00000000-0005-0000-0000-0000AC450000}"/>
    <cellStyle name="Input 17 3 4 5" xfId="18046" xr:uid="{00000000-0005-0000-0000-0000AD450000}"/>
    <cellStyle name="Input 17 3 4 5 2" xfId="18047" xr:uid="{00000000-0005-0000-0000-0000AE450000}"/>
    <cellStyle name="Input 17 3 4 6" xfId="18048" xr:uid="{00000000-0005-0000-0000-0000AF450000}"/>
    <cellStyle name="Input 17 3 4 7" xfId="18049" xr:uid="{00000000-0005-0000-0000-0000B0450000}"/>
    <cellStyle name="Input 17 3 4 8" xfId="18050" xr:uid="{00000000-0005-0000-0000-0000B1450000}"/>
    <cellStyle name="Input 17 3 5" xfId="18051" xr:uid="{00000000-0005-0000-0000-0000B2450000}"/>
    <cellStyle name="Input 17 3 5 2" xfId="18052" xr:uid="{00000000-0005-0000-0000-0000B3450000}"/>
    <cellStyle name="Input 17 3 5 2 2" xfId="18053" xr:uid="{00000000-0005-0000-0000-0000B4450000}"/>
    <cellStyle name="Input 17 3 5 2 2 2" xfId="18054" xr:uid="{00000000-0005-0000-0000-0000B5450000}"/>
    <cellStyle name="Input 17 3 5 2 3" xfId="18055" xr:uid="{00000000-0005-0000-0000-0000B6450000}"/>
    <cellStyle name="Input 17 3 5 2 3 2" xfId="18056" xr:uid="{00000000-0005-0000-0000-0000B7450000}"/>
    <cellStyle name="Input 17 3 5 2 4" xfId="18057" xr:uid="{00000000-0005-0000-0000-0000B8450000}"/>
    <cellStyle name="Input 17 3 5 2 5" xfId="18058" xr:uid="{00000000-0005-0000-0000-0000B9450000}"/>
    <cellStyle name="Input 17 3 5 2 6" xfId="18059" xr:uid="{00000000-0005-0000-0000-0000BA450000}"/>
    <cellStyle name="Input 17 3 5 3" xfId="18060" xr:uid="{00000000-0005-0000-0000-0000BB450000}"/>
    <cellStyle name="Input 17 3 5 3 2" xfId="18061" xr:uid="{00000000-0005-0000-0000-0000BC450000}"/>
    <cellStyle name="Input 17 3 5 4" xfId="18062" xr:uid="{00000000-0005-0000-0000-0000BD450000}"/>
    <cellStyle name="Input 17 3 5 4 2" xfId="18063" xr:uid="{00000000-0005-0000-0000-0000BE450000}"/>
    <cellStyle name="Input 17 3 5 5" xfId="18064" xr:uid="{00000000-0005-0000-0000-0000BF450000}"/>
    <cellStyle name="Input 17 3 5 6" xfId="18065" xr:uid="{00000000-0005-0000-0000-0000C0450000}"/>
    <cellStyle name="Input 17 3 5 7" xfId="18066" xr:uid="{00000000-0005-0000-0000-0000C1450000}"/>
    <cellStyle name="Input 17 3 6" xfId="18067" xr:uid="{00000000-0005-0000-0000-0000C2450000}"/>
    <cellStyle name="Input 17 3 6 2" xfId="18068" xr:uid="{00000000-0005-0000-0000-0000C3450000}"/>
    <cellStyle name="Input 17 3 6 2 2" xfId="18069" xr:uid="{00000000-0005-0000-0000-0000C4450000}"/>
    <cellStyle name="Input 17 3 6 3" xfId="18070" xr:uid="{00000000-0005-0000-0000-0000C5450000}"/>
    <cellStyle name="Input 17 3 6 3 2" xfId="18071" xr:uid="{00000000-0005-0000-0000-0000C6450000}"/>
    <cellStyle name="Input 17 3 6 4" xfId="18072" xr:uid="{00000000-0005-0000-0000-0000C7450000}"/>
    <cellStyle name="Input 17 3 6 5" xfId="18073" xr:uid="{00000000-0005-0000-0000-0000C8450000}"/>
    <cellStyle name="Input 17 3 6 6" xfId="18074" xr:uid="{00000000-0005-0000-0000-0000C9450000}"/>
    <cellStyle name="Input 17 3 7" xfId="18075" xr:uid="{00000000-0005-0000-0000-0000CA450000}"/>
    <cellStyle name="Input 17 3 7 2" xfId="18076" xr:uid="{00000000-0005-0000-0000-0000CB450000}"/>
    <cellStyle name="Input 17 3 8" xfId="18077" xr:uid="{00000000-0005-0000-0000-0000CC450000}"/>
    <cellStyle name="Input 17 3 8 2" xfId="18078" xr:uid="{00000000-0005-0000-0000-0000CD450000}"/>
    <cellStyle name="Input 17 3 9" xfId="18079" xr:uid="{00000000-0005-0000-0000-0000CE450000}"/>
    <cellStyle name="Input 17 4" xfId="18080" xr:uid="{00000000-0005-0000-0000-0000CF450000}"/>
    <cellStyle name="Input 17 4 10" xfId="18081" xr:uid="{00000000-0005-0000-0000-0000D0450000}"/>
    <cellStyle name="Input 17 4 11" xfId="18082" xr:uid="{00000000-0005-0000-0000-0000D1450000}"/>
    <cellStyle name="Input 17 4 2" xfId="18083" xr:uid="{00000000-0005-0000-0000-0000D2450000}"/>
    <cellStyle name="Input 17 4 2 10" xfId="18084" xr:uid="{00000000-0005-0000-0000-0000D3450000}"/>
    <cellStyle name="Input 17 4 2 2" xfId="18085" xr:uid="{00000000-0005-0000-0000-0000D4450000}"/>
    <cellStyle name="Input 17 4 2 2 2" xfId="18086" xr:uid="{00000000-0005-0000-0000-0000D5450000}"/>
    <cellStyle name="Input 17 4 2 2 2 2" xfId="18087" xr:uid="{00000000-0005-0000-0000-0000D6450000}"/>
    <cellStyle name="Input 17 4 2 2 2 2 2" xfId="18088" xr:uid="{00000000-0005-0000-0000-0000D7450000}"/>
    <cellStyle name="Input 17 4 2 2 2 2 2 2" xfId="18089" xr:uid="{00000000-0005-0000-0000-0000D8450000}"/>
    <cellStyle name="Input 17 4 2 2 2 2 3" xfId="18090" xr:uid="{00000000-0005-0000-0000-0000D9450000}"/>
    <cellStyle name="Input 17 4 2 2 2 2 3 2" xfId="18091" xr:uid="{00000000-0005-0000-0000-0000DA450000}"/>
    <cellStyle name="Input 17 4 2 2 2 2 4" xfId="18092" xr:uid="{00000000-0005-0000-0000-0000DB450000}"/>
    <cellStyle name="Input 17 4 2 2 2 2 5" xfId="18093" xr:uid="{00000000-0005-0000-0000-0000DC450000}"/>
    <cellStyle name="Input 17 4 2 2 2 2 6" xfId="18094" xr:uid="{00000000-0005-0000-0000-0000DD450000}"/>
    <cellStyle name="Input 17 4 2 2 2 3" xfId="18095" xr:uid="{00000000-0005-0000-0000-0000DE450000}"/>
    <cellStyle name="Input 17 4 2 2 2 3 2" xfId="18096" xr:uid="{00000000-0005-0000-0000-0000DF450000}"/>
    <cellStyle name="Input 17 4 2 2 2 4" xfId="18097" xr:uid="{00000000-0005-0000-0000-0000E0450000}"/>
    <cellStyle name="Input 17 4 2 2 2 4 2" xfId="18098" xr:uid="{00000000-0005-0000-0000-0000E1450000}"/>
    <cellStyle name="Input 17 4 2 2 2 5" xfId="18099" xr:uid="{00000000-0005-0000-0000-0000E2450000}"/>
    <cellStyle name="Input 17 4 2 2 2 6" xfId="18100" xr:uid="{00000000-0005-0000-0000-0000E3450000}"/>
    <cellStyle name="Input 17 4 2 2 2 7" xfId="18101" xr:uid="{00000000-0005-0000-0000-0000E4450000}"/>
    <cellStyle name="Input 17 4 2 2 3" xfId="18102" xr:uid="{00000000-0005-0000-0000-0000E5450000}"/>
    <cellStyle name="Input 17 4 2 2 3 2" xfId="18103" xr:uid="{00000000-0005-0000-0000-0000E6450000}"/>
    <cellStyle name="Input 17 4 2 2 3 2 2" xfId="18104" xr:uid="{00000000-0005-0000-0000-0000E7450000}"/>
    <cellStyle name="Input 17 4 2 2 3 3" xfId="18105" xr:uid="{00000000-0005-0000-0000-0000E8450000}"/>
    <cellStyle name="Input 17 4 2 2 3 3 2" xfId="18106" xr:uid="{00000000-0005-0000-0000-0000E9450000}"/>
    <cellStyle name="Input 17 4 2 2 3 4" xfId="18107" xr:uid="{00000000-0005-0000-0000-0000EA450000}"/>
    <cellStyle name="Input 17 4 2 2 3 5" xfId="18108" xr:uid="{00000000-0005-0000-0000-0000EB450000}"/>
    <cellStyle name="Input 17 4 2 2 3 6" xfId="18109" xr:uid="{00000000-0005-0000-0000-0000EC450000}"/>
    <cellStyle name="Input 17 4 2 2 4" xfId="18110" xr:uid="{00000000-0005-0000-0000-0000ED450000}"/>
    <cellStyle name="Input 17 4 2 2 4 2" xfId="18111" xr:uid="{00000000-0005-0000-0000-0000EE450000}"/>
    <cellStyle name="Input 17 4 2 2 5" xfId="18112" xr:uid="{00000000-0005-0000-0000-0000EF450000}"/>
    <cellStyle name="Input 17 4 2 2 5 2" xfId="18113" xr:uid="{00000000-0005-0000-0000-0000F0450000}"/>
    <cellStyle name="Input 17 4 2 2 6" xfId="18114" xr:uid="{00000000-0005-0000-0000-0000F1450000}"/>
    <cellStyle name="Input 17 4 2 2 7" xfId="18115" xr:uid="{00000000-0005-0000-0000-0000F2450000}"/>
    <cellStyle name="Input 17 4 2 2 8" xfId="18116" xr:uid="{00000000-0005-0000-0000-0000F3450000}"/>
    <cellStyle name="Input 17 4 2 3" xfId="18117" xr:uid="{00000000-0005-0000-0000-0000F4450000}"/>
    <cellStyle name="Input 17 4 2 3 2" xfId="18118" xr:uid="{00000000-0005-0000-0000-0000F5450000}"/>
    <cellStyle name="Input 17 4 2 3 2 2" xfId="18119" xr:uid="{00000000-0005-0000-0000-0000F6450000}"/>
    <cellStyle name="Input 17 4 2 3 2 2 2" xfId="18120" xr:uid="{00000000-0005-0000-0000-0000F7450000}"/>
    <cellStyle name="Input 17 4 2 3 2 2 2 2" xfId="18121" xr:uid="{00000000-0005-0000-0000-0000F8450000}"/>
    <cellStyle name="Input 17 4 2 3 2 2 3" xfId="18122" xr:uid="{00000000-0005-0000-0000-0000F9450000}"/>
    <cellStyle name="Input 17 4 2 3 2 2 3 2" xfId="18123" xr:uid="{00000000-0005-0000-0000-0000FA450000}"/>
    <cellStyle name="Input 17 4 2 3 2 2 4" xfId="18124" xr:uid="{00000000-0005-0000-0000-0000FB450000}"/>
    <cellStyle name="Input 17 4 2 3 2 2 5" xfId="18125" xr:uid="{00000000-0005-0000-0000-0000FC450000}"/>
    <cellStyle name="Input 17 4 2 3 2 2 6" xfId="18126" xr:uid="{00000000-0005-0000-0000-0000FD450000}"/>
    <cellStyle name="Input 17 4 2 3 2 3" xfId="18127" xr:uid="{00000000-0005-0000-0000-0000FE450000}"/>
    <cellStyle name="Input 17 4 2 3 2 3 2" xfId="18128" xr:uid="{00000000-0005-0000-0000-0000FF450000}"/>
    <cellStyle name="Input 17 4 2 3 2 4" xfId="18129" xr:uid="{00000000-0005-0000-0000-000000460000}"/>
    <cellStyle name="Input 17 4 2 3 2 4 2" xfId="18130" xr:uid="{00000000-0005-0000-0000-000001460000}"/>
    <cellStyle name="Input 17 4 2 3 2 5" xfId="18131" xr:uid="{00000000-0005-0000-0000-000002460000}"/>
    <cellStyle name="Input 17 4 2 3 2 6" xfId="18132" xr:uid="{00000000-0005-0000-0000-000003460000}"/>
    <cellStyle name="Input 17 4 2 3 2 7" xfId="18133" xr:uid="{00000000-0005-0000-0000-000004460000}"/>
    <cellStyle name="Input 17 4 2 3 3" xfId="18134" xr:uid="{00000000-0005-0000-0000-000005460000}"/>
    <cellStyle name="Input 17 4 2 3 3 2" xfId="18135" xr:uid="{00000000-0005-0000-0000-000006460000}"/>
    <cellStyle name="Input 17 4 2 3 3 2 2" xfId="18136" xr:uid="{00000000-0005-0000-0000-000007460000}"/>
    <cellStyle name="Input 17 4 2 3 3 3" xfId="18137" xr:uid="{00000000-0005-0000-0000-000008460000}"/>
    <cellStyle name="Input 17 4 2 3 3 3 2" xfId="18138" xr:uid="{00000000-0005-0000-0000-000009460000}"/>
    <cellStyle name="Input 17 4 2 3 3 4" xfId="18139" xr:uid="{00000000-0005-0000-0000-00000A460000}"/>
    <cellStyle name="Input 17 4 2 3 3 5" xfId="18140" xr:uid="{00000000-0005-0000-0000-00000B460000}"/>
    <cellStyle name="Input 17 4 2 3 3 6" xfId="18141" xr:uid="{00000000-0005-0000-0000-00000C460000}"/>
    <cellStyle name="Input 17 4 2 3 4" xfId="18142" xr:uid="{00000000-0005-0000-0000-00000D460000}"/>
    <cellStyle name="Input 17 4 2 3 4 2" xfId="18143" xr:uid="{00000000-0005-0000-0000-00000E460000}"/>
    <cellStyle name="Input 17 4 2 3 5" xfId="18144" xr:uid="{00000000-0005-0000-0000-00000F460000}"/>
    <cellStyle name="Input 17 4 2 3 5 2" xfId="18145" xr:uid="{00000000-0005-0000-0000-000010460000}"/>
    <cellStyle name="Input 17 4 2 3 6" xfId="18146" xr:uid="{00000000-0005-0000-0000-000011460000}"/>
    <cellStyle name="Input 17 4 2 3 7" xfId="18147" xr:uid="{00000000-0005-0000-0000-000012460000}"/>
    <cellStyle name="Input 17 4 2 3 8" xfId="18148" xr:uid="{00000000-0005-0000-0000-000013460000}"/>
    <cellStyle name="Input 17 4 2 4" xfId="18149" xr:uid="{00000000-0005-0000-0000-000014460000}"/>
    <cellStyle name="Input 17 4 2 4 2" xfId="18150" xr:uid="{00000000-0005-0000-0000-000015460000}"/>
    <cellStyle name="Input 17 4 2 4 2 2" xfId="18151" xr:uid="{00000000-0005-0000-0000-000016460000}"/>
    <cellStyle name="Input 17 4 2 4 2 2 2" xfId="18152" xr:uid="{00000000-0005-0000-0000-000017460000}"/>
    <cellStyle name="Input 17 4 2 4 2 3" xfId="18153" xr:uid="{00000000-0005-0000-0000-000018460000}"/>
    <cellStyle name="Input 17 4 2 4 2 3 2" xfId="18154" xr:uid="{00000000-0005-0000-0000-000019460000}"/>
    <cellStyle name="Input 17 4 2 4 2 4" xfId="18155" xr:uid="{00000000-0005-0000-0000-00001A460000}"/>
    <cellStyle name="Input 17 4 2 4 2 5" xfId="18156" xr:uid="{00000000-0005-0000-0000-00001B460000}"/>
    <cellStyle name="Input 17 4 2 4 2 6" xfId="18157" xr:uid="{00000000-0005-0000-0000-00001C460000}"/>
    <cellStyle name="Input 17 4 2 4 3" xfId="18158" xr:uid="{00000000-0005-0000-0000-00001D460000}"/>
    <cellStyle name="Input 17 4 2 4 3 2" xfId="18159" xr:uid="{00000000-0005-0000-0000-00001E460000}"/>
    <cellStyle name="Input 17 4 2 4 4" xfId="18160" xr:uid="{00000000-0005-0000-0000-00001F460000}"/>
    <cellStyle name="Input 17 4 2 4 4 2" xfId="18161" xr:uid="{00000000-0005-0000-0000-000020460000}"/>
    <cellStyle name="Input 17 4 2 4 5" xfId="18162" xr:uid="{00000000-0005-0000-0000-000021460000}"/>
    <cellStyle name="Input 17 4 2 4 6" xfId="18163" xr:uid="{00000000-0005-0000-0000-000022460000}"/>
    <cellStyle name="Input 17 4 2 4 7" xfId="18164" xr:uid="{00000000-0005-0000-0000-000023460000}"/>
    <cellStyle name="Input 17 4 2 5" xfId="18165" xr:uid="{00000000-0005-0000-0000-000024460000}"/>
    <cellStyle name="Input 17 4 2 5 2" xfId="18166" xr:uid="{00000000-0005-0000-0000-000025460000}"/>
    <cellStyle name="Input 17 4 2 5 2 2" xfId="18167" xr:uid="{00000000-0005-0000-0000-000026460000}"/>
    <cellStyle name="Input 17 4 2 5 3" xfId="18168" xr:uid="{00000000-0005-0000-0000-000027460000}"/>
    <cellStyle name="Input 17 4 2 5 3 2" xfId="18169" xr:uid="{00000000-0005-0000-0000-000028460000}"/>
    <cellStyle name="Input 17 4 2 5 4" xfId="18170" xr:uid="{00000000-0005-0000-0000-000029460000}"/>
    <cellStyle name="Input 17 4 2 5 5" xfId="18171" xr:uid="{00000000-0005-0000-0000-00002A460000}"/>
    <cellStyle name="Input 17 4 2 5 6" xfId="18172" xr:uid="{00000000-0005-0000-0000-00002B460000}"/>
    <cellStyle name="Input 17 4 2 6" xfId="18173" xr:uid="{00000000-0005-0000-0000-00002C460000}"/>
    <cellStyle name="Input 17 4 2 6 2" xfId="18174" xr:uid="{00000000-0005-0000-0000-00002D460000}"/>
    <cellStyle name="Input 17 4 2 7" xfId="18175" xr:uid="{00000000-0005-0000-0000-00002E460000}"/>
    <cellStyle name="Input 17 4 2 7 2" xfId="18176" xr:uid="{00000000-0005-0000-0000-00002F460000}"/>
    <cellStyle name="Input 17 4 2 8" xfId="18177" xr:uid="{00000000-0005-0000-0000-000030460000}"/>
    <cellStyle name="Input 17 4 2 9" xfId="18178" xr:uid="{00000000-0005-0000-0000-000031460000}"/>
    <cellStyle name="Input 17 4 3" xfId="18179" xr:uid="{00000000-0005-0000-0000-000032460000}"/>
    <cellStyle name="Input 17 4 3 2" xfId="18180" xr:uid="{00000000-0005-0000-0000-000033460000}"/>
    <cellStyle name="Input 17 4 3 2 2" xfId="18181" xr:uid="{00000000-0005-0000-0000-000034460000}"/>
    <cellStyle name="Input 17 4 3 2 2 2" xfId="18182" xr:uid="{00000000-0005-0000-0000-000035460000}"/>
    <cellStyle name="Input 17 4 3 2 2 2 2" xfId="18183" xr:uid="{00000000-0005-0000-0000-000036460000}"/>
    <cellStyle name="Input 17 4 3 2 2 3" xfId="18184" xr:uid="{00000000-0005-0000-0000-000037460000}"/>
    <cellStyle name="Input 17 4 3 2 2 3 2" xfId="18185" xr:uid="{00000000-0005-0000-0000-000038460000}"/>
    <cellStyle name="Input 17 4 3 2 2 4" xfId="18186" xr:uid="{00000000-0005-0000-0000-000039460000}"/>
    <cellStyle name="Input 17 4 3 2 2 5" xfId="18187" xr:uid="{00000000-0005-0000-0000-00003A460000}"/>
    <cellStyle name="Input 17 4 3 2 2 6" xfId="18188" xr:uid="{00000000-0005-0000-0000-00003B460000}"/>
    <cellStyle name="Input 17 4 3 2 3" xfId="18189" xr:uid="{00000000-0005-0000-0000-00003C460000}"/>
    <cellStyle name="Input 17 4 3 2 3 2" xfId="18190" xr:uid="{00000000-0005-0000-0000-00003D460000}"/>
    <cellStyle name="Input 17 4 3 2 4" xfId="18191" xr:uid="{00000000-0005-0000-0000-00003E460000}"/>
    <cellStyle name="Input 17 4 3 2 4 2" xfId="18192" xr:uid="{00000000-0005-0000-0000-00003F460000}"/>
    <cellStyle name="Input 17 4 3 2 5" xfId="18193" xr:uid="{00000000-0005-0000-0000-000040460000}"/>
    <cellStyle name="Input 17 4 3 2 6" xfId="18194" xr:uid="{00000000-0005-0000-0000-000041460000}"/>
    <cellStyle name="Input 17 4 3 2 7" xfId="18195" xr:uid="{00000000-0005-0000-0000-000042460000}"/>
    <cellStyle name="Input 17 4 3 3" xfId="18196" xr:uid="{00000000-0005-0000-0000-000043460000}"/>
    <cellStyle name="Input 17 4 3 3 2" xfId="18197" xr:uid="{00000000-0005-0000-0000-000044460000}"/>
    <cellStyle name="Input 17 4 3 3 2 2" xfId="18198" xr:uid="{00000000-0005-0000-0000-000045460000}"/>
    <cellStyle name="Input 17 4 3 3 3" xfId="18199" xr:uid="{00000000-0005-0000-0000-000046460000}"/>
    <cellStyle name="Input 17 4 3 3 3 2" xfId="18200" xr:uid="{00000000-0005-0000-0000-000047460000}"/>
    <cellStyle name="Input 17 4 3 3 4" xfId="18201" xr:uid="{00000000-0005-0000-0000-000048460000}"/>
    <cellStyle name="Input 17 4 3 3 5" xfId="18202" xr:uid="{00000000-0005-0000-0000-000049460000}"/>
    <cellStyle name="Input 17 4 3 3 6" xfId="18203" xr:uid="{00000000-0005-0000-0000-00004A460000}"/>
    <cellStyle name="Input 17 4 3 4" xfId="18204" xr:uid="{00000000-0005-0000-0000-00004B460000}"/>
    <cellStyle name="Input 17 4 3 4 2" xfId="18205" xr:uid="{00000000-0005-0000-0000-00004C460000}"/>
    <cellStyle name="Input 17 4 3 5" xfId="18206" xr:uid="{00000000-0005-0000-0000-00004D460000}"/>
    <cellStyle name="Input 17 4 3 5 2" xfId="18207" xr:uid="{00000000-0005-0000-0000-00004E460000}"/>
    <cellStyle name="Input 17 4 3 6" xfId="18208" xr:uid="{00000000-0005-0000-0000-00004F460000}"/>
    <cellStyle name="Input 17 4 3 7" xfId="18209" xr:uid="{00000000-0005-0000-0000-000050460000}"/>
    <cellStyle name="Input 17 4 3 8" xfId="18210" xr:uid="{00000000-0005-0000-0000-000051460000}"/>
    <cellStyle name="Input 17 4 4" xfId="18211" xr:uid="{00000000-0005-0000-0000-000052460000}"/>
    <cellStyle name="Input 17 4 4 2" xfId="18212" xr:uid="{00000000-0005-0000-0000-000053460000}"/>
    <cellStyle name="Input 17 4 4 2 2" xfId="18213" xr:uid="{00000000-0005-0000-0000-000054460000}"/>
    <cellStyle name="Input 17 4 4 2 2 2" xfId="18214" xr:uid="{00000000-0005-0000-0000-000055460000}"/>
    <cellStyle name="Input 17 4 4 2 2 2 2" xfId="18215" xr:uid="{00000000-0005-0000-0000-000056460000}"/>
    <cellStyle name="Input 17 4 4 2 2 3" xfId="18216" xr:uid="{00000000-0005-0000-0000-000057460000}"/>
    <cellStyle name="Input 17 4 4 2 2 3 2" xfId="18217" xr:uid="{00000000-0005-0000-0000-000058460000}"/>
    <cellStyle name="Input 17 4 4 2 2 4" xfId="18218" xr:uid="{00000000-0005-0000-0000-000059460000}"/>
    <cellStyle name="Input 17 4 4 2 2 5" xfId="18219" xr:uid="{00000000-0005-0000-0000-00005A460000}"/>
    <cellStyle name="Input 17 4 4 2 2 6" xfId="18220" xr:uid="{00000000-0005-0000-0000-00005B460000}"/>
    <cellStyle name="Input 17 4 4 2 3" xfId="18221" xr:uid="{00000000-0005-0000-0000-00005C460000}"/>
    <cellStyle name="Input 17 4 4 2 3 2" xfId="18222" xr:uid="{00000000-0005-0000-0000-00005D460000}"/>
    <cellStyle name="Input 17 4 4 2 4" xfId="18223" xr:uid="{00000000-0005-0000-0000-00005E460000}"/>
    <cellStyle name="Input 17 4 4 2 4 2" xfId="18224" xr:uid="{00000000-0005-0000-0000-00005F460000}"/>
    <cellStyle name="Input 17 4 4 2 5" xfId="18225" xr:uid="{00000000-0005-0000-0000-000060460000}"/>
    <cellStyle name="Input 17 4 4 2 6" xfId="18226" xr:uid="{00000000-0005-0000-0000-000061460000}"/>
    <cellStyle name="Input 17 4 4 2 7" xfId="18227" xr:uid="{00000000-0005-0000-0000-000062460000}"/>
    <cellStyle name="Input 17 4 4 3" xfId="18228" xr:uid="{00000000-0005-0000-0000-000063460000}"/>
    <cellStyle name="Input 17 4 4 3 2" xfId="18229" xr:uid="{00000000-0005-0000-0000-000064460000}"/>
    <cellStyle name="Input 17 4 4 3 2 2" xfId="18230" xr:uid="{00000000-0005-0000-0000-000065460000}"/>
    <cellStyle name="Input 17 4 4 3 3" xfId="18231" xr:uid="{00000000-0005-0000-0000-000066460000}"/>
    <cellStyle name="Input 17 4 4 3 3 2" xfId="18232" xr:uid="{00000000-0005-0000-0000-000067460000}"/>
    <cellStyle name="Input 17 4 4 3 4" xfId="18233" xr:uid="{00000000-0005-0000-0000-000068460000}"/>
    <cellStyle name="Input 17 4 4 3 5" xfId="18234" xr:uid="{00000000-0005-0000-0000-000069460000}"/>
    <cellStyle name="Input 17 4 4 3 6" xfId="18235" xr:uid="{00000000-0005-0000-0000-00006A460000}"/>
    <cellStyle name="Input 17 4 4 4" xfId="18236" xr:uid="{00000000-0005-0000-0000-00006B460000}"/>
    <cellStyle name="Input 17 4 4 4 2" xfId="18237" xr:uid="{00000000-0005-0000-0000-00006C460000}"/>
    <cellStyle name="Input 17 4 4 5" xfId="18238" xr:uid="{00000000-0005-0000-0000-00006D460000}"/>
    <cellStyle name="Input 17 4 4 5 2" xfId="18239" xr:uid="{00000000-0005-0000-0000-00006E460000}"/>
    <cellStyle name="Input 17 4 4 6" xfId="18240" xr:uid="{00000000-0005-0000-0000-00006F460000}"/>
    <cellStyle name="Input 17 4 4 7" xfId="18241" xr:uid="{00000000-0005-0000-0000-000070460000}"/>
    <cellStyle name="Input 17 4 4 8" xfId="18242" xr:uid="{00000000-0005-0000-0000-000071460000}"/>
    <cellStyle name="Input 17 4 5" xfId="18243" xr:uid="{00000000-0005-0000-0000-000072460000}"/>
    <cellStyle name="Input 17 4 5 2" xfId="18244" xr:uid="{00000000-0005-0000-0000-000073460000}"/>
    <cellStyle name="Input 17 4 5 2 2" xfId="18245" xr:uid="{00000000-0005-0000-0000-000074460000}"/>
    <cellStyle name="Input 17 4 5 2 2 2" xfId="18246" xr:uid="{00000000-0005-0000-0000-000075460000}"/>
    <cellStyle name="Input 17 4 5 2 3" xfId="18247" xr:uid="{00000000-0005-0000-0000-000076460000}"/>
    <cellStyle name="Input 17 4 5 2 3 2" xfId="18248" xr:uid="{00000000-0005-0000-0000-000077460000}"/>
    <cellStyle name="Input 17 4 5 2 4" xfId="18249" xr:uid="{00000000-0005-0000-0000-000078460000}"/>
    <cellStyle name="Input 17 4 5 2 5" xfId="18250" xr:uid="{00000000-0005-0000-0000-000079460000}"/>
    <cellStyle name="Input 17 4 5 2 6" xfId="18251" xr:uid="{00000000-0005-0000-0000-00007A460000}"/>
    <cellStyle name="Input 17 4 5 3" xfId="18252" xr:uid="{00000000-0005-0000-0000-00007B460000}"/>
    <cellStyle name="Input 17 4 5 3 2" xfId="18253" xr:uid="{00000000-0005-0000-0000-00007C460000}"/>
    <cellStyle name="Input 17 4 5 4" xfId="18254" xr:uid="{00000000-0005-0000-0000-00007D460000}"/>
    <cellStyle name="Input 17 4 5 4 2" xfId="18255" xr:uid="{00000000-0005-0000-0000-00007E460000}"/>
    <cellStyle name="Input 17 4 5 5" xfId="18256" xr:uid="{00000000-0005-0000-0000-00007F460000}"/>
    <cellStyle name="Input 17 4 5 6" xfId="18257" xr:uid="{00000000-0005-0000-0000-000080460000}"/>
    <cellStyle name="Input 17 4 5 7" xfId="18258" xr:uid="{00000000-0005-0000-0000-000081460000}"/>
    <cellStyle name="Input 17 4 6" xfId="18259" xr:uid="{00000000-0005-0000-0000-000082460000}"/>
    <cellStyle name="Input 17 4 6 2" xfId="18260" xr:uid="{00000000-0005-0000-0000-000083460000}"/>
    <cellStyle name="Input 17 4 6 2 2" xfId="18261" xr:uid="{00000000-0005-0000-0000-000084460000}"/>
    <cellStyle name="Input 17 4 6 3" xfId="18262" xr:uid="{00000000-0005-0000-0000-000085460000}"/>
    <cellStyle name="Input 17 4 6 3 2" xfId="18263" xr:uid="{00000000-0005-0000-0000-000086460000}"/>
    <cellStyle name="Input 17 4 6 4" xfId="18264" xr:uid="{00000000-0005-0000-0000-000087460000}"/>
    <cellStyle name="Input 17 4 6 5" xfId="18265" xr:uid="{00000000-0005-0000-0000-000088460000}"/>
    <cellStyle name="Input 17 4 6 6" xfId="18266" xr:uid="{00000000-0005-0000-0000-000089460000}"/>
    <cellStyle name="Input 17 4 7" xfId="18267" xr:uid="{00000000-0005-0000-0000-00008A460000}"/>
    <cellStyle name="Input 17 4 7 2" xfId="18268" xr:uid="{00000000-0005-0000-0000-00008B460000}"/>
    <cellStyle name="Input 17 4 8" xfId="18269" xr:uid="{00000000-0005-0000-0000-00008C460000}"/>
    <cellStyle name="Input 17 4 8 2" xfId="18270" xr:uid="{00000000-0005-0000-0000-00008D460000}"/>
    <cellStyle name="Input 17 4 9" xfId="18271" xr:uid="{00000000-0005-0000-0000-00008E460000}"/>
    <cellStyle name="Input 17 5" xfId="18272" xr:uid="{00000000-0005-0000-0000-00008F460000}"/>
    <cellStyle name="Input 17 5 10" xfId="18273" xr:uid="{00000000-0005-0000-0000-000090460000}"/>
    <cellStyle name="Input 17 5 2" xfId="18274" xr:uid="{00000000-0005-0000-0000-000091460000}"/>
    <cellStyle name="Input 17 5 2 2" xfId="18275" xr:uid="{00000000-0005-0000-0000-000092460000}"/>
    <cellStyle name="Input 17 5 2 2 2" xfId="18276" xr:uid="{00000000-0005-0000-0000-000093460000}"/>
    <cellStyle name="Input 17 5 2 2 2 2" xfId="18277" xr:uid="{00000000-0005-0000-0000-000094460000}"/>
    <cellStyle name="Input 17 5 2 2 2 2 2" xfId="18278" xr:uid="{00000000-0005-0000-0000-000095460000}"/>
    <cellStyle name="Input 17 5 2 2 2 3" xfId="18279" xr:uid="{00000000-0005-0000-0000-000096460000}"/>
    <cellStyle name="Input 17 5 2 2 2 3 2" xfId="18280" xr:uid="{00000000-0005-0000-0000-000097460000}"/>
    <cellStyle name="Input 17 5 2 2 2 4" xfId="18281" xr:uid="{00000000-0005-0000-0000-000098460000}"/>
    <cellStyle name="Input 17 5 2 2 2 5" xfId="18282" xr:uid="{00000000-0005-0000-0000-000099460000}"/>
    <cellStyle name="Input 17 5 2 2 2 6" xfId="18283" xr:uid="{00000000-0005-0000-0000-00009A460000}"/>
    <cellStyle name="Input 17 5 2 2 3" xfId="18284" xr:uid="{00000000-0005-0000-0000-00009B460000}"/>
    <cellStyle name="Input 17 5 2 2 3 2" xfId="18285" xr:uid="{00000000-0005-0000-0000-00009C460000}"/>
    <cellStyle name="Input 17 5 2 2 4" xfId="18286" xr:uid="{00000000-0005-0000-0000-00009D460000}"/>
    <cellStyle name="Input 17 5 2 2 4 2" xfId="18287" xr:uid="{00000000-0005-0000-0000-00009E460000}"/>
    <cellStyle name="Input 17 5 2 2 5" xfId="18288" xr:uid="{00000000-0005-0000-0000-00009F460000}"/>
    <cellStyle name="Input 17 5 2 2 6" xfId="18289" xr:uid="{00000000-0005-0000-0000-0000A0460000}"/>
    <cellStyle name="Input 17 5 2 2 7" xfId="18290" xr:uid="{00000000-0005-0000-0000-0000A1460000}"/>
    <cellStyle name="Input 17 5 2 3" xfId="18291" xr:uid="{00000000-0005-0000-0000-0000A2460000}"/>
    <cellStyle name="Input 17 5 2 3 2" xfId="18292" xr:uid="{00000000-0005-0000-0000-0000A3460000}"/>
    <cellStyle name="Input 17 5 2 3 2 2" xfId="18293" xr:uid="{00000000-0005-0000-0000-0000A4460000}"/>
    <cellStyle name="Input 17 5 2 3 3" xfId="18294" xr:uid="{00000000-0005-0000-0000-0000A5460000}"/>
    <cellStyle name="Input 17 5 2 3 3 2" xfId="18295" xr:uid="{00000000-0005-0000-0000-0000A6460000}"/>
    <cellStyle name="Input 17 5 2 3 4" xfId="18296" xr:uid="{00000000-0005-0000-0000-0000A7460000}"/>
    <cellStyle name="Input 17 5 2 3 5" xfId="18297" xr:uid="{00000000-0005-0000-0000-0000A8460000}"/>
    <cellStyle name="Input 17 5 2 3 6" xfId="18298" xr:uid="{00000000-0005-0000-0000-0000A9460000}"/>
    <cellStyle name="Input 17 5 2 4" xfId="18299" xr:uid="{00000000-0005-0000-0000-0000AA460000}"/>
    <cellStyle name="Input 17 5 2 4 2" xfId="18300" xr:uid="{00000000-0005-0000-0000-0000AB460000}"/>
    <cellStyle name="Input 17 5 2 5" xfId="18301" xr:uid="{00000000-0005-0000-0000-0000AC460000}"/>
    <cellStyle name="Input 17 5 2 5 2" xfId="18302" xr:uid="{00000000-0005-0000-0000-0000AD460000}"/>
    <cellStyle name="Input 17 5 2 6" xfId="18303" xr:uid="{00000000-0005-0000-0000-0000AE460000}"/>
    <cellStyle name="Input 17 5 2 7" xfId="18304" xr:uid="{00000000-0005-0000-0000-0000AF460000}"/>
    <cellStyle name="Input 17 5 2 8" xfId="18305" xr:uid="{00000000-0005-0000-0000-0000B0460000}"/>
    <cellStyle name="Input 17 5 3" xfId="18306" xr:uid="{00000000-0005-0000-0000-0000B1460000}"/>
    <cellStyle name="Input 17 5 3 2" xfId="18307" xr:uid="{00000000-0005-0000-0000-0000B2460000}"/>
    <cellStyle name="Input 17 5 3 2 2" xfId="18308" xr:uid="{00000000-0005-0000-0000-0000B3460000}"/>
    <cellStyle name="Input 17 5 3 2 2 2" xfId="18309" xr:uid="{00000000-0005-0000-0000-0000B4460000}"/>
    <cellStyle name="Input 17 5 3 2 2 2 2" xfId="18310" xr:uid="{00000000-0005-0000-0000-0000B5460000}"/>
    <cellStyle name="Input 17 5 3 2 2 3" xfId="18311" xr:uid="{00000000-0005-0000-0000-0000B6460000}"/>
    <cellStyle name="Input 17 5 3 2 2 3 2" xfId="18312" xr:uid="{00000000-0005-0000-0000-0000B7460000}"/>
    <cellStyle name="Input 17 5 3 2 2 4" xfId="18313" xr:uid="{00000000-0005-0000-0000-0000B8460000}"/>
    <cellStyle name="Input 17 5 3 2 2 5" xfId="18314" xr:uid="{00000000-0005-0000-0000-0000B9460000}"/>
    <cellStyle name="Input 17 5 3 2 2 6" xfId="18315" xr:uid="{00000000-0005-0000-0000-0000BA460000}"/>
    <cellStyle name="Input 17 5 3 2 3" xfId="18316" xr:uid="{00000000-0005-0000-0000-0000BB460000}"/>
    <cellStyle name="Input 17 5 3 2 3 2" xfId="18317" xr:uid="{00000000-0005-0000-0000-0000BC460000}"/>
    <cellStyle name="Input 17 5 3 2 4" xfId="18318" xr:uid="{00000000-0005-0000-0000-0000BD460000}"/>
    <cellStyle name="Input 17 5 3 2 4 2" xfId="18319" xr:uid="{00000000-0005-0000-0000-0000BE460000}"/>
    <cellStyle name="Input 17 5 3 2 5" xfId="18320" xr:uid="{00000000-0005-0000-0000-0000BF460000}"/>
    <cellStyle name="Input 17 5 3 2 6" xfId="18321" xr:uid="{00000000-0005-0000-0000-0000C0460000}"/>
    <cellStyle name="Input 17 5 3 2 7" xfId="18322" xr:uid="{00000000-0005-0000-0000-0000C1460000}"/>
    <cellStyle name="Input 17 5 3 3" xfId="18323" xr:uid="{00000000-0005-0000-0000-0000C2460000}"/>
    <cellStyle name="Input 17 5 3 3 2" xfId="18324" xr:uid="{00000000-0005-0000-0000-0000C3460000}"/>
    <cellStyle name="Input 17 5 3 3 2 2" xfId="18325" xr:uid="{00000000-0005-0000-0000-0000C4460000}"/>
    <cellStyle name="Input 17 5 3 3 3" xfId="18326" xr:uid="{00000000-0005-0000-0000-0000C5460000}"/>
    <cellStyle name="Input 17 5 3 3 3 2" xfId="18327" xr:uid="{00000000-0005-0000-0000-0000C6460000}"/>
    <cellStyle name="Input 17 5 3 3 4" xfId="18328" xr:uid="{00000000-0005-0000-0000-0000C7460000}"/>
    <cellStyle name="Input 17 5 3 3 5" xfId="18329" xr:uid="{00000000-0005-0000-0000-0000C8460000}"/>
    <cellStyle name="Input 17 5 3 3 6" xfId="18330" xr:uid="{00000000-0005-0000-0000-0000C9460000}"/>
    <cellStyle name="Input 17 5 3 4" xfId="18331" xr:uid="{00000000-0005-0000-0000-0000CA460000}"/>
    <cellStyle name="Input 17 5 3 4 2" xfId="18332" xr:uid="{00000000-0005-0000-0000-0000CB460000}"/>
    <cellStyle name="Input 17 5 3 5" xfId="18333" xr:uid="{00000000-0005-0000-0000-0000CC460000}"/>
    <cellStyle name="Input 17 5 3 5 2" xfId="18334" xr:uid="{00000000-0005-0000-0000-0000CD460000}"/>
    <cellStyle name="Input 17 5 3 6" xfId="18335" xr:uid="{00000000-0005-0000-0000-0000CE460000}"/>
    <cellStyle name="Input 17 5 3 7" xfId="18336" xr:uid="{00000000-0005-0000-0000-0000CF460000}"/>
    <cellStyle name="Input 17 5 3 8" xfId="18337" xr:uid="{00000000-0005-0000-0000-0000D0460000}"/>
    <cellStyle name="Input 17 5 4" xfId="18338" xr:uid="{00000000-0005-0000-0000-0000D1460000}"/>
    <cellStyle name="Input 17 5 4 2" xfId="18339" xr:uid="{00000000-0005-0000-0000-0000D2460000}"/>
    <cellStyle name="Input 17 5 4 2 2" xfId="18340" xr:uid="{00000000-0005-0000-0000-0000D3460000}"/>
    <cellStyle name="Input 17 5 4 2 2 2" xfId="18341" xr:uid="{00000000-0005-0000-0000-0000D4460000}"/>
    <cellStyle name="Input 17 5 4 2 3" xfId="18342" xr:uid="{00000000-0005-0000-0000-0000D5460000}"/>
    <cellStyle name="Input 17 5 4 2 3 2" xfId="18343" xr:uid="{00000000-0005-0000-0000-0000D6460000}"/>
    <cellStyle name="Input 17 5 4 2 4" xfId="18344" xr:uid="{00000000-0005-0000-0000-0000D7460000}"/>
    <cellStyle name="Input 17 5 4 2 5" xfId="18345" xr:uid="{00000000-0005-0000-0000-0000D8460000}"/>
    <cellStyle name="Input 17 5 4 2 6" xfId="18346" xr:uid="{00000000-0005-0000-0000-0000D9460000}"/>
    <cellStyle name="Input 17 5 4 3" xfId="18347" xr:uid="{00000000-0005-0000-0000-0000DA460000}"/>
    <cellStyle name="Input 17 5 4 3 2" xfId="18348" xr:uid="{00000000-0005-0000-0000-0000DB460000}"/>
    <cellStyle name="Input 17 5 4 4" xfId="18349" xr:uid="{00000000-0005-0000-0000-0000DC460000}"/>
    <cellStyle name="Input 17 5 4 4 2" xfId="18350" xr:uid="{00000000-0005-0000-0000-0000DD460000}"/>
    <cellStyle name="Input 17 5 4 5" xfId="18351" xr:uid="{00000000-0005-0000-0000-0000DE460000}"/>
    <cellStyle name="Input 17 5 4 6" xfId="18352" xr:uid="{00000000-0005-0000-0000-0000DF460000}"/>
    <cellStyle name="Input 17 5 4 7" xfId="18353" xr:uid="{00000000-0005-0000-0000-0000E0460000}"/>
    <cellStyle name="Input 17 5 5" xfId="18354" xr:uid="{00000000-0005-0000-0000-0000E1460000}"/>
    <cellStyle name="Input 17 5 5 2" xfId="18355" xr:uid="{00000000-0005-0000-0000-0000E2460000}"/>
    <cellStyle name="Input 17 5 5 2 2" xfId="18356" xr:uid="{00000000-0005-0000-0000-0000E3460000}"/>
    <cellStyle name="Input 17 5 5 3" xfId="18357" xr:uid="{00000000-0005-0000-0000-0000E4460000}"/>
    <cellStyle name="Input 17 5 5 3 2" xfId="18358" xr:uid="{00000000-0005-0000-0000-0000E5460000}"/>
    <cellStyle name="Input 17 5 5 4" xfId="18359" xr:uid="{00000000-0005-0000-0000-0000E6460000}"/>
    <cellStyle name="Input 17 5 5 5" xfId="18360" xr:uid="{00000000-0005-0000-0000-0000E7460000}"/>
    <cellStyle name="Input 17 5 5 6" xfId="18361" xr:uid="{00000000-0005-0000-0000-0000E8460000}"/>
    <cellStyle name="Input 17 5 6" xfId="18362" xr:uid="{00000000-0005-0000-0000-0000E9460000}"/>
    <cellStyle name="Input 17 5 6 2" xfId="18363" xr:uid="{00000000-0005-0000-0000-0000EA460000}"/>
    <cellStyle name="Input 17 5 7" xfId="18364" xr:uid="{00000000-0005-0000-0000-0000EB460000}"/>
    <cellStyle name="Input 17 5 7 2" xfId="18365" xr:uid="{00000000-0005-0000-0000-0000EC460000}"/>
    <cellStyle name="Input 17 5 8" xfId="18366" xr:uid="{00000000-0005-0000-0000-0000ED460000}"/>
    <cellStyle name="Input 17 5 9" xfId="18367" xr:uid="{00000000-0005-0000-0000-0000EE460000}"/>
    <cellStyle name="Input 17 6" xfId="18368" xr:uid="{00000000-0005-0000-0000-0000EF460000}"/>
    <cellStyle name="Input 17 6 2" xfId="18369" xr:uid="{00000000-0005-0000-0000-0000F0460000}"/>
    <cellStyle name="Input 17 6 2 2" xfId="18370" xr:uid="{00000000-0005-0000-0000-0000F1460000}"/>
    <cellStyle name="Input 17 6 2 2 2" xfId="18371" xr:uid="{00000000-0005-0000-0000-0000F2460000}"/>
    <cellStyle name="Input 17 6 2 2 2 2" xfId="18372" xr:uid="{00000000-0005-0000-0000-0000F3460000}"/>
    <cellStyle name="Input 17 6 2 2 3" xfId="18373" xr:uid="{00000000-0005-0000-0000-0000F4460000}"/>
    <cellStyle name="Input 17 6 2 2 3 2" xfId="18374" xr:uid="{00000000-0005-0000-0000-0000F5460000}"/>
    <cellStyle name="Input 17 6 2 2 4" xfId="18375" xr:uid="{00000000-0005-0000-0000-0000F6460000}"/>
    <cellStyle name="Input 17 6 2 2 5" xfId="18376" xr:uid="{00000000-0005-0000-0000-0000F7460000}"/>
    <cellStyle name="Input 17 6 2 2 6" xfId="18377" xr:uid="{00000000-0005-0000-0000-0000F8460000}"/>
    <cellStyle name="Input 17 6 2 3" xfId="18378" xr:uid="{00000000-0005-0000-0000-0000F9460000}"/>
    <cellStyle name="Input 17 6 2 3 2" xfId="18379" xr:uid="{00000000-0005-0000-0000-0000FA460000}"/>
    <cellStyle name="Input 17 6 2 4" xfId="18380" xr:uid="{00000000-0005-0000-0000-0000FB460000}"/>
    <cellStyle name="Input 17 6 2 4 2" xfId="18381" xr:uid="{00000000-0005-0000-0000-0000FC460000}"/>
    <cellStyle name="Input 17 6 2 5" xfId="18382" xr:uid="{00000000-0005-0000-0000-0000FD460000}"/>
    <cellStyle name="Input 17 6 2 6" xfId="18383" xr:uid="{00000000-0005-0000-0000-0000FE460000}"/>
    <cellStyle name="Input 17 6 2 7" xfId="18384" xr:uid="{00000000-0005-0000-0000-0000FF460000}"/>
    <cellStyle name="Input 17 6 3" xfId="18385" xr:uid="{00000000-0005-0000-0000-000000470000}"/>
    <cellStyle name="Input 17 6 3 2" xfId="18386" xr:uid="{00000000-0005-0000-0000-000001470000}"/>
    <cellStyle name="Input 17 6 3 2 2" xfId="18387" xr:uid="{00000000-0005-0000-0000-000002470000}"/>
    <cellStyle name="Input 17 6 3 3" xfId="18388" xr:uid="{00000000-0005-0000-0000-000003470000}"/>
    <cellStyle name="Input 17 6 3 3 2" xfId="18389" xr:uid="{00000000-0005-0000-0000-000004470000}"/>
    <cellStyle name="Input 17 6 3 4" xfId="18390" xr:uid="{00000000-0005-0000-0000-000005470000}"/>
    <cellStyle name="Input 17 6 3 5" xfId="18391" xr:uid="{00000000-0005-0000-0000-000006470000}"/>
    <cellStyle name="Input 17 6 3 6" xfId="18392" xr:uid="{00000000-0005-0000-0000-000007470000}"/>
    <cellStyle name="Input 17 6 4" xfId="18393" xr:uid="{00000000-0005-0000-0000-000008470000}"/>
    <cellStyle name="Input 17 6 4 2" xfId="18394" xr:uid="{00000000-0005-0000-0000-000009470000}"/>
    <cellStyle name="Input 17 6 5" xfId="18395" xr:uid="{00000000-0005-0000-0000-00000A470000}"/>
    <cellStyle name="Input 17 6 5 2" xfId="18396" xr:uid="{00000000-0005-0000-0000-00000B470000}"/>
    <cellStyle name="Input 17 6 6" xfId="18397" xr:uid="{00000000-0005-0000-0000-00000C470000}"/>
    <cellStyle name="Input 17 6 7" xfId="18398" xr:uid="{00000000-0005-0000-0000-00000D470000}"/>
    <cellStyle name="Input 17 6 8" xfId="18399" xr:uid="{00000000-0005-0000-0000-00000E470000}"/>
    <cellStyle name="Input 17 7" xfId="18400" xr:uid="{00000000-0005-0000-0000-00000F470000}"/>
    <cellStyle name="Input 17 7 2" xfId="18401" xr:uid="{00000000-0005-0000-0000-000010470000}"/>
    <cellStyle name="Input 17 7 2 2" xfId="18402" xr:uid="{00000000-0005-0000-0000-000011470000}"/>
    <cellStyle name="Input 17 7 2 2 2" xfId="18403" xr:uid="{00000000-0005-0000-0000-000012470000}"/>
    <cellStyle name="Input 17 7 2 3" xfId="18404" xr:uid="{00000000-0005-0000-0000-000013470000}"/>
    <cellStyle name="Input 17 7 2 3 2" xfId="18405" xr:uid="{00000000-0005-0000-0000-000014470000}"/>
    <cellStyle name="Input 17 7 2 4" xfId="18406" xr:uid="{00000000-0005-0000-0000-000015470000}"/>
    <cellStyle name="Input 17 7 2 5" xfId="18407" xr:uid="{00000000-0005-0000-0000-000016470000}"/>
    <cellStyle name="Input 17 7 2 6" xfId="18408" xr:uid="{00000000-0005-0000-0000-000017470000}"/>
    <cellStyle name="Input 17 7 3" xfId="18409" xr:uid="{00000000-0005-0000-0000-000018470000}"/>
    <cellStyle name="Input 17 7 3 2" xfId="18410" xr:uid="{00000000-0005-0000-0000-000019470000}"/>
    <cellStyle name="Input 17 7 4" xfId="18411" xr:uid="{00000000-0005-0000-0000-00001A470000}"/>
    <cellStyle name="Input 17 7 4 2" xfId="18412" xr:uid="{00000000-0005-0000-0000-00001B470000}"/>
    <cellStyle name="Input 17 7 5" xfId="18413" xr:uid="{00000000-0005-0000-0000-00001C470000}"/>
    <cellStyle name="Input 17 7 6" xfId="18414" xr:uid="{00000000-0005-0000-0000-00001D470000}"/>
    <cellStyle name="Input 17 7 7" xfId="18415" xr:uid="{00000000-0005-0000-0000-00001E470000}"/>
    <cellStyle name="Input 17 8" xfId="18416" xr:uid="{00000000-0005-0000-0000-00001F470000}"/>
    <cellStyle name="Input 17 8 2" xfId="18417" xr:uid="{00000000-0005-0000-0000-000020470000}"/>
    <cellStyle name="Input 17 9" xfId="18418" xr:uid="{00000000-0005-0000-0000-000021470000}"/>
    <cellStyle name="Input 17 9 2" xfId="18419" xr:uid="{00000000-0005-0000-0000-000022470000}"/>
    <cellStyle name="Input 18" xfId="18420" xr:uid="{00000000-0005-0000-0000-000023470000}"/>
    <cellStyle name="Input 18 10" xfId="18421" xr:uid="{00000000-0005-0000-0000-000024470000}"/>
    <cellStyle name="Input 18 11" xfId="18422" xr:uid="{00000000-0005-0000-0000-000025470000}"/>
    <cellStyle name="Input 18 12" xfId="18423" xr:uid="{00000000-0005-0000-0000-000026470000}"/>
    <cellStyle name="Input 18 2" xfId="18424" xr:uid="{00000000-0005-0000-0000-000027470000}"/>
    <cellStyle name="Input 18 2 10" xfId="18425" xr:uid="{00000000-0005-0000-0000-000028470000}"/>
    <cellStyle name="Input 18 2 11" xfId="18426" xr:uid="{00000000-0005-0000-0000-000029470000}"/>
    <cellStyle name="Input 18 2 2" xfId="18427" xr:uid="{00000000-0005-0000-0000-00002A470000}"/>
    <cellStyle name="Input 18 2 2 10" xfId="18428" xr:uid="{00000000-0005-0000-0000-00002B470000}"/>
    <cellStyle name="Input 18 2 2 2" xfId="18429" xr:uid="{00000000-0005-0000-0000-00002C470000}"/>
    <cellStyle name="Input 18 2 2 2 2" xfId="18430" xr:uid="{00000000-0005-0000-0000-00002D470000}"/>
    <cellStyle name="Input 18 2 2 2 2 2" xfId="18431" xr:uid="{00000000-0005-0000-0000-00002E470000}"/>
    <cellStyle name="Input 18 2 2 2 2 2 2" xfId="18432" xr:uid="{00000000-0005-0000-0000-00002F470000}"/>
    <cellStyle name="Input 18 2 2 2 2 2 2 2" xfId="18433" xr:uid="{00000000-0005-0000-0000-000030470000}"/>
    <cellStyle name="Input 18 2 2 2 2 2 3" xfId="18434" xr:uid="{00000000-0005-0000-0000-000031470000}"/>
    <cellStyle name="Input 18 2 2 2 2 2 3 2" xfId="18435" xr:uid="{00000000-0005-0000-0000-000032470000}"/>
    <cellStyle name="Input 18 2 2 2 2 2 4" xfId="18436" xr:uid="{00000000-0005-0000-0000-000033470000}"/>
    <cellStyle name="Input 18 2 2 2 2 2 5" xfId="18437" xr:uid="{00000000-0005-0000-0000-000034470000}"/>
    <cellStyle name="Input 18 2 2 2 2 2 6" xfId="18438" xr:uid="{00000000-0005-0000-0000-000035470000}"/>
    <cellStyle name="Input 18 2 2 2 2 3" xfId="18439" xr:uid="{00000000-0005-0000-0000-000036470000}"/>
    <cellStyle name="Input 18 2 2 2 2 3 2" xfId="18440" xr:uid="{00000000-0005-0000-0000-000037470000}"/>
    <cellStyle name="Input 18 2 2 2 2 4" xfId="18441" xr:uid="{00000000-0005-0000-0000-000038470000}"/>
    <cellStyle name="Input 18 2 2 2 2 4 2" xfId="18442" xr:uid="{00000000-0005-0000-0000-000039470000}"/>
    <cellStyle name="Input 18 2 2 2 2 5" xfId="18443" xr:uid="{00000000-0005-0000-0000-00003A470000}"/>
    <cellStyle name="Input 18 2 2 2 2 6" xfId="18444" xr:uid="{00000000-0005-0000-0000-00003B470000}"/>
    <cellStyle name="Input 18 2 2 2 2 7" xfId="18445" xr:uid="{00000000-0005-0000-0000-00003C470000}"/>
    <cellStyle name="Input 18 2 2 2 3" xfId="18446" xr:uid="{00000000-0005-0000-0000-00003D470000}"/>
    <cellStyle name="Input 18 2 2 2 3 2" xfId="18447" xr:uid="{00000000-0005-0000-0000-00003E470000}"/>
    <cellStyle name="Input 18 2 2 2 3 2 2" xfId="18448" xr:uid="{00000000-0005-0000-0000-00003F470000}"/>
    <cellStyle name="Input 18 2 2 2 3 3" xfId="18449" xr:uid="{00000000-0005-0000-0000-000040470000}"/>
    <cellStyle name="Input 18 2 2 2 3 3 2" xfId="18450" xr:uid="{00000000-0005-0000-0000-000041470000}"/>
    <cellStyle name="Input 18 2 2 2 3 4" xfId="18451" xr:uid="{00000000-0005-0000-0000-000042470000}"/>
    <cellStyle name="Input 18 2 2 2 3 5" xfId="18452" xr:uid="{00000000-0005-0000-0000-000043470000}"/>
    <cellStyle name="Input 18 2 2 2 3 6" xfId="18453" xr:uid="{00000000-0005-0000-0000-000044470000}"/>
    <cellStyle name="Input 18 2 2 2 4" xfId="18454" xr:uid="{00000000-0005-0000-0000-000045470000}"/>
    <cellStyle name="Input 18 2 2 2 4 2" xfId="18455" xr:uid="{00000000-0005-0000-0000-000046470000}"/>
    <cellStyle name="Input 18 2 2 2 5" xfId="18456" xr:uid="{00000000-0005-0000-0000-000047470000}"/>
    <cellStyle name="Input 18 2 2 2 5 2" xfId="18457" xr:uid="{00000000-0005-0000-0000-000048470000}"/>
    <cellStyle name="Input 18 2 2 2 6" xfId="18458" xr:uid="{00000000-0005-0000-0000-000049470000}"/>
    <cellStyle name="Input 18 2 2 2 7" xfId="18459" xr:uid="{00000000-0005-0000-0000-00004A470000}"/>
    <cellStyle name="Input 18 2 2 2 8" xfId="18460" xr:uid="{00000000-0005-0000-0000-00004B470000}"/>
    <cellStyle name="Input 18 2 2 3" xfId="18461" xr:uid="{00000000-0005-0000-0000-00004C470000}"/>
    <cellStyle name="Input 18 2 2 3 2" xfId="18462" xr:uid="{00000000-0005-0000-0000-00004D470000}"/>
    <cellStyle name="Input 18 2 2 3 2 2" xfId="18463" xr:uid="{00000000-0005-0000-0000-00004E470000}"/>
    <cellStyle name="Input 18 2 2 3 2 2 2" xfId="18464" xr:uid="{00000000-0005-0000-0000-00004F470000}"/>
    <cellStyle name="Input 18 2 2 3 2 2 2 2" xfId="18465" xr:uid="{00000000-0005-0000-0000-000050470000}"/>
    <cellStyle name="Input 18 2 2 3 2 2 3" xfId="18466" xr:uid="{00000000-0005-0000-0000-000051470000}"/>
    <cellStyle name="Input 18 2 2 3 2 2 3 2" xfId="18467" xr:uid="{00000000-0005-0000-0000-000052470000}"/>
    <cellStyle name="Input 18 2 2 3 2 2 4" xfId="18468" xr:uid="{00000000-0005-0000-0000-000053470000}"/>
    <cellStyle name="Input 18 2 2 3 2 2 5" xfId="18469" xr:uid="{00000000-0005-0000-0000-000054470000}"/>
    <cellStyle name="Input 18 2 2 3 2 2 6" xfId="18470" xr:uid="{00000000-0005-0000-0000-000055470000}"/>
    <cellStyle name="Input 18 2 2 3 2 3" xfId="18471" xr:uid="{00000000-0005-0000-0000-000056470000}"/>
    <cellStyle name="Input 18 2 2 3 2 3 2" xfId="18472" xr:uid="{00000000-0005-0000-0000-000057470000}"/>
    <cellStyle name="Input 18 2 2 3 2 4" xfId="18473" xr:uid="{00000000-0005-0000-0000-000058470000}"/>
    <cellStyle name="Input 18 2 2 3 2 4 2" xfId="18474" xr:uid="{00000000-0005-0000-0000-000059470000}"/>
    <cellStyle name="Input 18 2 2 3 2 5" xfId="18475" xr:uid="{00000000-0005-0000-0000-00005A470000}"/>
    <cellStyle name="Input 18 2 2 3 2 6" xfId="18476" xr:uid="{00000000-0005-0000-0000-00005B470000}"/>
    <cellStyle name="Input 18 2 2 3 2 7" xfId="18477" xr:uid="{00000000-0005-0000-0000-00005C470000}"/>
    <cellStyle name="Input 18 2 2 3 3" xfId="18478" xr:uid="{00000000-0005-0000-0000-00005D470000}"/>
    <cellStyle name="Input 18 2 2 3 3 2" xfId="18479" xr:uid="{00000000-0005-0000-0000-00005E470000}"/>
    <cellStyle name="Input 18 2 2 3 3 2 2" xfId="18480" xr:uid="{00000000-0005-0000-0000-00005F470000}"/>
    <cellStyle name="Input 18 2 2 3 3 3" xfId="18481" xr:uid="{00000000-0005-0000-0000-000060470000}"/>
    <cellStyle name="Input 18 2 2 3 3 3 2" xfId="18482" xr:uid="{00000000-0005-0000-0000-000061470000}"/>
    <cellStyle name="Input 18 2 2 3 3 4" xfId="18483" xr:uid="{00000000-0005-0000-0000-000062470000}"/>
    <cellStyle name="Input 18 2 2 3 3 5" xfId="18484" xr:uid="{00000000-0005-0000-0000-000063470000}"/>
    <cellStyle name="Input 18 2 2 3 3 6" xfId="18485" xr:uid="{00000000-0005-0000-0000-000064470000}"/>
    <cellStyle name="Input 18 2 2 3 4" xfId="18486" xr:uid="{00000000-0005-0000-0000-000065470000}"/>
    <cellStyle name="Input 18 2 2 3 4 2" xfId="18487" xr:uid="{00000000-0005-0000-0000-000066470000}"/>
    <cellStyle name="Input 18 2 2 3 5" xfId="18488" xr:uid="{00000000-0005-0000-0000-000067470000}"/>
    <cellStyle name="Input 18 2 2 3 5 2" xfId="18489" xr:uid="{00000000-0005-0000-0000-000068470000}"/>
    <cellStyle name="Input 18 2 2 3 6" xfId="18490" xr:uid="{00000000-0005-0000-0000-000069470000}"/>
    <cellStyle name="Input 18 2 2 3 7" xfId="18491" xr:uid="{00000000-0005-0000-0000-00006A470000}"/>
    <cellStyle name="Input 18 2 2 3 8" xfId="18492" xr:uid="{00000000-0005-0000-0000-00006B470000}"/>
    <cellStyle name="Input 18 2 2 4" xfId="18493" xr:uid="{00000000-0005-0000-0000-00006C470000}"/>
    <cellStyle name="Input 18 2 2 4 2" xfId="18494" xr:uid="{00000000-0005-0000-0000-00006D470000}"/>
    <cellStyle name="Input 18 2 2 4 2 2" xfId="18495" xr:uid="{00000000-0005-0000-0000-00006E470000}"/>
    <cellStyle name="Input 18 2 2 4 2 2 2" xfId="18496" xr:uid="{00000000-0005-0000-0000-00006F470000}"/>
    <cellStyle name="Input 18 2 2 4 2 3" xfId="18497" xr:uid="{00000000-0005-0000-0000-000070470000}"/>
    <cellStyle name="Input 18 2 2 4 2 3 2" xfId="18498" xr:uid="{00000000-0005-0000-0000-000071470000}"/>
    <cellStyle name="Input 18 2 2 4 2 4" xfId="18499" xr:uid="{00000000-0005-0000-0000-000072470000}"/>
    <cellStyle name="Input 18 2 2 4 2 5" xfId="18500" xr:uid="{00000000-0005-0000-0000-000073470000}"/>
    <cellStyle name="Input 18 2 2 4 2 6" xfId="18501" xr:uid="{00000000-0005-0000-0000-000074470000}"/>
    <cellStyle name="Input 18 2 2 4 3" xfId="18502" xr:uid="{00000000-0005-0000-0000-000075470000}"/>
    <cellStyle name="Input 18 2 2 4 3 2" xfId="18503" xr:uid="{00000000-0005-0000-0000-000076470000}"/>
    <cellStyle name="Input 18 2 2 4 4" xfId="18504" xr:uid="{00000000-0005-0000-0000-000077470000}"/>
    <cellStyle name="Input 18 2 2 4 4 2" xfId="18505" xr:uid="{00000000-0005-0000-0000-000078470000}"/>
    <cellStyle name="Input 18 2 2 4 5" xfId="18506" xr:uid="{00000000-0005-0000-0000-000079470000}"/>
    <cellStyle name="Input 18 2 2 4 6" xfId="18507" xr:uid="{00000000-0005-0000-0000-00007A470000}"/>
    <cellStyle name="Input 18 2 2 4 7" xfId="18508" xr:uid="{00000000-0005-0000-0000-00007B470000}"/>
    <cellStyle name="Input 18 2 2 5" xfId="18509" xr:uid="{00000000-0005-0000-0000-00007C470000}"/>
    <cellStyle name="Input 18 2 2 5 2" xfId="18510" xr:uid="{00000000-0005-0000-0000-00007D470000}"/>
    <cellStyle name="Input 18 2 2 5 2 2" xfId="18511" xr:uid="{00000000-0005-0000-0000-00007E470000}"/>
    <cellStyle name="Input 18 2 2 5 3" xfId="18512" xr:uid="{00000000-0005-0000-0000-00007F470000}"/>
    <cellStyle name="Input 18 2 2 5 3 2" xfId="18513" xr:uid="{00000000-0005-0000-0000-000080470000}"/>
    <cellStyle name="Input 18 2 2 5 4" xfId="18514" xr:uid="{00000000-0005-0000-0000-000081470000}"/>
    <cellStyle name="Input 18 2 2 5 5" xfId="18515" xr:uid="{00000000-0005-0000-0000-000082470000}"/>
    <cellStyle name="Input 18 2 2 5 6" xfId="18516" xr:uid="{00000000-0005-0000-0000-000083470000}"/>
    <cellStyle name="Input 18 2 2 6" xfId="18517" xr:uid="{00000000-0005-0000-0000-000084470000}"/>
    <cellStyle name="Input 18 2 2 6 2" xfId="18518" xr:uid="{00000000-0005-0000-0000-000085470000}"/>
    <cellStyle name="Input 18 2 2 7" xfId="18519" xr:uid="{00000000-0005-0000-0000-000086470000}"/>
    <cellStyle name="Input 18 2 2 7 2" xfId="18520" xr:uid="{00000000-0005-0000-0000-000087470000}"/>
    <cellStyle name="Input 18 2 2 8" xfId="18521" xr:uid="{00000000-0005-0000-0000-000088470000}"/>
    <cellStyle name="Input 18 2 2 9" xfId="18522" xr:uid="{00000000-0005-0000-0000-000089470000}"/>
    <cellStyle name="Input 18 2 3" xfId="18523" xr:uid="{00000000-0005-0000-0000-00008A470000}"/>
    <cellStyle name="Input 18 2 3 2" xfId="18524" xr:uid="{00000000-0005-0000-0000-00008B470000}"/>
    <cellStyle name="Input 18 2 3 2 2" xfId="18525" xr:uid="{00000000-0005-0000-0000-00008C470000}"/>
    <cellStyle name="Input 18 2 3 2 2 2" xfId="18526" xr:uid="{00000000-0005-0000-0000-00008D470000}"/>
    <cellStyle name="Input 18 2 3 2 2 2 2" xfId="18527" xr:uid="{00000000-0005-0000-0000-00008E470000}"/>
    <cellStyle name="Input 18 2 3 2 2 3" xfId="18528" xr:uid="{00000000-0005-0000-0000-00008F470000}"/>
    <cellStyle name="Input 18 2 3 2 2 3 2" xfId="18529" xr:uid="{00000000-0005-0000-0000-000090470000}"/>
    <cellStyle name="Input 18 2 3 2 2 4" xfId="18530" xr:uid="{00000000-0005-0000-0000-000091470000}"/>
    <cellStyle name="Input 18 2 3 2 2 5" xfId="18531" xr:uid="{00000000-0005-0000-0000-000092470000}"/>
    <cellStyle name="Input 18 2 3 2 2 6" xfId="18532" xr:uid="{00000000-0005-0000-0000-000093470000}"/>
    <cellStyle name="Input 18 2 3 2 3" xfId="18533" xr:uid="{00000000-0005-0000-0000-000094470000}"/>
    <cellStyle name="Input 18 2 3 2 3 2" xfId="18534" xr:uid="{00000000-0005-0000-0000-000095470000}"/>
    <cellStyle name="Input 18 2 3 2 4" xfId="18535" xr:uid="{00000000-0005-0000-0000-000096470000}"/>
    <cellStyle name="Input 18 2 3 2 4 2" xfId="18536" xr:uid="{00000000-0005-0000-0000-000097470000}"/>
    <cellStyle name="Input 18 2 3 2 5" xfId="18537" xr:uid="{00000000-0005-0000-0000-000098470000}"/>
    <cellStyle name="Input 18 2 3 2 6" xfId="18538" xr:uid="{00000000-0005-0000-0000-000099470000}"/>
    <cellStyle name="Input 18 2 3 2 7" xfId="18539" xr:uid="{00000000-0005-0000-0000-00009A470000}"/>
    <cellStyle name="Input 18 2 3 3" xfId="18540" xr:uid="{00000000-0005-0000-0000-00009B470000}"/>
    <cellStyle name="Input 18 2 3 3 2" xfId="18541" xr:uid="{00000000-0005-0000-0000-00009C470000}"/>
    <cellStyle name="Input 18 2 3 3 2 2" xfId="18542" xr:uid="{00000000-0005-0000-0000-00009D470000}"/>
    <cellStyle name="Input 18 2 3 3 3" xfId="18543" xr:uid="{00000000-0005-0000-0000-00009E470000}"/>
    <cellStyle name="Input 18 2 3 3 3 2" xfId="18544" xr:uid="{00000000-0005-0000-0000-00009F470000}"/>
    <cellStyle name="Input 18 2 3 3 4" xfId="18545" xr:uid="{00000000-0005-0000-0000-0000A0470000}"/>
    <cellStyle name="Input 18 2 3 3 5" xfId="18546" xr:uid="{00000000-0005-0000-0000-0000A1470000}"/>
    <cellStyle name="Input 18 2 3 3 6" xfId="18547" xr:uid="{00000000-0005-0000-0000-0000A2470000}"/>
    <cellStyle name="Input 18 2 3 4" xfId="18548" xr:uid="{00000000-0005-0000-0000-0000A3470000}"/>
    <cellStyle name="Input 18 2 3 4 2" xfId="18549" xr:uid="{00000000-0005-0000-0000-0000A4470000}"/>
    <cellStyle name="Input 18 2 3 5" xfId="18550" xr:uid="{00000000-0005-0000-0000-0000A5470000}"/>
    <cellStyle name="Input 18 2 3 5 2" xfId="18551" xr:uid="{00000000-0005-0000-0000-0000A6470000}"/>
    <cellStyle name="Input 18 2 3 6" xfId="18552" xr:uid="{00000000-0005-0000-0000-0000A7470000}"/>
    <cellStyle name="Input 18 2 3 7" xfId="18553" xr:uid="{00000000-0005-0000-0000-0000A8470000}"/>
    <cellStyle name="Input 18 2 3 8" xfId="18554" xr:uid="{00000000-0005-0000-0000-0000A9470000}"/>
    <cellStyle name="Input 18 2 4" xfId="18555" xr:uid="{00000000-0005-0000-0000-0000AA470000}"/>
    <cellStyle name="Input 18 2 4 2" xfId="18556" xr:uid="{00000000-0005-0000-0000-0000AB470000}"/>
    <cellStyle name="Input 18 2 4 2 2" xfId="18557" xr:uid="{00000000-0005-0000-0000-0000AC470000}"/>
    <cellStyle name="Input 18 2 4 2 2 2" xfId="18558" xr:uid="{00000000-0005-0000-0000-0000AD470000}"/>
    <cellStyle name="Input 18 2 4 2 2 2 2" xfId="18559" xr:uid="{00000000-0005-0000-0000-0000AE470000}"/>
    <cellStyle name="Input 18 2 4 2 2 3" xfId="18560" xr:uid="{00000000-0005-0000-0000-0000AF470000}"/>
    <cellStyle name="Input 18 2 4 2 2 3 2" xfId="18561" xr:uid="{00000000-0005-0000-0000-0000B0470000}"/>
    <cellStyle name="Input 18 2 4 2 2 4" xfId="18562" xr:uid="{00000000-0005-0000-0000-0000B1470000}"/>
    <cellStyle name="Input 18 2 4 2 2 5" xfId="18563" xr:uid="{00000000-0005-0000-0000-0000B2470000}"/>
    <cellStyle name="Input 18 2 4 2 2 6" xfId="18564" xr:uid="{00000000-0005-0000-0000-0000B3470000}"/>
    <cellStyle name="Input 18 2 4 2 3" xfId="18565" xr:uid="{00000000-0005-0000-0000-0000B4470000}"/>
    <cellStyle name="Input 18 2 4 2 3 2" xfId="18566" xr:uid="{00000000-0005-0000-0000-0000B5470000}"/>
    <cellStyle name="Input 18 2 4 2 4" xfId="18567" xr:uid="{00000000-0005-0000-0000-0000B6470000}"/>
    <cellStyle name="Input 18 2 4 2 4 2" xfId="18568" xr:uid="{00000000-0005-0000-0000-0000B7470000}"/>
    <cellStyle name="Input 18 2 4 2 5" xfId="18569" xr:uid="{00000000-0005-0000-0000-0000B8470000}"/>
    <cellStyle name="Input 18 2 4 2 6" xfId="18570" xr:uid="{00000000-0005-0000-0000-0000B9470000}"/>
    <cellStyle name="Input 18 2 4 2 7" xfId="18571" xr:uid="{00000000-0005-0000-0000-0000BA470000}"/>
    <cellStyle name="Input 18 2 4 3" xfId="18572" xr:uid="{00000000-0005-0000-0000-0000BB470000}"/>
    <cellStyle name="Input 18 2 4 3 2" xfId="18573" xr:uid="{00000000-0005-0000-0000-0000BC470000}"/>
    <cellStyle name="Input 18 2 4 3 2 2" xfId="18574" xr:uid="{00000000-0005-0000-0000-0000BD470000}"/>
    <cellStyle name="Input 18 2 4 3 3" xfId="18575" xr:uid="{00000000-0005-0000-0000-0000BE470000}"/>
    <cellStyle name="Input 18 2 4 3 3 2" xfId="18576" xr:uid="{00000000-0005-0000-0000-0000BF470000}"/>
    <cellStyle name="Input 18 2 4 3 4" xfId="18577" xr:uid="{00000000-0005-0000-0000-0000C0470000}"/>
    <cellStyle name="Input 18 2 4 3 5" xfId="18578" xr:uid="{00000000-0005-0000-0000-0000C1470000}"/>
    <cellStyle name="Input 18 2 4 3 6" xfId="18579" xr:uid="{00000000-0005-0000-0000-0000C2470000}"/>
    <cellStyle name="Input 18 2 4 4" xfId="18580" xr:uid="{00000000-0005-0000-0000-0000C3470000}"/>
    <cellStyle name="Input 18 2 4 4 2" xfId="18581" xr:uid="{00000000-0005-0000-0000-0000C4470000}"/>
    <cellStyle name="Input 18 2 4 5" xfId="18582" xr:uid="{00000000-0005-0000-0000-0000C5470000}"/>
    <cellStyle name="Input 18 2 4 5 2" xfId="18583" xr:uid="{00000000-0005-0000-0000-0000C6470000}"/>
    <cellStyle name="Input 18 2 4 6" xfId="18584" xr:uid="{00000000-0005-0000-0000-0000C7470000}"/>
    <cellStyle name="Input 18 2 4 7" xfId="18585" xr:uid="{00000000-0005-0000-0000-0000C8470000}"/>
    <cellStyle name="Input 18 2 4 8" xfId="18586" xr:uid="{00000000-0005-0000-0000-0000C9470000}"/>
    <cellStyle name="Input 18 2 5" xfId="18587" xr:uid="{00000000-0005-0000-0000-0000CA470000}"/>
    <cellStyle name="Input 18 2 5 2" xfId="18588" xr:uid="{00000000-0005-0000-0000-0000CB470000}"/>
    <cellStyle name="Input 18 2 5 2 2" xfId="18589" xr:uid="{00000000-0005-0000-0000-0000CC470000}"/>
    <cellStyle name="Input 18 2 5 2 2 2" xfId="18590" xr:uid="{00000000-0005-0000-0000-0000CD470000}"/>
    <cellStyle name="Input 18 2 5 2 3" xfId="18591" xr:uid="{00000000-0005-0000-0000-0000CE470000}"/>
    <cellStyle name="Input 18 2 5 2 3 2" xfId="18592" xr:uid="{00000000-0005-0000-0000-0000CF470000}"/>
    <cellStyle name="Input 18 2 5 2 4" xfId="18593" xr:uid="{00000000-0005-0000-0000-0000D0470000}"/>
    <cellStyle name="Input 18 2 5 2 5" xfId="18594" xr:uid="{00000000-0005-0000-0000-0000D1470000}"/>
    <cellStyle name="Input 18 2 5 2 6" xfId="18595" xr:uid="{00000000-0005-0000-0000-0000D2470000}"/>
    <cellStyle name="Input 18 2 5 3" xfId="18596" xr:uid="{00000000-0005-0000-0000-0000D3470000}"/>
    <cellStyle name="Input 18 2 5 3 2" xfId="18597" xr:uid="{00000000-0005-0000-0000-0000D4470000}"/>
    <cellStyle name="Input 18 2 5 4" xfId="18598" xr:uid="{00000000-0005-0000-0000-0000D5470000}"/>
    <cellStyle name="Input 18 2 5 4 2" xfId="18599" xr:uid="{00000000-0005-0000-0000-0000D6470000}"/>
    <cellStyle name="Input 18 2 5 5" xfId="18600" xr:uid="{00000000-0005-0000-0000-0000D7470000}"/>
    <cellStyle name="Input 18 2 5 6" xfId="18601" xr:uid="{00000000-0005-0000-0000-0000D8470000}"/>
    <cellStyle name="Input 18 2 5 7" xfId="18602" xr:uid="{00000000-0005-0000-0000-0000D9470000}"/>
    <cellStyle name="Input 18 2 6" xfId="18603" xr:uid="{00000000-0005-0000-0000-0000DA470000}"/>
    <cellStyle name="Input 18 2 6 2" xfId="18604" xr:uid="{00000000-0005-0000-0000-0000DB470000}"/>
    <cellStyle name="Input 18 2 6 2 2" xfId="18605" xr:uid="{00000000-0005-0000-0000-0000DC470000}"/>
    <cellStyle name="Input 18 2 6 3" xfId="18606" xr:uid="{00000000-0005-0000-0000-0000DD470000}"/>
    <cellStyle name="Input 18 2 6 3 2" xfId="18607" xr:uid="{00000000-0005-0000-0000-0000DE470000}"/>
    <cellStyle name="Input 18 2 6 4" xfId="18608" xr:uid="{00000000-0005-0000-0000-0000DF470000}"/>
    <cellStyle name="Input 18 2 6 5" xfId="18609" xr:uid="{00000000-0005-0000-0000-0000E0470000}"/>
    <cellStyle name="Input 18 2 6 6" xfId="18610" xr:uid="{00000000-0005-0000-0000-0000E1470000}"/>
    <cellStyle name="Input 18 2 7" xfId="18611" xr:uid="{00000000-0005-0000-0000-0000E2470000}"/>
    <cellStyle name="Input 18 2 7 2" xfId="18612" xr:uid="{00000000-0005-0000-0000-0000E3470000}"/>
    <cellStyle name="Input 18 2 8" xfId="18613" xr:uid="{00000000-0005-0000-0000-0000E4470000}"/>
    <cellStyle name="Input 18 2 8 2" xfId="18614" xr:uid="{00000000-0005-0000-0000-0000E5470000}"/>
    <cellStyle name="Input 18 2 9" xfId="18615" xr:uid="{00000000-0005-0000-0000-0000E6470000}"/>
    <cellStyle name="Input 18 3" xfId="18616" xr:uid="{00000000-0005-0000-0000-0000E7470000}"/>
    <cellStyle name="Input 18 3 10" xfId="18617" xr:uid="{00000000-0005-0000-0000-0000E8470000}"/>
    <cellStyle name="Input 18 3 2" xfId="18618" xr:uid="{00000000-0005-0000-0000-0000E9470000}"/>
    <cellStyle name="Input 18 3 2 10" xfId="18619" xr:uid="{00000000-0005-0000-0000-0000EA470000}"/>
    <cellStyle name="Input 18 3 2 2" xfId="18620" xr:uid="{00000000-0005-0000-0000-0000EB470000}"/>
    <cellStyle name="Input 18 3 2 2 2" xfId="18621" xr:uid="{00000000-0005-0000-0000-0000EC470000}"/>
    <cellStyle name="Input 18 3 2 2 2 2" xfId="18622" xr:uid="{00000000-0005-0000-0000-0000ED470000}"/>
    <cellStyle name="Input 18 3 2 2 2 2 2" xfId="18623" xr:uid="{00000000-0005-0000-0000-0000EE470000}"/>
    <cellStyle name="Input 18 3 2 2 2 2 2 2" xfId="18624" xr:uid="{00000000-0005-0000-0000-0000EF470000}"/>
    <cellStyle name="Input 18 3 2 2 2 2 3" xfId="18625" xr:uid="{00000000-0005-0000-0000-0000F0470000}"/>
    <cellStyle name="Input 18 3 2 2 2 2 3 2" xfId="18626" xr:uid="{00000000-0005-0000-0000-0000F1470000}"/>
    <cellStyle name="Input 18 3 2 2 2 2 4" xfId="18627" xr:uid="{00000000-0005-0000-0000-0000F2470000}"/>
    <cellStyle name="Input 18 3 2 2 2 2 5" xfId="18628" xr:uid="{00000000-0005-0000-0000-0000F3470000}"/>
    <cellStyle name="Input 18 3 2 2 2 2 6" xfId="18629" xr:uid="{00000000-0005-0000-0000-0000F4470000}"/>
    <cellStyle name="Input 18 3 2 2 2 3" xfId="18630" xr:uid="{00000000-0005-0000-0000-0000F5470000}"/>
    <cellStyle name="Input 18 3 2 2 2 3 2" xfId="18631" xr:uid="{00000000-0005-0000-0000-0000F6470000}"/>
    <cellStyle name="Input 18 3 2 2 2 4" xfId="18632" xr:uid="{00000000-0005-0000-0000-0000F7470000}"/>
    <cellStyle name="Input 18 3 2 2 2 4 2" xfId="18633" xr:uid="{00000000-0005-0000-0000-0000F8470000}"/>
    <cellStyle name="Input 18 3 2 2 2 5" xfId="18634" xr:uid="{00000000-0005-0000-0000-0000F9470000}"/>
    <cellStyle name="Input 18 3 2 2 2 6" xfId="18635" xr:uid="{00000000-0005-0000-0000-0000FA470000}"/>
    <cellStyle name="Input 18 3 2 2 2 7" xfId="18636" xr:uid="{00000000-0005-0000-0000-0000FB470000}"/>
    <cellStyle name="Input 18 3 2 2 3" xfId="18637" xr:uid="{00000000-0005-0000-0000-0000FC470000}"/>
    <cellStyle name="Input 18 3 2 2 3 2" xfId="18638" xr:uid="{00000000-0005-0000-0000-0000FD470000}"/>
    <cellStyle name="Input 18 3 2 2 3 2 2" xfId="18639" xr:uid="{00000000-0005-0000-0000-0000FE470000}"/>
    <cellStyle name="Input 18 3 2 2 3 3" xfId="18640" xr:uid="{00000000-0005-0000-0000-0000FF470000}"/>
    <cellStyle name="Input 18 3 2 2 3 3 2" xfId="18641" xr:uid="{00000000-0005-0000-0000-000000480000}"/>
    <cellStyle name="Input 18 3 2 2 3 4" xfId="18642" xr:uid="{00000000-0005-0000-0000-000001480000}"/>
    <cellStyle name="Input 18 3 2 2 3 5" xfId="18643" xr:uid="{00000000-0005-0000-0000-000002480000}"/>
    <cellStyle name="Input 18 3 2 2 3 6" xfId="18644" xr:uid="{00000000-0005-0000-0000-000003480000}"/>
    <cellStyle name="Input 18 3 2 2 4" xfId="18645" xr:uid="{00000000-0005-0000-0000-000004480000}"/>
    <cellStyle name="Input 18 3 2 2 4 2" xfId="18646" xr:uid="{00000000-0005-0000-0000-000005480000}"/>
    <cellStyle name="Input 18 3 2 2 5" xfId="18647" xr:uid="{00000000-0005-0000-0000-000006480000}"/>
    <cellStyle name="Input 18 3 2 2 5 2" xfId="18648" xr:uid="{00000000-0005-0000-0000-000007480000}"/>
    <cellStyle name="Input 18 3 2 2 6" xfId="18649" xr:uid="{00000000-0005-0000-0000-000008480000}"/>
    <cellStyle name="Input 18 3 2 2 7" xfId="18650" xr:uid="{00000000-0005-0000-0000-000009480000}"/>
    <cellStyle name="Input 18 3 2 2 8" xfId="18651" xr:uid="{00000000-0005-0000-0000-00000A480000}"/>
    <cellStyle name="Input 18 3 2 3" xfId="18652" xr:uid="{00000000-0005-0000-0000-00000B480000}"/>
    <cellStyle name="Input 18 3 2 3 2" xfId="18653" xr:uid="{00000000-0005-0000-0000-00000C480000}"/>
    <cellStyle name="Input 18 3 2 3 2 2" xfId="18654" xr:uid="{00000000-0005-0000-0000-00000D480000}"/>
    <cellStyle name="Input 18 3 2 3 2 2 2" xfId="18655" xr:uid="{00000000-0005-0000-0000-00000E480000}"/>
    <cellStyle name="Input 18 3 2 3 2 2 2 2" xfId="18656" xr:uid="{00000000-0005-0000-0000-00000F480000}"/>
    <cellStyle name="Input 18 3 2 3 2 2 3" xfId="18657" xr:uid="{00000000-0005-0000-0000-000010480000}"/>
    <cellStyle name="Input 18 3 2 3 2 2 3 2" xfId="18658" xr:uid="{00000000-0005-0000-0000-000011480000}"/>
    <cellStyle name="Input 18 3 2 3 2 2 4" xfId="18659" xr:uid="{00000000-0005-0000-0000-000012480000}"/>
    <cellStyle name="Input 18 3 2 3 2 2 5" xfId="18660" xr:uid="{00000000-0005-0000-0000-000013480000}"/>
    <cellStyle name="Input 18 3 2 3 2 2 6" xfId="18661" xr:uid="{00000000-0005-0000-0000-000014480000}"/>
    <cellStyle name="Input 18 3 2 3 2 3" xfId="18662" xr:uid="{00000000-0005-0000-0000-000015480000}"/>
    <cellStyle name="Input 18 3 2 3 2 3 2" xfId="18663" xr:uid="{00000000-0005-0000-0000-000016480000}"/>
    <cellStyle name="Input 18 3 2 3 2 4" xfId="18664" xr:uid="{00000000-0005-0000-0000-000017480000}"/>
    <cellStyle name="Input 18 3 2 3 2 4 2" xfId="18665" xr:uid="{00000000-0005-0000-0000-000018480000}"/>
    <cellStyle name="Input 18 3 2 3 2 5" xfId="18666" xr:uid="{00000000-0005-0000-0000-000019480000}"/>
    <cellStyle name="Input 18 3 2 3 2 6" xfId="18667" xr:uid="{00000000-0005-0000-0000-00001A480000}"/>
    <cellStyle name="Input 18 3 2 3 2 7" xfId="18668" xr:uid="{00000000-0005-0000-0000-00001B480000}"/>
    <cellStyle name="Input 18 3 2 3 3" xfId="18669" xr:uid="{00000000-0005-0000-0000-00001C480000}"/>
    <cellStyle name="Input 18 3 2 3 3 2" xfId="18670" xr:uid="{00000000-0005-0000-0000-00001D480000}"/>
    <cellStyle name="Input 18 3 2 3 3 2 2" xfId="18671" xr:uid="{00000000-0005-0000-0000-00001E480000}"/>
    <cellStyle name="Input 18 3 2 3 3 3" xfId="18672" xr:uid="{00000000-0005-0000-0000-00001F480000}"/>
    <cellStyle name="Input 18 3 2 3 3 3 2" xfId="18673" xr:uid="{00000000-0005-0000-0000-000020480000}"/>
    <cellStyle name="Input 18 3 2 3 3 4" xfId="18674" xr:uid="{00000000-0005-0000-0000-000021480000}"/>
    <cellStyle name="Input 18 3 2 3 3 5" xfId="18675" xr:uid="{00000000-0005-0000-0000-000022480000}"/>
    <cellStyle name="Input 18 3 2 3 3 6" xfId="18676" xr:uid="{00000000-0005-0000-0000-000023480000}"/>
    <cellStyle name="Input 18 3 2 3 4" xfId="18677" xr:uid="{00000000-0005-0000-0000-000024480000}"/>
    <cellStyle name="Input 18 3 2 3 4 2" xfId="18678" xr:uid="{00000000-0005-0000-0000-000025480000}"/>
    <cellStyle name="Input 18 3 2 3 5" xfId="18679" xr:uid="{00000000-0005-0000-0000-000026480000}"/>
    <cellStyle name="Input 18 3 2 3 5 2" xfId="18680" xr:uid="{00000000-0005-0000-0000-000027480000}"/>
    <cellStyle name="Input 18 3 2 3 6" xfId="18681" xr:uid="{00000000-0005-0000-0000-000028480000}"/>
    <cellStyle name="Input 18 3 2 3 7" xfId="18682" xr:uid="{00000000-0005-0000-0000-000029480000}"/>
    <cellStyle name="Input 18 3 2 3 8" xfId="18683" xr:uid="{00000000-0005-0000-0000-00002A480000}"/>
    <cellStyle name="Input 18 3 2 4" xfId="18684" xr:uid="{00000000-0005-0000-0000-00002B480000}"/>
    <cellStyle name="Input 18 3 2 4 2" xfId="18685" xr:uid="{00000000-0005-0000-0000-00002C480000}"/>
    <cellStyle name="Input 18 3 2 4 2 2" xfId="18686" xr:uid="{00000000-0005-0000-0000-00002D480000}"/>
    <cellStyle name="Input 18 3 2 4 2 2 2" xfId="18687" xr:uid="{00000000-0005-0000-0000-00002E480000}"/>
    <cellStyle name="Input 18 3 2 4 2 3" xfId="18688" xr:uid="{00000000-0005-0000-0000-00002F480000}"/>
    <cellStyle name="Input 18 3 2 4 2 3 2" xfId="18689" xr:uid="{00000000-0005-0000-0000-000030480000}"/>
    <cellStyle name="Input 18 3 2 4 2 4" xfId="18690" xr:uid="{00000000-0005-0000-0000-000031480000}"/>
    <cellStyle name="Input 18 3 2 4 2 5" xfId="18691" xr:uid="{00000000-0005-0000-0000-000032480000}"/>
    <cellStyle name="Input 18 3 2 4 2 6" xfId="18692" xr:uid="{00000000-0005-0000-0000-000033480000}"/>
    <cellStyle name="Input 18 3 2 4 3" xfId="18693" xr:uid="{00000000-0005-0000-0000-000034480000}"/>
    <cellStyle name="Input 18 3 2 4 3 2" xfId="18694" xr:uid="{00000000-0005-0000-0000-000035480000}"/>
    <cellStyle name="Input 18 3 2 4 4" xfId="18695" xr:uid="{00000000-0005-0000-0000-000036480000}"/>
    <cellStyle name="Input 18 3 2 4 4 2" xfId="18696" xr:uid="{00000000-0005-0000-0000-000037480000}"/>
    <cellStyle name="Input 18 3 2 4 5" xfId="18697" xr:uid="{00000000-0005-0000-0000-000038480000}"/>
    <cellStyle name="Input 18 3 2 4 6" xfId="18698" xr:uid="{00000000-0005-0000-0000-000039480000}"/>
    <cellStyle name="Input 18 3 2 4 7" xfId="18699" xr:uid="{00000000-0005-0000-0000-00003A480000}"/>
    <cellStyle name="Input 18 3 2 5" xfId="18700" xr:uid="{00000000-0005-0000-0000-00003B480000}"/>
    <cellStyle name="Input 18 3 2 5 2" xfId="18701" xr:uid="{00000000-0005-0000-0000-00003C480000}"/>
    <cellStyle name="Input 18 3 2 5 2 2" xfId="18702" xr:uid="{00000000-0005-0000-0000-00003D480000}"/>
    <cellStyle name="Input 18 3 2 5 3" xfId="18703" xr:uid="{00000000-0005-0000-0000-00003E480000}"/>
    <cellStyle name="Input 18 3 2 5 3 2" xfId="18704" xr:uid="{00000000-0005-0000-0000-00003F480000}"/>
    <cellStyle name="Input 18 3 2 5 4" xfId="18705" xr:uid="{00000000-0005-0000-0000-000040480000}"/>
    <cellStyle name="Input 18 3 2 5 5" xfId="18706" xr:uid="{00000000-0005-0000-0000-000041480000}"/>
    <cellStyle name="Input 18 3 2 5 6" xfId="18707" xr:uid="{00000000-0005-0000-0000-000042480000}"/>
    <cellStyle name="Input 18 3 2 6" xfId="18708" xr:uid="{00000000-0005-0000-0000-000043480000}"/>
    <cellStyle name="Input 18 3 2 6 2" xfId="18709" xr:uid="{00000000-0005-0000-0000-000044480000}"/>
    <cellStyle name="Input 18 3 2 7" xfId="18710" xr:uid="{00000000-0005-0000-0000-000045480000}"/>
    <cellStyle name="Input 18 3 2 7 2" xfId="18711" xr:uid="{00000000-0005-0000-0000-000046480000}"/>
    <cellStyle name="Input 18 3 2 8" xfId="18712" xr:uid="{00000000-0005-0000-0000-000047480000}"/>
    <cellStyle name="Input 18 3 2 9" xfId="18713" xr:uid="{00000000-0005-0000-0000-000048480000}"/>
    <cellStyle name="Input 18 3 3" xfId="18714" xr:uid="{00000000-0005-0000-0000-000049480000}"/>
    <cellStyle name="Input 18 3 3 2" xfId="18715" xr:uid="{00000000-0005-0000-0000-00004A480000}"/>
    <cellStyle name="Input 18 3 3 2 2" xfId="18716" xr:uid="{00000000-0005-0000-0000-00004B480000}"/>
    <cellStyle name="Input 18 3 3 2 2 2" xfId="18717" xr:uid="{00000000-0005-0000-0000-00004C480000}"/>
    <cellStyle name="Input 18 3 3 2 2 2 2" xfId="18718" xr:uid="{00000000-0005-0000-0000-00004D480000}"/>
    <cellStyle name="Input 18 3 3 2 2 3" xfId="18719" xr:uid="{00000000-0005-0000-0000-00004E480000}"/>
    <cellStyle name="Input 18 3 3 2 2 3 2" xfId="18720" xr:uid="{00000000-0005-0000-0000-00004F480000}"/>
    <cellStyle name="Input 18 3 3 2 2 4" xfId="18721" xr:uid="{00000000-0005-0000-0000-000050480000}"/>
    <cellStyle name="Input 18 3 3 2 2 5" xfId="18722" xr:uid="{00000000-0005-0000-0000-000051480000}"/>
    <cellStyle name="Input 18 3 3 2 2 6" xfId="18723" xr:uid="{00000000-0005-0000-0000-000052480000}"/>
    <cellStyle name="Input 18 3 3 2 3" xfId="18724" xr:uid="{00000000-0005-0000-0000-000053480000}"/>
    <cellStyle name="Input 18 3 3 2 3 2" xfId="18725" xr:uid="{00000000-0005-0000-0000-000054480000}"/>
    <cellStyle name="Input 18 3 3 2 4" xfId="18726" xr:uid="{00000000-0005-0000-0000-000055480000}"/>
    <cellStyle name="Input 18 3 3 2 4 2" xfId="18727" xr:uid="{00000000-0005-0000-0000-000056480000}"/>
    <cellStyle name="Input 18 3 3 2 5" xfId="18728" xr:uid="{00000000-0005-0000-0000-000057480000}"/>
    <cellStyle name="Input 18 3 3 2 6" xfId="18729" xr:uid="{00000000-0005-0000-0000-000058480000}"/>
    <cellStyle name="Input 18 3 3 2 7" xfId="18730" xr:uid="{00000000-0005-0000-0000-000059480000}"/>
    <cellStyle name="Input 18 3 3 3" xfId="18731" xr:uid="{00000000-0005-0000-0000-00005A480000}"/>
    <cellStyle name="Input 18 3 3 3 2" xfId="18732" xr:uid="{00000000-0005-0000-0000-00005B480000}"/>
    <cellStyle name="Input 18 3 3 3 2 2" xfId="18733" xr:uid="{00000000-0005-0000-0000-00005C480000}"/>
    <cellStyle name="Input 18 3 3 3 3" xfId="18734" xr:uid="{00000000-0005-0000-0000-00005D480000}"/>
    <cellStyle name="Input 18 3 3 3 3 2" xfId="18735" xr:uid="{00000000-0005-0000-0000-00005E480000}"/>
    <cellStyle name="Input 18 3 3 3 4" xfId="18736" xr:uid="{00000000-0005-0000-0000-00005F480000}"/>
    <cellStyle name="Input 18 3 3 3 5" xfId="18737" xr:uid="{00000000-0005-0000-0000-000060480000}"/>
    <cellStyle name="Input 18 3 3 3 6" xfId="18738" xr:uid="{00000000-0005-0000-0000-000061480000}"/>
    <cellStyle name="Input 18 3 3 4" xfId="18739" xr:uid="{00000000-0005-0000-0000-000062480000}"/>
    <cellStyle name="Input 18 3 3 4 2" xfId="18740" xr:uid="{00000000-0005-0000-0000-000063480000}"/>
    <cellStyle name="Input 18 3 3 5" xfId="18741" xr:uid="{00000000-0005-0000-0000-000064480000}"/>
    <cellStyle name="Input 18 3 3 5 2" xfId="18742" xr:uid="{00000000-0005-0000-0000-000065480000}"/>
    <cellStyle name="Input 18 3 3 6" xfId="18743" xr:uid="{00000000-0005-0000-0000-000066480000}"/>
    <cellStyle name="Input 18 3 3 7" xfId="18744" xr:uid="{00000000-0005-0000-0000-000067480000}"/>
    <cellStyle name="Input 18 3 3 8" xfId="18745" xr:uid="{00000000-0005-0000-0000-000068480000}"/>
    <cellStyle name="Input 18 3 4" xfId="18746" xr:uid="{00000000-0005-0000-0000-000069480000}"/>
    <cellStyle name="Input 18 3 4 2" xfId="18747" xr:uid="{00000000-0005-0000-0000-00006A480000}"/>
    <cellStyle name="Input 18 3 4 2 2" xfId="18748" xr:uid="{00000000-0005-0000-0000-00006B480000}"/>
    <cellStyle name="Input 18 3 4 2 2 2" xfId="18749" xr:uid="{00000000-0005-0000-0000-00006C480000}"/>
    <cellStyle name="Input 18 3 4 2 3" xfId="18750" xr:uid="{00000000-0005-0000-0000-00006D480000}"/>
    <cellStyle name="Input 18 3 4 2 3 2" xfId="18751" xr:uid="{00000000-0005-0000-0000-00006E480000}"/>
    <cellStyle name="Input 18 3 4 2 4" xfId="18752" xr:uid="{00000000-0005-0000-0000-00006F480000}"/>
    <cellStyle name="Input 18 3 4 2 5" xfId="18753" xr:uid="{00000000-0005-0000-0000-000070480000}"/>
    <cellStyle name="Input 18 3 4 2 6" xfId="18754" xr:uid="{00000000-0005-0000-0000-000071480000}"/>
    <cellStyle name="Input 18 3 4 3" xfId="18755" xr:uid="{00000000-0005-0000-0000-000072480000}"/>
    <cellStyle name="Input 18 3 4 3 2" xfId="18756" xr:uid="{00000000-0005-0000-0000-000073480000}"/>
    <cellStyle name="Input 18 3 4 4" xfId="18757" xr:uid="{00000000-0005-0000-0000-000074480000}"/>
    <cellStyle name="Input 18 3 4 4 2" xfId="18758" xr:uid="{00000000-0005-0000-0000-000075480000}"/>
    <cellStyle name="Input 18 3 4 5" xfId="18759" xr:uid="{00000000-0005-0000-0000-000076480000}"/>
    <cellStyle name="Input 18 3 4 6" xfId="18760" xr:uid="{00000000-0005-0000-0000-000077480000}"/>
    <cellStyle name="Input 18 3 4 7" xfId="18761" xr:uid="{00000000-0005-0000-0000-000078480000}"/>
    <cellStyle name="Input 18 3 5" xfId="18762" xr:uid="{00000000-0005-0000-0000-000079480000}"/>
    <cellStyle name="Input 18 3 5 2" xfId="18763" xr:uid="{00000000-0005-0000-0000-00007A480000}"/>
    <cellStyle name="Input 18 3 5 2 2" xfId="18764" xr:uid="{00000000-0005-0000-0000-00007B480000}"/>
    <cellStyle name="Input 18 3 5 3" xfId="18765" xr:uid="{00000000-0005-0000-0000-00007C480000}"/>
    <cellStyle name="Input 18 3 5 3 2" xfId="18766" xr:uid="{00000000-0005-0000-0000-00007D480000}"/>
    <cellStyle name="Input 18 3 5 4" xfId="18767" xr:uid="{00000000-0005-0000-0000-00007E480000}"/>
    <cellStyle name="Input 18 3 5 5" xfId="18768" xr:uid="{00000000-0005-0000-0000-00007F480000}"/>
    <cellStyle name="Input 18 3 5 6" xfId="18769" xr:uid="{00000000-0005-0000-0000-000080480000}"/>
    <cellStyle name="Input 18 3 6" xfId="18770" xr:uid="{00000000-0005-0000-0000-000081480000}"/>
    <cellStyle name="Input 18 3 6 2" xfId="18771" xr:uid="{00000000-0005-0000-0000-000082480000}"/>
    <cellStyle name="Input 18 3 7" xfId="18772" xr:uid="{00000000-0005-0000-0000-000083480000}"/>
    <cellStyle name="Input 18 3 7 2" xfId="18773" xr:uid="{00000000-0005-0000-0000-000084480000}"/>
    <cellStyle name="Input 18 3 8" xfId="18774" xr:uid="{00000000-0005-0000-0000-000085480000}"/>
    <cellStyle name="Input 18 3 9" xfId="18775" xr:uid="{00000000-0005-0000-0000-000086480000}"/>
    <cellStyle name="Input 18 4" xfId="18776" xr:uid="{00000000-0005-0000-0000-000087480000}"/>
    <cellStyle name="Input 18 4 10" xfId="18777" xr:uid="{00000000-0005-0000-0000-000088480000}"/>
    <cellStyle name="Input 18 4 2" xfId="18778" xr:uid="{00000000-0005-0000-0000-000089480000}"/>
    <cellStyle name="Input 18 4 2 2" xfId="18779" xr:uid="{00000000-0005-0000-0000-00008A480000}"/>
    <cellStyle name="Input 18 4 2 2 2" xfId="18780" xr:uid="{00000000-0005-0000-0000-00008B480000}"/>
    <cellStyle name="Input 18 4 2 2 2 2" xfId="18781" xr:uid="{00000000-0005-0000-0000-00008C480000}"/>
    <cellStyle name="Input 18 4 2 2 2 2 2" xfId="18782" xr:uid="{00000000-0005-0000-0000-00008D480000}"/>
    <cellStyle name="Input 18 4 2 2 2 3" xfId="18783" xr:uid="{00000000-0005-0000-0000-00008E480000}"/>
    <cellStyle name="Input 18 4 2 2 2 3 2" xfId="18784" xr:uid="{00000000-0005-0000-0000-00008F480000}"/>
    <cellStyle name="Input 18 4 2 2 2 4" xfId="18785" xr:uid="{00000000-0005-0000-0000-000090480000}"/>
    <cellStyle name="Input 18 4 2 2 2 5" xfId="18786" xr:uid="{00000000-0005-0000-0000-000091480000}"/>
    <cellStyle name="Input 18 4 2 2 2 6" xfId="18787" xr:uid="{00000000-0005-0000-0000-000092480000}"/>
    <cellStyle name="Input 18 4 2 2 3" xfId="18788" xr:uid="{00000000-0005-0000-0000-000093480000}"/>
    <cellStyle name="Input 18 4 2 2 3 2" xfId="18789" xr:uid="{00000000-0005-0000-0000-000094480000}"/>
    <cellStyle name="Input 18 4 2 2 4" xfId="18790" xr:uid="{00000000-0005-0000-0000-000095480000}"/>
    <cellStyle name="Input 18 4 2 2 4 2" xfId="18791" xr:uid="{00000000-0005-0000-0000-000096480000}"/>
    <cellStyle name="Input 18 4 2 2 5" xfId="18792" xr:uid="{00000000-0005-0000-0000-000097480000}"/>
    <cellStyle name="Input 18 4 2 2 6" xfId="18793" xr:uid="{00000000-0005-0000-0000-000098480000}"/>
    <cellStyle name="Input 18 4 2 2 7" xfId="18794" xr:uid="{00000000-0005-0000-0000-000099480000}"/>
    <cellStyle name="Input 18 4 2 3" xfId="18795" xr:uid="{00000000-0005-0000-0000-00009A480000}"/>
    <cellStyle name="Input 18 4 2 3 2" xfId="18796" xr:uid="{00000000-0005-0000-0000-00009B480000}"/>
    <cellStyle name="Input 18 4 2 3 2 2" xfId="18797" xr:uid="{00000000-0005-0000-0000-00009C480000}"/>
    <cellStyle name="Input 18 4 2 3 3" xfId="18798" xr:uid="{00000000-0005-0000-0000-00009D480000}"/>
    <cellStyle name="Input 18 4 2 3 3 2" xfId="18799" xr:uid="{00000000-0005-0000-0000-00009E480000}"/>
    <cellStyle name="Input 18 4 2 3 4" xfId="18800" xr:uid="{00000000-0005-0000-0000-00009F480000}"/>
    <cellStyle name="Input 18 4 2 3 5" xfId="18801" xr:uid="{00000000-0005-0000-0000-0000A0480000}"/>
    <cellStyle name="Input 18 4 2 3 6" xfId="18802" xr:uid="{00000000-0005-0000-0000-0000A1480000}"/>
    <cellStyle name="Input 18 4 2 4" xfId="18803" xr:uid="{00000000-0005-0000-0000-0000A2480000}"/>
    <cellStyle name="Input 18 4 2 4 2" xfId="18804" xr:uid="{00000000-0005-0000-0000-0000A3480000}"/>
    <cellStyle name="Input 18 4 2 5" xfId="18805" xr:uid="{00000000-0005-0000-0000-0000A4480000}"/>
    <cellStyle name="Input 18 4 2 5 2" xfId="18806" xr:uid="{00000000-0005-0000-0000-0000A5480000}"/>
    <cellStyle name="Input 18 4 2 6" xfId="18807" xr:uid="{00000000-0005-0000-0000-0000A6480000}"/>
    <cellStyle name="Input 18 4 2 7" xfId="18808" xr:uid="{00000000-0005-0000-0000-0000A7480000}"/>
    <cellStyle name="Input 18 4 2 8" xfId="18809" xr:uid="{00000000-0005-0000-0000-0000A8480000}"/>
    <cellStyle name="Input 18 4 3" xfId="18810" xr:uid="{00000000-0005-0000-0000-0000A9480000}"/>
    <cellStyle name="Input 18 4 3 2" xfId="18811" xr:uid="{00000000-0005-0000-0000-0000AA480000}"/>
    <cellStyle name="Input 18 4 3 2 2" xfId="18812" xr:uid="{00000000-0005-0000-0000-0000AB480000}"/>
    <cellStyle name="Input 18 4 3 2 2 2" xfId="18813" xr:uid="{00000000-0005-0000-0000-0000AC480000}"/>
    <cellStyle name="Input 18 4 3 2 2 2 2" xfId="18814" xr:uid="{00000000-0005-0000-0000-0000AD480000}"/>
    <cellStyle name="Input 18 4 3 2 2 3" xfId="18815" xr:uid="{00000000-0005-0000-0000-0000AE480000}"/>
    <cellStyle name="Input 18 4 3 2 2 3 2" xfId="18816" xr:uid="{00000000-0005-0000-0000-0000AF480000}"/>
    <cellStyle name="Input 18 4 3 2 2 4" xfId="18817" xr:uid="{00000000-0005-0000-0000-0000B0480000}"/>
    <cellStyle name="Input 18 4 3 2 2 5" xfId="18818" xr:uid="{00000000-0005-0000-0000-0000B1480000}"/>
    <cellStyle name="Input 18 4 3 2 2 6" xfId="18819" xr:uid="{00000000-0005-0000-0000-0000B2480000}"/>
    <cellStyle name="Input 18 4 3 2 3" xfId="18820" xr:uid="{00000000-0005-0000-0000-0000B3480000}"/>
    <cellStyle name="Input 18 4 3 2 3 2" xfId="18821" xr:uid="{00000000-0005-0000-0000-0000B4480000}"/>
    <cellStyle name="Input 18 4 3 2 4" xfId="18822" xr:uid="{00000000-0005-0000-0000-0000B5480000}"/>
    <cellStyle name="Input 18 4 3 2 4 2" xfId="18823" xr:uid="{00000000-0005-0000-0000-0000B6480000}"/>
    <cellStyle name="Input 18 4 3 2 5" xfId="18824" xr:uid="{00000000-0005-0000-0000-0000B7480000}"/>
    <cellStyle name="Input 18 4 3 2 6" xfId="18825" xr:uid="{00000000-0005-0000-0000-0000B8480000}"/>
    <cellStyle name="Input 18 4 3 2 7" xfId="18826" xr:uid="{00000000-0005-0000-0000-0000B9480000}"/>
    <cellStyle name="Input 18 4 3 3" xfId="18827" xr:uid="{00000000-0005-0000-0000-0000BA480000}"/>
    <cellStyle name="Input 18 4 3 3 2" xfId="18828" xr:uid="{00000000-0005-0000-0000-0000BB480000}"/>
    <cellStyle name="Input 18 4 3 3 2 2" xfId="18829" xr:uid="{00000000-0005-0000-0000-0000BC480000}"/>
    <cellStyle name="Input 18 4 3 3 3" xfId="18830" xr:uid="{00000000-0005-0000-0000-0000BD480000}"/>
    <cellStyle name="Input 18 4 3 3 3 2" xfId="18831" xr:uid="{00000000-0005-0000-0000-0000BE480000}"/>
    <cellStyle name="Input 18 4 3 3 4" xfId="18832" xr:uid="{00000000-0005-0000-0000-0000BF480000}"/>
    <cellStyle name="Input 18 4 3 3 5" xfId="18833" xr:uid="{00000000-0005-0000-0000-0000C0480000}"/>
    <cellStyle name="Input 18 4 3 3 6" xfId="18834" xr:uid="{00000000-0005-0000-0000-0000C1480000}"/>
    <cellStyle name="Input 18 4 3 4" xfId="18835" xr:uid="{00000000-0005-0000-0000-0000C2480000}"/>
    <cellStyle name="Input 18 4 3 4 2" xfId="18836" xr:uid="{00000000-0005-0000-0000-0000C3480000}"/>
    <cellStyle name="Input 18 4 3 5" xfId="18837" xr:uid="{00000000-0005-0000-0000-0000C4480000}"/>
    <cellStyle name="Input 18 4 3 5 2" xfId="18838" xr:uid="{00000000-0005-0000-0000-0000C5480000}"/>
    <cellStyle name="Input 18 4 3 6" xfId="18839" xr:uid="{00000000-0005-0000-0000-0000C6480000}"/>
    <cellStyle name="Input 18 4 3 7" xfId="18840" xr:uid="{00000000-0005-0000-0000-0000C7480000}"/>
    <cellStyle name="Input 18 4 3 8" xfId="18841" xr:uid="{00000000-0005-0000-0000-0000C8480000}"/>
    <cellStyle name="Input 18 4 4" xfId="18842" xr:uid="{00000000-0005-0000-0000-0000C9480000}"/>
    <cellStyle name="Input 18 4 4 2" xfId="18843" xr:uid="{00000000-0005-0000-0000-0000CA480000}"/>
    <cellStyle name="Input 18 4 4 2 2" xfId="18844" xr:uid="{00000000-0005-0000-0000-0000CB480000}"/>
    <cellStyle name="Input 18 4 4 2 2 2" xfId="18845" xr:uid="{00000000-0005-0000-0000-0000CC480000}"/>
    <cellStyle name="Input 18 4 4 2 3" xfId="18846" xr:uid="{00000000-0005-0000-0000-0000CD480000}"/>
    <cellStyle name="Input 18 4 4 2 3 2" xfId="18847" xr:uid="{00000000-0005-0000-0000-0000CE480000}"/>
    <cellStyle name="Input 18 4 4 2 4" xfId="18848" xr:uid="{00000000-0005-0000-0000-0000CF480000}"/>
    <cellStyle name="Input 18 4 4 2 5" xfId="18849" xr:uid="{00000000-0005-0000-0000-0000D0480000}"/>
    <cellStyle name="Input 18 4 4 2 6" xfId="18850" xr:uid="{00000000-0005-0000-0000-0000D1480000}"/>
    <cellStyle name="Input 18 4 4 3" xfId="18851" xr:uid="{00000000-0005-0000-0000-0000D2480000}"/>
    <cellStyle name="Input 18 4 4 3 2" xfId="18852" xr:uid="{00000000-0005-0000-0000-0000D3480000}"/>
    <cellStyle name="Input 18 4 4 4" xfId="18853" xr:uid="{00000000-0005-0000-0000-0000D4480000}"/>
    <cellStyle name="Input 18 4 4 4 2" xfId="18854" xr:uid="{00000000-0005-0000-0000-0000D5480000}"/>
    <cellStyle name="Input 18 4 4 5" xfId="18855" xr:uid="{00000000-0005-0000-0000-0000D6480000}"/>
    <cellStyle name="Input 18 4 4 6" xfId="18856" xr:uid="{00000000-0005-0000-0000-0000D7480000}"/>
    <cellStyle name="Input 18 4 4 7" xfId="18857" xr:uid="{00000000-0005-0000-0000-0000D8480000}"/>
    <cellStyle name="Input 18 4 5" xfId="18858" xr:uid="{00000000-0005-0000-0000-0000D9480000}"/>
    <cellStyle name="Input 18 4 5 2" xfId="18859" xr:uid="{00000000-0005-0000-0000-0000DA480000}"/>
    <cellStyle name="Input 18 4 5 2 2" xfId="18860" xr:uid="{00000000-0005-0000-0000-0000DB480000}"/>
    <cellStyle name="Input 18 4 5 3" xfId="18861" xr:uid="{00000000-0005-0000-0000-0000DC480000}"/>
    <cellStyle name="Input 18 4 5 3 2" xfId="18862" xr:uid="{00000000-0005-0000-0000-0000DD480000}"/>
    <cellStyle name="Input 18 4 5 4" xfId="18863" xr:uid="{00000000-0005-0000-0000-0000DE480000}"/>
    <cellStyle name="Input 18 4 5 5" xfId="18864" xr:uid="{00000000-0005-0000-0000-0000DF480000}"/>
    <cellStyle name="Input 18 4 5 6" xfId="18865" xr:uid="{00000000-0005-0000-0000-0000E0480000}"/>
    <cellStyle name="Input 18 4 6" xfId="18866" xr:uid="{00000000-0005-0000-0000-0000E1480000}"/>
    <cellStyle name="Input 18 4 6 2" xfId="18867" xr:uid="{00000000-0005-0000-0000-0000E2480000}"/>
    <cellStyle name="Input 18 4 7" xfId="18868" xr:uid="{00000000-0005-0000-0000-0000E3480000}"/>
    <cellStyle name="Input 18 4 7 2" xfId="18869" xr:uid="{00000000-0005-0000-0000-0000E4480000}"/>
    <cellStyle name="Input 18 4 8" xfId="18870" xr:uid="{00000000-0005-0000-0000-0000E5480000}"/>
    <cellStyle name="Input 18 4 9" xfId="18871" xr:uid="{00000000-0005-0000-0000-0000E6480000}"/>
    <cellStyle name="Input 18 5" xfId="18872" xr:uid="{00000000-0005-0000-0000-0000E7480000}"/>
    <cellStyle name="Input 18 5 2" xfId="18873" xr:uid="{00000000-0005-0000-0000-0000E8480000}"/>
    <cellStyle name="Input 18 5 2 2" xfId="18874" xr:uid="{00000000-0005-0000-0000-0000E9480000}"/>
    <cellStyle name="Input 18 5 2 2 2" xfId="18875" xr:uid="{00000000-0005-0000-0000-0000EA480000}"/>
    <cellStyle name="Input 18 5 2 2 2 2" xfId="18876" xr:uid="{00000000-0005-0000-0000-0000EB480000}"/>
    <cellStyle name="Input 18 5 2 2 3" xfId="18877" xr:uid="{00000000-0005-0000-0000-0000EC480000}"/>
    <cellStyle name="Input 18 5 2 2 3 2" xfId="18878" xr:uid="{00000000-0005-0000-0000-0000ED480000}"/>
    <cellStyle name="Input 18 5 2 2 4" xfId="18879" xr:uid="{00000000-0005-0000-0000-0000EE480000}"/>
    <cellStyle name="Input 18 5 2 2 5" xfId="18880" xr:uid="{00000000-0005-0000-0000-0000EF480000}"/>
    <cellStyle name="Input 18 5 2 2 6" xfId="18881" xr:uid="{00000000-0005-0000-0000-0000F0480000}"/>
    <cellStyle name="Input 18 5 2 3" xfId="18882" xr:uid="{00000000-0005-0000-0000-0000F1480000}"/>
    <cellStyle name="Input 18 5 2 3 2" xfId="18883" xr:uid="{00000000-0005-0000-0000-0000F2480000}"/>
    <cellStyle name="Input 18 5 2 4" xfId="18884" xr:uid="{00000000-0005-0000-0000-0000F3480000}"/>
    <cellStyle name="Input 18 5 2 4 2" xfId="18885" xr:uid="{00000000-0005-0000-0000-0000F4480000}"/>
    <cellStyle name="Input 18 5 2 5" xfId="18886" xr:uid="{00000000-0005-0000-0000-0000F5480000}"/>
    <cellStyle name="Input 18 5 2 6" xfId="18887" xr:uid="{00000000-0005-0000-0000-0000F6480000}"/>
    <cellStyle name="Input 18 5 2 7" xfId="18888" xr:uid="{00000000-0005-0000-0000-0000F7480000}"/>
    <cellStyle name="Input 18 5 3" xfId="18889" xr:uid="{00000000-0005-0000-0000-0000F8480000}"/>
    <cellStyle name="Input 18 5 3 2" xfId="18890" xr:uid="{00000000-0005-0000-0000-0000F9480000}"/>
    <cellStyle name="Input 18 5 3 2 2" xfId="18891" xr:uid="{00000000-0005-0000-0000-0000FA480000}"/>
    <cellStyle name="Input 18 5 3 3" xfId="18892" xr:uid="{00000000-0005-0000-0000-0000FB480000}"/>
    <cellStyle name="Input 18 5 3 3 2" xfId="18893" xr:uid="{00000000-0005-0000-0000-0000FC480000}"/>
    <cellStyle name="Input 18 5 3 4" xfId="18894" xr:uid="{00000000-0005-0000-0000-0000FD480000}"/>
    <cellStyle name="Input 18 5 3 5" xfId="18895" xr:uid="{00000000-0005-0000-0000-0000FE480000}"/>
    <cellStyle name="Input 18 5 3 6" xfId="18896" xr:uid="{00000000-0005-0000-0000-0000FF480000}"/>
    <cellStyle name="Input 18 5 4" xfId="18897" xr:uid="{00000000-0005-0000-0000-000000490000}"/>
    <cellStyle name="Input 18 5 4 2" xfId="18898" xr:uid="{00000000-0005-0000-0000-000001490000}"/>
    <cellStyle name="Input 18 5 5" xfId="18899" xr:uid="{00000000-0005-0000-0000-000002490000}"/>
    <cellStyle name="Input 18 5 5 2" xfId="18900" xr:uid="{00000000-0005-0000-0000-000003490000}"/>
    <cellStyle name="Input 18 5 6" xfId="18901" xr:uid="{00000000-0005-0000-0000-000004490000}"/>
    <cellStyle name="Input 18 5 7" xfId="18902" xr:uid="{00000000-0005-0000-0000-000005490000}"/>
    <cellStyle name="Input 18 5 8" xfId="18903" xr:uid="{00000000-0005-0000-0000-000006490000}"/>
    <cellStyle name="Input 18 6" xfId="18904" xr:uid="{00000000-0005-0000-0000-000007490000}"/>
    <cellStyle name="Input 18 6 2" xfId="18905" xr:uid="{00000000-0005-0000-0000-000008490000}"/>
    <cellStyle name="Input 18 6 2 2" xfId="18906" xr:uid="{00000000-0005-0000-0000-000009490000}"/>
    <cellStyle name="Input 18 6 2 2 2" xfId="18907" xr:uid="{00000000-0005-0000-0000-00000A490000}"/>
    <cellStyle name="Input 18 6 2 3" xfId="18908" xr:uid="{00000000-0005-0000-0000-00000B490000}"/>
    <cellStyle name="Input 18 6 2 3 2" xfId="18909" xr:uid="{00000000-0005-0000-0000-00000C490000}"/>
    <cellStyle name="Input 18 6 2 4" xfId="18910" xr:uid="{00000000-0005-0000-0000-00000D490000}"/>
    <cellStyle name="Input 18 6 2 5" xfId="18911" xr:uid="{00000000-0005-0000-0000-00000E490000}"/>
    <cellStyle name="Input 18 6 2 6" xfId="18912" xr:uid="{00000000-0005-0000-0000-00000F490000}"/>
    <cellStyle name="Input 18 6 3" xfId="18913" xr:uid="{00000000-0005-0000-0000-000010490000}"/>
    <cellStyle name="Input 18 6 3 2" xfId="18914" xr:uid="{00000000-0005-0000-0000-000011490000}"/>
    <cellStyle name="Input 18 6 4" xfId="18915" xr:uid="{00000000-0005-0000-0000-000012490000}"/>
    <cellStyle name="Input 18 6 4 2" xfId="18916" xr:uid="{00000000-0005-0000-0000-000013490000}"/>
    <cellStyle name="Input 18 6 5" xfId="18917" xr:uid="{00000000-0005-0000-0000-000014490000}"/>
    <cellStyle name="Input 18 6 6" xfId="18918" xr:uid="{00000000-0005-0000-0000-000015490000}"/>
    <cellStyle name="Input 18 6 7" xfId="18919" xr:uid="{00000000-0005-0000-0000-000016490000}"/>
    <cellStyle name="Input 18 7" xfId="18920" xr:uid="{00000000-0005-0000-0000-000017490000}"/>
    <cellStyle name="Input 18 7 2" xfId="18921" xr:uid="{00000000-0005-0000-0000-000018490000}"/>
    <cellStyle name="Input 18 7 2 2" xfId="18922" xr:uid="{00000000-0005-0000-0000-000019490000}"/>
    <cellStyle name="Input 18 7 3" xfId="18923" xr:uid="{00000000-0005-0000-0000-00001A490000}"/>
    <cellStyle name="Input 18 7 3 2" xfId="18924" xr:uid="{00000000-0005-0000-0000-00001B490000}"/>
    <cellStyle name="Input 18 7 4" xfId="18925" xr:uid="{00000000-0005-0000-0000-00001C490000}"/>
    <cellStyle name="Input 18 7 5" xfId="18926" xr:uid="{00000000-0005-0000-0000-00001D490000}"/>
    <cellStyle name="Input 18 7 6" xfId="18927" xr:uid="{00000000-0005-0000-0000-00001E490000}"/>
    <cellStyle name="Input 18 8" xfId="18928" xr:uid="{00000000-0005-0000-0000-00001F490000}"/>
    <cellStyle name="Input 18 8 2" xfId="18929" xr:uid="{00000000-0005-0000-0000-000020490000}"/>
    <cellStyle name="Input 18 9" xfId="18930" xr:uid="{00000000-0005-0000-0000-000021490000}"/>
    <cellStyle name="Input 18 9 2" xfId="18931" xr:uid="{00000000-0005-0000-0000-000022490000}"/>
    <cellStyle name="Input 19" xfId="18932" xr:uid="{00000000-0005-0000-0000-000023490000}"/>
    <cellStyle name="Input 19 10" xfId="18933" xr:uid="{00000000-0005-0000-0000-000024490000}"/>
    <cellStyle name="Input 19 11" xfId="18934" xr:uid="{00000000-0005-0000-0000-000025490000}"/>
    <cellStyle name="Input 19 12" xfId="18935" xr:uid="{00000000-0005-0000-0000-000026490000}"/>
    <cellStyle name="Input 19 2" xfId="18936" xr:uid="{00000000-0005-0000-0000-000027490000}"/>
    <cellStyle name="Input 19 2 10" xfId="18937" xr:uid="{00000000-0005-0000-0000-000028490000}"/>
    <cellStyle name="Input 19 2 11" xfId="18938" xr:uid="{00000000-0005-0000-0000-000029490000}"/>
    <cellStyle name="Input 19 2 2" xfId="18939" xr:uid="{00000000-0005-0000-0000-00002A490000}"/>
    <cellStyle name="Input 19 2 2 10" xfId="18940" xr:uid="{00000000-0005-0000-0000-00002B490000}"/>
    <cellStyle name="Input 19 2 2 2" xfId="18941" xr:uid="{00000000-0005-0000-0000-00002C490000}"/>
    <cellStyle name="Input 19 2 2 2 2" xfId="18942" xr:uid="{00000000-0005-0000-0000-00002D490000}"/>
    <cellStyle name="Input 19 2 2 2 2 2" xfId="18943" xr:uid="{00000000-0005-0000-0000-00002E490000}"/>
    <cellStyle name="Input 19 2 2 2 2 2 2" xfId="18944" xr:uid="{00000000-0005-0000-0000-00002F490000}"/>
    <cellStyle name="Input 19 2 2 2 2 2 2 2" xfId="18945" xr:uid="{00000000-0005-0000-0000-000030490000}"/>
    <cellStyle name="Input 19 2 2 2 2 2 3" xfId="18946" xr:uid="{00000000-0005-0000-0000-000031490000}"/>
    <cellStyle name="Input 19 2 2 2 2 2 3 2" xfId="18947" xr:uid="{00000000-0005-0000-0000-000032490000}"/>
    <cellStyle name="Input 19 2 2 2 2 2 4" xfId="18948" xr:uid="{00000000-0005-0000-0000-000033490000}"/>
    <cellStyle name="Input 19 2 2 2 2 2 5" xfId="18949" xr:uid="{00000000-0005-0000-0000-000034490000}"/>
    <cellStyle name="Input 19 2 2 2 2 2 6" xfId="18950" xr:uid="{00000000-0005-0000-0000-000035490000}"/>
    <cellStyle name="Input 19 2 2 2 2 3" xfId="18951" xr:uid="{00000000-0005-0000-0000-000036490000}"/>
    <cellStyle name="Input 19 2 2 2 2 3 2" xfId="18952" xr:uid="{00000000-0005-0000-0000-000037490000}"/>
    <cellStyle name="Input 19 2 2 2 2 4" xfId="18953" xr:uid="{00000000-0005-0000-0000-000038490000}"/>
    <cellStyle name="Input 19 2 2 2 2 4 2" xfId="18954" xr:uid="{00000000-0005-0000-0000-000039490000}"/>
    <cellStyle name="Input 19 2 2 2 2 5" xfId="18955" xr:uid="{00000000-0005-0000-0000-00003A490000}"/>
    <cellStyle name="Input 19 2 2 2 2 6" xfId="18956" xr:uid="{00000000-0005-0000-0000-00003B490000}"/>
    <cellStyle name="Input 19 2 2 2 2 7" xfId="18957" xr:uid="{00000000-0005-0000-0000-00003C490000}"/>
    <cellStyle name="Input 19 2 2 2 3" xfId="18958" xr:uid="{00000000-0005-0000-0000-00003D490000}"/>
    <cellStyle name="Input 19 2 2 2 3 2" xfId="18959" xr:uid="{00000000-0005-0000-0000-00003E490000}"/>
    <cellStyle name="Input 19 2 2 2 3 2 2" xfId="18960" xr:uid="{00000000-0005-0000-0000-00003F490000}"/>
    <cellStyle name="Input 19 2 2 2 3 3" xfId="18961" xr:uid="{00000000-0005-0000-0000-000040490000}"/>
    <cellStyle name="Input 19 2 2 2 3 3 2" xfId="18962" xr:uid="{00000000-0005-0000-0000-000041490000}"/>
    <cellStyle name="Input 19 2 2 2 3 4" xfId="18963" xr:uid="{00000000-0005-0000-0000-000042490000}"/>
    <cellStyle name="Input 19 2 2 2 3 5" xfId="18964" xr:uid="{00000000-0005-0000-0000-000043490000}"/>
    <cellStyle name="Input 19 2 2 2 3 6" xfId="18965" xr:uid="{00000000-0005-0000-0000-000044490000}"/>
    <cellStyle name="Input 19 2 2 2 4" xfId="18966" xr:uid="{00000000-0005-0000-0000-000045490000}"/>
    <cellStyle name="Input 19 2 2 2 4 2" xfId="18967" xr:uid="{00000000-0005-0000-0000-000046490000}"/>
    <cellStyle name="Input 19 2 2 2 5" xfId="18968" xr:uid="{00000000-0005-0000-0000-000047490000}"/>
    <cellStyle name="Input 19 2 2 2 5 2" xfId="18969" xr:uid="{00000000-0005-0000-0000-000048490000}"/>
    <cellStyle name="Input 19 2 2 2 6" xfId="18970" xr:uid="{00000000-0005-0000-0000-000049490000}"/>
    <cellStyle name="Input 19 2 2 2 7" xfId="18971" xr:uid="{00000000-0005-0000-0000-00004A490000}"/>
    <cellStyle name="Input 19 2 2 2 8" xfId="18972" xr:uid="{00000000-0005-0000-0000-00004B490000}"/>
    <cellStyle name="Input 19 2 2 3" xfId="18973" xr:uid="{00000000-0005-0000-0000-00004C490000}"/>
    <cellStyle name="Input 19 2 2 3 2" xfId="18974" xr:uid="{00000000-0005-0000-0000-00004D490000}"/>
    <cellStyle name="Input 19 2 2 3 2 2" xfId="18975" xr:uid="{00000000-0005-0000-0000-00004E490000}"/>
    <cellStyle name="Input 19 2 2 3 2 2 2" xfId="18976" xr:uid="{00000000-0005-0000-0000-00004F490000}"/>
    <cellStyle name="Input 19 2 2 3 2 2 2 2" xfId="18977" xr:uid="{00000000-0005-0000-0000-000050490000}"/>
    <cellStyle name="Input 19 2 2 3 2 2 3" xfId="18978" xr:uid="{00000000-0005-0000-0000-000051490000}"/>
    <cellStyle name="Input 19 2 2 3 2 2 3 2" xfId="18979" xr:uid="{00000000-0005-0000-0000-000052490000}"/>
    <cellStyle name="Input 19 2 2 3 2 2 4" xfId="18980" xr:uid="{00000000-0005-0000-0000-000053490000}"/>
    <cellStyle name="Input 19 2 2 3 2 2 5" xfId="18981" xr:uid="{00000000-0005-0000-0000-000054490000}"/>
    <cellStyle name="Input 19 2 2 3 2 2 6" xfId="18982" xr:uid="{00000000-0005-0000-0000-000055490000}"/>
    <cellStyle name="Input 19 2 2 3 2 3" xfId="18983" xr:uid="{00000000-0005-0000-0000-000056490000}"/>
    <cellStyle name="Input 19 2 2 3 2 3 2" xfId="18984" xr:uid="{00000000-0005-0000-0000-000057490000}"/>
    <cellStyle name="Input 19 2 2 3 2 4" xfId="18985" xr:uid="{00000000-0005-0000-0000-000058490000}"/>
    <cellStyle name="Input 19 2 2 3 2 4 2" xfId="18986" xr:uid="{00000000-0005-0000-0000-000059490000}"/>
    <cellStyle name="Input 19 2 2 3 2 5" xfId="18987" xr:uid="{00000000-0005-0000-0000-00005A490000}"/>
    <cellStyle name="Input 19 2 2 3 2 6" xfId="18988" xr:uid="{00000000-0005-0000-0000-00005B490000}"/>
    <cellStyle name="Input 19 2 2 3 2 7" xfId="18989" xr:uid="{00000000-0005-0000-0000-00005C490000}"/>
    <cellStyle name="Input 19 2 2 3 3" xfId="18990" xr:uid="{00000000-0005-0000-0000-00005D490000}"/>
    <cellStyle name="Input 19 2 2 3 3 2" xfId="18991" xr:uid="{00000000-0005-0000-0000-00005E490000}"/>
    <cellStyle name="Input 19 2 2 3 3 2 2" xfId="18992" xr:uid="{00000000-0005-0000-0000-00005F490000}"/>
    <cellStyle name="Input 19 2 2 3 3 3" xfId="18993" xr:uid="{00000000-0005-0000-0000-000060490000}"/>
    <cellStyle name="Input 19 2 2 3 3 3 2" xfId="18994" xr:uid="{00000000-0005-0000-0000-000061490000}"/>
    <cellStyle name="Input 19 2 2 3 3 4" xfId="18995" xr:uid="{00000000-0005-0000-0000-000062490000}"/>
    <cellStyle name="Input 19 2 2 3 3 5" xfId="18996" xr:uid="{00000000-0005-0000-0000-000063490000}"/>
    <cellStyle name="Input 19 2 2 3 3 6" xfId="18997" xr:uid="{00000000-0005-0000-0000-000064490000}"/>
    <cellStyle name="Input 19 2 2 3 4" xfId="18998" xr:uid="{00000000-0005-0000-0000-000065490000}"/>
    <cellStyle name="Input 19 2 2 3 4 2" xfId="18999" xr:uid="{00000000-0005-0000-0000-000066490000}"/>
    <cellStyle name="Input 19 2 2 3 5" xfId="19000" xr:uid="{00000000-0005-0000-0000-000067490000}"/>
    <cellStyle name="Input 19 2 2 3 5 2" xfId="19001" xr:uid="{00000000-0005-0000-0000-000068490000}"/>
    <cellStyle name="Input 19 2 2 3 6" xfId="19002" xr:uid="{00000000-0005-0000-0000-000069490000}"/>
    <cellStyle name="Input 19 2 2 3 7" xfId="19003" xr:uid="{00000000-0005-0000-0000-00006A490000}"/>
    <cellStyle name="Input 19 2 2 3 8" xfId="19004" xr:uid="{00000000-0005-0000-0000-00006B490000}"/>
    <cellStyle name="Input 19 2 2 4" xfId="19005" xr:uid="{00000000-0005-0000-0000-00006C490000}"/>
    <cellStyle name="Input 19 2 2 4 2" xfId="19006" xr:uid="{00000000-0005-0000-0000-00006D490000}"/>
    <cellStyle name="Input 19 2 2 4 2 2" xfId="19007" xr:uid="{00000000-0005-0000-0000-00006E490000}"/>
    <cellStyle name="Input 19 2 2 4 2 2 2" xfId="19008" xr:uid="{00000000-0005-0000-0000-00006F490000}"/>
    <cellStyle name="Input 19 2 2 4 2 3" xfId="19009" xr:uid="{00000000-0005-0000-0000-000070490000}"/>
    <cellStyle name="Input 19 2 2 4 2 3 2" xfId="19010" xr:uid="{00000000-0005-0000-0000-000071490000}"/>
    <cellStyle name="Input 19 2 2 4 2 4" xfId="19011" xr:uid="{00000000-0005-0000-0000-000072490000}"/>
    <cellStyle name="Input 19 2 2 4 2 5" xfId="19012" xr:uid="{00000000-0005-0000-0000-000073490000}"/>
    <cellStyle name="Input 19 2 2 4 2 6" xfId="19013" xr:uid="{00000000-0005-0000-0000-000074490000}"/>
    <cellStyle name="Input 19 2 2 4 3" xfId="19014" xr:uid="{00000000-0005-0000-0000-000075490000}"/>
    <cellStyle name="Input 19 2 2 4 3 2" xfId="19015" xr:uid="{00000000-0005-0000-0000-000076490000}"/>
    <cellStyle name="Input 19 2 2 4 4" xfId="19016" xr:uid="{00000000-0005-0000-0000-000077490000}"/>
    <cellStyle name="Input 19 2 2 4 4 2" xfId="19017" xr:uid="{00000000-0005-0000-0000-000078490000}"/>
    <cellStyle name="Input 19 2 2 4 5" xfId="19018" xr:uid="{00000000-0005-0000-0000-000079490000}"/>
    <cellStyle name="Input 19 2 2 4 6" xfId="19019" xr:uid="{00000000-0005-0000-0000-00007A490000}"/>
    <cellStyle name="Input 19 2 2 4 7" xfId="19020" xr:uid="{00000000-0005-0000-0000-00007B490000}"/>
    <cellStyle name="Input 19 2 2 5" xfId="19021" xr:uid="{00000000-0005-0000-0000-00007C490000}"/>
    <cellStyle name="Input 19 2 2 5 2" xfId="19022" xr:uid="{00000000-0005-0000-0000-00007D490000}"/>
    <cellStyle name="Input 19 2 2 5 2 2" xfId="19023" xr:uid="{00000000-0005-0000-0000-00007E490000}"/>
    <cellStyle name="Input 19 2 2 5 3" xfId="19024" xr:uid="{00000000-0005-0000-0000-00007F490000}"/>
    <cellStyle name="Input 19 2 2 5 3 2" xfId="19025" xr:uid="{00000000-0005-0000-0000-000080490000}"/>
    <cellStyle name="Input 19 2 2 5 4" xfId="19026" xr:uid="{00000000-0005-0000-0000-000081490000}"/>
    <cellStyle name="Input 19 2 2 5 5" xfId="19027" xr:uid="{00000000-0005-0000-0000-000082490000}"/>
    <cellStyle name="Input 19 2 2 5 6" xfId="19028" xr:uid="{00000000-0005-0000-0000-000083490000}"/>
    <cellStyle name="Input 19 2 2 6" xfId="19029" xr:uid="{00000000-0005-0000-0000-000084490000}"/>
    <cellStyle name="Input 19 2 2 6 2" xfId="19030" xr:uid="{00000000-0005-0000-0000-000085490000}"/>
    <cellStyle name="Input 19 2 2 7" xfId="19031" xr:uid="{00000000-0005-0000-0000-000086490000}"/>
    <cellStyle name="Input 19 2 2 7 2" xfId="19032" xr:uid="{00000000-0005-0000-0000-000087490000}"/>
    <cellStyle name="Input 19 2 2 8" xfId="19033" xr:uid="{00000000-0005-0000-0000-000088490000}"/>
    <cellStyle name="Input 19 2 2 9" xfId="19034" xr:uid="{00000000-0005-0000-0000-000089490000}"/>
    <cellStyle name="Input 19 2 3" xfId="19035" xr:uid="{00000000-0005-0000-0000-00008A490000}"/>
    <cellStyle name="Input 19 2 3 2" xfId="19036" xr:uid="{00000000-0005-0000-0000-00008B490000}"/>
    <cellStyle name="Input 19 2 3 2 2" xfId="19037" xr:uid="{00000000-0005-0000-0000-00008C490000}"/>
    <cellStyle name="Input 19 2 3 2 2 2" xfId="19038" xr:uid="{00000000-0005-0000-0000-00008D490000}"/>
    <cellStyle name="Input 19 2 3 2 2 2 2" xfId="19039" xr:uid="{00000000-0005-0000-0000-00008E490000}"/>
    <cellStyle name="Input 19 2 3 2 2 3" xfId="19040" xr:uid="{00000000-0005-0000-0000-00008F490000}"/>
    <cellStyle name="Input 19 2 3 2 2 3 2" xfId="19041" xr:uid="{00000000-0005-0000-0000-000090490000}"/>
    <cellStyle name="Input 19 2 3 2 2 4" xfId="19042" xr:uid="{00000000-0005-0000-0000-000091490000}"/>
    <cellStyle name="Input 19 2 3 2 2 5" xfId="19043" xr:uid="{00000000-0005-0000-0000-000092490000}"/>
    <cellStyle name="Input 19 2 3 2 2 6" xfId="19044" xr:uid="{00000000-0005-0000-0000-000093490000}"/>
    <cellStyle name="Input 19 2 3 2 3" xfId="19045" xr:uid="{00000000-0005-0000-0000-000094490000}"/>
    <cellStyle name="Input 19 2 3 2 3 2" xfId="19046" xr:uid="{00000000-0005-0000-0000-000095490000}"/>
    <cellStyle name="Input 19 2 3 2 4" xfId="19047" xr:uid="{00000000-0005-0000-0000-000096490000}"/>
    <cellStyle name="Input 19 2 3 2 4 2" xfId="19048" xr:uid="{00000000-0005-0000-0000-000097490000}"/>
    <cellStyle name="Input 19 2 3 2 5" xfId="19049" xr:uid="{00000000-0005-0000-0000-000098490000}"/>
    <cellStyle name="Input 19 2 3 2 6" xfId="19050" xr:uid="{00000000-0005-0000-0000-000099490000}"/>
    <cellStyle name="Input 19 2 3 2 7" xfId="19051" xr:uid="{00000000-0005-0000-0000-00009A490000}"/>
    <cellStyle name="Input 19 2 3 3" xfId="19052" xr:uid="{00000000-0005-0000-0000-00009B490000}"/>
    <cellStyle name="Input 19 2 3 3 2" xfId="19053" xr:uid="{00000000-0005-0000-0000-00009C490000}"/>
    <cellStyle name="Input 19 2 3 3 2 2" xfId="19054" xr:uid="{00000000-0005-0000-0000-00009D490000}"/>
    <cellStyle name="Input 19 2 3 3 3" xfId="19055" xr:uid="{00000000-0005-0000-0000-00009E490000}"/>
    <cellStyle name="Input 19 2 3 3 3 2" xfId="19056" xr:uid="{00000000-0005-0000-0000-00009F490000}"/>
    <cellStyle name="Input 19 2 3 3 4" xfId="19057" xr:uid="{00000000-0005-0000-0000-0000A0490000}"/>
    <cellStyle name="Input 19 2 3 3 5" xfId="19058" xr:uid="{00000000-0005-0000-0000-0000A1490000}"/>
    <cellStyle name="Input 19 2 3 3 6" xfId="19059" xr:uid="{00000000-0005-0000-0000-0000A2490000}"/>
    <cellStyle name="Input 19 2 3 4" xfId="19060" xr:uid="{00000000-0005-0000-0000-0000A3490000}"/>
    <cellStyle name="Input 19 2 3 4 2" xfId="19061" xr:uid="{00000000-0005-0000-0000-0000A4490000}"/>
    <cellStyle name="Input 19 2 3 5" xfId="19062" xr:uid="{00000000-0005-0000-0000-0000A5490000}"/>
    <cellStyle name="Input 19 2 3 5 2" xfId="19063" xr:uid="{00000000-0005-0000-0000-0000A6490000}"/>
    <cellStyle name="Input 19 2 3 6" xfId="19064" xr:uid="{00000000-0005-0000-0000-0000A7490000}"/>
    <cellStyle name="Input 19 2 3 7" xfId="19065" xr:uid="{00000000-0005-0000-0000-0000A8490000}"/>
    <cellStyle name="Input 19 2 3 8" xfId="19066" xr:uid="{00000000-0005-0000-0000-0000A9490000}"/>
    <cellStyle name="Input 19 2 4" xfId="19067" xr:uid="{00000000-0005-0000-0000-0000AA490000}"/>
    <cellStyle name="Input 19 2 4 2" xfId="19068" xr:uid="{00000000-0005-0000-0000-0000AB490000}"/>
    <cellStyle name="Input 19 2 4 2 2" xfId="19069" xr:uid="{00000000-0005-0000-0000-0000AC490000}"/>
    <cellStyle name="Input 19 2 4 2 2 2" xfId="19070" xr:uid="{00000000-0005-0000-0000-0000AD490000}"/>
    <cellStyle name="Input 19 2 4 2 2 2 2" xfId="19071" xr:uid="{00000000-0005-0000-0000-0000AE490000}"/>
    <cellStyle name="Input 19 2 4 2 2 3" xfId="19072" xr:uid="{00000000-0005-0000-0000-0000AF490000}"/>
    <cellStyle name="Input 19 2 4 2 2 3 2" xfId="19073" xr:uid="{00000000-0005-0000-0000-0000B0490000}"/>
    <cellStyle name="Input 19 2 4 2 2 4" xfId="19074" xr:uid="{00000000-0005-0000-0000-0000B1490000}"/>
    <cellStyle name="Input 19 2 4 2 2 5" xfId="19075" xr:uid="{00000000-0005-0000-0000-0000B2490000}"/>
    <cellStyle name="Input 19 2 4 2 2 6" xfId="19076" xr:uid="{00000000-0005-0000-0000-0000B3490000}"/>
    <cellStyle name="Input 19 2 4 2 3" xfId="19077" xr:uid="{00000000-0005-0000-0000-0000B4490000}"/>
    <cellStyle name="Input 19 2 4 2 3 2" xfId="19078" xr:uid="{00000000-0005-0000-0000-0000B5490000}"/>
    <cellStyle name="Input 19 2 4 2 4" xfId="19079" xr:uid="{00000000-0005-0000-0000-0000B6490000}"/>
    <cellStyle name="Input 19 2 4 2 4 2" xfId="19080" xr:uid="{00000000-0005-0000-0000-0000B7490000}"/>
    <cellStyle name="Input 19 2 4 2 5" xfId="19081" xr:uid="{00000000-0005-0000-0000-0000B8490000}"/>
    <cellStyle name="Input 19 2 4 2 6" xfId="19082" xr:uid="{00000000-0005-0000-0000-0000B9490000}"/>
    <cellStyle name="Input 19 2 4 2 7" xfId="19083" xr:uid="{00000000-0005-0000-0000-0000BA490000}"/>
    <cellStyle name="Input 19 2 4 3" xfId="19084" xr:uid="{00000000-0005-0000-0000-0000BB490000}"/>
    <cellStyle name="Input 19 2 4 3 2" xfId="19085" xr:uid="{00000000-0005-0000-0000-0000BC490000}"/>
    <cellStyle name="Input 19 2 4 3 2 2" xfId="19086" xr:uid="{00000000-0005-0000-0000-0000BD490000}"/>
    <cellStyle name="Input 19 2 4 3 3" xfId="19087" xr:uid="{00000000-0005-0000-0000-0000BE490000}"/>
    <cellStyle name="Input 19 2 4 3 3 2" xfId="19088" xr:uid="{00000000-0005-0000-0000-0000BF490000}"/>
    <cellStyle name="Input 19 2 4 3 4" xfId="19089" xr:uid="{00000000-0005-0000-0000-0000C0490000}"/>
    <cellStyle name="Input 19 2 4 3 5" xfId="19090" xr:uid="{00000000-0005-0000-0000-0000C1490000}"/>
    <cellStyle name="Input 19 2 4 3 6" xfId="19091" xr:uid="{00000000-0005-0000-0000-0000C2490000}"/>
    <cellStyle name="Input 19 2 4 4" xfId="19092" xr:uid="{00000000-0005-0000-0000-0000C3490000}"/>
    <cellStyle name="Input 19 2 4 4 2" xfId="19093" xr:uid="{00000000-0005-0000-0000-0000C4490000}"/>
    <cellStyle name="Input 19 2 4 5" xfId="19094" xr:uid="{00000000-0005-0000-0000-0000C5490000}"/>
    <cellStyle name="Input 19 2 4 5 2" xfId="19095" xr:uid="{00000000-0005-0000-0000-0000C6490000}"/>
    <cellStyle name="Input 19 2 4 6" xfId="19096" xr:uid="{00000000-0005-0000-0000-0000C7490000}"/>
    <cellStyle name="Input 19 2 4 7" xfId="19097" xr:uid="{00000000-0005-0000-0000-0000C8490000}"/>
    <cellStyle name="Input 19 2 4 8" xfId="19098" xr:uid="{00000000-0005-0000-0000-0000C9490000}"/>
    <cellStyle name="Input 19 2 5" xfId="19099" xr:uid="{00000000-0005-0000-0000-0000CA490000}"/>
    <cellStyle name="Input 19 2 5 2" xfId="19100" xr:uid="{00000000-0005-0000-0000-0000CB490000}"/>
    <cellStyle name="Input 19 2 5 2 2" xfId="19101" xr:uid="{00000000-0005-0000-0000-0000CC490000}"/>
    <cellStyle name="Input 19 2 5 2 2 2" xfId="19102" xr:uid="{00000000-0005-0000-0000-0000CD490000}"/>
    <cellStyle name="Input 19 2 5 2 3" xfId="19103" xr:uid="{00000000-0005-0000-0000-0000CE490000}"/>
    <cellStyle name="Input 19 2 5 2 3 2" xfId="19104" xr:uid="{00000000-0005-0000-0000-0000CF490000}"/>
    <cellStyle name="Input 19 2 5 2 4" xfId="19105" xr:uid="{00000000-0005-0000-0000-0000D0490000}"/>
    <cellStyle name="Input 19 2 5 2 5" xfId="19106" xr:uid="{00000000-0005-0000-0000-0000D1490000}"/>
    <cellStyle name="Input 19 2 5 2 6" xfId="19107" xr:uid="{00000000-0005-0000-0000-0000D2490000}"/>
    <cellStyle name="Input 19 2 5 3" xfId="19108" xr:uid="{00000000-0005-0000-0000-0000D3490000}"/>
    <cellStyle name="Input 19 2 5 3 2" xfId="19109" xr:uid="{00000000-0005-0000-0000-0000D4490000}"/>
    <cellStyle name="Input 19 2 5 4" xfId="19110" xr:uid="{00000000-0005-0000-0000-0000D5490000}"/>
    <cellStyle name="Input 19 2 5 4 2" xfId="19111" xr:uid="{00000000-0005-0000-0000-0000D6490000}"/>
    <cellStyle name="Input 19 2 5 5" xfId="19112" xr:uid="{00000000-0005-0000-0000-0000D7490000}"/>
    <cellStyle name="Input 19 2 5 6" xfId="19113" xr:uid="{00000000-0005-0000-0000-0000D8490000}"/>
    <cellStyle name="Input 19 2 5 7" xfId="19114" xr:uid="{00000000-0005-0000-0000-0000D9490000}"/>
    <cellStyle name="Input 19 2 6" xfId="19115" xr:uid="{00000000-0005-0000-0000-0000DA490000}"/>
    <cellStyle name="Input 19 2 6 2" xfId="19116" xr:uid="{00000000-0005-0000-0000-0000DB490000}"/>
    <cellStyle name="Input 19 2 6 2 2" xfId="19117" xr:uid="{00000000-0005-0000-0000-0000DC490000}"/>
    <cellStyle name="Input 19 2 6 3" xfId="19118" xr:uid="{00000000-0005-0000-0000-0000DD490000}"/>
    <cellStyle name="Input 19 2 6 3 2" xfId="19119" xr:uid="{00000000-0005-0000-0000-0000DE490000}"/>
    <cellStyle name="Input 19 2 6 4" xfId="19120" xr:uid="{00000000-0005-0000-0000-0000DF490000}"/>
    <cellStyle name="Input 19 2 6 5" xfId="19121" xr:uid="{00000000-0005-0000-0000-0000E0490000}"/>
    <cellStyle name="Input 19 2 6 6" xfId="19122" xr:uid="{00000000-0005-0000-0000-0000E1490000}"/>
    <cellStyle name="Input 19 2 7" xfId="19123" xr:uid="{00000000-0005-0000-0000-0000E2490000}"/>
    <cellStyle name="Input 19 2 7 2" xfId="19124" xr:uid="{00000000-0005-0000-0000-0000E3490000}"/>
    <cellStyle name="Input 19 2 8" xfId="19125" xr:uid="{00000000-0005-0000-0000-0000E4490000}"/>
    <cellStyle name="Input 19 2 8 2" xfId="19126" xr:uid="{00000000-0005-0000-0000-0000E5490000}"/>
    <cellStyle name="Input 19 2 9" xfId="19127" xr:uid="{00000000-0005-0000-0000-0000E6490000}"/>
    <cellStyle name="Input 19 3" xfId="19128" xr:uid="{00000000-0005-0000-0000-0000E7490000}"/>
    <cellStyle name="Input 19 3 10" xfId="19129" xr:uid="{00000000-0005-0000-0000-0000E8490000}"/>
    <cellStyle name="Input 19 3 2" xfId="19130" xr:uid="{00000000-0005-0000-0000-0000E9490000}"/>
    <cellStyle name="Input 19 3 2 10" xfId="19131" xr:uid="{00000000-0005-0000-0000-0000EA490000}"/>
    <cellStyle name="Input 19 3 2 2" xfId="19132" xr:uid="{00000000-0005-0000-0000-0000EB490000}"/>
    <cellStyle name="Input 19 3 2 2 2" xfId="19133" xr:uid="{00000000-0005-0000-0000-0000EC490000}"/>
    <cellStyle name="Input 19 3 2 2 2 2" xfId="19134" xr:uid="{00000000-0005-0000-0000-0000ED490000}"/>
    <cellStyle name="Input 19 3 2 2 2 2 2" xfId="19135" xr:uid="{00000000-0005-0000-0000-0000EE490000}"/>
    <cellStyle name="Input 19 3 2 2 2 2 2 2" xfId="19136" xr:uid="{00000000-0005-0000-0000-0000EF490000}"/>
    <cellStyle name="Input 19 3 2 2 2 2 3" xfId="19137" xr:uid="{00000000-0005-0000-0000-0000F0490000}"/>
    <cellStyle name="Input 19 3 2 2 2 2 3 2" xfId="19138" xr:uid="{00000000-0005-0000-0000-0000F1490000}"/>
    <cellStyle name="Input 19 3 2 2 2 2 4" xfId="19139" xr:uid="{00000000-0005-0000-0000-0000F2490000}"/>
    <cellStyle name="Input 19 3 2 2 2 2 5" xfId="19140" xr:uid="{00000000-0005-0000-0000-0000F3490000}"/>
    <cellStyle name="Input 19 3 2 2 2 2 6" xfId="19141" xr:uid="{00000000-0005-0000-0000-0000F4490000}"/>
    <cellStyle name="Input 19 3 2 2 2 3" xfId="19142" xr:uid="{00000000-0005-0000-0000-0000F5490000}"/>
    <cellStyle name="Input 19 3 2 2 2 3 2" xfId="19143" xr:uid="{00000000-0005-0000-0000-0000F6490000}"/>
    <cellStyle name="Input 19 3 2 2 2 4" xfId="19144" xr:uid="{00000000-0005-0000-0000-0000F7490000}"/>
    <cellStyle name="Input 19 3 2 2 2 4 2" xfId="19145" xr:uid="{00000000-0005-0000-0000-0000F8490000}"/>
    <cellStyle name="Input 19 3 2 2 2 5" xfId="19146" xr:uid="{00000000-0005-0000-0000-0000F9490000}"/>
    <cellStyle name="Input 19 3 2 2 2 6" xfId="19147" xr:uid="{00000000-0005-0000-0000-0000FA490000}"/>
    <cellStyle name="Input 19 3 2 2 2 7" xfId="19148" xr:uid="{00000000-0005-0000-0000-0000FB490000}"/>
    <cellStyle name="Input 19 3 2 2 3" xfId="19149" xr:uid="{00000000-0005-0000-0000-0000FC490000}"/>
    <cellStyle name="Input 19 3 2 2 3 2" xfId="19150" xr:uid="{00000000-0005-0000-0000-0000FD490000}"/>
    <cellStyle name="Input 19 3 2 2 3 2 2" xfId="19151" xr:uid="{00000000-0005-0000-0000-0000FE490000}"/>
    <cellStyle name="Input 19 3 2 2 3 3" xfId="19152" xr:uid="{00000000-0005-0000-0000-0000FF490000}"/>
    <cellStyle name="Input 19 3 2 2 3 3 2" xfId="19153" xr:uid="{00000000-0005-0000-0000-0000004A0000}"/>
    <cellStyle name="Input 19 3 2 2 3 4" xfId="19154" xr:uid="{00000000-0005-0000-0000-0000014A0000}"/>
    <cellStyle name="Input 19 3 2 2 3 5" xfId="19155" xr:uid="{00000000-0005-0000-0000-0000024A0000}"/>
    <cellStyle name="Input 19 3 2 2 3 6" xfId="19156" xr:uid="{00000000-0005-0000-0000-0000034A0000}"/>
    <cellStyle name="Input 19 3 2 2 4" xfId="19157" xr:uid="{00000000-0005-0000-0000-0000044A0000}"/>
    <cellStyle name="Input 19 3 2 2 4 2" xfId="19158" xr:uid="{00000000-0005-0000-0000-0000054A0000}"/>
    <cellStyle name="Input 19 3 2 2 5" xfId="19159" xr:uid="{00000000-0005-0000-0000-0000064A0000}"/>
    <cellStyle name="Input 19 3 2 2 5 2" xfId="19160" xr:uid="{00000000-0005-0000-0000-0000074A0000}"/>
    <cellStyle name="Input 19 3 2 2 6" xfId="19161" xr:uid="{00000000-0005-0000-0000-0000084A0000}"/>
    <cellStyle name="Input 19 3 2 2 7" xfId="19162" xr:uid="{00000000-0005-0000-0000-0000094A0000}"/>
    <cellStyle name="Input 19 3 2 2 8" xfId="19163" xr:uid="{00000000-0005-0000-0000-00000A4A0000}"/>
    <cellStyle name="Input 19 3 2 3" xfId="19164" xr:uid="{00000000-0005-0000-0000-00000B4A0000}"/>
    <cellStyle name="Input 19 3 2 3 2" xfId="19165" xr:uid="{00000000-0005-0000-0000-00000C4A0000}"/>
    <cellStyle name="Input 19 3 2 3 2 2" xfId="19166" xr:uid="{00000000-0005-0000-0000-00000D4A0000}"/>
    <cellStyle name="Input 19 3 2 3 2 2 2" xfId="19167" xr:uid="{00000000-0005-0000-0000-00000E4A0000}"/>
    <cellStyle name="Input 19 3 2 3 2 2 2 2" xfId="19168" xr:uid="{00000000-0005-0000-0000-00000F4A0000}"/>
    <cellStyle name="Input 19 3 2 3 2 2 3" xfId="19169" xr:uid="{00000000-0005-0000-0000-0000104A0000}"/>
    <cellStyle name="Input 19 3 2 3 2 2 3 2" xfId="19170" xr:uid="{00000000-0005-0000-0000-0000114A0000}"/>
    <cellStyle name="Input 19 3 2 3 2 2 4" xfId="19171" xr:uid="{00000000-0005-0000-0000-0000124A0000}"/>
    <cellStyle name="Input 19 3 2 3 2 2 5" xfId="19172" xr:uid="{00000000-0005-0000-0000-0000134A0000}"/>
    <cellStyle name="Input 19 3 2 3 2 2 6" xfId="19173" xr:uid="{00000000-0005-0000-0000-0000144A0000}"/>
    <cellStyle name="Input 19 3 2 3 2 3" xfId="19174" xr:uid="{00000000-0005-0000-0000-0000154A0000}"/>
    <cellStyle name="Input 19 3 2 3 2 3 2" xfId="19175" xr:uid="{00000000-0005-0000-0000-0000164A0000}"/>
    <cellStyle name="Input 19 3 2 3 2 4" xfId="19176" xr:uid="{00000000-0005-0000-0000-0000174A0000}"/>
    <cellStyle name="Input 19 3 2 3 2 4 2" xfId="19177" xr:uid="{00000000-0005-0000-0000-0000184A0000}"/>
    <cellStyle name="Input 19 3 2 3 2 5" xfId="19178" xr:uid="{00000000-0005-0000-0000-0000194A0000}"/>
    <cellStyle name="Input 19 3 2 3 2 6" xfId="19179" xr:uid="{00000000-0005-0000-0000-00001A4A0000}"/>
    <cellStyle name="Input 19 3 2 3 2 7" xfId="19180" xr:uid="{00000000-0005-0000-0000-00001B4A0000}"/>
    <cellStyle name="Input 19 3 2 3 3" xfId="19181" xr:uid="{00000000-0005-0000-0000-00001C4A0000}"/>
    <cellStyle name="Input 19 3 2 3 3 2" xfId="19182" xr:uid="{00000000-0005-0000-0000-00001D4A0000}"/>
    <cellStyle name="Input 19 3 2 3 3 2 2" xfId="19183" xr:uid="{00000000-0005-0000-0000-00001E4A0000}"/>
    <cellStyle name="Input 19 3 2 3 3 3" xfId="19184" xr:uid="{00000000-0005-0000-0000-00001F4A0000}"/>
    <cellStyle name="Input 19 3 2 3 3 3 2" xfId="19185" xr:uid="{00000000-0005-0000-0000-0000204A0000}"/>
    <cellStyle name="Input 19 3 2 3 3 4" xfId="19186" xr:uid="{00000000-0005-0000-0000-0000214A0000}"/>
    <cellStyle name="Input 19 3 2 3 3 5" xfId="19187" xr:uid="{00000000-0005-0000-0000-0000224A0000}"/>
    <cellStyle name="Input 19 3 2 3 3 6" xfId="19188" xr:uid="{00000000-0005-0000-0000-0000234A0000}"/>
    <cellStyle name="Input 19 3 2 3 4" xfId="19189" xr:uid="{00000000-0005-0000-0000-0000244A0000}"/>
    <cellStyle name="Input 19 3 2 3 4 2" xfId="19190" xr:uid="{00000000-0005-0000-0000-0000254A0000}"/>
    <cellStyle name="Input 19 3 2 3 5" xfId="19191" xr:uid="{00000000-0005-0000-0000-0000264A0000}"/>
    <cellStyle name="Input 19 3 2 3 5 2" xfId="19192" xr:uid="{00000000-0005-0000-0000-0000274A0000}"/>
    <cellStyle name="Input 19 3 2 3 6" xfId="19193" xr:uid="{00000000-0005-0000-0000-0000284A0000}"/>
    <cellStyle name="Input 19 3 2 3 7" xfId="19194" xr:uid="{00000000-0005-0000-0000-0000294A0000}"/>
    <cellStyle name="Input 19 3 2 3 8" xfId="19195" xr:uid="{00000000-0005-0000-0000-00002A4A0000}"/>
    <cellStyle name="Input 19 3 2 4" xfId="19196" xr:uid="{00000000-0005-0000-0000-00002B4A0000}"/>
    <cellStyle name="Input 19 3 2 4 2" xfId="19197" xr:uid="{00000000-0005-0000-0000-00002C4A0000}"/>
    <cellStyle name="Input 19 3 2 4 2 2" xfId="19198" xr:uid="{00000000-0005-0000-0000-00002D4A0000}"/>
    <cellStyle name="Input 19 3 2 4 2 2 2" xfId="19199" xr:uid="{00000000-0005-0000-0000-00002E4A0000}"/>
    <cellStyle name="Input 19 3 2 4 2 3" xfId="19200" xr:uid="{00000000-0005-0000-0000-00002F4A0000}"/>
    <cellStyle name="Input 19 3 2 4 2 3 2" xfId="19201" xr:uid="{00000000-0005-0000-0000-0000304A0000}"/>
    <cellStyle name="Input 19 3 2 4 2 4" xfId="19202" xr:uid="{00000000-0005-0000-0000-0000314A0000}"/>
    <cellStyle name="Input 19 3 2 4 2 5" xfId="19203" xr:uid="{00000000-0005-0000-0000-0000324A0000}"/>
    <cellStyle name="Input 19 3 2 4 2 6" xfId="19204" xr:uid="{00000000-0005-0000-0000-0000334A0000}"/>
    <cellStyle name="Input 19 3 2 4 3" xfId="19205" xr:uid="{00000000-0005-0000-0000-0000344A0000}"/>
    <cellStyle name="Input 19 3 2 4 3 2" xfId="19206" xr:uid="{00000000-0005-0000-0000-0000354A0000}"/>
    <cellStyle name="Input 19 3 2 4 4" xfId="19207" xr:uid="{00000000-0005-0000-0000-0000364A0000}"/>
    <cellStyle name="Input 19 3 2 4 4 2" xfId="19208" xr:uid="{00000000-0005-0000-0000-0000374A0000}"/>
    <cellStyle name="Input 19 3 2 4 5" xfId="19209" xr:uid="{00000000-0005-0000-0000-0000384A0000}"/>
    <cellStyle name="Input 19 3 2 4 6" xfId="19210" xr:uid="{00000000-0005-0000-0000-0000394A0000}"/>
    <cellStyle name="Input 19 3 2 4 7" xfId="19211" xr:uid="{00000000-0005-0000-0000-00003A4A0000}"/>
    <cellStyle name="Input 19 3 2 5" xfId="19212" xr:uid="{00000000-0005-0000-0000-00003B4A0000}"/>
    <cellStyle name="Input 19 3 2 5 2" xfId="19213" xr:uid="{00000000-0005-0000-0000-00003C4A0000}"/>
    <cellStyle name="Input 19 3 2 5 2 2" xfId="19214" xr:uid="{00000000-0005-0000-0000-00003D4A0000}"/>
    <cellStyle name="Input 19 3 2 5 3" xfId="19215" xr:uid="{00000000-0005-0000-0000-00003E4A0000}"/>
    <cellStyle name="Input 19 3 2 5 3 2" xfId="19216" xr:uid="{00000000-0005-0000-0000-00003F4A0000}"/>
    <cellStyle name="Input 19 3 2 5 4" xfId="19217" xr:uid="{00000000-0005-0000-0000-0000404A0000}"/>
    <cellStyle name="Input 19 3 2 5 5" xfId="19218" xr:uid="{00000000-0005-0000-0000-0000414A0000}"/>
    <cellStyle name="Input 19 3 2 5 6" xfId="19219" xr:uid="{00000000-0005-0000-0000-0000424A0000}"/>
    <cellStyle name="Input 19 3 2 6" xfId="19220" xr:uid="{00000000-0005-0000-0000-0000434A0000}"/>
    <cellStyle name="Input 19 3 2 6 2" xfId="19221" xr:uid="{00000000-0005-0000-0000-0000444A0000}"/>
    <cellStyle name="Input 19 3 2 7" xfId="19222" xr:uid="{00000000-0005-0000-0000-0000454A0000}"/>
    <cellStyle name="Input 19 3 2 7 2" xfId="19223" xr:uid="{00000000-0005-0000-0000-0000464A0000}"/>
    <cellStyle name="Input 19 3 2 8" xfId="19224" xr:uid="{00000000-0005-0000-0000-0000474A0000}"/>
    <cellStyle name="Input 19 3 2 9" xfId="19225" xr:uid="{00000000-0005-0000-0000-0000484A0000}"/>
    <cellStyle name="Input 19 3 3" xfId="19226" xr:uid="{00000000-0005-0000-0000-0000494A0000}"/>
    <cellStyle name="Input 19 3 3 2" xfId="19227" xr:uid="{00000000-0005-0000-0000-00004A4A0000}"/>
    <cellStyle name="Input 19 3 3 2 2" xfId="19228" xr:uid="{00000000-0005-0000-0000-00004B4A0000}"/>
    <cellStyle name="Input 19 3 3 2 2 2" xfId="19229" xr:uid="{00000000-0005-0000-0000-00004C4A0000}"/>
    <cellStyle name="Input 19 3 3 2 2 2 2" xfId="19230" xr:uid="{00000000-0005-0000-0000-00004D4A0000}"/>
    <cellStyle name="Input 19 3 3 2 2 3" xfId="19231" xr:uid="{00000000-0005-0000-0000-00004E4A0000}"/>
    <cellStyle name="Input 19 3 3 2 2 3 2" xfId="19232" xr:uid="{00000000-0005-0000-0000-00004F4A0000}"/>
    <cellStyle name="Input 19 3 3 2 2 4" xfId="19233" xr:uid="{00000000-0005-0000-0000-0000504A0000}"/>
    <cellStyle name="Input 19 3 3 2 2 5" xfId="19234" xr:uid="{00000000-0005-0000-0000-0000514A0000}"/>
    <cellStyle name="Input 19 3 3 2 2 6" xfId="19235" xr:uid="{00000000-0005-0000-0000-0000524A0000}"/>
    <cellStyle name="Input 19 3 3 2 3" xfId="19236" xr:uid="{00000000-0005-0000-0000-0000534A0000}"/>
    <cellStyle name="Input 19 3 3 2 3 2" xfId="19237" xr:uid="{00000000-0005-0000-0000-0000544A0000}"/>
    <cellStyle name="Input 19 3 3 2 4" xfId="19238" xr:uid="{00000000-0005-0000-0000-0000554A0000}"/>
    <cellStyle name="Input 19 3 3 2 4 2" xfId="19239" xr:uid="{00000000-0005-0000-0000-0000564A0000}"/>
    <cellStyle name="Input 19 3 3 2 5" xfId="19240" xr:uid="{00000000-0005-0000-0000-0000574A0000}"/>
    <cellStyle name="Input 19 3 3 2 6" xfId="19241" xr:uid="{00000000-0005-0000-0000-0000584A0000}"/>
    <cellStyle name="Input 19 3 3 2 7" xfId="19242" xr:uid="{00000000-0005-0000-0000-0000594A0000}"/>
    <cellStyle name="Input 19 3 3 3" xfId="19243" xr:uid="{00000000-0005-0000-0000-00005A4A0000}"/>
    <cellStyle name="Input 19 3 3 3 2" xfId="19244" xr:uid="{00000000-0005-0000-0000-00005B4A0000}"/>
    <cellStyle name="Input 19 3 3 3 2 2" xfId="19245" xr:uid="{00000000-0005-0000-0000-00005C4A0000}"/>
    <cellStyle name="Input 19 3 3 3 3" xfId="19246" xr:uid="{00000000-0005-0000-0000-00005D4A0000}"/>
    <cellStyle name="Input 19 3 3 3 3 2" xfId="19247" xr:uid="{00000000-0005-0000-0000-00005E4A0000}"/>
    <cellStyle name="Input 19 3 3 3 4" xfId="19248" xr:uid="{00000000-0005-0000-0000-00005F4A0000}"/>
    <cellStyle name="Input 19 3 3 3 5" xfId="19249" xr:uid="{00000000-0005-0000-0000-0000604A0000}"/>
    <cellStyle name="Input 19 3 3 3 6" xfId="19250" xr:uid="{00000000-0005-0000-0000-0000614A0000}"/>
    <cellStyle name="Input 19 3 3 4" xfId="19251" xr:uid="{00000000-0005-0000-0000-0000624A0000}"/>
    <cellStyle name="Input 19 3 3 4 2" xfId="19252" xr:uid="{00000000-0005-0000-0000-0000634A0000}"/>
    <cellStyle name="Input 19 3 3 5" xfId="19253" xr:uid="{00000000-0005-0000-0000-0000644A0000}"/>
    <cellStyle name="Input 19 3 3 5 2" xfId="19254" xr:uid="{00000000-0005-0000-0000-0000654A0000}"/>
    <cellStyle name="Input 19 3 3 6" xfId="19255" xr:uid="{00000000-0005-0000-0000-0000664A0000}"/>
    <cellStyle name="Input 19 3 3 7" xfId="19256" xr:uid="{00000000-0005-0000-0000-0000674A0000}"/>
    <cellStyle name="Input 19 3 3 8" xfId="19257" xr:uid="{00000000-0005-0000-0000-0000684A0000}"/>
    <cellStyle name="Input 19 3 4" xfId="19258" xr:uid="{00000000-0005-0000-0000-0000694A0000}"/>
    <cellStyle name="Input 19 3 4 2" xfId="19259" xr:uid="{00000000-0005-0000-0000-00006A4A0000}"/>
    <cellStyle name="Input 19 3 4 2 2" xfId="19260" xr:uid="{00000000-0005-0000-0000-00006B4A0000}"/>
    <cellStyle name="Input 19 3 4 2 2 2" xfId="19261" xr:uid="{00000000-0005-0000-0000-00006C4A0000}"/>
    <cellStyle name="Input 19 3 4 2 3" xfId="19262" xr:uid="{00000000-0005-0000-0000-00006D4A0000}"/>
    <cellStyle name="Input 19 3 4 2 3 2" xfId="19263" xr:uid="{00000000-0005-0000-0000-00006E4A0000}"/>
    <cellStyle name="Input 19 3 4 2 4" xfId="19264" xr:uid="{00000000-0005-0000-0000-00006F4A0000}"/>
    <cellStyle name="Input 19 3 4 2 5" xfId="19265" xr:uid="{00000000-0005-0000-0000-0000704A0000}"/>
    <cellStyle name="Input 19 3 4 2 6" xfId="19266" xr:uid="{00000000-0005-0000-0000-0000714A0000}"/>
    <cellStyle name="Input 19 3 4 3" xfId="19267" xr:uid="{00000000-0005-0000-0000-0000724A0000}"/>
    <cellStyle name="Input 19 3 4 3 2" xfId="19268" xr:uid="{00000000-0005-0000-0000-0000734A0000}"/>
    <cellStyle name="Input 19 3 4 4" xfId="19269" xr:uid="{00000000-0005-0000-0000-0000744A0000}"/>
    <cellStyle name="Input 19 3 4 4 2" xfId="19270" xr:uid="{00000000-0005-0000-0000-0000754A0000}"/>
    <cellStyle name="Input 19 3 4 5" xfId="19271" xr:uid="{00000000-0005-0000-0000-0000764A0000}"/>
    <cellStyle name="Input 19 3 4 6" xfId="19272" xr:uid="{00000000-0005-0000-0000-0000774A0000}"/>
    <cellStyle name="Input 19 3 4 7" xfId="19273" xr:uid="{00000000-0005-0000-0000-0000784A0000}"/>
    <cellStyle name="Input 19 3 5" xfId="19274" xr:uid="{00000000-0005-0000-0000-0000794A0000}"/>
    <cellStyle name="Input 19 3 5 2" xfId="19275" xr:uid="{00000000-0005-0000-0000-00007A4A0000}"/>
    <cellStyle name="Input 19 3 5 2 2" xfId="19276" xr:uid="{00000000-0005-0000-0000-00007B4A0000}"/>
    <cellStyle name="Input 19 3 5 3" xfId="19277" xr:uid="{00000000-0005-0000-0000-00007C4A0000}"/>
    <cellStyle name="Input 19 3 5 3 2" xfId="19278" xr:uid="{00000000-0005-0000-0000-00007D4A0000}"/>
    <cellStyle name="Input 19 3 5 4" xfId="19279" xr:uid="{00000000-0005-0000-0000-00007E4A0000}"/>
    <cellStyle name="Input 19 3 5 5" xfId="19280" xr:uid="{00000000-0005-0000-0000-00007F4A0000}"/>
    <cellStyle name="Input 19 3 5 6" xfId="19281" xr:uid="{00000000-0005-0000-0000-0000804A0000}"/>
    <cellStyle name="Input 19 3 6" xfId="19282" xr:uid="{00000000-0005-0000-0000-0000814A0000}"/>
    <cellStyle name="Input 19 3 6 2" xfId="19283" xr:uid="{00000000-0005-0000-0000-0000824A0000}"/>
    <cellStyle name="Input 19 3 7" xfId="19284" xr:uid="{00000000-0005-0000-0000-0000834A0000}"/>
    <cellStyle name="Input 19 3 7 2" xfId="19285" xr:uid="{00000000-0005-0000-0000-0000844A0000}"/>
    <cellStyle name="Input 19 3 8" xfId="19286" xr:uid="{00000000-0005-0000-0000-0000854A0000}"/>
    <cellStyle name="Input 19 3 9" xfId="19287" xr:uid="{00000000-0005-0000-0000-0000864A0000}"/>
    <cellStyle name="Input 19 4" xfId="19288" xr:uid="{00000000-0005-0000-0000-0000874A0000}"/>
    <cellStyle name="Input 19 4 10" xfId="19289" xr:uid="{00000000-0005-0000-0000-0000884A0000}"/>
    <cellStyle name="Input 19 4 2" xfId="19290" xr:uid="{00000000-0005-0000-0000-0000894A0000}"/>
    <cellStyle name="Input 19 4 2 2" xfId="19291" xr:uid="{00000000-0005-0000-0000-00008A4A0000}"/>
    <cellStyle name="Input 19 4 2 2 2" xfId="19292" xr:uid="{00000000-0005-0000-0000-00008B4A0000}"/>
    <cellStyle name="Input 19 4 2 2 2 2" xfId="19293" xr:uid="{00000000-0005-0000-0000-00008C4A0000}"/>
    <cellStyle name="Input 19 4 2 2 2 2 2" xfId="19294" xr:uid="{00000000-0005-0000-0000-00008D4A0000}"/>
    <cellStyle name="Input 19 4 2 2 2 3" xfId="19295" xr:uid="{00000000-0005-0000-0000-00008E4A0000}"/>
    <cellStyle name="Input 19 4 2 2 2 3 2" xfId="19296" xr:uid="{00000000-0005-0000-0000-00008F4A0000}"/>
    <cellStyle name="Input 19 4 2 2 2 4" xfId="19297" xr:uid="{00000000-0005-0000-0000-0000904A0000}"/>
    <cellStyle name="Input 19 4 2 2 2 5" xfId="19298" xr:uid="{00000000-0005-0000-0000-0000914A0000}"/>
    <cellStyle name="Input 19 4 2 2 2 6" xfId="19299" xr:uid="{00000000-0005-0000-0000-0000924A0000}"/>
    <cellStyle name="Input 19 4 2 2 3" xfId="19300" xr:uid="{00000000-0005-0000-0000-0000934A0000}"/>
    <cellStyle name="Input 19 4 2 2 3 2" xfId="19301" xr:uid="{00000000-0005-0000-0000-0000944A0000}"/>
    <cellStyle name="Input 19 4 2 2 4" xfId="19302" xr:uid="{00000000-0005-0000-0000-0000954A0000}"/>
    <cellStyle name="Input 19 4 2 2 4 2" xfId="19303" xr:uid="{00000000-0005-0000-0000-0000964A0000}"/>
    <cellStyle name="Input 19 4 2 2 5" xfId="19304" xr:uid="{00000000-0005-0000-0000-0000974A0000}"/>
    <cellStyle name="Input 19 4 2 2 6" xfId="19305" xr:uid="{00000000-0005-0000-0000-0000984A0000}"/>
    <cellStyle name="Input 19 4 2 2 7" xfId="19306" xr:uid="{00000000-0005-0000-0000-0000994A0000}"/>
    <cellStyle name="Input 19 4 2 3" xfId="19307" xr:uid="{00000000-0005-0000-0000-00009A4A0000}"/>
    <cellStyle name="Input 19 4 2 3 2" xfId="19308" xr:uid="{00000000-0005-0000-0000-00009B4A0000}"/>
    <cellStyle name="Input 19 4 2 3 2 2" xfId="19309" xr:uid="{00000000-0005-0000-0000-00009C4A0000}"/>
    <cellStyle name="Input 19 4 2 3 3" xfId="19310" xr:uid="{00000000-0005-0000-0000-00009D4A0000}"/>
    <cellStyle name="Input 19 4 2 3 3 2" xfId="19311" xr:uid="{00000000-0005-0000-0000-00009E4A0000}"/>
    <cellStyle name="Input 19 4 2 3 4" xfId="19312" xr:uid="{00000000-0005-0000-0000-00009F4A0000}"/>
    <cellStyle name="Input 19 4 2 3 5" xfId="19313" xr:uid="{00000000-0005-0000-0000-0000A04A0000}"/>
    <cellStyle name="Input 19 4 2 3 6" xfId="19314" xr:uid="{00000000-0005-0000-0000-0000A14A0000}"/>
    <cellStyle name="Input 19 4 2 4" xfId="19315" xr:uid="{00000000-0005-0000-0000-0000A24A0000}"/>
    <cellStyle name="Input 19 4 2 4 2" xfId="19316" xr:uid="{00000000-0005-0000-0000-0000A34A0000}"/>
    <cellStyle name="Input 19 4 2 5" xfId="19317" xr:uid="{00000000-0005-0000-0000-0000A44A0000}"/>
    <cellStyle name="Input 19 4 2 5 2" xfId="19318" xr:uid="{00000000-0005-0000-0000-0000A54A0000}"/>
    <cellStyle name="Input 19 4 2 6" xfId="19319" xr:uid="{00000000-0005-0000-0000-0000A64A0000}"/>
    <cellStyle name="Input 19 4 2 7" xfId="19320" xr:uid="{00000000-0005-0000-0000-0000A74A0000}"/>
    <cellStyle name="Input 19 4 2 8" xfId="19321" xr:uid="{00000000-0005-0000-0000-0000A84A0000}"/>
    <cellStyle name="Input 19 4 3" xfId="19322" xr:uid="{00000000-0005-0000-0000-0000A94A0000}"/>
    <cellStyle name="Input 19 4 3 2" xfId="19323" xr:uid="{00000000-0005-0000-0000-0000AA4A0000}"/>
    <cellStyle name="Input 19 4 3 2 2" xfId="19324" xr:uid="{00000000-0005-0000-0000-0000AB4A0000}"/>
    <cellStyle name="Input 19 4 3 2 2 2" xfId="19325" xr:uid="{00000000-0005-0000-0000-0000AC4A0000}"/>
    <cellStyle name="Input 19 4 3 2 2 2 2" xfId="19326" xr:uid="{00000000-0005-0000-0000-0000AD4A0000}"/>
    <cellStyle name="Input 19 4 3 2 2 3" xfId="19327" xr:uid="{00000000-0005-0000-0000-0000AE4A0000}"/>
    <cellStyle name="Input 19 4 3 2 2 3 2" xfId="19328" xr:uid="{00000000-0005-0000-0000-0000AF4A0000}"/>
    <cellStyle name="Input 19 4 3 2 2 4" xfId="19329" xr:uid="{00000000-0005-0000-0000-0000B04A0000}"/>
    <cellStyle name="Input 19 4 3 2 2 5" xfId="19330" xr:uid="{00000000-0005-0000-0000-0000B14A0000}"/>
    <cellStyle name="Input 19 4 3 2 2 6" xfId="19331" xr:uid="{00000000-0005-0000-0000-0000B24A0000}"/>
    <cellStyle name="Input 19 4 3 2 3" xfId="19332" xr:uid="{00000000-0005-0000-0000-0000B34A0000}"/>
    <cellStyle name="Input 19 4 3 2 3 2" xfId="19333" xr:uid="{00000000-0005-0000-0000-0000B44A0000}"/>
    <cellStyle name="Input 19 4 3 2 4" xfId="19334" xr:uid="{00000000-0005-0000-0000-0000B54A0000}"/>
    <cellStyle name="Input 19 4 3 2 4 2" xfId="19335" xr:uid="{00000000-0005-0000-0000-0000B64A0000}"/>
    <cellStyle name="Input 19 4 3 2 5" xfId="19336" xr:uid="{00000000-0005-0000-0000-0000B74A0000}"/>
    <cellStyle name="Input 19 4 3 2 6" xfId="19337" xr:uid="{00000000-0005-0000-0000-0000B84A0000}"/>
    <cellStyle name="Input 19 4 3 2 7" xfId="19338" xr:uid="{00000000-0005-0000-0000-0000B94A0000}"/>
    <cellStyle name="Input 19 4 3 3" xfId="19339" xr:uid="{00000000-0005-0000-0000-0000BA4A0000}"/>
    <cellStyle name="Input 19 4 3 3 2" xfId="19340" xr:uid="{00000000-0005-0000-0000-0000BB4A0000}"/>
    <cellStyle name="Input 19 4 3 3 2 2" xfId="19341" xr:uid="{00000000-0005-0000-0000-0000BC4A0000}"/>
    <cellStyle name="Input 19 4 3 3 3" xfId="19342" xr:uid="{00000000-0005-0000-0000-0000BD4A0000}"/>
    <cellStyle name="Input 19 4 3 3 3 2" xfId="19343" xr:uid="{00000000-0005-0000-0000-0000BE4A0000}"/>
    <cellStyle name="Input 19 4 3 3 4" xfId="19344" xr:uid="{00000000-0005-0000-0000-0000BF4A0000}"/>
    <cellStyle name="Input 19 4 3 3 5" xfId="19345" xr:uid="{00000000-0005-0000-0000-0000C04A0000}"/>
    <cellStyle name="Input 19 4 3 3 6" xfId="19346" xr:uid="{00000000-0005-0000-0000-0000C14A0000}"/>
    <cellStyle name="Input 19 4 3 4" xfId="19347" xr:uid="{00000000-0005-0000-0000-0000C24A0000}"/>
    <cellStyle name="Input 19 4 3 4 2" xfId="19348" xr:uid="{00000000-0005-0000-0000-0000C34A0000}"/>
    <cellStyle name="Input 19 4 3 5" xfId="19349" xr:uid="{00000000-0005-0000-0000-0000C44A0000}"/>
    <cellStyle name="Input 19 4 3 5 2" xfId="19350" xr:uid="{00000000-0005-0000-0000-0000C54A0000}"/>
    <cellStyle name="Input 19 4 3 6" xfId="19351" xr:uid="{00000000-0005-0000-0000-0000C64A0000}"/>
    <cellStyle name="Input 19 4 3 7" xfId="19352" xr:uid="{00000000-0005-0000-0000-0000C74A0000}"/>
    <cellStyle name="Input 19 4 3 8" xfId="19353" xr:uid="{00000000-0005-0000-0000-0000C84A0000}"/>
    <cellStyle name="Input 19 4 4" xfId="19354" xr:uid="{00000000-0005-0000-0000-0000C94A0000}"/>
    <cellStyle name="Input 19 4 4 2" xfId="19355" xr:uid="{00000000-0005-0000-0000-0000CA4A0000}"/>
    <cellStyle name="Input 19 4 4 2 2" xfId="19356" xr:uid="{00000000-0005-0000-0000-0000CB4A0000}"/>
    <cellStyle name="Input 19 4 4 2 2 2" xfId="19357" xr:uid="{00000000-0005-0000-0000-0000CC4A0000}"/>
    <cellStyle name="Input 19 4 4 2 3" xfId="19358" xr:uid="{00000000-0005-0000-0000-0000CD4A0000}"/>
    <cellStyle name="Input 19 4 4 2 3 2" xfId="19359" xr:uid="{00000000-0005-0000-0000-0000CE4A0000}"/>
    <cellStyle name="Input 19 4 4 2 4" xfId="19360" xr:uid="{00000000-0005-0000-0000-0000CF4A0000}"/>
    <cellStyle name="Input 19 4 4 2 5" xfId="19361" xr:uid="{00000000-0005-0000-0000-0000D04A0000}"/>
    <cellStyle name="Input 19 4 4 2 6" xfId="19362" xr:uid="{00000000-0005-0000-0000-0000D14A0000}"/>
    <cellStyle name="Input 19 4 4 3" xfId="19363" xr:uid="{00000000-0005-0000-0000-0000D24A0000}"/>
    <cellStyle name="Input 19 4 4 3 2" xfId="19364" xr:uid="{00000000-0005-0000-0000-0000D34A0000}"/>
    <cellStyle name="Input 19 4 4 4" xfId="19365" xr:uid="{00000000-0005-0000-0000-0000D44A0000}"/>
    <cellStyle name="Input 19 4 4 4 2" xfId="19366" xr:uid="{00000000-0005-0000-0000-0000D54A0000}"/>
    <cellStyle name="Input 19 4 4 5" xfId="19367" xr:uid="{00000000-0005-0000-0000-0000D64A0000}"/>
    <cellStyle name="Input 19 4 4 6" xfId="19368" xr:uid="{00000000-0005-0000-0000-0000D74A0000}"/>
    <cellStyle name="Input 19 4 4 7" xfId="19369" xr:uid="{00000000-0005-0000-0000-0000D84A0000}"/>
    <cellStyle name="Input 19 4 5" xfId="19370" xr:uid="{00000000-0005-0000-0000-0000D94A0000}"/>
    <cellStyle name="Input 19 4 5 2" xfId="19371" xr:uid="{00000000-0005-0000-0000-0000DA4A0000}"/>
    <cellStyle name="Input 19 4 5 2 2" xfId="19372" xr:uid="{00000000-0005-0000-0000-0000DB4A0000}"/>
    <cellStyle name="Input 19 4 5 3" xfId="19373" xr:uid="{00000000-0005-0000-0000-0000DC4A0000}"/>
    <cellStyle name="Input 19 4 5 3 2" xfId="19374" xr:uid="{00000000-0005-0000-0000-0000DD4A0000}"/>
    <cellStyle name="Input 19 4 5 4" xfId="19375" xr:uid="{00000000-0005-0000-0000-0000DE4A0000}"/>
    <cellStyle name="Input 19 4 5 5" xfId="19376" xr:uid="{00000000-0005-0000-0000-0000DF4A0000}"/>
    <cellStyle name="Input 19 4 5 6" xfId="19377" xr:uid="{00000000-0005-0000-0000-0000E04A0000}"/>
    <cellStyle name="Input 19 4 6" xfId="19378" xr:uid="{00000000-0005-0000-0000-0000E14A0000}"/>
    <cellStyle name="Input 19 4 6 2" xfId="19379" xr:uid="{00000000-0005-0000-0000-0000E24A0000}"/>
    <cellStyle name="Input 19 4 7" xfId="19380" xr:uid="{00000000-0005-0000-0000-0000E34A0000}"/>
    <cellStyle name="Input 19 4 7 2" xfId="19381" xr:uid="{00000000-0005-0000-0000-0000E44A0000}"/>
    <cellStyle name="Input 19 4 8" xfId="19382" xr:uid="{00000000-0005-0000-0000-0000E54A0000}"/>
    <cellStyle name="Input 19 4 9" xfId="19383" xr:uid="{00000000-0005-0000-0000-0000E64A0000}"/>
    <cellStyle name="Input 19 5" xfId="19384" xr:uid="{00000000-0005-0000-0000-0000E74A0000}"/>
    <cellStyle name="Input 19 5 2" xfId="19385" xr:uid="{00000000-0005-0000-0000-0000E84A0000}"/>
    <cellStyle name="Input 19 5 2 2" xfId="19386" xr:uid="{00000000-0005-0000-0000-0000E94A0000}"/>
    <cellStyle name="Input 19 5 2 2 2" xfId="19387" xr:uid="{00000000-0005-0000-0000-0000EA4A0000}"/>
    <cellStyle name="Input 19 5 2 2 2 2" xfId="19388" xr:uid="{00000000-0005-0000-0000-0000EB4A0000}"/>
    <cellStyle name="Input 19 5 2 2 3" xfId="19389" xr:uid="{00000000-0005-0000-0000-0000EC4A0000}"/>
    <cellStyle name="Input 19 5 2 2 3 2" xfId="19390" xr:uid="{00000000-0005-0000-0000-0000ED4A0000}"/>
    <cellStyle name="Input 19 5 2 2 4" xfId="19391" xr:uid="{00000000-0005-0000-0000-0000EE4A0000}"/>
    <cellStyle name="Input 19 5 2 2 5" xfId="19392" xr:uid="{00000000-0005-0000-0000-0000EF4A0000}"/>
    <cellStyle name="Input 19 5 2 2 6" xfId="19393" xr:uid="{00000000-0005-0000-0000-0000F04A0000}"/>
    <cellStyle name="Input 19 5 2 3" xfId="19394" xr:uid="{00000000-0005-0000-0000-0000F14A0000}"/>
    <cellStyle name="Input 19 5 2 3 2" xfId="19395" xr:uid="{00000000-0005-0000-0000-0000F24A0000}"/>
    <cellStyle name="Input 19 5 2 4" xfId="19396" xr:uid="{00000000-0005-0000-0000-0000F34A0000}"/>
    <cellStyle name="Input 19 5 2 4 2" xfId="19397" xr:uid="{00000000-0005-0000-0000-0000F44A0000}"/>
    <cellStyle name="Input 19 5 2 5" xfId="19398" xr:uid="{00000000-0005-0000-0000-0000F54A0000}"/>
    <cellStyle name="Input 19 5 2 6" xfId="19399" xr:uid="{00000000-0005-0000-0000-0000F64A0000}"/>
    <cellStyle name="Input 19 5 2 7" xfId="19400" xr:uid="{00000000-0005-0000-0000-0000F74A0000}"/>
    <cellStyle name="Input 19 5 3" xfId="19401" xr:uid="{00000000-0005-0000-0000-0000F84A0000}"/>
    <cellStyle name="Input 19 5 3 2" xfId="19402" xr:uid="{00000000-0005-0000-0000-0000F94A0000}"/>
    <cellStyle name="Input 19 5 3 2 2" xfId="19403" xr:uid="{00000000-0005-0000-0000-0000FA4A0000}"/>
    <cellStyle name="Input 19 5 3 3" xfId="19404" xr:uid="{00000000-0005-0000-0000-0000FB4A0000}"/>
    <cellStyle name="Input 19 5 3 3 2" xfId="19405" xr:uid="{00000000-0005-0000-0000-0000FC4A0000}"/>
    <cellStyle name="Input 19 5 3 4" xfId="19406" xr:uid="{00000000-0005-0000-0000-0000FD4A0000}"/>
    <cellStyle name="Input 19 5 3 5" xfId="19407" xr:uid="{00000000-0005-0000-0000-0000FE4A0000}"/>
    <cellStyle name="Input 19 5 3 6" xfId="19408" xr:uid="{00000000-0005-0000-0000-0000FF4A0000}"/>
    <cellStyle name="Input 19 5 4" xfId="19409" xr:uid="{00000000-0005-0000-0000-0000004B0000}"/>
    <cellStyle name="Input 19 5 4 2" xfId="19410" xr:uid="{00000000-0005-0000-0000-0000014B0000}"/>
    <cellStyle name="Input 19 5 5" xfId="19411" xr:uid="{00000000-0005-0000-0000-0000024B0000}"/>
    <cellStyle name="Input 19 5 5 2" xfId="19412" xr:uid="{00000000-0005-0000-0000-0000034B0000}"/>
    <cellStyle name="Input 19 5 6" xfId="19413" xr:uid="{00000000-0005-0000-0000-0000044B0000}"/>
    <cellStyle name="Input 19 5 7" xfId="19414" xr:uid="{00000000-0005-0000-0000-0000054B0000}"/>
    <cellStyle name="Input 19 5 8" xfId="19415" xr:uid="{00000000-0005-0000-0000-0000064B0000}"/>
    <cellStyle name="Input 19 6" xfId="19416" xr:uid="{00000000-0005-0000-0000-0000074B0000}"/>
    <cellStyle name="Input 19 6 2" xfId="19417" xr:uid="{00000000-0005-0000-0000-0000084B0000}"/>
    <cellStyle name="Input 19 6 2 2" xfId="19418" xr:uid="{00000000-0005-0000-0000-0000094B0000}"/>
    <cellStyle name="Input 19 6 2 2 2" xfId="19419" xr:uid="{00000000-0005-0000-0000-00000A4B0000}"/>
    <cellStyle name="Input 19 6 2 3" xfId="19420" xr:uid="{00000000-0005-0000-0000-00000B4B0000}"/>
    <cellStyle name="Input 19 6 2 3 2" xfId="19421" xr:uid="{00000000-0005-0000-0000-00000C4B0000}"/>
    <cellStyle name="Input 19 6 2 4" xfId="19422" xr:uid="{00000000-0005-0000-0000-00000D4B0000}"/>
    <cellStyle name="Input 19 6 2 5" xfId="19423" xr:uid="{00000000-0005-0000-0000-00000E4B0000}"/>
    <cellStyle name="Input 19 6 2 6" xfId="19424" xr:uid="{00000000-0005-0000-0000-00000F4B0000}"/>
    <cellStyle name="Input 19 6 3" xfId="19425" xr:uid="{00000000-0005-0000-0000-0000104B0000}"/>
    <cellStyle name="Input 19 6 3 2" xfId="19426" xr:uid="{00000000-0005-0000-0000-0000114B0000}"/>
    <cellStyle name="Input 19 6 4" xfId="19427" xr:uid="{00000000-0005-0000-0000-0000124B0000}"/>
    <cellStyle name="Input 19 6 4 2" xfId="19428" xr:uid="{00000000-0005-0000-0000-0000134B0000}"/>
    <cellStyle name="Input 19 6 5" xfId="19429" xr:uid="{00000000-0005-0000-0000-0000144B0000}"/>
    <cellStyle name="Input 19 6 6" xfId="19430" xr:uid="{00000000-0005-0000-0000-0000154B0000}"/>
    <cellStyle name="Input 19 6 7" xfId="19431" xr:uid="{00000000-0005-0000-0000-0000164B0000}"/>
    <cellStyle name="Input 19 7" xfId="19432" xr:uid="{00000000-0005-0000-0000-0000174B0000}"/>
    <cellStyle name="Input 19 7 2" xfId="19433" xr:uid="{00000000-0005-0000-0000-0000184B0000}"/>
    <cellStyle name="Input 19 7 2 2" xfId="19434" xr:uid="{00000000-0005-0000-0000-0000194B0000}"/>
    <cellStyle name="Input 19 7 3" xfId="19435" xr:uid="{00000000-0005-0000-0000-00001A4B0000}"/>
    <cellStyle name="Input 19 7 3 2" xfId="19436" xr:uid="{00000000-0005-0000-0000-00001B4B0000}"/>
    <cellStyle name="Input 19 7 4" xfId="19437" xr:uid="{00000000-0005-0000-0000-00001C4B0000}"/>
    <cellStyle name="Input 19 7 5" xfId="19438" xr:uid="{00000000-0005-0000-0000-00001D4B0000}"/>
    <cellStyle name="Input 19 7 6" xfId="19439" xr:uid="{00000000-0005-0000-0000-00001E4B0000}"/>
    <cellStyle name="Input 19 8" xfId="19440" xr:uid="{00000000-0005-0000-0000-00001F4B0000}"/>
    <cellStyle name="Input 19 8 2" xfId="19441" xr:uid="{00000000-0005-0000-0000-0000204B0000}"/>
    <cellStyle name="Input 19 9" xfId="19442" xr:uid="{00000000-0005-0000-0000-0000214B0000}"/>
    <cellStyle name="Input 19 9 2" xfId="19443" xr:uid="{00000000-0005-0000-0000-0000224B0000}"/>
    <cellStyle name="Input 2" xfId="19444" xr:uid="{00000000-0005-0000-0000-0000234B0000}"/>
    <cellStyle name="Input 2 10" xfId="19445" xr:uid="{00000000-0005-0000-0000-0000244B0000}"/>
    <cellStyle name="Input 2 11" xfId="19446" xr:uid="{00000000-0005-0000-0000-0000254B0000}"/>
    <cellStyle name="Input 2 12" xfId="19447" xr:uid="{00000000-0005-0000-0000-0000264B0000}"/>
    <cellStyle name="Input 2 2" xfId="19448" xr:uid="{00000000-0005-0000-0000-0000274B0000}"/>
    <cellStyle name="Input 2 2 10" xfId="19449" xr:uid="{00000000-0005-0000-0000-0000284B0000}"/>
    <cellStyle name="Input 2 2 11" xfId="19450" xr:uid="{00000000-0005-0000-0000-0000294B0000}"/>
    <cellStyle name="Input 2 2 12" xfId="19451" xr:uid="{00000000-0005-0000-0000-00002A4B0000}"/>
    <cellStyle name="Input 2 2 2" xfId="19452" xr:uid="{00000000-0005-0000-0000-00002B4B0000}"/>
    <cellStyle name="Input 2 2 2 10" xfId="19453" xr:uid="{00000000-0005-0000-0000-00002C4B0000}"/>
    <cellStyle name="Input 2 2 2 11" xfId="19454" xr:uid="{00000000-0005-0000-0000-00002D4B0000}"/>
    <cellStyle name="Input 2 2 2 12" xfId="19455" xr:uid="{00000000-0005-0000-0000-00002E4B0000}"/>
    <cellStyle name="Input 2 2 2 2" xfId="19456" xr:uid="{00000000-0005-0000-0000-00002F4B0000}"/>
    <cellStyle name="Input 2 2 2 2 10" xfId="19457" xr:uid="{00000000-0005-0000-0000-0000304B0000}"/>
    <cellStyle name="Input 2 2 2 2 11" xfId="19458" xr:uid="{00000000-0005-0000-0000-0000314B0000}"/>
    <cellStyle name="Input 2 2 2 2 2" xfId="19459" xr:uid="{00000000-0005-0000-0000-0000324B0000}"/>
    <cellStyle name="Input 2 2 2 2 2 10" xfId="19460" xr:uid="{00000000-0005-0000-0000-0000334B0000}"/>
    <cellStyle name="Input 2 2 2 2 2 2" xfId="19461" xr:uid="{00000000-0005-0000-0000-0000344B0000}"/>
    <cellStyle name="Input 2 2 2 2 2 2 2" xfId="19462" xr:uid="{00000000-0005-0000-0000-0000354B0000}"/>
    <cellStyle name="Input 2 2 2 2 2 2 2 2" xfId="19463" xr:uid="{00000000-0005-0000-0000-0000364B0000}"/>
    <cellStyle name="Input 2 2 2 2 2 2 2 2 2" xfId="19464" xr:uid="{00000000-0005-0000-0000-0000374B0000}"/>
    <cellStyle name="Input 2 2 2 2 2 2 2 2 2 2" xfId="19465" xr:uid="{00000000-0005-0000-0000-0000384B0000}"/>
    <cellStyle name="Input 2 2 2 2 2 2 2 2 3" xfId="19466" xr:uid="{00000000-0005-0000-0000-0000394B0000}"/>
    <cellStyle name="Input 2 2 2 2 2 2 2 2 3 2" xfId="19467" xr:uid="{00000000-0005-0000-0000-00003A4B0000}"/>
    <cellStyle name="Input 2 2 2 2 2 2 2 2 4" xfId="19468" xr:uid="{00000000-0005-0000-0000-00003B4B0000}"/>
    <cellStyle name="Input 2 2 2 2 2 2 2 2 5" xfId="19469" xr:uid="{00000000-0005-0000-0000-00003C4B0000}"/>
    <cellStyle name="Input 2 2 2 2 2 2 2 2 6" xfId="19470" xr:uid="{00000000-0005-0000-0000-00003D4B0000}"/>
    <cellStyle name="Input 2 2 2 2 2 2 2 3" xfId="19471" xr:uid="{00000000-0005-0000-0000-00003E4B0000}"/>
    <cellStyle name="Input 2 2 2 2 2 2 2 3 2" xfId="19472" xr:uid="{00000000-0005-0000-0000-00003F4B0000}"/>
    <cellStyle name="Input 2 2 2 2 2 2 2 4" xfId="19473" xr:uid="{00000000-0005-0000-0000-0000404B0000}"/>
    <cellStyle name="Input 2 2 2 2 2 2 2 4 2" xfId="19474" xr:uid="{00000000-0005-0000-0000-0000414B0000}"/>
    <cellStyle name="Input 2 2 2 2 2 2 2 5" xfId="19475" xr:uid="{00000000-0005-0000-0000-0000424B0000}"/>
    <cellStyle name="Input 2 2 2 2 2 2 2 6" xfId="19476" xr:uid="{00000000-0005-0000-0000-0000434B0000}"/>
    <cellStyle name="Input 2 2 2 2 2 2 2 7" xfId="19477" xr:uid="{00000000-0005-0000-0000-0000444B0000}"/>
    <cellStyle name="Input 2 2 2 2 2 2 3" xfId="19478" xr:uid="{00000000-0005-0000-0000-0000454B0000}"/>
    <cellStyle name="Input 2 2 2 2 2 2 3 2" xfId="19479" xr:uid="{00000000-0005-0000-0000-0000464B0000}"/>
    <cellStyle name="Input 2 2 2 2 2 2 3 2 2" xfId="19480" xr:uid="{00000000-0005-0000-0000-0000474B0000}"/>
    <cellStyle name="Input 2 2 2 2 2 2 3 3" xfId="19481" xr:uid="{00000000-0005-0000-0000-0000484B0000}"/>
    <cellStyle name="Input 2 2 2 2 2 2 3 3 2" xfId="19482" xr:uid="{00000000-0005-0000-0000-0000494B0000}"/>
    <cellStyle name="Input 2 2 2 2 2 2 3 4" xfId="19483" xr:uid="{00000000-0005-0000-0000-00004A4B0000}"/>
    <cellStyle name="Input 2 2 2 2 2 2 3 5" xfId="19484" xr:uid="{00000000-0005-0000-0000-00004B4B0000}"/>
    <cellStyle name="Input 2 2 2 2 2 2 3 6" xfId="19485" xr:uid="{00000000-0005-0000-0000-00004C4B0000}"/>
    <cellStyle name="Input 2 2 2 2 2 2 4" xfId="19486" xr:uid="{00000000-0005-0000-0000-00004D4B0000}"/>
    <cellStyle name="Input 2 2 2 2 2 2 4 2" xfId="19487" xr:uid="{00000000-0005-0000-0000-00004E4B0000}"/>
    <cellStyle name="Input 2 2 2 2 2 2 5" xfId="19488" xr:uid="{00000000-0005-0000-0000-00004F4B0000}"/>
    <cellStyle name="Input 2 2 2 2 2 2 5 2" xfId="19489" xr:uid="{00000000-0005-0000-0000-0000504B0000}"/>
    <cellStyle name="Input 2 2 2 2 2 2 6" xfId="19490" xr:uid="{00000000-0005-0000-0000-0000514B0000}"/>
    <cellStyle name="Input 2 2 2 2 2 2 7" xfId="19491" xr:uid="{00000000-0005-0000-0000-0000524B0000}"/>
    <cellStyle name="Input 2 2 2 2 2 2 8" xfId="19492" xr:uid="{00000000-0005-0000-0000-0000534B0000}"/>
    <cellStyle name="Input 2 2 2 2 2 3" xfId="19493" xr:uid="{00000000-0005-0000-0000-0000544B0000}"/>
    <cellStyle name="Input 2 2 2 2 2 3 2" xfId="19494" xr:uid="{00000000-0005-0000-0000-0000554B0000}"/>
    <cellStyle name="Input 2 2 2 2 2 3 2 2" xfId="19495" xr:uid="{00000000-0005-0000-0000-0000564B0000}"/>
    <cellStyle name="Input 2 2 2 2 2 3 2 2 2" xfId="19496" xr:uid="{00000000-0005-0000-0000-0000574B0000}"/>
    <cellStyle name="Input 2 2 2 2 2 3 2 2 2 2" xfId="19497" xr:uid="{00000000-0005-0000-0000-0000584B0000}"/>
    <cellStyle name="Input 2 2 2 2 2 3 2 2 3" xfId="19498" xr:uid="{00000000-0005-0000-0000-0000594B0000}"/>
    <cellStyle name="Input 2 2 2 2 2 3 2 2 3 2" xfId="19499" xr:uid="{00000000-0005-0000-0000-00005A4B0000}"/>
    <cellStyle name="Input 2 2 2 2 2 3 2 2 4" xfId="19500" xr:uid="{00000000-0005-0000-0000-00005B4B0000}"/>
    <cellStyle name="Input 2 2 2 2 2 3 2 2 5" xfId="19501" xr:uid="{00000000-0005-0000-0000-00005C4B0000}"/>
    <cellStyle name="Input 2 2 2 2 2 3 2 2 6" xfId="19502" xr:uid="{00000000-0005-0000-0000-00005D4B0000}"/>
    <cellStyle name="Input 2 2 2 2 2 3 2 3" xfId="19503" xr:uid="{00000000-0005-0000-0000-00005E4B0000}"/>
    <cellStyle name="Input 2 2 2 2 2 3 2 3 2" xfId="19504" xr:uid="{00000000-0005-0000-0000-00005F4B0000}"/>
    <cellStyle name="Input 2 2 2 2 2 3 2 4" xfId="19505" xr:uid="{00000000-0005-0000-0000-0000604B0000}"/>
    <cellStyle name="Input 2 2 2 2 2 3 2 4 2" xfId="19506" xr:uid="{00000000-0005-0000-0000-0000614B0000}"/>
    <cellStyle name="Input 2 2 2 2 2 3 2 5" xfId="19507" xr:uid="{00000000-0005-0000-0000-0000624B0000}"/>
    <cellStyle name="Input 2 2 2 2 2 3 2 6" xfId="19508" xr:uid="{00000000-0005-0000-0000-0000634B0000}"/>
    <cellStyle name="Input 2 2 2 2 2 3 2 7" xfId="19509" xr:uid="{00000000-0005-0000-0000-0000644B0000}"/>
    <cellStyle name="Input 2 2 2 2 2 3 3" xfId="19510" xr:uid="{00000000-0005-0000-0000-0000654B0000}"/>
    <cellStyle name="Input 2 2 2 2 2 3 3 2" xfId="19511" xr:uid="{00000000-0005-0000-0000-0000664B0000}"/>
    <cellStyle name="Input 2 2 2 2 2 3 3 2 2" xfId="19512" xr:uid="{00000000-0005-0000-0000-0000674B0000}"/>
    <cellStyle name="Input 2 2 2 2 2 3 3 3" xfId="19513" xr:uid="{00000000-0005-0000-0000-0000684B0000}"/>
    <cellStyle name="Input 2 2 2 2 2 3 3 3 2" xfId="19514" xr:uid="{00000000-0005-0000-0000-0000694B0000}"/>
    <cellStyle name="Input 2 2 2 2 2 3 3 4" xfId="19515" xr:uid="{00000000-0005-0000-0000-00006A4B0000}"/>
    <cellStyle name="Input 2 2 2 2 2 3 3 5" xfId="19516" xr:uid="{00000000-0005-0000-0000-00006B4B0000}"/>
    <cellStyle name="Input 2 2 2 2 2 3 3 6" xfId="19517" xr:uid="{00000000-0005-0000-0000-00006C4B0000}"/>
    <cellStyle name="Input 2 2 2 2 2 3 4" xfId="19518" xr:uid="{00000000-0005-0000-0000-00006D4B0000}"/>
    <cellStyle name="Input 2 2 2 2 2 3 4 2" xfId="19519" xr:uid="{00000000-0005-0000-0000-00006E4B0000}"/>
    <cellStyle name="Input 2 2 2 2 2 3 5" xfId="19520" xr:uid="{00000000-0005-0000-0000-00006F4B0000}"/>
    <cellStyle name="Input 2 2 2 2 2 3 5 2" xfId="19521" xr:uid="{00000000-0005-0000-0000-0000704B0000}"/>
    <cellStyle name="Input 2 2 2 2 2 3 6" xfId="19522" xr:uid="{00000000-0005-0000-0000-0000714B0000}"/>
    <cellStyle name="Input 2 2 2 2 2 3 7" xfId="19523" xr:uid="{00000000-0005-0000-0000-0000724B0000}"/>
    <cellStyle name="Input 2 2 2 2 2 3 8" xfId="19524" xr:uid="{00000000-0005-0000-0000-0000734B0000}"/>
    <cellStyle name="Input 2 2 2 2 2 4" xfId="19525" xr:uid="{00000000-0005-0000-0000-0000744B0000}"/>
    <cellStyle name="Input 2 2 2 2 2 4 2" xfId="19526" xr:uid="{00000000-0005-0000-0000-0000754B0000}"/>
    <cellStyle name="Input 2 2 2 2 2 4 2 2" xfId="19527" xr:uid="{00000000-0005-0000-0000-0000764B0000}"/>
    <cellStyle name="Input 2 2 2 2 2 4 2 2 2" xfId="19528" xr:uid="{00000000-0005-0000-0000-0000774B0000}"/>
    <cellStyle name="Input 2 2 2 2 2 4 2 3" xfId="19529" xr:uid="{00000000-0005-0000-0000-0000784B0000}"/>
    <cellStyle name="Input 2 2 2 2 2 4 2 3 2" xfId="19530" xr:uid="{00000000-0005-0000-0000-0000794B0000}"/>
    <cellStyle name="Input 2 2 2 2 2 4 2 4" xfId="19531" xr:uid="{00000000-0005-0000-0000-00007A4B0000}"/>
    <cellStyle name="Input 2 2 2 2 2 4 2 5" xfId="19532" xr:uid="{00000000-0005-0000-0000-00007B4B0000}"/>
    <cellStyle name="Input 2 2 2 2 2 4 2 6" xfId="19533" xr:uid="{00000000-0005-0000-0000-00007C4B0000}"/>
    <cellStyle name="Input 2 2 2 2 2 4 3" xfId="19534" xr:uid="{00000000-0005-0000-0000-00007D4B0000}"/>
    <cellStyle name="Input 2 2 2 2 2 4 3 2" xfId="19535" xr:uid="{00000000-0005-0000-0000-00007E4B0000}"/>
    <cellStyle name="Input 2 2 2 2 2 4 4" xfId="19536" xr:uid="{00000000-0005-0000-0000-00007F4B0000}"/>
    <cellStyle name="Input 2 2 2 2 2 4 4 2" xfId="19537" xr:uid="{00000000-0005-0000-0000-0000804B0000}"/>
    <cellStyle name="Input 2 2 2 2 2 4 5" xfId="19538" xr:uid="{00000000-0005-0000-0000-0000814B0000}"/>
    <cellStyle name="Input 2 2 2 2 2 4 6" xfId="19539" xr:uid="{00000000-0005-0000-0000-0000824B0000}"/>
    <cellStyle name="Input 2 2 2 2 2 4 7" xfId="19540" xr:uid="{00000000-0005-0000-0000-0000834B0000}"/>
    <cellStyle name="Input 2 2 2 2 2 5" xfId="19541" xr:uid="{00000000-0005-0000-0000-0000844B0000}"/>
    <cellStyle name="Input 2 2 2 2 2 5 2" xfId="19542" xr:uid="{00000000-0005-0000-0000-0000854B0000}"/>
    <cellStyle name="Input 2 2 2 2 2 5 2 2" xfId="19543" xr:uid="{00000000-0005-0000-0000-0000864B0000}"/>
    <cellStyle name="Input 2 2 2 2 2 5 3" xfId="19544" xr:uid="{00000000-0005-0000-0000-0000874B0000}"/>
    <cellStyle name="Input 2 2 2 2 2 5 3 2" xfId="19545" xr:uid="{00000000-0005-0000-0000-0000884B0000}"/>
    <cellStyle name="Input 2 2 2 2 2 5 4" xfId="19546" xr:uid="{00000000-0005-0000-0000-0000894B0000}"/>
    <cellStyle name="Input 2 2 2 2 2 5 5" xfId="19547" xr:uid="{00000000-0005-0000-0000-00008A4B0000}"/>
    <cellStyle name="Input 2 2 2 2 2 5 6" xfId="19548" xr:uid="{00000000-0005-0000-0000-00008B4B0000}"/>
    <cellStyle name="Input 2 2 2 2 2 6" xfId="19549" xr:uid="{00000000-0005-0000-0000-00008C4B0000}"/>
    <cellStyle name="Input 2 2 2 2 2 6 2" xfId="19550" xr:uid="{00000000-0005-0000-0000-00008D4B0000}"/>
    <cellStyle name="Input 2 2 2 2 2 7" xfId="19551" xr:uid="{00000000-0005-0000-0000-00008E4B0000}"/>
    <cellStyle name="Input 2 2 2 2 2 7 2" xfId="19552" xr:uid="{00000000-0005-0000-0000-00008F4B0000}"/>
    <cellStyle name="Input 2 2 2 2 2 8" xfId="19553" xr:uid="{00000000-0005-0000-0000-0000904B0000}"/>
    <cellStyle name="Input 2 2 2 2 2 9" xfId="19554" xr:uid="{00000000-0005-0000-0000-0000914B0000}"/>
    <cellStyle name="Input 2 2 2 2 3" xfId="19555" xr:uid="{00000000-0005-0000-0000-0000924B0000}"/>
    <cellStyle name="Input 2 2 2 2 3 2" xfId="19556" xr:uid="{00000000-0005-0000-0000-0000934B0000}"/>
    <cellStyle name="Input 2 2 2 2 3 2 2" xfId="19557" xr:uid="{00000000-0005-0000-0000-0000944B0000}"/>
    <cellStyle name="Input 2 2 2 2 3 2 2 2" xfId="19558" xr:uid="{00000000-0005-0000-0000-0000954B0000}"/>
    <cellStyle name="Input 2 2 2 2 3 2 2 2 2" xfId="19559" xr:uid="{00000000-0005-0000-0000-0000964B0000}"/>
    <cellStyle name="Input 2 2 2 2 3 2 2 3" xfId="19560" xr:uid="{00000000-0005-0000-0000-0000974B0000}"/>
    <cellStyle name="Input 2 2 2 2 3 2 2 3 2" xfId="19561" xr:uid="{00000000-0005-0000-0000-0000984B0000}"/>
    <cellStyle name="Input 2 2 2 2 3 2 2 4" xfId="19562" xr:uid="{00000000-0005-0000-0000-0000994B0000}"/>
    <cellStyle name="Input 2 2 2 2 3 2 2 5" xfId="19563" xr:uid="{00000000-0005-0000-0000-00009A4B0000}"/>
    <cellStyle name="Input 2 2 2 2 3 2 2 6" xfId="19564" xr:uid="{00000000-0005-0000-0000-00009B4B0000}"/>
    <cellStyle name="Input 2 2 2 2 3 2 3" xfId="19565" xr:uid="{00000000-0005-0000-0000-00009C4B0000}"/>
    <cellStyle name="Input 2 2 2 2 3 2 3 2" xfId="19566" xr:uid="{00000000-0005-0000-0000-00009D4B0000}"/>
    <cellStyle name="Input 2 2 2 2 3 2 4" xfId="19567" xr:uid="{00000000-0005-0000-0000-00009E4B0000}"/>
    <cellStyle name="Input 2 2 2 2 3 2 4 2" xfId="19568" xr:uid="{00000000-0005-0000-0000-00009F4B0000}"/>
    <cellStyle name="Input 2 2 2 2 3 2 5" xfId="19569" xr:uid="{00000000-0005-0000-0000-0000A04B0000}"/>
    <cellStyle name="Input 2 2 2 2 3 2 6" xfId="19570" xr:uid="{00000000-0005-0000-0000-0000A14B0000}"/>
    <cellStyle name="Input 2 2 2 2 3 2 7" xfId="19571" xr:uid="{00000000-0005-0000-0000-0000A24B0000}"/>
    <cellStyle name="Input 2 2 2 2 3 3" xfId="19572" xr:uid="{00000000-0005-0000-0000-0000A34B0000}"/>
    <cellStyle name="Input 2 2 2 2 3 3 2" xfId="19573" xr:uid="{00000000-0005-0000-0000-0000A44B0000}"/>
    <cellStyle name="Input 2 2 2 2 3 3 2 2" xfId="19574" xr:uid="{00000000-0005-0000-0000-0000A54B0000}"/>
    <cellStyle name="Input 2 2 2 2 3 3 3" xfId="19575" xr:uid="{00000000-0005-0000-0000-0000A64B0000}"/>
    <cellStyle name="Input 2 2 2 2 3 3 3 2" xfId="19576" xr:uid="{00000000-0005-0000-0000-0000A74B0000}"/>
    <cellStyle name="Input 2 2 2 2 3 3 4" xfId="19577" xr:uid="{00000000-0005-0000-0000-0000A84B0000}"/>
    <cellStyle name="Input 2 2 2 2 3 3 5" xfId="19578" xr:uid="{00000000-0005-0000-0000-0000A94B0000}"/>
    <cellStyle name="Input 2 2 2 2 3 3 6" xfId="19579" xr:uid="{00000000-0005-0000-0000-0000AA4B0000}"/>
    <cellStyle name="Input 2 2 2 2 3 4" xfId="19580" xr:uid="{00000000-0005-0000-0000-0000AB4B0000}"/>
    <cellStyle name="Input 2 2 2 2 3 4 2" xfId="19581" xr:uid="{00000000-0005-0000-0000-0000AC4B0000}"/>
    <cellStyle name="Input 2 2 2 2 3 5" xfId="19582" xr:uid="{00000000-0005-0000-0000-0000AD4B0000}"/>
    <cellStyle name="Input 2 2 2 2 3 5 2" xfId="19583" xr:uid="{00000000-0005-0000-0000-0000AE4B0000}"/>
    <cellStyle name="Input 2 2 2 2 3 6" xfId="19584" xr:uid="{00000000-0005-0000-0000-0000AF4B0000}"/>
    <cellStyle name="Input 2 2 2 2 3 7" xfId="19585" xr:uid="{00000000-0005-0000-0000-0000B04B0000}"/>
    <cellStyle name="Input 2 2 2 2 3 8" xfId="19586" xr:uid="{00000000-0005-0000-0000-0000B14B0000}"/>
    <cellStyle name="Input 2 2 2 2 4" xfId="19587" xr:uid="{00000000-0005-0000-0000-0000B24B0000}"/>
    <cellStyle name="Input 2 2 2 2 4 2" xfId="19588" xr:uid="{00000000-0005-0000-0000-0000B34B0000}"/>
    <cellStyle name="Input 2 2 2 2 4 2 2" xfId="19589" xr:uid="{00000000-0005-0000-0000-0000B44B0000}"/>
    <cellStyle name="Input 2 2 2 2 4 2 2 2" xfId="19590" xr:uid="{00000000-0005-0000-0000-0000B54B0000}"/>
    <cellStyle name="Input 2 2 2 2 4 2 2 2 2" xfId="19591" xr:uid="{00000000-0005-0000-0000-0000B64B0000}"/>
    <cellStyle name="Input 2 2 2 2 4 2 2 3" xfId="19592" xr:uid="{00000000-0005-0000-0000-0000B74B0000}"/>
    <cellStyle name="Input 2 2 2 2 4 2 2 3 2" xfId="19593" xr:uid="{00000000-0005-0000-0000-0000B84B0000}"/>
    <cellStyle name="Input 2 2 2 2 4 2 2 4" xfId="19594" xr:uid="{00000000-0005-0000-0000-0000B94B0000}"/>
    <cellStyle name="Input 2 2 2 2 4 2 2 5" xfId="19595" xr:uid="{00000000-0005-0000-0000-0000BA4B0000}"/>
    <cellStyle name="Input 2 2 2 2 4 2 2 6" xfId="19596" xr:uid="{00000000-0005-0000-0000-0000BB4B0000}"/>
    <cellStyle name="Input 2 2 2 2 4 2 3" xfId="19597" xr:uid="{00000000-0005-0000-0000-0000BC4B0000}"/>
    <cellStyle name="Input 2 2 2 2 4 2 3 2" xfId="19598" xr:uid="{00000000-0005-0000-0000-0000BD4B0000}"/>
    <cellStyle name="Input 2 2 2 2 4 2 4" xfId="19599" xr:uid="{00000000-0005-0000-0000-0000BE4B0000}"/>
    <cellStyle name="Input 2 2 2 2 4 2 4 2" xfId="19600" xr:uid="{00000000-0005-0000-0000-0000BF4B0000}"/>
    <cellStyle name="Input 2 2 2 2 4 2 5" xfId="19601" xr:uid="{00000000-0005-0000-0000-0000C04B0000}"/>
    <cellStyle name="Input 2 2 2 2 4 2 6" xfId="19602" xr:uid="{00000000-0005-0000-0000-0000C14B0000}"/>
    <cellStyle name="Input 2 2 2 2 4 2 7" xfId="19603" xr:uid="{00000000-0005-0000-0000-0000C24B0000}"/>
    <cellStyle name="Input 2 2 2 2 4 3" xfId="19604" xr:uid="{00000000-0005-0000-0000-0000C34B0000}"/>
    <cellStyle name="Input 2 2 2 2 4 3 2" xfId="19605" xr:uid="{00000000-0005-0000-0000-0000C44B0000}"/>
    <cellStyle name="Input 2 2 2 2 4 3 2 2" xfId="19606" xr:uid="{00000000-0005-0000-0000-0000C54B0000}"/>
    <cellStyle name="Input 2 2 2 2 4 3 3" xfId="19607" xr:uid="{00000000-0005-0000-0000-0000C64B0000}"/>
    <cellStyle name="Input 2 2 2 2 4 3 3 2" xfId="19608" xr:uid="{00000000-0005-0000-0000-0000C74B0000}"/>
    <cellStyle name="Input 2 2 2 2 4 3 4" xfId="19609" xr:uid="{00000000-0005-0000-0000-0000C84B0000}"/>
    <cellStyle name="Input 2 2 2 2 4 3 5" xfId="19610" xr:uid="{00000000-0005-0000-0000-0000C94B0000}"/>
    <cellStyle name="Input 2 2 2 2 4 3 6" xfId="19611" xr:uid="{00000000-0005-0000-0000-0000CA4B0000}"/>
    <cellStyle name="Input 2 2 2 2 4 4" xfId="19612" xr:uid="{00000000-0005-0000-0000-0000CB4B0000}"/>
    <cellStyle name="Input 2 2 2 2 4 4 2" xfId="19613" xr:uid="{00000000-0005-0000-0000-0000CC4B0000}"/>
    <cellStyle name="Input 2 2 2 2 4 5" xfId="19614" xr:uid="{00000000-0005-0000-0000-0000CD4B0000}"/>
    <cellStyle name="Input 2 2 2 2 4 5 2" xfId="19615" xr:uid="{00000000-0005-0000-0000-0000CE4B0000}"/>
    <cellStyle name="Input 2 2 2 2 4 6" xfId="19616" xr:uid="{00000000-0005-0000-0000-0000CF4B0000}"/>
    <cellStyle name="Input 2 2 2 2 4 7" xfId="19617" xr:uid="{00000000-0005-0000-0000-0000D04B0000}"/>
    <cellStyle name="Input 2 2 2 2 4 8" xfId="19618" xr:uid="{00000000-0005-0000-0000-0000D14B0000}"/>
    <cellStyle name="Input 2 2 2 2 5" xfId="19619" xr:uid="{00000000-0005-0000-0000-0000D24B0000}"/>
    <cellStyle name="Input 2 2 2 2 5 2" xfId="19620" xr:uid="{00000000-0005-0000-0000-0000D34B0000}"/>
    <cellStyle name="Input 2 2 2 2 5 2 2" xfId="19621" xr:uid="{00000000-0005-0000-0000-0000D44B0000}"/>
    <cellStyle name="Input 2 2 2 2 5 2 2 2" xfId="19622" xr:uid="{00000000-0005-0000-0000-0000D54B0000}"/>
    <cellStyle name="Input 2 2 2 2 5 2 3" xfId="19623" xr:uid="{00000000-0005-0000-0000-0000D64B0000}"/>
    <cellStyle name="Input 2 2 2 2 5 2 3 2" xfId="19624" xr:uid="{00000000-0005-0000-0000-0000D74B0000}"/>
    <cellStyle name="Input 2 2 2 2 5 2 4" xfId="19625" xr:uid="{00000000-0005-0000-0000-0000D84B0000}"/>
    <cellStyle name="Input 2 2 2 2 5 2 5" xfId="19626" xr:uid="{00000000-0005-0000-0000-0000D94B0000}"/>
    <cellStyle name="Input 2 2 2 2 5 2 6" xfId="19627" xr:uid="{00000000-0005-0000-0000-0000DA4B0000}"/>
    <cellStyle name="Input 2 2 2 2 5 3" xfId="19628" xr:uid="{00000000-0005-0000-0000-0000DB4B0000}"/>
    <cellStyle name="Input 2 2 2 2 5 3 2" xfId="19629" xr:uid="{00000000-0005-0000-0000-0000DC4B0000}"/>
    <cellStyle name="Input 2 2 2 2 5 4" xfId="19630" xr:uid="{00000000-0005-0000-0000-0000DD4B0000}"/>
    <cellStyle name="Input 2 2 2 2 5 4 2" xfId="19631" xr:uid="{00000000-0005-0000-0000-0000DE4B0000}"/>
    <cellStyle name="Input 2 2 2 2 5 5" xfId="19632" xr:uid="{00000000-0005-0000-0000-0000DF4B0000}"/>
    <cellStyle name="Input 2 2 2 2 5 6" xfId="19633" xr:uid="{00000000-0005-0000-0000-0000E04B0000}"/>
    <cellStyle name="Input 2 2 2 2 5 7" xfId="19634" xr:uid="{00000000-0005-0000-0000-0000E14B0000}"/>
    <cellStyle name="Input 2 2 2 2 6" xfId="19635" xr:uid="{00000000-0005-0000-0000-0000E24B0000}"/>
    <cellStyle name="Input 2 2 2 2 6 2" xfId="19636" xr:uid="{00000000-0005-0000-0000-0000E34B0000}"/>
    <cellStyle name="Input 2 2 2 2 6 2 2" xfId="19637" xr:uid="{00000000-0005-0000-0000-0000E44B0000}"/>
    <cellStyle name="Input 2 2 2 2 6 3" xfId="19638" xr:uid="{00000000-0005-0000-0000-0000E54B0000}"/>
    <cellStyle name="Input 2 2 2 2 6 3 2" xfId="19639" xr:uid="{00000000-0005-0000-0000-0000E64B0000}"/>
    <cellStyle name="Input 2 2 2 2 6 4" xfId="19640" xr:uid="{00000000-0005-0000-0000-0000E74B0000}"/>
    <cellStyle name="Input 2 2 2 2 6 5" xfId="19641" xr:uid="{00000000-0005-0000-0000-0000E84B0000}"/>
    <cellStyle name="Input 2 2 2 2 6 6" xfId="19642" xr:uid="{00000000-0005-0000-0000-0000E94B0000}"/>
    <cellStyle name="Input 2 2 2 2 7" xfId="19643" xr:uid="{00000000-0005-0000-0000-0000EA4B0000}"/>
    <cellStyle name="Input 2 2 2 2 7 2" xfId="19644" xr:uid="{00000000-0005-0000-0000-0000EB4B0000}"/>
    <cellStyle name="Input 2 2 2 2 8" xfId="19645" xr:uid="{00000000-0005-0000-0000-0000EC4B0000}"/>
    <cellStyle name="Input 2 2 2 2 8 2" xfId="19646" xr:uid="{00000000-0005-0000-0000-0000ED4B0000}"/>
    <cellStyle name="Input 2 2 2 2 9" xfId="19647" xr:uid="{00000000-0005-0000-0000-0000EE4B0000}"/>
    <cellStyle name="Input 2 2 2 3" xfId="19648" xr:uid="{00000000-0005-0000-0000-0000EF4B0000}"/>
    <cellStyle name="Input 2 2 2 3 10" xfId="19649" xr:uid="{00000000-0005-0000-0000-0000F04B0000}"/>
    <cellStyle name="Input 2 2 2 3 2" xfId="19650" xr:uid="{00000000-0005-0000-0000-0000F14B0000}"/>
    <cellStyle name="Input 2 2 2 3 2 10" xfId="19651" xr:uid="{00000000-0005-0000-0000-0000F24B0000}"/>
    <cellStyle name="Input 2 2 2 3 2 2" xfId="19652" xr:uid="{00000000-0005-0000-0000-0000F34B0000}"/>
    <cellStyle name="Input 2 2 2 3 2 2 2" xfId="19653" xr:uid="{00000000-0005-0000-0000-0000F44B0000}"/>
    <cellStyle name="Input 2 2 2 3 2 2 2 2" xfId="19654" xr:uid="{00000000-0005-0000-0000-0000F54B0000}"/>
    <cellStyle name="Input 2 2 2 3 2 2 2 2 2" xfId="19655" xr:uid="{00000000-0005-0000-0000-0000F64B0000}"/>
    <cellStyle name="Input 2 2 2 3 2 2 2 2 2 2" xfId="19656" xr:uid="{00000000-0005-0000-0000-0000F74B0000}"/>
    <cellStyle name="Input 2 2 2 3 2 2 2 2 3" xfId="19657" xr:uid="{00000000-0005-0000-0000-0000F84B0000}"/>
    <cellStyle name="Input 2 2 2 3 2 2 2 2 3 2" xfId="19658" xr:uid="{00000000-0005-0000-0000-0000F94B0000}"/>
    <cellStyle name="Input 2 2 2 3 2 2 2 2 4" xfId="19659" xr:uid="{00000000-0005-0000-0000-0000FA4B0000}"/>
    <cellStyle name="Input 2 2 2 3 2 2 2 2 5" xfId="19660" xr:uid="{00000000-0005-0000-0000-0000FB4B0000}"/>
    <cellStyle name="Input 2 2 2 3 2 2 2 2 6" xfId="19661" xr:uid="{00000000-0005-0000-0000-0000FC4B0000}"/>
    <cellStyle name="Input 2 2 2 3 2 2 2 3" xfId="19662" xr:uid="{00000000-0005-0000-0000-0000FD4B0000}"/>
    <cellStyle name="Input 2 2 2 3 2 2 2 3 2" xfId="19663" xr:uid="{00000000-0005-0000-0000-0000FE4B0000}"/>
    <cellStyle name="Input 2 2 2 3 2 2 2 4" xfId="19664" xr:uid="{00000000-0005-0000-0000-0000FF4B0000}"/>
    <cellStyle name="Input 2 2 2 3 2 2 2 4 2" xfId="19665" xr:uid="{00000000-0005-0000-0000-0000004C0000}"/>
    <cellStyle name="Input 2 2 2 3 2 2 2 5" xfId="19666" xr:uid="{00000000-0005-0000-0000-0000014C0000}"/>
    <cellStyle name="Input 2 2 2 3 2 2 2 6" xfId="19667" xr:uid="{00000000-0005-0000-0000-0000024C0000}"/>
    <cellStyle name="Input 2 2 2 3 2 2 2 7" xfId="19668" xr:uid="{00000000-0005-0000-0000-0000034C0000}"/>
    <cellStyle name="Input 2 2 2 3 2 2 3" xfId="19669" xr:uid="{00000000-0005-0000-0000-0000044C0000}"/>
    <cellStyle name="Input 2 2 2 3 2 2 3 2" xfId="19670" xr:uid="{00000000-0005-0000-0000-0000054C0000}"/>
    <cellStyle name="Input 2 2 2 3 2 2 3 2 2" xfId="19671" xr:uid="{00000000-0005-0000-0000-0000064C0000}"/>
    <cellStyle name="Input 2 2 2 3 2 2 3 3" xfId="19672" xr:uid="{00000000-0005-0000-0000-0000074C0000}"/>
    <cellStyle name="Input 2 2 2 3 2 2 3 3 2" xfId="19673" xr:uid="{00000000-0005-0000-0000-0000084C0000}"/>
    <cellStyle name="Input 2 2 2 3 2 2 3 4" xfId="19674" xr:uid="{00000000-0005-0000-0000-0000094C0000}"/>
    <cellStyle name="Input 2 2 2 3 2 2 3 5" xfId="19675" xr:uid="{00000000-0005-0000-0000-00000A4C0000}"/>
    <cellStyle name="Input 2 2 2 3 2 2 3 6" xfId="19676" xr:uid="{00000000-0005-0000-0000-00000B4C0000}"/>
    <cellStyle name="Input 2 2 2 3 2 2 4" xfId="19677" xr:uid="{00000000-0005-0000-0000-00000C4C0000}"/>
    <cellStyle name="Input 2 2 2 3 2 2 4 2" xfId="19678" xr:uid="{00000000-0005-0000-0000-00000D4C0000}"/>
    <cellStyle name="Input 2 2 2 3 2 2 5" xfId="19679" xr:uid="{00000000-0005-0000-0000-00000E4C0000}"/>
    <cellStyle name="Input 2 2 2 3 2 2 5 2" xfId="19680" xr:uid="{00000000-0005-0000-0000-00000F4C0000}"/>
    <cellStyle name="Input 2 2 2 3 2 2 6" xfId="19681" xr:uid="{00000000-0005-0000-0000-0000104C0000}"/>
    <cellStyle name="Input 2 2 2 3 2 2 7" xfId="19682" xr:uid="{00000000-0005-0000-0000-0000114C0000}"/>
    <cellStyle name="Input 2 2 2 3 2 2 8" xfId="19683" xr:uid="{00000000-0005-0000-0000-0000124C0000}"/>
    <cellStyle name="Input 2 2 2 3 2 3" xfId="19684" xr:uid="{00000000-0005-0000-0000-0000134C0000}"/>
    <cellStyle name="Input 2 2 2 3 2 3 2" xfId="19685" xr:uid="{00000000-0005-0000-0000-0000144C0000}"/>
    <cellStyle name="Input 2 2 2 3 2 3 2 2" xfId="19686" xr:uid="{00000000-0005-0000-0000-0000154C0000}"/>
    <cellStyle name="Input 2 2 2 3 2 3 2 2 2" xfId="19687" xr:uid="{00000000-0005-0000-0000-0000164C0000}"/>
    <cellStyle name="Input 2 2 2 3 2 3 2 2 2 2" xfId="19688" xr:uid="{00000000-0005-0000-0000-0000174C0000}"/>
    <cellStyle name="Input 2 2 2 3 2 3 2 2 3" xfId="19689" xr:uid="{00000000-0005-0000-0000-0000184C0000}"/>
    <cellStyle name="Input 2 2 2 3 2 3 2 2 3 2" xfId="19690" xr:uid="{00000000-0005-0000-0000-0000194C0000}"/>
    <cellStyle name="Input 2 2 2 3 2 3 2 2 4" xfId="19691" xr:uid="{00000000-0005-0000-0000-00001A4C0000}"/>
    <cellStyle name="Input 2 2 2 3 2 3 2 2 5" xfId="19692" xr:uid="{00000000-0005-0000-0000-00001B4C0000}"/>
    <cellStyle name="Input 2 2 2 3 2 3 2 2 6" xfId="19693" xr:uid="{00000000-0005-0000-0000-00001C4C0000}"/>
    <cellStyle name="Input 2 2 2 3 2 3 2 3" xfId="19694" xr:uid="{00000000-0005-0000-0000-00001D4C0000}"/>
    <cellStyle name="Input 2 2 2 3 2 3 2 3 2" xfId="19695" xr:uid="{00000000-0005-0000-0000-00001E4C0000}"/>
    <cellStyle name="Input 2 2 2 3 2 3 2 4" xfId="19696" xr:uid="{00000000-0005-0000-0000-00001F4C0000}"/>
    <cellStyle name="Input 2 2 2 3 2 3 2 4 2" xfId="19697" xr:uid="{00000000-0005-0000-0000-0000204C0000}"/>
    <cellStyle name="Input 2 2 2 3 2 3 2 5" xfId="19698" xr:uid="{00000000-0005-0000-0000-0000214C0000}"/>
    <cellStyle name="Input 2 2 2 3 2 3 2 6" xfId="19699" xr:uid="{00000000-0005-0000-0000-0000224C0000}"/>
    <cellStyle name="Input 2 2 2 3 2 3 2 7" xfId="19700" xr:uid="{00000000-0005-0000-0000-0000234C0000}"/>
    <cellStyle name="Input 2 2 2 3 2 3 3" xfId="19701" xr:uid="{00000000-0005-0000-0000-0000244C0000}"/>
    <cellStyle name="Input 2 2 2 3 2 3 3 2" xfId="19702" xr:uid="{00000000-0005-0000-0000-0000254C0000}"/>
    <cellStyle name="Input 2 2 2 3 2 3 3 2 2" xfId="19703" xr:uid="{00000000-0005-0000-0000-0000264C0000}"/>
    <cellStyle name="Input 2 2 2 3 2 3 3 3" xfId="19704" xr:uid="{00000000-0005-0000-0000-0000274C0000}"/>
    <cellStyle name="Input 2 2 2 3 2 3 3 3 2" xfId="19705" xr:uid="{00000000-0005-0000-0000-0000284C0000}"/>
    <cellStyle name="Input 2 2 2 3 2 3 3 4" xfId="19706" xr:uid="{00000000-0005-0000-0000-0000294C0000}"/>
    <cellStyle name="Input 2 2 2 3 2 3 3 5" xfId="19707" xr:uid="{00000000-0005-0000-0000-00002A4C0000}"/>
    <cellStyle name="Input 2 2 2 3 2 3 3 6" xfId="19708" xr:uid="{00000000-0005-0000-0000-00002B4C0000}"/>
    <cellStyle name="Input 2 2 2 3 2 3 4" xfId="19709" xr:uid="{00000000-0005-0000-0000-00002C4C0000}"/>
    <cellStyle name="Input 2 2 2 3 2 3 4 2" xfId="19710" xr:uid="{00000000-0005-0000-0000-00002D4C0000}"/>
    <cellStyle name="Input 2 2 2 3 2 3 5" xfId="19711" xr:uid="{00000000-0005-0000-0000-00002E4C0000}"/>
    <cellStyle name="Input 2 2 2 3 2 3 5 2" xfId="19712" xr:uid="{00000000-0005-0000-0000-00002F4C0000}"/>
    <cellStyle name="Input 2 2 2 3 2 3 6" xfId="19713" xr:uid="{00000000-0005-0000-0000-0000304C0000}"/>
    <cellStyle name="Input 2 2 2 3 2 3 7" xfId="19714" xr:uid="{00000000-0005-0000-0000-0000314C0000}"/>
    <cellStyle name="Input 2 2 2 3 2 3 8" xfId="19715" xr:uid="{00000000-0005-0000-0000-0000324C0000}"/>
    <cellStyle name="Input 2 2 2 3 2 4" xfId="19716" xr:uid="{00000000-0005-0000-0000-0000334C0000}"/>
    <cellStyle name="Input 2 2 2 3 2 4 2" xfId="19717" xr:uid="{00000000-0005-0000-0000-0000344C0000}"/>
    <cellStyle name="Input 2 2 2 3 2 4 2 2" xfId="19718" xr:uid="{00000000-0005-0000-0000-0000354C0000}"/>
    <cellStyle name="Input 2 2 2 3 2 4 2 2 2" xfId="19719" xr:uid="{00000000-0005-0000-0000-0000364C0000}"/>
    <cellStyle name="Input 2 2 2 3 2 4 2 3" xfId="19720" xr:uid="{00000000-0005-0000-0000-0000374C0000}"/>
    <cellStyle name="Input 2 2 2 3 2 4 2 3 2" xfId="19721" xr:uid="{00000000-0005-0000-0000-0000384C0000}"/>
    <cellStyle name="Input 2 2 2 3 2 4 2 4" xfId="19722" xr:uid="{00000000-0005-0000-0000-0000394C0000}"/>
    <cellStyle name="Input 2 2 2 3 2 4 2 5" xfId="19723" xr:uid="{00000000-0005-0000-0000-00003A4C0000}"/>
    <cellStyle name="Input 2 2 2 3 2 4 2 6" xfId="19724" xr:uid="{00000000-0005-0000-0000-00003B4C0000}"/>
    <cellStyle name="Input 2 2 2 3 2 4 3" xfId="19725" xr:uid="{00000000-0005-0000-0000-00003C4C0000}"/>
    <cellStyle name="Input 2 2 2 3 2 4 3 2" xfId="19726" xr:uid="{00000000-0005-0000-0000-00003D4C0000}"/>
    <cellStyle name="Input 2 2 2 3 2 4 4" xfId="19727" xr:uid="{00000000-0005-0000-0000-00003E4C0000}"/>
    <cellStyle name="Input 2 2 2 3 2 4 4 2" xfId="19728" xr:uid="{00000000-0005-0000-0000-00003F4C0000}"/>
    <cellStyle name="Input 2 2 2 3 2 4 5" xfId="19729" xr:uid="{00000000-0005-0000-0000-0000404C0000}"/>
    <cellStyle name="Input 2 2 2 3 2 4 6" xfId="19730" xr:uid="{00000000-0005-0000-0000-0000414C0000}"/>
    <cellStyle name="Input 2 2 2 3 2 4 7" xfId="19731" xr:uid="{00000000-0005-0000-0000-0000424C0000}"/>
    <cellStyle name="Input 2 2 2 3 2 5" xfId="19732" xr:uid="{00000000-0005-0000-0000-0000434C0000}"/>
    <cellStyle name="Input 2 2 2 3 2 5 2" xfId="19733" xr:uid="{00000000-0005-0000-0000-0000444C0000}"/>
    <cellStyle name="Input 2 2 2 3 2 5 2 2" xfId="19734" xr:uid="{00000000-0005-0000-0000-0000454C0000}"/>
    <cellStyle name="Input 2 2 2 3 2 5 3" xfId="19735" xr:uid="{00000000-0005-0000-0000-0000464C0000}"/>
    <cellStyle name="Input 2 2 2 3 2 5 3 2" xfId="19736" xr:uid="{00000000-0005-0000-0000-0000474C0000}"/>
    <cellStyle name="Input 2 2 2 3 2 5 4" xfId="19737" xr:uid="{00000000-0005-0000-0000-0000484C0000}"/>
    <cellStyle name="Input 2 2 2 3 2 5 5" xfId="19738" xr:uid="{00000000-0005-0000-0000-0000494C0000}"/>
    <cellStyle name="Input 2 2 2 3 2 5 6" xfId="19739" xr:uid="{00000000-0005-0000-0000-00004A4C0000}"/>
    <cellStyle name="Input 2 2 2 3 2 6" xfId="19740" xr:uid="{00000000-0005-0000-0000-00004B4C0000}"/>
    <cellStyle name="Input 2 2 2 3 2 6 2" xfId="19741" xr:uid="{00000000-0005-0000-0000-00004C4C0000}"/>
    <cellStyle name="Input 2 2 2 3 2 7" xfId="19742" xr:uid="{00000000-0005-0000-0000-00004D4C0000}"/>
    <cellStyle name="Input 2 2 2 3 2 7 2" xfId="19743" xr:uid="{00000000-0005-0000-0000-00004E4C0000}"/>
    <cellStyle name="Input 2 2 2 3 2 8" xfId="19744" xr:uid="{00000000-0005-0000-0000-00004F4C0000}"/>
    <cellStyle name="Input 2 2 2 3 2 9" xfId="19745" xr:uid="{00000000-0005-0000-0000-0000504C0000}"/>
    <cellStyle name="Input 2 2 2 3 3" xfId="19746" xr:uid="{00000000-0005-0000-0000-0000514C0000}"/>
    <cellStyle name="Input 2 2 2 3 3 2" xfId="19747" xr:uid="{00000000-0005-0000-0000-0000524C0000}"/>
    <cellStyle name="Input 2 2 2 3 3 2 2" xfId="19748" xr:uid="{00000000-0005-0000-0000-0000534C0000}"/>
    <cellStyle name="Input 2 2 2 3 3 2 2 2" xfId="19749" xr:uid="{00000000-0005-0000-0000-0000544C0000}"/>
    <cellStyle name="Input 2 2 2 3 3 2 2 2 2" xfId="19750" xr:uid="{00000000-0005-0000-0000-0000554C0000}"/>
    <cellStyle name="Input 2 2 2 3 3 2 2 3" xfId="19751" xr:uid="{00000000-0005-0000-0000-0000564C0000}"/>
    <cellStyle name="Input 2 2 2 3 3 2 2 3 2" xfId="19752" xr:uid="{00000000-0005-0000-0000-0000574C0000}"/>
    <cellStyle name="Input 2 2 2 3 3 2 2 4" xfId="19753" xr:uid="{00000000-0005-0000-0000-0000584C0000}"/>
    <cellStyle name="Input 2 2 2 3 3 2 2 5" xfId="19754" xr:uid="{00000000-0005-0000-0000-0000594C0000}"/>
    <cellStyle name="Input 2 2 2 3 3 2 2 6" xfId="19755" xr:uid="{00000000-0005-0000-0000-00005A4C0000}"/>
    <cellStyle name="Input 2 2 2 3 3 2 3" xfId="19756" xr:uid="{00000000-0005-0000-0000-00005B4C0000}"/>
    <cellStyle name="Input 2 2 2 3 3 2 3 2" xfId="19757" xr:uid="{00000000-0005-0000-0000-00005C4C0000}"/>
    <cellStyle name="Input 2 2 2 3 3 2 4" xfId="19758" xr:uid="{00000000-0005-0000-0000-00005D4C0000}"/>
    <cellStyle name="Input 2 2 2 3 3 2 4 2" xfId="19759" xr:uid="{00000000-0005-0000-0000-00005E4C0000}"/>
    <cellStyle name="Input 2 2 2 3 3 2 5" xfId="19760" xr:uid="{00000000-0005-0000-0000-00005F4C0000}"/>
    <cellStyle name="Input 2 2 2 3 3 2 6" xfId="19761" xr:uid="{00000000-0005-0000-0000-0000604C0000}"/>
    <cellStyle name="Input 2 2 2 3 3 2 7" xfId="19762" xr:uid="{00000000-0005-0000-0000-0000614C0000}"/>
    <cellStyle name="Input 2 2 2 3 3 3" xfId="19763" xr:uid="{00000000-0005-0000-0000-0000624C0000}"/>
    <cellStyle name="Input 2 2 2 3 3 3 2" xfId="19764" xr:uid="{00000000-0005-0000-0000-0000634C0000}"/>
    <cellStyle name="Input 2 2 2 3 3 3 2 2" xfId="19765" xr:uid="{00000000-0005-0000-0000-0000644C0000}"/>
    <cellStyle name="Input 2 2 2 3 3 3 3" xfId="19766" xr:uid="{00000000-0005-0000-0000-0000654C0000}"/>
    <cellStyle name="Input 2 2 2 3 3 3 3 2" xfId="19767" xr:uid="{00000000-0005-0000-0000-0000664C0000}"/>
    <cellStyle name="Input 2 2 2 3 3 3 4" xfId="19768" xr:uid="{00000000-0005-0000-0000-0000674C0000}"/>
    <cellStyle name="Input 2 2 2 3 3 3 5" xfId="19769" xr:uid="{00000000-0005-0000-0000-0000684C0000}"/>
    <cellStyle name="Input 2 2 2 3 3 3 6" xfId="19770" xr:uid="{00000000-0005-0000-0000-0000694C0000}"/>
    <cellStyle name="Input 2 2 2 3 3 4" xfId="19771" xr:uid="{00000000-0005-0000-0000-00006A4C0000}"/>
    <cellStyle name="Input 2 2 2 3 3 4 2" xfId="19772" xr:uid="{00000000-0005-0000-0000-00006B4C0000}"/>
    <cellStyle name="Input 2 2 2 3 3 5" xfId="19773" xr:uid="{00000000-0005-0000-0000-00006C4C0000}"/>
    <cellStyle name="Input 2 2 2 3 3 5 2" xfId="19774" xr:uid="{00000000-0005-0000-0000-00006D4C0000}"/>
    <cellStyle name="Input 2 2 2 3 3 6" xfId="19775" xr:uid="{00000000-0005-0000-0000-00006E4C0000}"/>
    <cellStyle name="Input 2 2 2 3 3 7" xfId="19776" xr:uid="{00000000-0005-0000-0000-00006F4C0000}"/>
    <cellStyle name="Input 2 2 2 3 3 8" xfId="19777" xr:uid="{00000000-0005-0000-0000-0000704C0000}"/>
    <cellStyle name="Input 2 2 2 3 4" xfId="19778" xr:uid="{00000000-0005-0000-0000-0000714C0000}"/>
    <cellStyle name="Input 2 2 2 3 4 2" xfId="19779" xr:uid="{00000000-0005-0000-0000-0000724C0000}"/>
    <cellStyle name="Input 2 2 2 3 4 2 2" xfId="19780" xr:uid="{00000000-0005-0000-0000-0000734C0000}"/>
    <cellStyle name="Input 2 2 2 3 4 2 2 2" xfId="19781" xr:uid="{00000000-0005-0000-0000-0000744C0000}"/>
    <cellStyle name="Input 2 2 2 3 4 2 3" xfId="19782" xr:uid="{00000000-0005-0000-0000-0000754C0000}"/>
    <cellStyle name="Input 2 2 2 3 4 2 3 2" xfId="19783" xr:uid="{00000000-0005-0000-0000-0000764C0000}"/>
    <cellStyle name="Input 2 2 2 3 4 2 4" xfId="19784" xr:uid="{00000000-0005-0000-0000-0000774C0000}"/>
    <cellStyle name="Input 2 2 2 3 4 2 5" xfId="19785" xr:uid="{00000000-0005-0000-0000-0000784C0000}"/>
    <cellStyle name="Input 2 2 2 3 4 2 6" xfId="19786" xr:uid="{00000000-0005-0000-0000-0000794C0000}"/>
    <cellStyle name="Input 2 2 2 3 4 3" xfId="19787" xr:uid="{00000000-0005-0000-0000-00007A4C0000}"/>
    <cellStyle name="Input 2 2 2 3 4 3 2" xfId="19788" xr:uid="{00000000-0005-0000-0000-00007B4C0000}"/>
    <cellStyle name="Input 2 2 2 3 4 4" xfId="19789" xr:uid="{00000000-0005-0000-0000-00007C4C0000}"/>
    <cellStyle name="Input 2 2 2 3 4 4 2" xfId="19790" xr:uid="{00000000-0005-0000-0000-00007D4C0000}"/>
    <cellStyle name="Input 2 2 2 3 4 5" xfId="19791" xr:uid="{00000000-0005-0000-0000-00007E4C0000}"/>
    <cellStyle name="Input 2 2 2 3 4 6" xfId="19792" xr:uid="{00000000-0005-0000-0000-00007F4C0000}"/>
    <cellStyle name="Input 2 2 2 3 4 7" xfId="19793" xr:uid="{00000000-0005-0000-0000-0000804C0000}"/>
    <cellStyle name="Input 2 2 2 3 5" xfId="19794" xr:uid="{00000000-0005-0000-0000-0000814C0000}"/>
    <cellStyle name="Input 2 2 2 3 5 2" xfId="19795" xr:uid="{00000000-0005-0000-0000-0000824C0000}"/>
    <cellStyle name="Input 2 2 2 3 5 2 2" xfId="19796" xr:uid="{00000000-0005-0000-0000-0000834C0000}"/>
    <cellStyle name="Input 2 2 2 3 5 3" xfId="19797" xr:uid="{00000000-0005-0000-0000-0000844C0000}"/>
    <cellStyle name="Input 2 2 2 3 5 3 2" xfId="19798" xr:uid="{00000000-0005-0000-0000-0000854C0000}"/>
    <cellStyle name="Input 2 2 2 3 5 4" xfId="19799" xr:uid="{00000000-0005-0000-0000-0000864C0000}"/>
    <cellStyle name="Input 2 2 2 3 5 5" xfId="19800" xr:uid="{00000000-0005-0000-0000-0000874C0000}"/>
    <cellStyle name="Input 2 2 2 3 5 6" xfId="19801" xr:uid="{00000000-0005-0000-0000-0000884C0000}"/>
    <cellStyle name="Input 2 2 2 3 6" xfId="19802" xr:uid="{00000000-0005-0000-0000-0000894C0000}"/>
    <cellStyle name="Input 2 2 2 3 6 2" xfId="19803" xr:uid="{00000000-0005-0000-0000-00008A4C0000}"/>
    <cellStyle name="Input 2 2 2 3 7" xfId="19804" xr:uid="{00000000-0005-0000-0000-00008B4C0000}"/>
    <cellStyle name="Input 2 2 2 3 7 2" xfId="19805" xr:uid="{00000000-0005-0000-0000-00008C4C0000}"/>
    <cellStyle name="Input 2 2 2 3 8" xfId="19806" xr:uid="{00000000-0005-0000-0000-00008D4C0000}"/>
    <cellStyle name="Input 2 2 2 3 9" xfId="19807" xr:uid="{00000000-0005-0000-0000-00008E4C0000}"/>
    <cellStyle name="Input 2 2 2 4" xfId="19808" xr:uid="{00000000-0005-0000-0000-00008F4C0000}"/>
    <cellStyle name="Input 2 2 2 4 10" xfId="19809" xr:uid="{00000000-0005-0000-0000-0000904C0000}"/>
    <cellStyle name="Input 2 2 2 4 2" xfId="19810" xr:uid="{00000000-0005-0000-0000-0000914C0000}"/>
    <cellStyle name="Input 2 2 2 4 2 2" xfId="19811" xr:uid="{00000000-0005-0000-0000-0000924C0000}"/>
    <cellStyle name="Input 2 2 2 4 2 2 2" xfId="19812" xr:uid="{00000000-0005-0000-0000-0000934C0000}"/>
    <cellStyle name="Input 2 2 2 4 2 2 2 2" xfId="19813" xr:uid="{00000000-0005-0000-0000-0000944C0000}"/>
    <cellStyle name="Input 2 2 2 4 2 2 2 2 2" xfId="19814" xr:uid="{00000000-0005-0000-0000-0000954C0000}"/>
    <cellStyle name="Input 2 2 2 4 2 2 2 3" xfId="19815" xr:uid="{00000000-0005-0000-0000-0000964C0000}"/>
    <cellStyle name="Input 2 2 2 4 2 2 2 3 2" xfId="19816" xr:uid="{00000000-0005-0000-0000-0000974C0000}"/>
    <cellStyle name="Input 2 2 2 4 2 2 2 4" xfId="19817" xr:uid="{00000000-0005-0000-0000-0000984C0000}"/>
    <cellStyle name="Input 2 2 2 4 2 2 2 5" xfId="19818" xr:uid="{00000000-0005-0000-0000-0000994C0000}"/>
    <cellStyle name="Input 2 2 2 4 2 2 2 6" xfId="19819" xr:uid="{00000000-0005-0000-0000-00009A4C0000}"/>
    <cellStyle name="Input 2 2 2 4 2 2 3" xfId="19820" xr:uid="{00000000-0005-0000-0000-00009B4C0000}"/>
    <cellStyle name="Input 2 2 2 4 2 2 3 2" xfId="19821" xr:uid="{00000000-0005-0000-0000-00009C4C0000}"/>
    <cellStyle name="Input 2 2 2 4 2 2 4" xfId="19822" xr:uid="{00000000-0005-0000-0000-00009D4C0000}"/>
    <cellStyle name="Input 2 2 2 4 2 2 4 2" xfId="19823" xr:uid="{00000000-0005-0000-0000-00009E4C0000}"/>
    <cellStyle name="Input 2 2 2 4 2 2 5" xfId="19824" xr:uid="{00000000-0005-0000-0000-00009F4C0000}"/>
    <cellStyle name="Input 2 2 2 4 2 2 6" xfId="19825" xr:uid="{00000000-0005-0000-0000-0000A04C0000}"/>
    <cellStyle name="Input 2 2 2 4 2 2 7" xfId="19826" xr:uid="{00000000-0005-0000-0000-0000A14C0000}"/>
    <cellStyle name="Input 2 2 2 4 2 3" xfId="19827" xr:uid="{00000000-0005-0000-0000-0000A24C0000}"/>
    <cellStyle name="Input 2 2 2 4 2 3 2" xfId="19828" xr:uid="{00000000-0005-0000-0000-0000A34C0000}"/>
    <cellStyle name="Input 2 2 2 4 2 3 2 2" xfId="19829" xr:uid="{00000000-0005-0000-0000-0000A44C0000}"/>
    <cellStyle name="Input 2 2 2 4 2 3 3" xfId="19830" xr:uid="{00000000-0005-0000-0000-0000A54C0000}"/>
    <cellStyle name="Input 2 2 2 4 2 3 3 2" xfId="19831" xr:uid="{00000000-0005-0000-0000-0000A64C0000}"/>
    <cellStyle name="Input 2 2 2 4 2 3 4" xfId="19832" xr:uid="{00000000-0005-0000-0000-0000A74C0000}"/>
    <cellStyle name="Input 2 2 2 4 2 3 5" xfId="19833" xr:uid="{00000000-0005-0000-0000-0000A84C0000}"/>
    <cellStyle name="Input 2 2 2 4 2 3 6" xfId="19834" xr:uid="{00000000-0005-0000-0000-0000A94C0000}"/>
    <cellStyle name="Input 2 2 2 4 2 4" xfId="19835" xr:uid="{00000000-0005-0000-0000-0000AA4C0000}"/>
    <cellStyle name="Input 2 2 2 4 2 4 2" xfId="19836" xr:uid="{00000000-0005-0000-0000-0000AB4C0000}"/>
    <cellStyle name="Input 2 2 2 4 2 5" xfId="19837" xr:uid="{00000000-0005-0000-0000-0000AC4C0000}"/>
    <cellStyle name="Input 2 2 2 4 2 5 2" xfId="19838" xr:uid="{00000000-0005-0000-0000-0000AD4C0000}"/>
    <cellStyle name="Input 2 2 2 4 2 6" xfId="19839" xr:uid="{00000000-0005-0000-0000-0000AE4C0000}"/>
    <cellStyle name="Input 2 2 2 4 2 7" xfId="19840" xr:uid="{00000000-0005-0000-0000-0000AF4C0000}"/>
    <cellStyle name="Input 2 2 2 4 2 8" xfId="19841" xr:uid="{00000000-0005-0000-0000-0000B04C0000}"/>
    <cellStyle name="Input 2 2 2 4 3" xfId="19842" xr:uid="{00000000-0005-0000-0000-0000B14C0000}"/>
    <cellStyle name="Input 2 2 2 4 3 2" xfId="19843" xr:uid="{00000000-0005-0000-0000-0000B24C0000}"/>
    <cellStyle name="Input 2 2 2 4 3 2 2" xfId="19844" xr:uid="{00000000-0005-0000-0000-0000B34C0000}"/>
    <cellStyle name="Input 2 2 2 4 3 2 2 2" xfId="19845" xr:uid="{00000000-0005-0000-0000-0000B44C0000}"/>
    <cellStyle name="Input 2 2 2 4 3 2 2 2 2" xfId="19846" xr:uid="{00000000-0005-0000-0000-0000B54C0000}"/>
    <cellStyle name="Input 2 2 2 4 3 2 2 3" xfId="19847" xr:uid="{00000000-0005-0000-0000-0000B64C0000}"/>
    <cellStyle name="Input 2 2 2 4 3 2 2 3 2" xfId="19848" xr:uid="{00000000-0005-0000-0000-0000B74C0000}"/>
    <cellStyle name="Input 2 2 2 4 3 2 2 4" xfId="19849" xr:uid="{00000000-0005-0000-0000-0000B84C0000}"/>
    <cellStyle name="Input 2 2 2 4 3 2 2 5" xfId="19850" xr:uid="{00000000-0005-0000-0000-0000B94C0000}"/>
    <cellStyle name="Input 2 2 2 4 3 2 2 6" xfId="19851" xr:uid="{00000000-0005-0000-0000-0000BA4C0000}"/>
    <cellStyle name="Input 2 2 2 4 3 2 3" xfId="19852" xr:uid="{00000000-0005-0000-0000-0000BB4C0000}"/>
    <cellStyle name="Input 2 2 2 4 3 2 3 2" xfId="19853" xr:uid="{00000000-0005-0000-0000-0000BC4C0000}"/>
    <cellStyle name="Input 2 2 2 4 3 2 4" xfId="19854" xr:uid="{00000000-0005-0000-0000-0000BD4C0000}"/>
    <cellStyle name="Input 2 2 2 4 3 2 4 2" xfId="19855" xr:uid="{00000000-0005-0000-0000-0000BE4C0000}"/>
    <cellStyle name="Input 2 2 2 4 3 2 5" xfId="19856" xr:uid="{00000000-0005-0000-0000-0000BF4C0000}"/>
    <cellStyle name="Input 2 2 2 4 3 2 6" xfId="19857" xr:uid="{00000000-0005-0000-0000-0000C04C0000}"/>
    <cellStyle name="Input 2 2 2 4 3 2 7" xfId="19858" xr:uid="{00000000-0005-0000-0000-0000C14C0000}"/>
    <cellStyle name="Input 2 2 2 4 3 3" xfId="19859" xr:uid="{00000000-0005-0000-0000-0000C24C0000}"/>
    <cellStyle name="Input 2 2 2 4 3 3 2" xfId="19860" xr:uid="{00000000-0005-0000-0000-0000C34C0000}"/>
    <cellStyle name="Input 2 2 2 4 3 3 2 2" xfId="19861" xr:uid="{00000000-0005-0000-0000-0000C44C0000}"/>
    <cellStyle name="Input 2 2 2 4 3 3 3" xfId="19862" xr:uid="{00000000-0005-0000-0000-0000C54C0000}"/>
    <cellStyle name="Input 2 2 2 4 3 3 3 2" xfId="19863" xr:uid="{00000000-0005-0000-0000-0000C64C0000}"/>
    <cellStyle name="Input 2 2 2 4 3 3 4" xfId="19864" xr:uid="{00000000-0005-0000-0000-0000C74C0000}"/>
    <cellStyle name="Input 2 2 2 4 3 3 5" xfId="19865" xr:uid="{00000000-0005-0000-0000-0000C84C0000}"/>
    <cellStyle name="Input 2 2 2 4 3 3 6" xfId="19866" xr:uid="{00000000-0005-0000-0000-0000C94C0000}"/>
    <cellStyle name="Input 2 2 2 4 3 4" xfId="19867" xr:uid="{00000000-0005-0000-0000-0000CA4C0000}"/>
    <cellStyle name="Input 2 2 2 4 3 4 2" xfId="19868" xr:uid="{00000000-0005-0000-0000-0000CB4C0000}"/>
    <cellStyle name="Input 2 2 2 4 3 5" xfId="19869" xr:uid="{00000000-0005-0000-0000-0000CC4C0000}"/>
    <cellStyle name="Input 2 2 2 4 3 5 2" xfId="19870" xr:uid="{00000000-0005-0000-0000-0000CD4C0000}"/>
    <cellStyle name="Input 2 2 2 4 3 6" xfId="19871" xr:uid="{00000000-0005-0000-0000-0000CE4C0000}"/>
    <cellStyle name="Input 2 2 2 4 3 7" xfId="19872" xr:uid="{00000000-0005-0000-0000-0000CF4C0000}"/>
    <cellStyle name="Input 2 2 2 4 3 8" xfId="19873" xr:uid="{00000000-0005-0000-0000-0000D04C0000}"/>
    <cellStyle name="Input 2 2 2 4 4" xfId="19874" xr:uid="{00000000-0005-0000-0000-0000D14C0000}"/>
    <cellStyle name="Input 2 2 2 4 4 2" xfId="19875" xr:uid="{00000000-0005-0000-0000-0000D24C0000}"/>
    <cellStyle name="Input 2 2 2 4 4 2 2" xfId="19876" xr:uid="{00000000-0005-0000-0000-0000D34C0000}"/>
    <cellStyle name="Input 2 2 2 4 4 2 2 2" xfId="19877" xr:uid="{00000000-0005-0000-0000-0000D44C0000}"/>
    <cellStyle name="Input 2 2 2 4 4 2 3" xfId="19878" xr:uid="{00000000-0005-0000-0000-0000D54C0000}"/>
    <cellStyle name="Input 2 2 2 4 4 2 3 2" xfId="19879" xr:uid="{00000000-0005-0000-0000-0000D64C0000}"/>
    <cellStyle name="Input 2 2 2 4 4 2 4" xfId="19880" xr:uid="{00000000-0005-0000-0000-0000D74C0000}"/>
    <cellStyle name="Input 2 2 2 4 4 2 5" xfId="19881" xr:uid="{00000000-0005-0000-0000-0000D84C0000}"/>
    <cellStyle name="Input 2 2 2 4 4 2 6" xfId="19882" xr:uid="{00000000-0005-0000-0000-0000D94C0000}"/>
    <cellStyle name="Input 2 2 2 4 4 3" xfId="19883" xr:uid="{00000000-0005-0000-0000-0000DA4C0000}"/>
    <cellStyle name="Input 2 2 2 4 4 3 2" xfId="19884" xr:uid="{00000000-0005-0000-0000-0000DB4C0000}"/>
    <cellStyle name="Input 2 2 2 4 4 4" xfId="19885" xr:uid="{00000000-0005-0000-0000-0000DC4C0000}"/>
    <cellStyle name="Input 2 2 2 4 4 4 2" xfId="19886" xr:uid="{00000000-0005-0000-0000-0000DD4C0000}"/>
    <cellStyle name="Input 2 2 2 4 4 5" xfId="19887" xr:uid="{00000000-0005-0000-0000-0000DE4C0000}"/>
    <cellStyle name="Input 2 2 2 4 4 6" xfId="19888" xr:uid="{00000000-0005-0000-0000-0000DF4C0000}"/>
    <cellStyle name="Input 2 2 2 4 4 7" xfId="19889" xr:uid="{00000000-0005-0000-0000-0000E04C0000}"/>
    <cellStyle name="Input 2 2 2 4 5" xfId="19890" xr:uid="{00000000-0005-0000-0000-0000E14C0000}"/>
    <cellStyle name="Input 2 2 2 4 5 2" xfId="19891" xr:uid="{00000000-0005-0000-0000-0000E24C0000}"/>
    <cellStyle name="Input 2 2 2 4 5 2 2" xfId="19892" xr:uid="{00000000-0005-0000-0000-0000E34C0000}"/>
    <cellStyle name="Input 2 2 2 4 5 3" xfId="19893" xr:uid="{00000000-0005-0000-0000-0000E44C0000}"/>
    <cellStyle name="Input 2 2 2 4 5 3 2" xfId="19894" xr:uid="{00000000-0005-0000-0000-0000E54C0000}"/>
    <cellStyle name="Input 2 2 2 4 5 4" xfId="19895" xr:uid="{00000000-0005-0000-0000-0000E64C0000}"/>
    <cellStyle name="Input 2 2 2 4 5 5" xfId="19896" xr:uid="{00000000-0005-0000-0000-0000E74C0000}"/>
    <cellStyle name="Input 2 2 2 4 5 6" xfId="19897" xr:uid="{00000000-0005-0000-0000-0000E84C0000}"/>
    <cellStyle name="Input 2 2 2 4 6" xfId="19898" xr:uid="{00000000-0005-0000-0000-0000E94C0000}"/>
    <cellStyle name="Input 2 2 2 4 6 2" xfId="19899" xr:uid="{00000000-0005-0000-0000-0000EA4C0000}"/>
    <cellStyle name="Input 2 2 2 4 7" xfId="19900" xr:uid="{00000000-0005-0000-0000-0000EB4C0000}"/>
    <cellStyle name="Input 2 2 2 4 7 2" xfId="19901" xr:uid="{00000000-0005-0000-0000-0000EC4C0000}"/>
    <cellStyle name="Input 2 2 2 4 8" xfId="19902" xr:uid="{00000000-0005-0000-0000-0000ED4C0000}"/>
    <cellStyle name="Input 2 2 2 4 9" xfId="19903" xr:uid="{00000000-0005-0000-0000-0000EE4C0000}"/>
    <cellStyle name="Input 2 2 2 5" xfId="19904" xr:uid="{00000000-0005-0000-0000-0000EF4C0000}"/>
    <cellStyle name="Input 2 2 2 5 2" xfId="19905" xr:uid="{00000000-0005-0000-0000-0000F04C0000}"/>
    <cellStyle name="Input 2 2 2 5 2 2" xfId="19906" xr:uid="{00000000-0005-0000-0000-0000F14C0000}"/>
    <cellStyle name="Input 2 2 2 5 2 2 2" xfId="19907" xr:uid="{00000000-0005-0000-0000-0000F24C0000}"/>
    <cellStyle name="Input 2 2 2 5 2 2 2 2" xfId="19908" xr:uid="{00000000-0005-0000-0000-0000F34C0000}"/>
    <cellStyle name="Input 2 2 2 5 2 2 3" xfId="19909" xr:uid="{00000000-0005-0000-0000-0000F44C0000}"/>
    <cellStyle name="Input 2 2 2 5 2 2 3 2" xfId="19910" xr:uid="{00000000-0005-0000-0000-0000F54C0000}"/>
    <cellStyle name="Input 2 2 2 5 2 2 4" xfId="19911" xr:uid="{00000000-0005-0000-0000-0000F64C0000}"/>
    <cellStyle name="Input 2 2 2 5 2 2 5" xfId="19912" xr:uid="{00000000-0005-0000-0000-0000F74C0000}"/>
    <cellStyle name="Input 2 2 2 5 2 2 6" xfId="19913" xr:uid="{00000000-0005-0000-0000-0000F84C0000}"/>
    <cellStyle name="Input 2 2 2 5 2 3" xfId="19914" xr:uid="{00000000-0005-0000-0000-0000F94C0000}"/>
    <cellStyle name="Input 2 2 2 5 2 3 2" xfId="19915" xr:uid="{00000000-0005-0000-0000-0000FA4C0000}"/>
    <cellStyle name="Input 2 2 2 5 2 4" xfId="19916" xr:uid="{00000000-0005-0000-0000-0000FB4C0000}"/>
    <cellStyle name="Input 2 2 2 5 2 4 2" xfId="19917" xr:uid="{00000000-0005-0000-0000-0000FC4C0000}"/>
    <cellStyle name="Input 2 2 2 5 2 5" xfId="19918" xr:uid="{00000000-0005-0000-0000-0000FD4C0000}"/>
    <cellStyle name="Input 2 2 2 5 2 6" xfId="19919" xr:uid="{00000000-0005-0000-0000-0000FE4C0000}"/>
    <cellStyle name="Input 2 2 2 5 2 7" xfId="19920" xr:uid="{00000000-0005-0000-0000-0000FF4C0000}"/>
    <cellStyle name="Input 2 2 2 5 3" xfId="19921" xr:uid="{00000000-0005-0000-0000-0000004D0000}"/>
    <cellStyle name="Input 2 2 2 5 3 2" xfId="19922" xr:uid="{00000000-0005-0000-0000-0000014D0000}"/>
    <cellStyle name="Input 2 2 2 5 3 2 2" xfId="19923" xr:uid="{00000000-0005-0000-0000-0000024D0000}"/>
    <cellStyle name="Input 2 2 2 5 3 3" xfId="19924" xr:uid="{00000000-0005-0000-0000-0000034D0000}"/>
    <cellStyle name="Input 2 2 2 5 3 3 2" xfId="19925" xr:uid="{00000000-0005-0000-0000-0000044D0000}"/>
    <cellStyle name="Input 2 2 2 5 3 4" xfId="19926" xr:uid="{00000000-0005-0000-0000-0000054D0000}"/>
    <cellStyle name="Input 2 2 2 5 3 5" xfId="19927" xr:uid="{00000000-0005-0000-0000-0000064D0000}"/>
    <cellStyle name="Input 2 2 2 5 3 6" xfId="19928" xr:uid="{00000000-0005-0000-0000-0000074D0000}"/>
    <cellStyle name="Input 2 2 2 5 4" xfId="19929" xr:uid="{00000000-0005-0000-0000-0000084D0000}"/>
    <cellStyle name="Input 2 2 2 5 4 2" xfId="19930" xr:uid="{00000000-0005-0000-0000-0000094D0000}"/>
    <cellStyle name="Input 2 2 2 5 5" xfId="19931" xr:uid="{00000000-0005-0000-0000-00000A4D0000}"/>
    <cellStyle name="Input 2 2 2 5 5 2" xfId="19932" xr:uid="{00000000-0005-0000-0000-00000B4D0000}"/>
    <cellStyle name="Input 2 2 2 5 6" xfId="19933" xr:uid="{00000000-0005-0000-0000-00000C4D0000}"/>
    <cellStyle name="Input 2 2 2 5 7" xfId="19934" xr:uid="{00000000-0005-0000-0000-00000D4D0000}"/>
    <cellStyle name="Input 2 2 2 5 8" xfId="19935" xr:uid="{00000000-0005-0000-0000-00000E4D0000}"/>
    <cellStyle name="Input 2 2 2 6" xfId="19936" xr:uid="{00000000-0005-0000-0000-00000F4D0000}"/>
    <cellStyle name="Input 2 2 2 6 2" xfId="19937" xr:uid="{00000000-0005-0000-0000-0000104D0000}"/>
    <cellStyle name="Input 2 2 2 6 2 2" xfId="19938" xr:uid="{00000000-0005-0000-0000-0000114D0000}"/>
    <cellStyle name="Input 2 2 2 6 2 2 2" xfId="19939" xr:uid="{00000000-0005-0000-0000-0000124D0000}"/>
    <cellStyle name="Input 2 2 2 6 2 3" xfId="19940" xr:uid="{00000000-0005-0000-0000-0000134D0000}"/>
    <cellStyle name="Input 2 2 2 6 2 3 2" xfId="19941" xr:uid="{00000000-0005-0000-0000-0000144D0000}"/>
    <cellStyle name="Input 2 2 2 6 2 4" xfId="19942" xr:uid="{00000000-0005-0000-0000-0000154D0000}"/>
    <cellStyle name="Input 2 2 2 6 2 5" xfId="19943" xr:uid="{00000000-0005-0000-0000-0000164D0000}"/>
    <cellStyle name="Input 2 2 2 6 2 6" xfId="19944" xr:uid="{00000000-0005-0000-0000-0000174D0000}"/>
    <cellStyle name="Input 2 2 2 6 3" xfId="19945" xr:uid="{00000000-0005-0000-0000-0000184D0000}"/>
    <cellStyle name="Input 2 2 2 6 3 2" xfId="19946" xr:uid="{00000000-0005-0000-0000-0000194D0000}"/>
    <cellStyle name="Input 2 2 2 6 4" xfId="19947" xr:uid="{00000000-0005-0000-0000-00001A4D0000}"/>
    <cellStyle name="Input 2 2 2 6 4 2" xfId="19948" xr:uid="{00000000-0005-0000-0000-00001B4D0000}"/>
    <cellStyle name="Input 2 2 2 6 5" xfId="19949" xr:uid="{00000000-0005-0000-0000-00001C4D0000}"/>
    <cellStyle name="Input 2 2 2 6 6" xfId="19950" xr:uid="{00000000-0005-0000-0000-00001D4D0000}"/>
    <cellStyle name="Input 2 2 2 6 7" xfId="19951" xr:uid="{00000000-0005-0000-0000-00001E4D0000}"/>
    <cellStyle name="Input 2 2 2 7" xfId="19952" xr:uid="{00000000-0005-0000-0000-00001F4D0000}"/>
    <cellStyle name="Input 2 2 2 7 2" xfId="19953" xr:uid="{00000000-0005-0000-0000-0000204D0000}"/>
    <cellStyle name="Input 2 2 2 7 2 2" xfId="19954" xr:uid="{00000000-0005-0000-0000-0000214D0000}"/>
    <cellStyle name="Input 2 2 2 7 3" xfId="19955" xr:uid="{00000000-0005-0000-0000-0000224D0000}"/>
    <cellStyle name="Input 2 2 2 7 3 2" xfId="19956" xr:uid="{00000000-0005-0000-0000-0000234D0000}"/>
    <cellStyle name="Input 2 2 2 7 4" xfId="19957" xr:uid="{00000000-0005-0000-0000-0000244D0000}"/>
    <cellStyle name="Input 2 2 2 7 5" xfId="19958" xr:uid="{00000000-0005-0000-0000-0000254D0000}"/>
    <cellStyle name="Input 2 2 2 7 6" xfId="19959" xr:uid="{00000000-0005-0000-0000-0000264D0000}"/>
    <cellStyle name="Input 2 2 2 8" xfId="19960" xr:uid="{00000000-0005-0000-0000-0000274D0000}"/>
    <cellStyle name="Input 2 2 2 8 2" xfId="19961" xr:uid="{00000000-0005-0000-0000-0000284D0000}"/>
    <cellStyle name="Input 2 2 2 9" xfId="19962" xr:uid="{00000000-0005-0000-0000-0000294D0000}"/>
    <cellStyle name="Input 2 2 2 9 2" xfId="19963" xr:uid="{00000000-0005-0000-0000-00002A4D0000}"/>
    <cellStyle name="Input 2 2 3" xfId="19964" xr:uid="{00000000-0005-0000-0000-00002B4D0000}"/>
    <cellStyle name="Input 2 2 3 10" xfId="19965" xr:uid="{00000000-0005-0000-0000-00002C4D0000}"/>
    <cellStyle name="Input 2 2 3 11" xfId="19966" xr:uid="{00000000-0005-0000-0000-00002D4D0000}"/>
    <cellStyle name="Input 2 2 3 12" xfId="19967" xr:uid="{00000000-0005-0000-0000-00002E4D0000}"/>
    <cellStyle name="Input 2 2 3 2" xfId="19968" xr:uid="{00000000-0005-0000-0000-00002F4D0000}"/>
    <cellStyle name="Input 2 2 3 2 10" xfId="19969" xr:uid="{00000000-0005-0000-0000-0000304D0000}"/>
    <cellStyle name="Input 2 2 3 2 11" xfId="19970" xr:uid="{00000000-0005-0000-0000-0000314D0000}"/>
    <cellStyle name="Input 2 2 3 2 2" xfId="19971" xr:uid="{00000000-0005-0000-0000-0000324D0000}"/>
    <cellStyle name="Input 2 2 3 2 2 10" xfId="19972" xr:uid="{00000000-0005-0000-0000-0000334D0000}"/>
    <cellStyle name="Input 2 2 3 2 2 2" xfId="19973" xr:uid="{00000000-0005-0000-0000-0000344D0000}"/>
    <cellStyle name="Input 2 2 3 2 2 2 2" xfId="19974" xr:uid="{00000000-0005-0000-0000-0000354D0000}"/>
    <cellStyle name="Input 2 2 3 2 2 2 2 2" xfId="19975" xr:uid="{00000000-0005-0000-0000-0000364D0000}"/>
    <cellStyle name="Input 2 2 3 2 2 2 2 2 2" xfId="19976" xr:uid="{00000000-0005-0000-0000-0000374D0000}"/>
    <cellStyle name="Input 2 2 3 2 2 2 2 2 2 2" xfId="19977" xr:uid="{00000000-0005-0000-0000-0000384D0000}"/>
    <cellStyle name="Input 2 2 3 2 2 2 2 2 3" xfId="19978" xr:uid="{00000000-0005-0000-0000-0000394D0000}"/>
    <cellStyle name="Input 2 2 3 2 2 2 2 2 3 2" xfId="19979" xr:uid="{00000000-0005-0000-0000-00003A4D0000}"/>
    <cellStyle name="Input 2 2 3 2 2 2 2 2 4" xfId="19980" xr:uid="{00000000-0005-0000-0000-00003B4D0000}"/>
    <cellStyle name="Input 2 2 3 2 2 2 2 2 5" xfId="19981" xr:uid="{00000000-0005-0000-0000-00003C4D0000}"/>
    <cellStyle name="Input 2 2 3 2 2 2 2 2 6" xfId="19982" xr:uid="{00000000-0005-0000-0000-00003D4D0000}"/>
    <cellStyle name="Input 2 2 3 2 2 2 2 3" xfId="19983" xr:uid="{00000000-0005-0000-0000-00003E4D0000}"/>
    <cellStyle name="Input 2 2 3 2 2 2 2 3 2" xfId="19984" xr:uid="{00000000-0005-0000-0000-00003F4D0000}"/>
    <cellStyle name="Input 2 2 3 2 2 2 2 4" xfId="19985" xr:uid="{00000000-0005-0000-0000-0000404D0000}"/>
    <cellStyle name="Input 2 2 3 2 2 2 2 4 2" xfId="19986" xr:uid="{00000000-0005-0000-0000-0000414D0000}"/>
    <cellStyle name="Input 2 2 3 2 2 2 2 5" xfId="19987" xr:uid="{00000000-0005-0000-0000-0000424D0000}"/>
    <cellStyle name="Input 2 2 3 2 2 2 2 6" xfId="19988" xr:uid="{00000000-0005-0000-0000-0000434D0000}"/>
    <cellStyle name="Input 2 2 3 2 2 2 2 7" xfId="19989" xr:uid="{00000000-0005-0000-0000-0000444D0000}"/>
    <cellStyle name="Input 2 2 3 2 2 2 3" xfId="19990" xr:uid="{00000000-0005-0000-0000-0000454D0000}"/>
    <cellStyle name="Input 2 2 3 2 2 2 3 2" xfId="19991" xr:uid="{00000000-0005-0000-0000-0000464D0000}"/>
    <cellStyle name="Input 2 2 3 2 2 2 3 2 2" xfId="19992" xr:uid="{00000000-0005-0000-0000-0000474D0000}"/>
    <cellStyle name="Input 2 2 3 2 2 2 3 3" xfId="19993" xr:uid="{00000000-0005-0000-0000-0000484D0000}"/>
    <cellStyle name="Input 2 2 3 2 2 2 3 3 2" xfId="19994" xr:uid="{00000000-0005-0000-0000-0000494D0000}"/>
    <cellStyle name="Input 2 2 3 2 2 2 3 4" xfId="19995" xr:uid="{00000000-0005-0000-0000-00004A4D0000}"/>
    <cellStyle name="Input 2 2 3 2 2 2 3 5" xfId="19996" xr:uid="{00000000-0005-0000-0000-00004B4D0000}"/>
    <cellStyle name="Input 2 2 3 2 2 2 3 6" xfId="19997" xr:uid="{00000000-0005-0000-0000-00004C4D0000}"/>
    <cellStyle name="Input 2 2 3 2 2 2 4" xfId="19998" xr:uid="{00000000-0005-0000-0000-00004D4D0000}"/>
    <cellStyle name="Input 2 2 3 2 2 2 4 2" xfId="19999" xr:uid="{00000000-0005-0000-0000-00004E4D0000}"/>
    <cellStyle name="Input 2 2 3 2 2 2 5" xfId="20000" xr:uid="{00000000-0005-0000-0000-00004F4D0000}"/>
    <cellStyle name="Input 2 2 3 2 2 2 5 2" xfId="20001" xr:uid="{00000000-0005-0000-0000-0000504D0000}"/>
    <cellStyle name="Input 2 2 3 2 2 2 6" xfId="20002" xr:uid="{00000000-0005-0000-0000-0000514D0000}"/>
    <cellStyle name="Input 2 2 3 2 2 2 7" xfId="20003" xr:uid="{00000000-0005-0000-0000-0000524D0000}"/>
    <cellStyle name="Input 2 2 3 2 2 2 8" xfId="20004" xr:uid="{00000000-0005-0000-0000-0000534D0000}"/>
    <cellStyle name="Input 2 2 3 2 2 3" xfId="20005" xr:uid="{00000000-0005-0000-0000-0000544D0000}"/>
    <cellStyle name="Input 2 2 3 2 2 3 2" xfId="20006" xr:uid="{00000000-0005-0000-0000-0000554D0000}"/>
    <cellStyle name="Input 2 2 3 2 2 3 2 2" xfId="20007" xr:uid="{00000000-0005-0000-0000-0000564D0000}"/>
    <cellStyle name="Input 2 2 3 2 2 3 2 2 2" xfId="20008" xr:uid="{00000000-0005-0000-0000-0000574D0000}"/>
    <cellStyle name="Input 2 2 3 2 2 3 2 2 2 2" xfId="20009" xr:uid="{00000000-0005-0000-0000-0000584D0000}"/>
    <cellStyle name="Input 2 2 3 2 2 3 2 2 3" xfId="20010" xr:uid="{00000000-0005-0000-0000-0000594D0000}"/>
    <cellStyle name="Input 2 2 3 2 2 3 2 2 3 2" xfId="20011" xr:uid="{00000000-0005-0000-0000-00005A4D0000}"/>
    <cellStyle name="Input 2 2 3 2 2 3 2 2 4" xfId="20012" xr:uid="{00000000-0005-0000-0000-00005B4D0000}"/>
    <cellStyle name="Input 2 2 3 2 2 3 2 2 5" xfId="20013" xr:uid="{00000000-0005-0000-0000-00005C4D0000}"/>
    <cellStyle name="Input 2 2 3 2 2 3 2 2 6" xfId="20014" xr:uid="{00000000-0005-0000-0000-00005D4D0000}"/>
    <cellStyle name="Input 2 2 3 2 2 3 2 3" xfId="20015" xr:uid="{00000000-0005-0000-0000-00005E4D0000}"/>
    <cellStyle name="Input 2 2 3 2 2 3 2 3 2" xfId="20016" xr:uid="{00000000-0005-0000-0000-00005F4D0000}"/>
    <cellStyle name="Input 2 2 3 2 2 3 2 4" xfId="20017" xr:uid="{00000000-0005-0000-0000-0000604D0000}"/>
    <cellStyle name="Input 2 2 3 2 2 3 2 4 2" xfId="20018" xr:uid="{00000000-0005-0000-0000-0000614D0000}"/>
    <cellStyle name="Input 2 2 3 2 2 3 2 5" xfId="20019" xr:uid="{00000000-0005-0000-0000-0000624D0000}"/>
    <cellStyle name="Input 2 2 3 2 2 3 2 6" xfId="20020" xr:uid="{00000000-0005-0000-0000-0000634D0000}"/>
    <cellStyle name="Input 2 2 3 2 2 3 2 7" xfId="20021" xr:uid="{00000000-0005-0000-0000-0000644D0000}"/>
    <cellStyle name="Input 2 2 3 2 2 3 3" xfId="20022" xr:uid="{00000000-0005-0000-0000-0000654D0000}"/>
    <cellStyle name="Input 2 2 3 2 2 3 3 2" xfId="20023" xr:uid="{00000000-0005-0000-0000-0000664D0000}"/>
    <cellStyle name="Input 2 2 3 2 2 3 3 2 2" xfId="20024" xr:uid="{00000000-0005-0000-0000-0000674D0000}"/>
    <cellStyle name="Input 2 2 3 2 2 3 3 3" xfId="20025" xr:uid="{00000000-0005-0000-0000-0000684D0000}"/>
    <cellStyle name="Input 2 2 3 2 2 3 3 3 2" xfId="20026" xr:uid="{00000000-0005-0000-0000-0000694D0000}"/>
    <cellStyle name="Input 2 2 3 2 2 3 3 4" xfId="20027" xr:uid="{00000000-0005-0000-0000-00006A4D0000}"/>
    <cellStyle name="Input 2 2 3 2 2 3 3 5" xfId="20028" xr:uid="{00000000-0005-0000-0000-00006B4D0000}"/>
    <cellStyle name="Input 2 2 3 2 2 3 3 6" xfId="20029" xr:uid="{00000000-0005-0000-0000-00006C4D0000}"/>
    <cellStyle name="Input 2 2 3 2 2 3 4" xfId="20030" xr:uid="{00000000-0005-0000-0000-00006D4D0000}"/>
    <cellStyle name="Input 2 2 3 2 2 3 4 2" xfId="20031" xr:uid="{00000000-0005-0000-0000-00006E4D0000}"/>
    <cellStyle name="Input 2 2 3 2 2 3 5" xfId="20032" xr:uid="{00000000-0005-0000-0000-00006F4D0000}"/>
    <cellStyle name="Input 2 2 3 2 2 3 5 2" xfId="20033" xr:uid="{00000000-0005-0000-0000-0000704D0000}"/>
    <cellStyle name="Input 2 2 3 2 2 3 6" xfId="20034" xr:uid="{00000000-0005-0000-0000-0000714D0000}"/>
    <cellStyle name="Input 2 2 3 2 2 3 7" xfId="20035" xr:uid="{00000000-0005-0000-0000-0000724D0000}"/>
    <cellStyle name="Input 2 2 3 2 2 3 8" xfId="20036" xr:uid="{00000000-0005-0000-0000-0000734D0000}"/>
    <cellStyle name="Input 2 2 3 2 2 4" xfId="20037" xr:uid="{00000000-0005-0000-0000-0000744D0000}"/>
    <cellStyle name="Input 2 2 3 2 2 4 2" xfId="20038" xr:uid="{00000000-0005-0000-0000-0000754D0000}"/>
    <cellStyle name="Input 2 2 3 2 2 4 2 2" xfId="20039" xr:uid="{00000000-0005-0000-0000-0000764D0000}"/>
    <cellStyle name="Input 2 2 3 2 2 4 2 2 2" xfId="20040" xr:uid="{00000000-0005-0000-0000-0000774D0000}"/>
    <cellStyle name="Input 2 2 3 2 2 4 2 3" xfId="20041" xr:uid="{00000000-0005-0000-0000-0000784D0000}"/>
    <cellStyle name="Input 2 2 3 2 2 4 2 3 2" xfId="20042" xr:uid="{00000000-0005-0000-0000-0000794D0000}"/>
    <cellStyle name="Input 2 2 3 2 2 4 2 4" xfId="20043" xr:uid="{00000000-0005-0000-0000-00007A4D0000}"/>
    <cellStyle name="Input 2 2 3 2 2 4 2 5" xfId="20044" xr:uid="{00000000-0005-0000-0000-00007B4D0000}"/>
    <cellStyle name="Input 2 2 3 2 2 4 2 6" xfId="20045" xr:uid="{00000000-0005-0000-0000-00007C4D0000}"/>
    <cellStyle name="Input 2 2 3 2 2 4 3" xfId="20046" xr:uid="{00000000-0005-0000-0000-00007D4D0000}"/>
    <cellStyle name="Input 2 2 3 2 2 4 3 2" xfId="20047" xr:uid="{00000000-0005-0000-0000-00007E4D0000}"/>
    <cellStyle name="Input 2 2 3 2 2 4 4" xfId="20048" xr:uid="{00000000-0005-0000-0000-00007F4D0000}"/>
    <cellStyle name="Input 2 2 3 2 2 4 4 2" xfId="20049" xr:uid="{00000000-0005-0000-0000-0000804D0000}"/>
    <cellStyle name="Input 2 2 3 2 2 4 5" xfId="20050" xr:uid="{00000000-0005-0000-0000-0000814D0000}"/>
    <cellStyle name="Input 2 2 3 2 2 4 6" xfId="20051" xr:uid="{00000000-0005-0000-0000-0000824D0000}"/>
    <cellStyle name="Input 2 2 3 2 2 4 7" xfId="20052" xr:uid="{00000000-0005-0000-0000-0000834D0000}"/>
    <cellStyle name="Input 2 2 3 2 2 5" xfId="20053" xr:uid="{00000000-0005-0000-0000-0000844D0000}"/>
    <cellStyle name="Input 2 2 3 2 2 5 2" xfId="20054" xr:uid="{00000000-0005-0000-0000-0000854D0000}"/>
    <cellStyle name="Input 2 2 3 2 2 5 2 2" xfId="20055" xr:uid="{00000000-0005-0000-0000-0000864D0000}"/>
    <cellStyle name="Input 2 2 3 2 2 5 3" xfId="20056" xr:uid="{00000000-0005-0000-0000-0000874D0000}"/>
    <cellStyle name="Input 2 2 3 2 2 5 3 2" xfId="20057" xr:uid="{00000000-0005-0000-0000-0000884D0000}"/>
    <cellStyle name="Input 2 2 3 2 2 5 4" xfId="20058" xr:uid="{00000000-0005-0000-0000-0000894D0000}"/>
    <cellStyle name="Input 2 2 3 2 2 5 5" xfId="20059" xr:uid="{00000000-0005-0000-0000-00008A4D0000}"/>
    <cellStyle name="Input 2 2 3 2 2 5 6" xfId="20060" xr:uid="{00000000-0005-0000-0000-00008B4D0000}"/>
    <cellStyle name="Input 2 2 3 2 2 6" xfId="20061" xr:uid="{00000000-0005-0000-0000-00008C4D0000}"/>
    <cellStyle name="Input 2 2 3 2 2 6 2" xfId="20062" xr:uid="{00000000-0005-0000-0000-00008D4D0000}"/>
    <cellStyle name="Input 2 2 3 2 2 7" xfId="20063" xr:uid="{00000000-0005-0000-0000-00008E4D0000}"/>
    <cellStyle name="Input 2 2 3 2 2 7 2" xfId="20064" xr:uid="{00000000-0005-0000-0000-00008F4D0000}"/>
    <cellStyle name="Input 2 2 3 2 2 8" xfId="20065" xr:uid="{00000000-0005-0000-0000-0000904D0000}"/>
    <cellStyle name="Input 2 2 3 2 2 9" xfId="20066" xr:uid="{00000000-0005-0000-0000-0000914D0000}"/>
    <cellStyle name="Input 2 2 3 2 3" xfId="20067" xr:uid="{00000000-0005-0000-0000-0000924D0000}"/>
    <cellStyle name="Input 2 2 3 2 3 2" xfId="20068" xr:uid="{00000000-0005-0000-0000-0000934D0000}"/>
    <cellStyle name="Input 2 2 3 2 3 2 2" xfId="20069" xr:uid="{00000000-0005-0000-0000-0000944D0000}"/>
    <cellStyle name="Input 2 2 3 2 3 2 2 2" xfId="20070" xr:uid="{00000000-0005-0000-0000-0000954D0000}"/>
    <cellStyle name="Input 2 2 3 2 3 2 2 2 2" xfId="20071" xr:uid="{00000000-0005-0000-0000-0000964D0000}"/>
    <cellStyle name="Input 2 2 3 2 3 2 2 3" xfId="20072" xr:uid="{00000000-0005-0000-0000-0000974D0000}"/>
    <cellStyle name="Input 2 2 3 2 3 2 2 3 2" xfId="20073" xr:uid="{00000000-0005-0000-0000-0000984D0000}"/>
    <cellStyle name="Input 2 2 3 2 3 2 2 4" xfId="20074" xr:uid="{00000000-0005-0000-0000-0000994D0000}"/>
    <cellStyle name="Input 2 2 3 2 3 2 2 5" xfId="20075" xr:uid="{00000000-0005-0000-0000-00009A4D0000}"/>
    <cellStyle name="Input 2 2 3 2 3 2 2 6" xfId="20076" xr:uid="{00000000-0005-0000-0000-00009B4D0000}"/>
    <cellStyle name="Input 2 2 3 2 3 2 3" xfId="20077" xr:uid="{00000000-0005-0000-0000-00009C4D0000}"/>
    <cellStyle name="Input 2 2 3 2 3 2 3 2" xfId="20078" xr:uid="{00000000-0005-0000-0000-00009D4D0000}"/>
    <cellStyle name="Input 2 2 3 2 3 2 4" xfId="20079" xr:uid="{00000000-0005-0000-0000-00009E4D0000}"/>
    <cellStyle name="Input 2 2 3 2 3 2 4 2" xfId="20080" xr:uid="{00000000-0005-0000-0000-00009F4D0000}"/>
    <cellStyle name="Input 2 2 3 2 3 2 5" xfId="20081" xr:uid="{00000000-0005-0000-0000-0000A04D0000}"/>
    <cellStyle name="Input 2 2 3 2 3 2 6" xfId="20082" xr:uid="{00000000-0005-0000-0000-0000A14D0000}"/>
    <cellStyle name="Input 2 2 3 2 3 2 7" xfId="20083" xr:uid="{00000000-0005-0000-0000-0000A24D0000}"/>
    <cellStyle name="Input 2 2 3 2 3 3" xfId="20084" xr:uid="{00000000-0005-0000-0000-0000A34D0000}"/>
    <cellStyle name="Input 2 2 3 2 3 3 2" xfId="20085" xr:uid="{00000000-0005-0000-0000-0000A44D0000}"/>
    <cellStyle name="Input 2 2 3 2 3 3 2 2" xfId="20086" xr:uid="{00000000-0005-0000-0000-0000A54D0000}"/>
    <cellStyle name="Input 2 2 3 2 3 3 3" xfId="20087" xr:uid="{00000000-0005-0000-0000-0000A64D0000}"/>
    <cellStyle name="Input 2 2 3 2 3 3 3 2" xfId="20088" xr:uid="{00000000-0005-0000-0000-0000A74D0000}"/>
    <cellStyle name="Input 2 2 3 2 3 3 4" xfId="20089" xr:uid="{00000000-0005-0000-0000-0000A84D0000}"/>
    <cellStyle name="Input 2 2 3 2 3 3 5" xfId="20090" xr:uid="{00000000-0005-0000-0000-0000A94D0000}"/>
    <cellStyle name="Input 2 2 3 2 3 3 6" xfId="20091" xr:uid="{00000000-0005-0000-0000-0000AA4D0000}"/>
    <cellStyle name="Input 2 2 3 2 3 4" xfId="20092" xr:uid="{00000000-0005-0000-0000-0000AB4D0000}"/>
    <cellStyle name="Input 2 2 3 2 3 4 2" xfId="20093" xr:uid="{00000000-0005-0000-0000-0000AC4D0000}"/>
    <cellStyle name="Input 2 2 3 2 3 5" xfId="20094" xr:uid="{00000000-0005-0000-0000-0000AD4D0000}"/>
    <cellStyle name="Input 2 2 3 2 3 5 2" xfId="20095" xr:uid="{00000000-0005-0000-0000-0000AE4D0000}"/>
    <cellStyle name="Input 2 2 3 2 3 6" xfId="20096" xr:uid="{00000000-0005-0000-0000-0000AF4D0000}"/>
    <cellStyle name="Input 2 2 3 2 3 7" xfId="20097" xr:uid="{00000000-0005-0000-0000-0000B04D0000}"/>
    <cellStyle name="Input 2 2 3 2 3 8" xfId="20098" xr:uid="{00000000-0005-0000-0000-0000B14D0000}"/>
    <cellStyle name="Input 2 2 3 2 4" xfId="20099" xr:uid="{00000000-0005-0000-0000-0000B24D0000}"/>
    <cellStyle name="Input 2 2 3 2 4 2" xfId="20100" xr:uid="{00000000-0005-0000-0000-0000B34D0000}"/>
    <cellStyle name="Input 2 2 3 2 4 2 2" xfId="20101" xr:uid="{00000000-0005-0000-0000-0000B44D0000}"/>
    <cellStyle name="Input 2 2 3 2 4 2 2 2" xfId="20102" xr:uid="{00000000-0005-0000-0000-0000B54D0000}"/>
    <cellStyle name="Input 2 2 3 2 4 2 2 2 2" xfId="20103" xr:uid="{00000000-0005-0000-0000-0000B64D0000}"/>
    <cellStyle name="Input 2 2 3 2 4 2 2 3" xfId="20104" xr:uid="{00000000-0005-0000-0000-0000B74D0000}"/>
    <cellStyle name="Input 2 2 3 2 4 2 2 3 2" xfId="20105" xr:uid="{00000000-0005-0000-0000-0000B84D0000}"/>
    <cellStyle name="Input 2 2 3 2 4 2 2 4" xfId="20106" xr:uid="{00000000-0005-0000-0000-0000B94D0000}"/>
    <cellStyle name="Input 2 2 3 2 4 2 2 5" xfId="20107" xr:uid="{00000000-0005-0000-0000-0000BA4D0000}"/>
    <cellStyle name="Input 2 2 3 2 4 2 2 6" xfId="20108" xr:uid="{00000000-0005-0000-0000-0000BB4D0000}"/>
    <cellStyle name="Input 2 2 3 2 4 2 3" xfId="20109" xr:uid="{00000000-0005-0000-0000-0000BC4D0000}"/>
    <cellStyle name="Input 2 2 3 2 4 2 3 2" xfId="20110" xr:uid="{00000000-0005-0000-0000-0000BD4D0000}"/>
    <cellStyle name="Input 2 2 3 2 4 2 4" xfId="20111" xr:uid="{00000000-0005-0000-0000-0000BE4D0000}"/>
    <cellStyle name="Input 2 2 3 2 4 2 4 2" xfId="20112" xr:uid="{00000000-0005-0000-0000-0000BF4D0000}"/>
    <cellStyle name="Input 2 2 3 2 4 2 5" xfId="20113" xr:uid="{00000000-0005-0000-0000-0000C04D0000}"/>
    <cellStyle name="Input 2 2 3 2 4 2 6" xfId="20114" xr:uid="{00000000-0005-0000-0000-0000C14D0000}"/>
    <cellStyle name="Input 2 2 3 2 4 2 7" xfId="20115" xr:uid="{00000000-0005-0000-0000-0000C24D0000}"/>
    <cellStyle name="Input 2 2 3 2 4 3" xfId="20116" xr:uid="{00000000-0005-0000-0000-0000C34D0000}"/>
    <cellStyle name="Input 2 2 3 2 4 3 2" xfId="20117" xr:uid="{00000000-0005-0000-0000-0000C44D0000}"/>
    <cellStyle name="Input 2 2 3 2 4 3 2 2" xfId="20118" xr:uid="{00000000-0005-0000-0000-0000C54D0000}"/>
    <cellStyle name="Input 2 2 3 2 4 3 3" xfId="20119" xr:uid="{00000000-0005-0000-0000-0000C64D0000}"/>
    <cellStyle name="Input 2 2 3 2 4 3 3 2" xfId="20120" xr:uid="{00000000-0005-0000-0000-0000C74D0000}"/>
    <cellStyle name="Input 2 2 3 2 4 3 4" xfId="20121" xr:uid="{00000000-0005-0000-0000-0000C84D0000}"/>
    <cellStyle name="Input 2 2 3 2 4 3 5" xfId="20122" xr:uid="{00000000-0005-0000-0000-0000C94D0000}"/>
    <cellStyle name="Input 2 2 3 2 4 3 6" xfId="20123" xr:uid="{00000000-0005-0000-0000-0000CA4D0000}"/>
    <cellStyle name="Input 2 2 3 2 4 4" xfId="20124" xr:uid="{00000000-0005-0000-0000-0000CB4D0000}"/>
    <cellStyle name="Input 2 2 3 2 4 4 2" xfId="20125" xr:uid="{00000000-0005-0000-0000-0000CC4D0000}"/>
    <cellStyle name="Input 2 2 3 2 4 5" xfId="20126" xr:uid="{00000000-0005-0000-0000-0000CD4D0000}"/>
    <cellStyle name="Input 2 2 3 2 4 5 2" xfId="20127" xr:uid="{00000000-0005-0000-0000-0000CE4D0000}"/>
    <cellStyle name="Input 2 2 3 2 4 6" xfId="20128" xr:uid="{00000000-0005-0000-0000-0000CF4D0000}"/>
    <cellStyle name="Input 2 2 3 2 4 7" xfId="20129" xr:uid="{00000000-0005-0000-0000-0000D04D0000}"/>
    <cellStyle name="Input 2 2 3 2 4 8" xfId="20130" xr:uid="{00000000-0005-0000-0000-0000D14D0000}"/>
    <cellStyle name="Input 2 2 3 2 5" xfId="20131" xr:uid="{00000000-0005-0000-0000-0000D24D0000}"/>
    <cellStyle name="Input 2 2 3 2 5 2" xfId="20132" xr:uid="{00000000-0005-0000-0000-0000D34D0000}"/>
    <cellStyle name="Input 2 2 3 2 5 2 2" xfId="20133" xr:uid="{00000000-0005-0000-0000-0000D44D0000}"/>
    <cellStyle name="Input 2 2 3 2 5 2 2 2" xfId="20134" xr:uid="{00000000-0005-0000-0000-0000D54D0000}"/>
    <cellStyle name="Input 2 2 3 2 5 2 3" xfId="20135" xr:uid="{00000000-0005-0000-0000-0000D64D0000}"/>
    <cellStyle name="Input 2 2 3 2 5 2 3 2" xfId="20136" xr:uid="{00000000-0005-0000-0000-0000D74D0000}"/>
    <cellStyle name="Input 2 2 3 2 5 2 4" xfId="20137" xr:uid="{00000000-0005-0000-0000-0000D84D0000}"/>
    <cellStyle name="Input 2 2 3 2 5 2 5" xfId="20138" xr:uid="{00000000-0005-0000-0000-0000D94D0000}"/>
    <cellStyle name="Input 2 2 3 2 5 2 6" xfId="20139" xr:uid="{00000000-0005-0000-0000-0000DA4D0000}"/>
    <cellStyle name="Input 2 2 3 2 5 3" xfId="20140" xr:uid="{00000000-0005-0000-0000-0000DB4D0000}"/>
    <cellStyle name="Input 2 2 3 2 5 3 2" xfId="20141" xr:uid="{00000000-0005-0000-0000-0000DC4D0000}"/>
    <cellStyle name="Input 2 2 3 2 5 4" xfId="20142" xr:uid="{00000000-0005-0000-0000-0000DD4D0000}"/>
    <cellStyle name="Input 2 2 3 2 5 4 2" xfId="20143" xr:uid="{00000000-0005-0000-0000-0000DE4D0000}"/>
    <cellStyle name="Input 2 2 3 2 5 5" xfId="20144" xr:uid="{00000000-0005-0000-0000-0000DF4D0000}"/>
    <cellStyle name="Input 2 2 3 2 5 6" xfId="20145" xr:uid="{00000000-0005-0000-0000-0000E04D0000}"/>
    <cellStyle name="Input 2 2 3 2 5 7" xfId="20146" xr:uid="{00000000-0005-0000-0000-0000E14D0000}"/>
    <cellStyle name="Input 2 2 3 2 6" xfId="20147" xr:uid="{00000000-0005-0000-0000-0000E24D0000}"/>
    <cellStyle name="Input 2 2 3 2 6 2" xfId="20148" xr:uid="{00000000-0005-0000-0000-0000E34D0000}"/>
    <cellStyle name="Input 2 2 3 2 6 2 2" xfId="20149" xr:uid="{00000000-0005-0000-0000-0000E44D0000}"/>
    <cellStyle name="Input 2 2 3 2 6 3" xfId="20150" xr:uid="{00000000-0005-0000-0000-0000E54D0000}"/>
    <cellStyle name="Input 2 2 3 2 6 3 2" xfId="20151" xr:uid="{00000000-0005-0000-0000-0000E64D0000}"/>
    <cellStyle name="Input 2 2 3 2 6 4" xfId="20152" xr:uid="{00000000-0005-0000-0000-0000E74D0000}"/>
    <cellStyle name="Input 2 2 3 2 6 5" xfId="20153" xr:uid="{00000000-0005-0000-0000-0000E84D0000}"/>
    <cellStyle name="Input 2 2 3 2 6 6" xfId="20154" xr:uid="{00000000-0005-0000-0000-0000E94D0000}"/>
    <cellStyle name="Input 2 2 3 2 7" xfId="20155" xr:uid="{00000000-0005-0000-0000-0000EA4D0000}"/>
    <cellStyle name="Input 2 2 3 2 7 2" xfId="20156" xr:uid="{00000000-0005-0000-0000-0000EB4D0000}"/>
    <cellStyle name="Input 2 2 3 2 8" xfId="20157" xr:uid="{00000000-0005-0000-0000-0000EC4D0000}"/>
    <cellStyle name="Input 2 2 3 2 8 2" xfId="20158" xr:uid="{00000000-0005-0000-0000-0000ED4D0000}"/>
    <cellStyle name="Input 2 2 3 2 9" xfId="20159" xr:uid="{00000000-0005-0000-0000-0000EE4D0000}"/>
    <cellStyle name="Input 2 2 3 3" xfId="20160" xr:uid="{00000000-0005-0000-0000-0000EF4D0000}"/>
    <cellStyle name="Input 2 2 3 3 10" xfId="20161" xr:uid="{00000000-0005-0000-0000-0000F04D0000}"/>
    <cellStyle name="Input 2 2 3 3 2" xfId="20162" xr:uid="{00000000-0005-0000-0000-0000F14D0000}"/>
    <cellStyle name="Input 2 2 3 3 2 10" xfId="20163" xr:uid="{00000000-0005-0000-0000-0000F24D0000}"/>
    <cellStyle name="Input 2 2 3 3 2 2" xfId="20164" xr:uid="{00000000-0005-0000-0000-0000F34D0000}"/>
    <cellStyle name="Input 2 2 3 3 2 2 2" xfId="20165" xr:uid="{00000000-0005-0000-0000-0000F44D0000}"/>
    <cellStyle name="Input 2 2 3 3 2 2 2 2" xfId="20166" xr:uid="{00000000-0005-0000-0000-0000F54D0000}"/>
    <cellStyle name="Input 2 2 3 3 2 2 2 2 2" xfId="20167" xr:uid="{00000000-0005-0000-0000-0000F64D0000}"/>
    <cellStyle name="Input 2 2 3 3 2 2 2 2 2 2" xfId="20168" xr:uid="{00000000-0005-0000-0000-0000F74D0000}"/>
    <cellStyle name="Input 2 2 3 3 2 2 2 2 3" xfId="20169" xr:uid="{00000000-0005-0000-0000-0000F84D0000}"/>
    <cellStyle name="Input 2 2 3 3 2 2 2 2 3 2" xfId="20170" xr:uid="{00000000-0005-0000-0000-0000F94D0000}"/>
    <cellStyle name="Input 2 2 3 3 2 2 2 2 4" xfId="20171" xr:uid="{00000000-0005-0000-0000-0000FA4D0000}"/>
    <cellStyle name="Input 2 2 3 3 2 2 2 2 5" xfId="20172" xr:uid="{00000000-0005-0000-0000-0000FB4D0000}"/>
    <cellStyle name="Input 2 2 3 3 2 2 2 2 6" xfId="20173" xr:uid="{00000000-0005-0000-0000-0000FC4D0000}"/>
    <cellStyle name="Input 2 2 3 3 2 2 2 3" xfId="20174" xr:uid="{00000000-0005-0000-0000-0000FD4D0000}"/>
    <cellStyle name="Input 2 2 3 3 2 2 2 3 2" xfId="20175" xr:uid="{00000000-0005-0000-0000-0000FE4D0000}"/>
    <cellStyle name="Input 2 2 3 3 2 2 2 4" xfId="20176" xr:uid="{00000000-0005-0000-0000-0000FF4D0000}"/>
    <cellStyle name="Input 2 2 3 3 2 2 2 4 2" xfId="20177" xr:uid="{00000000-0005-0000-0000-0000004E0000}"/>
    <cellStyle name="Input 2 2 3 3 2 2 2 5" xfId="20178" xr:uid="{00000000-0005-0000-0000-0000014E0000}"/>
    <cellStyle name="Input 2 2 3 3 2 2 2 6" xfId="20179" xr:uid="{00000000-0005-0000-0000-0000024E0000}"/>
    <cellStyle name="Input 2 2 3 3 2 2 2 7" xfId="20180" xr:uid="{00000000-0005-0000-0000-0000034E0000}"/>
    <cellStyle name="Input 2 2 3 3 2 2 3" xfId="20181" xr:uid="{00000000-0005-0000-0000-0000044E0000}"/>
    <cellStyle name="Input 2 2 3 3 2 2 3 2" xfId="20182" xr:uid="{00000000-0005-0000-0000-0000054E0000}"/>
    <cellStyle name="Input 2 2 3 3 2 2 3 2 2" xfId="20183" xr:uid="{00000000-0005-0000-0000-0000064E0000}"/>
    <cellStyle name="Input 2 2 3 3 2 2 3 3" xfId="20184" xr:uid="{00000000-0005-0000-0000-0000074E0000}"/>
    <cellStyle name="Input 2 2 3 3 2 2 3 3 2" xfId="20185" xr:uid="{00000000-0005-0000-0000-0000084E0000}"/>
    <cellStyle name="Input 2 2 3 3 2 2 3 4" xfId="20186" xr:uid="{00000000-0005-0000-0000-0000094E0000}"/>
    <cellStyle name="Input 2 2 3 3 2 2 3 5" xfId="20187" xr:uid="{00000000-0005-0000-0000-00000A4E0000}"/>
    <cellStyle name="Input 2 2 3 3 2 2 3 6" xfId="20188" xr:uid="{00000000-0005-0000-0000-00000B4E0000}"/>
    <cellStyle name="Input 2 2 3 3 2 2 4" xfId="20189" xr:uid="{00000000-0005-0000-0000-00000C4E0000}"/>
    <cellStyle name="Input 2 2 3 3 2 2 4 2" xfId="20190" xr:uid="{00000000-0005-0000-0000-00000D4E0000}"/>
    <cellStyle name="Input 2 2 3 3 2 2 5" xfId="20191" xr:uid="{00000000-0005-0000-0000-00000E4E0000}"/>
    <cellStyle name="Input 2 2 3 3 2 2 5 2" xfId="20192" xr:uid="{00000000-0005-0000-0000-00000F4E0000}"/>
    <cellStyle name="Input 2 2 3 3 2 2 6" xfId="20193" xr:uid="{00000000-0005-0000-0000-0000104E0000}"/>
    <cellStyle name="Input 2 2 3 3 2 2 7" xfId="20194" xr:uid="{00000000-0005-0000-0000-0000114E0000}"/>
    <cellStyle name="Input 2 2 3 3 2 2 8" xfId="20195" xr:uid="{00000000-0005-0000-0000-0000124E0000}"/>
    <cellStyle name="Input 2 2 3 3 2 3" xfId="20196" xr:uid="{00000000-0005-0000-0000-0000134E0000}"/>
    <cellStyle name="Input 2 2 3 3 2 3 2" xfId="20197" xr:uid="{00000000-0005-0000-0000-0000144E0000}"/>
    <cellStyle name="Input 2 2 3 3 2 3 2 2" xfId="20198" xr:uid="{00000000-0005-0000-0000-0000154E0000}"/>
    <cellStyle name="Input 2 2 3 3 2 3 2 2 2" xfId="20199" xr:uid="{00000000-0005-0000-0000-0000164E0000}"/>
    <cellStyle name="Input 2 2 3 3 2 3 2 2 2 2" xfId="20200" xr:uid="{00000000-0005-0000-0000-0000174E0000}"/>
    <cellStyle name="Input 2 2 3 3 2 3 2 2 3" xfId="20201" xr:uid="{00000000-0005-0000-0000-0000184E0000}"/>
    <cellStyle name="Input 2 2 3 3 2 3 2 2 3 2" xfId="20202" xr:uid="{00000000-0005-0000-0000-0000194E0000}"/>
    <cellStyle name="Input 2 2 3 3 2 3 2 2 4" xfId="20203" xr:uid="{00000000-0005-0000-0000-00001A4E0000}"/>
    <cellStyle name="Input 2 2 3 3 2 3 2 2 5" xfId="20204" xr:uid="{00000000-0005-0000-0000-00001B4E0000}"/>
    <cellStyle name="Input 2 2 3 3 2 3 2 2 6" xfId="20205" xr:uid="{00000000-0005-0000-0000-00001C4E0000}"/>
    <cellStyle name="Input 2 2 3 3 2 3 2 3" xfId="20206" xr:uid="{00000000-0005-0000-0000-00001D4E0000}"/>
    <cellStyle name="Input 2 2 3 3 2 3 2 3 2" xfId="20207" xr:uid="{00000000-0005-0000-0000-00001E4E0000}"/>
    <cellStyle name="Input 2 2 3 3 2 3 2 4" xfId="20208" xr:uid="{00000000-0005-0000-0000-00001F4E0000}"/>
    <cellStyle name="Input 2 2 3 3 2 3 2 4 2" xfId="20209" xr:uid="{00000000-0005-0000-0000-0000204E0000}"/>
    <cellStyle name="Input 2 2 3 3 2 3 2 5" xfId="20210" xr:uid="{00000000-0005-0000-0000-0000214E0000}"/>
    <cellStyle name="Input 2 2 3 3 2 3 2 6" xfId="20211" xr:uid="{00000000-0005-0000-0000-0000224E0000}"/>
    <cellStyle name="Input 2 2 3 3 2 3 2 7" xfId="20212" xr:uid="{00000000-0005-0000-0000-0000234E0000}"/>
    <cellStyle name="Input 2 2 3 3 2 3 3" xfId="20213" xr:uid="{00000000-0005-0000-0000-0000244E0000}"/>
    <cellStyle name="Input 2 2 3 3 2 3 3 2" xfId="20214" xr:uid="{00000000-0005-0000-0000-0000254E0000}"/>
    <cellStyle name="Input 2 2 3 3 2 3 3 2 2" xfId="20215" xr:uid="{00000000-0005-0000-0000-0000264E0000}"/>
    <cellStyle name="Input 2 2 3 3 2 3 3 3" xfId="20216" xr:uid="{00000000-0005-0000-0000-0000274E0000}"/>
    <cellStyle name="Input 2 2 3 3 2 3 3 3 2" xfId="20217" xr:uid="{00000000-0005-0000-0000-0000284E0000}"/>
    <cellStyle name="Input 2 2 3 3 2 3 3 4" xfId="20218" xr:uid="{00000000-0005-0000-0000-0000294E0000}"/>
    <cellStyle name="Input 2 2 3 3 2 3 3 5" xfId="20219" xr:uid="{00000000-0005-0000-0000-00002A4E0000}"/>
    <cellStyle name="Input 2 2 3 3 2 3 3 6" xfId="20220" xr:uid="{00000000-0005-0000-0000-00002B4E0000}"/>
    <cellStyle name="Input 2 2 3 3 2 3 4" xfId="20221" xr:uid="{00000000-0005-0000-0000-00002C4E0000}"/>
    <cellStyle name="Input 2 2 3 3 2 3 4 2" xfId="20222" xr:uid="{00000000-0005-0000-0000-00002D4E0000}"/>
    <cellStyle name="Input 2 2 3 3 2 3 5" xfId="20223" xr:uid="{00000000-0005-0000-0000-00002E4E0000}"/>
    <cellStyle name="Input 2 2 3 3 2 3 5 2" xfId="20224" xr:uid="{00000000-0005-0000-0000-00002F4E0000}"/>
    <cellStyle name="Input 2 2 3 3 2 3 6" xfId="20225" xr:uid="{00000000-0005-0000-0000-0000304E0000}"/>
    <cellStyle name="Input 2 2 3 3 2 3 7" xfId="20226" xr:uid="{00000000-0005-0000-0000-0000314E0000}"/>
    <cellStyle name="Input 2 2 3 3 2 3 8" xfId="20227" xr:uid="{00000000-0005-0000-0000-0000324E0000}"/>
    <cellStyle name="Input 2 2 3 3 2 4" xfId="20228" xr:uid="{00000000-0005-0000-0000-0000334E0000}"/>
    <cellStyle name="Input 2 2 3 3 2 4 2" xfId="20229" xr:uid="{00000000-0005-0000-0000-0000344E0000}"/>
    <cellStyle name="Input 2 2 3 3 2 4 2 2" xfId="20230" xr:uid="{00000000-0005-0000-0000-0000354E0000}"/>
    <cellStyle name="Input 2 2 3 3 2 4 2 2 2" xfId="20231" xr:uid="{00000000-0005-0000-0000-0000364E0000}"/>
    <cellStyle name="Input 2 2 3 3 2 4 2 3" xfId="20232" xr:uid="{00000000-0005-0000-0000-0000374E0000}"/>
    <cellStyle name="Input 2 2 3 3 2 4 2 3 2" xfId="20233" xr:uid="{00000000-0005-0000-0000-0000384E0000}"/>
    <cellStyle name="Input 2 2 3 3 2 4 2 4" xfId="20234" xr:uid="{00000000-0005-0000-0000-0000394E0000}"/>
    <cellStyle name="Input 2 2 3 3 2 4 2 5" xfId="20235" xr:uid="{00000000-0005-0000-0000-00003A4E0000}"/>
    <cellStyle name="Input 2 2 3 3 2 4 2 6" xfId="20236" xr:uid="{00000000-0005-0000-0000-00003B4E0000}"/>
    <cellStyle name="Input 2 2 3 3 2 4 3" xfId="20237" xr:uid="{00000000-0005-0000-0000-00003C4E0000}"/>
    <cellStyle name="Input 2 2 3 3 2 4 3 2" xfId="20238" xr:uid="{00000000-0005-0000-0000-00003D4E0000}"/>
    <cellStyle name="Input 2 2 3 3 2 4 4" xfId="20239" xr:uid="{00000000-0005-0000-0000-00003E4E0000}"/>
    <cellStyle name="Input 2 2 3 3 2 4 4 2" xfId="20240" xr:uid="{00000000-0005-0000-0000-00003F4E0000}"/>
    <cellStyle name="Input 2 2 3 3 2 4 5" xfId="20241" xr:uid="{00000000-0005-0000-0000-0000404E0000}"/>
    <cellStyle name="Input 2 2 3 3 2 4 6" xfId="20242" xr:uid="{00000000-0005-0000-0000-0000414E0000}"/>
    <cellStyle name="Input 2 2 3 3 2 4 7" xfId="20243" xr:uid="{00000000-0005-0000-0000-0000424E0000}"/>
    <cellStyle name="Input 2 2 3 3 2 5" xfId="20244" xr:uid="{00000000-0005-0000-0000-0000434E0000}"/>
    <cellStyle name="Input 2 2 3 3 2 5 2" xfId="20245" xr:uid="{00000000-0005-0000-0000-0000444E0000}"/>
    <cellStyle name="Input 2 2 3 3 2 5 2 2" xfId="20246" xr:uid="{00000000-0005-0000-0000-0000454E0000}"/>
    <cellStyle name="Input 2 2 3 3 2 5 3" xfId="20247" xr:uid="{00000000-0005-0000-0000-0000464E0000}"/>
    <cellStyle name="Input 2 2 3 3 2 5 3 2" xfId="20248" xr:uid="{00000000-0005-0000-0000-0000474E0000}"/>
    <cellStyle name="Input 2 2 3 3 2 5 4" xfId="20249" xr:uid="{00000000-0005-0000-0000-0000484E0000}"/>
    <cellStyle name="Input 2 2 3 3 2 5 5" xfId="20250" xr:uid="{00000000-0005-0000-0000-0000494E0000}"/>
    <cellStyle name="Input 2 2 3 3 2 5 6" xfId="20251" xr:uid="{00000000-0005-0000-0000-00004A4E0000}"/>
    <cellStyle name="Input 2 2 3 3 2 6" xfId="20252" xr:uid="{00000000-0005-0000-0000-00004B4E0000}"/>
    <cellStyle name="Input 2 2 3 3 2 6 2" xfId="20253" xr:uid="{00000000-0005-0000-0000-00004C4E0000}"/>
    <cellStyle name="Input 2 2 3 3 2 7" xfId="20254" xr:uid="{00000000-0005-0000-0000-00004D4E0000}"/>
    <cellStyle name="Input 2 2 3 3 2 7 2" xfId="20255" xr:uid="{00000000-0005-0000-0000-00004E4E0000}"/>
    <cellStyle name="Input 2 2 3 3 2 8" xfId="20256" xr:uid="{00000000-0005-0000-0000-00004F4E0000}"/>
    <cellStyle name="Input 2 2 3 3 2 9" xfId="20257" xr:uid="{00000000-0005-0000-0000-0000504E0000}"/>
    <cellStyle name="Input 2 2 3 3 3" xfId="20258" xr:uid="{00000000-0005-0000-0000-0000514E0000}"/>
    <cellStyle name="Input 2 2 3 3 3 2" xfId="20259" xr:uid="{00000000-0005-0000-0000-0000524E0000}"/>
    <cellStyle name="Input 2 2 3 3 3 2 2" xfId="20260" xr:uid="{00000000-0005-0000-0000-0000534E0000}"/>
    <cellStyle name="Input 2 2 3 3 3 2 2 2" xfId="20261" xr:uid="{00000000-0005-0000-0000-0000544E0000}"/>
    <cellStyle name="Input 2 2 3 3 3 2 2 2 2" xfId="20262" xr:uid="{00000000-0005-0000-0000-0000554E0000}"/>
    <cellStyle name="Input 2 2 3 3 3 2 2 3" xfId="20263" xr:uid="{00000000-0005-0000-0000-0000564E0000}"/>
    <cellStyle name="Input 2 2 3 3 3 2 2 3 2" xfId="20264" xr:uid="{00000000-0005-0000-0000-0000574E0000}"/>
    <cellStyle name="Input 2 2 3 3 3 2 2 4" xfId="20265" xr:uid="{00000000-0005-0000-0000-0000584E0000}"/>
    <cellStyle name="Input 2 2 3 3 3 2 2 5" xfId="20266" xr:uid="{00000000-0005-0000-0000-0000594E0000}"/>
    <cellStyle name="Input 2 2 3 3 3 2 2 6" xfId="20267" xr:uid="{00000000-0005-0000-0000-00005A4E0000}"/>
    <cellStyle name="Input 2 2 3 3 3 2 3" xfId="20268" xr:uid="{00000000-0005-0000-0000-00005B4E0000}"/>
    <cellStyle name="Input 2 2 3 3 3 2 3 2" xfId="20269" xr:uid="{00000000-0005-0000-0000-00005C4E0000}"/>
    <cellStyle name="Input 2 2 3 3 3 2 4" xfId="20270" xr:uid="{00000000-0005-0000-0000-00005D4E0000}"/>
    <cellStyle name="Input 2 2 3 3 3 2 4 2" xfId="20271" xr:uid="{00000000-0005-0000-0000-00005E4E0000}"/>
    <cellStyle name="Input 2 2 3 3 3 2 5" xfId="20272" xr:uid="{00000000-0005-0000-0000-00005F4E0000}"/>
    <cellStyle name="Input 2 2 3 3 3 2 6" xfId="20273" xr:uid="{00000000-0005-0000-0000-0000604E0000}"/>
    <cellStyle name="Input 2 2 3 3 3 2 7" xfId="20274" xr:uid="{00000000-0005-0000-0000-0000614E0000}"/>
    <cellStyle name="Input 2 2 3 3 3 3" xfId="20275" xr:uid="{00000000-0005-0000-0000-0000624E0000}"/>
    <cellStyle name="Input 2 2 3 3 3 3 2" xfId="20276" xr:uid="{00000000-0005-0000-0000-0000634E0000}"/>
    <cellStyle name="Input 2 2 3 3 3 3 2 2" xfId="20277" xr:uid="{00000000-0005-0000-0000-0000644E0000}"/>
    <cellStyle name="Input 2 2 3 3 3 3 3" xfId="20278" xr:uid="{00000000-0005-0000-0000-0000654E0000}"/>
    <cellStyle name="Input 2 2 3 3 3 3 3 2" xfId="20279" xr:uid="{00000000-0005-0000-0000-0000664E0000}"/>
    <cellStyle name="Input 2 2 3 3 3 3 4" xfId="20280" xr:uid="{00000000-0005-0000-0000-0000674E0000}"/>
    <cellStyle name="Input 2 2 3 3 3 3 5" xfId="20281" xr:uid="{00000000-0005-0000-0000-0000684E0000}"/>
    <cellStyle name="Input 2 2 3 3 3 3 6" xfId="20282" xr:uid="{00000000-0005-0000-0000-0000694E0000}"/>
    <cellStyle name="Input 2 2 3 3 3 4" xfId="20283" xr:uid="{00000000-0005-0000-0000-00006A4E0000}"/>
    <cellStyle name="Input 2 2 3 3 3 4 2" xfId="20284" xr:uid="{00000000-0005-0000-0000-00006B4E0000}"/>
    <cellStyle name="Input 2 2 3 3 3 5" xfId="20285" xr:uid="{00000000-0005-0000-0000-00006C4E0000}"/>
    <cellStyle name="Input 2 2 3 3 3 5 2" xfId="20286" xr:uid="{00000000-0005-0000-0000-00006D4E0000}"/>
    <cellStyle name="Input 2 2 3 3 3 6" xfId="20287" xr:uid="{00000000-0005-0000-0000-00006E4E0000}"/>
    <cellStyle name="Input 2 2 3 3 3 7" xfId="20288" xr:uid="{00000000-0005-0000-0000-00006F4E0000}"/>
    <cellStyle name="Input 2 2 3 3 3 8" xfId="20289" xr:uid="{00000000-0005-0000-0000-0000704E0000}"/>
    <cellStyle name="Input 2 2 3 3 4" xfId="20290" xr:uid="{00000000-0005-0000-0000-0000714E0000}"/>
    <cellStyle name="Input 2 2 3 3 4 2" xfId="20291" xr:uid="{00000000-0005-0000-0000-0000724E0000}"/>
    <cellStyle name="Input 2 2 3 3 4 2 2" xfId="20292" xr:uid="{00000000-0005-0000-0000-0000734E0000}"/>
    <cellStyle name="Input 2 2 3 3 4 2 2 2" xfId="20293" xr:uid="{00000000-0005-0000-0000-0000744E0000}"/>
    <cellStyle name="Input 2 2 3 3 4 2 3" xfId="20294" xr:uid="{00000000-0005-0000-0000-0000754E0000}"/>
    <cellStyle name="Input 2 2 3 3 4 2 3 2" xfId="20295" xr:uid="{00000000-0005-0000-0000-0000764E0000}"/>
    <cellStyle name="Input 2 2 3 3 4 2 4" xfId="20296" xr:uid="{00000000-0005-0000-0000-0000774E0000}"/>
    <cellStyle name="Input 2 2 3 3 4 2 5" xfId="20297" xr:uid="{00000000-0005-0000-0000-0000784E0000}"/>
    <cellStyle name="Input 2 2 3 3 4 2 6" xfId="20298" xr:uid="{00000000-0005-0000-0000-0000794E0000}"/>
    <cellStyle name="Input 2 2 3 3 4 3" xfId="20299" xr:uid="{00000000-0005-0000-0000-00007A4E0000}"/>
    <cellStyle name="Input 2 2 3 3 4 3 2" xfId="20300" xr:uid="{00000000-0005-0000-0000-00007B4E0000}"/>
    <cellStyle name="Input 2 2 3 3 4 4" xfId="20301" xr:uid="{00000000-0005-0000-0000-00007C4E0000}"/>
    <cellStyle name="Input 2 2 3 3 4 4 2" xfId="20302" xr:uid="{00000000-0005-0000-0000-00007D4E0000}"/>
    <cellStyle name="Input 2 2 3 3 4 5" xfId="20303" xr:uid="{00000000-0005-0000-0000-00007E4E0000}"/>
    <cellStyle name="Input 2 2 3 3 4 6" xfId="20304" xr:uid="{00000000-0005-0000-0000-00007F4E0000}"/>
    <cellStyle name="Input 2 2 3 3 4 7" xfId="20305" xr:uid="{00000000-0005-0000-0000-0000804E0000}"/>
    <cellStyle name="Input 2 2 3 3 5" xfId="20306" xr:uid="{00000000-0005-0000-0000-0000814E0000}"/>
    <cellStyle name="Input 2 2 3 3 5 2" xfId="20307" xr:uid="{00000000-0005-0000-0000-0000824E0000}"/>
    <cellStyle name="Input 2 2 3 3 5 2 2" xfId="20308" xr:uid="{00000000-0005-0000-0000-0000834E0000}"/>
    <cellStyle name="Input 2 2 3 3 5 3" xfId="20309" xr:uid="{00000000-0005-0000-0000-0000844E0000}"/>
    <cellStyle name="Input 2 2 3 3 5 3 2" xfId="20310" xr:uid="{00000000-0005-0000-0000-0000854E0000}"/>
    <cellStyle name="Input 2 2 3 3 5 4" xfId="20311" xr:uid="{00000000-0005-0000-0000-0000864E0000}"/>
    <cellStyle name="Input 2 2 3 3 5 5" xfId="20312" xr:uid="{00000000-0005-0000-0000-0000874E0000}"/>
    <cellStyle name="Input 2 2 3 3 5 6" xfId="20313" xr:uid="{00000000-0005-0000-0000-0000884E0000}"/>
    <cellStyle name="Input 2 2 3 3 6" xfId="20314" xr:uid="{00000000-0005-0000-0000-0000894E0000}"/>
    <cellStyle name="Input 2 2 3 3 6 2" xfId="20315" xr:uid="{00000000-0005-0000-0000-00008A4E0000}"/>
    <cellStyle name="Input 2 2 3 3 7" xfId="20316" xr:uid="{00000000-0005-0000-0000-00008B4E0000}"/>
    <cellStyle name="Input 2 2 3 3 7 2" xfId="20317" xr:uid="{00000000-0005-0000-0000-00008C4E0000}"/>
    <cellStyle name="Input 2 2 3 3 8" xfId="20318" xr:uid="{00000000-0005-0000-0000-00008D4E0000}"/>
    <cellStyle name="Input 2 2 3 3 9" xfId="20319" xr:uid="{00000000-0005-0000-0000-00008E4E0000}"/>
    <cellStyle name="Input 2 2 3 4" xfId="20320" xr:uid="{00000000-0005-0000-0000-00008F4E0000}"/>
    <cellStyle name="Input 2 2 3 4 10" xfId="20321" xr:uid="{00000000-0005-0000-0000-0000904E0000}"/>
    <cellStyle name="Input 2 2 3 4 2" xfId="20322" xr:uid="{00000000-0005-0000-0000-0000914E0000}"/>
    <cellStyle name="Input 2 2 3 4 2 2" xfId="20323" xr:uid="{00000000-0005-0000-0000-0000924E0000}"/>
    <cellStyle name="Input 2 2 3 4 2 2 2" xfId="20324" xr:uid="{00000000-0005-0000-0000-0000934E0000}"/>
    <cellStyle name="Input 2 2 3 4 2 2 2 2" xfId="20325" xr:uid="{00000000-0005-0000-0000-0000944E0000}"/>
    <cellStyle name="Input 2 2 3 4 2 2 2 2 2" xfId="20326" xr:uid="{00000000-0005-0000-0000-0000954E0000}"/>
    <cellStyle name="Input 2 2 3 4 2 2 2 3" xfId="20327" xr:uid="{00000000-0005-0000-0000-0000964E0000}"/>
    <cellStyle name="Input 2 2 3 4 2 2 2 3 2" xfId="20328" xr:uid="{00000000-0005-0000-0000-0000974E0000}"/>
    <cellStyle name="Input 2 2 3 4 2 2 2 4" xfId="20329" xr:uid="{00000000-0005-0000-0000-0000984E0000}"/>
    <cellStyle name="Input 2 2 3 4 2 2 2 5" xfId="20330" xr:uid="{00000000-0005-0000-0000-0000994E0000}"/>
    <cellStyle name="Input 2 2 3 4 2 2 2 6" xfId="20331" xr:uid="{00000000-0005-0000-0000-00009A4E0000}"/>
    <cellStyle name="Input 2 2 3 4 2 2 3" xfId="20332" xr:uid="{00000000-0005-0000-0000-00009B4E0000}"/>
    <cellStyle name="Input 2 2 3 4 2 2 3 2" xfId="20333" xr:uid="{00000000-0005-0000-0000-00009C4E0000}"/>
    <cellStyle name="Input 2 2 3 4 2 2 4" xfId="20334" xr:uid="{00000000-0005-0000-0000-00009D4E0000}"/>
    <cellStyle name="Input 2 2 3 4 2 2 4 2" xfId="20335" xr:uid="{00000000-0005-0000-0000-00009E4E0000}"/>
    <cellStyle name="Input 2 2 3 4 2 2 5" xfId="20336" xr:uid="{00000000-0005-0000-0000-00009F4E0000}"/>
    <cellStyle name="Input 2 2 3 4 2 2 6" xfId="20337" xr:uid="{00000000-0005-0000-0000-0000A04E0000}"/>
    <cellStyle name="Input 2 2 3 4 2 2 7" xfId="20338" xr:uid="{00000000-0005-0000-0000-0000A14E0000}"/>
    <cellStyle name="Input 2 2 3 4 2 3" xfId="20339" xr:uid="{00000000-0005-0000-0000-0000A24E0000}"/>
    <cellStyle name="Input 2 2 3 4 2 3 2" xfId="20340" xr:uid="{00000000-0005-0000-0000-0000A34E0000}"/>
    <cellStyle name="Input 2 2 3 4 2 3 2 2" xfId="20341" xr:uid="{00000000-0005-0000-0000-0000A44E0000}"/>
    <cellStyle name="Input 2 2 3 4 2 3 3" xfId="20342" xr:uid="{00000000-0005-0000-0000-0000A54E0000}"/>
    <cellStyle name="Input 2 2 3 4 2 3 3 2" xfId="20343" xr:uid="{00000000-0005-0000-0000-0000A64E0000}"/>
    <cellStyle name="Input 2 2 3 4 2 3 4" xfId="20344" xr:uid="{00000000-0005-0000-0000-0000A74E0000}"/>
    <cellStyle name="Input 2 2 3 4 2 3 5" xfId="20345" xr:uid="{00000000-0005-0000-0000-0000A84E0000}"/>
    <cellStyle name="Input 2 2 3 4 2 3 6" xfId="20346" xr:uid="{00000000-0005-0000-0000-0000A94E0000}"/>
    <cellStyle name="Input 2 2 3 4 2 4" xfId="20347" xr:uid="{00000000-0005-0000-0000-0000AA4E0000}"/>
    <cellStyle name="Input 2 2 3 4 2 4 2" xfId="20348" xr:uid="{00000000-0005-0000-0000-0000AB4E0000}"/>
    <cellStyle name="Input 2 2 3 4 2 5" xfId="20349" xr:uid="{00000000-0005-0000-0000-0000AC4E0000}"/>
    <cellStyle name="Input 2 2 3 4 2 5 2" xfId="20350" xr:uid="{00000000-0005-0000-0000-0000AD4E0000}"/>
    <cellStyle name="Input 2 2 3 4 2 6" xfId="20351" xr:uid="{00000000-0005-0000-0000-0000AE4E0000}"/>
    <cellStyle name="Input 2 2 3 4 2 7" xfId="20352" xr:uid="{00000000-0005-0000-0000-0000AF4E0000}"/>
    <cellStyle name="Input 2 2 3 4 2 8" xfId="20353" xr:uid="{00000000-0005-0000-0000-0000B04E0000}"/>
    <cellStyle name="Input 2 2 3 4 3" xfId="20354" xr:uid="{00000000-0005-0000-0000-0000B14E0000}"/>
    <cellStyle name="Input 2 2 3 4 3 2" xfId="20355" xr:uid="{00000000-0005-0000-0000-0000B24E0000}"/>
    <cellStyle name="Input 2 2 3 4 3 2 2" xfId="20356" xr:uid="{00000000-0005-0000-0000-0000B34E0000}"/>
    <cellStyle name="Input 2 2 3 4 3 2 2 2" xfId="20357" xr:uid="{00000000-0005-0000-0000-0000B44E0000}"/>
    <cellStyle name="Input 2 2 3 4 3 2 2 2 2" xfId="20358" xr:uid="{00000000-0005-0000-0000-0000B54E0000}"/>
    <cellStyle name="Input 2 2 3 4 3 2 2 3" xfId="20359" xr:uid="{00000000-0005-0000-0000-0000B64E0000}"/>
    <cellStyle name="Input 2 2 3 4 3 2 2 3 2" xfId="20360" xr:uid="{00000000-0005-0000-0000-0000B74E0000}"/>
    <cellStyle name="Input 2 2 3 4 3 2 2 4" xfId="20361" xr:uid="{00000000-0005-0000-0000-0000B84E0000}"/>
    <cellStyle name="Input 2 2 3 4 3 2 2 5" xfId="20362" xr:uid="{00000000-0005-0000-0000-0000B94E0000}"/>
    <cellStyle name="Input 2 2 3 4 3 2 2 6" xfId="20363" xr:uid="{00000000-0005-0000-0000-0000BA4E0000}"/>
    <cellStyle name="Input 2 2 3 4 3 2 3" xfId="20364" xr:uid="{00000000-0005-0000-0000-0000BB4E0000}"/>
    <cellStyle name="Input 2 2 3 4 3 2 3 2" xfId="20365" xr:uid="{00000000-0005-0000-0000-0000BC4E0000}"/>
    <cellStyle name="Input 2 2 3 4 3 2 4" xfId="20366" xr:uid="{00000000-0005-0000-0000-0000BD4E0000}"/>
    <cellStyle name="Input 2 2 3 4 3 2 4 2" xfId="20367" xr:uid="{00000000-0005-0000-0000-0000BE4E0000}"/>
    <cellStyle name="Input 2 2 3 4 3 2 5" xfId="20368" xr:uid="{00000000-0005-0000-0000-0000BF4E0000}"/>
    <cellStyle name="Input 2 2 3 4 3 2 6" xfId="20369" xr:uid="{00000000-0005-0000-0000-0000C04E0000}"/>
    <cellStyle name="Input 2 2 3 4 3 2 7" xfId="20370" xr:uid="{00000000-0005-0000-0000-0000C14E0000}"/>
    <cellStyle name="Input 2 2 3 4 3 3" xfId="20371" xr:uid="{00000000-0005-0000-0000-0000C24E0000}"/>
    <cellStyle name="Input 2 2 3 4 3 3 2" xfId="20372" xr:uid="{00000000-0005-0000-0000-0000C34E0000}"/>
    <cellStyle name="Input 2 2 3 4 3 3 2 2" xfId="20373" xr:uid="{00000000-0005-0000-0000-0000C44E0000}"/>
    <cellStyle name="Input 2 2 3 4 3 3 3" xfId="20374" xr:uid="{00000000-0005-0000-0000-0000C54E0000}"/>
    <cellStyle name="Input 2 2 3 4 3 3 3 2" xfId="20375" xr:uid="{00000000-0005-0000-0000-0000C64E0000}"/>
    <cellStyle name="Input 2 2 3 4 3 3 4" xfId="20376" xr:uid="{00000000-0005-0000-0000-0000C74E0000}"/>
    <cellStyle name="Input 2 2 3 4 3 3 5" xfId="20377" xr:uid="{00000000-0005-0000-0000-0000C84E0000}"/>
    <cellStyle name="Input 2 2 3 4 3 3 6" xfId="20378" xr:uid="{00000000-0005-0000-0000-0000C94E0000}"/>
    <cellStyle name="Input 2 2 3 4 3 4" xfId="20379" xr:uid="{00000000-0005-0000-0000-0000CA4E0000}"/>
    <cellStyle name="Input 2 2 3 4 3 4 2" xfId="20380" xr:uid="{00000000-0005-0000-0000-0000CB4E0000}"/>
    <cellStyle name="Input 2 2 3 4 3 5" xfId="20381" xr:uid="{00000000-0005-0000-0000-0000CC4E0000}"/>
    <cellStyle name="Input 2 2 3 4 3 5 2" xfId="20382" xr:uid="{00000000-0005-0000-0000-0000CD4E0000}"/>
    <cellStyle name="Input 2 2 3 4 3 6" xfId="20383" xr:uid="{00000000-0005-0000-0000-0000CE4E0000}"/>
    <cellStyle name="Input 2 2 3 4 3 7" xfId="20384" xr:uid="{00000000-0005-0000-0000-0000CF4E0000}"/>
    <cellStyle name="Input 2 2 3 4 3 8" xfId="20385" xr:uid="{00000000-0005-0000-0000-0000D04E0000}"/>
    <cellStyle name="Input 2 2 3 4 4" xfId="20386" xr:uid="{00000000-0005-0000-0000-0000D14E0000}"/>
    <cellStyle name="Input 2 2 3 4 4 2" xfId="20387" xr:uid="{00000000-0005-0000-0000-0000D24E0000}"/>
    <cellStyle name="Input 2 2 3 4 4 2 2" xfId="20388" xr:uid="{00000000-0005-0000-0000-0000D34E0000}"/>
    <cellStyle name="Input 2 2 3 4 4 2 2 2" xfId="20389" xr:uid="{00000000-0005-0000-0000-0000D44E0000}"/>
    <cellStyle name="Input 2 2 3 4 4 2 3" xfId="20390" xr:uid="{00000000-0005-0000-0000-0000D54E0000}"/>
    <cellStyle name="Input 2 2 3 4 4 2 3 2" xfId="20391" xr:uid="{00000000-0005-0000-0000-0000D64E0000}"/>
    <cellStyle name="Input 2 2 3 4 4 2 4" xfId="20392" xr:uid="{00000000-0005-0000-0000-0000D74E0000}"/>
    <cellStyle name="Input 2 2 3 4 4 2 5" xfId="20393" xr:uid="{00000000-0005-0000-0000-0000D84E0000}"/>
    <cellStyle name="Input 2 2 3 4 4 2 6" xfId="20394" xr:uid="{00000000-0005-0000-0000-0000D94E0000}"/>
    <cellStyle name="Input 2 2 3 4 4 3" xfId="20395" xr:uid="{00000000-0005-0000-0000-0000DA4E0000}"/>
    <cellStyle name="Input 2 2 3 4 4 3 2" xfId="20396" xr:uid="{00000000-0005-0000-0000-0000DB4E0000}"/>
    <cellStyle name="Input 2 2 3 4 4 4" xfId="20397" xr:uid="{00000000-0005-0000-0000-0000DC4E0000}"/>
    <cellStyle name="Input 2 2 3 4 4 4 2" xfId="20398" xr:uid="{00000000-0005-0000-0000-0000DD4E0000}"/>
    <cellStyle name="Input 2 2 3 4 4 5" xfId="20399" xr:uid="{00000000-0005-0000-0000-0000DE4E0000}"/>
    <cellStyle name="Input 2 2 3 4 4 6" xfId="20400" xr:uid="{00000000-0005-0000-0000-0000DF4E0000}"/>
    <cellStyle name="Input 2 2 3 4 4 7" xfId="20401" xr:uid="{00000000-0005-0000-0000-0000E04E0000}"/>
    <cellStyle name="Input 2 2 3 4 5" xfId="20402" xr:uid="{00000000-0005-0000-0000-0000E14E0000}"/>
    <cellStyle name="Input 2 2 3 4 5 2" xfId="20403" xr:uid="{00000000-0005-0000-0000-0000E24E0000}"/>
    <cellStyle name="Input 2 2 3 4 5 2 2" xfId="20404" xr:uid="{00000000-0005-0000-0000-0000E34E0000}"/>
    <cellStyle name="Input 2 2 3 4 5 3" xfId="20405" xr:uid="{00000000-0005-0000-0000-0000E44E0000}"/>
    <cellStyle name="Input 2 2 3 4 5 3 2" xfId="20406" xr:uid="{00000000-0005-0000-0000-0000E54E0000}"/>
    <cellStyle name="Input 2 2 3 4 5 4" xfId="20407" xr:uid="{00000000-0005-0000-0000-0000E64E0000}"/>
    <cellStyle name="Input 2 2 3 4 5 5" xfId="20408" xr:uid="{00000000-0005-0000-0000-0000E74E0000}"/>
    <cellStyle name="Input 2 2 3 4 5 6" xfId="20409" xr:uid="{00000000-0005-0000-0000-0000E84E0000}"/>
    <cellStyle name="Input 2 2 3 4 6" xfId="20410" xr:uid="{00000000-0005-0000-0000-0000E94E0000}"/>
    <cellStyle name="Input 2 2 3 4 6 2" xfId="20411" xr:uid="{00000000-0005-0000-0000-0000EA4E0000}"/>
    <cellStyle name="Input 2 2 3 4 7" xfId="20412" xr:uid="{00000000-0005-0000-0000-0000EB4E0000}"/>
    <cellStyle name="Input 2 2 3 4 7 2" xfId="20413" xr:uid="{00000000-0005-0000-0000-0000EC4E0000}"/>
    <cellStyle name="Input 2 2 3 4 8" xfId="20414" xr:uid="{00000000-0005-0000-0000-0000ED4E0000}"/>
    <cellStyle name="Input 2 2 3 4 9" xfId="20415" xr:uid="{00000000-0005-0000-0000-0000EE4E0000}"/>
    <cellStyle name="Input 2 2 3 5" xfId="20416" xr:uid="{00000000-0005-0000-0000-0000EF4E0000}"/>
    <cellStyle name="Input 2 2 3 5 2" xfId="20417" xr:uid="{00000000-0005-0000-0000-0000F04E0000}"/>
    <cellStyle name="Input 2 2 3 5 2 2" xfId="20418" xr:uid="{00000000-0005-0000-0000-0000F14E0000}"/>
    <cellStyle name="Input 2 2 3 5 2 2 2" xfId="20419" xr:uid="{00000000-0005-0000-0000-0000F24E0000}"/>
    <cellStyle name="Input 2 2 3 5 2 2 2 2" xfId="20420" xr:uid="{00000000-0005-0000-0000-0000F34E0000}"/>
    <cellStyle name="Input 2 2 3 5 2 2 3" xfId="20421" xr:uid="{00000000-0005-0000-0000-0000F44E0000}"/>
    <cellStyle name="Input 2 2 3 5 2 2 3 2" xfId="20422" xr:uid="{00000000-0005-0000-0000-0000F54E0000}"/>
    <cellStyle name="Input 2 2 3 5 2 2 4" xfId="20423" xr:uid="{00000000-0005-0000-0000-0000F64E0000}"/>
    <cellStyle name="Input 2 2 3 5 2 2 5" xfId="20424" xr:uid="{00000000-0005-0000-0000-0000F74E0000}"/>
    <cellStyle name="Input 2 2 3 5 2 2 6" xfId="20425" xr:uid="{00000000-0005-0000-0000-0000F84E0000}"/>
    <cellStyle name="Input 2 2 3 5 2 3" xfId="20426" xr:uid="{00000000-0005-0000-0000-0000F94E0000}"/>
    <cellStyle name="Input 2 2 3 5 2 3 2" xfId="20427" xr:uid="{00000000-0005-0000-0000-0000FA4E0000}"/>
    <cellStyle name="Input 2 2 3 5 2 4" xfId="20428" xr:uid="{00000000-0005-0000-0000-0000FB4E0000}"/>
    <cellStyle name="Input 2 2 3 5 2 4 2" xfId="20429" xr:uid="{00000000-0005-0000-0000-0000FC4E0000}"/>
    <cellStyle name="Input 2 2 3 5 2 5" xfId="20430" xr:uid="{00000000-0005-0000-0000-0000FD4E0000}"/>
    <cellStyle name="Input 2 2 3 5 2 6" xfId="20431" xr:uid="{00000000-0005-0000-0000-0000FE4E0000}"/>
    <cellStyle name="Input 2 2 3 5 2 7" xfId="20432" xr:uid="{00000000-0005-0000-0000-0000FF4E0000}"/>
    <cellStyle name="Input 2 2 3 5 3" xfId="20433" xr:uid="{00000000-0005-0000-0000-0000004F0000}"/>
    <cellStyle name="Input 2 2 3 5 3 2" xfId="20434" xr:uid="{00000000-0005-0000-0000-0000014F0000}"/>
    <cellStyle name="Input 2 2 3 5 3 2 2" xfId="20435" xr:uid="{00000000-0005-0000-0000-0000024F0000}"/>
    <cellStyle name="Input 2 2 3 5 3 3" xfId="20436" xr:uid="{00000000-0005-0000-0000-0000034F0000}"/>
    <cellStyle name="Input 2 2 3 5 3 3 2" xfId="20437" xr:uid="{00000000-0005-0000-0000-0000044F0000}"/>
    <cellStyle name="Input 2 2 3 5 3 4" xfId="20438" xr:uid="{00000000-0005-0000-0000-0000054F0000}"/>
    <cellStyle name="Input 2 2 3 5 3 5" xfId="20439" xr:uid="{00000000-0005-0000-0000-0000064F0000}"/>
    <cellStyle name="Input 2 2 3 5 3 6" xfId="20440" xr:uid="{00000000-0005-0000-0000-0000074F0000}"/>
    <cellStyle name="Input 2 2 3 5 4" xfId="20441" xr:uid="{00000000-0005-0000-0000-0000084F0000}"/>
    <cellStyle name="Input 2 2 3 5 4 2" xfId="20442" xr:uid="{00000000-0005-0000-0000-0000094F0000}"/>
    <cellStyle name="Input 2 2 3 5 5" xfId="20443" xr:uid="{00000000-0005-0000-0000-00000A4F0000}"/>
    <cellStyle name="Input 2 2 3 5 5 2" xfId="20444" xr:uid="{00000000-0005-0000-0000-00000B4F0000}"/>
    <cellStyle name="Input 2 2 3 5 6" xfId="20445" xr:uid="{00000000-0005-0000-0000-00000C4F0000}"/>
    <cellStyle name="Input 2 2 3 5 7" xfId="20446" xr:uid="{00000000-0005-0000-0000-00000D4F0000}"/>
    <cellStyle name="Input 2 2 3 5 8" xfId="20447" xr:uid="{00000000-0005-0000-0000-00000E4F0000}"/>
    <cellStyle name="Input 2 2 3 6" xfId="20448" xr:uid="{00000000-0005-0000-0000-00000F4F0000}"/>
    <cellStyle name="Input 2 2 3 6 2" xfId="20449" xr:uid="{00000000-0005-0000-0000-0000104F0000}"/>
    <cellStyle name="Input 2 2 3 6 2 2" xfId="20450" xr:uid="{00000000-0005-0000-0000-0000114F0000}"/>
    <cellStyle name="Input 2 2 3 6 2 2 2" xfId="20451" xr:uid="{00000000-0005-0000-0000-0000124F0000}"/>
    <cellStyle name="Input 2 2 3 6 2 3" xfId="20452" xr:uid="{00000000-0005-0000-0000-0000134F0000}"/>
    <cellStyle name="Input 2 2 3 6 2 3 2" xfId="20453" xr:uid="{00000000-0005-0000-0000-0000144F0000}"/>
    <cellStyle name="Input 2 2 3 6 2 4" xfId="20454" xr:uid="{00000000-0005-0000-0000-0000154F0000}"/>
    <cellStyle name="Input 2 2 3 6 2 5" xfId="20455" xr:uid="{00000000-0005-0000-0000-0000164F0000}"/>
    <cellStyle name="Input 2 2 3 6 2 6" xfId="20456" xr:uid="{00000000-0005-0000-0000-0000174F0000}"/>
    <cellStyle name="Input 2 2 3 6 3" xfId="20457" xr:uid="{00000000-0005-0000-0000-0000184F0000}"/>
    <cellStyle name="Input 2 2 3 6 3 2" xfId="20458" xr:uid="{00000000-0005-0000-0000-0000194F0000}"/>
    <cellStyle name="Input 2 2 3 6 4" xfId="20459" xr:uid="{00000000-0005-0000-0000-00001A4F0000}"/>
    <cellStyle name="Input 2 2 3 6 4 2" xfId="20460" xr:uid="{00000000-0005-0000-0000-00001B4F0000}"/>
    <cellStyle name="Input 2 2 3 6 5" xfId="20461" xr:uid="{00000000-0005-0000-0000-00001C4F0000}"/>
    <cellStyle name="Input 2 2 3 6 6" xfId="20462" xr:uid="{00000000-0005-0000-0000-00001D4F0000}"/>
    <cellStyle name="Input 2 2 3 6 7" xfId="20463" xr:uid="{00000000-0005-0000-0000-00001E4F0000}"/>
    <cellStyle name="Input 2 2 3 7" xfId="20464" xr:uid="{00000000-0005-0000-0000-00001F4F0000}"/>
    <cellStyle name="Input 2 2 3 7 2" xfId="20465" xr:uid="{00000000-0005-0000-0000-0000204F0000}"/>
    <cellStyle name="Input 2 2 3 7 2 2" xfId="20466" xr:uid="{00000000-0005-0000-0000-0000214F0000}"/>
    <cellStyle name="Input 2 2 3 7 3" xfId="20467" xr:uid="{00000000-0005-0000-0000-0000224F0000}"/>
    <cellStyle name="Input 2 2 3 7 3 2" xfId="20468" xr:uid="{00000000-0005-0000-0000-0000234F0000}"/>
    <cellStyle name="Input 2 2 3 7 4" xfId="20469" xr:uid="{00000000-0005-0000-0000-0000244F0000}"/>
    <cellStyle name="Input 2 2 3 7 5" xfId="20470" xr:uid="{00000000-0005-0000-0000-0000254F0000}"/>
    <cellStyle name="Input 2 2 3 7 6" xfId="20471" xr:uid="{00000000-0005-0000-0000-0000264F0000}"/>
    <cellStyle name="Input 2 2 3 8" xfId="20472" xr:uid="{00000000-0005-0000-0000-0000274F0000}"/>
    <cellStyle name="Input 2 2 3 8 2" xfId="20473" xr:uid="{00000000-0005-0000-0000-0000284F0000}"/>
    <cellStyle name="Input 2 2 3 9" xfId="20474" xr:uid="{00000000-0005-0000-0000-0000294F0000}"/>
    <cellStyle name="Input 2 2 3 9 2" xfId="20475" xr:uid="{00000000-0005-0000-0000-00002A4F0000}"/>
    <cellStyle name="Input 2 2 4" xfId="20476" xr:uid="{00000000-0005-0000-0000-00002B4F0000}"/>
    <cellStyle name="Input 2 2 4 10" xfId="20477" xr:uid="{00000000-0005-0000-0000-00002C4F0000}"/>
    <cellStyle name="Input 2 2 4 11" xfId="20478" xr:uid="{00000000-0005-0000-0000-00002D4F0000}"/>
    <cellStyle name="Input 2 2 4 2" xfId="20479" xr:uid="{00000000-0005-0000-0000-00002E4F0000}"/>
    <cellStyle name="Input 2 2 4 2 10" xfId="20480" xr:uid="{00000000-0005-0000-0000-00002F4F0000}"/>
    <cellStyle name="Input 2 2 4 2 2" xfId="20481" xr:uid="{00000000-0005-0000-0000-0000304F0000}"/>
    <cellStyle name="Input 2 2 4 2 2 10" xfId="20482" xr:uid="{00000000-0005-0000-0000-0000314F0000}"/>
    <cellStyle name="Input 2 2 4 2 2 2" xfId="20483" xr:uid="{00000000-0005-0000-0000-0000324F0000}"/>
    <cellStyle name="Input 2 2 4 2 2 2 2" xfId="20484" xr:uid="{00000000-0005-0000-0000-0000334F0000}"/>
    <cellStyle name="Input 2 2 4 2 2 2 2 2" xfId="20485" xr:uid="{00000000-0005-0000-0000-0000344F0000}"/>
    <cellStyle name="Input 2 2 4 2 2 2 2 2 2" xfId="20486" xr:uid="{00000000-0005-0000-0000-0000354F0000}"/>
    <cellStyle name="Input 2 2 4 2 2 2 2 2 2 2" xfId="20487" xr:uid="{00000000-0005-0000-0000-0000364F0000}"/>
    <cellStyle name="Input 2 2 4 2 2 2 2 2 3" xfId="20488" xr:uid="{00000000-0005-0000-0000-0000374F0000}"/>
    <cellStyle name="Input 2 2 4 2 2 2 2 2 3 2" xfId="20489" xr:uid="{00000000-0005-0000-0000-0000384F0000}"/>
    <cellStyle name="Input 2 2 4 2 2 2 2 2 4" xfId="20490" xr:uid="{00000000-0005-0000-0000-0000394F0000}"/>
    <cellStyle name="Input 2 2 4 2 2 2 2 2 5" xfId="20491" xr:uid="{00000000-0005-0000-0000-00003A4F0000}"/>
    <cellStyle name="Input 2 2 4 2 2 2 2 2 6" xfId="20492" xr:uid="{00000000-0005-0000-0000-00003B4F0000}"/>
    <cellStyle name="Input 2 2 4 2 2 2 2 3" xfId="20493" xr:uid="{00000000-0005-0000-0000-00003C4F0000}"/>
    <cellStyle name="Input 2 2 4 2 2 2 2 3 2" xfId="20494" xr:uid="{00000000-0005-0000-0000-00003D4F0000}"/>
    <cellStyle name="Input 2 2 4 2 2 2 2 4" xfId="20495" xr:uid="{00000000-0005-0000-0000-00003E4F0000}"/>
    <cellStyle name="Input 2 2 4 2 2 2 2 4 2" xfId="20496" xr:uid="{00000000-0005-0000-0000-00003F4F0000}"/>
    <cellStyle name="Input 2 2 4 2 2 2 2 5" xfId="20497" xr:uid="{00000000-0005-0000-0000-0000404F0000}"/>
    <cellStyle name="Input 2 2 4 2 2 2 2 6" xfId="20498" xr:uid="{00000000-0005-0000-0000-0000414F0000}"/>
    <cellStyle name="Input 2 2 4 2 2 2 2 7" xfId="20499" xr:uid="{00000000-0005-0000-0000-0000424F0000}"/>
    <cellStyle name="Input 2 2 4 2 2 2 3" xfId="20500" xr:uid="{00000000-0005-0000-0000-0000434F0000}"/>
    <cellStyle name="Input 2 2 4 2 2 2 3 2" xfId="20501" xr:uid="{00000000-0005-0000-0000-0000444F0000}"/>
    <cellStyle name="Input 2 2 4 2 2 2 3 2 2" xfId="20502" xr:uid="{00000000-0005-0000-0000-0000454F0000}"/>
    <cellStyle name="Input 2 2 4 2 2 2 3 3" xfId="20503" xr:uid="{00000000-0005-0000-0000-0000464F0000}"/>
    <cellStyle name="Input 2 2 4 2 2 2 3 3 2" xfId="20504" xr:uid="{00000000-0005-0000-0000-0000474F0000}"/>
    <cellStyle name="Input 2 2 4 2 2 2 3 4" xfId="20505" xr:uid="{00000000-0005-0000-0000-0000484F0000}"/>
    <cellStyle name="Input 2 2 4 2 2 2 3 5" xfId="20506" xr:uid="{00000000-0005-0000-0000-0000494F0000}"/>
    <cellStyle name="Input 2 2 4 2 2 2 3 6" xfId="20507" xr:uid="{00000000-0005-0000-0000-00004A4F0000}"/>
    <cellStyle name="Input 2 2 4 2 2 2 4" xfId="20508" xr:uid="{00000000-0005-0000-0000-00004B4F0000}"/>
    <cellStyle name="Input 2 2 4 2 2 2 4 2" xfId="20509" xr:uid="{00000000-0005-0000-0000-00004C4F0000}"/>
    <cellStyle name="Input 2 2 4 2 2 2 5" xfId="20510" xr:uid="{00000000-0005-0000-0000-00004D4F0000}"/>
    <cellStyle name="Input 2 2 4 2 2 2 5 2" xfId="20511" xr:uid="{00000000-0005-0000-0000-00004E4F0000}"/>
    <cellStyle name="Input 2 2 4 2 2 2 6" xfId="20512" xr:uid="{00000000-0005-0000-0000-00004F4F0000}"/>
    <cellStyle name="Input 2 2 4 2 2 2 7" xfId="20513" xr:uid="{00000000-0005-0000-0000-0000504F0000}"/>
    <cellStyle name="Input 2 2 4 2 2 2 8" xfId="20514" xr:uid="{00000000-0005-0000-0000-0000514F0000}"/>
    <cellStyle name="Input 2 2 4 2 2 3" xfId="20515" xr:uid="{00000000-0005-0000-0000-0000524F0000}"/>
    <cellStyle name="Input 2 2 4 2 2 3 2" xfId="20516" xr:uid="{00000000-0005-0000-0000-0000534F0000}"/>
    <cellStyle name="Input 2 2 4 2 2 3 2 2" xfId="20517" xr:uid="{00000000-0005-0000-0000-0000544F0000}"/>
    <cellStyle name="Input 2 2 4 2 2 3 2 2 2" xfId="20518" xr:uid="{00000000-0005-0000-0000-0000554F0000}"/>
    <cellStyle name="Input 2 2 4 2 2 3 2 2 2 2" xfId="20519" xr:uid="{00000000-0005-0000-0000-0000564F0000}"/>
    <cellStyle name="Input 2 2 4 2 2 3 2 2 3" xfId="20520" xr:uid="{00000000-0005-0000-0000-0000574F0000}"/>
    <cellStyle name="Input 2 2 4 2 2 3 2 2 3 2" xfId="20521" xr:uid="{00000000-0005-0000-0000-0000584F0000}"/>
    <cellStyle name="Input 2 2 4 2 2 3 2 2 4" xfId="20522" xr:uid="{00000000-0005-0000-0000-0000594F0000}"/>
    <cellStyle name="Input 2 2 4 2 2 3 2 2 5" xfId="20523" xr:uid="{00000000-0005-0000-0000-00005A4F0000}"/>
    <cellStyle name="Input 2 2 4 2 2 3 2 2 6" xfId="20524" xr:uid="{00000000-0005-0000-0000-00005B4F0000}"/>
    <cellStyle name="Input 2 2 4 2 2 3 2 3" xfId="20525" xr:uid="{00000000-0005-0000-0000-00005C4F0000}"/>
    <cellStyle name="Input 2 2 4 2 2 3 2 3 2" xfId="20526" xr:uid="{00000000-0005-0000-0000-00005D4F0000}"/>
    <cellStyle name="Input 2 2 4 2 2 3 2 4" xfId="20527" xr:uid="{00000000-0005-0000-0000-00005E4F0000}"/>
    <cellStyle name="Input 2 2 4 2 2 3 2 4 2" xfId="20528" xr:uid="{00000000-0005-0000-0000-00005F4F0000}"/>
    <cellStyle name="Input 2 2 4 2 2 3 2 5" xfId="20529" xr:uid="{00000000-0005-0000-0000-0000604F0000}"/>
    <cellStyle name="Input 2 2 4 2 2 3 2 6" xfId="20530" xr:uid="{00000000-0005-0000-0000-0000614F0000}"/>
    <cellStyle name="Input 2 2 4 2 2 3 2 7" xfId="20531" xr:uid="{00000000-0005-0000-0000-0000624F0000}"/>
    <cellStyle name="Input 2 2 4 2 2 3 3" xfId="20532" xr:uid="{00000000-0005-0000-0000-0000634F0000}"/>
    <cellStyle name="Input 2 2 4 2 2 3 3 2" xfId="20533" xr:uid="{00000000-0005-0000-0000-0000644F0000}"/>
    <cellStyle name="Input 2 2 4 2 2 3 3 2 2" xfId="20534" xr:uid="{00000000-0005-0000-0000-0000654F0000}"/>
    <cellStyle name="Input 2 2 4 2 2 3 3 3" xfId="20535" xr:uid="{00000000-0005-0000-0000-0000664F0000}"/>
    <cellStyle name="Input 2 2 4 2 2 3 3 3 2" xfId="20536" xr:uid="{00000000-0005-0000-0000-0000674F0000}"/>
    <cellStyle name="Input 2 2 4 2 2 3 3 4" xfId="20537" xr:uid="{00000000-0005-0000-0000-0000684F0000}"/>
    <cellStyle name="Input 2 2 4 2 2 3 3 5" xfId="20538" xr:uid="{00000000-0005-0000-0000-0000694F0000}"/>
    <cellStyle name="Input 2 2 4 2 2 3 3 6" xfId="20539" xr:uid="{00000000-0005-0000-0000-00006A4F0000}"/>
    <cellStyle name="Input 2 2 4 2 2 3 4" xfId="20540" xr:uid="{00000000-0005-0000-0000-00006B4F0000}"/>
    <cellStyle name="Input 2 2 4 2 2 3 4 2" xfId="20541" xr:uid="{00000000-0005-0000-0000-00006C4F0000}"/>
    <cellStyle name="Input 2 2 4 2 2 3 5" xfId="20542" xr:uid="{00000000-0005-0000-0000-00006D4F0000}"/>
    <cellStyle name="Input 2 2 4 2 2 3 5 2" xfId="20543" xr:uid="{00000000-0005-0000-0000-00006E4F0000}"/>
    <cellStyle name="Input 2 2 4 2 2 3 6" xfId="20544" xr:uid="{00000000-0005-0000-0000-00006F4F0000}"/>
    <cellStyle name="Input 2 2 4 2 2 3 7" xfId="20545" xr:uid="{00000000-0005-0000-0000-0000704F0000}"/>
    <cellStyle name="Input 2 2 4 2 2 3 8" xfId="20546" xr:uid="{00000000-0005-0000-0000-0000714F0000}"/>
    <cellStyle name="Input 2 2 4 2 2 4" xfId="20547" xr:uid="{00000000-0005-0000-0000-0000724F0000}"/>
    <cellStyle name="Input 2 2 4 2 2 4 2" xfId="20548" xr:uid="{00000000-0005-0000-0000-0000734F0000}"/>
    <cellStyle name="Input 2 2 4 2 2 4 2 2" xfId="20549" xr:uid="{00000000-0005-0000-0000-0000744F0000}"/>
    <cellStyle name="Input 2 2 4 2 2 4 2 2 2" xfId="20550" xr:uid="{00000000-0005-0000-0000-0000754F0000}"/>
    <cellStyle name="Input 2 2 4 2 2 4 2 3" xfId="20551" xr:uid="{00000000-0005-0000-0000-0000764F0000}"/>
    <cellStyle name="Input 2 2 4 2 2 4 2 3 2" xfId="20552" xr:uid="{00000000-0005-0000-0000-0000774F0000}"/>
    <cellStyle name="Input 2 2 4 2 2 4 2 4" xfId="20553" xr:uid="{00000000-0005-0000-0000-0000784F0000}"/>
    <cellStyle name="Input 2 2 4 2 2 4 2 5" xfId="20554" xr:uid="{00000000-0005-0000-0000-0000794F0000}"/>
    <cellStyle name="Input 2 2 4 2 2 4 2 6" xfId="20555" xr:uid="{00000000-0005-0000-0000-00007A4F0000}"/>
    <cellStyle name="Input 2 2 4 2 2 4 3" xfId="20556" xr:uid="{00000000-0005-0000-0000-00007B4F0000}"/>
    <cellStyle name="Input 2 2 4 2 2 4 3 2" xfId="20557" xr:uid="{00000000-0005-0000-0000-00007C4F0000}"/>
    <cellStyle name="Input 2 2 4 2 2 4 4" xfId="20558" xr:uid="{00000000-0005-0000-0000-00007D4F0000}"/>
    <cellStyle name="Input 2 2 4 2 2 4 4 2" xfId="20559" xr:uid="{00000000-0005-0000-0000-00007E4F0000}"/>
    <cellStyle name="Input 2 2 4 2 2 4 5" xfId="20560" xr:uid="{00000000-0005-0000-0000-00007F4F0000}"/>
    <cellStyle name="Input 2 2 4 2 2 4 6" xfId="20561" xr:uid="{00000000-0005-0000-0000-0000804F0000}"/>
    <cellStyle name="Input 2 2 4 2 2 4 7" xfId="20562" xr:uid="{00000000-0005-0000-0000-0000814F0000}"/>
    <cellStyle name="Input 2 2 4 2 2 5" xfId="20563" xr:uid="{00000000-0005-0000-0000-0000824F0000}"/>
    <cellStyle name="Input 2 2 4 2 2 5 2" xfId="20564" xr:uid="{00000000-0005-0000-0000-0000834F0000}"/>
    <cellStyle name="Input 2 2 4 2 2 5 2 2" xfId="20565" xr:uid="{00000000-0005-0000-0000-0000844F0000}"/>
    <cellStyle name="Input 2 2 4 2 2 5 3" xfId="20566" xr:uid="{00000000-0005-0000-0000-0000854F0000}"/>
    <cellStyle name="Input 2 2 4 2 2 5 3 2" xfId="20567" xr:uid="{00000000-0005-0000-0000-0000864F0000}"/>
    <cellStyle name="Input 2 2 4 2 2 5 4" xfId="20568" xr:uid="{00000000-0005-0000-0000-0000874F0000}"/>
    <cellStyle name="Input 2 2 4 2 2 5 5" xfId="20569" xr:uid="{00000000-0005-0000-0000-0000884F0000}"/>
    <cellStyle name="Input 2 2 4 2 2 5 6" xfId="20570" xr:uid="{00000000-0005-0000-0000-0000894F0000}"/>
    <cellStyle name="Input 2 2 4 2 2 6" xfId="20571" xr:uid="{00000000-0005-0000-0000-00008A4F0000}"/>
    <cellStyle name="Input 2 2 4 2 2 6 2" xfId="20572" xr:uid="{00000000-0005-0000-0000-00008B4F0000}"/>
    <cellStyle name="Input 2 2 4 2 2 7" xfId="20573" xr:uid="{00000000-0005-0000-0000-00008C4F0000}"/>
    <cellStyle name="Input 2 2 4 2 2 7 2" xfId="20574" xr:uid="{00000000-0005-0000-0000-00008D4F0000}"/>
    <cellStyle name="Input 2 2 4 2 2 8" xfId="20575" xr:uid="{00000000-0005-0000-0000-00008E4F0000}"/>
    <cellStyle name="Input 2 2 4 2 2 9" xfId="20576" xr:uid="{00000000-0005-0000-0000-00008F4F0000}"/>
    <cellStyle name="Input 2 2 4 2 3" xfId="20577" xr:uid="{00000000-0005-0000-0000-0000904F0000}"/>
    <cellStyle name="Input 2 2 4 2 3 2" xfId="20578" xr:uid="{00000000-0005-0000-0000-0000914F0000}"/>
    <cellStyle name="Input 2 2 4 2 3 2 2" xfId="20579" xr:uid="{00000000-0005-0000-0000-0000924F0000}"/>
    <cellStyle name="Input 2 2 4 2 3 2 2 2" xfId="20580" xr:uid="{00000000-0005-0000-0000-0000934F0000}"/>
    <cellStyle name="Input 2 2 4 2 3 2 2 2 2" xfId="20581" xr:uid="{00000000-0005-0000-0000-0000944F0000}"/>
    <cellStyle name="Input 2 2 4 2 3 2 2 3" xfId="20582" xr:uid="{00000000-0005-0000-0000-0000954F0000}"/>
    <cellStyle name="Input 2 2 4 2 3 2 2 3 2" xfId="20583" xr:uid="{00000000-0005-0000-0000-0000964F0000}"/>
    <cellStyle name="Input 2 2 4 2 3 2 2 4" xfId="20584" xr:uid="{00000000-0005-0000-0000-0000974F0000}"/>
    <cellStyle name="Input 2 2 4 2 3 2 2 5" xfId="20585" xr:uid="{00000000-0005-0000-0000-0000984F0000}"/>
    <cellStyle name="Input 2 2 4 2 3 2 2 6" xfId="20586" xr:uid="{00000000-0005-0000-0000-0000994F0000}"/>
    <cellStyle name="Input 2 2 4 2 3 2 3" xfId="20587" xr:uid="{00000000-0005-0000-0000-00009A4F0000}"/>
    <cellStyle name="Input 2 2 4 2 3 2 3 2" xfId="20588" xr:uid="{00000000-0005-0000-0000-00009B4F0000}"/>
    <cellStyle name="Input 2 2 4 2 3 2 4" xfId="20589" xr:uid="{00000000-0005-0000-0000-00009C4F0000}"/>
    <cellStyle name="Input 2 2 4 2 3 2 4 2" xfId="20590" xr:uid="{00000000-0005-0000-0000-00009D4F0000}"/>
    <cellStyle name="Input 2 2 4 2 3 2 5" xfId="20591" xr:uid="{00000000-0005-0000-0000-00009E4F0000}"/>
    <cellStyle name="Input 2 2 4 2 3 2 6" xfId="20592" xr:uid="{00000000-0005-0000-0000-00009F4F0000}"/>
    <cellStyle name="Input 2 2 4 2 3 2 7" xfId="20593" xr:uid="{00000000-0005-0000-0000-0000A04F0000}"/>
    <cellStyle name="Input 2 2 4 2 3 3" xfId="20594" xr:uid="{00000000-0005-0000-0000-0000A14F0000}"/>
    <cellStyle name="Input 2 2 4 2 3 3 2" xfId="20595" xr:uid="{00000000-0005-0000-0000-0000A24F0000}"/>
    <cellStyle name="Input 2 2 4 2 3 3 2 2" xfId="20596" xr:uid="{00000000-0005-0000-0000-0000A34F0000}"/>
    <cellStyle name="Input 2 2 4 2 3 3 3" xfId="20597" xr:uid="{00000000-0005-0000-0000-0000A44F0000}"/>
    <cellStyle name="Input 2 2 4 2 3 3 3 2" xfId="20598" xr:uid="{00000000-0005-0000-0000-0000A54F0000}"/>
    <cellStyle name="Input 2 2 4 2 3 3 4" xfId="20599" xr:uid="{00000000-0005-0000-0000-0000A64F0000}"/>
    <cellStyle name="Input 2 2 4 2 3 3 5" xfId="20600" xr:uid="{00000000-0005-0000-0000-0000A74F0000}"/>
    <cellStyle name="Input 2 2 4 2 3 3 6" xfId="20601" xr:uid="{00000000-0005-0000-0000-0000A84F0000}"/>
    <cellStyle name="Input 2 2 4 2 3 4" xfId="20602" xr:uid="{00000000-0005-0000-0000-0000A94F0000}"/>
    <cellStyle name="Input 2 2 4 2 3 4 2" xfId="20603" xr:uid="{00000000-0005-0000-0000-0000AA4F0000}"/>
    <cellStyle name="Input 2 2 4 2 3 5" xfId="20604" xr:uid="{00000000-0005-0000-0000-0000AB4F0000}"/>
    <cellStyle name="Input 2 2 4 2 3 5 2" xfId="20605" xr:uid="{00000000-0005-0000-0000-0000AC4F0000}"/>
    <cellStyle name="Input 2 2 4 2 3 6" xfId="20606" xr:uid="{00000000-0005-0000-0000-0000AD4F0000}"/>
    <cellStyle name="Input 2 2 4 2 3 7" xfId="20607" xr:uid="{00000000-0005-0000-0000-0000AE4F0000}"/>
    <cellStyle name="Input 2 2 4 2 3 8" xfId="20608" xr:uid="{00000000-0005-0000-0000-0000AF4F0000}"/>
    <cellStyle name="Input 2 2 4 2 4" xfId="20609" xr:uid="{00000000-0005-0000-0000-0000B04F0000}"/>
    <cellStyle name="Input 2 2 4 2 4 2" xfId="20610" xr:uid="{00000000-0005-0000-0000-0000B14F0000}"/>
    <cellStyle name="Input 2 2 4 2 4 2 2" xfId="20611" xr:uid="{00000000-0005-0000-0000-0000B24F0000}"/>
    <cellStyle name="Input 2 2 4 2 4 2 2 2" xfId="20612" xr:uid="{00000000-0005-0000-0000-0000B34F0000}"/>
    <cellStyle name="Input 2 2 4 2 4 2 3" xfId="20613" xr:uid="{00000000-0005-0000-0000-0000B44F0000}"/>
    <cellStyle name="Input 2 2 4 2 4 2 3 2" xfId="20614" xr:uid="{00000000-0005-0000-0000-0000B54F0000}"/>
    <cellStyle name="Input 2 2 4 2 4 2 4" xfId="20615" xr:uid="{00000000-0005-0000-0000-0000B64F0000}"/>
    <cellStyle name="Input 2 2 4 2 4 2 5" xfId="20616" xr:uid="{00000000-0005-0000-0000-0000B74F0000}"/>
    <cellStyle name="Input 2 2 4 2 4 2 6" xfId="20617" xr:uid="{00000000-0005-0000-0000-0000B84F0000}"/>
    <cellStyle name="Input 2 2 4 2 4 3" xfId="20618" xr:uid="{00000000-0005-0000-0000-0000B94F0000}"/>
    <cellStyle name="Input 2 2 4 2 4 3 2" xfId="20619" xr:uid="{00000000-0005-0000-0000-0000BA4F0000}"/>
    <cellStyle name="Input 2 2 4 2 4 4" xfId="20620" xr:uid="{00000000-0005-0000-0000-0000BB4F0000}"/>
    <cellStyle name="Input 2 2 4 2 4 4 2" xfId="20621" xr:uid="{00000000-0005-0000-0000-0000BC4F0000}"/>
    <cellStyle name="Input 2 2 4 2 4 5" xfId="20622" xr:uid="{00000000-0005-0000-0000-0000BD4F0000}"/>
    <cellStyle name="Input 2 2 4 2 4 6" xfId="20623" xr:uid="{00000000-0005-0000-0000-0000BE4F0000}"/>
    <cellStyle name="Input 2 2 4 2 4 7" xfId="20624" xr:uid="{00000000-0005-0000-0000-0000BF4F0000}"/>
    <cellStyle name="Input 2 2 4 2 5" xfId="20625" xr:uid="{00000000-0005-0000-0000-0000C04F0000}"/>
    <cellStyle name="Input 2 2 4 2 5 2" xfId="20626" xr:uid="{00000000-0005-0000-0000-0000C14F0000}"/>
    <cellStyle name="Input 2 2 4 2 5 2 2" xfId="20627" xr:uid="{00000000-0005-0000-0000-0000C24F0000}"/>
    <cellStyle name="Input 2 2 4 2 5 3" xfId="20628" xr:uid="{00000000-0005-0000-0000-0000C34F0000}"/>
    <cellStyle name="Input 2 2 4 2 5 3 2" xfId="20629" xr:uid="{00000000-0005-0000-0000-0000C44F0000}"/>
    <cellStyle name="Input 2 2 4 2 5 4" xfId="20630" xr:uid="{00000000-0005-0000-0000-0000C54F0000}"/>
    <cellStyle name="Input 2 2 4 2 5 5" xfId="20631" xr:uid="{00000000-0005-0000-0000-0000C64F0000}"/>
    <cellStyle name="Input 2 2 4 2 5 6" xfId="20632" xr:uid="{00000000-0005-0000-0000-0000C74F0000}"/>
    <cellStyle name="Input 2 2 4 2 6" xfId="20633" xr:uid="{00000000-0005-0000-0000-0000C84F0000}"/>
    <cellStyle name="Input 2 2 4 2 6 2" xfId="20634" xr:uid="{00000000-0005-0000-0000-0000C94F0000}"/>
    <cellStyle name="Input 2 2 4 2 7" xfId="20635" xr:uid="{00000000-0005-0000-0000-0000CA4F0000}"/>
    <cellStyle name="Input 2 2 4 2 7 2" xfId="20636" xr:uid="{00000000-0005-0000-0000-0000CB4F0000}"/>
    <cellStyle name="Input 2 2 4 2 8" xfId="20637" xr:uid="{00000000-0005-0000-0000-0000CC4F0000}"/>
    <cellStyle name="Input 2 2 4 2 9" xfId="20638" xr:uid="{00000000-0005-0000-0000-0000CD4F0000}"/>
    <cellStyle name="Input 2 2 4 3" xfId="20639" xr:uid="{00000000-0005-0000-0000-0000CE4F0000}"/>
    <cellStyle name="Input 2 2 4 3 10" xfId="20640" xr:uid="{00000000-0005-0000-0000-0000CF4F0000}"/>
    <cellStyle name="Input 2 2 4 3 2" xfId="20641" xr:uid="{00000000-0005-0000-0000-0000D04F0000}"/>
    <cellStyle name="Input 2 2 4 3 2 2" xfId="20642" xr:uid="{00000000-0005-0000-0000-0000D14F0000}"/>
    <cellStyle name="Input 2 2 4 3 2 2 2" xfId="20643" xr:uid="{00000000-0005-0000-0000-0000D24F0000}"/>
    <cellStyle name="Input 2 2 4 3 2 2 2 2" xfId="20644" xr:uid="{00000000-0005-0000-0000-0000D34F0000}"/>
    <cellStyle name="Input 2 2 4 3 2 2 2 2 2" xfId="20645" xr:uid="{00000000-0005-0000-0000-0000D44F0000}"/>
    <cellStyle name="Input 2 2 4 3 2 2 2 3" xfId="20646" xr:uid="{00000000-0005-0000-0000-0000D54F0000}"/>
    <cellStyle name="Input 2 2 4 3 2 2 2 3 2" xfId="20647" xr:uid="{00000000-0005-0000-0000-0000D64F0000}"/>
    <cellStyle name="Input 2 2 4 3 2 2 2 4" xfId="20648" xr:uid="{00000000-0005-0000-0000-0000D74F0000}"/>
    <cellStyle name="Input 2 2 4 3 2 2 2 5" xfId="20649" xr:uid="{00000000-0005-0000-0000-0000D84F0000}"/>
    <cellStyle name="Input 2 2 4 3 2 2 2 6" xfId="20650" xr:uid="{00000000-0005-0000-0000-0000D94F0000}"/>
    <cellStyle name="Input 2 2 4 3 2 2 3" xfId="20651" xr:uid="{00000000-0005-0000-0000-0000DA4F0000}"/>
    <cellStyle name="Input 2 2 4 3 2 2 3 2" xfId="20652" xr:uid="{00000000-0005-0000-0000-0000DB4F0000}"/>
    <cellStyle name="Input 2 2 4 3 2 2 4" xfId="20653" xr:uid="{00000000-0005-0000-0000-0000DC4F0000}"/>
    <cellStyle name="Input 2 2 4 3 2 2 4 2" xfId="20654" xr:uid="{00000000-0005-0000-0000-0000DD4F0000}"/>
    <cellStyle name="Input 2 2 4 3 2 2 5" xfId="20655" xr:uid="{00000000-0005-0000-0000-0000DE4F0000}"/>
    <cellStyle name="Input 2 2 4 3 2 2 6" xfId="20656" xr:uid="{00000000-0005-0000-0000-0000DF4F0000}"/>
    <cellStyle name="Input 2 2 4 3 2 2 7" xfId="20657" xr:uid="{00000000-0005-0000-0000-0000E04F0000}"/>
    <cellStyle name="Input 2 2 4 3 2 3" xfId="20658" xr:uid="{00000000-0005-0000-0000-0000E14F0000}"/>
    <cellStyle name="Input 2 2 4 3 2 3 2" xfId="20659" xr:uid="{00000000-0005-0000-0000-0000E24F0000}"/>
    <cellStyle name="Input 2 2 4 3 2 3 2 2" xfId="20660" xr:uid="{00000000-0005-0000-0000-0000E34F0000}"/>
    <cellStyle name="Input 2 2 4 3 2 3 3" xfId="20661" xr:uid="{00000000-0005-0000-0000-0000E44F0000}"/>
    <cellStyle name="Input 2 2 4 3 2 3 3 2" xfId="20662" xr:uid="{00000000-0005-0000-0000-0000E54F0000}"/>
    <cellStyle name="Input 2 2 4 3 2 3 4" xfId="20663" xr:uid="{00000000-0005-0000-0000-0000E64F0000}"/>
    <cellStyle name="Input 2 2 4 3 2 3 5" xfId="20664" xr:uid="{00000000-0005-0000-0000-0000E74F0000}"/>
    <cellStyle name="Input 2 2 4 3 2 3 6" xfId="20665" xr:uid="{00000000-0005-0000-0000-0000E84F0000}"/>
    <cellStyle name="Input 2 2 4 3 2 4" xfId="20666" xr:uid="{00000000-0005-0000-0000-0000E94F0000}"/>
    <cellStyle name="Input 2 2 4 3 2 4 2" xfId="20667" xr:uid="{00000000-0005-0000-0000-0000EA4F0000}"/>
    <cellStyle name="Input 2 2 4 3 2 5" xfId="20668" xr:uid="{00000000-0005-0000-0000-0000EB4F0000}"/>
    <cellStyle name="Input 2 2 4 3 2 5 2" xfId="20669" xr:uid="{00000000-0005-0000-0000-0000EC4F0000}"/>
    <cellStyle name="Input 2 2 4 3 2 6" xfId="20670" xr:uid="{00000000-0005-0000-0000-0000ED4F0000}"/>
    <cellStyle name="Input 2 2 4 3 2 7" xfId="20671" xr:uid="{00000000-0005-0000-0000-0000EE4F0000}"/>
    <cellStyle name="Input 2 2 4 3 2 8" xfId="20672" xr:uid="{00000000-0005-0000-0000-0000EF4F0000}"/>
    <cellStyle name="Input 2 2 4 3 3" xfId="20673" xr:uid="{00000000-0005-0000-0000-0000F04F0000}"/>
    <cellStyle name="Input 2 2 4 3 3 2" xfId="20674" xr:uid="{00000000-0005-0000-0000-0000F14F0000}"/>
    <cellStyle name="Input 2 2 4 3 3 2 2" xfId="20675" xr:uid="{00000000-0005-0000-0000-0000F24F0000}"/>
    <cellStyle name="Input 2 2 4 3 3 2 2 2" xfId="20676" xr:uid="{00000000-0005-0000-0000-0000F34F0000}"/>
    <cellStyle name="Input 2 2 4 3 3 2 2 2 2" xfId="20677" xr:uid="{00000000-0005-0000-0000-0000F44F0000}"/>
    <cellStyle name="Input 2 2 4 3 3 2 2 3" xfId="20678" xr:uid="{00000000-0005-0000-0000-0000F54F0000}"/>
    <cellStyle name="Input 2 2 4 3 3 2 2 3 2" xfId="20679" xr:uid="{00000000-0005-0000-0000-0000F64F0000}"/>
    <cellStyle name="Input 2 2 4 3 3 2 2 4" xfId="20680" xr:uid="{00000000-0005-0000-0000-0000F74F0000}"/>
    <cellStyle name="Input 2 2 4 3 3 2 2 5" xfId="20681" xr:uid="{00000000-0005-0000-0000-0000F84F0000}"/>
    <cellStyle name="Input 2 2 4 3 3 2 2 6" xfId="20682" xr:uid="{00000000-0005-0000-0000-0000F94F0000}"/>
    <cellStyle name="Input 2 2 4 3 3 2 3" xfId="20683" xr:uid="{00000000-0005-0000-0000-0000FA4F0000}"/>
    <cellStyle name="Input 2 2 4 3 3 2 3 2" xfId="20684" xr:uid="{00000000-0005-0000-0000-0000FB4F0000}"/>
    <cellStyle name="Input 2 2 4 3 3 2 4" xfId="20685" xr:uid="{00000000-0005-0000-0000-0000FC4F0000}"/>
    <cellStyle name="Input 2 2 4 3 3 2 4 2" xfId="20686" xr:uid="{00000000-0005-0000-0000-0000FD4F0000}"/>
    <cellStyle name="Input 2 2 4 3 3 2 5" xfId="20687" xr:uid="{00000000-0005-0000-0000-0000FE4F0000}"/>
    <cellStyle name="Input 2 2 4 3 3 2 6" xfId="20688" xr:uid="{00000000-0005-0000-0000-0000FF4F0000}"/>
    <cellStyle name="Input 2 2 4 3 3 2 7" xfId="20689" xr:uid="{00000000-0005-0000-0000-000000500000}"/>
    <cellStyle name="Input 2 2 4 3 3 3" xfId="20690" xr:uid="{00000000-0005-0000-0000-000001500000}"/>
    <cellStyle name="Input 2 2 4 3 3 3 2" xfId="20691" xr:uid="{00000000-0005-0000-0000-000002500000}"/>
    <cellStyle name="Input 2 2 4 3 3 3 2 2" xfId="20692" xr:uid="{00000000-0005-0000-0000-000003500000}"/>
    <cellStyle name="Input 2 2 4 3 3 3 3" xfId="20693" xr:uid="{00000000-0005-0000-0000-000004500000}"/>
    <cellStyle name="Input 2 2 4 3 3 3 3 2" xfId="20694" xr:uid="{00000000-0005-0000-0000-000005500000}"/>
    <cellStyle name="Input 2 2 4 3 3 3 4" xfId="20695" xr:uid="{00000000-0005-0000-0000-000006500000}"/>
    <cellStyle name="Input 2 2 4 3 3 3 5" xfId="20696" xr:uid="{00000000-0005-0000-0000-000007500000}"/>
    <cellStyle name="Input 2 2 4 3 3 3 6" xfId="20697" xr:uid="{00000000-0005-0000-0000-000008500000}"/>
    <cellStyle name="Input 2 2 4 3 3 4" xfId="20698" xr:uid="{00000000-0005-0000-0000-000009500000}"/>
    <cellStyle name="Input 2 2 4 3 3 4 2" xfId="20699" xr:uid="{00000000-0005-0000-0000-00000A500000}"/>
    <cellStyle name="Input 2 2 4 3 3 5" xfId="20700" xr:uid="{00000000-0005-0000-0000-00000B500000}"/>
    <cellStyle name="Input 2 2 4 3 3 5 2" xfId="20701" xr:uid="{00000000-0005-0000-0000-00000C500000}"/>
    <cellStyle name="Input 2 2 4 3 3 6" xfId="20702" xr:uid="{00000000-0005-0000-0000-00000D500000}"/>
    <cellStyle name="Input 2 2 4 3 3 7" xfId="20703" xr:uid="{00000000-0005-0000-0000-00000E500000}"/>
    <cellStyle name="Input 2 2 4 3 3 8" xfId="20704" xr:uid="{00000000-0005-0000-0000-00000F500000}"/>
    <cellStyle name="Input 2 2 4 3 4" xfId="20705" xr:uid="{00000000-0005-0000-0000-000010500000}"/>
    <cellStyle name="Input 2 2 4 3 4 2" xfId="20706" xr:uid="{00000000-0005-0000-0000-000011500000}"/>
    <cellStyle name="Input 2 2 4 3 4 2 2" xfId="20707" xr:uid="{00000000-0005-0000-0000-000012500000}"/>
    <cellStyle name="Input 2 2 4 3 4 2 2 2" xfId="20708" xr:uid="{00000000-0005-0000-0000-000013500000}"/>
    <cellStyle name="Input 2 2 4 3 4 2 3" xfId="20709" xr:uid="{00000000-0005-0000-0000-000014500000}"/>
    <cellStyle name="Input 2 2 4 3 4 2 3 2" xfId="20710" xr:uid="{00000000-0005-0000-0000-000015500000}"/>
    <cellStyle name="Input 2 2 4 3 4 2 4" xfId="20711" xr:uid="{00000000-0005-0000-0000-000016500000}"/>
    <cellStyle name="Input 2 2 4 3 4 2 5" xfId="20712" xr:uid="{00000000-0005-0000-0000-000017500000}"/>
    <cellStyle name="Input 2 2 4 3 4 2 6" xfId="20713" xr:uid="{00000000-0005-0000-0000-000018500000}"/>
    <cellStyle name="Input 2 2 4 3 4 3" xfId="20714" xr:uid="{00000000-0005-0000-0000-000019500000}"/>
    <cellStyle name="Input 2 2 4 3 4 3 2" xfId="20715" xr:uid="{00000000-0005-0000-0000-00001A500000}"/>
    <cellStyle name="Input 2 2 4 3 4 4" xfId="20716" xr:uid="{00000000-0005-0000-0000-00001B500000}"/>
    <cellStyle name="Input 2 2 4 3 4 4 2" xfId="20717" xr:uid="{00000000-0005-0000-0000-00001C500000}"/>
    <cellStyle name="Input 2 2 4 3 4 5" xfId="20718" xr:uid="{00000000-0005-0000-0000-00001D500000}"/>
    <cellStyle name="Input 2 2 4 3 4 6" xfId="20719" xr:uid="{00000000-0005-0000-0000-00001E500000}"/>
    <cellStyle name="Input 2 2 4 3 4 7" xfId="20720" xr:uid="{00000000-0005-0000-0000-00001F500000}"/>
    <cellStyle name="Input 2 2 4 3 5" xfId="20721" xr:uid="{00000000-0005-0000-0000-000020500000}"/>
    <cellStyle name="Input 2 2 4 3 5 2" xfId="20722" xr:uid="{00000000-0005-0000-0000-000021500000}"/>
    <cellStyle name="Input 2 2 4 3 5 2 2" xfId="20723" xr:uid="{00000000-0005-0000-0000-000022500000}"/>
    <cellStyle name="Input 2 2 4 3 5 3" xfId="20724" xr:uid="{00000000-0005-0000-0000-000023500000}"/>
    <cellStyle name="Input 2 2 4 3 5 3 2" xfId="20725" xr:uid="{00000000-0005-0000-0000-000024500000}"/>
    <cellStyle name="Input 2 2 4 3 5 4" xfId="20726" xr:uid="{00000000-0005-0000-0000-000025500000}"/>
    <cellStyle name="Input 2 2 4 3 5 5" xfId="20727" xr:uid="{00000000-0005-0000-0000-000026500000}"/>
    <cellStyle name="Input 2 2 4 3 5 6" xfId="20728" xr:uid="{00000000-0005-0000-0000-000027500000}"/>
    <cellStyle name="Input 2 2 4 3 6" xfId="20729" xr:uid="{00000000-0005-0000-0000-000028500000}"/>
    <cellStyle name="Input 2 2 4 3 6 2" xfId="20730" xr:uid="{00000000-0005-0000-0000-000029500000}"/>
    <cellStyle name="Input 2 2 4 3 7" xfId="20731" xr:uid="{00000000-0005-0000-0000-00002A500000}"/>
    <cellStyle name="Input 2 2 4 3 7 2" xfId="20732" xr:uid="{00000000-0005-0000-0000-00002B500000}"/>
    <cellStyle name="Input 2 2 4 3 8" xfId="20733" xr:uid="{00000000-0005-0000-0000-00002C500000}"/>
    <cellStyle name="Input 2 2 4 3 9" xfId="20734" xr:uid="{00000000-0005-0000-0000-00002D500000}"/>
    <cellStyle name="Input 2 2 4 4" xfId="20735" xr:uid="{00000000-0005-0000-0000-00002E500000}"/>
    <cellStyle name="Input 2 2 4 4 2" xfId="20736" xr:uid="{00000000-0005-0000-0000-00002F500000}"/>
    <cellStyle name="Input 2 2 4 4 2 2" xfId="20737" xr:uid="{00000000-0005-0000-0000-000030500000}"/>
    <cellStyle name="Input 2 2 4 4 2 2 2" xfId="20738" xr:uid="{00000000-0005-0000-0000-000031500000}"/>
    <cellStyle name="Input 2 2 4 4 2 2 2 2" xfId="20739" xr:uid="{00000000-0005-0000-0000-000032500000}"/>
    <cellStyle name="Input 2 2 4 4 2 2 3" xfId="20740" xr:uid="{00000000-0005-0000-0000-000033500000}"/>
    <cellStyle name="Input 2 2 4 4 2 2 3 2" xfId="20741" xr:uid="{00000000-0005-0000-0000-000034500000}"/>
    <cellStyle name="Input 2 2 4 4 2 2 4" xfId="20742" xr:uid="{00000000-0005-0000-0000-000035500000}"/>
    <cellStyle name="Input 2 2 4 4 2 2 5" xfId="20743" xr:uid="{00000000-0005-0000-0000-000036500000}"/>
    <cellStyle name="Input 2 2 4 4 2 2 6" xfId="20744" xr:uid="{00000000-0005-0000-0000-000037500000}"/>
    <cellStyle name="Input 2 2 4 4 2 3" xfId="20745" xr:uid="{00000000-0005-0000-0000-000038500000}"/>
    <cellStyle name="Input 2 2 4 4 2 3 2" xfId="20746" xr:uid="{00000000-0005-0000-0000-000039500000}"/>
    <cellStyle name="Input 2 2 4 4 2 4" xfId="20747" xr:uid="{00000000-0005-0000-0000-00003A500000}"/>
    <cellStyle name="Input 2 2 4 4 2 4 2" xfId="20748" xr:uid="{00000000-0005-0000-0000-00003B500000}"/>
    <cellStyle name="Input 2 2 4 4 2 5" xfId="20749" xr:uid="{00000000-0005-0000-0000-00003C500000}"/>
    <cellStyle name="Input 2 2 4 4 2 6" xfId="20750" xr:uid="{00000000-0005-0000-0000-00003D500000}"/>
    <cellStyle name="Input 2 2 4 4 2 7" xfId="20751" xr:uid="{00000000-0005-0000-0000-00003E500000}"/>
    <cellStyle name="Input 2 2 4 4 3" xfId="20752" xr:uid="{00000000-0005-0000-0000-00003F500000}"/>
    <cellStyle name="Input 2 2 4 4 3 2" xfId="20753" xr:uid="{00000000-0005-0000-0000-000040500000}"/>
    <cellStyle name="Input 2 2 4 4 3 2 2" xfId="20754" xr:uid="{00000000-0005-0000-0000-000041500000}"/>
    <cellStyle name="Input 2 2 4 4 3 3" xfId="20755" xr:uid="{00000000-0005-0000-0000-000042500000}"/>
    <cellStyle name="Input 2 2 4 4 3 3 2" xfId="20756" xr:uid="{00000000-0005-0000-0000-000043500000}"/>
    <cellStyle name="Input 2 2 4 4 3 4" xfId="20757" xr:uid="{00000000-0005-0000-0000-000044500000}"/>
    <cellStyle name="Input 2 2 4 4 3 5" xfId="20758" xr:uid="{00000000-0005-0000-0000-000045500000}"/>
    <cellStyle name="Input 2 2 4 4 3 6" xfId="20759" xr:uid="{00000000-0005-0000-0000-000046500000}"/>
    <cellStyle name="Input 2 2 4 4 4" xfId="20760" xr:uid="{00000000-0005-0000-0000-000047500000}"/>
    <cellStyle name="Input 2 2 4 4 4 2" xfId="20761" xr:uid="{00000000-0005-0000-0000-000048500000}"/>
    <cellStyle name="Input 2 2 4 4 5" xfId="20762" xr:uid="{00000000-0005-0000-0000-000049500000}"/>
    <cellStyle name="Input 2 2 4 4 5 2" xfId="20763" xr:uid="{00000000-0005-0000-0000-00004A500000}"/>
    <cellStyle name="Input 2 2 4 4 6" xfId="20764" xr:uid="{00000000-0005-0000-0000-00004B500000}"/>
    <cellStyle name="Input 2 2 4 4 7" xfId="20765" xr:uid="{00000000-0005-0000-0000-00004C500000}"/>
    <cellStyle name="Input 2 2 4 4 8" xfId="20766" xr:uid="{00000000-0005-0000-0000-00004D500000}"/>
    <cellStyle name="Input 2 2 4 5" xfId="20767" xr:uid="{00000000-0005-0000-0000-00004E500000}"/>
    <cellStyle name="Input 2 2 4 5 2" xfId="20768" xr:uid="{00000000-0005-0000-0000-00004F500000}"/>
    <cellStyle name="Input 2 2 4 5 2 2" xfId="20769" xr:uid="{00000000-0005-0000-0000-000050500000}"/>
    <cellStyle name="Input 2 2 4 5 2 2 2" xfId="20770" xr:uid="{00000000-0005-0000-0000-000051500000}"/>
    <cellStyle name="Input 2 2 4 5 2 3" xfId="20771" xr:uid="{00000000-0005-0000-0000-000052500000}"/>
    <cellStyle name="Input 2 2 4 5 2 3 2" xfId="20772" xr:uid="{00000000-0005-0000-0000-000053500000}"/>
    <cellStyle name="Input 2 2 4 5 2 4" xfId="20773" xr:uid="{00000000-0005-0000-0000-000054500000}"/>
    <cellStyle name="Input 2 2 4 5 2 5" xfId="20774" xr:uid="{00000000-0005-0000-0000-000055500000}"/>
    <cellStyle name="Input 2 2 4 5 2 6" xfId="20775" xr:uid="{00000000-0005-0000-0000-000056500000}"/>
    <cellStyle name="Input 2 2 4 5 3" xfId="20776" xr:uid="{00000000-0005-0000-0000-000057500000}"/>
    <cellStyle name="Input 2 2 4 5 3 2" xfId="20777" xr:uid="{00000000-0005-0000-0000-000058500000}"/>
    <cellStyle name="Input 2 2 4 5 4" xfId="20778" xr:uid="{00000000-0005-0000-0000-000059500000}"/>
    <cellStyle name="Input 2 2 4 5 4 2" xfId="20779" xr:uid="{00000000-0005-0000-0000-00005A500000}"/>
    <cellStyle name="Input 2 2 4 5 5" xfId="20780" xr:uid="{00000000-0005-0000-0000-00005B500000}"/>
    <cellStyle name="Input 2 2 4 5 6" xfId="20781" xr:uid="{00000000-0005-0000-0000-00005C500000}"/>
    <cellStyle name="Input 2 2 4 5 7" xfId="20782" xr:uid="{00000000-0005-0000-0000-00005D500000}"/>
    <cellStyle name="Input 2 2 4 6" xfId="20783" xr:uid="{00000000-0005-0000-0000-00005E500000}"/>
    <cellStyle name="Input 2 2 4 6 2" xfId="20784" xr:uid="{00000000-0005-0000-0000-00005F500000}"/>
    <cellStyle name="Input 2 2 4 6 2 2" xfId="20785" xr:uid="{00000000-0005-0000-0000-000060500000}"/>
    <cellStyle name="Input 2 2 4 6 3" xfId="20786" xr:uid="{00000000-0005-0000-0000-000061500000}"/>
    <cellStyle name="Input 2 2 4 6 3 2" xfId="20787" xr:uid="{00000000-0005-0000-0000-000062500000}"/>
    <cellStyle name="Input 2 2 4 6 4" xfId="20788" xr:uid="{00000000-0005-0000-0000-000063500000}"/>
    <cellStyle name="Input 2 2 4 6 5" xfId="20789" xr:uid="{00000000-0005-0000-0000-000064500000}"/>
    <cellStyle name="Input 2 2 4 6 6" xfId="20790" xr:uid="{00000000-0005-0000-0000-000065500000}"/>
    <cellStyle name="Input 2 2 4 7" xfId="20791" xr:uid="{00000000-0005-0000-0000-000066500000}"/>
    <cellStyle name="Input 2 2 4 7 2" xfId="20792" xr:uid="{00000000-0005-0000-0000-000067500000}"/>
    <cellStyle name="Input 2 2 4 8" xfId="20793" xr:uid="{00000000-0005-0000-0000-000068500000}"/>
    <cellStyle name="Input 2 2 4 8 2" xfId="20794" xr:uid="{00000000-0005-0000-0000-000069500000}"/>
    <cellStyle name="Input 2 2 4 9" xfId="20795" xr:uid="{00000000-0005-0000-0000-00006A500000}"/>
    <cellStyle name="Input 2 2 5" xfId="20796" xr:uid="{00000000-0005-0000-0000-00006B500000}"/>
    <cellStyle name="Input 2 2 5 10" xfId="20797" xr:uid="{00000000-0005-0000-0000-00006C500000}"/>
    <cellStyle name="Input 2 2 5 2" xfId="20798" xr:uid="{00000000-0005-0000-0000-00006D500000}"/>
    <cellStyle name="Input 2 2 5 2 2" xfId="20799" xr:uid="{00000000-0005-0000-0000-00006E500000}"/>
    <cellStyle name="Input 2 2 5 2 2 2" xfId="20800" xr:uid="{00000000-0005-0000-0000-00006F500000}"/>
    <cellStyle name="Input 2 2 5 2 2 2 2" xfId="20801" xr:uid="{00000000-0005-0000-0000-000070500000}"/>
    <cellStyle name="Input 2 2 5 2 2 2 2 2" xfId="20802" xr:uid="{00000000-0005-0000-0000-000071500000}"/>
    <cellStyle name="Input 2 2 5 2 2 2 3" xfId="20803" xr:uid="{00000000-0005-0000-0000-000072500000}"/>
    <cellStyle name="Input 2 2 5 2 2 2 3 2" xfId="20804" xr:uid="{00000000-0005-0000-0000-000073500000}"/>
    <cellStyle name="Input 2 2 5 2 2 2 4" xfId="20805" xr:uid="{00000000-0005-0000-0000-000074500000}"/>
    <cellStyle name="Input 2 2 5 2 2 2 5" xfId="20806" xr:uid="{00000000-0005-0000-0000-000075500000}"/>
    <cellStyle name="Input 2 2 5 2 2 2 6" xfId="20807" xr:uid="{00000000-0005-0000-0000-000076500000}"/>
    <cellStyle name="Input 2 2 5 2 2 3" xfId="20808" xr:uid="{00000000-0005-0000-0000-000077500000}"/>
    <cellStyle name="Input 2 2 5 2 2 3 2" xfId="20809" xr:uid="{00000000-0005-0000-0000-000078500000}"/>
    <cellStyle name="Input 2 2 5 2 2 4" xfId="20810" xr:uid="{00000000-0005-0000-0000-000079500000}"/>
    <cellStyle name="Input 2 2 5 2 2 4 2" xfId="20811" xr:uid="{00000000-0005-0000-0000-00007A500000}"/>
    <cellStyle name="Input 2 2 5 2 2 5" xfId="20812" xr:uid="{00000000-0005-0000-0000-00007B500000}"/>
    <cellStyle name="Input 2 2 5 2 2 6" xfId="20813" xr:uid="{00000000-0005-0000-0000-00007C500000}"/>
    <cellStyle name="Input 2 2 5 2 2 7" xfId="20814" xr:uid="{00000000-0005-0000-0000-00007D500000}"/>
    <cellStyle name="Input 2 2 5 2 3" xfId="20815" xr:uid="{00000000-0005-0000-0000-00007E500000}"/>
    <cellStyle name="Input 2 2 5 2 3 2" xfId="20816" xr:uid="{00000000-0005-0000-0000-00007F500000}"/>
    <cellStyle name="Input 2 2 5 2 3 2 2" xfId="20817" xr:uid="{00000000-0005-0000-0000-000080500000}"/>
    <cellStyle name="Input 2 2 5 2 3 3" xfId="20818" xr:uid="{00000000-0005-0000-0000-000081500000}"/>
    <cellStyle name="Input 2 2 5 2 3 3 2" xfId="20819" xr:uid="{00000000-0005-0000-0000-000082500000}"/>
    <cellStyle name="Input 2 2 5 2 3 4" xfId="20820" xr:uid="{00000000-0005-0000-0000-000083500000}"/>
    <cellStyle name="Input 2 2 5 2 3 5" xfId="20821" xr:uid="{00000000-0005-0000-0000-000084500000}"/>
    <cellStyle name="Input 2 2 5 2 3 6" xfId="20822" xr:uid="{00000000-0005-0000-0000-000085500000}"/>
    <cellStyle name="Input 2 2 5 2 4" xfId="20823" xr:uid="{00000000-0005-0000-0000-000086500000}"/>
    <cellStyle name="Input 2 2 5 2 4 2" xfId="20824" xr:uid="{00000000-0005-0000-0000-000087500000}"/>
    <cellStyle name="Input 2 2 5 2 5" xfId="20825" xr:uid="{00000000-0005-0000-0000-000088500000}"/>
    <cellStyle name="Input 2 2 5 2 5 2" xfId="20826" xr:uid="{00000000-0005-0000-0000-000089500000}"/>
    <cellStyle name="Input 2 2 5 2 6" xfId="20827" xr:uid="{00000000-0005-0000-0000-00008A500000}"/>
    <cellStyle name="Input 2 2 5 2 7" xfId="20828" xr:uid="{00000000-0005-0000-0000-00008B500000}"/>
    <cellStyle name="Input 2 2 5 2 8" xfId="20829" xr:uid="{00000000-0005-0000-0000-00008C500000}"/>
    <cellStyle name="Input 2 2 5 3" xfId="20830" xr:uid="{00000000-0005-0000-0000-00008D500000}"/>
    <cellStyle name="Input 2 2 5 3 2" xfId="20831" xr:uid="{00000000-0005-0000-0000-00008E500000}"/>
    <cellStyle name="Input 2 2 5 3 2 2" xfId="20832" xr:uid="{00000000-0005-0000-0000-00008F500000}"/>
    <cellStyle name="Input 2 2 5 3 2 2 2" xfId="20833" xr:uid="{00000000-0005-0000-0000-000090500000}"/>
    <cellStyle name="Input 2 2 5 3 2 2 2 2" xfId="20834" xr:uid="{00000000-0005-0000-0000-000091500000}"/>
    <cellStyle name="Input 2 2 5 3 2 2 3" xfId="20835" xr:uid="{00000000-0005-0000-0000-000092500000}"/>
    <cellStyle name="Input 2 2 5 3 2 2 3 2" xfId="20836" xr:uid="{00000000-0005-0000-0000-000093500000}"/>
    <cellStyle name="Input 2 2 5 3 2 2 4" xfId="20837" xr:uid="{00000000-0005-0000-0000-000094500000}"/>
    <cellStyle name="Input 2 2 5 3 2 2 5" xfId="20838" xr:uid="{00000000-0005-0000-0000-000095500000}"/>
    <cellStyle name="Input 2 2 5 3 2 2 6" xfId="20839" xr:uid="{00000000-0005-0000-0000-000096500000}"/>
    <cellStyle name="Input 2 2 5 3 2 3" xfId="20840" xr:uid="{00000000-0005-0000-0000-000097500000}"/>
    <cellStyle name="Input 2 2 5 3 2 3 2" xfId="20841" xr:uid="{00000000-0005-0000-0000-000098500000}"/>
    <cellStyle name="Input 2 2 5 3 2 4" xfId="20842" xr:uid="{00000000-0005-0000-0000-000099500000}"/>
    <cellStyle name="Input 2 2 5 3 2 4 2" xfId="20843" xr:uid="{00000000-0005-0000-0000-00009A500000}"/>
    <cellStyle name="Input 2 2 5 3 2 5" xfId="20844" xr:uid="{00000000-0005-0000-0000-00009B500000}"/>
    <cellStyle name="Input 2 2 5 3 2 6" xfId="20845" xr:uid="{00000000-0005-0000-0000-00009C500000}"/>
    <cellStyle name="Input 2 2 5 3 2 7" xfId="20846" xr:uid="{00000000-0005-0000-0000-00009D500000}"/>
    <cellStyle name="Input 2 2 5 3 3" xfId="20847" xr:uid="{00000000-0005-0000-0000-00009E500000}"/>
    <cellStyle name="Input 2 2 5 3 3 2" xfId="20848" xr:uid="{00000000-0005-0000-0000-00009F500000}"/>
    <cellStyle name="Input 2 2 5 3 3 2 2" xfId="20849" xr:uid="{00000000-0005-0000-0000-0000A0500000}"/>
    <cellStyle name="Input 2 2 5 3 3 3" xfId="20850" xr:uid="{00000000-0005-0000-0000-0000A1500000}"/>
    <cellStyle name="Input 2 2 5 3 3 3 2" xfId="20851" xr:uid="{00000000-0005-0000-0000-0000A2500000}"/>
    <cellStyle name="Input 2 2 5 3 3 4" xfId="20852" xr:uid="{00000000-0005-0000-0000-0000A3500000}"/>
    <cellStyle name="Input 2 2 5 3 3 5" xfId="20853" xr:uid="{00000000-0005-0000-0000-0000A4500000}"/>
    <cellStyle name="Input 2 2 5 3 3 6" xfId="20854" xr:uid="{00000000-0005-0000-0000-0000A5500000}"/>
    <cellStyle name="Input 2 2 5 3 4" xfId="20855" xr:uid="{00000000-0005-0000-0000-0000A6500000}"/>
    <cellStyle name="Input 2 2 5 3 4 2" xfId="20856" xr:uid="{00000000-0005-0000-0000-0000A7500000}"/>
    <cellStyle name="Input 2 2 5 3 5" xfId="20857" xr:uid="{00000000-0005-0000-0000-0000A8500000}"/>
    <cellStyle name="Input 2 2 5 3 5 2" xfId="20858" xr:uid="{00000000-0005-0000-0000-0000A9500000}"/>
    <cellStyle name="Input 2 2 5 3 6" xfId="20859" xr:uid="{00000000-0005-0000-0000-0000AA500000}"/>
    <cellStyle name="Input 2 2 5 3 7" xfId="20860" xr:uid="{00000000-0005-0000-0000-0000AB500000}"/>
    <cellStyle name="Input 2 2 5 3 8" xfId="20861" xr:uid="{00000000-0005-0000-0000-0000AC500000}"/>
    <cellStyle name="Input 2 2 5 4" xfId="20862" xr:uid="{00000000-0005-0000-0000-0000AD500000}"/>
    <cellStyle name="Input 2 2 5 4 2" xfId="20863" xr:uid="{00000000-0005-0000-0000-0000AE500000}"/>
    <cellStyle name="Input 2 2 5 4 2 2" xfId="20864" xr:uid="{00000000-0005-0000-0000-0000AF500000}"/>
    <cellStyle name="Input 2 2 5 4 2 2 2" xfId="20865" xr:uid="{00000000-0005-0000-0000-0000B0500000}"/>
    <cellStyle name="Input 2 2 5 4 2 3" xfId="20866" xr:uid="{00000000-0005-0000-0000-0000B1500000}"/>
    <cellStyle name="Input 2 2 5 4 2 3 2" xfId="20867" xr:uid="{00000000-0005-0000-0000-0000B2500000}"/>
    <cellStyle name="Input 2 2 5 4 2 4" xfId="20868" xr:uid="{00000000-0005-0000-0000-0000B3500000}"/>
    <cellStyle name="Input 2 2 5 4 2 5" xfId="20869" xr:uid="{00000000-0005-0000-0000-0000B4500000}"/>
    <cellStyle name="Input 2 2 5 4 2 6" xfId="20870" xr:uid="{00000000-0005-0000-0000-0000B5500000}"/>
    <cellStyle name="Input 2 2 5 4 3" xfId="20871" xr:uid="{00000000-0005-0000-0000-0000B6500000}"/>
    <cellStyle name="Input 2 2 5 4 3 2" xfId="20872" xr:uid="{00000000-0005-0000-0000-0000B7500000}"/>
    <cellStyle name="Input 2 2 5 4 4" xfId="20873" xr:uid="{00000000-0005-0000-0000-0000B8500000}"/>
    <cellStyle name="Input 2 2 5 4 4 2" xfId="20874" xr:uid="{00000000-0005-0000-0000-0000B9500000}"/>
    <cellStyle name="Input 2 2 5 4 5" xfId="20875" xr:uid="{00000000-0005-0000-0000-0000BA500000}"/>
    <cellStyle name="Input 2 2 5 4 6" xfId="20876" xr:uid="{00000000-0005-0000-0000-0000BB500000}"/>
    <cellStyle name="Input 2 2 5 4 7" xfId="20877" xr:uid="{00000000-0005-0000-0000-0000BC500000}"/>
    <cellStyle name="Input 2 2 5 5" xfId="20878" xr:uid="{00000000-0005-0000-0000-0000BD500000}"/>
    <cellStyle name="Input 2 2 5 5 2" xfId="20879" xr:uid="{00000000-0005-0000-0000-0000BE500000}"/>
    <cellStyle name="Input 2 2 5 5 2 2" xfId="20880" xr:uid="{00000000-0005-0000-0000-0000BF500000}"/>
    <cellStyle name="Input 2 2 5 5 3" xfId="20881" xr:uid="{00000000-0005-0000-0000-0000C0500000}"/>
    <cellStyle name="Input 2 2 5 5 3 2" xfId="20882" xr:uid="{00000000-0005-0000-0000-0000C1500000}"/>
    <cellStyle name="Input 2 2 5 5 4" xfId="20883" xr:uid="{00000000-0005-0000-0000-0000C2500000}"/>
    <cellStyle name="Input 2 2 5 5 5" xfId="20884" xr:uid="{00000000-0005-0000-0000-0000C3500000}"/>
    <cellStyle name="Input 2 2 5 5 6" xfId="20885" xr:uid="{00000000-0005-0000-0000-0000C4500000}"/>
    <cellStyle name="Input 2 2 5 6" xfId="20886" xr:uid="{00000000-0005-0000-0000-0000C5500000}"/>
    <cellStyle name="Input 2 2 5 6 2" xfId="20887" xr:uid="{00000000-0005-0000-0000-0000C6500000}"/>
    <cellStyle name="Input 2 2 5 7" xfId="20888" xr:uid="{00000000-0005-0000-0000-0000C7500000}"/>
    <cellStyle name="Input 2 2 5 7 2" xfId="20889" xr:uid="{00000000-0005-0000-0000-0000C8500000}"/>
    <cellStyle name="Input 2 2 5 8" xfId="20890" xr:uid="{00000000-0005-0000-0000-0000C9500000}"/>
    <cellStyle name="Input 2 2 5 9" xfId="20891" xr:uid="{00000000-0005-0000-0000-0000CA500000}"/>
    <cellStyle name="Input 2 2 6" xfId="20892" xr:uid="{00000000-0005-0000-0000-0000CB500000}"/>
    <cellStyle name="Input 2 2 6 2" xfId="20893" xr:uid="{00000000-0005-0000-0000-0000CC500000}"/>
    <cellStyle name="Input 2 2 6 2 2" xfId="20894" xr:uid="{00000000-0005-0000-0000-0000CD500000}"/>
    <cellStyle name="Input 2 2 6 2 2 2" xfId="20895" xr:uid="{00000000-0005-0000-0000-0000CE500000}"/>
    <cellStyle name="Input 2 2 6 2 2 2 2" xfId="20896" xr:uid="{00000000-0005-0000-0000-0000CF500000}"/>
    <cellStyle name="Input 2 2 6 2 2 3" xfId="20897" xr:uid="{00000000-0005-0000-0000-0000D0500000}"/>
    <cellStyle name="Input 2 2 6 2 2 3 2" xfId="20898" xr:uid="{00000000-0005-0000-0000-0000D1500000}"/>
    <cellStyle name="Input 2 2 6 2 2 4" xfId="20899" xr:uid="{00000000-0005-0000-0000-0000D2500000}"/>
    <cellStyle name="Input 2 2 6 2 2 5" xfId="20900" xr:uid="{00000000-0005-0000-0000-0000D3500000}"/>
    <cellStyle name="Input 2 2 6 2 2 6" xfId="20901" xr:uid="{00000000-0005-0000-0000-0000D4500000}"/>
    <cellStyle name="Input 2 2 6 2 3" xfId="20902" xr:uid="{00000000-0005-0000-0000-0000D5500000}"/>
    <cellStyle name="Input 2 2 6 2 3 2" xfId="20903" xr:uid="{00000000-0005-0000-0000-0000D6500000}"/>
    <cellStyle name="Input 2 2 6 2 4" xfId="20904" xr:uid="{00000000-0005-0000-0000-0000D7500000}"/>
    <cellStyle name="Input 2 2 6 2 4 2" xfId="20905" xr:uid="{00000000-0005-0000-0000-0000D8500000}"/>
    <cellStyle name="Input 2 2 6 2 5" xfId="20906" xr:uid="{00000000-0005-0000-0000-0000D9500000}"/>
    <cellStyle name="Input 2 2 6 2 6" xfId="20907" xr:uid="{00000000-0005-0000-0000-0000DA500000}"/>
    <cellStyle name="Input 2 2 6 2 7" xfId="20908" xr:uid="{00000000-0005-0000-0000-0000DB500000}"/>
    <cellStyle name="Input 2 2 6 3" xfId="20909" xr:uid="{00000000-0005-0000-0000-0000DC500000}"/>
    <cellStyle name="Input 2 2 6 3 2" xfId="20910" xr:uid="{00000000-0005-0000-0000-0000DD500000}"/>
    <cellStyle name="Input 2 2 6 3 2 2" xfId="20911" xr:uid="{00000000-0005-0000-0000-0000DE500000}"/>
    <cellStyle name="Input 2 2 6 3 3" xfId="20912" xr:uid="{00000000-0005-0000-0000-0000DF500000}"/>
    <cellStyle name="Input 2 2 6 3 3 2" xfId="20913" xr:uid="{00000000-0005-0000-0000-0000E0500000}"/>
    <cellStyle name="Input 2 2 6 3 4" xfId="20914" xr:uid="{00000000-0005-0000-0000-0000E1500000}"/>
    <cellStyle name="Input 2 2 6 3 5" xfId="20915" xr:uid="{00000000-0005-0000-0000-0000E2500000}"/>
    <cellStyle name="Input 2 2 6 3 6" xfId="20916" xr:uid="{00000000-0005-0000-0000-0000E3500000}"/>
    <cellStyle name="Input 2 2 6 4" xfId="20917" xr:uid="{00000000-0005-0000-0000-0000E4500000}"/>
    <cellStyle name="Input 2 2 6 4 2" xfId="20918" xr:uid="{00000000-0005-0000-0000-0000E5500000}"/>
    <cellStyle name="Input 2 2 6 5" xfId="20919" xr:uid="{00000000-0005-0000-0000-0000E6500000}"/>
    <cellStyle name="Input 2 2 6 5 2" xfId="20920" xr:uid="{00000000-0005-0000-0000-0000E7500000}"/>
    <cellStyle name="Input 2 2 6 6" xfId="20921" xr:uid="{00000000-0005-0000-0000-0000E8500000}"/>
    <cellStyle name="Input 2 2 6 7" xfId="20922" xr:uid="{00000000-0005-0000-0000-0000E9500000}"/>
    <cellStyle name="Input 2 2 6 8" xfId="20923" xr:uid="{00000000-0005-0000-0000-0000EA500000}"/>
    <cellStyle name="Input 2 2 7" xfId="20924" xr:uid="{00000000-0005-0000-0000-0000EB500000}"/>
    <cellStyle name="Input 2 2 7 2" xfId="20925" xr:uid="{00000000-0005-0000-0000-0000EC500000}"/>
    <cellStyle name="Input 2 2 7 2 2" xfId="20926" xr:uid="{00000000-0005-0000-0000-0000ED500000}"/>
    <cellStyle name="Input 2 2 7 2 2 2" xfId="20927" xr:uid="{00000000-0005-0000-0000-0000EE500000}"/>
    <cellStyle name="Input 2 2 7 2 3" xfId="20928" xr:uid="{00000000-0005-0000-0000-0000EF500000}"/>
    <cellStyle name="Input 2 2 7 2 3 2" xfId="20929" xr:uid="{00000000-0005-0000-0000-0000F0500000}"/>
    <cellStyle name="Input 2 2 7 2 4" xfId="20930" xr:uid="{00000000-0005-0000-0000-0000F1500000}"/>
    <cellStyle name="Input 2 2 7 2 5" xfId="20931" xr:uid="{00000000-0005-0000-0000-0000F2500000}"/>
    <cellStyle name="Input 2 2 7 2 6" xfId="20932" xr:uid="{00000000-0005-0000-0000-0000F3500000}"/>
    <cellStyle name="Input 2 2 7 3" xfId="20933" xr:uid="{00000000-0005-0000-0000-0000F4500000}"/>
    <cellStyle name="Input 2 2 7 3 2" xfId="20934" xr:uid="{00000000-0005-0000-0000-0000F5500000}"/>
    <cellStyle name="Input 2 2 7 4" xfId="20935" xr:uid="{00000000-0005-0000-0000-0000F6500000}"/>
    <cellStyle name="Input 2 2 7 4 2" xfId="20936" xr:uid="{00000000-0005-0000-0000-0000F7500000}"/>
    <cellStyle name="Input 2 2 7 5" xfId="20937" xr:uid="{00000000-0005-0000-0000-0000F8500000}"/>
    <cellStyle name="Input 2 2 7 6" xfId="20938" xr:uid="{00000000-0005-0000-0000-0000F9500000}"/>
    <cellStyle name="Input 2 2 7 7" xfId="20939" xr:uid="{00000000-0005-0000-0000-0000FA500000}"/>
    <cellStyle name="Input 2 2 8" xfId="20940" xr:uid="{00000000-0005-0000-0000-0000FB500000}"/>
    <cellStyle name="Input 2 2 8 2" xfId="20941" xr:uid="{00000000-0005-0000-0000-0000FC500000}"/>
    <cellStyle name="Input 2 2 9" xfId="20942" xr:uid="{00000000-0005-0000-0000-0000FD500000}"/>
    <cellStyle name="Input 2 2 9 2" xfId="20943" xr:uid="{00000000-0005-0000-0000-0000FE500000}"/>
    <cellStyle name="Input 2 3" xfId="20944" xr:uid="{00000000-0005-0000-0000-0000FF500000}"/>
    <cellStyle name="Input 2 3 10" xfId="20945" xr:uid="{00000000-0005-0000-0000-000000510000}"/>
    <cellStyle name="Input 2 3 11" xfId="20946" xr:uid="{00000000-0005-0000-0000-000001510000}"/>
    <cellStyle name="Input 2 3 12" xfId="20947" xr:uid="{00000000-0005-0000-0000-000002510000}"/>
    <cellStyle name="Input 2 3 2" xfId="20948" xr:uid="{00000000-0005-0000-0000-000003510000}"/>
    <cellStyle name="Input 2 3 2 10" xfId="20949" xr:uid="{00000000-0005-0000-0000-000004510000}"/>
    <cellStyle name="Input 2 3 2 11" xfId="20950" xr:uid="{00000000-0005-0000-0000-000005510000}"/>
    <cellStyle name="Input 2 3 2 12" xfId="20951" xr:uid="{00000000-0005-0000-0000-000006510000}"/>
    <cellStyle name="Input 2 3 2 2" xfId="20952" xr:uid="{00000000-0005-0000-0000-000007510000}"/>
    <cellStyle name="Input 2 3 2 2 10" xfId="20953" xr:uid="{00000000-0005-0000-0000-000008510000}"/>
    <cellStyle name="Input 2 3 2 2 11" xfId="20954" xr:uid="{00000000-0005-0000-0000-000009510000}"/>
    <cellStyle name="Input 2 3 2 2 2" xfId="20955" xr:uid="{00000000-0005-0000-0000-00000A510000}"/>
    <cellStyle name="Input 2 3 2 2 2 10" xfId="20956" xr:uid="{00000000-0005-0000-0000-00000B510000}"/>
    <cellStyle name="Input 2 3 2 2 2 2" xfId="20957" xr:uid="{00000000-0005-0000-0000-00000C510000}"/>
    <cellStyle name="Input 2 3 2 2 2 2 2" xfId="20958" xr:uid="{00000000-0005-0000-0000-00000D510000}"/>
    <cellStyle name="Input 2 3 2 2 2 2 2 2" xfId="20959" xr:uid="{00000000-0005-0000-0000-00000E510000}"/>
    <cellStyle name="Input 2 3 2 2 2 2 2 2 2" xfId="20960" xr:uid="{00000000-0005-0000-0000-00000F510000}"/>
    <cellStyle name="Input 2 3 2 2 2 2 2 2 2 2" xfId="20961" xr:uid="{00000000-0005-0000-0000-000010510000}"/>
    <cellStyle name="Input 2 3 2 2 2 2 2 2 3" xfId="20962" xr:uid="{00000000-0005-0000-0000-000011510000}"/>
    <cellStyle name="Input 2 3 2 2 2 2 2 2 3 2" xfId="20963" xr:uid="{00000000-0005-0000-0000-000012510000}"/>
    <cellStyle name="Input 2 3 2 2 2 2 2 2 4" xfId="20964" xr:uid="{00000000-0005-0000-0000-000013510000}"/>
    <cellStyle name="Input 2 3 2 2 2 2 2 2 5" xfId="20965" xr:uid="{00000000-0005-0000-0000-000014510000}"/>
    <cellStyle name="Input 2 3 2 2 2 2 2 2 6" xfId="20966" xr:uid="{00000000-0005-0000-0000-000015510000}"/>
    <cellStyle name="Input 2 3 2 2 2 2 2 3" xfId="20967" xr:uid="{00000000-0005-0000-0000-000016510000}"/>
    <cellStyle name="Input 2 3 2 2 2 2 2 3 2" xfId="20968" xr:uid="{00000000-0005-0000-0000-000017510000}"/>
    <cellStyle name="Input 2 3 2 2 2 2 2 4" xfId="20969" xr:uid="{00000000-0005-0000-0000-000018510000}"/>
    <cellStyle name="Input 2 3 2 2 2 2 2 4 2" xfId="20970" xr:uid="{00000000-0005-0000-0000-000019510000}"/>
    <cellStyle name="Input 2 3 2 2 2 2 2 5" xfId="20971" xr:uid="{00000000-0005-0000-0000-00001A510000}"/>
    <cellStyle name="Input 2 3 2 2 2 2 2 6" xfId="20972" xr:uid="{00000000-0005-0000-0000-00001B510000}"/>
    <cellStyle name="Input 2 3 2 2 2 2 2 7" xfId="20973" xr:uid="{00000000-0005-0000-0000-00001C510000}"/>
    <cellStyle name="Input 2 3 2 2 2 2 3" xfId="20974" xr:uid="{00000000-0005-0000-0000-00001D510000}"/>
    <cellStyle name="Input 2 3 2 2 2 2 3 2" xfId="20975" xr:uid="{00000000-0005-0000-0000-00001E510000}"/>
    <cellStyle name="Input 2 3 2 2 2 2 3 2 2" xfId="20976" xr:uid="{00000000-0005-0000-0000-00001F510000}"/>
    <cellStyle name="Input 2 3 2 2 2 2 3 3" xfId="20977" xr:uid="{00000000-0005-0000-0000-000020510000}"/>
    <cellStyle name="Input 2 3 2 2 2 2 3 3 2" xfId="20978" xr:uid="{00000000-0005-0000-0000-000021510000}"/>
    <cellStyle name="Input 2 3 2 2 2 2 3 4" xfId="20979" xr:uid="{00000000-0005-0000-0000-000022510000}"/>
    <cellStyle name="Input 2 3 2 2 2 2 3 5" xfId="20980" xr:uid="{00000000-0005-0000-0000-000023510000}"/>
    <cellStyle name="Input 2 3 2 2 2 2 3 6" xfId="20981" xr:uid="{00000000-0005-0000-0000-000024510000}"/>
    <cellStyle name="Input 2 3 2 2 2 2 4" xfId="20982" xr:uid="{00000000-0005-0000-0000-000025510000}"/>
    <cellStyle name="Input 2 3 2 2 2 2 4 2" xfId="20983" xr:uid="{00000000-0005-0000-0000-000026510000}"/>
    <cellStyle name="Input 2 3 2 2 2 2 5" xfId="20984" xr:uid="{00000000-0005-0000-0000-000027510000}"/>
    <cellStyle name="Input 2 3 2 2 2 2 5 2" xfId="20985" xr:uid="{00000000-0005-0000-0000-000028510000}"/>
    <cellStyle name="Input 2 3 2 2 2 2 6" xfId="20986" xr:uid="{00000000-0005-0000-0000-000029510000}"/>
    <cellStyle name="Input 2 3 2 2 2 2 7" xfId="20987" xr:uid="{00000000-0005-0000-0000-00002A510000}"/>
    <cellStyle name="Input 2 3 2 2 2 2 8" xfId="20988" xr:uid="{00000000-0005-0000-0000-00002B510000}"/>
    <cellStyle name="Input 2 3 2 2 2 3" xfId="20989" xr:uid="{00000000-0005-0000-0000-00002C510000}"/>
    <cellStyle name="Input 2 3 2 2 2 3 2" xfId="20990" xr:uid="{00000000-0005-0000-0000-00002D510000}"/>
    <cellStyle name="Input 2 3 2 2 2 3 2 2" xfId="20991" xr:uid="{00000000-0005-0000-0000-00002E510000}"/>
    <cellStyle name="Input 2 3 2 2 2 3 2 2 2" xfId="20992" xr:uid="{00000000-0005-0000-0000-00002F510000}"/>
    <cellStyle name="Input 2 3 2 2 2 3 2 2 2 2" xfId="20993" xr:uid="{00000000-0005-0000-0000-000030510000}"/>
    <cellStyle name="Input 2 3 2 2 2 3 2 2 3" xfId="20994" xr:uid="{00000000-0005-0000-0000-000031510000}"/>
    <cellStyle name="Input 2 3 2 2 2 3 2 2 3 2" xfId="20995" xr:uid="{00000000-0005-0000-0000-000032510000}"/>
    <cellStyle name="Input 2 3 2 2 2 3 2 2 4" xfId="20996" xr:uid="{00000000-0005-0000-0000-000033510000}"/>
    <cellStyle name="Input 2 3 2 2 2 3 2 2 5" xfId="20997" xr:uid="{00000000-0005-0000-0000-000034510000}"/>
    <cellStyle name="Input 2 3 2 2 2 3 2 2 6" xfId="20998" xr:uid="{00000000-0005-0000-0000-000035510000}"/>
    <cellStyle name="Input 2 3 2 2 2 3 2 3" xfId="20999" xr:uid="{00000000-0005-0000-0000-000036510000}"/>
    <cellStyle name="Input 2 3 2 2 2 3 2 3 2" xfId="21000" xr:uid="{00000000-0005-0000-0000-000037510000}"/>
    <cellStyle name="Input 2 3 2 2 2 3 2 4" xfId="21001" xr:uid="{00000000-0005-0000-0000-000038510000}"/>
    <cellStyle name="Input 2 3 2 2 2 3 2 4 2" xfId="21002" xr:uid="{00000000-0005-0000-0000-000039510000}"/>
    <cellStyle name="Input 2 3 2 2 2 3 2 5" xfId="21003" xr:uid="{00000000-0005-0000-0000-00003A510000}"/>
    <cellStyle name="Input 2 3 2 2 2 3 2 6" xfId="21004" xr:uid="{00000000-0005-0000-0000-00003B510000}"/>
    <cellStyle name="Input 2 3 2 2 2 3 2 7" xfId="21005" xr:uid="{00000000-0005-0000-0000-00003C510000}"/>
    <cellStyle name="Input 2 3 2 2 2 3 3" xfId="21006" xr:uid="{00000000-0005-0000-0000-00003D510000}"/>
    <cellStyle name="Input 2 3 2 2 2 3 3 2" xfId="21007" xr:uid="{00000000-0005-0000-0000-00003E510000}"/>
    <cellStyle name="Input 2 3 2 2 2 3 3 2 2" xfId="21008" xr:uid="{00000000-0005-0000-0000-00003F510000}"/>
    <cellStyle name="Input 2 3 2 2 2 3 3 3" xfId="21009" xr:uid="{00000000-0005-0000-0000-000040510000}"/>
    <cellStyle name="Input 2 3 2 2 2 3 3 3 2" xfId="21010" xr:uid="{00000000-0005-0000-0000-000041510000}"/>
    <cellStyle name="Input 2 3 2 2 2 3 3 4" xfId="21011" xr:uid="{00000000-0005-0000-0000-000042510000}"/>
    <cellStyle name="Input 2 3 2 2 2 3 3 5" xfId="21012" xr:uid="{00000000-0005-0000-0000-000043510000}"/>
    <cellStyle name="Input 2 3 2 2 2 3 3 6" xfId="21013" xr:uid="{00000000-0005-0000-0000-000044510000}"/>
    <cellStyle name="Input 2 3 2 2 2 3 4" xfId="21014" xr:uid="{00000000-0005-0000-0000-000045510000}"/>
    <cellStyle name="Input 2 3 2 2 2 3 4 2" xfId="21015" xr:uid="{00000000-0005-0000-0000-000046510000}"/>
    <cellStyle name="Input 2 3 2 2 2 3 5" xfId="21016" xr:uid="{00000000-0005-0000-0000-000047510000}"/>
    <cellStyle name="Input 2 3 2 2 2 3 5 2" xfId="21017" xr:uid="{00000000-0005-0000-0000-000048510000}"/>
    <cellStyle name="Input 2 3 2 2 2 3 6" xfId="21018" xr:uid="{00000000-0005-0000-0000-000049510000}"/>
    <cellStyle name="Input 2 3 2 2 2 3 7" xfId="21019" xr:uid="{00000000-0005-0000-0000-00004A510000}"/>
    <cellStyle name="Input 2 3 2 2 2 3 8" xfId="21020" xr:uid="{00000000-0005-0000-0000-00004B510000}"/>
    <cellStyle name="Input 2 3 2 2 2 4" xfId="21021" xr:uid="{00000000-0005-0000-0000-00004C510000}"/>
    <cellStyle name="Input 2 3 2 2 2 4 2" xfId="21022" xr:uid="{00000000-0005-0000-0000-00004D510000}"/>
    <cellStyle name="Input 2 3 2 2 2 4 2 2" xfId="21023" xr:uid="{00000000-0005-0000-0000-00004E510000}"/>
    <cellStyle name="Input 2 3 2 2 2 4 2 2 2" xfId="21024" xr:uid="{00000000-0005-0000-0000-00004F510000}"/>
    <cellStyle name="Input 2 3 2 2 2 4 2 3" xfId="21025" xr:uid="{00000000-0005-0000-0000-000050510000}"/>
    <cellStyle name="Input 2 3 2 2 2 4 2 3 2" xfId="21026" xr:uid="{00000000-0005-0000-0000-000051510000}"/>
    <cellStyle name="Input 2 3 2 2 2 4 2 4" xfId="21027" xr:uid="{00000000-0005-0000-0000-000052510000}"/>
    <cellStyle name="Input 2 3 2 2 2 4 2 5" xfId="21028" xr:uid="{00000000-0005-0000-0000-000053510000}"/>
    <cellStyle name="Input 2 3 2 2 2 4 2 6" xfId="21029" xr:uid="{00000000-0005-0000-0000-000054510000}"/>
    <cellStyle name="Input 2 3 2 2 2 4 3" xfId="21030" xr:uid="{00000000-0005-0000-0000-000055510000}"/>
    <cellStyle name="Input 2 3 2 2 2 4 3 2" xfId="21031" xr:uid="{00000000-0005-0000-0000-000056510000}"/>
    <cellStyle name="Input 2 3 2 2 2 4 4" xfId="21032" xr:uid="{00000000-0005-0000-0000-000057510000}"/>
    <cellStyle name="Input 2 3 2 2 2 4 4 2" xfId="21033" xr:uid="{00000000-0005-0000-0000-000058510000}"/>
    <cellStyle name="Input 2 3 2 2 2 4 5" xfId="21034" xr:uid="{00000000-0005-0000-0000-000059510000}"/>
    <cellStyle name="Input 2 3 2 2 2 4 6" xfId="21035" xr:uid="{00000000-0005-0000-0000-00005A510000}"/>
    <cellStyle name="Input 2 3 2 2 2 4 7" xfId="21036" xr:uid="{00000000-0005-0000-0000-00005B510000}"/>
    <cellStyle name="Input 2 3 2 2 2 5" xfId="21037" xr:uid="{00000000-0005-0000-0000-00005C510000}"/>
    <cellStyle name="Input 2 3 2 2 2 5 2" xfId="21038" xr:uid="{00000000-0005-0000-0000-00005D510000}"/>
    <cellStyle name="Input 2 3 2 2 2 5 2 2" xfId="21039" xr:uid="{00000000-0005-0000-0000-00005E510000}"/>
    <cellStyle name="Input 2 3 2 2 2 5 3" xfId="21040" xr:uid="{00000000-0005-0000-0000-00005F510000}"/>
    <cellStyle name="Input 2 3 2 2 2 5 3 2" xfId="21041" xr:uid="{00000000-0005-0000-0000-000060510000}"/>
    <cellStyle name="Input 2 3 2 2 2 5 4" xfId="21042" xr:uid="{00000000-0005-0000-0000-000061510000}"/>
    <cellStyle name="Input 2 3 2 2 2 5 5" xfId="21043" xr:uid="{00000000-0005-0000-0000-000062510000}"/>
    <cellStyle name="Input 2 3 2 2 2 5 6" xfId="21044" xr:uid="{00000000-0005-0000-0000-000063510000}"/>
    <cellStyle name="Input 2 3 2 2 2 6" xfId="21045" xr:uid="{00000000-0005-0000-0000-000064510000}"/>
    <cellStyle name="Input 2 3 2 2 2 6 2" xfId="21046" xr:uid="{00000000-0005-0000-0000-000065510000}"/>
    <cellStyle name="Input 2 3 2 2 2 7" xfId="21047" xr:uid="{00000000-0005-0000-0000-000066510000}"/>
    <cellStyle name="Input 2 3 2 2 2 7 2" xfId="21048" xr:uid="{00000000-0005-0000-0000-000067510000}"/>
    <cellStyle name="Input 2 3 2 2 2 8" xfId="21049" xr:uid="{00000000-0005-0000-0000-000068510000}"/>
    <cellStyle name="Input 2 3 2 2 2 9" xfId="21050" xr:uid="{00000000-0005-0000-0000-000069510000}"/>
    <cellStyle name="Input 2 3 2 2 3" xfId="21051" xr:uid="{00000000-0005-0000-0000-00006A510000}"/>
    <cellStyle name="Input 2 3 2 2 3 2" xfId="21052" xr:uid="{00000000-0005-0000-0000-00006B510000}"/>
    <cellStyle name="Input 2 3 2 2 3 2 2" xfId="21053" xr:uid="{00000000-0005-0000-0000-00006C510000}"/>
    <cellStyle name="Input 2 3 2 2 3 2 2 2" xfId="21054" xr:uid="{00000000-0005-0000-0000-00006D510000}"/>
    <cellStyle name="Input 2 3 2 2 3 2 2 2 2" xfId="21055" xr:uid="{00000000-0005-0000-0000-00006E510000}"/>
    <cellStyle name="Input 2 3 2 2 3 2 2 3" xfId="21056" xr:uid="{00000000-0005-0000-0000-00006F510000}"/>
    <cellStyle name="Input 2 3 2 2 3 2 2 3 2" xfId="21057" xr:uid="{00000000-0005-0000-0000-000070510000}"/>
    <cellStyle name="Input 2 3 2 2 3 2 2 4" xfId="21058" xr:uid="{00000000-0005-0000-0000-000071510000}"/>
    <cellStyle name="Input 2 3 2 2 3 2 2 5" xfId="21059" xr:uid="{00000000-0005-0000-0000-000072510000}"/>
    <cellStyle name="Input 2 3 2 2 3 2 2 6" xfId="21060" xr:uid="{00000000-0005-0000-0000-000073510000}"/>
    <cellStyle name="Input 2 3 2 2 3 2 3" xfId="21061" xr:uid="{00000000-0005-0000-0000-000074510000}"/>
    <cellStyle name="Input 2 3 2 2 3 2 3 2" xfId="21062" xr:uid="{00000000-0005-0000-0000-000075510000}"/>
    <cellStyle name="Input 2 3 2 2 3 2 4" xfId="21063" xr:uid="{00000000-0005-0000-0000-000076510000}"/>
    <cellStyle name="Input 2 3 2 2 3 2 4 2" xfId="21064" xr:uid="{00000000-0005-0000-0000-000077510000}"/>
    <cellStyle name="Input 2 3 2 2 3 2 5" xfId="21065" xr:uid="{00000000-0005-0000-0000-000078510000}"/>
    <cellStyle name="Input 2 3 2 2 3 2 6" xfId="21066" xr:uid="{00000000-0005-0000-0000-000079510000}"/>
    <cellStyle name="Input 2 3 2 2 3 2 7" xfId="21067" xr:uid="{00000000-0005-0000-0000-00007A510000}"/>
    <cellStyle name="Input 2 3 2 2 3 3" xfId="21068" xr:uid="{00000000-0005-0000-0000-00007B510000}"/>
    <cellStyle name="Input 2 3 2 2 3 3 2" xfId="21069" xr:uid="{00000000-0005-0000-0000-00007C510000}"/>
    <cellStyle name="Input 2 3 2 2 3 3 2 2" xfId="21070" xr:uid="{00000000-0005-0000-0000-00007D510000}"/>
    <cellStyle name="Input 2 3 2 2 3 3 3" xfId="21071" xr:uid="{00000000-0005-0000-0000-00007E510000}"/>
    <cellStyle name="Input 2 3 2 2 3 3 3 2" xfId="21072" xr:uid="{00000000-0005-0000-0000-00007F510000}"/>
    <cellStyle name="Input 2 3 2 2 3 3 4" xfId="21073" xr:uid="{00000000-0005-0000-0000-000080510000}"/>
    <cellStyle name="Input 2 3 2 2 3 3 5" xfId="21074" xr:uid="{00000000-0005-0000-0000-000081510000}"/>
    <cellStyle name="Input 2 3 2 2 3 3 6" xfId="21075" xr:uid="{00000000-0005-0000-0000-000082510000}"/>
    <cellStyle name="Input 2 3 2 2 3 4" xfId="21076" xr:uid="{00000000-0005-0000-0000-000083510000}"/>
    <cellStyle name="Input 2 3 2 2 3 4 2" xfId="21077" xr:uid="{00000000-0005-0000-0000-000084510000}"/>
    <cellStyle name="Input 2 3 2 2 3 5" xfId="21078" xr:uid="{00000000-0005-0000-0000-000085510000}"/>
    <cellStyle name="Input 2 3 2 2 3 5 2" xfId="21079" xr:uid="{00000000-0005-0000-0000-000086510000}"/>
    <cellStyle name="Input 2 3 2 2 3 6" xfId="21080" xr:uid="{00000000-0005-0000-0000-000087510000}"/>
    <cellStyle name="Input 2 3 2 2 3 7" xfId="21081" xr:uid="{00000000-0005-0000-0000-000088510000}"/>
    <cellStyle name="Input 2 3 2 2 3 8" xfId="21082" xr:uid="{00000000-0005-0000-0000-000089510000}"/>
    <cellStyle name="Input 2 3 2 2 4" xfId="21083" xr:uid="{00000000-0005-0000-0000-00008A510000}"/>
    <cellStyle name="Input 2 3 2 2 4 2" xfId="21084" xr:uid="{00000000-0005-0000-0000-00008B510000}"/>
    <cellStyle name="Input 2 3 2 2 4 2 2" xfId="21085" xr:uid="{00000000-0005-0000-0000-00008C510000}"/>
    <cellStyle name="Input 2 3 2 2 4 2 2 2" xfId="21086" xr:uid="{00000000-0005-0000-0000-00008D510000}"/>
    <cellStyle name="Input 2 3 2 2 4 2 2 2 2" xfId="21087" xr:uid="{00000000-0005-0000-0000-00008E510000}"/>
    <cellStyle name="Input 2 3 2 2 4 2 2 3" xfId="21088" xr:uid="{00000000-0005-0000-0000-00008F510000}"/>
    <cellStyle name="Input 2 3 2 2 4 2 2 3 2" xfId="21089" xr:uid="{00000000-0005-0000-0000-000090510000}"/>
    <cellStyle name="Input 2 3 2 2 4 2 2 4" xfId="21090" xr:uid="{00000000-0005-0000-0000-000091510000}"/>
    <cellStyle name="Input 2 3 2 2 4 2 2 5" xfId="21091" xr:uid="{00000000-0005-0000-0000-000092510000}"/>
    <cellStyle name="Input 2 3 2 2 4 2 2 6" xfId="21092" xr:uid="{00000000-0005-0000-0000-000093510000}"/>
    <cellStyle name="Input 2 3 2 2 4 2 3" xfId="21093" xr:uid="{00000000-0005-0000-0000-000094510000}"/>
    <cellStyle name="Input 2 3 2 2 4 2 3 2" xfId="21094" xr:uid="{00000000-0005-0000-0000-000095510000}"/>
    <cellStyle name="Input 2 3 2 2 4 2 4" xfId="21095" xr:uid="{00000000-0005-0000-0000-000096510000}"/>
    <cellStyle name="Input 2 3 2 2 4 2 4 2" xfId="21096" xr:uid="{00000000-0005-0000-0000-000097510000}"/>
    <cellStyle name="Input 2 3 2 2 4 2 5" xfId="21097" xr:uid="{00000000-0005-0000-0000-000098510000}"/>
    <cellStyle name="Input 2 3 2 2 4 2 6" xfId="21098" xr:uid="{00000000-0005-0000-0000-000099510000}"/>
    <cellStyle name="Input 2 3 2 2 4 2 7" xfId="21099" xr:uid="{00000000-0005-0000-0000-00009A510000}"/>
    <cellStyle name="Input 2 3 2 2 4 3" xfId="21100" xr:uid="{00000000-0005-0000-0000-00009B510000}"/>
    <cellStyle name="Input 2 3 2 2 4 3 2" xfId="21101" xr:uid="{00000000-0005-0000-0000-00009C510000}"/>
    <cellStyle name="Input 2 3 2 2 4 3 2 2" xfId="21102" xr:uid="{00000000-0005-0000-0000-00009D510000}"/>
    <cellStyle name="Input 2 3 2 2 4 3 3" xfId="21103" xr:uid="{00000000-0005-0000-0000-00009E510000}"/>
    <cellStyle name="Input 2 3 2 2 4 3 3 2" xfId="21104" xr:uid="{00000000-0005-0000-0000-00009F510000}"/>
    <cellStyle name="Input 2 3 2 2 4 3 4" xfId="21105" xr:uid="{00000000-0005-0000-0000-0000A0510000}"/>
    <cellStyle name="Input 2 3 2 2 4 3 5" xfId="21106" xr:uid="{00000000-0005-0000-0000-0000A1510000}"/>
    <cellStyle name="Input 2 3 2 2 4 3 6" xfId="21107" xr:uid="{00000000-0005-0000-0000-0000A2510000}"/>
    <cellStyle name="Input 2 3 2 2 4 4" xfId="21108" xr:uid="{00000000-0005-0000-0000-0000A3510000}"/>
    <cellStyle name="Input 2 3 2 2 4 4 2" xfId="21109" xr:uid="{00000000-0005-0000-0000-0000A4510000}"/>
    <cellStyle name="Input 2 3 2 2 4 5" xfId="21110" xr:uid="{00000000-0005-0000-0000-0000A5510000}"/>
    <cellStyle name="Input 2 3 2 2 4 5 2" xfId="21111" xr:uid="{00000000-0005-0000-0000-0000A6510000}"/>
    <cellStyle name="Input 2 3 2 2 4 6" xfId="21112" xr:uid="{00000000-0005-0000-0000-0000A7510000}"/>
    <cellStyle name="Input 2 3 2 2 4 7" xfId="21113" xr:uid="{00000000-0005-0000-0000-0000A8510000}"/>
    <cellStyle name="Input 2 3 2 2 4 8" xfId="21114" xr:uid="{00000000-0005-0000-0000-0000A9510000}"/>
    <cellStyle name="Input 2 3 2 2 5" xfId="21115" xr:uid="{00000000-0005-0000-0000-0000AA510000}"/>
    <cellStyle name="Input 2 3 2 2 5 2" xfId="21116" xr:uid="{00000000-0005-0000-0000-0000AB510000}"/>
    <cellStyle name="Input 2 3 2 2 5 2 2" xfId="21117" xr:uid="{00000000-0005-0000-0000-0000AC510000}"/>
    <cellStyle name="Input 2 3 2 2 5 2 2 2" xfId="21118" xr:uid="{00000000-0005-0000-0000-0000AD510000}"/>
    <cellStyle name="Input 2 3 2 2 5 2 3" xfId="21119" xr:uid="{00000000-0005-0000-0000-0000AE510000}"/>
    <cellStyle name="Input 2 3 2 2 5 2 3 2" xfId="21120" xr:uid="{00000000-0005-0000-0000-0000AF510000}"/>
    <cellStyle name="Input 2 3 2 2 5 2 4" xfId="21121" xr:uid="{00000000-0005-0000-0000-0000B0510000}"/>
    <cellStyle name="Input 2 3 2 2 5 2 5" xfId="21122" xr:uid="{00000000-0005-0000-0000-0000B1510000}"/>
    <cellStyle name="Input 2 3 2 2 5 2 6" xfId="21123" xr:uid="{00000000-0005-0000-0000-0000B2510000}"/>
    <cellStyle name="Input 2 3 2 2 5 3" xfId="21124" xr:uid="{00000000-0005-0000-0000-0000B3510000}"/>
    <cellStyle name="Input 2 3 2 2 5 3 2" xfId="21125" xr:uid="{00000000-0005-0000-0000-0000B4510000}"/>
    <cellStyle name="Input 2 3 2 2 5 4" xfId="21126" xr:uid="{00000000-0005-0000-0000-0000B5510000}"/>
    <cellStyle name="Input 2 3 2 2 5 4 2" xfId="21127" xr:uid="{00000000-0005-0000-0000-0000B6510000}"/>
    <cellStyle name="Input 2 3 2 2 5 5" xfId="21128" xr:uid="{00000000-0005-0000-0000-0000B7510000}"/>
    <cellStyle name="Input 2 3 2 2 5 6" xfId="21129" xr:uid="{00000000-0005-0000-0000-0000B8510000}"/>
    <cellStyle name="Input 2 3 2 2 5 7" xfId="21130" xr:uid="{00000000-0005-0000-0000-0000B9510000}"/>
    <cellStyle name="Input 2 3 2 2 6" xfId="21131" xr:uid="{00000000-0005-0000-0000-0000BA510000}"/>
    <cellStyle name="Input 2 3 2 2 6 2" xfId="21132" xr:uid="{00000000-0005-0000-0000-0000BB510000}"/>
    <cellStyle name="Input 2 3 2 2 6 2 2" xfId="21133" xr:uid="{00000000-0005-0000-0000-0000BC510000}"/>
    <cellStyle name="Input 2 3 2 2 6 3" xfId="21134" xr:uid="{00000000-0005-0000-0000-0000BD510000}"/>
    <cellStyle name="Input 2 3 2 2 6 3 2" xfId="21135" xr:uid="{00000000-0005-0000-0000-0000BE510000}"/>
    <cellStyle name="Input 2 3 2 2 6 4" xfId="21136" xr:uid="{00000000-0005-0000-0000-0000BF510000}"/>
    <cellStyle name="Input 2 3 2 2 6 5" xfId="21137" xr:uid="{00000000-0005-0000-0000-0000C0510000}"/>
    <cellStyle name="Input 2 3 2 2 6 6" xfId="21138" xr:uid="{00000000-0005-0000-0000-0000C1510000}"/>
    <cellStyle name="Input 2 3 2 2 7" xfId="21139" xr:uid="{00000000-0005-0000-0000-0000C2510000}"/>
    <cellStyle name="Input 2 3 2 2 7 2" xfId="21140" xr:uid="{00000000-0005-0000-0000-0000C3510000}"/>
    <cellStyle name="Input 2 3 2 2 8" xfId="21141" xr:uid="{00000000-0005-0000-0000-0000C4510000}"/>
    <cellStyle name="Input 2 3 2 2 8 2" xfId="21142" xr:uid="{00000000-0005-0000-0000-0000C5510000}"/>
    <cellStyle name="Input 2 3 2 2 9" xfId="21143" xr:uid="{00000000-0005-0000-0000-0000C6510000}"/>
    <cellStyle name="Input 2 3 2 3" xfId="21144" xr:uid="{00000000-0005-0000-0000-0000C7510000}"/>
    <cellStyle name="Input 2 3 2 3 10" xfId="21145" xr:uid="{00000000-0005-0000-0000-0000C8510000}"/>
    <cellStyle name="Input 2 3 2 3 2" xfId="21146" xr:uid="{00000000-0005-0000-0000-0000C9510000}"/>
    <cellStyle name="Input 2 3 2 3 2 10" xfId="21147" xr:uid="{00000000-0005-0000-0000-0000CA510000}"/>
    <cellStyle name="Input 2 3 2 3 2 2" xfId="21148" xr:uid="{00000000-0005-0000-0000-0000CB510000}"/>
    <cellStyle name="Input 2 3 2 3 2 2 2" xfId="21149" xr:uid="{00000000-0005-0000-0000-0000CC510000}"/>
    <cellStyle name="Input 2 3 2 3 2 2 2 2" xfId="21150" xr:uid="{00000000-0005-0000-0000-0000CD510000}"/>
    <cellStyle name="Input 2 3 2 3 2 2 2 2 2" xfId="21151" xr:uid="{00000000-0005-0000-0000-0000CE510000}"/>
    <cellStyle name="Input 2 3 2 3 2 2 2 2 2 2" xfId="21152" xr:uid="{00000000-0005-0000-0000-0000CF510000}"/>
    <cellStyle name="Input 2 3 2 3 2 2 2 2 3" xfId="21153" xr:uid="{00000000-0005-0000-0000-0000D0510000}"/>
    <cellStyle name="Input 2 3 2 3 2 2 2 2 3 2" xfId="21154" xr:uid="{00000000-0005-0000-0000-0000D1510000}"/>
    <cellStyle name="Input 2 3 2 3 2 2 2 2 4" xfId="21155" xr:uid="{00000000-0005-0000-0000-0000D2510000}"/>
    <cellStyle name="Input 2 3 2 3 2 2 2 2 5" xfId="21156" xr:uid="{00000000-0005-0000-0000-0000D3510000}"/>
    <cellStyle name="Input 2 3 2 3 2 2 2 2 6" xfId="21157" xr:uid="{00000000-0005-0000-0000-0000D4510000}"/>
    <cellStyle name="Input 2 3 2 3 2 2 2 3" xfId="21158" xr:uid="{00000000-0005-0000-0000-0000D5510000}"/>
    <cellStyle name="Input 2 3 2 3 2 2 2 3 2" xfId="21159" xr:uid="{00000000-0005-0000-0000-0000D6510000}"/>
    <cellStyle name="Input 2 3 2 3 2 2 2 4" xfId="21160" xr:uid="{00000000-0005-0000-0000-0000D7510000}"/>
    <cellStyle name="Input 2 3 2 3 2 2 2 4 2" xfId="21161" xr:uid="{00000000-0005-0000-0000-0000D8510000}"/>
    <cellStyle name="Input 2 3 2 3 2 2 2 5" xfId="21162" xr:uid="{00000000-0005-0000-0000-0000D9510000}"/>
    <cellStyle name="Input 2 3 2 3 2 2 2 6" xfId="21163" xr:uid="{00000000-0005-0000-0000-0000DA510000}"/>
    <cellStyle name="Input 2 3 2 3 2 2 2 7" xfId="21164" xr:uid="{00000000-0005-0000-0000-0000DB510000}"/>
    <cellStyle name="Input 2 3 2 3 2 2 3" xfId="21165" xr:uid="{00000000-0005-0000-0000-0000DC510000}"/>
    <cellStyle name="Input 2 3 2 3 2 2 3 2" xfId="21166" xr:uid="{00000000-0005-0000-0000-0000DD510000}"/>
    <cellStyle name="Input 2 3 2 3 2 2 3 2 2" xfId="21167" xr:uid="{00000000-0005-0000-0000-0000DE510000}"/>
    <cellStyle name="Input 2 3 2 3 2 2 3 3" xfId="21168" xr:uid="{00000000-0005-0000-0000-0000DF510000}"/>
    <cellStyle name="Input 2 3 2 3 2 2 3 3 2" xfId="21169" xr:uid="{00000000-0005-0000-0000-0000E0510000}"/>
    <cellStyle name="Input 2 3 2 3 2 2 3 4" xfId="21170" xr:uid="{00000000-0005-0000-0000-0000E1510000}"/>
    <cellStyle name="Input 2 3 2 3 2 2 3 5" xfId="21171" xr:uid="{00000000-0005-0000-0000-0000E2510000}"/>
    <cellStyle name="Input 2 3 2 3 2 2 3 6" xfId="21172" xr:uid="{00000000-0005-0000-0000-0000E3510000}"/>
    <cellStyle name="Input 2 3 2 3 2 2 4" xfId="21173" xr:uid="{00000000-0005-0000-0000-0000E4510000}"/>
    <cellStyle name="Input 2 3 2 3 2 2 4 2" xfId="21174" xr:uid="{00000000-0005-0000-0000-0000E5510000}"/>
    <cellStyle name="Input 2 3 2 3 2 2 5" xfId="21175" xr:uid="{00000000-0005-0000-0000-0000E6510000}"/>
    <cellStyle name="Input 2 3 2 3 2 2 5 2" xfId="21176" xr:uid="{00000000-0005-0000-0000-0000E7510000}"/>
    <cellStyle name="Input 2 3 2 3 2 2 6" xfId="21177" xr:uid="{00000000-0005-0000-0000-0000E8510000}"/>
    <cellStyle name="Input 2 3 2 3 2 2 7" xfId="21178" xr:uid="{00000000-0005-0000-0000-0000E9510000}"/>
    <cellStyle name="Input 2 3 2 3 2 2 8" xfId="21179" xr:uid="{00000000-0005-0000-0000-0000EA510000}"/>
    <cellStyle name="Input 2 3 2 3 2 3" xfId="21180" xr:uid="{00000000-0005-0000-0000-0000EB510000}"/>
    <cellStyle name="Input 2 3 2 3 2 3 2" xfId="21181" xr:uid="{00000000-0005-0000-0000-0000EC510000}"/>
    <cellStyle name="Input 2 3 2 3 2 3 2 2" xfId="21182" xr:uid="{00000000-0005-0000-0000-0000ED510000}"/>
    <cellStyle name="Input 2 3 2 3 2 3 2 2 2" xfId="21183" xr:uid="{00000000-0005-0000-0000-0000EE510000}"/>
    <cellStyle name="Input 2 3 2 3 2 3 2 2 2 2" xfId="21184" xr:uid="{00000000-0005-0000-0000-0000EF510000}"/>
    <cellStyle name="Input 2 3 2 3 2 3 2 2 3" xfId="21185" xr:uid="{00000000-0005-0000-0000-0000F0510000}"/>
    <cellStyle name="Input 2 3 2 3 2 3 2 2 3 2" xfId="21186" xr:uid="{00000000-0005-0000-0000-0000F1510000}"/>
    <cellStyle name="Input 2 3 2 3 2 3 2 2 4" xfId="21187" xr:uid="{00000000-0005-0000-0000-0000F2510000}"/>
    <cellStyle name="Input 2 3 2 3 2 3 2 2 5" xfId="21188" xr:uid="{00000000-0005-0000-0000-0000F3510000}"/>
    <cellStyle name="Input 2 3 2 3 2 3 2 2 6" xfId="21189" xr:uid="{00000000-0005-0000-0000-0000F4510000}"/>
    <cellStyle name="Input 2 3 2 3 2 3 2 3" xfId="21190" xr:uid="{00000000-0005-0000-0000-0000F5510000}"/>
    <cellStyle name="Input 2 3 2 3 2 3 2 3 2" xfId="21191" xr:uid="{00000000-0005-0000-0000-0000F6510000}"/>
    <cellStyle name="Input 2 3 2 3 2 3 2 4" xfId="21192" xr:uid="{00000000-0005-0000-0000-0000F7510000}"/>
    <cellStyle name="Input 2 3 2 3 2 3 2 4 2" xfId="21193" xr:uid="{00000000-0005-0000-0000-0000F8510000}"/>
    <cellStyle name="Input 2 3 2 3 2 3 2 5" xfId="21194" xr:uid="{00000000-0005-0000-0000-0000F9510000}"/>
    <cellStyle name="Input 2 3 2 3 2 3 2 6" xfId="21195" xr:uid="{00000000-0005-0000-0000-0000FA510000}"/>
    <cellStyle name="Input 2 3 2 3 2 3 2 7" xfId="21196" xr:uid="{00000000-0005-0000-0000-0000FB510000}"/>
    <cellStyle name="Input 2 3 2 3 2 3 3" xfId="21197" xr:uid="{00000000-0005-0000-0000-0000FC510000}"/>
    <cellStyle name="Input 2 3 2 3 2 3 3 2" xfId="21198" xr:uid="{00000000-0005-0000-0000-0000FD510000}"/>
    <cellStyle name="Input 2 3 2 3 2 3 3 2 2" xfId="21199" xr:uid="{00000000-0005-0000-0000-0000FE510000}"/>
    <cellStyle name="Input 2 3 2 3 2 3 3 3" xfId="21200" xr:uid="{00000000-0005-0000-0000-0000FF510000}"/>
    <cellStyle name="Input 2 3 2 3 2 3 3 3 2" xfId="21201" xr:uid="{00000000-0005-0000-0000-000000520000}"/>
    <cellStyle name="Input 2 3 2 3 2 3 3 4" xfId="21202" xr:uid="{00000000-0005-0000-0000-000001520000}"/>
    <cellStyle name="Input 2 3 2 3 2 3 3 5" xfId="21203" xr:uid="{00000000-0005-0000-0000-000002520000}"/>
    <cellStyle name="Input 2 3 2 3 2 3 3 6" xfId="21204" xr:uid="{00000000-0005-0000-0000-000003520000}"/>
    <cellStyle name="Input 2 3 2 3 2 3 4" xfId="21205" xr:uid="{00000000-0005-0000-0000-000004520000}"/>
    <cellStyle name="Input 2 3 2 3 2 3 4 2" xfId="21206" xr:uid="{00000000-0005-0000-0000-000005520000}"/>
    <cellStyle name="Input 2 3 2 3 2 3 5" xfId="21207" xr:uid="{00000000-0005-0000-0000-000006520000}"/>
    <cellStyle name="Input 2 3 2 3 2 3 5 2" xfId="21208" xr:uid="{00000000-0005-0000-0000-000007520000}"/>
    <cellStyle name="Input 2 3 2 3 2 3 6" xfId="21209" xr:uid="{00000000-0005-0000-0000-000008520000}"/>
    <cellStyle name="Input 2 3 2 3 2 3 7" xfId="21210" xr:uid="{00000000-0005-0000-0000-000009520000}"/>
    <cellStyle name="Input 2 3 2 3 2 3 8" xfId="21211" xr:uid="{00000000-0005-0000-0000-00000A520000}"/>
    <cellStyle name="Input 2 3 2 3 2 4" xfId="21212" xr:uid="{00000000-0005-0000-0000-00000B520000}"/>
    <cellStyle name="Input 2 3 2 3 2 4 2" xfId="21213" xr:uid="{00000000-0005-0000-0000-00000C520000}"/>
    <cellStyle name="Input 2 3 2 3 2 4 2 2" xfId="21214" xr:uid="{00000000-0005-0000-0000-00000D520000}"/>
    <cellStyle name="Input 2 3 2 3 2 4 2 2 2" xfId="21215" xr:uid="{00000000-0005-0000-0000-00000E520000}"/>
    <cellStyle name="Input 2 3 2 3 2 4 2 3" xfId="21216" xr:uid="{00000000-0005-0000-0000-00000F520000}"/>
    <cellStyle name="Input 2 3 2 3 2 4 2 3 2" xfId="21217" xr:uid="{00000000-0005-0000-0000-000010520000}"/>
    <cellStyle name="Input 2 3 2 3 2 4 2 4" xfId="21218" xr:uid="{00000000-0005-0000-0000-000011520000}"/>
    <cellStyle name="Input 2 3 2 3 2 4 2 5" xfId="21219" xr:uid="{00000000-0005-0000-0000-000012520000}"/>
    <cellStyle name="Input 2 3 2 3 2 4 2 6" xfId="21220" xr:uid="{00000000-0005-0000-0000-000013520000}"/>
    <cellStyle name="Input 2 3 2 3 2 4 3" xfId="21221" xr:uid="{00000000-0005-0000-0000-000014520000}"/>
    <cellStyle name="Input 2 3 2 3 2 4 3 2" xfId="21222" xr:uid="{00000000-0005-0000-0000-000015520000}"/>
    <cellStyle name="Input 2 3 2 3 2 4 4" xfId="21223" xr:uid="{00000000-0005-0000-0000-000016520000}"/>
    <cellStyle name="Input 2 3 2 3 2 4 4 2" xfId="21224" xr:uid="{00000000-0005-0000-0000-000017520000}"/>
    <cellStyle name="Input 2 3 2 3 2 4 5" xfId="21225" xr:uid="{00000000-0005-0000-0000-000018520000}"/>
    <cellStyle name="Input 2 3 2 3 2 4 6" xfId="21226" xr:uid="{00000000-0005-0000-0000-000019520000}"/>
    <cellStyle name="Input 2 3 2 3 2 4 7" xfId="21227" xr:uid="{00000000-0005-0000-0000-00001A520000}"/>
    <cellStyle name="Input 2 3 2 3 2 5" xfId="21228" xr:uid="{00000000-0005-0000-0000-00001B520000}"/>
    <cellStyle name="Input 2 3 2 3 2 5 2" xfId="21229" xr:uid="{00000000-0005-0000-0000-00001C520000}"/>
    <cellStyle name="Input 2 3 2 3 2 5 2 2" xfId="21230" xr:uid="{00000000-0005-0000-0000-00001D520000}"/>
    <cellStyle name="Input 2 3 2 3 2 5 3" xfId="21231" xr:uid="{00000000-0005-0000-0000-00001E520000}"/>
    <cellStyle name="Input 2 3 2 3 2 5 3 2" xfId="21232" xr:uid="{00000000-0005-0000-0000-00001F520000}"/>
    <cellStyle name="Input 2 3 2 3 2 5 4" xfId="21233" xr:uid="{00000000-0005-0000-0000-000020520000}"/>
    <cellStyle name="Input 2 3 2 3 2 5 5" xfId="21234" xr:uid="{00000000-0005-0000-0000-000021520000}"/>
    <cellStyle name="Input 2 3 2 3 2 5 6" xfId="21235" xr:uid="{00000000-0005-0000-0000-000022520000}"/>
    <cellStyle name="Input 2 3 2 3 2 6" xfId="21236" xr:uid="{00000000-0005-0000-0000-000023520000}"/>
    <cellStyle name="Input 2 3 2 3 2 6 2" xfId="21237" xr:uid="{00000000-0005-0000-0000-000024520000}"/>
    <cellStyle name="Input 2 3 2 3 2 7" xfId="21238" xr:uid="{00000000-0005-0000-0000-000025520000}"/>
    <cellStyle name="Input 2 3 2 3 2 7 2" xfId="21239" xr:uid="{00000000-0005-0000-0000-000026520000}"/>
    <cellStyle name="Input 2 3 2 3 2 8" xfId="21240" xr:uid="{00000000-0005-0000-0000-000027520000}"/>
    <cellStyle name="Input 2 3 2 3 2 9" xfId="21241" xr:uid="{00000000-0005-0000-0000-000028520000}"/>
    <cellStyle name="Input 2 3 2 3 3" xfId="21242" xr:uid="{00000000-0005-0000-0000-000029520000}"/>
    <cellStyle name="Input 2 3 2 3 3 2" xfId="21243" xr:uid="{00000000-0005-0000-0000-00002A520000}"/>
    <cellStyle name="Input 2 3 2 3 3 2 2" xfId="21244" xr:uid="{00000000-0005-0000-0000-00002B520000}"/>
    <cellStyle name="Input 2 3 2 3 3 2 2 2" xfId="21245" xr:uid="{00000000-0005-0000-0000-00002C520000}"/>
    <cellStyle name="Input 2 3 2 3 3 2 2 2 2" xfId="21246" xr:uid="{00000000-0005-0000-0000-00002D520000}"/>
    <cellStyle name="Input 2 3 2 3 3 2 2 3" xfId="21247" xr:uid="{00000000-0005-0000-0000-00002E520000}"/>
    <cellStyle name="Input 2 3 2 3 3 2 2 3 2" xfId="21248" xr:uid="{00000000-0005-0000-0000-00002F520000}"/>
    <cellStyle name="Input 2 3 2 3 3 2 2 4" xfId="21249" xr:uid="{00000000-0005-0000-0000-000030520000}"/>
    <cellStyle name="Input 2 3 2 3 3 2 2 5" xfId="21250" xr:uid="{00000000-0005-0000-0000-000031520000}"/>
    <cellStyle name="Input 2 3 2 3 3 2 2 6" xfId="21251" xr:uid="{00000000-0005-0000-0000-000032520000}"/>
    <cellStyle name="Input 2 3 2 3 3 2 3" xfId="21252" xr:uid="{00000000-0005-0000-0000-000033520000}"/>
    <cellStyle name="Input 2 3 2 3 3 2 3 2" xfId="21253" xr:uid="{00000000-0005-0000-0000-000034520000}"/>
    <cellStyle name="Input 2 3 2 3 3 2 4" xfId="21254" xr:uid="{00000000-0005-0000-0000-000035520000}"/>
    <cellStyle name="Input 2 3 2 3 3 2 4 2" xfId="21255" xr:uid="{00000000-0005-0000-0000-000036520000}"/>
    <cellStyle name="Input 2 3 2 3 3 2 5" xfId="21256" xr:uid="{00000000-0005-0000-0000-000037520000}"/>
    <cellStyle name="Input 2 3 2 3 3 2 6" xfId="21257" xr:uid="{00000000-0005-0000-0000-000038520000}"/>
    <cellStyle name="Input 2 3 2 3 3 2 7" xfId="21258" xr:uid="{00000000-0005-0000-0000-000039520000}"/>
    <cellStyle name="Input 2 3 2 3 3 3" xfId="21259" xr:uid="{00000000-0005-0000-0000-00003A520000}"/>
    <cellStyle name="Input 2 3 2 3 3 3 2" xfId="21260" xr:uid="{00000000-0005-0000-0000-00003B520000}"/>
    <cellStyle name="Input 2 3 2 3 3 3 2 2" xfId="21261" xr:uid="{00000000-0005-0000-0000-00003C520000}"/>
    <cellStyle name="Input 2 3 2 3 3 3 3" xfId="21262" xr:uid="{00000000-0005-0000-0000-00003D520000}"/>
    <cellStyle name="Input 2 3 2 3 3 3 3 2" xfId="21263" xr:uid="{00000000-0005-0000-0000-00003E520000}"/>
    <cellStyle name="Input 2 3 2 3 3 3 4" xfId="21264" xr:uid="{00000000-0005-0000-0000-00003F520000}"/>
    <cellStyle name="Input 2 3 2 3 3 3 5" xfId="21265" xr:uid="{00000000-0005-0000-0000-000040520000}"/>
    <cellStyle name="Input 2 3 2 3 3 3 6" xfId="21266" xr:uid="{00000000-0005-0000-0000-000041520000}"/>
    <cellStyle name="Input 2 3 2 3 3 4" xfId="21267" xr:uid="{00000000-0005-0000-0000-000042520000}"/>
    <cellStyle name="Input 2 3 2 3 3 4 2" xfId="21268" xr:uid="{00000000-0005-0000-0000-000043520000}"/>
    <cellStyle name="Input 2 3 2 3 3 5" xfId="21269" xr:uid="{00000000-0005-0000-0000-000044520000}"/>
    <cellStyle name="Input 2 3 2 3 3 5 2" xfId="21270" xr:uid="{00000000-0005-0000-0000-000045520000}"/>
    <cellStyle name="Input 2 3 2 3 3 6" xfId="21271" xr:uid="{00000000-0005-0000-0000-000046520000}"/>
    <cellStyle name="Input 2 3 2 3 3 7" xfId="21272" xr:uid="{00000000-0005-0000-0000-000047520000}"/>
    <cellStyle name="Input 2 3 2 3 3 8" xfId="21273" xr:uid="{00000000-0005-0000-0000-000048520000}"/>
    <cellStyle name="Input 2 3 2 3 4" xfId="21274" xr:uid="{00000000-0005-0000-0000-000049520000}"/>
    <cellStyle name="Input 2 3 2 3 4 2" xfId="21275" xr:uid="{00000000-0005-0000-0000-00004A520000}"/>
    <cellStyle name="Input 2 3 2 3 4 2 2" xfId="21276" xr:uid="{00000000-0005-0000-0000-00004B520000}"/>
    <cellStyle name="Input 2 3 2 3 4 2 2 2" xfId="21277" xr:uid="{00000000-0005-0000-0000-00004C520000}"/>
    <cellStyle name="Input 2 3 2 3 4 2 3" xfId="21278" xr:uid="{00000000-0005-0000-0000-00004D520000}"/>
    <cellStyle name="Input 2 3 2 3 4 2 3 2" xfId="21279" xr:uid="{00000000-0005-0000-0000-00004E520000}"/>
    <cellStyle name="Input 2 3 2 3 4 2 4" xfId="21280" xr:uid="{00000000-0005-0000-0000-00004F520000}"/>
    <cellStyle name="Input 2 3 2 3 4 2 5" xfId="21281" xr:uid="{00000000-0005-0000-0000-000050520000}"/>
    <cellStyle name="Input 2 3 2 3 4 2 6" xfId="21282" xr:uid="{00000000-0005-0000-0000-000051520000}"/>
    <cellStyle name="Input 2 3 2 3 4 3" xfId="21283" xr:uid="{00000000-0005-0000-0000-000052520000}"/>
    <cellStyle name="Input 2 3 2 3 4 3 2" xfId="21284" xr:uid="{00000000-0005-0000-0000-000053520000}"/>
    <cellStyle name="Input 2 3 2 3 4 4" xfId="21285" xr:uid="{00000000-0005-0000-0000-000054520000}"/>
    <cellStyle name="Input 2 3 2 3 4 4 2" xfId="21286" xr:uid="{00000000-0005-0000-0000-000055520000}"/>
    <cellStyle name="Input 2 3 2 3 4 5" xfId="21287" xr:uid="{00000000-0005-0000-0000-000056520000}"/>
    <cellStyle name="Input 2 3 2 3 4 6" xfId="21288" xr:uid="{00000000-0005-0000-0000-000057520000}"/>
    <cellStyle name="Input 2 3 2 3 4 7" xfId="21289" xr:uid="{00000000-0005-0000-0000-000058520000}"/>
    <cellStyle name="Input 2 3 2 3 5" xfId="21290" xr:uid="{00000000-0005-0000-0000-000059520000}"/>
    <cellStyle name="Input 2 3 2 3 5 2" xfId="21291" xr:uid="{00000000-0005-0000-0000-00005A520000}"/>
    <cellStyle name="Input 2 3 2 3 5 2 2" xfId="21292" xr:uid="{00000000-0005-0000-0000-00005B520000}"/>
    <cellStyle name="Input 2 3 2 3 5 3" xfId="21293" xr:uid="{00000000-0005-0000-0000-00005C520000}"/>
    <cellStyle name="Input 2 3 2 3 5 3 2" xfId="21294" xr:uid="{00000000-0005-0000-0000-00005D520000}"/>
    <cellStyle name="Input 2 3 2 3 5 4" xfId="21295" xr:uid="{00000000-0005-0000-0000-00005E520000}"/>
    <cellStyle name="Input 2 3 2 3 5 5" xfId="21296" xr:uid="{00000000-0005-0000-0000-00005F520000}"/>
    <cellStyle name="Input 2 3 2 3 5 6" xfId="21297" xr:uid="{00000000-0005-0000-0000-000060520000}"/>
    <cellStyle name="Input 2 3 2 3 6" xfId="21298" xr:uid="{00000000-0005-0000-0000-000061520000}"/>
    <cellStyle name="Input 2 3 2 3 6 2" xfId="21299" xr:uid="{00000000-0005-0000-0000-000062520000}"/>
    <cellStyle name="Input 2 3 2 3 7" xfId="21300" xr:uid="{00000000-0005-0000-0000-000063520000}"/>
    <cellStyle name="Input 2 3 2 3 7 2" xfId="21301" xr:uid="{00000000-0005-0000-0000-000064520000}"/>
    <cellStyle name="Input 2 3 2 3 8" xfId="21302" xr:uid="{00000000-0005-0000-0000-000065520000}"/>
    <cellStyle name="Input 2 3 2 3 9" xfId="21303" xr:uid="{00000000-0005-0000-0000-000066520000}"/>
    <cellStyle name="Input 2 3 2 4" xfId="21304" xr:uid="{00000000-0005-0000-0000-000067520000}"/>
    <cellStyle name="Input 2 3 2 4 10" xfId="21305" xr:uid="{00000000-0005-0000-0000-000068520000}"/>
    <cellStyle name="Input 2 3 2 4 2" xfId="21306" xr:uid="{00000000-0005-0000-0000-000069520000}"/>
    <cellStyle name="Input 2 3 2 4 2 2" xfId="21307" xr:uid="{00000000-0005-0000-0000-00006A520000}"/>
    <cellStyle name="Input 2 3 2 4 2 2 2" xfId="21308" xr:uid="{00000000-0005-0000-0000-00006B520000}"/>
    <cellStyle name="Input 2 3 2 4 2 2 2 2" xfId="21309" xr:uid="{00000000-0005-0000-0000-00006C520000}"/>
    <cellStyle name="Input 2 3 2 4 2 2 2 2 2" xfId="21310" xr:uid="{00000000-0005-0000-0000-00006D520000}"/>
    <cellStyle name="Input 2 3 2 4 2 2 2 3" xfId="21311" xr:uid="{00000000-0005-0000-0000-00006E520000}"/>
    <cellStyle name="Input 2 3 2 4 2 2 2 3 2" xfId="21312" xr:uid="{00000000-0005-0000-0000-00006F520000}"/>
    <cellStyle name="Input 2 3 2 4 2 2 2 4" xfId="21313" xr:uid="{00000000-0005-0000-0000-000070520000}"/>
    <cellStyle name="Input 2 3 2 4 2 2 2 5" xfId="21314" xr:uid="{00000000-0005-0000-0000-000071520000}"/>
    <cellStyle name="Input 2 3 2 4 2 2 2 6" xfId="21315" xr:uid="{00000000-0005-0000-0000-000072520000}"/>
    <cellStyle name="Input 2 3 2 4 2 2 3" xfId="21316" xr:uid="{00000000-0005-0000-0000-000073520000}"/>
    <cellStyle name="Input 2 3 2 4 2 2 3 2" xfId="21317" xr:uid="{00000000-0005-0000-0000-000074520000}"/>
    <cellStyle name="Input 2 3 2 4 2 2 4" xfId="21318" xr:uid="{00000000-0005-0000-0000-000075520000}"/>
    <cellStyle name="Input 2 3 2 4 2 2 4 2" xfId="21319" xr:uid="{00000000-0005-0000-0000-000076520000}"/>
    <cellStyle name="Input 2 3 2 4 2 2 5" xfId="21320" xr:uid="{00000000-0005-0000-0000-000077520000}"/>
    <cellStyle name="Input 2 3 2 4 2 2 6" xfId="21321" xr:uid="{00000000-0005-0000-0000-000078520000}"/>
    <cellStyle name="Input 2 3 2 4 2 2 7" xfId="21322" xr:uid="{00000000-0005-0000-0000-000079520000}"/>
    <cellStyle name="Input 2 3 2 4 2 3" xfId="21323" xr:uid="{00000000-0005-0000-0000-00007A520000}"/>
    <cellStyle name="Input 2 3 2 4 2 3 2" xfId="21324" xr:uid="{00000000-0005-0000-0000-00007B520000}"/>
    <cellStyle name="Input 2 3 2 4 2 3 2 2" xfId="21325" xr:uid="{00000000-0005-0000-0000-00007C520000}"/>
    <cellStyle name="Input 2 3 2 4 2 3 3" xfId="21326" xr:uid="{00000000-0005-0000-0000-00007D520000}"/>
    <cellStyle name="Input 2 3 2 4 2 3 3 2" xfId="21327" xr:uid="{00000000-0005-0000-0000-00007E520000}"/>
    <cellStyle name="Input 2 3 2 4 2 3 4" xfId="21328" xr:uid="{00000000-0005-0000-0000-00007F520000}"/>
    <cellStyle name="Input 2 3 2 4 2 3 5" xfId="21329" xr:uid="{00000000-0005-0000-0000-000080520000}"/>
    <cellStyle name="Input 2 3 2 4 2 3 6" xfId="21330" xr:uid="{00000000-0005-0000-0000-000081520000}"/>
    <cellStyle name="Input 2 3 2 4 2 4" xfId="21331" xr:uid="{00000000-0005-0000-0000-000082520000}"/>
    <cellStyle name="Input 2 3 2 4 2 4 2" xfId="21332" xr:uid="{00000000-0005-0000-0000-000083520000}"/>
    <cellStyle name="Input 2 3 2 4 2 5" xfId="21333" xr:uid="{00000000-0005-0000-0000-000084520000}"/>
    <cellStyle name="Input 2 3 2 4 2 5 2" xfId="21334" xr:uid="{00000000-0005-0000-0000-000085520000}"/>
    <cellStyle name="Input 2 3 2 4 2 6" xfId="21335" xr:uid="{00000000-0005-0000-0000-000086520000}"/>
    <cellStyle name="Input 2 3 2 4 2 7" xfId="21336" xr:uid="{00000000-0005-0000-0000-000087520000}"/>
    <cellStyle name="Input 2 3 2 4 2 8" xfId="21337" xr:uid="{00000000-0005-0000-0000-000088520000}"/>
    <cellStyle name="Input 2 3 2 4 3" xfId="21338" xr:uid="{00000000-0005-0000-0000-000089520000}"/>
    <cellStyle name="Input 2 3 2 4 3 2" xfId="21339" xr:uid="{00000000-0005-0000-0000-00008A520000}"/>
    <cellStyle name="Input 2 3 2 4 3 2 2" xfId="21340" xr:uid="{00000000-0005-0000-0000-00008B520000}"/>
    <cellStyle name="Input 2 3 2 4 3 2 2 2" xfId="21341" xr:uid="{00000000-0005-0000-0000-00008C520000}"/>
    <cellStyle name="Input 2 3 2 4 3 2 2 2 2" xfId="21342" xr:uid="{00000000-0005-0000-0000-00008D520000}"/>
    <cellStyle name="Input 2 3 2 4 3 2 2 3" xfId="21343" xr:uid="{00000000-0005-0000-0000-00008E520000}"/>
    <cellStyle name="Input 2 3 2 4 3 2 2 3 2" xfId="21344" xr:uid="{00000000-0005-0000-0000-00008F520000}"/>
    <cellStyle name="Input 2 3 2 4 3 2 2 4" xfId="21345" xr:uid="{00000000-0005-0000-0000-000090520000}"/>
    <cellStyle name="Input 2 3 2 4 3 2 2 5" xfId="21346" xr:uid="{00000000-0005-0000-0000-000091520000}"/>
    <cellStyle name="Input 2 3 2 4 3 2 2 6" xfId="21347" xr:uid="{00000000-0005-0000-0000-000092520000}"/>
    <cellStyle name="Input 2 3 2 4 3 2 3" xfId="21348" xr:uid="{00000000-0005-0000-0000-000093520000}"/>
    <cellStyle name="Input 2 3 2 4 3 2 3 2" xfId="21349" xr:uid="{00000000-0005-0000-0000-000094520000}"/>
    <cellStyle name="Input 2 3 2 4 3 2 4" xfId="21350" xr:uid="{00000000-0005-0000-0000-000095520000}"/>
    <cellStyle name="Input 2 3 2 4 3 2 4 2" xfId="21351" xr:uid="{00000000-0005-0000-0000-000096520000}"/>
    <cellStyle name="Input 2 3 2 4 3 2 5" xfId="21352" xr:uid="{00000000-0005-0000-0000-000097520000}"/>
    <cellStyle name="Input 2 3 2 4 3 2 6" xfId="21353" xr:uid="{00000000-0005-0000-0000-000098520000}"/>
    <cellStyle name="Input 2 3 2 4 3 2 7" xfId="21354" xr:uid="{00000000-0005-0000-0000-000099520000}"/>
    <cellStyle name="Input 2 3 2 4 3 3" xfId="21355" xr:uid="{00000000-0005-0000-0000-00009A520000}"/>
    <cellStyle name="Input 2 3 2 4 3 3 2" xfId="21356" xr:uid="{00000000-0005-0000-0000-00009B520000}"/>
    <cellStyle name="Input 2 3 2 4 3 3 2 2" xfId="21357" xr:uid="{00000000-0005-0000-0000-00009C520000}"/>
    <cellStyle name="Input 2 3 2 4 3 3 3" xfId="21358" xr:uid="{00000000-0005-0000-0000-00009D520000}"/>
    <cellStyle name="Input 2 3 2 4 3 3 3 2" xfId="21359" xr:uid="{00000000-0005-0000-0000-00009E520000}"/>
    <cellStyle name="Input 2 3 2 4 3 3 4" xfId="21360" xr:uid="{00000000-0005-0000-0000-00009F520000}"/>
    <cellStyle name="Input 2 3 2 4 3 3 5" xfId="21361" xr:uid="{00000000-0005-0000-0000-0000A0520000}"/>
    <cellStyle name="Input 2 3 2 4 3 3 6" xfId="21362" xr:uid="{00000000-0005-0000-0000-0000A1520000}"/>
    <cellStyle name="Input 2 3 2 4 3 4" xfId="21363" xr:uid="{00000000-0005-0000-0000-0000A2520000}"/>
    <cellStyle name="Input 2 3 2 4 3 4 2" xfId="21364" xr:uid="{00000000-0005-0000-0000-0000A3520000}"/>
    <cellStyle name="Input 2 3 2 4 3 5" xfId="21365" xr:uid="{00000000-0005-0000-0000-0000A4520000}"/>
    <cellStyle name="Input 2 3 2 4 3 5 2" xfId="21366" xr:uid="{00000000-0005-0000-0000-0000A5520000}"/>
    <cellStyle name="Input 2 3 2 4 3 6" xfId="21367" xr:uid="{00000000-0005-0000-0000-0000A6520000}"/>
    <cellStyle name="Input 2 3 2 4 3 7" xfId="21368" xr:uid="{00000000-0005-0000-0000-0000A7520000}"/>
    <cellStyle name="Input 2 3 2 4 3 8" xfId="21369" xr:uid="{00000000-0005-0000-0000-0000A8520000}"/>
    <cellStyle name="Input 2 3 2 4 4" xfId="21370" xr:uid="{00000000-0005-0000-0000-0000A9520000}"/>
    <cellStyle name="Input 2 3 2 4 4 2" xfId="21371" xr:uid="{00000000-0005-0000-0000-0000AA520000}"/>
    <cellStyle name="Input 2 3 2 4 4 2 2" xfId="21372" xr:uid="{00000000-0005-0000-0000-0000AB520000}"/>
    <cellStyle name="Input 2 3 2 4 4 2 2 2" xfId="21373" xr:uid="{00000000-0005-0000-0000-0000AC520000}"/>
    <cellStyle name="Input 2 3 2 4 4 2 3" xfId="21374" xr:uid="{00000000-0005-0000-0000-0000AD520000}"/>
    <cellStyle name="Input 2 3 2 4 4 2 3 2" xfId="21375" xr:uid="{00000000-0005-0000-0000-0000AE520000}"/>
    <cellStyle name="Input 2 3 2 4 4 2 4" xfId="21376" xr:uid="{00000000-0005-0000-0000-0000AF520000}"/>
    <cellStyle name="Input 2 3 2 4 4 2 5" xfId="21377" xr:uid="{00000000-0005-0000-0000-0000B0520000}"/>
    <cellStyle name="Input 2 3 2 4 4 2 6" xfId="21378" xr:uid="{00000000-0005-0000-0000-0000B1520000}"/>
    <cellStyle name="Input 2 3 2 4 4 3" xfId="21379" xr:uid="{00000000-0005-0000-0000-0000B2520000}"/>
    <cellStyle name="Input 2 3 2 4 4 3 2" xfId="21380" xr:uid="{00000000-0005-0000-0000-0000B3520000}"/>
    <cellStyle name="Input 2 3 2 4 4 4" xfId="21381" xr:uid="{00000000-0005-0000-0000-0000B4520000}"/>
    <cellStyle name="Input 2 3 2 4 4 4 2" xfId="21382" xr:uid="{00000000-0005-0000-0000-0000B5520000}"/>
    <cellStyle name="Input 2 3 2 4 4 5" xfId="21383" xr:uid="{00000000-0005-0000-0000-0000B6520000}"/>
    <cellStyle name="Input 2 3 2 4 4 6" xfId="21384" xr:uid="{00000000-0005-0000-0000-0000B7520000}"/>
    <cellStyle name="Input 2 3 2 4 4 7" xfId="21385" xr:uid="{00000000-0005-0000-0000-0000B8520000}"/>
    <cellStyle name="Input 2 3 2 4 5" xfId="21386" xr:uid="{00000000-0005-0000-0000-0000B9520000}"/>
    <cellStyle name="Input 2 3 2 4 5 2" xfId="21387" xr:uid="{00000000-0005-0000-0000-0000BA520000}"/>
    <cellStyle name="Input 2 3 2 4 5 2 2" xfId="21388" xr:uid="{00000000-0005-0000-0000-0000BB520000}"/>
    <cellStyle name="Input 2 3 2 4 5 3" xfId="21389" xr:uid="{00000000-0005-0000-0000-0000BC520000}"/>
    <cellStyle name="Input 2 3 2 4 5 3 2" xfId="21390" xr:uid="{00000000-0005-0000-0000-0000BD520000}"/>
    <cellStyle name="Input 2 3 2 4 5 4" xfId="21391" xr:uid="{00000000-0005-0000-0000-0000BE520000}"/>
    <cellStyle name="Input 2 3 2 4 5 5" xfId="21392" xr:uid="{00000000-0005-0000-0000-0000BF520000}"/>
    <cellStyle name="Input 2 3 2 4 5 6" xfId="21393" xr:uid="{00000000-0005-0000-0000-0000C0520000}"/>
    <cellStyle name="Input 2 3 2 4 6" xfId="21394" xr:uid="{00000000-0005-0000-0000-0000C1520000}"/>
    <cellStyle name="Input 2 3 2 4 6 2" xfId="21395" xr:uid="{00000000-0005-0000-0000-0000C2520000}"/>
    <cellStyle name="Input 2 3 2 4 7" xfId="21396" xr:uid="{00000000-0005-0000-0000-0000C3520000}"/>
    <cellStyle name="Input 2 3 2 4 7 2" xfId="21397" xr:uid="{00000000-0005-0000-0000-0000C4520000}"/>
    <cellStyle name="Input 2 3 2 4 8" xfId="21398" xr:uid="{00000000-0005-0000-0000-0000C5520000}"/>
    <cellStyle name="Input 2 3 2 4 9" xfId="21399" xr:uid="{00000000-0005-0000-0000-0000C6520000}"/>
    <cellStyle name="Input 2 3 2 5" xfId="21400" xr:uid="{00000000-0005-0000-0000-0000C7520000}"/>
    <cellStyle name="Input 2 3 2 5 2" xfId="21401" xr:uid="{00000000-0005-0000-0000-0000C8520000}"/>
    <cellStyle name="Input 2 3 2 5 2 2" xfId="21402" xr:uid="{00000000-0005-0000-0000-0000C9520000}"/>
    <cellStyle name="Input 2 3 2 5 2 2 2" xfId="21403" xr:uid="{00000000-0005-0000-0000-0000CA520000}"/>
    <cellStyle name="Input 2 3 2 5 2 2 2 2" xfId="21404" xr:uid="{00000000-0005-0000-0000-0000CB520000}"/>
    <cellStyle name="Input 2 3 2 5 2 2 3" xfId="21405" xr:uid="{00000000-0005-0000-0000-0000CC520000}"/>
    <cellStyle name="Input 2 3 2 5 2 2 3 2" xfId="21406" xr:uid="{00000000-0005-0000-0000-0000CD520000}"/>
    <cellStyle name="Input 2 3 2 5 2 2 4" xfId="21407" xr:uid="{00000000-0005-0000-0000-0000CE520000}"/>
    <cellStyle name="Input 2 3 2 5 2 2 5" xfId="21408" xr:uid="{00000000-0005-0000-0000-0000CF520000}"/>
    <cellStyle name="Input 2 3 2 5 2 2 6" xfId="21409" xr:uid="{00000000-0005-0000-0000-0000D0520000}"/>
    <cellStyle name="Input 2 3 2 5 2 3" xfId="21410" xr:uid="{00000000-0005-0000-0000-0000D1520000}"/>
    <cellStyle name="Input 2 3 2 5 2 3 2" xfId="21411" xr:uid="{00000000-0005-0000-0000-0000D2520000}"/>
    <cellStyle name="Input 2 3 2 5 2 4" xfId="21412" xr:uid="{00000000-0005-0000-0000-0000D3520000}"/>
    <cellStyle name="Input 2 3 2 5 2 4 2" xfId="21413" xr:uid="{00000000-0005-0000-0000-0000D4520000}"/>
    <cellStyle name="Input 2 3 2 5 2 5" xfId="21414" xr:uid="{00000000-0005-0000-0000-0000D5520000}"/>
    <cellStyle name="Input 2 3 2 5 2 6" xfId="21415" xr:uid="{00000000-0005-0000-0000-0000D6520000}"/>
    <cellStyle name="Input 2 3 2 5 2 7" xfId="21416" xr:uid="{00000000-0005-0000-0000-0000D7520000}"/>
    <cellStyle name="Input 2 3 2 5 3" xfId="21417" xr:uid="{00000000-0005-0000-0000-0000D8520000}"/>
    <cellStyle name="Input 2 3 2 5 3 2" xfId="21418" xr:uid="{00000000-0005-0000-0000-0000D9520000}"/>
    <cellStyle name="Input 2 3 2 5 3 2 2" xfId="21419" xr:uid="{00000000-0005-0000-0000-0000DA520000}"/>
    <cellStyle name="Input 2 3 2 5 3 3" xfId="21420" xr:uid="{00000000-0005-0000-0000-0000DB520000}"/>
    <cellStyle name="Input 2 3 2 5 3 3 2" xfId="21421" xr:uid="{00000000-0005-0000-0000-0000DC520000}"/>
    <cellStyle name="Input 2 3 2 5 3 4" xfId="21422" xr:uid="{00000000-0005-0000-0000-0000DD520000}"/>
    <cellStyle name="Input 2 3 2 5 3 5" xfId="21423" xr:uid="{00000000-0005-0000-0000-0000DE520000}"/>
    <cellStyle name="Input 2 3 2 5 3 6" xfId="21424" xr:uid="{00000000-0005-0000-0000-0000DF520000}"/>
    <cellStyle name="Input 2 3 2 5 4" xfId="21425" xr:uid="{00000000-0005-0000-0000-0000E0520000}"/>
    <cellStyle name="Input 2 3 2 5 4 2" xfId="21426" xr:uid="{00000000-0005-0000-0000-0000E1520000}"/>
    <cellStyle name="Input 2 3 2 5 5" xfId="21427" xr:uid="{00000000-0005-0000-0000-0000E2520000}"/>
    <cellStyle name="Input 2 3 2 5 5 2" xfId="21428" xr:uid="{00000000-0005-0000-0000-0000E3520000}"/>
    <cellStyle name="Input 2 3 2 5 6" xfId="21429" xr:uid="{00000000-0005-0000-0000-0000E4520000}"/>
    <cellStyle name="Input 2 3 2 5 7" xfId="21430" xr:uid="{00000000-0005-0000-0000-0000E5520000}"/>
    <cellStyle name="Input 2 3 2 5 8" xfId="21431" xr:uid="{00000000-0005-0000-0000-0000E6520000}"/>
    <cellStyle name="Input 2 3 2 6" xfId="21432" xr:uid="{00000000-0005-0000-0000-0000E7520000}"/>
    <cellStyle name="Input 2 3 2 6 2" xfId="21433" xr:uid="{00000000-0005-0000-0000-0000E8520000}"/>
    <cellStyle name="Input 2 3 2 6 2 2" xfId="21434" xr:uid="{00000000-0005-0000-0000-0000E9520000}"/>
    <cellStyle name="Input 2 3 2 6 2 2 2" xfId="21435" xr:uid="{00000000-0005-0000-0000-0000EA520000}"/>
    <cellStyle name="Input 2 3 2 6 2 3" xfId="21436" xr:uid="{00000000-0005-0000-0000-0000EB520000}"/>
    <cellStyle name="Input 2 3 2 6 2 3 2" xfId="21437" xr:uid="{00000000-0005-0000-0000-0000EC520000}"/>
    <cellStyle name="Input 2 3 2 6 2 4" xfId="21438" xr:uid="{00000000-0005-0000-0000-0000ED520000}"/>
    <cellStyle name="Input 2 3 2 6 2 5" xfId="21439" xr:uid="{00000000-0005-0000-0000-0000EE520000}"/>
    <cellStyle name="Input 2 3 2 6 2 6" xfId="21440" xr:uid="{00000000-0005-0000-0000-0000EF520000}"/>
    <cellStyle name="Input 2 3 2 6 3" xfId="21441" xr:uid="{00000000-0005-0000-0000-0000F0520000}"/>
    <cellStyle name="Input 2 3 2 6 3 2" xfId="21442" xr:uid="{00000000-0005-0000-0000-0000F1520000}"/>
    <cellStyle name="Input 2 3 2 6 4" xfId="21443" xr:uid="{00000000-0005-0000-0000-0000F2520000}"/>
    <cellStyle name="Input 2 3 2 6 4 2" xfId="21444" xr:uid="{00000000-0005-0000-0000-0000F3520000}"/>
    <cellStyle name="Input 2 3 2 6 5" xfId="21445" xr:uid="{00000000-0005-0000-0000-0000F4520000}"/>
    <cellStyle name="Input 2 3 2 6 6" xfId="21446" xr:uid="{00000000-0005-0000-0000-0000F5520000}"/>
    <cellStyle name="Input 2 3 2 6 7" xfId="21447" xr:uid="{00000000-0005-0000-0000-0000F6520000}"/>
    <cellStyle name="Input 2 3 2 7" xfId="21448" xr:uid="{00000000-0005-0000-0000-0000F7520000}"/>
    <cellStyle name="Input 2 3 2 7 2" xfId="21449" xr:uid="{00000000-0005-0000-0000-0000F8520000}"/>
    <cellStyle name="Input 2 3 2 7 2 2" xfId="21450" xr:uid="{00000000-0005-0000-0000-0000F9520000}"/>
    <cellStyle name="Input 2 3 2 7 3" xfId="21451" xr:uid="{00000000-0005-0000-0000-0000FA520000}"/>
    <cellStyle name="Input 2 3 2 7 3 2" xfId="21452" xr:uid="{00000000-0005-0000-0000-0000FB520000}"/>
    <cellStyle name="Input 2 3 2 7 4" xfId="21453" xr:uid="{00000000-0005-0000-0000-0000FC520000}"/>
    <cellStyle name="Input 2 3 2 7 5" xfId="21454" xr:uid="{00000000-0005-0000-0000-0000FD520000}"/>
    <cellStyle name="Input 2 3 2 7 6" xfId="21455" xr:uid="{00000000-0005-0000-0000-0000FE520000}"/>
    <cellStyle name="Input 2 3 2 8" xfId="21456" xr:uid="{00000000-0005-0000-0000-0000FF520000}"/>
    <cellStyle name="Input 2 3 2 8 2" xfId="21457" xr:uid="{00000000-0005-0000-0000-000000530000}"/>
    <cellStyle name="Input 2 3 2 9" xfId="21458" xr:uid="{00000000-0005-0000-0000-000001530000}"/>
    <cellStyle name="Input 2 3 2 9 2" xfId="21459" xr:uid="{00000000-0005-0000-0000-000002530000}"/>
    <cellStyle name="Input 2 3 3" xfId="21460" xr:uid="{00000000-0005-0000-0000-000003530000}"/>
    <cellStyle name="Input 2 3 3 10" xfId="21461" xr:uid="{00000000-0005-0000-0000-000004530000}"/>
    <cellStyle name="Input 2 3 3 11" xfId="21462" xr:uid="{00000000-0005-0000-0000-000005530000}"/>
    <cellStyle name="Input 2 3 3 2" xfId="21463" xr:uid="{00000000-0005-0000-0000-000006530000}"/>
    <cellStyle name="Input 2 3 3 2 10" xfId="21464" xr:uid="{00000000-0005-0000-0000-000007530000}"/>
    <cellStyle name="Input 2 3 3 2 2" xfId="21465" xr:uid="{00000000-0005-0000-0000-000008530000}"/>
    <cellStyle name="Input 2 3 3 2 2 10" xfId="21466" xr:uid="{00000000-0005-0000-0000-000009530000}"/>
    <cellStyle name="Input 2 3 3 2 2 2" xfId="21467" xr:uid="{00000000-0005-0000-0000-00000A530000}"/>
    <cellStyle name="Input 2 3 3 2 2 2 2" xfId="21468" xr:uid="{00000000-0005-0000-0000-00000B530000}"/>
    <cellStyle name="Input 2 3 3 2 2 2 2 2" xfId="21469" xr:uid="{00000000-0005-0000-0000-00000C530000}"/>
    <cellStyle name="Input 2 3 3 2 2 2 2 2 2" xfId="21470" xr:uid="{00000000-0005-0000-0000-00000D530000}"/>
    <cellStyle name="Input 2 3 3 2 2 2 2 2 2 2" xfId="21471" xr:uid="{00000000-0005-0000-0000-00000E530000}"/>
    <cellStyle name="Input 2 3 3 2 2 2 2 2 3" xfId="21472" xr:uid="{00000000-0005-0000-0000-00000F530000}"/>
    <cellStyle name="Input 2 3 3 2 2 2 2 2 3 2" xfId="21473" xr:uid="{00000000-0005-0000-0000-000010530000}"/>
    <cellStyle name="Input 2 3 3 2 2 2 2 2 4" xfId="21474" xr:uid="{00000000-0005-0000-0000-000011530000}"/>
    <cellStyle name="Input 2 3 3 2 2 2 2 2 5" xfId="21475" xr:uid="{00000000-0005-0000-0000-000012530000}"/>
    <cellStyle name="Input 2 3 3 2 2 2 2 2 6" xfId="21476" xr:uid="{00000000-0005-0000-0000-000013530000}"/>
    <cellStyle name="Input 2 3 3 2 2 2 2 3" xfId="21477" xr:uid="{00000000-0005-0000-0000-000014530000}"/>
    <cellStyle name="Input 2 3 3 2 2 2 2 3 2" xfId="21478" xr:uid="{00000000-0005-0000-0000-000015530000}"/>
    <cellStyle name="Input 2 3 3 2 2 2 2 4" xfId="21479" xr:uid="{00000000-0005-0000-0000-000016530000}"/>
    <cellStyle name="Input 2 3 3 2 2 2 2 4 2" xfId="21480" xr:uid="{00000000-0005-0000-0000-000017530000}"/>
    <cellStyle name="Input 2 3 3 2 2 2 2 5" xfId="21481" xr:uid="{00000000-0005-0000-0000-000018530000}"/>
    <cellStyle name="Input 2 3 3 2 2 2 2 6" xfId="21482" xr:uid="{00000000-0005-0000-0000-000019530000}"/>
    <cellStyle name="Input 2 3 3 2 2 2 2 7" xfId="21483" xr:uid="{00000000-0005-0000-0000-00001A530000}"/>
    <cellStyle name="Input 2 3 3 2 2 2 3" xfId="21484" xr:uid="{00000000-0005-0000-0000-00001B530000}"/>
    <cellStyle name="Input 2 3 3 2 2 2 3 2" xfId="21485" xr:uid="{00000000-0005-0000-0000-00001C530000}"/>
    <cellStyle name="Input 2 3 3 2 2 2 3 2 2" xfId="21486" xr:uid="{00000000-0005-0000-0000-00001D530000}"/>
    <cellStyle name="Input 2 3 3 2 2 2 3 3" xfId="21487" xr:uid="{00000000-0005-0000-0000-00001E530000}"/>
    <cellStyle name="Input 2 3 3 2 2 2 3 3 2" xfId="21488" xr:uid="{00000000-0005-0000-0000-00001F530000}"/>
    <cellStyle name="Input 2 3 3 2 2 2 3 4" xfId="21489" xr:uid="{00000000-0005-0000-0000-000020530000}"/>
    <cellStyle name="Input 2 3 3 2 2 2 3 5" xfId="21490" xr:uid="{00000000-0005-0000-0000-000021530000}"/>
    <cellStyle name="Input 2 3 3 2 2 2 3 6" xfId="21491" xr:uid="{00000000-0005-0000-0000-000022530000}"/>
    <cellStyle name="Input 2 3 3 2 2 2 4" xfId="21492" xr:uid="{00000000-0005-0000-0000-000023530000}"/>
    <cellStyle name="Input 2 3 3 2 2 2 4 2" xfId="21493" xr:uid="{00000000-0005-0000-0000-000024530000}"/>
    <cellStyle name="Input 2 3 3 2 2 2 5" xfId="21494" xr:uid="{00000000-0005-0000-0000-000025530000}"/>
    <cellStyle name="Input 2 3 3 2 2 2 5 2" xfId="21495" xr:uid="{00000000-0005-0000-0000-000026530000}"/>
    <cellStyle name="Input 2 3 3 2 2 2 6" xfId="21496" xr:uid="{00000000-0005-0000-0000-000027530000}"/>
    <cellStyle name="Input 2 3 3 2 2 2 7" xfId="21497" xr:uid="{00000000-0005-0000-0000-000028530000}"/>
    <cellStyle name="Input 2 3 3 2 2 2 8" xfId="21498" xr:uid="{00000000-0005-0000-0000-000029530000}"/>
    <cellStyle name="Input 2 3 3 2 2 3" xfId="21499" xr:uid="{00000000-0005-0000-0000-00002A530000}"/>
    <cellStyle name="Input 2 3 3 2 2 3 2" xfId="21500" xr:uid="{00000000-0005-0000-0000-00002B530000}"/>
    <cellStyle name="Input 2 3 3 2 2 3 2 2" xfId="21501" xr:uid="{00000000-0005-0000-0000-00002C530000}"/>
    <cellStyle name="Input 2 3 3 2 2 3 2 2 2" xfId="21502" xr:uid="{00000000-0005-0000-0000-00002D530000}"/>
    <cellStyle name="Input 2 3 3 2 2 3 2 2 2 2" xfId="21503" xr:uid="{00000000-0005-0000-0000-00002E530000}"/>
    <cellStyle name="Input 2 3 3 2 2 3 2 2 3" xfId="21504" xr:uid="{00000000-0005-0000-0000-00002F530000}"/>
    <cellStyle name="Input 2 3 3 2 2 3 2 2 3 2" xfId="21505" xr:uid="{00000000-0005-0000-0000-000030530000}"/>
    <cellStyle name="Input 2 3 3 2 2 3 2 2 4" xfId="21506" xr:uid="{00000000-0005-0000-0000-000031530000}"/>
    <cellStyle name="Input 2 3 3 2 2 3 2 2 5" xfId="21507" xr:uid="{00000000-0005-0000-0000-000032530000}"/>
    <cellStyle name="Input 2 3 3 2 2 3 2 2 6" xfId="21508" xr:uid="{00000000-0005-0000-0000-000033530000}"/>
    <cellStyle name="Input 2 3 3 2 2 3 2 3" xfId="21509" xr:uid="{00000000-0005-0000-0000-000034530000}"/>
    <cellStyle name="Input 2 3 3 2 2 3 2 3 2" xfId="21510" xr:uid="{00000000-0005-0000-0000-000035530000}"/>
    <cellStyle name="Input 2 3 3 2 2 3 2 4" xfId="21511" xr:uid="{00000000-0005-0000-0000-000036530000}"/>
    <cellStyle name="Input 2 3 3 2 2 3 2 4 2" xfId="21512" xr:uid="{00000000-0005-0000-0000-000037530000}"/>
    <cellStyle name="Input 2 3 3 2 2 3 2 5" xfId="21513" xr:uid="{00000000-0005-0000-0000-000038530000}"/>
    <cellStyle name="Input 2 3 3 2 2 3 2 6" xfId="21514" xr:uid="{00000000-0005-0000-0000-000039530000}"/>
    <cellStyle name="Input 2 3 3 2 2 3 2 7" xfId="21515" xr:uid="{00000000-0005-0000-0000-00003A530000}"/>
    <cellStyle name="Input 2 3 3 2 2 3 3" xfId="21516" xr:uid="{00000000-0005-0000-0000-00003B530000}"/>
    <cellStyle name="Input 2 3 3 2 2 3 3 2" xfId="21517" xr:uid="{00000000-0005-0000-0000-00003C530000}"/>
    <cellStyle name="Input 2 3 3 2 2 3 3 2 2" xfId="21518" xr:uid="{00000000-0005-0000-0000-00003D530000}"/>
    <cellStyle name="Input 2 3 3 2 2 3 3 3" xfId="21519" xr:uid="{00000000-0005-0000-0000-00003E530000}"/>
    <cellStyle name="Input 2 3 3 2 2 3 3 3 2" xfId="21520" xr:uid="{00000000-0005-0000-0000-00003F530000}"/>
    <cellStyle name="Input 2 3 3 2 2 3 3 4" xfId="21521" xr:uid="{00000000-0005-0000-0000-000040530000}"/>
    <cellStyle name="Input 2 3 3 2 2 3 3 5" xfId="21522" xr:uid="{00000000-0005-0000-0000-000041530000}"/>
    <cellStyle name="Input 2 3 3 2 2 3 3 6" xfId="21523" xr:uid="{00000000-0005-0000-0000-000042530000}"/>
    <cellStyle name="Input 2 3 3 2 2 3 4" xfId="21524" xr:uid="{00000000-0005-0000-0000-000043530000}"/>
    <cellStyle name="Input 2 3 3 2 2 3 4 2" xfId="21525" xr:uid="{00000000-0005-0000-0000-000044530000}"/>
    <cellStyle name="Input 2 3 3 2 2 3 5" xfId="21526" xr:uid="{00000000-0005-0000-0000-000045530000}"/>
    <cellStyle name="Input 2 3 3 2 2 3 5 2" xfId="21527" xr:uid="{00000000-0005-0000-0000-000046530000}"/>
    <cellStyle name="Input 2 3 3 2 2 3 6" xfId="21528" xr:uid="{00000000-0005-0000-0000-000047530000}"/>
    <cellStyle name="Input 2 3 3 2 2 3 7" xfId="21529" xr:uid="{00000000-0005-0000-0000-000048530000}"/>
    <cellStyle name="Input 2 3 3 2 2 3 8" xfId="21530" xr:uid="{00000000-0005-0000-0000-000049530000}"/>
    <cellStyle name="Input 2 3 3 2 2 4" xfId="21531" xr:uid="{00000000-0005-0000-0000-00004A530000}"/>
    <cellStyle name="Input 2 3 3 2 2 4 2" xfId="21532" xr:uid="{00000000-0005-0000-0000-00004B530000}"/>
    <cellStyle name="Input 2 3 3 2 2 4 2 2" xfId="21533" xr:uid="{00000000-0005-0000-0000-00004C530000}"/>
    <cellStyle name="Input 2 3 3 2 2 4 2 2 2" xfId="21534" xr:uid="{00000000-0005-0000-0000-00004D530000}"/>
    <cellStyle name="Input 2 3 3 2 2 4 2 3" xfId="21535" xr:uid="{00000000-0005-0000-0000-00004E530000}"/>
    <cellStyle name="Input 2 3 3 2 2 4 2 3 2" xfId="21536" xr:uid="{00000000-0005-0000-0000-00004F530000}"/>
    <cellStyle name="Input 2 3 3 2 2 4 2 4" xfId="21537" xr:uid="{00000000-0005-0000-0000-000050530000}"/>
    <cellStyle name="Input 2 3 3 2 2 4 2 5" xfId="21538" xr:uid="{00000000-0005-0000-0000-000051530000}"/>
    <cellStyle name="Input 2 3 3 2 2 4 2 6" xfId="21539" xr:uid="{00000000-0005-0000-0000-000052530000}"/>
    <cellStyle name="Input 2 3 3 2 2 4 3" xfId="21540" xr:uid="{00000000-0005-0000-0000-000053530000}"/>
    <cellStyle name="Input 2 3 3 2 2 4 3 2" xfId="21541" xr:uid="{00000000-0005-0000-0000-000054530000}"/>
    <cellStyle name="Input 2 3 3 2 2 4 4" xfId="21542" xr:uid="{00000000-0005-0000-0000-000055530000}"/>
    <cellStyle name="Input 2 3 3 2 2 4 4 2" xfId="21543" xr:uid="{00000000-0005-0000-0000-000056530000}"/>
    <cellStyle name="Input 2 3 3 2 2 4 5" xfId="21544" xr:uid="{00000000-0005-0000-0000-000057530000}"/>
    <cellStyle name="Input 2 3 3 2 2 4 6" xfId="21545" xr:uid="{00000000-0005-0000-0000-000058530000}"/>
    <cellStyle name="Input 2 3 3 2 2 4 7" xfId="21546" xr:uid="{00000000-0005-0000-0000-000059530000}"/>
    <cellStyle name="Input 2 3 3 2 2 5" xfId="21547" xr:uid="{00000000-0005-0000-0000-00005A530000}"/>
    <cellStyle name="Input 2 3 3 2 2 5 2" xfId="21548" xr:uid="{00000000-0005-0000-0000-00005B530000}"/>
    <cellStyle name="Input 2 3 3 2 2 5 2 2" xfId="21549" xr:uid="{00000000-0005-0000-0000-00005C530000}"/>
    <cellStyle name="Input 2 3 3 2 2 5 3" xfId="21550" xr:uid="{00000000-0005-0000-0000-00005D530000}"/>
    <cellStyle name="Input 2 3 3 2 2 5 3 2" xfId="21551" xr:uid="{00000000-0005-0000-0000-00005E530000}"/>
    <cellStyle name="Input 2 3 3 2 2 5 4" xfId="21552" xr:uid="{00000000-0005-0000-0000-00005F530000}"/>
    <cellStyle name="Input 2 3 3 2 2 5 5" xfId="21553" xr:uid="{00000000-0005-0000-0000-000060530000}"/>
    <cellStyle name="Input 2 3 3 2 2 5 6" xfId="21554" xr:uid="{00000000-0005-0000-0000-000061530000}"/>
    <cellStyle name="Input 2 3 3 2 2 6" xfId="21555" xr:uid="{00000000-0005-0000-0000-000062530000}"/>
    <cellStyle name="Input 2 3 3 2 2 6 2" xfId="21556" xr:uid="{00000000-0005-0000-0000-000063530000}"/>
    <cellStyle name="Input 2 3 3 2 2 7" xfId="21557" xr:uid="{00000000-0005-0000-0000-000064530000}"/>
    <cellStyle name="Input 2 3 3 2 2 7 2" xfId="21558" xr:uid="{00000000-0005-0000-0000-000065530000}"/>
    <cellStyle name="Input 2 3 3 2 2 8" xfId="21559" xr:uid="{00000000-0005-0000-0000-000066530000}"/>
    <cellStyle name="Input 2 3 3 2 2 9" xfId="21560" xr:uid="{00000000-0005-0000-0000-000067530000}"/>
    <cellStyle name="Input 2 3 3 2 3" xfId="21561" xr:uid="{00000000-0005-0000-0000-000068530000}"/>
    <cellStyle name="Input 2 3 3 2 3 2" xfId="21562" xr:uid="{00000000-0005-0000-0000-000069530000}"/>
    <cellStyle name="Input 2 3 3 2 3 2 2" xfId="21563" xr:uid="{00000000-0005-0000-0000-00006A530000}"/>
    <cellStyle name="Input 2 3 3 2 3 2 2 2" xfId="21564" xr:uid="{00000000-0005-0000-0000-00006B530000}"/>
    <cellStyle name="Input 2 3 3 2 3 2 2 2 2" xfId="21565" xr:uid="{00000000-0005-0000-0000-00006C530000}"/>
    <cellStyle name="Input 2 3 3 2 3 2 2 3" xfId="21566" xr:uid="{00000000-0005-0000-0000-00006D530000}"/>
    <cellStyle name="Input 2 3 3 2 3 2 2 3 2" xfId="21567" xr:uid="{00000000-0005-0000-0000-00006E530000}"/>
    <cellStyle name="Input 2 3 3 2 3 2 2 4" xfId="21568" xr:uid="{00000000-0005-0000-0000-00006F530000}"/>
    <cellStyle name="Input 2 3 3 2 3 2 2 5" xfId="21569" xr:uid="{00000000-0005-0000-0000-000070530000}"/>
    <cellStyle name="Input 2 3 3 2 3 2 2 6" xfId="21570" xr:uid="{00000000-0005-0000-0000-000071530000}"/>
    <cellStyle name="Input 2 3 3 2 3 2 3" xfId="21571" xr:uid="{00000000-0005-0000-0000-000072530000}"/>
    <cellStyle name="Input 2 3 3 2 3 2 3 2" xfId="21572" xr:uid="{00000000-0005-0000-0000-000073530000}"/>
    <cellStyle name="Input 2 3 3 2 3 2 4" xfId="21573" xr:uid="{00000000-0005-0000-0000-000074530000}"/>
    <cellStyle name="Input 2 3 3 2 3 2 4 2" xfId="21574" xr:uid="{00000000-0005-0000-0000-000075530000}"/>
    <cellStyle name="Input 2 3 3 2 3 2 5" xfId="21575" xr:uid="{00000000-0005-0000-0000-000076530000}"/>
    <cellStyle name="Input 2 3 3 2 3 2 6" xfId="21576" xr:uid="{00000000-0005-0000-0000-000077530000}"/>
    <cellStyle name="Input 2 3 3 2 3 2 7" xfId="21577" xr:uid="{00000000-0005-0000-0000-000078530000}"/>
    <cellStyle name="Input 2 3 3 2 3 3" xfId="21578" xr:uid="{00000000-0005-0000-0000-000079530000}"/>
    <cellStyle name="Input 2 3 3 2 3 3 2" xfId="21579" xr:uid="{00000000-0005-0000-0000-00007A530000}"/>
    <cellStyle name="Input 2 3 3 2 3 3 2 2" xfId="21580" xr:uid="{00000000-0005-0000-0000-00007B530000}"/>
    <cellStyle name="Input 2 3 3 2 3 3 3" xfId="21581" xr:uid="{00000000-0005-0000-0000-00007C530000}"/>
    <cellStyle name="Input 2 3 3 2 3 3 3 2" xfId="21582" xr:uid="{00000000-0005-0000-0000-00007D530000}"/>
    <cellStyle name="Input 2 3 3 2 3 3 4" xfId="21583" xr:uid="{00000000-0005-0000-0000-00007E530000}"/>
    <cellStyle name="Input 2 3 3 2 3 3 5" xfId="21584" xr:uid="{00000000-0005-0000-0000-00007F530000}"/>
    <cellStyle name="Input 2 3 3 2 3 3 6" xfId="21585" xr:uid="{00000000-0005-0000-0000-000080530000}"/>
    <cellStyle name="Input 2 3 3 2 3 4" xfId="21586" xr:uid="{00000000-0005-0000-0000-000081530000}"/>
    <cellStyle name="Input 2 3 3 2 3 4 2" xfId="21587" xr:uid="{00000000-0005-0000-0000-000082530000}"/>
    <cellStyle name="Input 2 3 3 2 3 5" xfId="21588" xr:uid="{00000000-0005-0000-0000-000083530000}"/>
    <cellStyle name="Input 2 3 3 2 3 5 2" xfId="21589" xr:uid="{00000000-0005-0000-0000-000084530000}"/>
    <cellStyle name="Input 2 3 3 2 3 6" xfId="21590" xr:uid="{00000000-0005-0000-0000-000085530000}"/>
    <cellStyle name="Input 2 3 3 2 3 7" xfId="21591" xr:uid="{00000000-0005-0000-0000-000086530000}"/>
    <cellStyle name="Input 2 3 3 2 3 8" xfId="21592" xr:uid="{00000000-0005-0000-0000-000087530000}"/>
    <cellStyle name="Input 2 3 3 2 4" xfId="21593" xr:uid="{00000000-0005-0000-0000-000088530000}"/>
    <cellStyle name="Input 2 3 3 2 4 2" xfId="21594" xr:uid="{00000000-0005-0000-0000-000089530000}"/>
    <cellStyle name="Input 2 3 3 2 4 2 2" xfId="21595" xr:uid="{00000000-0005-0000-0000-00008A530000}"/>
    <cellStyle name="Input 2 3 3 2 4 2 2 2" xfId="21596" xr:uid="{00000000-0005-0000-0000-00008B530000}"/>
    <cellStyle name="Input 2 3 3 2 4 2 3" xfId="21597" xr:uid="{00000000-0005-0000-0000-00008C530000}"/>
    <cellStyle name="Input 2 3 3 2 4 2 3 2" xfId="21598" xr:uid="{00000000-0005-0000-0000-00008D530000}"/>
    <cellStyle name="Input 2 3 3 2 4 2 4" xfId="21599" xr:uid="{00000000-0005-0000-0000-00008E530000}"/>
    <cellStyle name="Input 2 3 3 2 4 2 5" xfId="21600" xr:uid="{00000000-0005-0000-0000-00008F530000}"/>
    <cellStyle name="Input 2 3 3 2 4 2 6" xfId="21601" xr:uid="{00000000-0005-0000-0000-000090530000}"/>
    <cellStyle name="Input 2 3 3 2 4 3" xfId="21602" xr:uid="{00000000-0005-0000-0000-000091530000}"/>
    <cellStyle name="Input 2 3 3 2 4 3 2" xfId="21603" xr:uid="{00000000-0005-0000-0000-000092530000}"/>
    <cellStyle name="Input 2 3 3 2 4 4" xfId="21604" xr:uid="{00000000-0005-0000-0000-000093530000}"/>
    <cellStyle name="Input 2 3 3 2 4 4 2" xfId="21605" xr:uid="{00000000-0005-0000-0000-000094530000}"/>
    <cellStyle name="Input 2 3 3 2 4 5" xfId="21606" xr:uid="{00000000-0005-0000-0000-000095530000}"/>
    <cellStyle name="Input 2 3 3 2 4 6" xfId="21607" xr:uid="{00000000-0005-0000-0000-000096530000}"/>
    <cellStyle name="Input 2 3 3 2 4 7" xfId="21608" xr:uid="{00000000-0005-0000-0000-000097530000}"/>
    <cellStyle name="Input 2 3 3 2 5" xfId="21609" xr:uid="{00000000-0005-0000-0000-000098530000}"/>
    <cellStyle name="Input 2 3 3 2 5 2" xfId="21610" xr:uid="{00000000-0005-0000-0000-000099530000}"/>
    <cellStyle name="Input 2 3 3 2 5 2 2" xfId="21611" xr:uid="{00000000-0005-0000-0000-00009A530000}"/>
    <cellStyle name="Input 2 3 3 2 5 3" xfId="21612" xr:uid="{00000000-0005-0000-0000-00009B530000}"/>
    <cellStyle name="Input 2 3 3 2 5 3 2" xfId="21613" xr:uid="{00000000-0005-0000-0000-00009C530000}"/>
    <cellStyle name="Input 2 3 3 2 5 4" xfId="21614" xr:uid="{00000000-0005-0000-0000-00009D530000}"/>
    <cellStyle name="Input 2 3 3 2 5 5" xfId="21615" xr:uid="{00000000-0005-0000-0000-00009E530000}"/>
    <cellStyle name="Input 2 3 3 2 5 6" xfId="21616" xr:uid="{00000000-0005-0000-0000-00009F530000}"/>
    <cellStyle name="Input 2 3 3 2 6" xfId="21617" xr:uid="{00000000-0005-0000-0000-0000A0530000}"/>
    <cellStyle name="Input 2 3 3 2 6 2" xfId="21618" xr:uid="{00000000-0005-0000-0000-0000A1530000}"/>
    <cellStyle name="Input 2 3 3 2 7" xfId="21619" xr:uid="{00000000-0005-0000-0000-0000A2530000}"/>
    <cellStyle name="Input 2 3 3 2 7 2" xfId="21620" xr:uid="{00000000-0005-0000-0000-0000A3530000}"/>
    <cellStyle name="Input 2 3 3 2 8" xfId="21621" xr:uid="{00000000-0005-0000-0000-0000A4530000}"/>
    <cellStyle name="Input 2 3 3 2 9" xfId="21622" xr:uid="{00000000-0005-0000-0000-0000A5530000}"/>
    <cellStyle name="Input 2 3 3 3" xfId="21623" xr:uid="{00000000-0005-0000-0000-0000A6530000}"/>
    <cellStyle name="Input 2 3 3 3 10" xfId="21624" xr:uid="{00000000-0005-0000-0000-0000A7530000}"/>
    <cellStyle name="Input 2 3 3 3 2" xfId="21625" xr:uid="{00000000-0005-0000-0000-0000A8530000}"/>
    <cellStyle name="Input 2 3 3 3 2 2" xfId="21626" xr:uid="{00000000-0005-0000-0000-0000A9530000}"/>
    <cellStyle name="Input 2 3 3 3 2 2 2" xfId="21627" xr:uid="{00000000-0005-0000-0000-0000AA530000}"/>
    <cellStyle name="Input 2 3 3 3 2 2 2 2" xfId="21628" xr:uid="{00000000-0005-0000-0000-0000AB530000}"/>
    <cellStyle name="Input 2 3 3 3 2 2 2 2 2" xfId="21629" xr:uid="{00000000-0005-0000-0000-0000AC530000}"/>
    <cellStyle name="Input 2 3 3 3 2 2 2 3" xfId="21630" xr:uid="{00000000-0005-0000-0000-0000AD530000}"/>
    <cellStyle name="Input 2 3 3 3 2 2 2 3 2" xfId="21631" xr:uid="{00000000-0005-0000-0000-0000AE530000}"/>
    <cellStyle name="Input 2 3 3 3 2 2 2 4" xfId="21632" xr:uid="{00000000-0005-0000-0000-0000AF530000}"/>
    <cellStyle name="Input 2 3 3 3 2 2 2 5" xfId="21633" xr:uid="{00000000-0005-0000-0000-0000B0530000}"/>
    <cellStyle name="Input 2 3 3 3 2 2 2 6" xfId="21634" xr:uid="{00000000-0005-0000-0000-0000B1530000}"/>
    <cellStyle name="Input 2 3 3 3 2 2 3" xfId="21635" xr:uid="{00000000-0005-0000-0000-0000B2530000}"/>
    <cellStyle name="Input 2 3 3 3 2 2 3 2" xfId="21636" xr:uid="{00000000-0005-0000-0000-0000B3530000}"/>
    <cellStyle name="Input 2 3 3 3 2 2 4" xfId="21637" xr:uid="{00000000-0005-0000-0000-0000B4530000}"/>
    <cellStyle name="Input 2 3 3 3 2 2 4 2" xfId="21638" xr:uid="{00000000-0005-0000-0000-0000B5530000}"/>
    <cellStyle name="Input 2 3 3 3 2 2 5" xfId="21639" xr:uid="{00000000-0005-0000-0000-0000B6530000}"/>
    <cellStyle name="Input 2 3 3 3 2 2 6" xfId="21640" xr:uid="{00000000-0005-0000-0000-0000B7530000}"/>
    <cellStyle name="Input 2 3 3 3 2 2 7" xfId="21641" xr:uid="{00000000-0005-0000-0000-0000B8530000}"/>
    <cellStyle name="Input 2 3 3 3 2 3" xfId="21642" xr:uid="{00000000-0005-0000-0000-0000B9530000}"/>
    <cellStyle name="Input 2 3 3 3 2 3 2" xfId="21643" xr:uid="{00000000-0005-0000-0000-0000BA530000}"/>
    <cellStyle name="Input 2 3 3 3 2 3 2 2" xfId="21644" xr:uid="{00000000-0005-0000-0000-0000BB530000}"/>
    <cellStyle name="Input 2 3 3 3 2 3 3" xfId="21645" xr:uid="{00000000-0005-0000-0000-0000BC530000}"/>
    <cellStyle name="Input 2 3 3 3 2 3 3 2" xfId="21646" xr:uid="{00000000-0005-0000-0000-0000BD530000}"/>
    <cellStyle name="Input 2 3 3 3 2 3 4" xfId="21647" xr:uid="{00000000-0005-0000-0000-0000BE530000}"/>
    <cellStyle name="Input 2 3 3 3 2 3 5" xfId="21648" xr:uid="{00000000-0005-0000-0000-0000BF530000}"/>
    <cellStyle name="Input 2 3 3 3 2 3 6" xfId="21649" xr:uid="{00000000-0005-0000-0000-0000C0530000}"/>
    <cellStyle name="Input 2 3 3 3 2 4" xfId="21650" xr:uid="{00000000-0005-0000-0000-0000C1530000}"/>
    <cellStyle name="Input 2 3 3 3 2 4 2" xfId="21651" xr:uid="{00000000-0005-0000-0000-0000C2530000}"/>
    <cellStyle name="Input 2 3 3 3 2 5" xfId="21652" xr:uid="{00000000-0005-0000-0000-0000C3530000}"/>
    <cellStyle name="Input 2 3 3 3 2 5 2" xfId="21653" xr:uid="{00000000-0005-0000-0000-0000C4530000}"/>
    <cellStyle name="Input 2 3 3 3 2 6" xfId="21654" xr:uid="{00000000-0005-0000-0000-0000C5530000}"/>
    <cellStyle name="Input 2 3 3 3 2 7" xfId="21655" xr:uid="{00000000-0005-0000-0000-0000C6530000}"/>
    <cellStyle name="Input 2 3 3 3 2 8" xfId="21656" xr:uid="{00000000-0005-0000-0000-0000C7530000}"/>
    <cellStyle name="Input 2 3 3 3 3" xfId="21657" xr:uid="{00000000-0005-0000-0000-0000C8530000}"/>
    <cellStyle name="Input 2 3 3 3 3 2" xfId="21658" xr:uid="{00000000-0005-0000-0000-0000C9530000}"/>
    <cellStyle name="Input 2 3 3 3 3 2 2" xfId="21659" xr:uid="{00000000-0005-0000-0000-0000CA530000}"/>
    <cellStyle name="Input 2 3 3 3 3 2 2 2" xfId="21660" xr:uid="{00000000-0005-0000-0000-0000CB530000}"/>
    <cellStyle name="Input 2 3 3 3 3 2 2 2 2" xfId="21661" xr:uid="{00000000-0005-0000-0000-0000CC530000}"/>
    <cellStyle name="Input 2 3 3 3 3 2 2 3" xfId="21662" xr:uid="{00000000-0005-0000-0000-0000CD530000}"/>
    <cellStyle name="Input 2 3 3 3 3 2 2 3 2" xfId="21663" xr:uid="{00000000-0005-0000-0000-0000CE530000}"/>
    <cellStyle name="Input 2 3 3 3 3 2 2 4" xfId="21664" xr:uid="{00000000-0005-0000-0000-0000CF530000}"/>
    <cellStyle name="Input 2 3 3 3 3 2 2 5" xfId="21665" xr:uid="{00000000-0005-0000-0000-0000D0530000}"/>
    <cellStyle name="Input 2 3 3 3 3 2 2 6" xfId="21666" xr:uid="{00000000-0005-0000-0000-0000D1530000}"/>
    <cellStyle name="Input 2 3 3 3 3 2 3" xfId="21667" xr:uid="{00000000-0005-0000-0000-0000D2530000}"/>
    <cellStyle name="Input 2 3 3 3 3 2 3 2" xfId="21668" xr:uid="{00000000-0005-0000-0000-0000D3530000}"/>
    <cellStyle name="Input 2 3 3 3 3 2 4" xfId="21669" xr:uid="{00000000-0005-0000-0000-0000D4530000}"/>
    <cellStyle name="Input 2 3 3 3 3 2 4 2" xfId="21670" xr:uid="{00000000-0005-0000-0000-0000D5530000}"/>
    <cellStyle name="Input 2 3 3 3 3 2 5" xfId="21671" xr:uid="{00000000-0005-0000-0000-0000D6530000}"/>
    <cellStyle name="Input 2 3 3 3 3 2 6" xfId="21672" xr:uid="{00000000-0005-0000-0000-0000D7530000}"/>
    <cellStyle name="Input 2 3 3 3 3 2 7" xfId="21673" xr:uid="{00000000-0005-0000-0000-0000D8530000}"/>
    <cellStyle name="Input 2 3 3 3 3 3" xfId="21674" xr:uid="{00000000-0005-0000-0000-0000D9530000}"/>
    <cellStyle name="Input 2 3 3 3 3 3 2" xfId="21675" xr:uid="{00000000-0005-0000-0000-0000DA530000}"/>
    <cellStyle name="Input 2 3 3 3 3 3 2 2" xfId="21676" xr:uid="{00000000-0005-0000-0000-0000DB530000}"/>
    <cellStyle name="Input 2 3 3 3 3 3 3" xfId="21677" xr:uid="{00000000-0005-0000-0000-0000DC530000}"/>
    <cellStyle name="Input 2 3 3 3 3 3 3 2" xfId="21678" xr:uid="{00000000-0005-0000-0000-0000DD530000}"/>
    <cellStyle name="Input 2 3 3 3 3 3 4" xfId="21679" xr:uid="{00000000-0005-0000-0000-0000DE530000}"/>
    <cellStyle name="Input 2 3 3 3 3 3 5" xfId="21680" xr:uid="{00000000-0005-0000-0000-0000DF530000}"/>
    <cellStyle name="Input 2 3 3 3 3 3 6" xfId="21681" xr:uid="{00000000-0005-0000-0000-0000E0530000}"/>
    <cellStyle name="Input 2 3 3 3 3 4" xfId="21682" xr:uid="{00000000-0005-0000-0000-0000E1530000}"/>
    <cellStyle name="Input 2 3 3 3 3 4 2" xfId="21683" xr:uid="{00000000-0005-0000-0000-0000E2530000}"/>
    <cellStyle name="Input 2 3 3 3 3 5" xfId="21684" xr:uid="{00000000-0005-0000-0000-0000E3530000}"/>
    <cellStyle name="Input 2 3 3 3 3 5 2" xfId="21685" xr:uid="{00000000-0005-0000-0000-0000E4530000}"/>
    <cellStyle name="Input 2 3 3 3 3 6" xfId="21686" xr:uid="{00000000-0005-0000-0000-0000E5530000}"/>
    <cellStyle name="Input 2 3 3 3 3 7" xfId="21687" xr:uid="{00000000-0005-0000-0000-0000E6530000}"/>
    <cellStyle name="Input 2 3 3 3 3 8" xfId="21688" xr:uid="{00000000-0005-0000-0000-0000E7530000}"/>
    <cellStyle name="Input 2 3 3 3 4" xfId="21689" xr:uid="{00000000-0005-0000-0000-0000E8530000}"/>
    <cellStyle name="Input 2 3 3 3 4 2" xfId="21690" xr:uid="{00000000-0005-0000-0000-0000E9530000}"/>
    <cellStyle name="Input 2 3 3 3 4 2 2" xfId="21691" xr:uid="{00000000-0005-0000-0000-0000EA530000}"/>
    <cellStyle name="Input 2 3 3 3 4 2 2 2" xfId="21692" xr:uid="{00000000-0005-0000-0000-0000EB530000}"/>
    <cellStyle name="Input 2 3 3 3 4 2 3" xfId="21693" xr:uid="{00000000-0005-0000-0000-0000EC530000}"/>
    <cellStyle name="Input 2 3 3 3 4 2 3 2" xfId="21694" xr:uid="{00000000-0005-0000-0000-0000ED530000}"/>
    <cellStyle name="Input 2 3 3 3 4 2 4" xfId="21695" xr:uid="{00000000-0005-0000-0000-0000EE530000}"/>
    <cellStyle name="Input 2 3 3 3 4 2 5" xfId="21696" xr:uid="{00000000-0005-0000-0000-0000EF530000}"/>
    <cellStyle name="Input 2 3 3 3 4 2 6" xfId="21697" xr:uid="{00000000-0005-0000-0000-0000F0530000}"/>
    <cellStyle name="Input 2 3 3 3 4 3" xfId="21698" xr:uid="{00000000-0005-0000-0000-0000F1530000}"/>
    <cellStyle name="Input 2 3 3 3 4 3 2" xfId="21699" xr:uid="{00000000-0005-0000-0000-0000F2530000}"/>
    <cellStyle name="Input 2 3 3 3 4 4" xfId="21700" xr:uid="{00000000-0005-0000-0000-0000F3530000}"/>
    <cellStyle name="Input 2 3 3 3 4 4 2" xfId="21701" xr:uid="{00000000-0005-0000-0000-0000F4530000}"/>
    <cellStyle name="Input 2 3 3 3 4 5" xfId="21702" xr:uid="{00000000-0005-0000-0000-0000F5530000}"/>
    <cellStyle name="Input 2 3 3 3 4 6" xfId="21703" xr:uid="{00000000-0005-0000-0000-0000F6530000}"/>
    <cellStyle name="Input 2 3 3 3 4 7" xfId="21704" xr:uid="{00000000-0005-0000-0000-0000F7530000}"/>
    <cellStyle name="Input 2 3 3 3 5" xfId="21705" xr:uid="{00000000-0005-0000-0000-0000F8530000}"/>
    <cellStyle name="Input 2 3 3 3 5 2" xfId="21706" xr:uid="{00000000-0005-0000-0000-0000F9530000}"/>
    <cellStyle name="Input 2 3 3 3 5 2 2" xfId="21707" xr:uid="{00000000-0005-0000-0000-0000FA530000}"/>
    <cellStyle name="Input 2 3 3 3 5 3" xfId="21708" xr:uid="{00000000-0005-0000-0000-0000FB530000}"/>
    <cellStyle name="Input 2 3 3 3 5 3 2" xfId="21709" xr:uid="{00000000-0005-0000-0000-0000FC530000}"/>
    <cellStyle name="Input 2 3 3 3 5 4" xfId="21710" xr:uid="{00000000-0005-0000-0000-0000FD530000}"/>
    <cellStyle name="Input 2 3 3 3 5 5" xfId="21711" xr:uid="{00000000-0005-0000-0000-0000FE530000}"/>
    <cellStyle name="Input 2 3 3 3 5 6" xfId="21712" xr:uid="{00000000-0005-0000-0000-0000FF530000}"/>
    <cellStyle name="Input 2 3 3 3 6" xfId="21713" xr:uid="{00000000-0005-0000-0000-000000540000}"/>
    <cellStyle name="Input 2 3 3 3 6 2" xfId="21714" xr:uid="{00000000-0005-0000-0000-000001540000}"/>
    <cellStyle name="Input 2 3 3 3 7" xfId="21715" xr:uid="{00000000-0005-0000-0000-000002540000}"/>
    <cellStyle name="Input 2 3 3 3 7 2" xfId="21716" xr:uid="{00000000-0005-0000-0000-000003540000}"/>
    <cellStyle name="Input 2 3 3 3 8" xfId="21717" xr:uid="{00000000-0005-0000-0000-000004540000}"/>
    <cellStyle name="Input 2 3 3 3 9" xfId="21718" xr:uid="{00000000-0005-0000-0000-000005540000}"/>
    <cellStyle name="Input 2 3 3 4" xfId="21719" xr:uid="{00000000-0005-0000-0000-000006540000}"/>
    <cellStyle name="Input 2 3 3 4 2" xfId="21720" xr:uid="{00000000-0005-0000-0000-000007540000}"/>
    <cellStyle name="Input 2 3 3 4 2 2" xfId="21721" xr:uid="{00000000-0005-0000-0000-000008540000}"/>
    <cellStyle name="Input 2 3 3 4 2 2 2" xfId="21722" xr:uid="{00000000-0005-0000-0000-000009540000}"/>
    <cellStyle name="Input 2 3 3 4 2 2 2 2" xfId="21723" xr:uid="{00000000-0005-0000-0000-00000A540000}"/>
    <cellStyle name="Input 2 3 3 4 2 2 3" xfId="21724" xr:uid="{00000000-0005-0000-0000-00000B540000}"/>
    <cellStyle name="Input 2 3 3 4 2 2 3 2" xfId="21725" xr:uid="{00000000-0005-0000-0000-00000C540000}"/>
    <cellStyle name="Input 2 3 3 4 2 2 4" xfId="21726" xr:uid="{00000000-0005-0000-0000-00000D540000}"/>
    <cellStyle name="Input 2 3 3 4 2 2 5" xfId="21727" xr:uid="{00000000-0005-0000-0000-00000E540000}"/>
    <cellStyle name="Input 2 3 3 4 2 2 6" xfId="21728" xr:uid="{00000000-0005-0000-0000-00000F540000}"/>
    <cellStyle name="Input 2 3 3 4 2 3" xfId="21729" xr:uid="{00000000-0005-0000-0000-000010540000}"/>
    <cellStyle name="Input 2 3 3 4 2 3 2" xfId="21730" xr:uid="{00000000-0005-0000-0000-000011540000}"/>
    <cellStyle name="Input 2 3 3 4 2 4" xfId="21731" xr:uid="{00000000-0005-0000-0000-000012540000}"/>
    <cellStyle name="Input 2 3 3 4 2 4 2" xfId="21732" xr:uid="{00000000-0005-0000-0000-000013540000}"/>
    <cellStyle name="Input 2 3 3 4 2 5" xfId="21733" xr:uid="{00000000-0005-0000-0000-000014540000}"/>
    <cellStyle name="Input 2 3 3 4 2 6" xfId="21734" xr:uid="{00000000-0005-0000-0000-000015540000}"/>
    <cellStyle name="Input 2 3 3 4 2 7" xfId="21735" xr:uid="{00000000-0005-0000-0000-000016540000}"/>
    <cellStyle name="Input 2 3 3 4 3" xfId="21736" xr:uid="{00000000-0005-0000-0000-000017540000}"/>
    <cellStyle name="Input 2 3 3 4 3 2" xfId="21737" xr:uid="{00000000-0005-0000-0000-000018540000}"/>
    <cellStyle name="Input 2 3 3 4 3 2 2" xfId="21738" xr:uid="{00000000-0005-0000-0000-000019540000}"/>
    <cellStyle name="Input 2 3 3 4 3 3" xfId="21739" xr:uid="{00000000-0005-0000-0000-00001A540000}"/>
    <cellStyle name="Input 2 3 3 4 3 3 2" xfId="21740" xr:uid="{00000000-0005-0000-0000-00001B540000}"/>
    <cellStyle name="Input 2 3 3 4 3 4" xfId="21741" xr:uid="{00000000-0005-0000-0000-00001C540000}"/>
    <cellStyle name="Input 2 3 3 4 3 5" xfId="21742" xr:uid="{00000000-0005-0000-0000-00001D540000}"/>
    <cellStyle name="Input 2 3 3 4 3 6" xfId="21743" xr:uid="{00000000-0005-0000-0000-00001E540000}"/>
    <cellStyle name="Input 2 3 3 4 4" xfId="21744" xr:uid="{00000000-0005-0000-0000-00001F540000}"/>
    <cellStyle name="Input 2 3 3 4 4 2" xfId="21745" xr:uid="{00000000-0005-0000-0000-000020540000}"/>
    <cellStyle name="Input 2 3 3 4 5" xfId="21746" xr:uid="{00000000-0005-0000-0000-000021540000}"/>
    <cellStyle name="Input 2 3 3 4 5 2" xfId="21747" xr:uid="{00000000-0005-0000-0000-000022540000}"/>
    <cellStyle name="Input 2 3 3 4 6" xfId="21748" xr:uid="{00000000-0005-0000-0000-000023540000}"/>
    <cellStyle name="Input 2 3 3 4 7" xfId="21749" xr:uid="{00000000-0005-0000-0000-000024540000}"/>
    <cellStyle name="Input 2 3 3 4 8" xfId="21750" xr:uid="{00000000-0005-0000-0000-000025540000}"/>
    <cellStyle name="Input 2 3 3 5" xfId="21751" xr:uid="{00000000-0005-0000-0000-000026540000}"/>
    <cellStyle name="Input 2 3 3 5 2" xfId="21752" xr:uid="{00000000-0005-0000-0000-000027540000}"/>
    <cellStyle name="Input 2 3 3 5 2 2" xfId="21753" xr:uid="{00000000-0005-0000-0000-000028540000}"/>
    <cellStyle name="Input 2 3 3 5 2 2 2" xfId="21754" xr:uid="{00000000-0005-0000-0000-000029540000}"/>
    <cellStyle name="Input 2 3 3 5 2 3" xfId="21755" xr:uid="{00000000-0005-0000-0000-00002A540000}"/>
    <cellStyle name="Input 2 3 3 5 2 3 2" xfId="21756" xr:uid="{00000000-0005-0000-0000-00002B540000}"/>
    <cellStyle name="Input 2 3 3 5 2 4" xfId="21757" xr:uid="{00000000-0005-0000-0000-00002C540000}"/>
    <cellStyle name="Input 2 3 3 5 2 5" xfId="21758" xr:uid="{00000000-0005-0000-0000-00002D540000}"/>
    <cellStyle name="Input 2 3 3 5 2 6" xfId="21759" xr:uid="{00000000-0005-0000-0000-00002E540000}"/>
    <cellStyle name="Input 2 3 3 5 3" xfId="21760" xr:uid="{00000000-0005-0000-0000-00002F540000}"/>
    <cellStyle name="Input 2 3 3 5 3 2" xfId="21761" xr:uid="{00000000-0005-0000-0000-000030540000}"/>
    <cellStyle name="Input 2 3 3 5 4" xfId="21762" xr:uid="{00000000-0005-0000-0000-000031540000}"/>
    <cellStyle name="Input 2 3 3 5 4 2" xfId="21763" xr:uid="{00000000-0005-0000-0000-000032540000}"/>
    <cellStyle name="Input 2 3 3 5 5" xfId="21764" xr:uid="{00000000-0005-0000-0000-000033540000}"/>
    <cellStyle name="Input 2 3 3 5 6" xfId="21765" xr:uid="{00000000-0005-0000-0000-000034540000}"/>
    <cellStyle name="Input 2 3 3 5 7" xfId="21766" xr:uid="{00000000-0005-0000-0000-000035540000}"/>
    <cellStyle name="Input 2 3 3 6" xfId="21767" xr:uid="{00000000-0005-0000-0000-000036540000}"/>
    <cellStyle name="Input 2 3 3 6 2" xfId="21768" xr:uid="{00000000-0005-0000-0000-000037540000}"/>
    <cellStyle name="Input 2 3 3 6 2 2" xfId="21769" xr:uid="{00000000-0005-0000-0000-000038540000}"/>
    <cellStyle name="Input 2 3 3 6 3" xfId="21770" xr:uid="{00000000-0005-0000-0000-000039540000}"/>
    <cellStyle name="Input 2 3 3 6 3 2" xfId="21771" xr:uid="{00000000-0005-0000-0000-00003A540000}"/>
    <cellStyle name="Input 2 3 3 6 4" xfId="21772" xr:uid="{00000000-0005-0000-0000-00003B540000}"/>
    <cellStyle name="Input 2 3 3 6 5" xfId="21773" xr:uid="{00000000-0005-0000-0000-00003C540000}"/>
    <cellStyle name="Input 2 3 3 6 6" xfId="21774" xr:uid="{00000000-0005-0000-0000-00003D540000}"/>
    <cellStyle name="Input 2 3 3 7" xfId="21775" xr:uid="{00000000-0005-0000-0000-00003E540000}"/>
    <cellStyle name="Input 2 3 3 7 2" xfId="21776" xr:uid="{00000000-0005-0000-0000-00003F540000}"/>
    <cellStyle name="Input 2 3 3 8" xfId="21777" xr:uid="{00000000-0005-0000-0000-000040540000}"/>
    <cellStyle name="Input 2 3 3 8 2" xfId="21778" xr:uid="{00000000-0005-0000-0000-000041540000}"/>
    <cellStyle name="Input 2 3 3 9" xfId="21779" xr:uid="{00000000-0005-0000-0000-000042540000}"/>
    <cellStyle name="Input 2 3 4" xfId="21780" xr:uid="{00000000-0005-0000-0000-000043540000}"/>
    <cellStyle name="Input 2 3 4 10" xfId="21781" xr:uid="{00000000-0005-0000-0000-000044540000}"/>
    <cellStyle name="Input 2 3 4 11" xfId="21782" xr:uid="{00000000-0005-0000-0000-000045540000}"/>
    <cellStyle name="Input 2 3 4 2" xfId="21783" xr:uid="{00000000-0005-0000-0000-000046540000}"/>
    <cellStyle name="Input 2 3 4 2 10" xfId="21784" xr:uid="{00000000-0005-0000-0000-000047540000}"/>
    <cellStyle name="Input 2 3 4 2 2" xfId="21785" xr:uid="{00000000-0005-0000-0000-000048540000}"/>
    <cellStyle name="Input 2 3 4 2 2 2" xfId="21786" xr:uid="{00000000-0005-0000-0000-000049540000}"/>
    <cellStyle name="Input 2 3 4 2 2 2 2" xfId="21787" xr:uid="{00000000-0005-0000-0000-00004A540000}"/>
    <cellStyle name="Input 2 3 4 2 2 2 2 2" xfId="21788" xr:uid="{00000000-0005-0000-0000-00004B540000}"/>
    <cellStyle name="Input 2 3 4 2 2 2 2 2 2" xfId="21789" xr:uid="{00000000-0005-0000-0000-00004C540000}"/>
    <cellStyle name="Input 2 3 4 2 2 2 2 3" xfId="21790" xr:uid="{00000000-0005-0000-0000-00004D540000}"/>
    <cellStyle name="Input 2 3 4 2 2 2 2 3 2" xfId="21791" xr:uid="{00000000-0005-0000-0000-00004E540000}"/>
    <cellStyle name="Input 2 3 4 2 2 2 2 4" xfId="21792" xr:uid="{00000000-0005-0000-0000-00004F540000}"/>
    <cellStyle name="Input 2 3 4 2 2 2 2 5" xfId="21793" xr:uid="{00000000-0005-0000-0000-000050540000}"/>
    <cellStyle name="Input 2 3 4 2 2 2 2 6" xfId="21794" xr:uid="{00000000-0005-0000-0000-000051540000}"/>
    <cellStyle name="Input 2 3 4 2 2 2 3" xfId="21795" xr:uid="{00000000-0005-0000-0000-000052540000}"/>
    <cellStyle name="Input 2 3 4 2 2 2 3 2" xfId="21796" xr:uid="{00000000-0005-0000-0000-000053540000}"/>
    <cellStyle name="Input 2 3 4 2 2 2 4" xfId="21797" xr:uid="{00000000-0005-0000-0000-000054540000}"/>
    <cellStyle name="Input 2 3 4 2 2 2 4 2" xfId="21798" xr:uid="{00000000-0005-0000-0000-000055540000}"/>
    <cellStyle name="Input 2 3 4 2 2 2 5" xfId="21799" xr:uid="{00000000-0005-0000-0000-000056540000}"/>
    <cellStyle name="Input 2 3 4 2 2 2 6" xfId="21800" xr:uid="{00000000-0005-0000-0000-000057540000}"/>
    <cellStyle name="Input 2 3 4 2 2 2 7" xfId="21801" xr:uid="{00000000-0005-0000-0000-000058540000}"/>
    <cellStyle name="Input 2 3 4 2 2 3" xfId="21802" xr:uid="{00000000-0005-0000-0000-000059540000}"/>
    <cellStyle name="Input 2 3 4 2 2 3 2" xfId="21803" xr:uid="{00000000-0005-0000-0000-00005A540000}"/>
    <cellStyle name="Input 2 3 4 2 2 3 2 2" xfId="21804" xr:uid="{00000000-0005-0000-0000-00005B540000}"/>
    <cellStyle name="Input 2 3 4 2 2 3 3" xfId="21805" xr:uid="{00000000-0005-0000-0000-00005C540000}"/>
    <cellStyle name="Input 2 3 4 2 2 3 3 2" xfId="21806" xr:uid="{00000000-0005-0000-0000-00005D540000}"/>
    <cellStyle name="Input 2 3 4 2 2 3 4" xfId="21807" xr:uid="{00000000-0005-0000-0000-00005E540000}"/>
    <cellStyle name="Input 2 3 4 2 2 3 5" xfId="21808" xr:uid="{00000000-0005-0000-0000-00005F540000}"/>
    <cellStyle name="Input 2 3 4 2 2 3 6" xfId="21809" xr:uid="{00000000-0005-0000-0000-000060540000}"/>
    <cellStyle name="Input 2 3 4 2 2 4" xfId="21810" xr:uid="{00000000-0005-0000-0000-000061540000}"/>
    <cellStyle name="Input 2 3 4 2 2 4 2" xfId="21811" xr:uid="{00000000-0005-0000-0000-000062540000}"/>
    <cellStyle name="Input 2 3 4 2 2 5" xfId="21812" xr:uid="{00000000-0005-0000-0000-000063540000}"/>
    <cellStyle name="Input 2 3 4 2 2 5 2" xfId="21813" xr:uid="{00000000-0005-0000-0000-000064540000}"/>
    <cellStyle name="Input 2 3 4 2 2 6" xfId="21814" xr:uid="{00000000-0005-0000-0000-000065540000}"/>
    <cellStyle name="Input 2 3 4 2 2 7" xfId="21815" xr:uid="{00000000-0005-0000-0000-000066540000}"/>
    <cellStyle name="Input 2 3 4 2 2 8" xfId="21816" xr:uid="{00000000-0005-0000-0000-000067540000}"/>
    <cellStyle name="Input 2 3 4 2 3" xfId="21817" xr:uid="{00000000-0005-0000-0000-000068540000}"/>
    <cellStyle name="Input 2 3 4 2 3 2" xfId="21818" xr:uid="{00000000-0005-0000-0000-000069540000}"/>
    <cellStyle name="Input 2 3 4 2 3 2 2" xfId="21819" xr:uid="{00000000-0005-0000-0000-00006A540000}"/>
    <cellStyle name="Input 2 3 4 2 3 2 2 2" xfId="21820" xr:uid="{00000000-0005-0000-0000-00006B540000}"/>
    <cellStyle name="Input 2 3 4 2 3 2 2 2 2" xfId="21821" xr:uid="{00000000-0005-0000-0000-00006C540000}"/>
    <cellStyle name="Input 2 3 4 2 3 2 2 3" xfId="21822" xr:uid="{00000000-0005-0000-0000-00006D540000}"/>
    <cellStyle name="Input 2 3 4 2 3 2 2 3 2" xfId="21823" xr:uid="{00000000-0005-0000-0000-00006E540000}"/>
    <cellStyle name="Input 2 3 4 2 3 2 2 4" xfId="21824" xr:uid="{00000000-0005-0000-0000-00006F540000}"/>
    <cellStyle name="Input 2 3 4 2 3 2 2 5" xfId="21825" xr:uid="{00000000-0005-0000-0000-000070540000}"/>
    <cellStyle name="Input 2 3 4 2 3 2 2 6" xfId="21826" xr:uid="{00000000-0005-0000-0000-000071540000}"/>
    <cellStyle name="Input 2 3 4 2 3 2 3" xfId="21827" xr:uid="{00000000-0005-0000-0000-000072540000}"/>
    <cellStyle name="Input 2 3 4 2 3 2 3 2" xfId="21828" xr:uid="{00000000-0005-0000-0000-000073540000}"/>
    <cellStyle name="Input 2 3 4 2 3 2 4" xfId="21829" xr:uid="{00000000-0005-0000-0000-000074540000}"/>
    <cellStyle name="Input 2 3 4 2 3 2 4 2" xfId="21830" xr:uid="{00000000-0005-0000-0000-000075540000}"/>
    <cellStyle name="Input 2 3 4 2 3 2 5" xfId="21831" xr:uid="{00000000-0005-0000-0000-000076540000}"/>
    <cellStyle name="Input 2 3 4 2 3 2 6" xfId="21832" xr:uid="{00000000-0005-0000-0000-000077540000}"/>
    <cellStyle name="Input 2 3 4 2 3 2 7" xfId="21833" xr:uid="{00000000-0005-0000-0000-000078540000}"/>
    <cellStyle name="Input 2 3 4 2 3 3" xfId="21834" xr:uid="{00000000-0005-0000-0000-000079540000}"/>
    <cellStyle name="Input 2 3 4 2 3 3 2" xfId="21835" xr:uid="{00000000-0005-0000-0000-00007A540000}"/>
    <cellStyle name="Input 2 3 4 2 3 3 2 2" xfId="21836" xr:uid="{00000000-0005-0000-0000-00007B540000}"/>
    <cellStyle name="Input 2 3 4 2 3 3 3" xfId="21837" xr:uid="{00000000-0005-0000-0000-00007C540000}"/>
    <cellStyle name="Input 2 3 4 2 3 3 3 2" xfId="21838" xr:uid="{00000000-0005-0000-0000-00007D540000}"/>
    <cellStyle name="Input 2 3 4 2 3 3 4" xfId="21839" xr:uid="{00000000-0005-0000-0000-00007E540000}"/>
    <cellStyle name="Input 2 3 4 2 3 3 5" xfId="21840" xr:uid="{00000000-0005-0000-0000-00007F540000}"/>
    <cellStyle name="Input 2 3 4 2 3 3 6" xfId="21841" xr:uid="{00000000-0005-0000-0000-000080540000}"/>
    <cellStyle name="Input 2 3 4 2 3 4" xfId="21842" xr:uid="{00000000-0005-0000-0000-000081540000}"/>
    <cellStyle name="Input 2 3 4 2 3 4 2" xfId="21843" xr:uid="{00000000-0005-0000-0000-000082540000}"/>
    <cellStyle name="Input 2 3 4 2 3 5" xfId="21844" xr:uid="{00000000-0005-0000-0000-000083540000}"/>
    <cellStyle name="Input 2 3 4 2 3 5 2" xfId="21845" xr:uid="{00000000-0005-0000-0000-000084540000}"/>
    <cellStyle name="Input 2 3 4 2 3 6" xfId="21846" xr:uid="{00000000-0005-0000-0000-000085540000}"/>
    <cellStyle name="Input 2 3 4 2 3 7" xfId="21847" xr:uid="{00000000-0005-0000-0000-000086540000}"/>
    <cellStyle name="Input 2 3 4 2 3 8" xfId="21848" xr:uid="{00000000-0005-0000-0000-000087540000}"/>
    <cellStyle name="Input 2 3 4 2 4" xfId="21849" xr:uid="{00000000-0005-0000-0000-000088540000}"/>
    <cellStyle name="Input 2 3 4 2 4 2" xfId="21850" xr:uid="{00000000-0005-0000-0000-000089540000}"/>
    <cellStyle name="Input 2 3 4 2 4 2 2" xfId="21851" xr:uid="{00000000-0005-0000-0000-00008A540000}"/>
    <cellStyle name="Input 2 3 4 2 4 2 2 2" xfId="21852" xr:uid="{00000000-0005-0000-0000-00008B540000}"/>
    <cellStyle name="Input 2 3 4 2 4 2 3" xfId="21853" xr:uid="{00000000-0005-0000-0000-00008C540000}"/>
    <cellStyle name="Input 2 3 4 2 4 2 3 2" xfId="21854" xr:uid="{00000000-0005-0000-0000-00008D540000}"/>
    <cellStyle name="Input 2 3 4 2 4 2 4" xfId="21855" xr:uid="{00000000-0005-0000-0000-00008E540000}"/>
    <cellStyle name="Input 2 3 4 2 4 2 5" xfId="21856" xr:uid="{00000000-0005-0000-0000-00008F540000}"/>
    <cellStyle name="Input 2 3 4 2 4 2 6" xfId="21857" xr:uid="{00000000-0005-0000-0000-000090540000}"/>
    <cellStyle name="Input 2 3 4 2 4 3" xfId="21858" xr:uid="{00000000-0005-0000-0000-000091540000}"/>
    <cellStyle name="Input 2 3 4 2 4 3 2" xfId="21859" xr:uid="{00000000-0005-0000-0000-000092540000}"/>
    <cellStyle name="Input 2 3 4 2 4 4" xfId="21860" xr:uid="{00000000-0005-0000-0000-000093540000}"/>
    <cellStyle name="Input 2 3 4 2 4 4 2" xfId="21861" xr:uid="{00000000-0005-0000-0000-000094540000}"/>
    <cellStyle name="Input 2 3 4 2 4 5" xfId="21862" xr:uid="{00000000-0005-0000-0000-000095540000}"/>
    <cellStyle name="Input 2 3 4 2 4 6" xfId="21863" xr:uid="{00000000-0005-0000-0000-000096540000}"/>
    <cellStyle name="Input 2 3 4 2 4 7" xfId="21864" xr:uid="{00000000-0005-0000-0000-000097540000}"/>
    <cellStyle name="Input 2 3 4 2 5" xfId="21865" xr:uid="{00000000-0005-0000-0000-000098540000}"/>
    <cellStyle name="Input 2 3 4 2 5 2" xfId="21866" xr:uid="{00000000-0005-0000-0000-000099540000}"/>
    <cellStyle name="Input 2 3 4 2 5 2 2" xfId="21867" xr:uid="{00000000-0005-0000-0000-00009A540000}"/>
    <cellStyle name="Input 2 3 4 2 5 3" xfId="21868" xr:uid="{00000000-0005-0000-0000-00009B540000}"/>
    <cellStyle name="Input 2 3 4 2 5 3 2" xfId="21869" xr:uid="{00000000-0005-0000-0000-00009C540000}"/>
    <cellStyle name="Input 2 3 4 2 5 4" xfId="21870" xr:uid="{00000000-0005-0000-0000-00009D540000}"/>
    <cellStyle name="Input 2 3 4 2 5 5" xfId="21871" xr:uid="{00000000-0005-0000-0000-00009E540000}"/>
    <cellStyle name="Input 2 3 4 2 5 6" xfId="21872" xr:uid="{00000000-0005-0000-0000-00009F540000}"/>
    <cellStyle name="Input 2 3 4 2 6" xfId="21873" xr:uid="{00000000-0005-0000-0000-0000A0540000}"/>
    <cellStyle name="Input 2 3 4 2 6 2" xfId="21874" xr:uid="{00000000-0005-0000-0000-0000A1540000}"/>
    <cellStyle name="Input 2 3 4 2 7" xfId="21875" xr:uid="{00000000-0005-0000-0000-0000A2540000}"/>
    <cellStyle name="Input 2 3 4 2 7 2" xfId="21876" xr:uid="{00000000-0005-0000-0000-0000A3540000}"/>
    <cellStyle name="Input 2 3 4 2 8" xfId="21877" xr:uid="{00000000-0005-0000-0000-0000A4540000}"/>
    <cellStyle name="Input 2 3 4 2 9" xfId="21878" xr:uid="{00000000-0005-0000-0000-0000A5540000}"/>
    <cellStyle name="Input 2 3 4 3" xfId="21879" xr:uid="{00000000-0005-0000-0000-0000A6540000}"/>
    <cellStyle name="Input 2 3 4 3 2" xfId="21880" xr:uid="{00000000-0005-0000-0000-0000A7540000}"/>
    <cellStyle name="Input 2 3 4 3 2 2" xfId="21881" xr:uid="{00000000-0005-0000-0000-0000A8540000}"/>
    <cellStyle name="Input 2 3 4 3 2 2 2" xfId="21882" xr:uid="{00000000-0005-0000-0000-0000A9540000}"/>
    <cellStyle name="Input 2 3 4 3 2 2 2 2" xfId="21883" xr:uid="{00000000-0005-0000-0000-0000AA540000}"/>
    <cellStyle name="Input 2 3 4 3 2 2 3" xfId="21884" xr:uid="{00000000-0005-0000-0000-0000AB540000}"/>
    <cellStyle name="Input 2 3 4 3 2 2 3 2" xfId="21885" xr:uid="{00000000-0005-0000-0000-0000AC540000}"/>
    <cellStyle name="Input 2 3 4 3 2 2 4" xfId="21886" xr:uid="{00000000-0005-0000-0000-0000AD540000}"/>
    <cellStyle name="Input 2 3 4 3 2 2 5" xfId="21887" xr:uid="{00000000-0005-0000-0000-0000AE540000}"/>
    <cellStyle name="Input 2 3 4 3 2 2 6" xfId="21888" xr:uid="{00000000-0005-0000-0000-0000AF540000}"/>
    <cellStyle name="Input 2 3 4 3 2 3" xfId="21889" xr:uid="{00000000-0005-0000-0000-0000B0540000}"/>
    <cellStyle name="Input 2 3 4 3 2 3 2" xfId="21890" xr:uid="{00000000-0005-0000-0000-0000B1540000}"/>
    <cellStyle name="Input 2 3 4 3 2 4" xfId="21891" xr:uid="{00000000-0005-0000-0000-0000B2540000}"/>
    <cellStyle name="Input 2 3 4 3 2 4 2" xfId="21892" xr:uid="{00000000-0005-0000-0000-0000B3540000}"/>
    <cellStyle name="Input 2 3 4 3 2 5" xfId="21893" xr:uid="{00000000-0005-0000-0000-0000B4540000}"/>
    <cellStyle name="Input 2 3 4 3 2 6" xfId="21894" xr:uid="{00000000-0005-0000-0000-0000B5540000}"/>
    <cellStyle name="Input 2 3 4 3 2 7" xfId="21895" xr:uid="{00000000-0005-0000-0000-0000B6540000}"/>
    <cellStyle name="Input 2 3 4 3 3" xfId="21896" xr:uid="{00000000-0005-0000-0000-0000B7540000}"/>
    <cellStyle name="Input 2 3 4 3 3 2" xfId="21897" xr:uid="{00000000-0005-0000-0000-0000B8540000}"/>
    <cellStyle name="Input 2 3 4 3 3 2 2" xfId="21898" xr:uid="{00000000-0005-0000-0000-0000B9540000}"/>
    <cellStyle name="Input 2 3 4 3 3 3" xfId="21899" xr:uid="{00000000-0005-0000-0000-0000BA540000}"/>
    <cellStyle name="Input 2 3 4 3 3 3 2" xfId="21900" xr:uid="{00000000-0005-0000-0000-0000BB540000}"/>
    <cellStyle name="Input 2 3 4 3 3 4" xfId="21901" xr:uid="{00000000-0005-0000-0000-0000BC540000}"/>
    <cellStyle name="Input 2 3 4 3 3 5" xfId="21902" xr:uid="{00000000-0005-0000-0000-0000BD540000}"/>
    <cellStyle name="Input 2 3 4 3 3 6" xfId="21903" xr:uid="{00000000-0005-0000-0000-0000BE540000}"/>
    <cellStyle name="Input 2 3 4 3 4" xfId="21904" xr:uid="{00000000-0005-0000-0000-0000BF540000}"/>
    <cellStyle name="Input 2 3 4 3 4 2" xfId="21905" xr:uid="{00000000-0005-0000-0000-0000C0540000}"/>
    <cellStyle name="Input 2 3 4 3 5" xfId="21906" xr:uid="{00000000-0005-0000-0000-0000C1540000}"/>
    <cellStyle name="Input 2 3 4 3 5 2" xfId="21907" xr:uid="{00000000-0005-0000-0000-0000C2540000}"/>
    <cellStyle name="Input 2 3 4 3 6" xfId="21908" xr:uid="{00000000-0005-0000-0000-0000C3540000}"/>
    <cellStyle name="Input 2 3 4 3 7" xfId="21909" xr:uid="{00000000-0005-0000-0000-0000C4540000}"/>
    <cellStyle name="Input 2 3 4 3 8" xfId="21910" xr:uid="{00000000-0005-0000-0000-0000C5540000}"/>
    <cellStyle name="Input 2 3 4 4" xfId="21911" xr:uid="{00000000-0005-0000-0000-0000C6540000}"/>
    <cellStyle name="Input 2 3 4 4 2" xfId="21912" xr:uid="{00000000-0005-0000-0000-0000C7540000}"/>
    <cellStyle name="Input 2 3 4 4 2 2" xfId="21913" xr:uid="{00000000-0005-0000-0000-0000C8540000}"/>
    <cellStyle name="Input 2 3 4 4 2 2 2" xfId="21914" xr:uid="{00000000-0005-0000-0000-0000C9540000}"/>
    <cellStyle name="Input 2 3 4 4 2 2 2 2" xfId="21915" xr:uid="{00000000-0005-0000-0000-0000CA540000}"/>
    <cellStyle name="Input 2 3 4 4 2 2 3" xfId="21916" xr:uid="{00000000-0005-0000-0000-0000CB540000}"/>
    <cellStyle name="Input 2 3 4 4 2 2 3 2" xfId="21917" xr:uid="{00000000-0005-0000-0000-0000CC540000}"/>
    <cellStyle name="Input 2 3 4 4 2 2 4" xfId="21918" xr:uid="{00000000-0005-0000-0000-0000CD540000}"/>
    <cellStyle name="Input 2 3 4 4 2 2 5" xfId="21919" xr:uid="{00000000-0005-0000-0000-0000CE540000}"/>
    <cellStyle name="Input 2 3 4 4 2 2 6" xfId="21920" xr:uid="{00000000-0005-0000-0000-0000CF540000}"/>
    <cellStyle name="Input 2 3 4 4 2 3" xfId="21921" xr:uid="{00000000-0005-0000-0000-0000D0540000}"/>
    <cellStyle name="Input 2 3 4 4 2 3 2" xfId="21922" xr:uid="{00000000-0005-0000-0000-0000D1540000}"/>
    <cellStyle name="Input 2 3 4 4 2 4" xfId="21923" xr:uid="{00000000-0005-0000-0000-0000D2540000}"/>
    <cellStyle name="Input 2 3 4 4 2 4 2" xfId="21924" xr:uid="{00000000-0005-0000-0000-0000D3540000}"/>
    <cellStyle name="Input 2 3 4 4 2 5" xfId="21925" xr:uid="{00000000-0005-0000-0000-0000D4540000}"/>
    <cellStyle name="Input 2 3 4 4 2 6" xfId="21926" xr:uid="{00000000-0005-0000-0000-0000D5540000}"/>
    <cellStyle name="Input 2 3 4 4 2 7" xfId="21927" xr:uid="{00000000-0005-0000-0000-0000D6540000}"/>
    <cellStyle name="Input 2 3 4 4 3" xfId="21928" xr:uid="{00000000-0005-0000-0000-0000D7540000}"/>
    <cellStyle name="Input 2 3 4 4 3 2" xfId="21929" xr:uid="{00000000-0005-0000-0000-0000D8540000}"/>
    <cellStyle name="Input 2 3 4 4 3 2 2" xfId="21930" xr:uid="{00000000-0005-0000-0000-0000D9540000}"/>
    <cellStyle name="Input 2 3 4 4 3 3" xfId="21931" xr:uid="{00000000-0005-0000-0000-0000DA540000}"/>
    <cellStyle name="Input 2 3 4 4 3 3 2" xfId="21932" xr:uid="{00000000-0005-0000-0000-0000DB540000}"/>
    <cellStyle name="Input 2 3 4 4 3 4" xfId="21933" xr:uid="{00000000-0005-0000-0000-0000DC540000}"/>
    <cellStyle name="Input 2 3 4 4 3 5" xfId="21934" xr:uid="{00000000-0005-0000-0000-0000DD540000}"/>
    <cellStyle name="Input 2 3 4 4 3 6" xfId="21935" xr:uid="{00000000-0005-0000-0000-0000DE540000}"/>
    <cellStyle name="Input 2 3 4 4 4" xfId="21936" xr:uid="{00000000-0005-0000-0000-0000DF540000}"/>
    <cellStyle name="Input 2 3 4 4 4 2" xfId="21937" xr:uid="{00000000-0005-0000-0000-0000E0540000}"/>
    <cellStyle name="Input 2 3 4 4 5" xfId="21938" xr:uid="{00000000-0005-0000-0000-0000E1540000}"/>
    <cellStyle name="Input 2 3 4 4 5 2" xfId="21939" xr:uid="{00000000-0005-0000-0000-0000E2540000}"/>
    <cellStyle name="Input 2 3 4 4 6" xfId="21940" xr:uid="{00000000-0005-0000-0000-0000E3540000}"/>
    <cellStyle name="Input 2 3 4 4 7" xfId="21941" xr:uid="{00000000-0005-0000-0000-0000E4540000}"/>
    <cellStyle name="Input 2 3 4 4 8" xfId="21942" xr:uid="{00000000-0005-0000-0000-0000E5540000}"/>
    <cellStyle name="Input 2 3 4 5" xfId="21943" xr:uid="{00000000-0005-0000-0000-0000E6540000}"/>
    <cellStyle name="Input 2 3 4 5 2" xfId="21944" xr:uid="{00000000-0005-0000-0000-0000E7540000}"/>
    <cellStyle name="Input 2 3 4 5 2 2" xfId="21945" xr:uid="{00000000-0005-0000-0000-0000E8540000}"/>
    <cellStyle name="Input 2 3 4 5 2 2 2" xfId="21946" xr:uid="{00000000-0005-0000-0000-0000E9540000}"/>
    <cellStyle name="Input 2 3 4 5 2 3" xfId="21947" xr:uid="{00000000-0005-0000-0000-0000EA540000}"/>
    <cellStyle name="Input 2 3 4 5 2 3 2" xfId="21948" xr:uid="{00000000-0005-0000-0000-0000EB540000}"/>
    <cellStyle name="Input 2 3 4 5 2 4" xfId="21949" xr:uid="{00000000-0005-0000-0000-0000EC540000}"/>
    <cellStyle name="Input 2 3 4 5 2 5" xfId="21950" xr:uid="{00000000-0005-0000-0000-0000ED540000}"/>
    <cellStyle name="Input 2 3 4 5 2 6" xfId="21951" xr:uid="{00000000-0005-0000-0000-0000EE540000}"/>
    <cellStyle name="Input 2 3 4 5 3" xfId="21952" xr:uid="{00000000-0005-0000-0000-0000EF540000}"/>
    <cellStyle name="Input 2 3 4 5 3 2" xfId="21953" xr:uid="{00000000-0005-0000-0000-0000F0540000}"/>
    <cellStyle name="Input 2 3 4 5 4" xfId="21954" xr:uid="{00000000-0005-0000-0000-0000F1540000}"/>
    <cellStyle name="Input 2 3 4 5 4 2" xfId="21955" xr:uid="{00000000-0005-0000-0000-0000F2540000}"/>
    <cellStyle name="Input 2 3 4 5 5" xfId="21956" xr:uid="{00000000-0005-0000-0000-0000F3540000}"/>
    <cellStyle name="Input 2 3 4 5 6" xfId="21957" xr:uid="{00000000-0005-0000-0000-0000F4540000}"/>
    <cellStyle name="Input 2 3 4 5 7" xfId="21958" xr:uid="{00000000-0005-0000-0000-0000F5540000}"/>
    <cellStyle name="Input 2 3 4 6" xfId="21959" xr:uid="{00000000-0005-0000-0000-0000F6540000}"/>
    <cellStyle name="Input 2 3 4 6 2" xfId="21960" xr:uid="{00000000-0005-0000-0000-0000F7540000}"/>
    <cellStyle name="Input 2 3 4 6 2 2" xfId="21961" xr:uid="{00000000-0005-0000-0000-0000F8540000}"/>
    <cellStyle name="Input 2 3 4 6 3" xfId="21962" xr:uid="{00000000-0005-0000-0000-0000F9540000}"/>
    <cellStyle name="Input 2 3 4 6 3 2" xfId="21963" xr:uid="{00000000-0005-0000-0000-0000FA540000}"/>
    <cellStyle name="Input 2 3 4 6 4" xfId="21964" xr:uid="{00000000-0005-0000-0000-0000FB540000}"/>
    <cellStyle name="Input 2 3 4 6 5" xfId="21965" xr:uid="{00000000-0005-0000-0000-0000FC540000}"/>
    <cellStyle name="Input 2 3 4 6 6" xfId="21966" xr:uid="{00000000-0005-0000-0000-0000FD540000}"/>
    <cellStyle name="Input 2 3 4 7" xfId="21967" xr:uid="{00000000-0005-0000-0000-0000FE540000}"/>
    <cellStyle name="Input 2 3 4 7 2" xfId="21968" xr:uid="{00000000-0005-0000-0000-0000FF540000}"/>
    <cellStyle name="Input 2 3 4 8" xfId="21969" xr:uid="{00000000-0005-0000-0000-000000550000}"/>
    <cellStyle name="Input 2 3 4 8 2" xfId="21970" xr:uid="{00000000-0005-0000-0000-000001550000}"/>
    <cellStyle name="Input 2 3 4 9" xfId="21971" xr:uid="{00000000-0005-0000-0000-000002550000}"/>
    <cellStyle name="Input 2 3 5" xfId="21972" xr:uid="{00000000-0005-0000-0000-000003550000}"/>
    <cellStyle name="Input 2 3 5 10" xfId="21973" xr:uid="{00000000-0005-0000-0000-000004550000}"/>
    <cellStyle name="Input 2 3 5 2" xfId="21974" xr:uid="{00000000-0005-0000-0000-000005550000}"/>
    <cellStyle name="Input 2 3 5 2 2" xfId="21975" xr:uid="{00000000-0005-0000-0000-000006550000}"/>
    <cellStyle name="Input 2 3 5 2 2 2" xfId="21976" xr:uid="{00000000-0005-0000-0000-000007550000}"/>
    <cellStyle name="Input 2 3 5 2 2 2 2" xfId="21977" xr:uid="{00000000-0005-0000-0000-000008550000}"/>
    <cellStyle name="Input 2 3 5 2 2 2 2 2" xfId="21978" xr:uid="{00000000-0005-0000-0000-000009550000}"/>
    <cellStyle name="Input 2 3 5 2 2 2 3" xfId="21979" xr:uid="{00000000-0005-0000-0000-00000A550000}"/>
    <cellStyle name="Input 2 3 5 2 2 2 3 2" xfId="21980" xr:uid="{00000000-0005-0000-0000-00000B550000}"/>
    <cellStyle name="Input 2 3 5 2 2 2 4" xfId="21981" xr:uid="{00000000-0005-0000-0000-00000C550000}"/>
    <cellStyle name="Input 2 3 5 2 2 2 5" xfId="21982" xr:uid="{00000000-0005-0000-0000-00000D550000}"/>
    <cellStyle name="Input 2 3 5 2 2 2 6" xfId="21983" xr:uid="{00000000-0005-0000-0000-00000E550000}"/>
    <cellStyle name="Input 2 3 5 2 2 3" xfId="21984" xr:uid="{00000000-0005-0000-0000-00000F550000}"/>
    <cellStyle name="Input 2 3 5 2 2 3 2" xfId="21985" xr:uid="{00000000-0005-0000-0000-000010550000}"/>
    <cellStyle name="Input 2 3 5 2 2 4" xfId="21986" xr:uid="{00000000-0005-0000-0000-000011550000}"/>
    <cellStyle name="Input 2 3 5 2 2 4 2" xfId="21987" xr:uid="{00000000-0005-0000-0000-000012550000}"/>
    <cellStyle name="Input 2 3 5 2 2 5" xfId="21988" xr:uid="{00000000-0005-0000-0000-000013550000}"/>
    <cellStyle name="Input 2 3 5 2 2 6" xfId="21989" xr:uid="{00000000-0005-0000-0000-000014550000}"/>
    <cellStyle name="Input 2 3 5 2 2 7" xfId="21990" xr:uid="{00000000-0005-0000-0000-000015550000}"/>
    <cellStyle name="Input 2 3 5 2 3" xfId="21991" xr:uid="{00000000-0005-0000-0000-000016550000}"/>
    <cellStyle name="Input 2 3 5 2 3 2" xfId="21992" xr:uid="{00000000-0005-0000-0000-000017550000}"/>
    <cellStyle name="Input 2 3 5 2 3 2 2" xfId="21993" xr:uid="{00000000-0005-0000-0000-000018550000}"/>
    <cellStyle name="Input 2 3 5 2 3 3" xfId="21994" xr:uid="{00000000-0005-0000-0000-000019550000}"/>
    <cellStyle name="Input 2 3 5 2 3 3 2" xfId="21995" xr:uid="{00000000-0005-0000-0000-00001A550000}"/>
    <cellStyle name="Input 2 3 5 2 3 4" xfId="21996" xr:uid="{00000000-0005-0000-0000-00001B550000}"/>
    <cellStyle name="Input 2 3 5 2 3 5" xfId="21997" xr:uid="{00000000-0005-0000-0000-00001C550000}"/>
    <cellStyle name="Input 2 3 5 2 3 6" xfId="21998" xr:uid="{00000000-0005-0000-0000-00001D550000}"/>
    <cellStyle name="Input 2 3 5 2 4" xfId="21999" xr:uid="{00000000-0005-0000-0000-00001E550000}"/>
    <cellStyle name="Input 2 3 5 2 4 2" xfId="22000" xr:uid="{00000000-0005-0000-0000-00001F550000}"/>
    <cellStyle name="Input 2 3 5 2 5" xfId="22001" xr:uid="{00000000-0005-0000-0000-000020550000}"/>
    <cellStyle name="Input 2 3 5 2 5 2" xfId="22002" xr:uid="{00000000-0005-0000-0000-000021550000}"/>
    <cellStyle name="Input 2 3 5 2 6" xfId="22003" xr:uid="{00000000-0005-0000-0000-000022550000}"/>
    <cellStyle name="Input 2 3 5 2 7" xfId="22004" xr:uid="{00000000-0005-0000-0000-000023550000}"/>
    <cellStyle name="Input 2 3 5 2 8" xfId="22005" xr:uid="{00000000-0005-0000-0000-000024550000}"/>
    <cellStyle name="Input 2 3 5 3" xfId="22006" xr:uid="{00000000-0005-0000-0000-000025550000}"/>
    <cellStyle name="Input 2 3 5 3 2" xfId="22007" xr:uid="{00000000-0005-0000-0000-000026550000}"/>
    <cellStyle name="Input 2 3 5 3 2 2" xfId="22008" xr:uid="{00000000-0005-0000-0000-000027550000}"/>
    <cellStyle name="Input 2 3 5 3 2 2 2" xfId="22009" xr:uid="{00000000-0005-0000-0000-000028550000}"/>
    <cellStyle name="Input 2 3 5 3 2 2 2 2" xfId="22010" xr:uid="{00000000-0005-0000-0000-000029550000}"/>
    <cellStyle name="Input 2 3 5 3 2 2 3" xfId="22011" xr:uid="{00000000-0005-0000-0000-00002A550000}"/>
    <cellStyle name="Input 2 3 5 3 2 2 3 2" xfId="22012" xr:uid="{00000000-0005-0000-0000-00002B550000}"/>
    <cellStyle name="Input 2 3 5 3 2 2 4" xfId="22013" xr:uid="{00000000-0005-0000-0000-00002C550000}"/>
    <cellStyle name="Input 2 3 5 3 2 2 5" xfId="22014" xr:uid="{00000000-0005-0000-0000-00002D550000}"/>
    <cellStyle name="Input 2 3 5 3 2 2 6" xfId="22015" xr:uid="{00000000-0005-0000-0000-00002E550000}"/>
    <cellStyle name="Input 2 3 5 3 2 3" xfId="22016" xr:uid="{00000000-0005-0000-0000-00002F550000}"/>
    <cellStyle name="Input 2 3 5 3 2 3 2" xfId="22017" xr:uid="{00000000-0005-0000-0000-000030550000}"/>
    <cellStyle name="Input 2 3 5 3 2 4" xfId="22018" xr:uid="{00000000-0005-0000-0000-000031550000}"/>
    <cellStyle name="Input 2 3 5 3 2 4 2" xfId="22019" xr:uid="{00000000-0005-0000-0000-000032550000}"/>
    <cellStyle name="Input 2 3 5 3 2 5" xfId="22020" xr:uid="{00000000-0005-0000-0000-000033550000}"/>
    <cellStyle name="Input 2 3 5 3 2 6" xfId="22021" xr:uid="{00000000-0005-0000-0000-000034550000}"/>
    <cellStyle name="Input 2 3 5 3 2 7" xfId="22022" xr:uid="{00000000-0005-0000-0000-000035550000}"/>
    <cellStyle name="Input 2 3 5 3 3" xfId="22023" xr:uid="{00000000-0005-0000-0000-000036550000}"/>
    <cellStyle name="Input 2 3 5 3 3 2" xfId="22024" xr:uid="{00000000-0005-0000-0000-000037550000}"/>
    <cellStyle name="Input 2 3 5 3 3 2 2" xfId="22025" xr:uid="{00000000-0005-0000-0000-000038550000}"/>
    <cellStyle name="Input 2 3 5 3 3 3" xfId="22026" xr:uid="{00000000-0005-0000-0000-000039550000}"/>
    <cellStyle name="Input 2 3 5 3 3 3 2" xfId="22027" xr:uid="{00000000-0005-0000-0000-00003A550000}"/>
    <cellStyle name="Input 2 3 5 3 3 4" xfId="22028" xr:uid="{00000000-0005-0000-0000-00003B550000}"/>
    <cellStyle name="Input 2 3 5 3 3 5" xfId="22029" xr:uid="{00000000-0005-0000-0000-00003C550000}"/>
    <cellStyle name="Input 2 3 5 3 3 6" xfId="22030" xr:uid="{00000000-0005-0000-0000-00003D550000}"/>
    <cellStyle name="Input 2 3 5 3 4" xfId="22031" xr:uid="{00000000-0005-0000-0000-00003E550000}"/>
    <cellStyle name="Input 2 3 5 3 4 2" xfId="22032" xr:uid="{00000000-0005-0000-0000-00003F550000}"/>
    <cellStyle name="Input 2 3 5 3 5" xfId="22033" xr:uid="{00000000-0005-0000-0000-000040550000}"/>
    <cellStyle name="Input 2 3 5 3 5 2" xfId="22034" xr:uid="{00000000-0005-0000-0000-000041550000}"/>
    <cellStyle name="Input 2 3 5 3 6" xfId="22035" xr:uid="{00000000-0005-0000-0000-000042550000}"/>
    <cellStyle name="Input 2 3 5 3 7" xfId="22036" xr:uid="{00000000-0005-0000-0000-000043550000}"/>
    <cellStyle name="Input 2 3 5 3 8" xfId="22037" xr:uid="{00000000-0005-0000-0000-000044550000}"/>
    <cellStyle name="Input 2 3 5 4" xfId="22038" xr:uid="{00000000-0005-0000-0000-000045550000}"/>
    <cellStyle name="Input 2 3 5 4 2" xfId="22039" xr:uid="{00000000-0005-0000-0000-000046550000}"/>
    <cellStyle name="Input 2 3 5 4 2 2" xfId="22040" xr:uid="{00000000-0005-0000-0000-000047550000}"/>
    <cellStyle name="Input 2 3 5 4 2 2 2" xfId="22041" xr:uid="{00000000-0005-0000-0000-000048550000}"/>
    <cellStyle name="Input 2 3 5 4 2 3" xfId="22042" xr:uid="{00000000-0005-0000-0000-000049550000}"/>
    <cellStyle name="Input 2 3 5 4 2 3 2" xfId="22043" xr:uid="{00000000-0005-0000-0000-00004A550000}"/>
    <cellStyle name="Input 2 3 5 4 2 4" xfId="22044" xr:uid="{00000000-0005-0000-0000-00004B550000}"/>
    <cellStyle name="Input 2 3 5 4 2 5" xfId="22045" xr:uid="{00000000-0005-0000-0000-00004C550000}"/>
    <cellStyle name="Input 2 3 5 4 2 6" xfId="22046" xr:uid="{00000000-0005-0000-0000-00004D550000}"/>
    <cellStyle name="Input 2 3 5 4 3" xfId="22047" xr:uid="{00000000-0005-0000-0000-00004E550000}"/>
    <cellStyle name="Input 2 3 5 4 3 2" xfId="22048" xr:uid="{00000000-0005-0000-0000-00004F550000}"/>
    <cellStyle name="Input 2 3 5 4 4" xfId="22049" xr:uid="{00000000-0005-0000-0000-000050550000}"/>
    <cellStyle name="Input 2 3 5 4 4 2" xfId="22050" xr:uid="{00000000-0005-0000-0000-000051550000}"/>
    <cellStyle name="Input 2 3 5 4 5" xfId="22051" xr:uid="{00000000-0005-0000-0000-000052550000}"/>
    <cellStyle name="Input 2 3 5 4 6" xfId="22052" xr:uid="{00000000-0005-0000-0000-000053550000}"/>
    <cellStyle name="Input 2 3 5 4 7" xfId="22053" xr:uid="{00000000-0005-0000-0000-000054550000}"/>
    <cellStyle name="Input 2 3 5 5" xfId="22054" xr:uid="{00000000-0005-0000-0000-000055550000}"/>
    <cellStyle name="Input 2 3 5 5 2" xfId="22055" xr:uid="{00000000-0005-0000-0000-000056550000}"/>
    <cellStyle name="Input 2 3 5 5 2 2" xfId="22056" xr:uid="{00000000-0005-0000-0000-000057550000}"/>
    <cellStyle name="Input 2 3 5 5 3" xfId="22057" xr:uid="{00000000-0005-0000-0000-000058550000}"/>
    <cellStyle name="Input 2 3 5 5 3 2" xfId="22058" xr:uid="{00000000-0005-0000-0000-000059550000}"/>
    <cellStyle name="Input 2 3 5 5 4" xfId="22059" xr:uid="{00000000-0005-0000-0000-00005A550000}"/>
    <cellStyle name="Input 2 3 5 5 5" xfId="22060" xr:uid="{00000000-0005-0000-0000-00005B550000}"/>
    <cellStyle name="Input 2 3 5 5 6" xfId="22061" xr:uid="{00000000-0005-0000-0000-00005C550000}"/>
    <cellStyle name="Input 2 3 5 6" xfId="22062" xr:uid="{00000000-0005-0000-0000-00005D550000}"/>
    <cellStyle name="Input 2 3 5 6 2" xfId="22063" xr:uid="{00000000-0005-0000-0000-00005E550000}"/>
    <cellStyle name="Input 2 3 5 7" xfId="22064" xr:uid="{00000000-0005-0000-0000-00005F550000}"/>
    <cellStyle name="Input 2 3 5 7 2" xfId="22065" xr:uid="{00000000-0005-0000-0000-000060550000}"/>
    <cellStyle name="Input 2 3 5 8" xfId="22066" xr:uid="{00000000-0005-0000-0000-000061550000}"/>
    <cellStyle name="Input 2 3 5 9" xfId="22067" xr:uid="{00000000-0005-0000-0000-000062550000}"/>
    <cellStyle name="Input 2 3 6" xfId="22068" xr:uid="{00000000-0005-0000-0000-000063550000}"/>
    <cellStyle name="Input 2 3 6 2" xfId="22069" xr:uid="{00000000-0005-0000-0000-000064550000}"/>
    <cellStyle name="Input 2 3 6 2 2" xfId="22070" xr:uid="{00000000-0005-0000-0000-000065550000}"/>
    <cellStyle name="Input 2 3 6 2 2 2" xfId="22071" xr:uid="{00000000-0005-0000-0000-000066550000}"/>
    <cellStyle name="Input 2 3 6 2 2 2 2" xfId="22072" xr:uid="{00000000-0005-0000-0000-000067550000}"/>
    <cellStyle name="Input 2 3 6 2 2 3" xfId="22073" xr:uid="{00000000-0005-0000-0000-000068550000}"/>
    <cellStyle name="Input 2 3 6 2 2 3 2" xfId="22074" xr:uid="{00000000-0005-0000-0000-000069550000}"/>
    <cellStyle name="Input 2 3 6 2 2 4" xfId="22075" xr:uid="{00000000-0005-0000-0000-00006A550000}"/>
    <cellStyle name="Input 2 3 6 2 2 5" xfId="22076" xr:uid="{00000000-0005-0000-0000-00006B550000}"/>
    <cellStyle name="Input 2 3 6 2 2 6" xfId="22077" xr:uid="{00000000-0005-0000-0000-00006C550000}"/>
    <cellStyle name="Input 2 3 6 2 3" xfId="22078" xr:uid="{00000000-0005-0000-0000-00006D550000}"/>
    <cellStyle name="Input 2 3 6 2 3 2" xfId="22079" xr:uid="{00000000-0005-0000-0000-00006E550000}"/>
    <cellStyle name="Input 2 3 6 2 4" xfId="22080" xr:uid="{00000000-0005-0000-0000-00006F550000}"/>
    <cellStyle name="Input 2 3 6 2 4 2" xfId="22081" xr:uid="{00000000-0005-0000-0000-000070550000}"/>
    <cellStyle name="Input 2 3 6 2 5" xfId="22082" xr:uid="{00000000-0005-0000-0000-000071550000}"/>
    <cellStyle name="Input 2 3 6 2 6" xfId="22083" xr:uid="{00000000-0005-0000-0000-000072550000}"/>
    <cellStyle name="Input 2 3 6 2 7" xfId="22084" xr:uid="{00000000-0005-0000-0000-000073550000}"/>
    <cellStyle name="Input 2 3 6 3" xfId="22085" xr:uid="{00000000-0005-0000-0000-000074550000}"/>
    <cellStyle name="Input 2 3 6 3 2" xfId="22086" xr:uid="{00000000-0005-0000-0000-000075550000}"/>
    <cellStyle name="Input 2 3 6 3 2 2" xfId="22087" xr:uid="{00000000-0005-0000-0000-000076550000}"/>
    <cellStyle name="Input 2 3 6 3 3" xfId="22088" xr:uid="{00000000-0005-0000-0000-000077550000}"/>
    <cellStyle name="Input 2 3 6 3 3 2" xfId="22089" xr:uid="{00000000-0005-0000-0000-000078550000}"/>
    <cellStyle name="Input 2 3 6 3 4" xfId="22090" xr:uid="{00000000-0005-0000-0000-000079550000}"/>
    <cellStyle name="Input 2 3 6 3 5" xfId="22091" xr:uid="{00000000-0005-0000-0000-00007A550000}"/>
    <cellStyle name="Input 2 3 6 3 6" xfId="22092" xr:uid="{00000000-0005-0000-0000-00007B550000}"/>
    <cellStyle name="Input 2 3 6 4" xfId="22093" xr:uid="{00000000-0005-0000-0000-00007C550000}"/>
    <cellStyle name="Input 2 3 6 4 2" xfId="22094" xr:uid="{00000000-0005-0000-0000-00007D550000}"/>
    <cellStyle name="Input 2 3 6 5" xfId="22095" xr:uid="{00000000-0005-0000-0000-00007E550000}"/>
    <cellStyle name="Input 2 3 6 5 2" xfId="22096" xr:uid="{00000000-0005-0000-0000-00007F550000}"/>
    <cellStyle name="Input 2 3 6 6" xfId="22097" xr:uid="{00000000-0005-0000-0000-000080550000}"/>
    <cellStyle name="Input 2 3 6 7" xfId="22098" xr:uid="{00000000-0005-0000-0000-000081550000}"/>
    <cellStyle name="Input 2 3 6 8" xfId="22099" xr:uid="{00000000-0005-0000-0000-000082550000}"/>
    <cellStyle name="Input 2 3 7" xfId="22100" xr:uid="{00000000-0005-0000-0000-000083550000}"/>
    <cellStyle name="Input 2 3 7 2" xfId="22101" xr:uid="{00000000-0005-0000-0000-000084550000}"/>
    <cellStyle name="Input 2 3 7 2 2" xfId="22102" xr:uid="{00000000-0005-0000-0000-000085550000}"/>
    <cellStyle name="Input 2 3 7 2 2 2" xfId="22103" xr:uid="{00000000-0005-0000-0000-000086550000}"/>
    <cellStyle name="Input 2 3 7 2 3" xfId="22104" xr:uid="{00000000-0005-0000-0000-000087550000}"/>
    <cellStyle name="Input 2 3 7 2 3 2" xfId="22105" xr:uid="{00000000-0005-0000-0000-000088550000}"/>
    <cellStyle name="Input 2 3 7 2 4" xfId="22106" xr:uid="{00000000-0005-0000-0000-000089550000}"/>
    <cellStyle name="Input 2 3 7 2 5" xfId="22107" xr:uid="{00000000-0005-0000-0000-00008A550000}"/>
    <cellStyle name="Input 2 3 7 2 6" xfId="22108" xr:uid="{00000000-0005-0000-0000-00008B550000}"/>
    <cellStyle name="Input 2 3 7 3" xfId="22109" xr:uid="{00000000-0005-0000-0000-00008C550000}"/>
    <cellStyle name="Input 2 3 7 3 2" xfId="22110" xr:uid="{00000000-0005-0000-0000-00008D550000}"/>
    <cellStyle name="Input 2 3 7 4" xfId="22111" xr:uid="{00000000-0005-0000-0000-00008E550000}"/>
    <cellStyle name="Input 2 3 7 4 2" xfId="22112" xr:uid="{00000000-0005-0000-0000-00008F550000}"/>
    <cellStyle name="Input 2 3 7 5" xfId="22113" xr:uid="{00000000-0005-0000-0000-000090550000}"/>
    <cellStyle name="Input 2 3 7 6" xfId="22114" xr:uid="{00000000-0005-0000-0000-000091550000}"/>
    <cellStyle name="Input 2 3 7 7" xfId="22115" xr:uid="{00000000-0005-0000-0000-000092550000}"/>
    <cellStyle name="Input 2 3 8" xfId="22116" xr:uid="{00000000-0005-0000-0000-000093550000}"/>
    <cellStyle name="Input 2 3 8 2" xfId="22117" xr:uid="{00000000-0005-0000-0000-000094550000}"/>
    <cellStyle name="Input 2 3 9" xfId="22118" xr:uid="{00000000-0005-0000-0000-000095550000}"/>
    <cellStyle name="Input 2 3 9 2" xfId="22119" xr:uid="{00000000-0005-0000-0000-000096550000}"/>
    <cellStyle name="Input 2 4" xfId="22120" xr:uid="{00000000-0005-0000-0000-000097550000}"/>
    <cellStyle name="Input 2 4 10" xfId="22121" xr:uid="{00000000-0005-0000-0000-000098550000}"/>
    <cellStyle name="Input 2 4 11" xfId="22122" xr:uid="{00000000-0005-0000-0000-000099550000}"/>
    <cellStyle name="Input 2 4 12" xfId="22123" xr:uid="{00000000-0005-0000-0000-00009A550000}"/>
    <cellStyle name="Input 2 4 2" xfId="22124" xr:uid="{00000000-0005-0000-0000-00009B550000}"/>
    <cellStyle name="Input 2 4 2 10" xfId="22125" xr:uid="{00000000-0005-0000-0000-00009C550000}"/>
    <cellStyle name="Input 2 4 2 11" xfId="22126" xr:uid="{00000000-0005-0000-0000-00009D550000}"/>
    <cellStyle name="Input 2 4 2 2" xfId="22127" xr:uid="{00000000-0005-0000-0000-00009E550000}"/>
    <cellStyle name="Input 2 4 2 2 10" xfId="22128" xr:uid="{00000000-0005-0000-0000-00009F550000}"/>
    <cellStyle name="Input 2 4 2 2 2" xfId="22129" xr:uid="{00000000-0005-0000-0000-0000A0550000}"/>
    <cellStyle name="Input 2 4 2 2 2 2" xfId="22130" xr:uid="{00000000-0005-0000-0000-0000A1550000}"/>
    <cellStyle name="Input 2 4 2 2 2 2 2" xfId="22131" xr:uid="{00000000-0005-0000-0000-0000A2550000}"/>
    <cellStyle name="Input 2 4 2 2 2 2 2 2" xfId="22132" xr:uid="{00000000-0005-0000-0000-0000A3550000}"/>
    <cellStyle name="Input 2 4 2 2 2 2 2 2 2" xfId="22133" xr:uid="{00000000-0005-0000-0000-0000A4550000}"/>
    <cellStyle name="Input 2 4 2 2 2 2 2 3" xfId="22134" xr:uid="{00000000-0005-0000-0000-0000A5550000}"/>
    <cellStyle name="Input 2 4 2 2 2 2 2 3 2" xfId="22135" xr:uid="{00000000-0005-0000-0000-0000A6550000}"/>
    <cellStyle name="Input 2 4 2 2 2 2 2 4" xfId="22136" xr:uid="{00000000-0005-0000-0000-0000A7550000}"/>
    <cellStyle name="Input 2 4 2 2 2 2 2 5" xfId="22137" xr:uid="{00000000-0005-0000-0000-0000A8550000}"/>
    <cellStyle name="Input 2 4 2 2 2 2 2 6" xfId="22138" xr:uid="{00000000-0005-0000-0000-0000A9550000}"/>
    <cellStyle name="Input 2 4 2 2 2 2 3" xfId="22139" xr:uid="{00000000-0005-0000-0000-0000AA550000}"/>
    <cellStyle name="Input 2 4 2 2 2 2 3 2" xfId="22140" xr:uid="{00000000-0005-0000-0000-0000AB550000}"/>
    <cellStyle name="Input 2 4 2 2 2 2 4" xfId="22141" xr:uid="{00000000-0005-0000-0000-0000AC550000}"/>
    <cellStyle name="Input 2 4 2 2 2 2 4 2" xfId="22142" xr:uid="{00000000-0005-0000-0000-0000AD550000}"/>
    <cellStyle name="Input 2 4 2 2 2 2 5" xfId="22143" xr:uid="{00000000-0005-0000-0000-0000AE550000}"/>
    <cellStyle name="Input 2 4 2 2 2 2 6" xfId="22144" xr:uid="{00000000-0005-0000-0000-0000AF550000}"/>
    <cellStyle name="Input 2 4 2 2 2 2 7" xfId="22145" xr:uid="{00000000-0005-0000-0000-0000B0550000}"/>
    <cellStyle name="Input 2 4 2 2 2 3" xfId="22146" xr:uid="{00000000-0005-0000-0000-0000B1550000}"/>
    <cellStyle name="Input 2 4 2 2 2 3 2" xfId="22147" xr:uid="{00000000-0005-0000-0000-0000B2550000}"/>
    <cellStyle name="Input 2 4 2 2 2 3 2 2" xfId="22148" xr:uid="{00000000-0005-0000-0000-0000B3550000}"/>
    <cellStyle name="Input 2 4 2 2 2 3 3" xfId="22149" xr:uid="{00000000-0005-0000-0000-0000B4550000}"/>
    <cellStyle name="Input 2 4 2 2 2 3 3 2" xfId="22150" xr:uid="{00000000-0005-0000-0000-0000B5550000}"/>
    <cellStyle name="Input 2 4 2 2 2 3 4" xfId="22151" xr:uid="{00000000-0005-0000-0000-0000B6550000}"/>
    <cellStyle name="Input 2 4 2 2 2 3 5" xfId="22152" xr:uid="{00000000-0005-0000-0000-0000B7550000}"/>
    <cellStyle name="Input 2 4 2 2 2 3 6" xfId="22153" xr:uid="{00000000-0005-0000-0000-0000B8550000}"/>
    <cellStyle name="Input 2 4 2 2 2 4" xfId="22154" xr:uid="{00000000-0005-0000-0000-0000B9550000}"/>
    <cellStyle name="Input 2 4 2 2 2 4 2" xfId="22155" xr:uid="{00000000-0005-0000-0000-0000BA550000}"/>
    <cellStyle name="Input 2 4 2 2 2 5" xfId="22156" xr:uid="{00000000-0005-0000-0000-0000BB550000}"/>
    <cellStyle name="Input 2 4 2 2 2 5 2" xfId="22157" xr:uid="{00000000-0005-0000-0000-0000BC550000}"/>
    <cellStyle name="Input 2 4 2 2 2 6" xfId="22158" xr:uid="{00000000-0005-0000-0000-0000BD550000}"/>
    <cellStyle name="Input 2 4 2 2 2 7" xfId="22159" xr:uid="{00000000-0005-0000-0000-0000BE550000}"/>
    <cellStyle name="Input 2 4 2 2 2 8" xfId="22160" xr:uid="{00000000-0005-0000-0000-0000BF550000}"/>
    <cellStyle name="Input 2 4 2 2 3" xfId="22161" xr:uid="{00000000-0005-0000-0000-0000C0550000}"/>
    <cellStyle name="Input 2 4 2 2 3 2" xfId="22162" xr:uid="{00000000-0005-0000-0000-0000C1550000}"/>
    <cellStyle name="Input 2 4 2 2 3 2 2" xfId="22163" xr:uid="{00000000-0005-0000-0000-0000C2550000}"/>
    <cellStyle name="Input 2 4 2 2 3 2 2 2" xfId="22164" xr:uid="{00000000-0005-0000-0000-0000C3550000}"/>
    <cellStyle name="Input 2 4 2 2 3 2 2 2 2" xfId="22165" xr:uid="{00000000-0005-0000-0000-0000C4550000}"/>
    <cellStyle name="Input 2 4 2 2 3 2 2 3" xfId="22166" xr:uid="{00000000-0005-0000-0000-0000C5550000}"/>
    <cellStyle name="Input 2 4 2 2 3 2 2 3 2" xfId="22167" xr:uid="{00000000-0005-0000-0000-0000C6550000}"/>
    <cellStyle name="Input 2 4 2 2 3 2 2 4" xfId="22168" xr:uid="{00000000-0005-0000-0000-0000C7550000}"/>
    <cellStyle name="Input 2 4 2 2 3 2 2 5" xfId="22169" xr:uid="{00000000-0005-0000-0000-0000C8550000}"/>
    <cellStyle name="Input 2 4 2 2 3 2 2 6" xfId="22170" xr:uid="{00000000-0005-0000-0000-0000C9550000}"/>
    <cellStyle name="Input 2 4 2 2 3 2 3" xfId="22171" xr:uid="{00000000-0005-0000-0000-0000CA550000}"/>
    <cellStyle name="Input 2 4 2 2 3 2 3 2" xfId="22172" xr:uid="{00000000-0005-0000-0000-0000CB550000}"/>
    <cellStyle name="Input 2 4 2 2 3 2 4" xfId="22173" xr:uid="{00000000-0005-0000-0000-0000CC550000}"/>
    <cellStyle name="Input 2 4 2 2 3 2 4 2" xfId="22174" xr:uid="{00000000-0005-0000-0000-0000CD550000}"/>
    <cellStyle name="Input 2 4 2 2 3 2 5" xfId="22175" xr:uid="{00000000-0005-0000-0000-0000CE550000}"/>
    <cellStyle name="Input 2 4 2 2 3 2 6" xfId="22176" xr:uid="{00000000-0005-0000-0000-0000CF550000}"/>
    <cellStyle name="Input 2 4 2 2 3 2 7" xfId="22177" xr:uid="{00000000-0005-0000-0000-0000D0550000}"/>
    <cellStyle name="Input 2 4 2 2 3 3" xfId="22178" xr:uid="{00000000-0005-0000-0000-0000D1550000}"/>
    <cellStyle name="Input 2 4 2 2 3 3 2" xfId="22179" xr:uid="{00000000-0005-0000-0000-0000D2550000}"/>
    <cellStyle name="Input 2 4 2 2 3 3 2 2" xfId="22180" xr:uid="{00000000-0005-0000-0000-0000D3550000}"/>
    <cellStyle name="Input 2 4 2 2 3 3 3" xfId="22181" xr:uid="{00000000-0005-0000-0000-0000D4550000}"/>
    <cellStyle name="Input 2 4 2 2 3 3 3 2" xfId="22182" xr:uid="{00000000-0005-0000-0000-0000D5550000}"/>
    <cellStyle name="Input 2 4 2 2 3 3 4" xfId="22183" xr:uid="{00000000-0005-0000-0000-0000D6550000}"/>
    <cellStyle name="Input 2 4 2 2 3 3 5" xfId="22184" xr:uid="{00000000-0005-0000-0000-0000D7550000}"/>
    <cellStyle name="Input 2 4 2 2 3 3 6" xfId="22185" xr:uid="{00000000-0005-0000-0000-0000D8550000}"/>
    <cellStyle name="Input 2 4 2 2 3 4" xfId="22186" xr:uid="{00000000-0005-0000-0000-0000D9550000}"/>
    <cellStyle name="Input 2 4 2 2 3 4 2" xfId="22187" xr:uid="{00000000-0005-0000-0000-0000DA550000}"/>
    <cellStyle name="Input 2 4 2 2 3 5" xfId="22188" xr:uid="{00000000-0005-0000-0000-0000DB550000}"/>
    <cellStyle name="Input 2 4 2 2 3 5 2" xfId="22189" xr:uid="{00000000-0005-0000-0000-0000DC550000}"/>
    <cellStyle name="Input 2 4 2 2 3 6" xfId="22190" xr:uid="{00000000-0005-0000-0000-0000DD550000}"/>
    <cellStyle name="Input 2 4 2 2 3 7" xfId="22191" xr:uid="{00000000-0005-0000-0000-0000DE550000}"/>
    <cellStyle name="Input 2 4 2 2 3 8" xfId="22192" xr:uid="{00000000-0005-0000-0000-0000DF550000}"/>
    <cellStyle name="Input 2 4 2 2 4" xfId="22193" xr:uid="{00000000-0005-0000-0000-0000E0550000}"/>
    <cellStyle name="Input 2 4 2 2 4 2" xfId="22194" xr:uid="{00000000-0005-0000-0000-0000E1550000}"/>
    <cellStyle name="Input 2 4 2 2 4 2 2" xfId="22195" xr:uid="{00000000-0005-0000-0000-0000E2550000}"/>
    <cellStyle name="Input 2 4 2 2 4 2 2 2" xfId="22196" xr:uid="{00000000-0005-0000-0000-0000E3550000}"/>
    <cellStyle name="Input 2 4 2 2 4 2 3" xfId="22197" xr:uid="{00000000-0005-0000-0000-0000E4550000}"/>
    <cellStyle name="Input 2 4 2 2 4 2 3 2" xfId="22198" xr:uid="{00000000-0005-0000-0000-0000E5550000}"/>
    <cellStyle name="Input 2 4 2 2 4 2 4" xfId="22199" xr:uid="{00000000-0005-0000-0000-0000E6550000}"/>
    <cellStyle name="Input 2 4 2 2 4 2 5" xfId="22200" xr:uid="{00000000-0005-0000-0000-0000E7550000}"/>
    <cellStyle name="Input 2 4 2 2 4 2 6" xfId="22201" xr:uid="{00000000-0005-0000-0000-0000E8550000}"/>
    <cellStyle name="Input 2 4 2 2 4 3" xfId="22202" xr:uid="{00000000-0005-0000-0000-0000E9550000}"/>
    <cellStyle name="Input 2 4 2 2 4 3 2" xfId="22203" xr:uid="{00000000-0005-0000-0000-0000EA550000}"/>
    <cellStyle name="Input 2 4 2 2 4 4" xfId="22204" xr:uid="{00000000-0005-0000-0000-0000EB550000}"/>
    <cellStyle name="Input 2 4 2 2 4 4 2" xfId="22205" xr:uid="{00000000-0005-0000-0000-0000EC550000}"/>
    <cellStyle name="Input 2 4 2 2 4 5" xfId="22206" xr:uid="{00000000-0005-0000-0000-0000ED550000}"/>
    <cellStyle name="Input 2 4 2 2 4 6" xfId="22207" xr:uid="{00000000-0005-0000-0000-0000EE550000}"/>
    <cellStyle name="Input 2 4 2 2 4 7" xfId="22208" xr:uid="{00000000-0005-0000-0000-0000EF550000}"/>
    <cellStyle name="Input 2 4 2 2 5" xfId="22209" xr:uid="{00000000-0005-0000-0000-0000F0550000}"/>
    <cellStyle name="Input 2 4 2 2 5 2" xfId="22210" xr:uid="{00000000-0005-0000-0000-0000F1550000}"/>
    <cellStyle name="Input 2 4 2 2 5 2 2" xfId="22211" xr:uid="{00000000-0005-0000-0000-0000F2550000}"/>
    <cellStyle name="Input 2 4 2 2 5 3" xfId="22212" xr:uid="{00000000-0005-0000-0000-0000F3550000}"/>
    <cellStyle name="Input 2 4 2 2 5 3 2" xfId="22213" xr:uid="{00000000-0005-0000-0000-0000F4550000}"/>
    <cellStyle name="Input 2 4 2 2 5 4" xfId="22214" xr:uid="{00000000-0005-0000-0000-0000F5550000}"/>
    <cellStyle name="Input 2 4 2 2 5 5" xfId="22215" xr:uid="{00000000-0005-0000-0000-0000F6550000}"/>
    <cellStyle name="Input 2 4 2 2 5 6" xfId="22216" xr:uid="{00000000-0005-0000-0000-0000F7550000}"/>
    <cellStyle name="Input 2 4 2 2 6" xfId="22217" xr:uid="{00000000-0005-0000-0000-0000F8550000}"/>
    <cellStyle name="Input 2 4 2 2 6 2" xfId="22218" xr:uid="{00000000-0005-0000-0000-0000F9550000}"/>
    <cellStyle name="Input 2 4 2 2 7" xfId="22219" xr:uid="{00000000-0005-0000-0000-0000FA550000}"/>
    <cellStyle name="Input 2 4 2 2 7 2" xfId="22220" xr:uid="{00000000-0005-0000-0000-0000FB550000}"/>
    <cellStyle name="Input 2 4 2 2 8" xfId="22221" xr:uid="{00000000-0005-0000-0000-0000FC550000}"/>
    <cellStyle name="Input 2 4 2 2 9" xfId="22222" xr:uid="{00000000-0005-0000-0000-0000FD550000}"/>
    <cellStyle name="Input 2 4 2 3" xfId="22223" xr:uid="{00000000-0005-0000-0000-0000FE550000}"/>
    <cellStyle name="Input 2 4 2 3 2" xfId="22224" xr:uid="{00000000-0005-0000-0000-0000FF550000}"/>
    <cellStyle name="Input 2 4 2 3 2 2" xfId="22225" xr:uid="{00000000-0005-0000-0000-000000560000}"/>
    <cellStyle name="Input 2 4 2 3 2 2 2" xfId="22226" xr:uid="{00000000-0005-0000-0000-000001560000}"/>
    <cellStyle name="Input 2 4 2 3 2 2 2 2" xfId="22227" xr:uid="{00000000-0005-0000-0000-000002560000}"/>
    <cellStyle name="Input 2 4 2 3 2 2 3" xfId="22228" xr:uid="{00000000-0005-0000-0000-000003560000}"/>
    <cellStyle name="Input 2 4 2 3 2 2 3 2" xfId="22229" xr:uid="{00000000-0005-0000-0000-000004560000}"/>
    <cellStyle name="Input 2 4 2 3 2 2 4" xfId="22230" xr:uid="{00000000-0005-0000-0000-000005560000}"/>
    <cellStyle name="Input 2 4 2 3 2 2 5" xfId="22231" xr:uid="{00000000-0005-0000-0000-000006560000}"/>
    <cellStyle name="Input 2 4 2 3 2 2 6" xfId="22232" xr:uid="{00000000-0005-0000-0000-000007560000}"/>
    <cellStyle name="Input 2 4 2 3 2 3" xfId="22233" xr:uid="{00000000-0005-0000-0000-000008560000}"/>
    <cellStyle name="Input 2 4 2 3 2 3 2" xfId="22234" xr:uid="{00000000-0005-0000-0000-000009560000}"/>
    <cellStyle name="Input 2 4 2 3 2 4" xfId="22235" xr:uid="{00000000-0005-0000-0000-00000A560000}"/>
    <cellStyle name="Input 2 4 2 3 2 4 2" xfId="22236" xr:uid="{00000000-0005-0000-0000-00000B560000}"/>
    <cellStyle name="Input 2 4 2 3 2 5" xfId="22237" xr:uid="{00000000-0005-0000-0000-00000C560000}"/>
    <cellStyle name="Input 2 4 2 3 2 6" xfId="22238" xr:uid="{00000000-0005-0000-0000-00000D560000}"/>
    <cellStyle name="Input 2 4 2 3 2 7" xfId="22239" xr:uid="{00000000-0005-0000-0000-00000E560000}"/>
    <cellStyle name="Input 2 4 2 3 3" xfId="22240" xr:uid="{00000000-0005-0000-0000-00000F560000}"/>
    <cellStyle name="Input 2 4 2 3 3 2" xfId="22241" xr:uid="{00000000-0005-0000-0000-000010560000}"/>
    <cellStyle name="Input 2 4 2 3 3 2 2" xfId="22242" xr:uid="{00000000-0005-0000-0000-000011560000}"/>
    <cellStyle name="Input 2 4 2 3 3 3" xfId="22243" xr:uid="{00000000-0005-0000-0000-000012560000}"/>
    <cellStyle name="Input 2 4 2 3 3 3 2" xfId="22244" xr:uid="{00000000-0005-0000-0000-000013560000}"/>
    <cellStyle name="Input 2 4 2 3 3 4" xfId="22245" xr:uid="{00000000-0005-0000-0000-000014560000}"/>
    <cellStyle name="Input 2 4 2 3 3 5" xfId="22246" xr:uid="{00000000-0005-0000-0000-000015560000}"/>
    <cellStyle name="Input 2 4 2 3 3 6" xfId="22247" xr:uid="{00000000-0005-0000-0000-000016560000}"/>
    <cellStyle name="Input 2 4 2 3 4" xfId="22248" xr:uid="{00000000-0005-0000-0000-000017560000}"/>
    <cellStyle name="Input 2 4 2 3 4 2" xfId="22249" xr:uid="{00000000-0005-0000-0000-000018560000}"/>
    <cellStyle name="Input 2 4 2 3 5" xfId="22250" xr:uid="{00000000-0005-0000-0000-000019560000}"/>
    <cellStyle name="Input 2 4 2 3 5 2" xfId="22251" xr:uid="{00000000-0005-0000-0000-00001A560000}"/>
    <cellStyle name="Input 2 4 2 3 6" xfId="22252" xr:uid="{00000000-0005-0000-0000-00001B560000}"/>
    <cellStyle name="Input 2 4 2 3 7" xfId="22253" xr:uid="{00000000-0005-0000-0000-00001C560000}"/>
    <cellStyle name="Input 2 4 2 3 8" xfId="22254" xr:uid="{00000000-0005-0000-0000-00001D560000}"/>
    <cellStyle name="Input 2 4 2 4" xfId="22255" xr:uid="{00000000-0005-0000-0000-00001E560000}"/>
    <cellStyle name="Input 2 4 2 4 2" xfId="22256" xr:uid="{00000000-0005-0000-0000-00001F560000}"/>
    <cellStyle name="Input 2 4 2 4 2 2" xfId="22257" xr:uid="{00000000-0005-0000-0000-000020560000}"/>
    <cellStyle name="Input 2 4 2 4 2 2 2" xfId="22258" xr:uid="{00000000-0005-0000-0000-000021560000}"/>
    <cellStyle name="Input 2 4 2 4 2 2 2 2" xfId="22259" xr:uid="{00000000-0005-0000-0000-000022560000}"/>
    <cellStyle name="Input 2 4 2 4 2 2 3" xfId="22260" xr:uid="{00000000-0005-0000-0000-000023560000}"/>
    <cellStyle name="Input 2 4 2 4 2 2 3 2" xfId="22261" xr:uid="{00000000-0005-0000-0000-000024560000}"/>
    <cellStyle name="Input 2 4 2 4 2 2 4" xfId="22262" xr:uid="{00000000-0005-0000-0000-000025560000}"/>
    <cellStyle name="Input 2 4 2 4 2 2 5" xfId="22263" xr:uid="{00000000-0005-0000-0000-000026560000}"/>
    <cellStyle name="Input 2 4 2 4 2 2 6" xfId="22264" xr:uid="{00000000-0005-0000-0000-000027560000}"/>
    <cellStyle name="Input 2 4 2 4 2 3" xfId="22265" xr:uid="{00000000-0005-0000-0000-000028560000}"/>
    <cellStyle name="Input 2 4 2 4 2 3 2" xfId="22266" xr:uid="{00000000-0005-0000-0000-000029560000}"/>
    <cellStyle name="Input 2 4 2 4 2 4" xfId="22267" xr:uid="{00000000-0005-0000-0000-00002A560000}"/>
    <cellStyle name="Input 2 4 2 4 2 4 2" xfId="22268" xr:uid="{00000000-0005-0000-0000-00002B560000}"/>
    <cellStyle name="Input 2 4 2 4 2 5" xfId="22269" xr:uid="{00000000-0005-0000-0000-00002C560000}"/>
    <cellStyle name="Input 2 4 2 4 2 6" xfId="22270" xr:uid="{00000000-0005-0000-0000-00002D560000}"/>
    <cellStyle name="Input 2 4 2 4 2 7" xfId="22271" xr:uid="{00000000-0005-0000-0000-00002E560000}"/>
    <cellStyle name="Input 2 4 2 4 3" xfId="22272" xr:uid="{00000000-0005-0000-0000-00002F560000}"/>
    <cellStyle name="Input 2 4 2 4 3 2" xfId="22273" xr:uid="{00000000-0005-0000-0000-000030560000}"/>
    <cellStyle name="Input 2 4 2 4 3 2 2" xfId="22274" xr:uid="{00000000-0005-0000-0000-000031560000}"/>
    <cellStyle name="Input 2 4 2 4 3 3" xfId="22275" xr:uid="{00000000-0005-0000-0000-000032560000}"/>
    <cellStyle name="Input 2 4 2 4 3 3 2" xfId="22276" xr:uid="{00000000-0005-0000-0000-000033560000}"/>
    <cellStyle name="Input 2 4 2 4 3 4" xfId="22277" xr:uid="{00000000-0005-0000-0000-000034560000}"/>
    <cellStyle name="Input 2 4 2 4 3 5" xfId="22278" xr:uid="{00000000-0005-0000-0000-000035560000}"/>
    <cellStyle name="Input 2 4 2 4 3 6" xfId="22279" xr:uid="{00000000-0005-0000-0000-000036560000}"/>
    <cellStyle name="Input 2 4 2 4 4" xfId="22280" xr:uid="{00000000-0005-0000-0000-000037560000}"/>
    <cellStyle name="Input 2 4 2 4 4 2" xfId="22281" xr:uid="{00000000-0005-0000-0000-000038560000}"/>
    <cellStyle name="Input 2 4 2 4 5" xfId="22282" xr:uid="{00000000-0005-0000-0000-000039560000}"/>
    <cellStyle name="Input 2 4 2 4 5 2" xfId="22283" xr:uid="{00000000-0005-0000-0000-00003A560000}"/>
    <cellStyle name="Input 2 4 2 4 6" xfId="22284" xr:uid="{00000000-0005-0000-0000-00003B560000}"/>
    <cellStyle name="Input 2 4 2 4 7" xfId="22285" xr:uid="{00000000-0005-0000-0000-00003C560000}"/>
    <cellStyle name="Input 2 4 2 4 8" xfId="22286" xr:uid="{00000000-0005-0000-0000-00003D560000}"/>
    <cellStyle name="Input 2 4 2 5" xfId="22287" xr:uid="{00000000-0005-0000-0000-00003E560000}"/>
    <cellStyle name="Input 2 4 2 5 2" xfId="22288" xr:uid="{00000000-0005-0000-0000-00003F560000}"/>
    <cellStyle name="Input 2 4 2 5 2 2" xfId="22289" xr:uid="{00000000-0005-0000-0000-000040560000}"/>
    <cellStyle name="Input 2 4 2 5 2 2 2" xfId="22290" xr:uid="{00000000-0005-0000-0000-000041560000}"/>
    <cellStyle name="Input 2 4 2 5 2 3" xfId="22291" xr:uid="{00000000-0005-0000-0000-000042560000}"/>
    <cellStyle name="Input 2 4 2 5 2 3 2" xfId="22292" xr:uid="{00000000-0005-0000-0000-000043560000}"/>
    <cellStyle name="Input 2 4 2 5 2 4" xfId="22293" xr:uid="{00000000-0005-0000-0000-000044560000}"/>
    <cellStyle name="Input 2 4 2 5 2 5" xfId="22294" xr:uid="{00000000-0005-0000-0000-000045560000}"/>
    <cellStyle name="Input 2 4 2 5 2 6" xfId="22295" xr:uid="{00000000-0005-0000-0000-000046560000}"/>
    <cellStyle name="Input 2 4 2 5 3" xfId="22296" xr:uid="{00000000-0005-0000-0000-000047560000}"/>
    <cellStyle name="Input 2 4 2 5 3 2" xfId="22297" xr:uid="{00000000-0005-0000-0000-000048560000}"/>
    <cellStyle name="Input 2 4 2 5 4" xfId="22298" xr:uid="{00000000-0005-0000-0000-000049560000}"/>
    <cellStyle name="Input 2 4 2 5 4 2" xfId="22299" xr:uid="{00000000-0005-0000-0000-00004A560000}"/>
    <cellStyle name="Input 2 4 2 5 5" xfId="22300" xr:uid="{00000000-0005-0000-0000-00004B560000}"/>
    <cellStyle name="Input 2 4 2 5 6" xfId="22301" xr:uid="{00000000-0005-0000-0000-00004C560000}"/>
    <cellStyle name="Input 2 4 2 5 7" xfId="22302" xr:uid="{00000000-0005-0000-0000-00004D560000}"/>
    <cellStyle name="Input 2 4 2 6" xfId="22303" xr:uid="{00000000-0005-0000-0000-00004E560000}"/>
    <cellStyle name="Input 2 4 2 6 2" xfId="22304" xr:uid="{00000000-0005-0000-0000-00004F560000}"/>
    <cellStyle name="Input 2 4 2 6 2 2" xfId="22305" xr:uid="{00000000-0005-0000-0000-000050560000}"/>
    <cellStyle name="Input 2 4 2 6 3" xfId="22306" xr:uid="{00000000-0005-0000-0000-000051560000}"/>
    <cellStyle name="Input 2 4 2 6 3 2" xfId="22307" xr:uid="{00000000-0005-0000-0000-000052560000}"/>
    <cellStyle name="Input 2 4 2 6 4" xfId="22308" xr:uid="{00000000-0005-0000-0000-000053560000}"/>
    <cellStyle name="Input 2 4 2 6 5" xfId="22309" xr:uid="{00000000-0005-0000-0000-000054560000}"/>
    <cellStyle name="Input 2 4 2 6 6" xfId="22310" xr:uid="{00000000-0005-0000-0000-000055560000}"/>
    <cellStyle name="Input 2 4 2 7" xfId="22311" xr:uid="{00000000-0005-0000-0000-000056560000}"/>
    <cellStyle name="Input 2 4 2 7 2" xfId="22312" xr:uid="{00000000-0005-0000-0000-000057560000}"/>
    <cellStyle name="Input 2 4 2 8" xfId="22313" xr:uid="{00000000-0005-0000-0000-000058560000}"/>
    <cellStyle name="Input 2 4 2 8 2" xfId="22314" xr:uid="{00000000-0005-0000-0000-000059560000}"/>
    <cellStyle name="Input 2 4 2 9" xfId="22315" xr:uid="{00000000-0005-0000-0000-00005A560000}"/>
    <cellStyle name="Input 2 4 3" xfId="22316" xr:uid="{00000000-0005-0000-0000-00005B560000}"/>
    <cellStyle name="Input 2 4 3 10" xfId="22317" xr:uid="{00000000-0005-0000-0000-00005C560000}"/>
    <cellStyle name="Input 2 4 3 2" xfId="22318" xr:uid="{00000000-0005-0000-0000-00005D560000}"/>
    <cellStyle name="Input 2 4 3 2 10" xfId="22319" xr:uid="{00000000-0005-0000-0000-00005E560000}"/>
    <cellStyle name="Input 2 4 3 2 2" xfId="22320" xr:uid="{00000000-0005-0000-0000-00005F560000}"/>
    <cellStyle name="Input 2 4 3 2 2 2" xfId="22321" xr:uid="{00000000-0005-0000-0000-000060560000}"/>
    <cellStyle name="Input 2 4 3 2 2 2 2" xfId="22322" xr:uid="{00000000-0005-0000-0000-000061560000}"/>
    <cellStyle name="Input 2 4 3 2 2 2 2 2" xfId="22323" xr:uid="{00000000-0005-0000-0000-000062560000}"/>
    <cellStyle name="Input 2 4 3 2 2 2 2 2 2" xfId="22324" xr:uid="{00000000-0005-0000-0000-000063560000}"/>
    <cellStyle name="Input 2 4 3 2 2 2 2 3" xfId="22325" xr:uid="{00000000-0005-0000-0000-000064560000}"/>
    <cellStyle name="Input 2 4 3 2 2 2 2 3 2" xfId="22326" xr:uid="{00000000-0005-0000-0000-000065560000}"/>
    <cellStyle name="Input 2 4 3 2 2 2 2 4" xfId="22327" xr:uid="{00000000-0005-0000-0000-000066560000}"/>
    <cellStyle name="Input 2 4 3 2 2 2 2 5" xfId="22328" xr:uid="{00000000-0005-0000-0000-000067560000}"/>
    <cellStyle name="Input 2 4 3 2 2 2 2 6" xfId="22329" xr:uid="{00000000-0005-0000-0000-000068560000}"/>
    <cellStyle name="Input 2 4 3 2 2 2 3" xfId="22330" xr:uid="{00000000-0005-0000-0000-000069560000}"/>
    <cellStyle name="Input 2 4 3 2 2 2 3 2" xfId="22331" xr:uid="{00000000-0005-0000-0000-00006A560000}"/>
    <cellStyle name="Input 2 4 3 2 2 2 4" xfId="22332" xr:uid="{00000000-0005-0000-0000-00006B560000}"/>
    <cellStyle name="Input 2 4 3 2 2 2 4 2" xfId="22333" xr:uid="{00000000-0005-0000-0000-00006C560000}"/>
    <cellStyle name="Input 2 4 3 2 2 2 5" xfId="22334" xr:uid="{00000000-0005-0000-0000-00006D560000}"/>
    <cellStyle name="Input 2 4 3 2 2 2 6" xfId="22335" xr:uid="{00000000-0005-0000-0000-00006E560000}"/>
    <cellStyle name="Input 2 4 3 2 2 2 7" xfId="22336" xr:uid="{00000000-0005-0000-0000-00006F560000}"/>
    <cellStyle name="Input 2 4 3 2 2 3" xfId="22337" xr:uid="{00000000-0005-0000-0000-000070560000}"/>
    <cellStyle name="Input 2 4 3 2 2 3 2" xfId="22338" xr:uid="{00000000-0005-0000-0000-000071560000}"/>
    <cellStyle name="Input 2 4 3 2 2 3 2 2" xfId="22339" xr:uid="{00000000-0005-0000-0000-000072560000}"/>
    <cellStyle name="Input 2 4 3 2 2 3 3" xfId="22340" xr:uid="{00000000-0005-0000-0000-000073560000}"/>
    <cellStyle name="Input 2 4 3 2 2 3 3 2" xfId="22341" xr:uid="{00000000-0005-0000-0000-000074560000}"/>
    <cellStyle name="Input 2 4 3 2 2 3 4" xfId="22342" xr:uid="{00000000-0005-0000-0000-000075560000}"/>
    <cellStyle name="Input 2 4 3 2 2 3 5" xfId="22343" xr:uid="{00000000-0005-0000-0000-000076560000}"/>
    <cellStyle name="Input 2 4 3 2 2 3 6" xfId="22344" xr:uid="{00000000-0005-0000-0000-000077560000}"/>
    <cellStyle name="Input 2 4 3 2 2 4" xfId="22345" xr:uid="{00000000-0005-0000-0000-000078560000}"/>
    <cellStyle name="Input 2 4 3 2 2 4 2" xfId="22346" xr:uid="{00000000-0005-0000-0000-000079560000}"/>
    <cellStyle name="Input 2 4 3 2 2 5" xfId="22347" xr:uid="{00000000-0005-0000-0000-00007A560000}"/>
    <cellStyle name="Input 2 4 3 2 2 5 2" xfId="22348" xr:uid="{00000000-0005-0000-0000-00007B560000}"/>
    <cellStyle name="Input 2 4 3 2 2 6" xfId="22349" xr:uid="{00000000-0005-0000-0000-00007C560000}"/>
    <cellStyle name="Input 2 4 3 2 2 7" xfId="22350" xr:uid="{00000000-0005-0000-0000-00007D560000}"/>
    <cellStyle name="Input 2 4 3 2 2 8" xfId="22351" xr:uid="{00000000-0005-0000-0000-00007E560000}"/>
    <cellStyle name="Input 2 4 3 2 3" xfId="22352" xr:uid="{00000000-0005-0000-0000-00007F560000}"/>
    <cellStyle name="Input 2 4 3 2 3 2" xfId="22353" xr:uid="{00000000-0005-0000-0000-000080560000}"/>
    <cellStyle name="Input 2 4 3 2 3 2 2" xfId="22354" xr:uid="{00000000-0005-0000-0000-000081560000}"/>
    <cellStyle name="Input 2 4 3 2 3 2 2 2" xfId="22355" xr:uid="{00000000-0005-0000-0000-000082560000}"/>
    <cellStyle name="Input 2 4 3 2 3 2 2 2 2" xfId="22356" xr:uid="{00000000-0005-0000-0000-000083560000}"/>
    <cellStyle name="Input 2 4 3 2 3 2 2 3" xfId="22357" xr:uid="{00000000-0005-0000-0000-000084560000}"/>
    <cellStyle name="Input 2 4 3 2 3 2 2 3 2" xfId="22358" xr:uid="{00000000-0005-0000-0000-000085560000}"/>
    <cellStyle name="Input 2 4 3 2 3 2 2 4" xfId="22359" xr:uid="{00000000-0005-0000-0000-000086560000}"/>
    <cellStyle name="Input 2 4 3 2 3 2 2 5" xfId="22360" xr:uid="{00000000-0005-0000-0000-000087560000}"/>
    <cellStyle name="Input 2 4 3 2 3 2 2 6" xfId="22361" xr:uid="{00000000-0005-0000-0000-000088560000}"/>
    <cellStyle name="Input 2 4 3 2 3 2 3" xfId="22362" xr:uid="{00000000-0005-0000-0000-000089560000}"/>
    <cellStyle name="Input 2 4 3 2 3 2 3 2" xfId="22363" xr:uid="{00000000-0005-0000-0000-00008A560000}"/>
    <cellStyle name="Input 2 4 3 2 3 2 4" xfId="22364" xr:uid="{00000000-0005-0000-0000-00008B560000}"/>
    <cellStyle name="Input 2 4 3 2 3 2 4 2" xfId="22365" xr:uid="{00000000-0005-0000-0000-00008C560000}"/>
    <cellStyle name="Input 2 4 3 2 3 2 5" xfId="22366" xr:uid="{00000000-0005-0000-0000-00008D560000}"/>
    <cellStyle name="Input 2 4 3 2 3 2 6" xfId="22367" xr:uid="{00000000-0005-0000-0000-00008E560000}"/>
    <cellStyle name="Input 2 4 3 2 3 2 7" xfId="22368" xr:uid="{00000000-0005-0000-0000-00008F560000}"/>
    <cellStyle name="Input 2 4 3 2 3 3" xfId="22369" xr:uid="{00000000-0005-0000-0000-000090560000}"/>
    <cellStyle name="Input 2 4 3 2 3 3 2" xfId="22370" xr:uid="{00000000-0005-0000-0000-000091560000}"/>
    <cellStyle name="Input 2 4 3 2 3 3 2 2" xfId="22371" xr:uid="{00000000-0005-0000-0000-000092560000}"/>
    <cellStyle name="Input 2 4 3 2 3 3 3" xfId="22372" xr:uid="{00000000-0005-0000-0000-000093560000}"/>
    <cellStyle name="Input 2 4 3 2 3 3 3 2" xfId="22373" xr:uid="{00000000-0005-0000-0000-000094560000}"/>
    <cellStyle name="Input 2 4 3 2 3 3 4" xfId="22374" xr:uid="{00000000-0005-0000-0000-000095560000}"/>
    <cellStyle name="Input 2 4 3 2 3 3 5" xfId="22375" xr:uid="{00000000-0005-0000-0000-000096560000}"/>
    <cellStyle name="Input 2 4 3 2 3 3 6" xfId="22376" xr:uid="{00000000-0005-0000-0000-000097560000}"/>
    <cellStyle name="Input 2 4 3 2 3 4" xfId="22377" xr:uid="{00000000-0005-0000-0000-000098560000}"/>
    <cellStyle name="Input 2 4 3 2 3 4 2" xfId="22378" xr:uid="{00000000-0005-0000-0000-000099560000}"/>
    <cellStyle name="Input 2 4 3 2 3 5" xfId="22379" xr:uid="{00000000-0005-0000-0000-00009A560000}"/>
    <cellStyle name="Input 2 4 3 2 3 5 2" xfId="22380" xr:uid="{00000000-0005-0000-0000-00009B560000}"/>
    <cellStyle name="Input 2 4 3 2 3 6" xfId="22381" xr:uid="{00000000-0005-0000-0000-00009C560000}"/>
    <cellStyle name="Input 2 4 3 2 3 7" xfId="22382" xr:uid="{00000000-0005-0000-0000-00009D560000}"/>
    <cellStyle name="Input 2 4 3 2 3 8" xfId="22383" xr:uid="{00000000-0005-0000-0000-00009E560000}"/>
    <cellStyle name="Input 2 4 3 2 4" xfId="22384" xr:uid="{00000000-0005-0000-0000-00009F560000}"/>
    <cellStyle name="Input 2 4 3 2 4 2" xfId="22385" xr:uid="{00000000-0005-0000-0000-0000A0560000}"/>
    <cellStyle name="Input 2 4 3 2 4 2 2" xfId="22386" xr:uid="{00000000-0005-0000-0000-0000A1560000}"/>
    <cellStyle name="Input 2 4 3 2 4 2 2 2" xfId="22387" xr:uid="{00000000-0005-0000-0000-0000A2560000}"/>
    <cellStyle name="Input 2 4 3 2 4 2 3" xfId="22388" xr:uid="{00000000-0005-0000-0000-0000A3560000}"/>
    <cellStyle name="Input 2 4 3 2 4 2 3 2" xfId="22389" xr:uid="{00000000-0005-0000-0000-0000A4560000}"/>
    <cellStyle name="Input 2 4 3 2 4 2 4" xfId="22390" xr:uid="{00000000-0005-0000-0000-0000A5560000}"/>
    <cellStyle name="Input 2 4 3 2 4 2 5" xfId="22391" xr:uid="{00000000-0005-0000-0000-0000A6560000}"/>
    <cellStyle name="Input 2 4 3 2 4 2 6" xfId="22392" xr:uid="{00000000-0005-0000-0000-0000A7560000}"/>
    <cellStyle name="Input 2 4 3 2 4 3" xfId="22393" xr:uid="{00000000-0005-0000-0000-0000A8560000}"/>
    <cellStyle name="Input 2 4 3 2 4 3 2" xfId="22394" xr:uid="{00000000-0005-0000-0000-0000A9560000}"/>
    <cellStyle name="Input 2 4 3 2 4 4" xfId="22395" xr:uid="{00000000-0005-0000-0000-0000AA560000}"/>
    <cellStyle name="Input 2 4 3 2 4 4 2" xfId="22396" xr:uid="{00000000-0005-0000-0000-0000AB560000}"/>
    <cellStyle name="Input 2 4 3 2 4 5" xfId="22397" xr:uid="{00000000-0005-0000-0000-0000AC560000}"/>
    <cellStyle name="Input 2 4 3 2 4 6" xfId="22398" xr:uid="{00000000-0005-0000-0000-0000AD560000}"/>
    <cellStyle name="Input 2 4 3 2 4 7" xfId="22399" xr:uid="{00000000-0005-0000-0000-0000AE560000}"/>
    <cellStyle name="Input 2 4 3 2 5" xfId="22400" xr:uid="{00000000-0005-0000-0000-0000AF560000}"/>
    <cellStyle name="Input 2 4 3 2 5 2" xfId="22401" xr:uid="{00000000-0005-0000-0000-0000B0560000}"/>
    <cellStyle name="Input 2 4 3 2 5 2 2" xfId="22402" xr:uid="{00000000-0005-0000-0000-0000B1560000}"/>
    <cellStyle name="Input 2 4 3 2 5 3" xfId="22403" xr:uid="{00000000-0005-0000-0000-0000B2560000}"/>
    <cellStyle name="Input 2 4 3 2 5 3 2" xfId="22404" xr:uid="{00000000-0005-0000-0000-0000B3560000}"/>
    <cellStyle name="Input 2 4 3 2 5 4" xfId="22405" xr:uid="{00000000-0005-0000-0000-0000B4560000}"/>
    <cellStyle name="Input 2 4 3 2 5 5" xfId="22406" xr:uid="{00000000-0005-0000-0000-0000B5560000}"/>
    <cellStyle name="Input 2 4 3 2 5 6" xfId="22407" xr:uid="{00000000-0005-0000-0000-0000B6560000}"/>
    <cellStyle name="Input 2 4 3 2 6" xfId="22408" xr:uid="{00000000-0005-0000-0000-0000B7560000}"/>
    <cellStyle name="Input 2 4 3 2 6 2" xfId="22409" xr:uid="{00000000-0005-0000-0000-0000B8560000}"/>
    <cellStyle name="Input 2 4 3 2 7" xfId="22410" xr:uid="{00000000-0005-0000-0000-0000B9560000}"/>
    <cellStyle name="Input 2 4 3 2 7 2" xfId="22411" xr:uid="{00000000-0005-0000-0000-0000BA560000}"/>
    <cellStyle name="Input 2 4 3 2 8" xfId="22412" xr:uid="{00000000-0005-0000-0000-0000BB560000}"/>
    <cellStyle name="Input 2 4 3 2 9" xfId="22413" xr:uid="{00000000-0005-0000-0000-0000BC560000}"/>
    <cellStyle name="Input 2 4 3 3" xfId="22414" xr:uid="{00000000-0005-0000-0000-0000BD560000}"/>
    <cellStyle name="Input 2 4 3 3 2" xfId="22415" xr:uid="{00000000-0005-0000-0000-0000BE560000}"/>
    <cellStyle name="Input 2 4 3 3 2 2" xfId="22416" xr:uid="{00000000-0005-0000-0000-0000BF560000}"/>
    <cellStyle name="Input 2 4 3 3 2 2 2" xfId="22417" xr:uid="{00000000-0005-0000-0000-0000C0560000}"/>
    <cellStyle name="Input 2 4 3 3 2 2 2 2" xfId="22418" xr:uid="{00000000-0005-0000-0000-0000C1560000}"/>
    <cellStyle name="Input 2 4 3 3 2 2 3" xfId="22419" xr:uid="{00000000-0005-0000-0000-0000C2560000}"/>
    <cellStyle name="Input 2 4 3 3 2 2 3 2" xfId="22420" xr:uid="{00000000-0005-0000-0000-0000C3560000}"/>
    <cellStyle name="Input 2 4 3 3 2 2 4" xfId="22421" xr:uid="{00000000-0005-0000-0000-0000C4560000}"/>
    <cellStyle name="Input 2 4 3 3 2 2 5" xfId="22422" xr:uid="{00000000-0005-0000-0000-0000C5560000}"/>
    <cellStyle name="Input 2 4 3 3 2 2 6" xfId="22423" xr:uid="{00000000-0005-0000-0000-0000C6560000}"/>
    <cellStyle name="Input 2 4 3 3 2 3" xfId="22424" xr:uid="{00000000-0005-0000-0000-0000C7560000}"/>
    <cellStyle name="Input 2 4 3 3 2 3 2" xfId="22425" xr:uid="{00000000-0005-0000-0000-0000C8560000}"/>
    <cellStyle name="Input 2 4 3 3 2 4" xfId="22426" xr:uid="{00000000-0005-0000-0000-0000C9560000}"/>
    <cellStyle name="Input 2 4 3 3 2 4 2" xfId="22427" xr:uid="{00000000-0005-0000-0000-0000CA560000}"/>
    <cellStyle name="Input 2 4 3 3 2 5" xfId="22428" xr:uid="{00000000-0005-0000-0000-0000CB560000}"/>
    <cellStyle name="Input 2 4 3 3 2 6" xfId="22429" xr:uid="{00000000-0005-0000-0000-0000CC560000}"/>
    <cellStyle name="Input 2 4 3 3 2 7" xfId="22430" xr:uid="{00000000-0005-0000-0000-0000CD560000}"/>
    <cellStyle name="Input 2 4 3 3 3" xfId="22431" xr:uid="{00000000-0005-0000-0000-0000CE560000}"/>
    <cellStyle name="Input 2 4 3 3 3 2" xfId="22432" xr:uid="{00000000-0005-0000-0000-0000CF560000}"/>
    <cellStyle name="Input 2 4 3 3 3 2 2" xfId="22433" xr:uid="{00000000-0005-0000-0000-0000D0560000}"/>
    <cellStyle name="Input 2 4 3 3 3 3" xfId="22434" xr:uid="{00000000-0005-0000-0000-0000D1560000}"/>
    <cellStyle name="Input 2 4 3 3 3 3 2" xfId="22435" xr:uid="{00000000-0005-0000-0000-0000D2560000}"/>
    <cellStyle name="Input 2 4 3 3 3 4" xfId="22436" xr:uid="{00000000-0005-0000-0000-0000D3560000}"/>
    <cellStyle name="Input 2 4 3 3 3 5" xfId="22437" xr:uid="{00000000-0005-0000-0000-0000D4560000}"/>
    <cellStyle name="Input 2 4 3 3 3 6" xfId="22438" xr:uid="{00000000-0005-0000-0000-0000D5560000}"/>
    <cellStyle name="Input 2 4 3 3 4" xfId="22439" xr:uid="{00000000-0005-0000-0000-0000D6560000}"/>
    <cellStyle name="Input 2 4 3 3 4 2" xfId="22440" xr:uid="{00000000-0005-0000-0000-0000D7560000}"/>
    <cellStyle name="Input 2 4 3 3 5" xfId="22441" xr:uid="{00000000-0005-0000-0000-0000D8560000}"/>
    <cellStyle name="Input 2 4 3 3 5 2" xfId="22442" xr:uid="{00000000-0005-0000-0000-0000D9560000}"/>
    <cellStyle name="Input 2 4 3 3 6" xfId="22443" xr:uid="{00000000-0005-0000-0000-0000DA560000}"/>
    <cellStyle name="Input 2 4 3 3 7" xfId="22444" xr:uid="{00000000-0005-0000-0000-0000DB560000}"/>
    <cellStyle name="Input 2 4 3 3 8" xfId="22445" xr:uid="{00000000-0005-0000-0000-0000DC560000}"/>
    <cellStyle name="Input 2 4 3 4" xfId="22446" xr:uid="{00000000-0005-0000-0000-0000DD560000}"/>
    <cellStyle name="Input 2 4 3 4 2" xfId="22447" xr:uid="{00000000-0005-0000-0000-0000DE560000}"/>
    <cellStyle name="Input 2 4 3 4 2 2" xfId="22448" xr:uid="{00000000-0005-0000-0000-0000DF560000}"/>
    <cellStyle name="Input 2 4 3 4 2 2 2" xfId="22449" xr:uid="{00000000-0005-0000-0000-0000E0560000}"/>
    <cellStyle name="Input 2 4 3 4 2 3" xfId="22450" xr:uid="{00000000-0005-0000-0000-0000E1560000}"/>
    <cellStyle name="Input 2 4 3 4 2 3 2" xfId="22451" xr:uid="{00000000-0005-0000-0000-0000E2560000}"/>
    <cellStyle name="Input 2 4 3 4 2 4" xfId="22452" xr:uid="{00000000-0005-0000-0000-0000E3560000}"/>
    <cellStyle name="Input 2 4 3 4 2 5" xfId="22453" xr:uid="{00000000-0005-0000-0000-0000E4560000}"/>
    <cellStyle name="Input 2 4 3 4 2 6" xfId="22454" xr:uid="{00000000-0005-0000-0000-0000E5560000}"/>
    <cellStyle name="Input 2 4 3 4 3" xfId="22455" xr:uid="{00000000-0005-0000-0000-0000E6560000}"/>
    <cellStyle name="Input 2 4 3 4 3 2" xfId="22456" xr:uid="{00000000-0005-0000-0000-0000E7560000}"/>
    <cellStyle name="Input 2 4 3 4 4" xfId="22457" xr:uid="{00000000-0005-0000-0000-0000E8560000}"/>
    <cellStyle name="Input 2 4 3 4 4 2" xfId="22458" xr:uid="{00000000-0005-0000-0000-0000E9560000}"/>
    <cellStyle name="Input 2 4 3 4 5" xfId="22459" xr:uid="{00000000-0005-0000-0000-0000EA560000}"/>
    <cellStyle name="Input 2 4 3 4 6" xfId="22460" xr:uid="{00000000-0005-0000-0000-0000EB560000}"/>
    <cellStyle name="Input 2 4 3 4 7" xfId="22461" xr:uid="{00000000-0005-0000-0000-0000EC560000}"/>
    <cellStyle name="Input 2 4 3 5" xfId="22462" xr:uid="{00000000-0005-0000-0000-0000ED560000}"/>
    <cellStyle name="Input 2 4 3 5 2" xfId="22463" xr:uid="{00000000-0005-0000-0000-0000EE560000}"/>
    <cellStyle name="Input 2 4 3 5 2 2" xfId="22464" xr:uid="{00000000-0005-0000-0000-0000EF560000}"/>
    <cellStyle name="Input 2 4 3 5 3" xfId="22465" xr:uid="{00000000-0005-0000-0000-0000F0560000}"/>
    <cellStyle name="Input 2 4 3 5 3 2" xfId="22466" xr:uid="{00000000-0005-0000-0000-0000F1560000}"/>
    <cellStyle name="Input 2 4 3 5 4" xfId="22467" xr:uid="{00000000-0005-0000-0000-0000F2560000}"/>
    <cellStyle name="Input 2 4 3 5 5" xfId="22468" xr:uid="{00000000-0005-0000-0000-0000F3560000}"/>
    <cellStyle name="Input 2 4 3 5 6" xfId="22469" xr:uid="{00000000-0005-0000-0000-0000F4560000}"/>
    <cellStyle name="Input 2 4 3 6" xfId="22470" xr:uid="{00000000-0005-0000-0000-0000F5560000}"/>
    <cellStyle name="Input 2 4 3 6 2" xfId="22471" xr:uid="{00000000-0005-0000-0000-0000F6560000}"/>
    <cellStyle name="Input 2 4 3 7" xfId="22472" xr:uid="{00000000-0005-0000-0000-0000F7560000}"/>
    <cellStyle name="Input 2 4 3 7 2" xfId="22473" xr:uid="{00000000-0005-0000-0000-0000F8560000}"/>
    <cellStyle name="Input 2 4 3 8" xfId="22474" xr:uid="{00000000-0005-0000-0000-0000F9560000}"/>
    <cellStyle name="Input 2 4 3 9" xfId="22475" xr:uid="{00000000-0005-0000-0000-0000FA560000}"/>
    <cellStyle name="Input 2 4 4" xfId="22476" xr:uid="{00000000-0005-0000-0000-0000FB560000}"/>
    <cellStyle name="Input 2 4 4 10" xfId="22477" xr:uid="{00000000-0005-0000-0000-0000FC560000}"/>
    <cellStyle name="Input 2 4 4 2" xfId="22478" xr:uid="{00000000-0005-0000-0000-0000FD560000}"/>
    <cellStyle name="Input 2 4 4 2 2" xfId="22479" xr:uid="{00000000-0005-0000-0000-0000FE560000}"/>
    <cellStyle name="Input 2 4 4 2 2 2" xfId="22480" xr:uid="{00000000-0005-0000-0000-0000FF560000}"/>
    <cellStyle name="Input 2 4 4 2 2 2 2" xfId="22481" xr:uid="{00000000-0005-0000-0000-000000570000}"/>
    <cellStyle name="Input 2 4 4 2 2 2 2 2" xfId="22482" xr:uid="{00000000-0005-0000-0000-000001570000}"/>
    <cellStyle name="Input 2 4 4 2 2 2 3" xfId="22483" xr:uid="{00000000-0005-0000-0000-000002570000}"/>
    <cellStyle name="Input 2 4 4 2 2 2 3 2" xfId="22484" xr:uid="{00000000-0005-0000-0000-000003570000}"/>
    <cellStyle name="Input 2 4 4 2 2 2 4" xfId="22485" xr:uid="{00000000-0005-0000-0000-000004570000}"/>
    <cellStyle name="Input 2 4 4 2 2 2 5" xfId="22486" xr:uid="{00000000-0005-0000-0000-000005570000}"/>
    <cellStyle name="Input 2 4 4 2 2 2 6" xfId="22487" xr:uid="{00000000-0005-0000-0000-000006570000}"/>
    <cellStyle name="Input 2 4 4 2 2 3" xfId="22488" xr:uid="{00000000-0005-0000-0000-000007570000}"/>
    <cellStyle name="Input 2 4 4 2 2 3 2" xfId="22489" xr:uid="{00000000-0005-0000-0000-000008570000}"/>
    <cellStyle name="Input 2 4 4 2 2 4" xfId="22490" xr:uid="{00000000-0005-0000-0000-000009570000}"/>
    <cellStyle name="Input 2 4 4 2 2 4 2" xfId="22491" xr:uid="{00000000-0005-0000-0000-00000A570000}"/>
    <cellStyle name="Input 2 4 4 2 2 5" xfId="22492" xr:uid="{00000000-0005-0000-0000-00000B570000}"/>
    <cellStyle name="Input 2 4 4 2 2 6" xfId="22493" xr:uid="{00000000-0005-0000-0000-00000C570000}"/>
    <cellStyle name="Input 2 4 4 2 2 7" xfId="22494" xr:uid="{00000000-0005-0000-0000-00000D570000}"/>
    <cellStyle name="Input 2 4 4 2 3" xfId="22495" xr:uid="{00000000-0005-0000-0000-00000E570000}"/>
    <cellStyle name="Input 2 4 4 2 3 2" xfId="22496" xr:uid="{00000000-0005-0000-0000-00000F570000}"/>
    <cellStyle name="Input 2 4 4 2 3 2 2" xfId="22497" xr:uid="{00000000-0005-0000-0000-000010570000}"/>
    <cellStyle name="Input 2 4 4 2 3 3" xfId="22498" xr:uid="{00000000-0005-0000-0000-000011570000}"/>
    <cellStyle name="Input 2 4 4 2 3 3 2" xfId="22499" xr:uid="{00000000-0005-0000-0000-000012570000}"/>
    <cellStyle name="Input 2 4 4 2 3 4" xfId="22500" xr:uid="{00000000-0005-0000-0000-000013570000}"/>
    <cellStyle name="Input 2 4 4 2 3 5" xfId="22501" xr:uid="{00000000-0005-0000-0000-000014570000}"/>
    <cellStyle name="Input 2 4 4 2 3 6" xfId="22502" xr:uid="{00000000-0005-0000-0000-000015570000}"/>
    <cellStyle name="Input 2 4 4 2 4" xfId="22503" xr:uid="{00000000-0005-0000-0000-000016570000}"/>
    <cellStyle name="Input 2 4 4 2 4 2" xfId="22504" xr:uid="{00000000-0005-0000-0000-000017570000}"/>
    <cellStyle name="Input 2 4 4 2 5" xfId="22505" xr:uid="{00000000-0005-0000-0000-000018570000}"/>
    <cellStyle name="Input 2 4 4 2 5 2" xfId="22506" xr:uid="{00000000-0005-0000-0000-000019570000}"/>
    <cellStyle name="Input 2 4 4 2 6" xfId="22507" xr:uid="{00000000-0005-0000-0000-00001A570000}"/>
    <cellStyle name="Input 2 4 4 2 7" xfId="22508" xr:uid="{00000000-0005-0000-0000-00001B570000}"/>
    <cellStyle name="Input 2 4 4 2 8" xfId="22509" xr:uid="{00000000-0005-0000-0000-00001C570000}"/>
    <cellStyle name="Input 2 4 4 3" xfId="22510" xr:uid="{00000000-0005-0000-0000-00001D570000}"/>
    <cellStyle name="Input 2 4 4 3 2" xfId="22511" xr:uid="{00000000-0005-0000-0000-00001E570000}"/>
    <cellStyle name="Input 2 4 4 3 2 2" xfId="22512" xr:uid="{00000000-0005-0000-0000-00001F570000}"/>
    <cellStyle name="Input 2 4 4 3 2 2 2" xfId="22513" xr:uid="{00000000-0005-0000-0000-000020570000}"/>
    <cellStyle name="Input 2 4 4 3 2 2 2 2" xfId="22514" xr:uid="{00000000-0005-0000-0000-000021570000}"/>
    <cellStyle name="Input 2 4 4 3 2 2 3" xfId="22515" xr:uid="{00000000-0005-0000-0000-000022570000}"/>
    <cellStyle name="Input 2 4 4 3 2 2 3 2" xfId="22516" xr:uid="{00000000-0005-0000-0000-000023570000}"/>
    <cellStyle name="Input 2 4 4 3 2 2 4" xfId="22517" xr:uid="{00000000-0005-0000-0000-000024570000}"/>
    <cellStyle name="Input 2 4 4 3 2 2 5" xfId="22518" xr:uid="{00000000-0005-0000-0000-000025570000}"/>
    <cellStyle name="Input 2 4 4 3 2 2 6" xfId="22519" xr:uid="{00000000-0005-0000-0000-000026570000}"/>
    <cellStyle name="Input 2 4 4 3 2 3" xfId="22520" xr:uid="{00000000-0005-0000-0000-000027570000}"/>
    <cellStyle name="Input 2 4 4 3 2 3 2" xfId="22521" xr:uid="{00000000-0005-0000-0000-000028570000}"/>
    <cellStyle name="Input 2 4 4 3 2 4" xfId="22522" xr:uid="{00000000-0005-0000-0000-000029570000}"/>
    <cellStyle name="Input 2 4 4 3 2 4 2" xfId="22523" xr:uid="{00000000-0005-0000-0000-00002A570000}"/>
    <cellStyle name="Input 2 4 4 3 2 5" xfId="22524" xr:uid="{00000000-0005-0000-0000-00002B570000}"/>
    <cellStyle name="Input 2 4 4 3 2 6" xfId="22525" xr:uid="{00000000-0005-0000-0000-00002C570000}"/>
    <cellStyle name="Input 2 4 4 3 2 7" xfId="22526" xr:uid="{00000000-0005-0000-0000-00002D570000}"/>
    <cellStyle name="Input 2 4 4 3 3" xfId="22527" xr:uid="{00000000-0005-0000-0000-00002E570000}"/>
    <cellStyle name="Input 2 4 4 3 3 2" xfId="22528" xr:uid="{00000000-0005-0000-0000-00002F570000}"/>
    <cellStyle name="Input 2 4 4 3 3 2 2" xfId="22529" xr:uid="{00000000-0005-0000-0000-000030570000}"/>
    <cellStyle name="Input 2 4 4 3 3 3" xfId="22530" xr:uid="{00000000-0005-0000-0000-000031570000}"/>
    <cellStyle name="Input 2 4 4 3 3 3 2" xfId="22531" xr:uid="{00000000-0005-0000-0000-000032570000}"/>
    <cellStyle name="Input 2 4 4 3 3 4" xfId="22532" xr:uid="{00000000-0005-0000-0000-000033570000}"/>
    <cellStyle name="Input 2 4 4 3 3 5" xfId="22533" xr:uid="{00000000-0005-0000-0000-000034570000}"/>
    <cellStyle name="Input 2 4 4 3 3 6" xfId="22534" xr:uid="{00000000-0005-0000-0000-000035570000}"/>
    <cellStyle name="Input 2 4 4 3 4" xfId="22535" xr:uid="{00000000-0005-0000-0000-000036570000}"/>
    <cellStyle name="Input 2 4 4 3 4 2" xfId="22536" xr:uid="{00000000-0005-0000-0000-000037570000}"/>
    <cellStyle name="Input 2 4 4 3 5" xfId="22537" xr:uid="{00000000-0005-0000-0000-000038570000}"/>
    <cellStyle name="Input 2 4 4 3 5 2" xfId="22538" xr:uid="{00000000-0005-0000-0000-000039570000}"/>
    <cellStyle name="Input 2 4 4 3 6" xfId="22539" xr:uid="{00000000-0005-0000-0000-00003A570000}"/>
    <cellStyle name="Input 2 4 4 3 7" xfId="22540" xr:uid="{00000000-0005-0000-0000-00003B570000}"/>
    <cellStyle name="Input 2 4 4 3 8" xfId="22541" xr:uid="{00000000-0005-0000-0000-00003C570000}"/>
    <cellStyle name="Input 2 4 4 4" xfId="22542" xr:uid="{00000000-0005-0000-0000-00003D570000}"/>
    <cellStyle name="Input 2 4 4 4 2" xfId="22543" xr:uid="{00000000-0005-0000-0000-00003E570000}"/>
    <cellStyle name="Input 2 4 4 4 2 2" xfId="22544" xr:uid="{00000000-0005-0000-0000-00003F570000}"/>
    <cellStyle name="Input 2 4 4 4 2 2 2" xfId="22545" xr:uid="{00000000-0005-0000-0000-000040570000}"/>
    <cellStyle name="Input 2 4 4 4 2 3" xfId="22546" xr:uid="{00000000-0005-0000-0000-000041570000}"/>
    <cellStyle name="Input 2 4 4 4 2 3 2" xfId="22547" xr:uid="{00000000-0005-0000-0000-000042570000}"/>
    <cellStyle name="Input 2 4 4 4 2 4" xfId="22548" xr:uid="{00000000-0005-0000-0000-000043570000}"/>
    <cellStyle name="Input 2 4 4 4 2 5" xfId="22549" xr:uid="{00000000-0005-0000-0000-000044570000}"/>
    <cellStyle name="Input 2 4 4 4 2 6" xfId="22550" xr:uid="{00000000-0005-0000-0000-000045570000}"/>
    <cellStyle name="Input 2 4 4 4 3" xfId="22551" xr:uid="{00000000-0005-0000-0000-000046570000}"/>
    <cellStyle name="Input 2 4 4 4 3 2" xfId="22552" xr:uid="{00000000-0005-0000-0000-000047570000}"/>
    <cellStyle name="Input 2 4 4 4 4" xfId="22553" xr:uid="{00000000-0005-0000-0000-000048570000}"/>
    <cellStyle name="Input 2 4 4 4 4 2" xfId="22554" xr:uid="{00000000-0005-0000-0000-000049570000}"/>
    <cellStyle name="Input 2 4 4 4 5" xfId="22555" xr:uid="{00000000-0005-0000-0000-00004A570000}"/>
    <cellStyle name="Input 2 4 4 4 6" xfId="22556" xr:uid="{00000000-0005-0000-0000-00004B570000}"/>
    <cellStyle name="Input 2 4 4 4 7" xfId="22557" xr:uid="{00000000-0005-0000-0000-00004C570000}"/>
    <cellStyle name="Input 2 4 4 5" xfId="22558" xr:uid="{00000000-0005-0000-0000-00004D570000}"/>
    <cellStyle name="Input 2 4 4 5 2" xfId="22559" xr:uid="{00000000-0005-0000-0000-00004E570000}"/>
    <cellStyle name="Input 2 4 4 5 2 2" xfId="22560" xr:uid="{00000000-0005-0000-0000-00004F570000}"/>
    <cellStyle name="Input 2 4 4 5 3" xfId="22561" xr:uid="{00000000-0005-0000-0000-000050570000}"/>
    <cellStyle name="Input 2 4 4 5 3 2" xfId="22562" xr:uid="{00000000-0005-0000-0000-000051570000}"/>
    <cellStyle name="Input 2 4 4 5 4" xfId="22563" xr:uid="{00000000-0005-0000-0000-000052570000}"/>
    <cellStyle name="Input 2 4 4 5 5" xfId="22564" xr:uid="{00000000-0005-0000-0000-000053570000}"/>
    <cellStyle name="Input 2 4 4 5 6" xfId="22565" xr:uid="{00000000-0005-0000-0000-000054570000}"/>
    <cellStyle name="Input 2 4 4 6" xfId="22566" xr:uid="{00000000-0005-0000-0000-000055570000}"/>
    <cellStyle name="Input 2 4 4 6 2" xfId="22567" xr:uid="{00000000-0005-0000-0000-000056570000}"/>
    <cellStyle name="Input 2 4 4 7" xfId="22568" xr:uid="{00000000-0005-0000-0000-000057570000}"/>
    <cellStyle name="Input 2 4 4 7 2" xfId="22569" xr:uid="{00000000-0005-0000-0000-000058570000}"/>
    <cellStyle name="Input 2 4 4 8" xfId="22570" xr:uid="{00000000-0005-0000-0000-000059570000}"/>
    <cellStyle name="Input 2 4 4 9" xfId="22571" xr:uid="{00000000-0005-0000-0000-00005A570000}"/>
    <cellStyle name="Input 2 4 5" xfId="22572" xr:uid="{00000000-0005-0000-0000-00005B570000}"/>
    <cellStyle name="Input 2 4 5 2" xfId="22573" xr:uid="{00000000-0005-0000-0000-00005C570000}"/>
    <cellStyle name="Input 2 4 5 2 2" xfId="22574" xr:uid="{00000000-0005-0000-0000-00005D570000}"/>
    <cellStyle name="Input 2 4 5 2 2 2" xfId="22575" xr:uid="{00000000-0005-0000-0000-00005E570000}"/>
    <cellStyle name="Input 2 4 5 2 2 2 2" xfId="22576" xr:uid="{00000000-0005-0000-0000-00005F570000}"/>
    <cellStyle name="Input 2 4 5 2 2 3" xfId="22577" xr:uid="{00000000-0005-0000-0000-000060570000}"/>
    <cellStyle name="Input 2 4 5 2 2 3 2" xfId="22578" xr:uid="{00000000-0005-0000-0000-000061570000}"/>
    <cellStyle name="Input 2 4 5 2 2 4" xfId="22579" xr:uid="{00000000-0005-0000-0000-000062570000}"/>
    <cellStyle name="Input 2 4 5 2 2 5" xfId="22580" xr:uid="{00000000-0005-0000-0000-000063570000}"/>
    <cellStyle name="Input 2 4 5 2 2 6" xfId="22581" xr:uid="{00000000-0005-0000-0000-000064570000}"/>
    <cellStyle name="Input 2 4 5 2 3" xfId="22582" xr:uid="{00000000-0005-0000-0000-000065570000}"/>
    <cellStyle name="Input 2 4 5 2 3 2" xfId="22583" xr:uid="{00000000-0005-0000-0000-000066570000}"/>
    <cellStyle name="Input 2 4 5 2 4" xfId="22584" xr:uid="{00000000-0005-0000-0000-000067570000}"/>
    <cellStyle name="Input 2 4 5 2 4 2" xfId="22585" xr:uid="{00000000-0005-0000-0000-000068570000}"/>
    <cellStyle name="Input 2 4 5 2 5" xfId="22586" xr:uid="{00000000-0005-0000-0000-000069570000}"/>
    <cellStyle name="Input 2 4 5 2 6" xfId="22587" xr:uid="{00000000-0005-0000-0000-00006A570000}"/>
    <cellStyle name="Input 2 4 5 2 7" xfId="22588" xr:uid="{00000000-0005-0000-0000-00006B570000}"/>
    <cellStyle name="Input 2 4 5 3" xfId="22589" xr:uid="{00000000-0005-0000-0000-00006C570000}"/>
    <cellStyle name="Input 2 4 5 3 2" xfId="22590" xr:uid="{00000000-0005-0000-0000-00006D570000}"/>
    <cellStyle name="Input 2 4 5 3 2 2" xfId="22591" xr:uid="{00000000-0005-0000-0000-00006E570000}"/>
    <cellStyle name="Input 2 4 5 3 3" xfId="22592" xr:uid="{00000000-0005-0000-0000-00006F570000}"/>
    <cellStyle name="Input 2 4 5 3 3 2" xfId="22593" xr:uid="{00000000-0005-0000-0000-000070570000}"/>
    <cellStyle name="Input 2 4 5 3 4" xfId="22594" xr:uid="{00000000-0005-0000-0000-000071570000}"/>
    <cellStyle name="Input 2 4 5 3 5" xfId="22595" xr:uid="{00000000-0005-0000-0000-000072570000}"/>
    <cellStyle name="Input 2 4 5 3 6" xfId="22596" xr:uid="{00000000-0005-0000-0000-000073570000}"/>
    <cellStyle name="Input 2 4 5 4" xfId="22597" xr:uid="{00000000-0005-0000-0000-000074570000}"/>
    <cellStyle name="Input 2 4 5 4 2" xfId="22598" xr:uid="{00000000-0005-0000-0000-000075570000}"/>
    <cellStyle name="Input 2 4 5 5" xfId="22599" xr:uid="{00000000-0005-0000-0000-000076570000}"/>
    <cellStyle name="Input 2 4 5 5 2" xfId="22600" xr:uid="{00000000-0005-0000-0000-000077570000}"/>
    <cellStyle name="Input 2 4 5 6" xfId="22601" xr:uid="{00000000-0005-0000-0000-000078570000}"/>
    <cellStyle name="Input 2 4 5 7" xfId="22602" xr:uid="{00000000-0005-0000-0000-000079570000}"/>
    <cellStyle name="Input 2 4 5 8" xfId="22603" xr:uid="{00000000-0005-0000-0000-00007A570000}"/>
    <cellStyle name="Input 2 4 6" xfId="22604" xr:uid="{00000000-0005-0000-0000-00007B570000}"/>
    <cellStyle name="Input 2 4 6 2" xfId="22605" xr:uid="{00000000-0005-0000-0000-00007C570000}"/>
    <cellStyle name="Input 2 4 6 2 2" xfId="22606" xr:uid="{00000000-0005-0000-0000-00007D570000}"/>
    <cellStyle name="Input 2 4 6 2 2 2" xfId="22607" xr:uid="{00000000-0005-0000-0000-00007E570000}"/>
    <cellStyle name="Input 2 4 6 2 3" xfId="22608" xr:uid="{00000000-0005-0000-0000-00007F570000}"/>
    <cellStyle name="Input 2 4 6 2 3 2" xfId="22609" xr:uid="{00000000-0005-0000-0000-000080570000}"/>
    <cellStyle name="Input 2 4 6 2 4" xfId="22610" xr:uid="{00000000-0005-0000-0000-000081570000}"/>
    <cellStyle name="Input 2 4 6 2 5" xfId="22611" xr:uid="{00000000-0005-0000-0000-000082570000}"/>
    <cellStyle name="Input 2 4 6 2 6" xfId="22612" xr:uid="{00000000-0005-0000-0000-000083570000}"/>
    <cellStyle name="Input 2 4 6 3" xfId="22613" xr:uid="{00000000-0005-0000-0000-000084570000}"/>
    <cellStyle name="Input 2 4 6 3 2" xfId="22614" xr:uid="{00000000-0005-0000-0000-000085570000}"/>
    <cellStyle name="Input 2 4 6 4" xfId="22615" xr:uid="{00000000-0005-0000-0000-000086570000}"/>
    <cellStyle name="Input 2 4 6 4 2" xfId="22616" xr:uid="{00000000-0005-0000-0000-000087570000}"/>
    <cellStyle name="Input 2 4 6 5" xfId="22617" xr:uid="{00000000-0005-0000-0000-000088570000}"/>
    <cellStyle name="Input 2 4 6 6" xfId="22618" xr:uid="{00000000-0005-0000-0000-000089570000}"/>
    <cellStyle name="Input 2 4 6 7" xfId="22619" xr:uid="{00000000-0005-0000-0000-00008A570000}"/>
    <cellStyle name="Input 2 4 7" xfId="22620" xr:uid="{00000000-0005-0000-0000-00008B570000}"/>
    <cellStyle name="Input 2 4 7 2" xfId="22621" xr:uid="{00000000-0005-0000-0000-00008C570000}"/>
    <cellStyle name="Input 2 4 7 2 2" xfId="22622" xr:uid="{00000000-0005-0000-0000-00008D570000}"/>
    <cellStyle name="Input 2 4 7 3" xfId="22623" xr:uid="{00000000-0005-0000-0000-00008E570000}"/>
    <cellStyle name="Input 2 4 7 3 2" xfId="22624" xr:uid="{00000000-0005-0000-0000-00008F570000}"/>
    <cellStyle name="Input 2 4 7 4" xfId="22625" xr:uid="{00000000-0005-0000-0000-000090570000}"/>
    <cellStyle name="Input 2 4 7 5" xfId="22626" xr:uid="{00000000-0005-0000-0000-000091570000}"/>
    <cellStyle name="Input 2 4 7 6" xfId="22627" xr:uid="{00000000-0005-0000-0000-000092570000}"/>
    <cellStyle name="Input 2 4 8" xfId="22628" xr:uid="{00000000-0005-0000-0000-000093570000}"/>
    <cellStyle name="Input 2 4 8 2" xfId="22629" xr:uid="{00000000-0005-0000-0000-000094570000}"/>
    <cellStyle name="Input 2 4 9" xfId="22630" xr:uid="{00000000-0005-0000-0000-000095570000}"/>
    <cellStyle name="Input 2 4 9 2" xfId="22631" xr:uid="{00000000-0005-0000-0000-000096570000}"/>
    <cellStyle name="Input 2 5" xfId="22632" xr:uid="{00000000-0005-0000-0000-000097570000}"/>
    <cellStyle name="Input 2 5 10" xfId="22633" xr:uid="{00000000-0005-0000-0000-000098570000}"/>
    <cellStyle name="Input 2 5 11" xfId="22634" xr:uid="{00000000-0005-0000-0000-000099570000}"/>
    <cellStyle name="Input 2 5 2" xfId="22635" xr:uid="{00000000-0005-0000-0000-00009A570000}"/>
    <cellStyle name="Input 2 5 2 10" xfId="22636" xr:uid="{00000000-0005-0000-0000-00009B570000}"/>
    <cellStyle name="Input 2 5 2 2" xfId="22637" xr:uid="{00000000-0005-0000-0000-00009C570000}"/>
    <cellStyle name="Input 2 5 2 2 10" xfId="22638" xr:uid="{00000000-0005-0000-0000-00009D570000}"/>
    <cellStyle name="Input 2 5 2 2 2" xfId="22639" xr:uid="{00000000-0005-0000-0000-00009E570000}"/>
    <cellStyle name="Input 2 5 2 2 2 2" xfId="22640" xr:uid="{00000000-0005-0000-0000-00009F570000}"/>
    <cellStyle name="Input 2 5 2 2 2 2 2" xfId="22641" xr:uid="{00000000-0005-0000-0000-0000A0570000}"/>
    <cellStyle name="Input 2 5 2 2 2 2 2 2" xfId="22642" xr:uid="{00000000-0005-0000-0000-0000A1570000}"/>
    <cellStyle name="Input 2 5 2 2 2 2 2 2 2" xfId="22643" xr:uid="{00000000-0005-0000-0000-0000A2570000}"/>
    <cellStyle name="Input 2 5 2 2 2 2 2 3" xfId="22644" xr:uid="{00000000-0005-0000-0000-0000A3570000}"/>
    <cellStyle name="Input 2 5 2 2 2 2 2 3 2" xfId="22645" xr:uid="{00000000-0005-0000-0000-0000A4570000}"/>
    <cellStyle name="Input 2 5 2 2 2 2 2 4" xfId="22646" xr:uid="{00000000-0005-0000-0000-0000A5570000}"/>
    <cellStyle name="Input 2 5 2 2 2 2 2 5" xfId="22647" xr:uid="{00000000-0005-0000-0000-0000A6570000}"/>
    <cellStyle name="Input 2 5 2 2 2 2 2 6" xfId="22648" xr:uid="{00000000-0005-0000-0000-0000A7570000}"/>
    <cellStyle name="Input 2 5 2 2 2 2 3" xfId="22649" xr:uid="{00000000-0005-0000-0000-0000A8570000}"/>
    <cellStyle name="Input 2 5 2 2 2 2 3 2" xfId="22650" xr:uid="{00000000-0005-0000-0000-0000A9570000}"/>
    <cellStyle name="Input 2 5 2 2 2 2 4" xfId="22651" xr:uid="{00000000-0005-0000-0000-0000AA570000}"/>
    <cellStyle name="Input 2 5 2 2 2 2 4 2" xfId="22652" xr:uid="{00000000-0005-0000-0000-0000AB570000}"/>
    <cellStyle name="Input 2 5 2 2 2 2 5" xfId="22653" xr:uid="{00000000-0005-0000-0000-0000AC570000}"/>
    <cellStyle name="Input 2 5 2 2 2 2 6" xfId="22654" xr:uid="{00000000-0005-0000-0000-0000AD570000}"/>
    <cellStyle name="Input 2 5 2 2 2 2 7" xfId="22655" xr:uid="{00000000-0005-0000-0000-0000AE570000}"/>
    <cellStyle name="Input 2 5 2 2 2 3" xfId="22656" xr:uid="{00000000-0005-0000-0000-0000AF570000}"/>
    <cellStyle name="Input 2 5 2 2 2 3 2" xfId="22657" xr:uid="{00000000-0005-0000-0000-0000B0570000}"/>
    <cellStyle name="Input 2 5 2 2 2 3 2 2" xfId="22658" xr:uid="{00000000-0005-0000-0000-0000B1570000}"/>
    <cellStyle name="Input 2 5 2 2 2 3 3" xfId="22659" xr:uid="{00000000-0005-0000-0000-0000B2570000}"/>
    <cellStyle name="Input 2 5 2 2 2 3 3 2" xfId="22660" xr:uid="{00000000-0005-0000-0000-0000B3570000}"/>
    <cellStyle name="Input 2 5 2 2 2 3 4" xfId="22661" xr:uid="{00000000-0005-0000-0000-0000B4570000}"/>
    <cellStyle name="Input 2 5 2 2 2 3 5" xfId="22662" xr:uid="{00000000-0005-0000-0000-0000B5570000}"/>
    <cellStyle name="Input 2 5 2 2 2 3 6" xfId="22663" xr:uid="{00000000-0005-0000-0000-0000B6570000}"/>
    <cellStyle name="Input 2 5 2 2 2 4" xfId="22664" xr:uid="{00000000-0005-0000-0000-0000B7570000}"/>
    <cellStyle name="Input 2 5 2 2 2 4 2" xfId="22665" xr:uid="{00000000-0005-0000-0000-0000B8570000}"/>
    <cellStyle name="Input 2 5 2 2 2 5" xfId="22666" xr:uid="{00000000-0005-0000-0000-0000B9570000}"/>
    <cellStyle name="Input 2 5 2 2 2 5 2" xfId="22667" xr:uid="{00000000-0005-0000-0000-0000BA570000}"/>
    <cellStyle name="Input 2 5 2 2 2 6" xfId="22668" xr:uid="{00000000-0005-0000-0000-0000BB570000}"/>
    <cellStyle name="Input 2 5 2 2 2 7" xfId="22669" xr:uid="{00000000-0005-0000-0000-0000BC570000}"/>
    <cellStyle name="Input 2 5 2 2 2 8" xfId="22670" xr:uid="{00000000-0005-0000-0000-0000BD570000}"/>
    <cellStyle name="Input 2 5 2 2 3" xfId="22671" xr:uid="{00000000-0005-0000-0000-0000BE570000}"/>
    <cellStyle name="Input 2 5 2 2 3 2" xfId="22672" xr:uid="{00000000-0005-0000-0000-0000BF570000}"/>
    <cellStyle name="Input 2 5 2 2 3 2 2" xfId="22673" xr:uid="{00000000-0005-0000-0000-0000C0570000}"/>
    <cellStyle name="Input 2 5 2 2 3 2 2 2" xfId="22674" xr:uid="{00000000-0005-0000-0000-0000C1570000}"/>
    <cellStyle name="Input 2 5 2 2 3 2 2 2 2" xfId="22675" xr:uid="{00000000-0005-0000-0000-0000C2570000}"/>
    <cellStyle name="Input 2 5 2 2 3 2 2 3" xfId="22676" xr:uid="{00000000-0005-0000-0000-0000C3570000}"/>
    <cellStyle name="Input 2 5 2 2 3 2 2 3 2" xfId="22677" xr:uid="{00000000-0005-0000-0000-0000C4570000}"/>
    <cellStyle name="Input 2 5 2 2 3 2 2 4" xfId="22678" xr:uid="{00000000-0005-0000-0000-0000C5570000}"/>
    <cellStyle name="Input 2 5 2 2 3 2 2 5" xfId="22679" xr:uid="{00000000-0005-0000-0000-0000C6570000}"/>
    <cellStyle name="Input 2 5 2 2 3 2 2 6" xfId="22680" xr:uid="{00000000-0005-0000-0000-0000C7570000}"/>
    <cellStyle name="Input 2 5 2 2 3 2 3" xfId="22681" xr:uid="{00000000-0005-0000-0000-0000C8570000}"/>
    <cellStyle name="Input 2 5 2 2 3 2 3 2" xfId="22682" xr:uid="{00000000-0005-0000-0000-0000C9570000}"/>
    <cellStyle name="Input 2 5 2 2 3 2 4" xfId="22683" xr:uid="{00000000-0005-0000-0000-0000CA570000}"/>
    <cellStyle name="Input 2 5 2 2 3 2 4 2" xfId="22684" xr:uid="{00000000-0005-0000-0000-0000CB570000}"/>
    <cellStyle name="Input 2 5 2 2 3 2 5" xfId="22685" xr:uid="{00000000-0005-0000-0000-0000CC570000}"/>
    <cellStyle name="Input 2 5 2 2 3 2 6" xfId="22686" xr:uid="{00000000-0005-0000-0000-0000CD570000}"/>
    <cellStyle name="Input 2 5 2 2 3 2 7" xfId="22687" xr:uid="{00000000-0005-0000-0000-0000CE570000}"/>
    <cellStyle name="Input 2 5 2 2 3 3" xfId="22688" xr:uid="{00000000-0005-0000-0000-0000CF570000}"/>
    <cellStyle name="Input 2 5 2 2 3 3 2" xfId="22689" xr:uid="{00000000-0005-0000-0000-0000D0570000}"/>
    <cellStyle name="Input 2 5 2 2 3 3 2 2" xfId="22690" xr:uid="{00000000-0005-0000-0000-0000D1570000}"/>
    <cellStyle name="Input 2 5 2 2 3 3 3" xfId="22691" xr:uid="{00000000-0005-0000-0000-0000D2570000}"/>
    <cellStyle name="Input 2 5 2 2 3 3 3 2" xfId="22692" xr:uid="{00000000-0005-0000-0000-0000D3570000}"/>
    <cellStyle name="Input 2 5 2 2 3 3 4" xfId="22693" xr:uid="{00000000-0005-0000-0000-0000D4570000}"/>
    <cellStyle name="Input 2 5 2 2 3 3 5" xfId="22694" xr:uid="{00000000-0005-0000-0000-0000D5570000}"/>
    <cellStyle name="Input 2 5 2 2 3 3 6" xfId="22695" xr:uid="{00000000-0005-0000-0000-0000D6570000}"/>
    <cellStyle name="Input 2 5 2 2 3 4" xfId="22696" xr:uid="{00000000-0005-0000-0000-0000D7570000}"/>
    <cellStyle name="Input 2 5 2 2 3 4 2" xfId="22697" xr:uid="{00000000-0005-0000-0000-0000D8570000}"/>
    <cellStyle name="Input 2 5 2 2 3 5" xfId="22698" xr:uid="{00000000-0005-0000-0000-0000D9570000}"/>
    <cellStyle name="Input 2 5 2 2 3 5 2" xfId="22699" xr:uid="{00000000-0005-0000-0000-0000DA570000}"/>
    <cellStyle name="Input 2 5 2 2 3 6" xfId="22700" xr:uid="{00000000-0005-0000-0000-0000DB570000}"/>
    <cellStyle name="Input 2 5 2 2 3 7" xfId="22701" xr:uid="{00000000-0005-0000-0000-0000DC570000}"/>
    <cellStyle name="Input 2 5 2 2 3 8" xfId="22702" xr:uid="{00000000-0005-0000-0000-0000DD570000}"/>
    <cellStyle name="Input 2 5 2 2 4" xfId="22703" xr:uid="{00000000-0005-0000-0000-0000DE570000}"/>
    <cellStyle name="Input 2 5 2 2 4 2" xfId="22704" xr:uid="{00000000-0005-0000-0000-0000DF570000}"/>
    <cellStyle name="Input 2 5 2 2 4 2 2" xfId="22705" xr:uid="{00000000-0005-0000-0000-0000E0570000}"/>
    <cellStyle name="Input 2 5 2 2 4 2 2 2" xfId="22706" xr:uid="{00000000-0005-0000-0000-0000E1570000}"/>
    <cellStyle name="Input 2 5 2 2 4 2 3" xfId="22707" xr:uid="{00000000-0005-0000-0000-0000E2570000}"/>
    <cellStyle name="Input 2 5 2 2 4 2 3 2" xfId="22708" xr:uid="{00000000-0005-0000-0000-0000E3570000}"/>
    <cellStyle name="Input 2 5 2 2 4 2 4" xfId="22709" xr:uid="{00000000-0005-0000-0000-0000E4570000}"/>
    <cellStyle name="Input 2 5 2 2 4 2 5" xfId="22710" xr:uid="{00000000-0005-0000-0000-0000E5570000}"/>
    <cellStyle name="Input 2 5 2 2 4 2 6" xfId="22711" xr:uid="{00000000-0005-0000-0000-0000E6570000}"/>
    <cellStyle name="Input 2 5 2 2 4 3" xfId="22712" xr:uid="{00000000-0005-0000-0000-0000E7570000}"/>
    <cellStyle name="Input 2 5 2 2 4 3 2" xfId="22713" xr:uid="{00000000-0005-0000-0000-0000E8570000}"/>
    <cellStyle name="Input 2 5 2 2 4 4" xfId="22714" xr:uid="{00000000-0005-0000-0000-0000E9570000}"/>
    <cellStyle name="Input 2 5 2 2 4 4 2" xfId="22715" xr:uid="{00000000-0005-0000-0000-0000EA570000}"/>
    <cellStyle name="Input 2 5 2 2 4 5" xfId="22716" xr:uid="{00000000-0005-0000-0000-0000EB570000}"/>
    <cellStyle name="Input 2 5 2 2 4 6" xfId="22717" xr:uid="{00000000-0005-0000-0000-0000EC570000}"/>
    <cellStyle name="Input 2 5 2 2 4 7" xfId="22718" xr:uid="{00000000-0005-0000-0000-0000ED570000}"/>
    <cellStyle name="Input 2 5 2 2 5" xfId="22719" xr:uid="{00000000-0005-0000-0000-0000EE570000}"/>
    <cellStyle name="Input 2 5 2 2 5 2" xfId="22720" xr:uid="{00000000-0005-0000-0000-0000EF570000}"/>
    <cellStyle name="Input 2 5 2 2 5 2 2" xfId="22721" xr:uid="{00000000-0005-0000-0000-0000F0570000}"/>
    <cellStyle name="Input 2 5 2 2 5 3" xfId="22722" xr:uid="{00000000-0005-0000-0000-0000F1570000}"/>
    <cellStyle name="Input 2 5 2 2 5 3 2" xfId="22723" xr:uid="{00000000-0005-0000-0000-0000F2570000}"/>
    <cellStyle name="Input 2 5 2 2 5 4" xfId="22724" xr:uid="{00000000-0005-0000-0000-0000F3570000}"/>
    <cellStyle name="Input 2 5 2 2 5 5" xfId="22725" xr:uid="{00000000-0005-0000-0000-0000F4570000}"/>
    <cellStyle name="Input 2 5 2 2 5 6" xfId="22726" xr:uid="{00000000-0005-0000-0000-0000F5570000}"/>
    <cellStyle name="Input 2 5 2 2 6" xfId="22727" xr:uid="{00000000-0005-0000-0000-0000F6570000}"/>
    <cellStyle name="Input 2 5 2 2 6 2" xfId="22728" xr:uid="{00000000-0005-0000-0000-0000F7570000}"/>
    <cellStyle name="Input 2 5 2 2 7" xfId="22729" xr:uid="{00000000-0005-0000-0000-0000F8570000}"/>
    <cellStyle name="Input 2 5 2 2 7 2" xfId="22730" xr:uid="{00000000-0005-0000-0000-0000F9570000}"/>
    <cellStyle name="Input 2 5 2 2 8" xfId="22731" xr:uid="{00000000-0005-0000-0000-0000FA570000}"/>
    <cellStyle name="Input 2 5 2 2 9" xfId="22732" xr:uid="{00000000-0005-0000-0000-0000FB570000}"/>
    <cellStyle name="Input 2 5 2 3" xfId="22733" xr:uid="{00000000-0005-0000-0000-0000FC570000}"/>
    <cellStyle name="Input 2 5 2 3 2" xfId="22734" xr:uid="{00000000-0005-0000-0000-0000FD570000}"/>
    <cellStyle name="Input 2 5 2 3 2 2" xfId="22735" xr:uid="{00000000-0005-0000-0000-0000FE570000}"/>
    <cellStyle name="Input 2 5 2 3 2 2 2" xfId="22736" xr:uid="{00000000-0005-0000-0000-0000FF570000}"/>
    <cellStyle name="Input 2 5 2 3 2 2 2 2" xfId="22737" xr:uid="{00000000-0005-0000-0000-000000580000}"/>
    <cellStyle name="Input 2 5 2 3 2 2 3" xfId="22738" xr:uid="{00000000-0005-0000-0000-000001580000}"/>
    <cellStyle name="Input 2 5 2 3 2 2 3 2" xfId="22739" xr:uid="{00000000-0005-0000-0000-000002580000}"/>
    <cellStyle name="Input 2 5 2 3 2 2 4" xfId="22740" xr:uid="{00000000-0005-0000-0000-000003580000}"/>
    <cellStyle name="Input 2 5 2 3 2 2 5" xfId="22741" xr:uid="{00000000-0005-0000-0000-000004580000}"/>
    <cellStyle name="Input 2 5 2 3 2 2 6" xfId="22742" xr:uid="{00000000-0005-0000-0000-000005580000}"/>
    <cellStyle name="Input 2 5 2 3 2 3" xfId="22743" xr:uid="{00000000-0005-0000-0000-000006580000}"/>
    <cellStyle name="Input 2 5 2 3 2 3 2" xfId="22744" xr:uid="{00000000-0005-0000-0000-000007580000}"/>
    <cellStyle name="Input 2 5 2 3 2 4" xfId="22745" xr:uid="{00000000-0005-0000-0000-000008580000}"/>
    <cellStyle name="Input 2 5 2 3 2 4 2" xfId="22746" xr:uid="{00000000-0005-0000-0000-000009580000}"/>
    <cellStyle name="Input 2 5 2 3 2 5" xfId="22747" xr:uid="{00000000-0005-0000-0000-00000A580000}"/>
    <cellStyle name="Input 2 5 2 3 2 6" xfId="22748" xr:uid="{00000000-0005-0000-0000-00000B580000}"/>
    <cellStyle name="Input 2 5 2 3 2 7" xfId="22749" xr:uid="{00000000-0005-0000-0000-00000C580000}"/>
    <cellStyle name="Input 2 5 2 3 3" xfId="22750" xr:uid="{00000000-0005-0000-0000-00000D580000}"/>
    <cellStyle name="Input 2 5 2 3 3 2" xfId="22751" xr:uid="{00000000-0005-0000-0000-00000E580000}"/>
    <cellStyle name="Input 2 5 2 3 3 2 2" xfId="22752" xr:uid="{00000000-0005-0000-0000-00000F580000}"/>
    <cellStyle name="Input 2 5 2 3 3 3" xfId="22753" xr:uid="{00000000-0005-0000-0000-000010580000}"/>
    <cellStyle name="Input 2 5 2 3 3 3 2" xfId="22754" xr:uid="{00000000-0005-0000-0000-000011580000}"/>
    <cellStyle name="Input 2 5 2 3 3 4" xfId="22755" xr:uid="{00000000-0005-0000-0000-000012580000}"/>
    <cellStyle name="Input 2 5 2 3 3 5" xfId="22756" xr:uid="{00000000-0005-0000-0000-000013580000}"/>
    <cellStyle name="Input 2 5 2 3 3 6" xfId="22757" xr:uid="{00000000-0005-0000-0000-000014580000}"/>
    <cellStyle name="Input 2 5 2 3 4" xfId="22758" xr:uid="{00000000-0005-0000-0000-000015580000}"/>
    <cellStyle name="Input 2 5 2 3 4 2" xfId="22759" xr:uid="{00000000-0005-0000-0000-000016580000}"/>
    <cellStyle name="Input 2 5 2 3 5" xfId="22760" xr:uid="{00000000-0005-0000-0000-000017580000}"/>
    <cellStyle name="Input 2 5 2 3 5 2" xfId="22761" xr:uid="{00000000-0005-0000-0000-000018580000}"/>
    <cellStyle name="Input 2 5 2 3 6" xfId="22762" xr:uid="{00000000-0005-0000-0000-000019580000}"/>
    <cellStyle name="Input 2 5 2 3 7" xfId="22763" xr:uid="{00000000-0005-0000-0000-00001A580000}"/>
    <cellStyle name="Input 2 5 2 3 8" xfId="22764" xr:uid="{00000000-0005-0000-0000-00001B580000}"/>
    <cellStyle name="Input 2 5 2 4" xfId="22765" xr:uid="{00000000-0005-0000-0000-00001C580000}"/>
    <cellStyle name="Input 2 5 2 4 2" xfId="22766" xr:uid="{00000000-0005-0000-0000-00001D580000}"/>
    <cellStyle name="Input 2 5 2 4 2 2" xfId="22767" xr:uid="{00000000-0005-0000-0000-00001E580000}"/>
    <cellStyle name="Input 2 5 2 4 2 2 2" xfId="22768" xr:uid="{00000000-0005-0000-0000-00001F580000}"/>
    <cellStyle name="Input 2 5 2 4 2 3" xfId="22769" xr:uid="{00000000-0005-0000-0000-000020580000}"/>
    <cellStyle name="Input 2 5 2 4 2 3 2" xfId="22770" xr:uid="{00000000-0005-0000-0000-000021580000}"/>
    <cellStyle name="Input 2 5 2 4 2 4" xfId="22771" xr:uid="{00000000-0005-0000-0000-000022580000}"/>
    <cellStyle name="Input 2 5 2 4 2 5" xfId="22772" xr:uid="{00000000-0005-0000-0000-000023580000}"/>
    <cellStyle name="Input 2 5 2 4 2 6" xfId="22773" xr:uid="{00000000-0005-0000-0000-000024580000}"/>
    <cellStyle name="Input 2 5 2 4 3" xfId="22774" xr:uid="{00000000-0005-0000-0000-000025580000}"/>
    <cellStyle name="Input 2 5 2 4 3 2" xfId="22775" xr:uid="{00000000-0005-0000-0000-000026580000}"/>
    <cellStyle name="Input 2 5 2 4 4" xfId="22776" xr:uid="{00000000-0005-0000-0000-000027580000}"/>
    <cellStyle name="Input 2 5 2 4 4 2" xfId="22777" xr:uid="{00000000-0005-0000-0000-000028580000}"/>
    <cellStyle name="Input 2 5 2 4 5" xfId="22778" xr:uid="{00000000-0005-0000-0000-000029580000}"/>
    <cellStyle name="Input 2 5 2 4 6" xfId="22779" xr:uid="{00000000-0005-0000-0000-00002A580000}"/>
    <cellStyle name="Input 2 5 2 4 7" xfId="22780" xr:uid="{00000000-0005-0000-0000-00002B580000}"/>
    <cellStyle name="Input 2 5 2 5" xfId="22781" xr:uid="{00000000-0005-0000-0000-00002C580000}"/>
    <cellStyle name="Input 2 5 2 5 2" xfId="22782" xr:uid="{00000000-0005-0000-0000-00002D580000}"/>
    <cellStyle name="Input 2 5 2 5 2 2" xfId="22783" xr:uid="{00000000-0005-0000-0000-00002E580000}"/>
    <cellStyle name="Input 2 5 2 5 3" xfId="22784" xr:uid="{00000000-0005-0000-0000-00002F580000}"/>
    <cellStyle name="Input 2 5 2 5 3 2" xfId="22785" xr:uid="{00000000-0005-0000-0000-000030580000}"/>
    <cellStyle name="Input 2 5 2 5 4" xfId="22786" xr:uid="{00000000-0005-0000-0000-000031580000}"/>
    <cellStyle name="Input 2 5 2 5 5" xfId="22787" xr:uid="{00000000-0005-0000-0000-000032580000}"/>
    <cellStyle name="Input 2 5 2 5 6" xfId="22788" xr:uid="{00000000-0005-0000-0000-000033580000}"/>
    <cellStyle name="Input 2 5 2 6" xfId="22789" xr:uid="{00000000-0005-0000-0000-000034580000}"/>
    <cellStyle name="Input 2 5 2 6 2" xfId="22790" xr:uid="{00000000-0005-0000-0000-000035580000}"/>
    <cellStyle name="Input 2 5 2 7" xfId="22791" xr:uid="{00000000-0005-0000-0000-000036580000}"/>
    <cellStyle name="Input 2 5 2 7 2" xfId="22792" xr:uid="{00000000-0005-0000-0000-000037580000}"/>
    <cellStyle name="Input 2 5 2 8" xfId="22793" xr:uid="{00000000-0005-0000-0000-000038580000}"/>
    <cellStyle name="Input 2 5 2 9" xfId="22794" xr:uid="{00000000-0005-0000-0000-000039580000}"/>
    <cellStyle name="Input 2 5 3" xfId="22795" xr:uid="{00000000-0005-0000-0000-00003A580000}"/>
    <cellStyle name="Input 2 5 3 10" xfId="22796" xr:uid="{00000000-0005-0000-0000-00003B580000}"/>
    <cellStyle name="Input 2 5 3 2" xfId="22797" xr:uid="{00000000-0005-0000-0000-00003C580000}"/>
    <cellStyle name="Input 2 5 3 2 2" xfId="22798" xr:uid="{00000000-0005-0000-0000-00003D580000}"/>
    <cellStyle name="Input 2 5 3 2 2 2" xfId="22799" xr:uid="{00000000-0005-0000-0000-00003E580000}"/>
    <cellStyle name="Input 2 5 3 2 2 2 2" xfId="22800" xr:uid="{00000000-0005-0000-0000-00003F580000}"/>
    <cellStyle name="Input 2 5 3 2 2 2 2 2" xfId="22801" xr:uid="{00000000-0005-0000-0000-000040580000}"/>
    <cellStyle name="Input 2 5 3 2 2 2 3" xfId="22802" xr:uid="{00000000-0005-0000-0000-000041580000}"/>
    <cellStyle name="Input 2 5 3 2 2 2 3 2" xfId="22803" xr:uid="{00000000-0005-0000-0000-000042580000}"/>
    <cellStyle name="Input 2 5 3 2 2 2 4" xfId="22804" xr:uid="{00000000-0005-0000-0000-000043580000}"/>
    <cellStyle name="Input 2 5 3 2 2 2 5" xfId="22805" xr:uid="{00000000-0005-0000-0000-000044580000}"/>
    <cellStyle name="Input 2 5 3 2 2 2 6" xfId="22806" xr:uid="{00000000-0005-0000-0000-000045580000}"/>
    <cellStyle name="Input 2 5 3 2 2 3" xfId="22807" xr:uid="{00000000-0005-0000-0000-000046580000}"/>
    <cellStyle name="Input 2 5 3 2 2 3 2" xfId="22808" xr:uid="{00000000-0005-0000-0000-000047580000}"/>
    <cellStyle name="Input 2 5 3 2 2 4" xfId="22809" xr:uid="{00000000-0005-0000-0000-000048580000}"/>
    <cellStyle name="Input 2 5 3 2 2 4 2" xfId="22810" xr:uid="{00000000-0005-0000-0000-000049580000}"/>
    <cellStyle name="Input 2 5 3 2 2 5" xfId="22811" xr:uid="{00000000-0005-0000-0000-00004A580000}"/>
    <cellStyle name="Input 2 5 3 2 2 6" xfId="22812" xr:uid="{00000000-0005-0000-0000-00004B580000}"/>
    <cellStyle name="Input 2 5 3 2 2 7" xfId="22813" xr:uid="{00000000-0005-0000-0000-00004C580000}"/>
    <cellStyle name="Input 2 5 3 2 3" xfId="22814" xr:uid="{00000000-0005-0000-0000-00004D580000}"/>
    <cellStyle name="Input 2 5 3 2 3 2" xfId="22815" xr:uid="{00000000-0005-0000-0000-00004E580000}"/>
    <cellStyle name="Input 2 5 3 2 3 2 2" xfId="22816" xr:uid="{00000000-0005-0000-0000-00004F580000}"/>
    <cellStyle name="Input 2 5 3 2 3 3" xfId="22817" xr:uid="{00000000-0005-0000-0000-000050580000}"/>
    <cellStyle name="Input 2 5 3 2 3 3 2" xfId="22818" xr:uid="{00000000-0005-0000-0000-000051580000}"/>
    <cellStyle name="Input 2 5 3 2 3 4" xfId="22819" xr:uid="{00000000-0005-0000-0000-000052580000}"/>
    <cellStyle name="Input 2 5 3 2 3 5" xfId="22820" xr:uid="{00000000-0005-0000-0000-000053580000}"/>
    <cellStyle name="Input 2 5 3 2 3 6" xfId="22821" xr:uid="{00000000-0005-0000-0000-000054580000}"/>
    <cellStyle name="Input 2 5 3 2 4" xfId="22822" xr:uid="{00000000-0005-0000-0000-000055580000}"/>
    <cellStyle name="Input 2 5 3 2 4 2" xfId="22823" xr:uid="{00000000-0005-0000-0000-000056580000}"/>
    <cellStyle name="Input 2 5 3 2 5" xfId="22824" xr:uid="{00000000-0005-0000-0000-000057580000}"/>
    <cellStyle name="Input 2 5 3 2 5 2" xfId="22825" xr:uid="{00000000-0005-0000-0000-000058580000}"/>
    <cellStyle name="Input 2 5 3 2 6" xfId="22826" xr:uid="{00000000-0005-0000-0000-000059580000}"/>
    <cellStyle name="Input 2 5 3 2 7" xfId="22827" xr:uid="{00000000-0005-0000-0000-00005A580000}"/>
    <cellStyle name="Input 2 5 3 2 8" xfId="22828" xr:uid="{00000000-0005-0000-0000-00005B580000}"/>
    <cellStyle name="Input 2 5 3 3" xfId="22829" xr:uid="{00000000-0005-0000-0000-00005C580000}"/>
    <cellStyle name="Input 2 5 3 3 2" xfId="22830" xr:uid="{00000000-0005-0000-0000-00005D580000}"/>
    <cellStyle name="Input 2 5 3 3 2 2" xfId="22831" xr:uid="{00000000-0005-0000-0000-00005E580000}"/>
    <cellStyle name="Input 2 5 3 3 2 2 2" xfId="22832" xr:uid="{00000000-0005-0000-0000-00005F580000}"/>
    <cellStyle name="Input 2 5 3 3 2 2 2 2" xfId="22833" xr:uid="{00000000-0005-0000-0000-000060580000}"/>
    <cellStyle name="Input 2 5 3 3 2 2 3" xfId="22834" xr:uid="{00000000-0005-0000-0000-000061580000}"/>
    <cellStyle name="Input 2 5 3 3 2 2 3 2" xfId="22835" xr:uid="{00000000-0005-0000-0000-000062580000}"/>
    <cellStyle name="Input 2 5 3 3 2 2 4" xfId="22836" xr:uid="{00000000-0005-0000-0000-000063580000}"/>
    <cellStyle name="Input 2 5 3 3 2 2 5" xfId="22837" xr:uid="{00000000-0005-0000-0000-000064580000}"/>
    <cellStyle name="Input 2 5 3 3 2 2 6" xfId="22838" xr:uid="{00000000-0005-0000-0000-000065580000}"/>
    <cellStyle name="Input 2 5 3 3 2 3" xfId="22839" xr:uid="{00000000-0005-0000-0000-000066580000}"/>
    <cellStyle name="Input 2 5 3 3 2 3 2" xfId="22840" xr:uid="{00000000-0005-0000-0000-000067580000}"/>
    <cellStyle name="Input 2 5 3 3 2 4" xfId="22841" xr:uid="{00000000-0005-0000-0000-000068580000}"/>
    <cellStyle name="Input 2 5 3 3 2 4 2" xfId="22842" xr:uid="{00000000-0005-0000-0000-000069580000}"/>
    <cellStyle name="Input 2 5 3 3 2 5" xfId="22843" xr:uid="{00000000-0005-0000-0000-00006A580000}"/>
    <cellStyle name="Input 2 5 3 3 2 6" xfId="22844" xr:uid="{00000000-0005-0000-0000-00006B580000}"/>
    <cellStyle name="Input 2 5 3 3 2 7" xfId="22845" xr:uid="{00000000-0005-0000-0000-00006C580000}"/>
    <cellStyle name="Input 2 5 3 3 3" xfId="22846" xr:uid="{00000000-0005-0000-0000-00006D580000}"/>
    <cellStyle name="Input 2 5 3 3 3 2" xfId="22847" xr:uid="{00000000-0005-0000-0000-00006E580000}"/>
    <cellStyle name="Input 2 5 3 3 3 2 2" xfId="22848" xr:uid="{00000000-0005-0000-0000-00006F580000}"/>
    <cellStyle name="Input 2 5 3 3 3 3" xfId="22849" xr:uid="{00000000-0005-0000-0000-000070580000}"/>
    <cellStyle name="Input 2 5 3 3 3 3 2" xfId="22850" xr:uid="{00000000-0005-0000-0000-000071580000}"/>
    <cellStyle name="Input 2 5 3 3 3 4" xfId="22851" xr:uid="{00000000-0005-0000-0000-000072580000}"/>
    <cellStyle name="Input 2 5 3 3 3 5" xfId="22852" xr:uid="{00000000-0005-0000-0000-000073580000}"/>
    <cellStyle name="Input 2 5 3 3 3 6" xfId="22853" xr:uid="{00000000-0005-0000-0000-000074580000}"/>
    <cellStyle name="Input 2 5 3 3 4" xfId="22854" xr:uid="{00000000-0005-0000-0000-000075580000}"/>
    <cellStyle name="Input 2 5 3 3 4 2" xfId="22855" xr:uid="{00000000-0005-0000-0000-000076580000}"/>
    <cellStyle name="Input 2 5 3 3 5" xfId="22856" xr:uid="{00000000-0005-0000-0000-000077580000}"/>
    <cellStyle name="Input 2 5 3 3 5 2" xfId="22857" xr:uid="{00000000-0005-0000-0000-000078580000}"/>
    <cellStyle name="Input 2 5 3 3 6" xfId="22858" xr:uid="{00000000-0005-0000-0000-000079580000}"/>
    <cellStyle name="Input 2 5 3 3 7" xfId="22859" xr:uid="{00000000-0005-0000-0000-00007A580000}"/>
    <cellStyle name="Input 2 5 3 3 8" xfId="22860" xr:uid="{00000000-0005-0000-0000-00007B580000}"/>
    <cellStyle name="Input 2 5 3 4" xfId="22861" xr:uid="{00000000-0005-0000-0000-00007C580000}"/>
    <cellStyle name="Input 2 5 3 4 2" xfId="22862" xr:uid="{00000000-0005-0000-0000-00007D580000}"/>
    <cellStyle name="Input 2 5 3 4 2 2" xfId="22863" xr:uid="{00000000-0005-0000-0000-00007E580000}"/>
    <cellStyle name="Input 2 5 3 4 2 2 2" xfId="22864" xr:uid="{00000000-0005-0000-0000-00007F580000}"/>
    <cellStyle name="Input 2 5 3 4 2 3" xfId="22865" xr:uid="{00000000-0005-0000-0000-000080580000}"/>
    <cellStyle name="Input 2 5 3 4 2 3 2" xfId="22866" xr:uid="{00000000-0005-0000-0000-000081580000}"/>
    <cellStyle name="Input 2 5 3 4 2 4" xfId="22867" xr:uid="{00000000-0005-0000-0000-000082580000}"/>
    <cellStyle name="Input 2 5 3 4 2 5" xfId="22868" xr:uid="{00000000-0005-0000-0000-000083580000}"/>
    <cellStyle name="Input 2 5 3 4 2 6" xfId="22869" xr:uid="{00000000-0005-0000-0000-000084580000}"/>
    <cellStyle name="Input 2 5 3 4 3" xfId="22870" xr:uid="{00000000-0005-0000-0000-000085580000}"/>
    <cellStyle name="Input 2 5 3 4 3 2" xfId="22871" xr:uid="{00000000-0005-0000-0000-000086580000}"/>
    <cellStyle name="Input 2 5 3 4 4" xfId="22872" xr:uid="{00000000-0005-0000-0000-000087580000}"/>
    <cellStyle name="Input 2 5 3 4 4 2" xfId="22873" xr:uid="{00000000-0005-0000-0000-000088580000}"/>
    <cellStyle name="Input 2 5 3 4 5" xfId="22874" xr:uid="{00000000-0005-0000-0000-000089580000}"/>
    <cellStyle name="Input 2 5 3 4 6" xfId="22875" xr:uid="{00000000-0005-0000-0000-00008A580000}"/>
    <cellStyle name="Input 2 5 3 4 7" xfId="22876" xr:uid="{00000000-0005-0000-0000-00008B580000}"/>
    <cellStyle name="Input 2 5 3 5" xfId="22877" xr:uid="{00000000-0005-0000-0000-00008C580000}"/>
    <cellStyle name="Input 2 5 3 5 2" xfId="22878" xr:uid="{00000000-0005-0000-0000-00008D580000}"/>
    <cellStyle name="Input 2 5 3 5 2 2" xfId="22879" xr:uid="{00000000-0005-0000-0000-00008E580000}"/>
    <cellStyle name="Input 2 5 3 5 3" xfId="22880" xr:uid="{00000000-0005-0000-0000-00008F580000}"/>
    <cellStyle name="Input 2 5 3 5 3 2" xfId="22881" xr:uid="{00000000-0005-0000-0000-000090580000}"/>
    <cellStyle name="Input 2 5 3 5 4" xfId="22882" xr:uid="{00000000-0005-0000-0000-000091580000}"/>
    <cellStyle name="Input 2 5 3 5 5" xfId="22883" xr:uid="{00000000-0005-0000-0000-000092580000}"/>
    <cellStyle name="Input 2 5 3 5 6" xfId="22884" xr:uid="{00000000-0005-0000-0000-000093580000}"/>
    <cellStyle name="Input 2 5 3 6" xfId="22885" xr:uid="{00000000-0005-0000-0000-000094580000}"/>
    <cellStyle name="Input 2 5 3 6 2" xfId="22886" xr:uid="{00000000-0005-0000-0000-000095580000}"/>
    <cellStyle name="Input 2 5 3 7" xfId="22887" xr:uid="{00000000-0005-0000-0000-000096580000}"/>
    <cellStyle name="Input 2 5 3 7 2" xfId="22888" xr:uid="{00000000-0005-0000-0000-000097580000}"/>
    <cellStyle name="Input 2 5 3 8" xfId="22889" xr:uid="{00000000-0005-0000-0000-000098580000}"/>
    <cellStyle name="Input 2 5 3 9" xfId="22890" xr:uid="{00000000-0005-0000-0000-000099580000}"/>
    <cellStyle name="Input 2 5 4" xfId="22891" xr:uid="{00000000-0005-0000-0000-00009A580000}"/>
    <cellStyle name="Input 2 5 4 2" xfId="22892" xr:uid="{00000000-0005-0000-0000-00009B580000}"/>
    <cellStyle name="Input 2 5 4 2 2" xfId="22893" xr:uid="{00000000-0005-0000-0000-00009C580000}"/>
    <cellStyle name="Input 2 5 4 2 2 2" xfId="22894" xr:uid="{00000000-0005-0000-0000-00009D580000}"/>
    <cellStyle name="Input 2 5 4 2 2 2 2" xfId="22895" xr:uid="{00000000-0005-0000-0000-00009E580000}"/>
    <cellStyle name="Input 2 5 4 2 2 3" xfId="22896" xr:uid="{00000000-0005-0000-0000-00009F580000}"/>
    <cellStyle name="Input 2 5 4 2 2 3 2" xfId="22897" xr:uid="{00000000-0005-0000-0000-0000A0580000}"/>
    <cellStyle name="Input 2 5 4 2 2 4" xfId="22898" xr:uid="{00000000-0005-0000-0000-0000A1580000}"/>
    <cellStyle name="Input 2 5 4 2 2 5" xfId="22899" xr:uid="{00000000-0005-0000-0000-0000A2580000}"/>
    <cellStyle name="Input 2 5 4 2 2 6" xfId="22900" xr:uid="{00000000-0005-0000-0000-0000A3580000}"/>
    <cellStyle name="Input 2 5 4 2 3" xfId="22901" xr:uid="{00000000-0005-0000-0000-0000A4580000}"/>
    <cellStyle name="Input 2 5 4 2 3 2" xfId="22902" xr:uid="{00000000-0005-0000-0000-0000A5580000}"/>
    <cellStyle name="Input 2 5 4 2 4" xfId="22903" xr:uid="{00000000-0005-0000-0000-0000A6580000}"/>
    <cellStyle name="Input 2 5 4 2 4 2" xfId="22904" xr:uid="{00000000-0005-0000-0000-0000A7580000}"/>
    <cellStyle name="Input 2 5 4 2 5" xfId="22905" xr:uid="{00000000-0005-0000-0000-0000A8580000}"/>
    <cellStyle name="Input 2 5 4 2 6" xfId="22906" xr:uid="{00000000-0005-0000-0000-0000A9580000}"/>
    <cellStyle name="Input 2 5 4 2 7" xfId="22907" xr:uid="{00000000-0005-0000-0000-0000AA580000}"/>
    <cellStyle name="Input 2 5 4 3" xfId="22908" xr:uid="{00000000-0005-0000-0000-0000AB580000}"/>
    <cellStyle name="Input 2 5 4 3 2" xfId="22909" xr:uid="{00000000-0005-0000-0000-0000AC580000}"/>
    <cellStyle name="Input 2 5 4 3 2 2" xfId="22910" xr:uid="{00000000-0005-0000-0000-0000AD580000}"/>
    <cellStyle name="Input 2 5 4 3 3" xfId="22911" xr:uid="{00000000-0005-0000-0000-0000AE580000}"/>
    <cellStyle name="Input 2 5 4 3 3 2" xfId="22912" xr:uid="{00000000-0005-0000-0000-0000AF580000}"/>
    <cellStyle name="Input 2 5 4 3 4" xfId="22913" xr:uid="{00000000-0005-0000-0000-0000B0580000}"/>
    <cellStyle name="Input 2 5 4 3 5" xfId="22914" xr:uid="{00000000-0005-0000-0000-0000B1580000}"/>
    <cellStyle name="Input 2 5 4 3 6" xfId="22915" xr:uid="{00000000-0005-0000-0000-0000B2580000}"/>
    <cellStyle name="Input 2 5 4 4" xfId="22916" xr:uid="{00000000-0005-0000-0000-0000B3580000}"/>
    <cellStyle name="Input 2 5 4 4 2" xfId="22917" xr:uid="{00000000-0005-0000-0000-0000B4580000}"/>
    <cellStyle name="Input 2 5 4 5" xfId="22918" xr:uid="{00000000-0005-0000-0000-0000B5580000}"/>
    <cellStyle name="Input 2 5 4 5 2" xfId="22919" xr:uid="{00000000-0005-0000-0000-0000B6580000}"/>
    <cellStyle name="Input 2 5 4 6" xfId="22920" xr:uid="{00000000-0005-0000-0000-0000B7580000}"/>
    <cellStyle name="Input 2 5 4 7" xfId="22921" xr:uid="{00000000-0005-0000-0000-0000B8580000}"/>
    <cellStyle name="Input 2 5 4 8" xfId="22922" xr:uid="{00000000-0005-0000-0000-0000B9580000}"/>
    <cellStyle name="Input 2 5 5" xfId="22923" xr:uid="{00000000-0005-0000-0000-0000BA580000}"/>
    <cellStyle name="Input 2 5 5 2" xfId="22924" xr:uid="{00000000-0005-0000-0000-0000BB580000}"/>
    <cellStyle name="Input 2 5 5 2 2" xfId="22925" xr:uid="{00000000-0005-0000-0000-0000BC580000}"/>
    <cellStyle name="Input 2 5 5 2 2 2" xfId="22926" xr:uid="{00000000-0005-0000-0000-0000BD580000}"/>
    <cellStyle name="Input 2 5 5 2 3" xfId="22927" xr:uid="{00000000-0005-0000-0000-0000BE580000}"/>
    <cellStyle name="Input 2 5 5 2 3 2" xfId="22928" xr:uid="{00000000-0005-0000-0000-0000BF580000}"/>
    <cellStyle name="Input 2 5 5 2 4" xfId="22929" xr:uid="{00000000-0005-0000-0000-0000C0580000}"/>
    <cellStyle name="Input 2 5 5 2 5" xfId="22930" xr:uid="{00000000-0005-0000-0000-0000C1580000}"/>
    <cellStyle name="Input 2 5 5 2 6" xfId="22931" xr:uid="{00000000-0005-0000-0000-0000C2580000}"/>
    <cellStyle name="Input 2 5 5 3" xfId="22932" xr:uid="{00000000-0005-0000-0000-0000C3580000}"/>
    <cellStyle name="Input 2 5 5 3 2" xfId="22933" xr:uid="{00000000-0005-0000-0000-0000C4580000}"/>
    <cellStyle name="Input 2 5 5 4" xfId="22934" xr:uid="{00000000-0005-0000-0000-0000C5580000}"/>
    <cellStyle name="Input 2 5 5 4 2" xfId="22935" xr:uid="{00000000-0005-0000-0000-0000C6580000}"/>
    <cellStyle name="Input 2 5 5 5" xfId="22936" xr:uid="{00000000-0005-0000-0000-0000C7580000}"/>
    <cellStyle name="Input 2 5 5 6" xfId="22937" xr:uid="{00000000-0005-0000-0000-0000C8580000}"/>
    <cellStyle name="Input 2 5 5 7" xfId="22938" xr:uid="{00000000-0005-0000-0000-0000C9580000}"/>
    <cellStyle name="Input 2 5 6" xfId="22939" xr:uid="{00000000-0005-0000-0000-0000CA580000}"/>
    <cellStyle name="Input 2 5 6 2" xfId="22940" xr:uid="{00000000-0005-0000-0000-0000CB580000}"/>
    <cellStyle name="Input 2 5 6 2 2" xfId="22941" xr:uid="{00000000-0005-0000-0000-0000CC580000}"/>
    <cellStyle name="Input 2 5 6 3" xfId="22942" xr:uid="{00000000-0005-0000-0000-0000CD580000}"/>
    <cellStyle name="Input 2 5 6 3 2" xfId="22943" xr:uid="{00000000-0005-0000-0000-0000CE580000}"/>
    <cellStyle name="Input 2 5 6 4" xfId="22944" xr:uid="{00000000-0005-0000-0000-0000CF580000}"/>
    <cellStyle name="Input 2 5 6 5" xfId="22945" xr:uid="{00000000-0005-0000-0000-0000D0580000}"/>
    <cellStyle name="Input 2 5 6 6" xfId="22946" xr:uid="{00000000-0005-0000-0000-0000D1580000}"/>
    <cellStyle name="Input 2 5 7" xfId="22947" xr:uid="{00000000-0005-0000-0000-0000D2580000}"/>
    <cellStyle name="Input 2 5 7 2" xfId="22948" xr:uid="{00000000-0005-0000-0000-0000D3580000}"/>
    <cellStyle name="Input 2 5 8" xfId="22949" xr:uid="{00000000-0005-0000-0000-0000D4580000}"/>
    <cellStyle name="Input 2 5 8 2" xfId="22950" xr:uid="{00000000-0005-0000-0000-0000D5580000}"/>
    <cellStyle name="Input 2 5 9" xfId="22951" xr:uid="{00000000-0005-0000-0000-0000D6580000}"/>
    <cellStyle name="Input 2 6" xfId="22952" xr:uid="{00000000-0005-0000-0000-0000D7580000}"/>
    <cellStyle name="Input 2 6 10" xfId="22953" xr:uid="{00000000-0005-0000-0000-0000D8580000}"/>
    <cellStyle name="Input 2 6 11" xfId="22954" xr:uid="{00000000-0005-0000-0000-0000D9580000}"/>
    <cellStyle name="Input 2 6 2" xfId="22955" xr:uid="{00000000-0005-0000-0000-0000DA580000}"/>
    <cellStyle name="Input 2 6 2 10" xfId="22956" xr:uid="{00000000-0005-0000-0000-0000DB580000}"/>
    <cellStyle name="Input 2 6 2 2" xfId="22957" xr:uid="{00000000-0005-0000-0000-0000DC580000}"/>
    <cellStyle name="Input 2 6 2 2 2" xfId="22958" xr:uid="{00000000-0005-0000-0000-0000DD580000}"/>
    <cellStyle name="Input 2 6 2 2 2 2" xfId="22959" xr:uid="{00000000-0005-0000-0000-0000DE580000}"/>
    <cellStyle name="Input 2 6 2 2 2 2 2" xfId="22960" xr:uid="{00000000-0005-0000-0000-0000DF580000}"/>
    <cellStyle name="Input 2 6 2 2 2 2 2 2" xfId="22961" xr:uid="{00000000-0005-0000-0000-0000E0580000}"/>
    <cellStyle name="Input 2 6 2 2 2 2 3" xfId="22962" xr:uid="{00000000-0005-0000-0000-0000E1580000}"/>
    <cellStyle name="Input 2 6 2 2 2 2 3 2" xfId="22963" xr:uid="{00000000-0005-0000-0000-0000E2580000}"/>
    <cellStyle name="Input 2 6 2 2 2 2 4" xfId="22964" xr:uid="{00000000-0005-0000-0000-0000E3580000}"/>
    <cellStyle name="Input 2 6 2 2 2 2 5" xfId="22965" xr:uid="{00000000-0005-0000-0000-0000E4580000}"/>
    <cellStyle name="Input 2 6 2 2 2 2 6" xfId="22966" xr:uid="{00000000-0005-0000-0000-0000E5580000}"/>
    <cellStyle name="Input 2 6 2 2 2 3" xfId="22967" xr:uid="{00000000-0005-0000-0000-0000E6580000}"/>
    <cellStyle name="Input 2 6 2 2 2 3 2" xfId="22968" xr:uid="{00000000-0005-0000-0000-0000E7580000}"/>
    <cellStyle name="Input 2 6 2 2 2 4" xfId="22969" xr:uid="{00000000-0005-0000-0000-0000E8580000}"/>
    <cellStyle name="Input 2 6 2 2 2 4 2" xfId="22970" xr:uid="{00000000-0005-0000-0000-0000E9580000}"/>
    <cellStyle name="Input 2 6 2 2 2 5" xfId="22971" xr:uid="{00000000-0005-0000-0000-0000EA580000}"/>
    <cellStyle name="Input 2 6 2 2 2 6" xfId="22972" xr:uid="{00000000-0005-0000-0000-0000EB580000}"/>
    <cellStyle name="Input 2 6 2 2 2 7" xfId="22973" xr:uid="{00000000-0005-0000-0000-0000EC580000}"/>
    <cellStyle name="Input 2 6 2 2 3" xfId="22974" xr:uid="{00000000-0005-0000-0000-0000ED580000}"/>
    <cellStyle name="Input 2 6 2 2 3 2" xfId="22975" xr:uid="{00000000-0005-0000-0000-0000EE580000}"/>
    <cellStyle name="Input 2 6 2 2 3 2 2" xfId="22976" xr:uid="{00000000-0005-0000-0000-0000EF580000}"/>
    <cellStyle name="Input 2 6 2 2 3 3" xfId="22977" xr:uid="{00000000-0005-0000-0000-0000F0580000}"/>
    <cellStyle name="Input 2 6 2 2 3 3 2" xfId="22978" xr:uid="{00000000-0005-0000-0000-0000F1580000}"/>
    <cellStyle name="Input 2 6 2 2 3 4" xfId="22979" xr:uid="{00000000-0005-0000-0000-0000F2580000}"/>
    <cellStyle name="Input 2 6 2 2 3 5" xfId="22980" xr:uid="{00000000-0005-0000-0000-0000F3580000}"/>
    <cellStyle name="Input 2 6 2 2 3 6" xfId="22981" xr:uid="{00000000-0005-0000-0000-0000F4580000}"/>
    <cellStyle name="Input 2 6 2 2 4" xfId="22982" xr:uid="{00000000-0005-0000-0000-0000F5580000}"/>
    <cellStyle name="Input 2 6 2 2 4 2" xfId="22983" xr:uid="{00000000-0005-0000-0000-0000F6580000}"/>
    <cellStyle name="Input 2 6 2 2 5" xfId="22984" xr:uid="{00000000-0005-0000-0000-0000F7580000}"/>
    <cellStyle name="Input 2 6 2 2 5 2" xfId="22985" xr:uid="{00000000-0005-0000-0000-0000F8580000}"/>
    <cellStyle name="Input 2 6 2 2 6" xfId="22986" xr:uid="{00000000-0005-0000-0000-0000F9580000}"/>
    <cellStyle name="Input 2 6 2 2 7" xfId="22987" xr:uid="{00000000-0005-0000-0000-0000FA580000}"/>
    <cellStyle name="Input 2 6 2 2 8" xfId="22988" xr:uid="{00000000-0005-0000-0000-0000FB580000}"/>
    <cellStyle name="Input 2 6 2 3" xfId="22989" xr:uid="{00000000-0005-0000-0000-0000FC580000}"/>
    <cellStyle name="Input 2 6 2 3 2" xfId="22990" xr:uid="{00000000-0005-0000-0000-0000FD580000}"/>
    <cellStyle name="Input 2 6 2 3 2 2" xfId="22991" xr:uid="{00000000-0005-0000-0000-0000FE580000}"/>
    <cellStyle name="Input 2 6 2 3 2 2 2" xfId="22992" xr:uid="{00000000-0005-0000-0000-0000FF580000}"/>
    <cellStyle name="Input 2 6 2 3 2 2 2 2" xfId="22993" xr:uid="{00000000-0005-0000-0000-000000590000}"/>
    <cellStyle name="Input 2 6 2 3 2 2 3" xfId="22994" xr:uid="{00000000-0005-0000-0000-000001590000}"/>
    <cellStyle name="Input 2 6 2 3 2 2 3 2" xfId="22995" xr:uid="{00000000-0005-0000-0000-000002590000}"/>
    <cellStyle name="Input 2 6 2 3 2 2 4" xfId="22996" xr:uid="{00000000-0005-0000-0000-000003590000}"/>
    <cellStyle name="Input 2 6 2 3 2 2 5" xfId="22997" xr:uid="{00000000-0005-0000-0000-000004590000}"/>
    <cellStyle name="Input 2 6 2 3 2 2 6" xfId="22998" xr:uid="{00000000-0005-0000-0000-000005590000}"/>
    <cellStyle name="Input 2 6 2 3 2 3" xfId="22999" xr:uid="{00000000-0005-0000-0000-000006590000}"/>
    <cellStyle name="Input 2 6 2 3 2 3 2" xfId="23000" xr:uid="{00000000-0005-0000-0000-000007590000}"/>
    <cellStyle name="Input 2 6 2 3 2 4" xfId="23001" xr:uid="{00000000-0005-0000-0000-000008590000}"/>
    <cellStyle name="Input 2 6 2 3 2 4 2" xfId="23002" xr:uid="{00000000-0005-0000-0000-000009590000}"/>
    <cellStyle name="Input 2 6 2 3 2 5" xfId="23003" xr:uid="{00000000-0005-0000-0000-00000A590000}"/>
    <cellStyle name="Input 2 6 2 3 2 6" xfId="23004" xr:uid="{00000000-0005-0000-0000-00000B590000}"/>
    <cellStyle name="Input 2 6 2 3 2 7" xfId="23005" xr:uid="{00000000-0005-0000-0000-00000C590000}"/>
    <cellStyle name="Input 2 6 2 3 3" xfId="23006" xr:uid="{00000000-0005-0000-0000-00000D590000}"/>
    <cellStyle name="Input 2 6 2 3 3 2" xfId="23007" xr:uid="{00000000-0005-0000-0000-00000E590000}"/>
    <cellStyle name="Input 2 6 2 3 3 2 2" xfId="23008" xr:uid="{00000000-0005-0000-0000-00000F590000}"/>
    <cellStyle name="Input 2 6 2 3 3 3" xfId="23009" xr:uid="{00000000-0005-0000-0000-000010590000}"/>
    <cellStyle name="Input 2 6 2 3 3 3 2" xfId="23010" xr:uid="{00000000-0005-0000-0000-000011590000}"/>
    <cellStyle name="Input 2 6 2 3 3 4" xfId="23011" xr:uid="{00000000-0005-0000-0000-000012590000}"/>
    <cellStyle name="Input 2 6 2 3 3 5" xfId="23012" xr:uid="{00000000-0005-0000-0000-000013590000}"/>
    <cellStyle name="Input 2 6 2 3 3 6" xfId="23013" xr:uid="{00000000-0005-0000-0000-000014590000}"/>
    <cellStyle name="Input 2 6 2 3 4" xfId="23014" xr:uid="{00000000-0005-0000-0000-000015590000}"/>
    <cellStyle name="Input 2 6 2 3 4 2" xfId="23015" xr:uid="{00000000-0005-0000-0000-000016590000}"/>
    <cellStyle name="Input 2 6 2 3 5" xfId="23016" xr:uid="{00000000-0005-0000-0000-000017590000}"/>
    <cellStyle name="Input 2 6 2 3 5 2" xfId="23017" xr:uid="{00000000-0005-0000-0000-000018590000}"/>
    <cellStyle name="Input 2 6 2 3 6" xfId="23018" xr:uid="{00000000-0005-0000-0000-000019590000}"/>
    <cellStyle name="Input 2 6 2 3 7" xfId="23019" xr:uid="{00000000-0005-0000-0000-00001A590000}"/>
    <cellStyle name="Input 2 6 2 3 8" xfId="23020" xr:uid="{00000000-0005-0000-0000-00001B590000}"/>
    <cellStyle name="Input 2 6 2 4" xfId="23021" xr:uid="{00000000-0005-0000-0000-00001C590000}"/>
    <cellStyle name="Input 2 6 2 4 2" xfId="23022" xr:uid="{00000000-0005-0000-0000-00001D590000}"/>
    <cellStyle name="Input 2 6 2 4 2 2" xfId="23023" xr:uid="{00000000-0005-0000-0000-00001E590000}"/>
    <cellStyle name="Input 2 6 2 4 2 2 2" xfId="23024" xr:uid="{00000000-0005-0000-0000-00001F590000}"/>
    <cellStyle name="Input 2 6 2 4 2 3" xfId="23025" xr:uid="{00000000-0005-0000-0000-000020590000}"/>
    <cellStyle name="Input 2 6 2 4 2 3 2" xfId="23026" xr:uid="{00000000-0005-0000-0000-000021590000}"/>
    <cellStyle name="Input 2 6 2 4 2 4" xfId="23027" xr:uid="{00000000-0005-0000-0000-000022590000}"/>
    <cellStyle name="Input 2 6 2 4 2 5" xfId="23028" xr:uid="{00000000-0005-0000-0000-000023590000}"/>
    <cellStyle name="Input 2 6 2 4 2 6" xfId="23029" xr:uid="{00000000-0005-0000-0000-000024590000}"/>
    <cellStyle name="Input 2 6 2 4 3" xfId="23030" xr:uid="{00000000-0005-0000-0000-000025590000}"/>
    <cellStyle name="Input 2 6 2 4 3 2" xfId="23031" xr:uid="{00000000-0005-0000-0000-000026590000}"/>
    <cellStyle name="Input 2 6 2 4 4" xfId="23032" xr:uid="{00000000-0005-0000-0000-000027590000}"/>
    <cellStyle name="Input 2 6 2 4 4 2" xfId="23033" xr:uid="{00000000-0005-0000-0000-000028590000}"/>
    <cellStyle name="Input 2 6 2 4 5" xfId="23034" xr:uid="{00000000-0005-0000-0000-000029590000}"/>
    <cellStyle name="Input 2 6 2 4 6" xfId="23035" xr:uid="{00000000-0005-0000-0000-00002A590000}"/>
    <cellStyle name="Input 2 6 2 4 7" xfId="23036" xr:uid="{00000000-0005-0000-0000-00002B590000}"/>
    <cellStyle name="Input 2 6 2 5" xfId="23037" xr:uid="{00000000-0005-0000-0000-00002C590000}"/>
    <cellStyle name="Input 2 6 2 5 2" xfId="23038" xr:uid="{00000000-0005-0000-0000-00002D590000}"/>
    <cellStyle name="Input 2 6 2 5 2 2" xfId="23039" xr:uid="{00000000-0005-0000-0000-00002E590000}"/>
    <cellStyle name="Input 2 6 2 5 3" xfId="23040" xr:uid="{00000000-0005-0000-0000-00002F590000}"/>
    <cellStyle name="Input 2 6 2 5 3 2" xfId="23041" xr:uid="{00000000-0005-0000-0000-000030590000}"/>
    <cellStyle name="Input 2 6 2 5 4" xfId="23042" xr:uid="{00000000-0005-0000-0000-000031590000}"/>
    <cellStyle name="Input 2 6 2 5 5" xfId="23043" xr:uid="{00000000-0005-0000-0000-000032590000}"/>
    <cellStyle name="Input 2 6 2 5 6" xfId="23044" xr:uid="{00000000-0005-0000-0000-000033590000}"/>
    <cellStyle name="Input 2 6 2 6" xfId="23045" xr:uid="{00000000-0005-0000-0000-000034590000}"/>
    <cellStyle name="Input 2 6 2 6 2" xfId="23046" xr:uid="{00000000-0005-0000-0000-000035590000}"/>
    <cellStyle name="Input 2 6 2 7" xfId="23047" xr:uid="{00000000-0005-0000-0000-000036590000}"/>
    <cellStyle name="Input 2 6 2 7 2" xfId="23048" xr:uid="{00000000-0005-0000-0000-000037590000}"/>
    <cellStyle name="Input 2 6 2 8" xfId="23049" xr:uid="{00000000-0005-0000-0000-000038590000}"/>
    <cellStyle name="Input 2 6 2 9" xfId="23050" xr:uid="{00000000-0005-0000-0000-000039590000}"/>
    <cellStyle name="Input 2 6 3" xfId="23051" xr:uid="{00000000-0005-0000-0000-00003A590000}"/>
    <cellStyle name="Input 2 6 3 2" xfId="23052" xr:uid="{00000000-0005-0000-0000-00003B590000}"/>
    <cellStyle name="Input 2 6 3 2 2" xfId="23053" xr:uid="{00000000-0005-0000-0000-00003C590000}"/>
    <cellStyle name="Input 2 6 3 2 2 2" xfId="23054" xr:uid="{00000000-0005-0000-0000-00003D590000}"/>
    <cellStyle name="Input 2 6 3 2 2 2 2" xfId="23055" xr:uid="{00000000-0005-0000-0000-00003E590000}"/>
    <cellStyle name="Input 2 6 3 2 2 3" xfId="23056" xr:uid="{00000000-0005-0000-0000-00003F590000}"/>
    <cellStyle name="Input 2 6 3 2 2 3 2" xfId="23057" xr:uid="{00000000-0005-0000-0000-000040590000}"/>
    <cellStyle name="Input 2 6 3 2 2 4" xfId="23058" xr:uid="{00000000-0005-0000-0000-000041590000}"/>
    <cellStyle name="Input 2 6 3 2 2 5" xfId="23059" xr:uid="{00000000-0005-0000-0000-000042590000}"/>
    <cellStyle name="Input 2 6 3 2 2 6" xfId="23060" xr:uid="{00000000-0005-0000-0000-000043590000}"/>
    <cellStyle name="Input 2 6 3 2 3" xfId="23061" xr:uid="{00000000-0005-0000-0000-000044590000}"/>
    <cellStyle name="Input 2 6 3 2 3 2" xfId="23062" xr:uid="{00000000-0005-0000-0000-000045590000}"/>
    <cellStyle name="Input 2 6 3 2 4" xfId="23063" xr:uid="{00000000-0005-0000-0000-000046590000}"/>
    <cellStyle name="Input 2 6 3 2 4 2" xfId="23064" xr:uid="{00000000-0005-0000-0000-000047590000}"/>
    <cellStyle name="Input 2 6 3 2 5" xfId="23065" xr:uid="{00000000-0005-0000-0000-000048590000}"/>
    <cellStyle name="Input 2 6 3 2 6" xfId="23066" xr:uid="{00000000-0005-0000-0000-000049590000}"/>
    <cellStyle name="Input 2 6 3 2 7" xfId="23067" xr:uid="{00000000-0005-0000-0000-00004A590000}"/>
    <cellStyle name="Input 2 6 3 3" xfId="23068" xr:uid="{00000000-0005-0000-0000-00004B590000}"/>
    <cellStyle name="Input 2 6 3 3 2" xfId="23069" xr:uid="{00000000-0005-0000-0000-00004C590000}"/>
    <cellStyle name="Input 2 6 3 3 2 2" xfId="23070" xr:uid="{00000000-0005-0000-0000-00004D590000}"/>
    <cellStyle name="Input 2 6 3 3 3" xfId="23071" xr:uid="{00000000-0005-0000-0000-00004E590000}"/>
    <cellStyle name="Input 2 6 3 3 3 2" xfId="23072" xr:uid="{00000000-0005-0000-0000-00004F590000}"/>
    <cellStyle name="Input 2 6 3 3 4" xfId="23073" xr:uid="{00000000-0005-0000-0000-000050590000}"/>
    <cellStyle name="Input 2 6 3 3 5" xfId="23074" xr:uid="{00000000-0005-0000-0000-000051590000}"/>
    <cellStyle name="Input 2 6 3 3 6" xfId="23075" xr:uid="{00000000-0005-0000-0000-000052590000}"/>
    <cellStyle name="Input 2 6 3 4" xfId="23076" xr:uid="{00000000-0005-0000-0000-000053590000}"/>
    <cellStyle name="Input 2 6 3 4 2" xfId="23077" xr:uid="{00000000-0005-0000-0000-000054590000}"/>
    <cellStyle name="Input 2 6 3 5" xfId="23078" xr:uid="{00000000-0005-0000-0000-000055590000}"/>
    <cellStyle name="Input 2 6 3 5 2" xfId="23079" xr:uid="{00000000-0005-0000-0000-000056590000}"/>
    <cellStyle name="Input 2 6 3 6" xfId="23080" xr:uid="{00000000-0005-0000-0000-000057590000}"/>
    <cellStyle name="Input 2 6 3 7" xfId="23081" xr:uid="{00000000-0005-0000-0000-000058590000}"/>
    <cellStyle name="Input 2 6 3 8" xfId="23082" xr:uid="{00000000-0005-0000-0000-000059590000}"/>
    <cellStyle name="Input 2 6 4" xfId="23083" xr:uid="{00000000-0005-0000-0000-00005A590000}"/>
    <cellStyle name="Input 2 6 4 2" xfId="23084" xr:uid="{00000000-0005-0000-0000-00005B590000}"/>
    <cellStyle name="Input 2 6 4 2 2" xfId="23085" xr:uid="{00000000-0005-0000-0000-00005C590000}"/>
    <cellStyle name="Input 2 6 4 2 2 2" xfId="23086" xr:uid="{00000000-0005-0000-0000-00005D590000}"/>
    <cellStyle name="Input 2 6 4 2 2 2 2" xfId="23087" xr:uid="{00000000-0005-0000-0000-00005E590000}"/>
    <cellStyle name="Input 2 6 4 2 2 3" xfId="23088" xr:uid="{00000000-0005-0000-0000-00005F590000}"/>
    <cellStyle name="Input 2 6 4 2 2 3 2" xfId="23089" xr:uid="{00000000-0005-0000-0000-000060590000}"/>
    <cellStyle name="Input 2 6 4 2 2 4" xfId="23090" xr:uid="{00000000-0005-0000-0000-000061590000}"/>
    <cellStyle name="Input 2 6 4 2 2 5" xfId="23091" xr:uid="{00000000-0005-0000-0000-000062590000}"/>
    <cellStyle name="Input 2 6 4 2 2 6" xfId="23092" xr:uid="{00000000-0005-0000-0000-000063590000}"/>
    <cellStyle name="Input 2 6 4 2 3" xfId="23093" xr:uid="{00000000-0005-0000-0000-000064590000}"/>
    <cellStyle name="Input 2 6 4 2 3 2" xfId="23094" xr:uid="{00000000-0005-0000-0000-000065590000}"/>
    <cellStyle name="Input 2 6 4 2 4" xfId="23095" xr:uid="{00000000-0005-0000-0000-000066590000}"/>
    <cellStyle name="Input 2 6 4 2 4 2" xfId="23096" xr:uid="{00000000-0005-0000-0000-000067590000}"/>
    <cellStyle name="Input 2 6 4 2 5" xfId="23097" xr:uid="{00000000-0005-0000-0000-000068590000}"/>
    <cellStyle name="Input 2 6 4 2 6" xfId="23098" xr:uid="{00000000-0005-0000-0000-000069590000}"/>
    <cellStyle name="Input 2 6 4 2 7" xfId="23099" xr:uid="{00000000-0005-0000-0000-00006A590000}"/>
    <cellStyle name="Input 2 6 4 3" xfId="23100" xr:uid="{00000000-0005-0000-0000-00006B590000}"/>
    <cellStyle name="Input 2 6 4 3 2" xfId="23101" xr:uid="{00000000-0005-0000-0000-00006C590000}"/>
    <cellStyle name="Input 2 6 4 3 2 2" xfId="23102" xr:uid="{00000000-0005-0000-0000-00006D590000}"/>
    <cellStyle name="Input 2 6 4 3 3" xfId="23103" xr:uid="{00000000-0005-0000-0000-00006E590000}"/>
    <cellStyle name="Input 2 6 4 3 3 2" xfId="23104" xr:uid="{00000000-0005-0000-0000-00006F590000}"/>
    <cellStyle name="Input 2 6 4 3 4" xfId="23105" xr:uid="{00000000-0005-0000-0000-000070590000}"/>
    <cellStyle name="Input 2 6 4 3 5" xfId="23106" xr:uid="{00000000-0005-0000-0000-000071590000}"/>
    <cellStyle name="Input 2 6 4 3 6" xfId="23107" xr:uid="{00000000-0005-0000-0000-000072590000}"/>
    <cellStyle name="Input 2 6 4 4" xfId="23108" xr:uid="{00000000-0005-0000-0000-000073590000}"/>
    <cellStyle name="Input 2 6 4 4 2" xfId="23109" xr:uid="{00000000-0005-0000-0000-000074590000}"/>
    <cellStyle name="Input 2 6 4 5" xfId="23110" xr:uid="{00000000-0005-0000-0000-000075590000}"/>
    <cellStyle name="Input 2 6 4 5 2" xfId="23111" xr:uid="{00000000-0005-0000-0000-000076590000}"/>
    <cellStyle name="Input 2 6 4 6" xfId="23112" xr:uid="{00000000-0005-0000-0000-000077590000}"/>
    <cellStyle name="Input 2 6 4 7" xfId="23113" xr:uid="{00000000-0005-0000-0000-000078590000}"/>
    <cellStyle name="Input 2 6 4 8" xfId="23114" xr:uid="{00000000-0005-0000-0000-000079590000}"/>
    <cellStyle name="Input 2 6 5" xfId="23115" xr:uid="{00000000-0005-0000-0000-00007A590000}"/>
    <cellStyle name="Input 2 6 5 2" xfId="23116" xr:uid="{00000000-0005-0000-0000-00007B590000}"/>
    <cellStyle name="Input 2 6 5 2 2" xfId="23117" xr:uid="{00000000-0005-0000-0000-00007C590000}"/>
    <cellStyle name="Input 2 6 5 2 2 2" xfId="23118" xr:uid="{00000000-0005-0000-0000-00007D590000}"/>
    <cellStyle name="Input 2 6 5 2 3" xfId="23119" xr:uid="{00000000-0005-0000-0000-00007E590000}"/>
    <cellStyle name="Input 2 6 5 2 3 2" xfId="23120" xr:uid="{00000000-0005-0000-0000-00007F590000}"/>
    <cellStyle name="Input 2 6 5 2 4" xfId="23121" xr:uid="{00000000-0005-0000-0000-000080590000}"/>
    <cellStyle name="Input 2 6 5 2 5" xfId="23122" xr:uid="{00000000-0005-0000-0000-000081590000}"/>
    <cellStyle name="Input 2 6 5 2 6" xfId="23123" xr:uid="{00000000-0005-0000-0000-000082590000}"/>
    <cellStyle name="Input 2 6 5 3" xfId="23124" xr:uid="{00000000-0005-0000-0000-000083590000}"/>
    <cellStyle name="Input 2 6 5 3 2" xfId="23125" xr:uid="{00000000-0005-0000-0000-000084590000}"/>
    <cellStyle name="Input 2 6 5 4" xfId="23126" xr:uid="{00000000-0005-0000-0000-000085590000}"/>
    <cellStyle name="Input 2 6 5 4 2" xfId="23127" xr:uid="{00000000-0005-0000-0000-000086590000}"/>
    <cellStyle name="Input 2 6 5 5" xfId="23128" xr:uid="{00000000-0005-0000-0000-000087590000}"/>
    <cellStyle name="Input 2 6 5 6" xfId="23129" xr:uid="{00000000-0005-0000-0000-000088590000}"/>
    <cellStyle name="Input 2 6 5 7" xfId="23130" xr:uid="{00000000-0005-0000-0000-000089590000}"/>
    <cellStyle name="Input 2 6 6" xfId="23131" xr:uid="{00000000-0005-0000-0000-00008A590000}"/>
    <cellStyle name="Input 2 6 6 2" xfId="23132" xr:uid="{00000000-0005-0000-0000-00008B590000}"/>
    <cellStyle name="Input 2 6 6 2 2" xfId="23133" xr:uid="{00000000-0005-0000-0000-00008C590000}"/>
    <cellStyle name="Input 2 6 6 3" xfId="23134" xr:uid="{00000000-0005-0000-0000-00008D590000}"/>
    <cellStyle name="Input 2 6 6 3 2" xfId="23135" xr:uid="{00000000-0005-0000-0000-00008E590000}"/>
    <cellStyle name="Input 2 6 6 4" xfId="23136" xr:uid="{00000000-0005-0000-0000-00008F590000}"/>
    <cellStyle name="Input 2 6 6 5" xfId="23137" xr:uid="{00000000-0005-0000-0000-000090590000}"/>
    <cellStyle name="Input 2 6 6 6" xfId="23138" xr:uid="{00000000-0005-0000-0000-000091590000}"/>
    <cellStyle name="Input 2 6 7" xfId="23139" xr:uid="{00000000-0005-0000-0000-000092590000}"/>
    <cellStyle name="Input 2 6 7 2" xfId="23140" xr:uid="{00000000-0005-0000-0000-000093590000}"/>
    <cellStyle name="Input 2 6 8" xfId="23141" xr:uid="{00000000-0005-0000-0000-000094590000}"/>
    <cellStyle name="Input 2 6 8 2" xfId="23142" xr:uid="{00000000-0005-0000-0000-000095590000}"/>
    <cellStyle name="Input 2 6 9" xfId="23143" xr:uid="{00000000-0005-0000-0000-000096590000}"/>
    <cellStyle name="Input 2 7" xfId="23144" xr:uid="{00000000-0005-0000-0000-000097590000}"/>
    <cellStyle name="Input 2 7 2" xfId="23145" xr:uid="{00000000-0005-0000-0000-000098590000}"/>
    <cellStyle name="Input 2 7 2 2" xfId="23146" xr:uid="{00000000-0005-0000-0000-000099590000}"/>
    <cellStyle name="Input 2 7 2 2 2" xfId="23147" xr:uid="{00000000-0005-0000-0000-00009A590000}"/>
    <cellStyle name="Input 2 7 2 3" xfId="23148" xr:uid="{00000000-0005-0000-0000-00009B590000}"/>
    <cellStyle name="Input 2 7 2 3 2" xfId="23149" xr:uid="{00000000-0005-0000-0000-00009C590000}"/>
    <cellStyle name="Input 2 7 2 4" xfId="23150" xr:uid="{00000000-0005-0000-0000-00009D590000}"/>
    <cellStyle name="Input 2 7 2 5" xfId="23151" xr:uid="{00000000-0005-0000-0000-00009E590000}"/>
    <cellStyle name="Input 2 7 2 6" xfId="23152" xr:uid="{00000000-0005-0000-0000-00009F590000}"/>
    <cellStyle name="Input 2 7 3" xfId="23153" xr:uid="{00000000-0005-0000-0000-0000A0590000}"/>
    <cellStyle name="Input 2 7 3 2" xfId="23154" xr:uid="{00000000-0005-0000-0000-0000A1590000}"/>
    <cellStyle name="Input 2 7 4" xfId="23155" xr:uid="{00000000-0005-0000-0000-0000A2590000}"/>
    <cellStyle name="Input 2 7 4 2" xfId="23156" xr:uid="{00000000-0005-0000-0000-0000A3590000}"/>
    <cellStyle name="Input 2 7 5" xfId="23157" xr:uid="{00000000-0005-0000-0000-0000A4590000}"/>
    <cellStyle name="Input 2 7 6" xfId="23158" xr:uid="{00000000-0005-0000-0000-0000A5590000}"/>
    <cellStyle name="Input 2 7 7" xfId="23159" xr:uid="{00000000-0005-0000-0000-0000A6590000}"/>
    <cellStyle name="Input 2 8" xfId="23160" xr:uid="{00000000-0005-0000-0000-0000A7590000}"/>
    <cellStyle name="Input 2 8 2" xfId="23161" xr:uid="{00000000-0005-0000-0000-0000A8590000}"/>
    <cellStyle name="Input 2 9" xfId="23162" xr:uid="{00000000-0005-0000-0000-0000A9590000}"/>
    <cellStyle name="Input 2 9 2" xfId="23163" xr:uid="{00000000-0005-0000-0000-0000AA590000}"/>
    <cellStyle name="Input 20" xfId="23164" xr:uid="{00000000-0005-0000-0000-0000AB590000}"/>
    <cellStyle name="Input 20 10" xfId="23165" xr:uid="{00000000-0005-0000-0000-0000AC590000}"/>
    <cellStyle name="Input 20 11" xfId="23166" xr:uid="{00000000-0005-0000-0000-0000AD590000}"/>
    <cellStyle name="Input 20 12" xfId="23167" xr:uid="{00000000-0005-0000-0000-0000AE590000}"/>
    <cellStyle name="Input 20 2" xfId="23168" xr:uid="{00000000-0005-0000-0000-0000AF590000}"/>
    <cellStyle name="Input 20 2 10" xfId="23169" xr:uid="{00000000-0005-0000-0000-0000B0590000}"/>
    <cellStyle name="Input 20 2 11" xfId="23170" xr:uid="{00000000-0005-0000-0000-0000B1590000}"/>
    <cellStyle name="Input 20 2 2" xfId="23171" xr:uid="{00000000-0005-0000-0000-0000B2590000}"/>
    <cellStyle name="Input 20 2 2 10" xfId="23172" xr:uid="{00000000-0005-0000-0000-0000B3590000}"/>
    <cellStyle name="Input 20 2 2 2" xfId="23173" xr:uid="{00000000-0005-0000-0000-0000B4590000}"/>
    <cellStyle name="Input 20 2 2 2 2" xfId="23174" xr:uid="{00000000-0005-0000-0000-0000B5590000}"/>
    <cellStyle name="Input 20 2 2 2 2 2" xfId="23175" xr:uid="{00000000-0005-0000-0000-0000B6590000}"/>
    <cellStyle name="Input 20 2 2 2 2 2 2" xfId="23176" xr:uid="{00000000-0005-0000-0000-0000B7590000}"/>
    <cellStyle name="Input 20 2 2 2 2 2 2 2" xfId="23177" xr:uid="{00000000-0005-0000-0000-0000B8590000}"/>
    <cellStyle name="Input 20 2 2 2 2 2 3" xfId="23178" xr:uid="{00000000-0005-0000-0000-0000B9590000}"/>
    <cellStyle name="Input 20 2 2 2 2 2 3 2" xfId="23179" xr:uid="{00000000-0005-0000-0000-0000BA590000}"/>
    <cellStyle name="Input 20 2 2 2 2 2 4" xfId="23180" xr:uid="{00000000-0005-0000-0000-0000BB590000}"/>
    <cellStyle name="Input 20 2 2 2 2 2 5" xfId="23181" xr:uid="{00000000-0005-0000-0000-0000BC590000}"/>
    <cellStyle name="Input 20 2 2 2 2 2 6" xfId="23182" xr:uid="{00000000-0005-0000-0000-0000BD590000}"/>
    <cellStyle name="Input 20 2 2 2 2 3" xfId="23183" xr:uid="{00000000-0005-0000-0000-0000BE590000}"/>
    <cellStyle name="Input 20 2 2 2 2 3 2" xfId="23184" xr:uid="{00000000-0005-0000-0000-0000BF590000}"/>
    <cellStyle name="Input 20 2 2 2 2 4" xfId="23185" xr:uid="{00000000-0005-0000-0000-0000C0590000}"/>
    <cellStyle name="Input 20 2 2 2 2 4 2" xfId="23186" xr:uid="{00000000-0005-0000-0000-0000C1590000}"/>
    <cellStyle name="Input 20 2 2 2 2 5" xfId="23187" xr:uid="{00000000-0005-0000-0000-0000C2590000}"/>
    <cellStyle name="Input 20 2 2 2 2 6" xfId="23188" xr:uid="{00000000-0005-0000-0000-0000C3590000}"/>
    <cellStyle name="Input 20 2 2 2 2 7" xfId="23189" xr:uid="{00000000-0005-0000-0000-0000C4590000}"/>
    <cellStyle name="Input 20 2 2 2 3" xfId="23190" xr:uid="{00000000-0005-0000-0000-0000C5590000}"/>
    <cellStyle name="Input 20 2 2 2 3 2" xfId="23191" xr:uid="{00000000-0005-0000-0000-0000C6590000}"/>
    <cellStyle name="Input 20 2 2 2 3 2 2" xfId="23192" xr:uid="{00000000-0005-0000-0000-0000C7590000}"/>
    <cellStyle name="Input 20 2 2 2 3 3" xfId="23193" xr:uid="{00000000-0005-0000-0000-0000C8590000}"/>
    <cellStyle name="Input 20 2 2 2 3 3 2" xfId="23194" xr:uid="{00000000-0005-0000-0000-0000C9590000}"/>
    <cellStyle name="Input 20 2 2 2 3 4" xfId="23195" xr:uid="{00000000-0005-0000-0000-0000CA590000}"/>
    <cellStyle name="Input 20 2 2 2 3 5" xfId="23196" xr:uid="{00000000-0005-0000-0000-0000CB590000}"/>
    <cellStyle name="Input 20 2 2 2 3 6" xfId="23197" xr:uid="{00000000-0005-0000-0000-0000CC590000}"/>
    <cellStyle name="Input 20 2 2 2 4" xfId="23198" xr:uid="{00000000-0005-0000-0000-0000CD590000}"/>
    <cellStyle name="Input 20 2 2 2 4 2" xfId="23199" xr:uid="{00000000-0005-0000-0000-0000CE590000}"/>
    <cellStyle name="Input 20 2 2 2 5" xfId="23200" xr:uid="{00000000-0005-0000-0000-0000CF590000}"/>
    <cellStyle name="Input 20 2 2 2 5 2" xfId="23201" xr:uid="{00000000-0005-0000-0000-0000D0590000}"/>
    <cellStyle name="Input 20 2 2 2 6" xfId="23202" xr:uid="{00000000-0005-0000-0000-0000D1590000}"/>
    <cellStyle name="Input 20 2 2 2 7" xfId="23203" xr:uid="{00000000-0005-0000-0000-0000D2590000}"/>
    <cellStyle name="Input 20 2 2 2 8" xfId="23204" xr:uid="{00000000-0005-0000-0000-0000D3590000}"/>
    <cellStyle name="Input 20 2 2 3" xfId="23205" xr:uid="{00000000-0005-0000-0000-0000D4590000}"/>
    <cellStyle name="Input 20 2 2 3 2" xfId="23206" xr:uid="{00000000-0005-0000-0000-0000D5590000}"/>
    <cellStyle name="Input 20 2 2 3 2 2" xfId="23207" xr:uid="{00000000-0005-0000-0000-0000D6590000}"/>
    <cellStyle name="Input 20 2 2 3 2 2 2" xfId="23208" xr:uid="{00000000-0005-0000-0000-0000D7590000}"/>
    <cellStyle name="Input 20 2 2 3 2 2 2 2" xfId="23209" xr:uid="{00000000-0005-0000-0000-0000D8590000}"/>
    <cellStyle name="Input 20 2 2 3 2 2 3" xfId="23210" xr:uid="{00000000-0005-0000-0000-0000D9590000}"/>
    <cellStyle name="Input 20 2 2 3 2 2 3 2" xfId="23211" xr:uid="{00000000-0005-0000-0000-0000DA590000}"/>
    <cellStyle name="Input 20 2 2 3 2 2 4" xfId="23212" xr:uid="{00000000-0005-0000-0000-0000DB590000}"/>
    <cellStyle name="Input 20 2 2 3 2 2 5" xfId="23213" xr:uid="{00000000-0005-0000-0000-0000DC590000}"/>
    <cellStyle name="Input 20 2 2 3 2 2 6" xfId="23214" xr:uid="{00000000-0005-0000-0000-0000DD590000}"/>
    <cellStyle name="Input 20 2 2 3 2 3" xfId="23215" xr:uid="{00000000-0005-0000-0000-0000DE590000}"/>
    <cellStyle name="Input 20 2 2 3 2 3 2" xfId="23216" xr:uid="{00000000-0005-0000-0000-0000DF590000}"/>
    <cellStyle name="Input 20 2 2 3 2 4" xfId="23217" xr:uid="{00000000-0005-0000-0000-0000E0590000}"/>
    <cellStyle name="Input 20 2 2 3 2 4 2" xfId="23218" xr:uid="{00000000-0005-0000-0000-0000E1590000}"/>
    <cellStyle name="Input 20 2 2 3 2 5" xfId="23219" xr:uid="{00000000-0005-0000-0000-0000E2590000}"/>
    <cellStyle name="Input 20 2 2 3 2 6" xfId="23220" xr:uid="{00000000-0005-0000-0000-0000E3590000}"/>
    <cellStyle name="Input 20 2 2 3 2 7" xfId="23221" xr:uid="{00000000-0005-0000-0000-0000E4590000}"/>
    <cellStyle name="Input 20 2 2 3 3" xfId="23222" xr:uid="{00000000-0005-0000-0000-0000E5590000}"/>
    <cellStyle name="Input 20 2 2 3 3 2" xfId="23223" xr:uid="{00000000-0005-0000-0000-0000E6590000}"/>
    <cellStyle name="Input 20 2 2 3 3 2 2" xfId="23224" xr:uid="{00000000-0005-0000-0000-0000E7590000}"/>
    <cellStyle name="Input 20 2 2 3 3 3" xfId="23225" xr:uid="{00000000-0005-0000-0000-0000E8590000}"/>
    <cellStyle name="Input 20 2 2 3 3 3 2" xfId="23226" xr:uid="{00000000-0005-0000-0000-0000E9590000}"/>
    <cellStyle name="Input 20 2 2 3 3 4" xfId="23227" xr:uid="{00000000-0005-0000-0000-0000EA590000}"/>
    <cellStyle name="Input 20 2 2 3 3 5" xfId="23228" xr:uid="{00000000-0005-0000-0000-0000EB590000}"/>
    <cellStyle name="Input 20 2 2 3 3 6" xfId="23229" xr:uid="{00000000-0005-0000-0000-0000EC590000}"/>
    <cellStyle name="Input 20 2 2 3 4" xfId="23230" xr:uid="{00000000-0005-0000-0000-0000ED590000}"/>
    <cellStyle name="Input 20 2 2 3 4 2" xfId="23231" xr:uid="{00000000-0005-0000-0000-0000EE590000}"/>
    <cellStyle name="Input 20 2 2 3 5" xfId="23232" xr:uid="{00000000-0005-0000-0000-0000EF590000}"/>
    <cellStyle name="Input 20 2 2 3 5 2" xfId="23233" xr:uid="{00000000-0005-0000-0000-0000F0590000}"/>
    <cellStyle name="Input 20 2 2 3 6" xfId="23234" xr:uid="{00000000-0005-0000-0000-0000F1590000}"/>
    <cellStyle name="Input 20 2 2 3 7" xfId="23235" xr:uid="{00000000-0005-0000-0000-0000F2590000}"/>
    <cellStyle name="Input 20 2 2 3 8" xfId="23236" xr:uid="{00000000-0005-0000-0000-0000F3590000}"/>
    <cellStyle name="Input 20 2 2 4" xfId="23237" xr:uid="{00000000-0005-0000-0000-0000F4590000}"/>
    <cellStyle name="Input 20 2 2 4 2" xfId="23238" xr:uid="{00000000-0005-0000-0000-0000F5590000}"/>
    <cellStyle name="Input 20 2 2 4 2 2" xfId="23239" xr:uid="{00000000-0005-0000-0000-0000F6590000}"/>
    <cellStyle name="Input 20 2 2 4 2 2 2" xfId="23240" xr:uid="{00000000-0005-0000-0000-0000F7590000}"/>
    <cellStyle name="Input 20 2 2 4 2 3" xfId="23241" xr:uid="{00000000-0005-0000-0000-0000F8590000}"/>
    <cellStyle name="Input 20 2 2 4 2 3 2" xfId="23242" xr:uid="{00000000-0005-0000-0000-0000F9590000}"/>
    <cellStyle name="Input 20 2 2 4 2 4" xfId="23243" xr:uid="{00000000-0005-0000-0000-0000FA590000}"/>
    <cellStyle name="Input 20 2 2 4 2 5" xfId="23244" xr:uid="{00000000-0005-0000-0000-0000FB590000}"/>
    <cellStyle name="Input 20 2 2 4 2 6" xfId="23245" xr:uid="{00000000-0005-0000-0000-0000FC590000}"/>
    <cellStyle name="Input 20 2 2 4 3" xfId="23246" xr:uid="{00000000-0005-0000-0000-0000FD590000}"/>
    <cellStyle name="Input 20 2 2 4 3 2" xfId="23247" xr:uid="{00000000-0005-0000-0000-0000FE590000}"/>
    <cellStyle name="Input 20 2 2 4 4" xfId="23248" xr:uid="{00000000-0005-0000-0000-0000FF590000}"/>
    <cellStyle name="Input 20 2 2 4 4 2" xfId="23249" xr:uid="{00000000-0005-0000-0000-0000005A0000}"/>
    <cellStyle name="Input 20 2 2 4 5" xfId="23250" xr:uid="{00000000-0005-0000-0000-0000015A0000}"/>
    <cellStyle name="Input 20 2 2 4 6" xfId="23251" xr:uid="{00000000-0005-0000-0000-0000025A0000}"/>
    <cellStyle name="Input 20 2 2 4 7" xfId="23252" xr:uid="{00000000-0005-0000-0000-0000035A0000}"/>
    <cellStyle name="Input 20 2 2 5" xfId="23253" xr:uid="{00000000-0005-0000-0000-0000045A0000}"/>
    <cellStyle name="Input 20 2 2 5 2" xfId="23254" xr:uid="{00000000-0005-0000-0000-0000055A0000}"/>
    <cellStyle name="Input 20 2 2 5 2 2" xfId="23255" xr:uid="{00000000-0005-0000-0000-0000065A0000}"/>
    <cellStyle name="Input 20 2 2 5 3" xfId="23256" xr:uid="{00000000-0005-0000-0000-0000075A0000}"/>
    <cellStyle name="Input 20 2 2 5 3 2" xfId="23257" xr:uid="{00000000-0005-0000-0000-0000085A0000}"/>
    <cellStyle name="Input 20 2 2 5 4" xfId="23258" xr:uid="{00000000-0005-0000-0000-0000095A0000}"/>
    <cellStyle name="Input 20 2 2 5 5" xfId="23259" xr:uid="{00000000-0005-0000-0000-00000A5A0000}"/>
    <cellStyle name="Input 20 2 2 5 6" xfId="23260" xr:uid="{00000000-0005-0000-0000-00000B5A0000}"/>
    <cellStyle name="Input 20 2 2 6" xfId="23261" xr:uid="{00000000-0005-0000-0000-00000C5A0000}"/>
    <cellStyle name="Input 20 2 2 6 2" xfId="23262" xr:uid="{00000000-0005-0000-0000-00000D5A0000}"/>
    <cellStyle name="Input 20 2 2 7" xfId="23263" xr:uid="{00000000-0005-0000-0000-00000E5A0000}"/>
    <cellStyle name="Input 20 2 2 7 2" xfId="23264" xr:uid="{00000000-0005-0000-0000-00000F5A0000}"/>
    <cellStyle name="Input 20 2 2 8" xfId="23265" xr:uid="{00000000-0005-0000-0000-0000105A0000}"/>
    <cellStyle name="Input 20 2 2 9" xfId="23266" xr:uid="{00000000-0005-0000-0000-0000115A0000}"/>
    <cellStyle name="Input 20 2 3" xfId="23267" xr:uid="{00000000-0005-0000-0000-0000125A0000}"/>
    <cellStyle name="Input 20 2 3 2" xfId="23268" xr:uid="{00000000-0005-0000-0000-0000135A0000}"/>
    <cellStyle name="Input 20 2 3 2 2" xfId="23269" xr:uid="{00000000-0005-0000-0000-0000145A0000}"/>
    <cellStyle name="Input 20 2 3 2 2 2" xfId="23270" xr:uid="{00000000-0005-0000-0000-0000155A0000}"/>
    <cellStyle name="Input 20 2 3 2 2 2 2" xfId="23271" xr:uid="{00000000-0005-0000-0000-0000165A0000}"/>
    <cellStyle name="Input 20 2 3 2 2 3" xfId="23272" xr:uid="{00000000-0005-0000-0000-0000175A0000}"/>
    <cellStyle name="Input 20 2 3 2 2 3 2" xfId="23273" xr:uid="{00000000-0005-0000-0000-0000185A0000}"/>
    <cellStyle name="Input 20 2 3 2 2 4" xfId="23274" xr:uid="{00000000-0005-0000-0000-0000195A0000}"/>
    <cellStyle name="Input 20 2 3 2 2 5" xfId="23275" xr:uid="{00000000-0005-0000-0000-00001A5A0000}"/>
    <cellStyle name="Input 20 2 3 2 2 6" xfId="23276" xr:uid="{00000000-0005-0000-0000-00001B5A0000}"/>
    <cellStyle name="Input 20 2 3 2 3" xfId="23277" xr:uid="{00000000-0005-0000-0000-00001C5A0000}"/>
    <cellStyle name="Input 20 2 3 2 3 2" xfId="23278" xr:uid="{00000000-0005-0000-0000-00001D5A0000}"/>
    <cellStyle name="Input 20 2 3 2 4" xfId="23279" xr:uid="{00000000-0005-0000-0000-00001E5A0000}"/>
    <cellStyle name="Input 20 2 3 2 4 2" xfId="23280" xr:uid="{00000000-0005-0000-0000-00001F5A0000}"/>
    <cellStyle name="Input 20 2 3 2 5" xfId="23281" xr:uid="{00000000-0005-0000-0000-0000205A0000}"/>
    <cellStyle name="Input 20 2 3 2 6" xfId="23282" xr:uid="{00000000-0005-0000-0000-0000215A0000}"/>
    <cellStyle name="Input 20 2 3 2 7" xfId="23283" xr:uid="{00000000-0005-0000-0000-0000225A0000}"/>
    <cellStyle name="Input 20 2 3 3" xfId="23284" xr:uid="{00000000-0005-0000-0000-0000235A0000}"/>
    <cellStyle name="Input 20 2 3 3 2" xfId="23285" xr:uid="{00000000-0005-0000-0000-0000245A0000}"/>
    <cellStyle name="Input 20 2 3 3 2 2" xfId="23286" xr:uid="{00000000-0005-0000-0000-0000255A0000}"/>
    <cellStyle name="Input 20 2 3 3 3" xfId="23287" xr:uid="{00000000-0005-0000-0000-0000265A0000}"/>
    <cellStyle name="Input 20 2 3 3 3 2" xfId="23288" xr:uid="{00000000-0005-0000-0000-0000275A0000}"/>
    <cellStyle name="Input 20 2 3 3 4" xfId="23289" xr:uid="{00000000-0005-0000-0000-0000285A0000}"/>
    <cellStyle name="Input 20 2 3 3 5" xfId="23290" xr:uid="{00000000-0005-0000-0000-0000295A0000}"/>
    <cellStyle name="Input 20 2 3 3 6" xfId="23291" xr:uid="{00000000-0005-0000-0000-00002A5A0000}"/>
    <cellStyle name="Input 20 2 3 4" xfId="23292" xr:uid="{00000000-0005-0000-0000-00002B5A0000}"/>
    <cellStyle name="Input 20 2 3 4 2" xfId="23293" xr:uid="{00000000-0005-0000-0000-00002C5A0000}"/>
    <cellStyle name="Input 20 2 3 5" xfId="23294" xr:uid="{00000000-0005-0000-0000-00002D5A0000}"/>
    <cellStyle name="Input 20 2 3 5 2" xfId="23295" xr:uid="{00000000-0005-0000-0000-00002E5A0000}"/>
    <cellStyle name="Input 20 2 3 6" xfId="23296" xr:uid="{00000000-0005-0000-0000-00002F5A0000}"/>
    <cellStyle name="Input 20 2 3 7" xfId="23297" xr:uid="{00000000-0005-0000-0000-0000305A0000}"/>
    <cellStyle name="Input 20 2 3 8" xfId="23298" xr:uid="{00000000-0005-0000-0000-0000315A0000}"/>
    <cellStyle name="Input 20 2 4" xfId="23299" xr:uid="{00000000-0005-0000-0000-0000325A0000}"/>
    <cellStyle name="Input 20 2 4 2" xfId="23300" xr:uid="{00000000-0005-0000-0000-0000335A0000}"/>
    <cellStyle name="Input 20 2 4 2 2" xfId="23301" xr:uid="{00000000-0005-0000-0000-0000345A0000}"/>
    <cellStyle name="Input 20 2 4 2 2 2" xfId="23302" xr:uid="{00000000-0005-0000-0000-0000355A0000}"/>
    <cellStyle name="Input 20 2 4 2 2 2 2" xfId="23303" xr:uid="{00000000-0005-0000-0000-0000365A0000}"/>
    <cellStyle name="Input 20 2 4 2 2 3" xfId="23304" xr:uid="{00000000-0005-0000-0000-0000375A0000}"/>
    <cellStyle name="Input 20 2 4 2 2 3 2" xfId="23305" xr:uid="{00000000-0005-0000-0000-0000385A0000}"/>
    <cellStyle name="Input 20 2 4 2 2 4" xfId="23306" xr:uid="{00000000-0005-0000-0000-0000395A0000}"/>
    <cellStyle name="Input 20 2 4 2 2 5" xfId="23307" xr:uid="{00000000-0005-0000-0000-00003A5A0000}"/>
    <cellStyle name="Input 20 2 4 2 2 6" xfId="23308" xr:uid="{00000000-0005-0000-0000-00003B5A0000}"/>
    <cellStyle name="Input 20 2 4 2 3" xfId="23309" xr:uid="{00000000-0005-0000-0000-00003C5A0000}"/>
    <cellStyle name="Input 20 2 4 2 3 2" xfId="23310" xr:uid="{00000000-0005-0000-0000-00003D5A0000}"/>
    <cellStyle name="Input 20 2 4 2 4" xfId="23311" xr:uid="{00000000-0005-0000-0000-00003E5A0000}"/>
    <cellStyle name="Input 20 2 4 2 4 2" xfId="23312" xr:uid="{00000000-0005-0000-0000-00003F5A0000}"/>
    <cellStyle name="Input 20 2 4 2 5" xfId="23313" xr:uid="{00000000-0005-0000-0000-0000405A0000}"/>
    <cellStyle name="Input 20 2 4 2 6" xfId="23314" xr:uid="{00000000-0005-0000-0000-0000415A0000}"/>
    <cellStyle name="Input 20 2 4 2 7" xfId="23315" xr:uid="{00000000-0005-0000-0000-0000425A0000}"/>
    <cellStyle name="Input 20 2 4 3" xfId="23316" xr:uid="{00000000-0005-0000-0000-0000435A0000}"/>
    <cellStyle name="Input 20 2 4 3 2" xfId="23317" xr:uid="{00000000-0005-0000-0000-0000445A0000}"/>
    <cellStyle name="Input 20 2 4 3 2 2" xfId="23318" xr:uid="{00000000-0005-0000-0000-0000455A0000}"/>
    <cellStyle name="Input 20 2 4 3 3" xfId="23319" xr:uid="{00000000-0005-0000-0000-0000465A0000}"/>
    <cellStyle name="Input 20 2 4 3 3 2" xfId="23320" xr:uid="{00000000-0005-0000-0000-0000475A0000}"/>
    <cellStyle name="Input 20 2 4 3 4" xfId="23321" xr:uid="{00000000-0005-0000-0000-0000485A0000}"/>
    <cellStyle name="Input 20 2 4 3 5" xfId="23322" xr:uid="{00000000-0005-0000-0000-0000495A0000}"/>
    <cellStyle name="Input 20 2 4 3 6" xfId="23323" xr:uid="{00000000-0005-0000-0000-00004A5A0000}"/>
    <cellStyle name="Input 20 2 4 4" xfId="23324" xr:uid="{00000000-0005-0000-0000-00004B5A0000}"/>
    <cellStyle name="Input 20 2 4 4 2" xfId="23325" xr:uid="{00000000-0005-0000-0000-00004C5A0000}"/>
    <cellStyle name="Input 20 2 4 5" xfId="23326" xr:uid="{00000000-0005-0000-0000-00004D5A0000}"/>
    <cellStyle name="Input 20 2 4 5 2" xfId="23327" xr:uid="{00000000-0005-0000-0000-00004E5A0000}"/>
    <cellStyle name="Input 20 2 4 6" xfId="23328" xr:uid="{00000000-0005-0000-0000-00004F5A0000}"/>
    <cellStyle name="Input 20 2 4 7" xfId="23329" xr:uid="{00000000-0005-0000-0000-0000505A0000}"/>
    <cellStyle name="Input 20 2 4 8" xfId="23330" xr:uid="{00000000-0005-0000-0000-0000515A0000}"/>
    <cellStyle name="Input 20 2 5" xfId="23331" xr:uid="{00000000-0005-0000-0000-0000525A0000}"/>
    <cellStyle name="Input 20 2 5 2" xfId="23332" xr:uid="{00000000-0005-0000-0000-0000535A0000}"/>
    <cellStyle name="Input 20 2 5 2 2" xfId="23333" xr:uid="{00000000-0005-0000-0000-0000545A0000}"/>
    <cellStyle name="Input 20 2 5 2 2 2" xfId="23334" xr:uid="{00000000-0005-0000-0000-0000555A0000}"/>
    <cellStyle name="Input 20 2 5 2 3" xfId="23335" xr:uid="{00000000-0005-0000-0000-0000565A0000}"/>
    <cellStyle name="Input 20 2 5 2 3 2" xfId="23336" xr:uid="{00000000-0005-0000-0000-0000575A0000}"/>
    <cellStyle name="Input 20 2 5 2 4" xfId="23337" xr:uid="{00000000-0005-0000-0000-0000585A0000}"/>
    <cellStyle name="Input 20 2 5 2 5" xfId="23338" xr:uid="{00000000-0005-0000-0000-0000595A0000}"/>
    <cellStyle name="Input 20 2 5 2 6" xfId="23339" xr:uid="{00000000-0005-0000-0000-00005A5A0000}"/>
    <cellStyle name="Input 20 2 5 3" xfId="23340" xr:uid="{00000000-0005-0000-0000-00005B5A0000}"/>
    <cellStyle name="Input 20 2 5 3 2" xfId="23341" xr:uid="{00000000-0005-0000-0000-00005C5A0000}"/>
    <cellStyle name="Input 20 2 5 4" xfId="23342" xr:uid="{00000000-0005-0000-0000-00005D5A0000}"/>
    <cellStyle name="Input 20 2 5 4 2" xfId="23343" xr:uid="{00000000-0005-0000-0000-00005E5A0000}"/>
    <cellStyle name="Input 20 2 5 5" xfId="23344" xr:uid="{00000000-0005-0000-0000-00005F5A0000}"/>
    <cellStyle name="Input 20 2 5 6" xfId="23345" xr:uid="{00000000-0005-0000-0000-0000605A0000}"/>
    <cellStyle name="Input 20 2 5 7" xfId="23346" xr:uid="{00000000-0005-0000-0000-0000615A0000}"/>
    <cellStyle name="Input 20 2 6" xfId="23347" xr:uid="{00000000-0005-0000-0000-0000625A0000}"/>
    <cellStyle name="Input 20 2 6 2" xfId="23348" xr:uid="{00000000-0005-0000-0000-0000635A0000}"/>
    <cellStyle name="Input 20 2 6 2 2" xfId="23349" xr:uid="{00000000-0005-0000-0000-0000645A0000}"/>
    <cellStyle name="Input 20 2 6 3" xfId="23350" xr:uid="{00000000-0005-0000-0000-0000655A0000}"/>
    <cellStyle name="Input 20 2 6 3 2" xfId="23351" xr:uid="{00000000-0005-0000-0000-0000665A0000}"/>
    <cellStyle name="Input 20 2 6 4" xfId="23352" xr:uid="{00000000-0005-0000-0000-0000675A0000}"/>
    <cellStyle name="Input 20 2 6 5" xfId="23353" xr:uid="{00000000-0005-0000-0000-0000685A0000}"/>
    <cellStyle name="Input 20 2 6 6" xfId="23354" xr:uid="{00000000-0005-0000-0000-0000695A0000}"/>
    <cellStyle name="Input 20 2 7" xfId="23355" xr:uid="{00000000-0005-0000-0000-00006A5A0000}"/>
    <cellStyle name="Input 20 2 7 2" xfId="23356" xr:uid="{00000000-0005-0000-0000-00006B5A0000}"/>
    <cellStyle name="Input 20 2 8" xfId="23357" xr:uid="{00000000-0005-0000-0000-00006C5A0000}"/>
    <cellStyle name="Input 20 2 8 2" xfId="23358" xr:uid="{00000000-0005-0000-0000-00006D5A0000}"/>
    <cellStyle name="Input 20 2 9" xfId="23359" xr:uid="{00000000-0005-0000-0000-00006E5A0000}"/>
    <cellStyle name="Input 20 3" xfId="23360" xr:uid="{00000000-0005-0000-0000-00006F5A0000}"/>
    <cellStyle name="Input 20 3 10" xfId="23361" xr:uid="{00000000-0005-0000-0000-0000705A0000}"/>
    <cellStyle name="Input 20 3 2" xfId="23362" xr:uid="{00000000-0005-0000-0000-0000715A0000}"/>
    <cellStyle name="Input 20 3 2 10" xfId="23363" xr:uid="{00000000-0005-0000-0000-0000725A0000}"/>
    <cellStyle name="Input 20 3 2 2" xfId="23364" xr:uid="{00000000-0005-0000-0000-0000735A0000}"/>
    <cellStyle name="Input 20 3 2 2 2" xfId="23365" xr:uid="{00000000-0005-0000-0000-0000745A0000}"/>
    <cellStyle name="Input 20 3 2 2 2 2" xfId="23366" xr:uid="{00000000-0005-0000-0000-0000755A0000}"/>
    <cellStyle name="Input 20 3 2 2 2 2 2" xfId="23367" xr:uid="{00000000-0005-0000-0000-0000765A0000}"/>
    <cellStyle name="Input 20 3 2 2 2 2 2 2" xfId="23368" xr:uid="{00000000-0005-0000-0000-0000775A0000}"/>
    <cellStyle name="Input 20 3 2 2 2 2 3" xfId="23369" xr:uid="{00000000-0005-0000-0000-0000785A0000}"/>
    <cellStyle name="Input 20 3 2 2 2 2 3 2" xfId="23370" xr:uid="{00000000-0005-0000-0000-0000795A0000}"/>
    <cellStyle name="Input 20 3 2 2 2 2 4" xfId="23371" xr:uid="{00000000-0005-0000-0000-00007A5A0000}"/>
    <cellStyle name="Input 20 3 2 2 2 2 5" xfId="23372" xr:uid="{00000000-0005-0000-0000-00007B5A0000}"/>
    <cellStyle name="Input 20 3 2 2 2 2 6" xfId="23373" xr:uid="{00000000-0005-0000-0000-00007C5A0000}"/>
    <cellStyle name="Input 20 3 2 2 2 3" xfId="23374" xr:uid="{00000000-0005-0000-0000-00007D5A0000}"/>
    <cellStyle name="Input 20 3 2 2 2 3 2" xfId="23375" xr:uid="{00000000-0005-0000-0000-00007E5A0000}"/>
    <cellStyle name="Input 20 3 2 2 2 4" xfId="23376" xr:uid="{00000000-0005-0000-0000-00007F5A0000}"/>
    <cellStyle name="Input 20 3 2 2 2 4 2" xfId="23377" xr:uid="{00000000-0005-0000-0000-0000805A0000}"/>
    <cellStyle name="Input 20 3 2 2 2 5" xfId="23378" xr:uid="{00000000-0005-0000-0000-0000815A0000}"/>
    <cellStyle name="Input 20 3 2 2 2 6" xfId="23379" xr:uid="{00000000-0005-0000-0000-0000825A0000}"/>
    <cellStyle name="Input 20 3 2 2 2 7" xfId="23380" xr:uid="{00000000-0005-0000-0000-0000835A0000}"/>
    <cellStyle name="Input 20 3 2 2 3" xfId="23381" xr:uid="{00000000-0005-0000-0000-0000845A0000}"/>
    <cellStyle name="Input 20 3 2 2 3 2" xfId="23382" xr:uid="{00000000-0005-0000-0000-0000855A0000}"/>
    <cellStyle name="Input 20 3 2 2 3 2 2" xfId="23383" xr:uid="{00000000-0005-0000-0000-0000865A0000}"/>
    <cellStyle name="Input 20 3 2 2 3 3" xfId="23384" xr:uid="{00000000-0005-0000-0000-0000875A0000}"/>
    <cellStyle name="Input 20 3 2 2 3 3 2" xfId="23385" xr:uid="{00000000-0005-0000-0000-0000885A0000}"/>
    <cellStyle name="Input 20 3 2 2 3 4" xfId="23386" xr:uid="{00000000-0005-0000-0000-0000895A0000}"/>
    <cellStyle name="Input 20 3 2 2 3 5" xfId="23387" xr:uid="{00000000-0005-0000-0000-00008A5A0000}"/>
    <cellStyle name="Input 20 3 2 2 3 6" xfId="23388" xr:uid="{00000000-0005-0000-0000-00008B5A0000}"/>
    <cellStyle name="Input 20 3 2 2 4" xfId="23389" xr:uid="{00000000-0005-0000-0000-00008C5A0000}"/>
    <cellStyle name="Input 20 3 2 2 4 2" xfId="23390" xr:uid="{00000000-0005-0000-0000-00008D5A0000}"/>
    <cellStyle name="Input 20 3 2 2 5" xfId="23391" xr:uid="{00000000-0005-0000-0000-00008E5A0000}"/>
    <cellStyle name="Input 20 3 2 2 5 2" xfId="23392" xr:uid="{00000000-0005-0000-0000-00008F5A0000}"/>
    <cellStyle name="Input 20 3 2 2 6" xfId="23393" xr:uid="{00000000-0005-0000-0000-0000905A0000}"/>
    <cellStyle name="Input 20 3 2 2 7" xfId="23394" xr:uid="{00000000-0005-0000-0000-0000915A0000}"/>
    <cellStyle name="Input 20 3 2 2 8" xfId="23395" xr:uid="{00000000-0005-0000-0000-0000925A0000}"/>
    <cellStyle name="Input 20 3 2 3" xfId="23396" xr:uid="{00000000-0005-0000-0000-0000935A0000}"/>
    <cellStyle name="Input 20 3 2 3 2" xfId="23397" xr:uid="{00000000-0005-0000-0000-0000945A0000}"/>
    <cellStyle name="Input 20 3 2 3 2 2" xfId="23398" xr:uid="{00000000-0005-0000-0000-0000955A0000}"/>
    <cellStyle name="Input 20 3 2 3 2 2 2" xfId="23399" xr:uid="{00000000-0005-0000-0000-0000965A0000}"/>
    <cellStyle name="Input 20 3 2 3 2 2 2 2" xfId="23400" xr:uid="{00000000-0005-0000-0000-0000975A0000}"/>
    <cellStyle name="Input 20 3 2 3 2 2 3" xfId="23401" xr:uid="{00000000-0005-0000-0000-0000985A0000}"/>
    <cellStyle name="Input 20 3 2 3 2 2 3 2" xfId="23402" xr:uid="{00000000-0005-0000-0000-0000995A0000}"/>
    <cellStyle name="Input 20 3 2 3 2 2 4" xfId="23403" xr:uid="{00000000-0005-0000-0000-00009A5A0000}"/>
    <cellStyle name="Input 20 3 2 3 2 2 5" xfId="23404" xr:uid="{00000000-0005-0000-0000-00009B5A0000}"/>
    <cellStyle name="Input 20 3 2 3 2 2 6" xfId="23405" xr:uid="{00000000-0005-0000-0000-00009C5A0000}"/>
    <cellStyle name="Input 20 3 2 3 2 3" xfId="23406" xr:uid="{00000000-0005-0000-0000-00009D5A0000}"/>
    <cellStyle name="Input 20 3 2 3 2 3 2" xfId="23407" xr:uid="{00000000-0005-0000-0000-00009E5A0000}"/>
    <cellStyle name="Input 20 3 2 3 2 4" xfId="23408" xr:uid="{00000000-0005-0000-0000-00009F5A0000}"/>
    <cellStyle name="Input 20 3 2 3 2 4 2" xfId="23409" xr:uid="{00000000-0005-0000-0000-0000A05A0000}"/>
    <cellStyle name="Input 20 3 2 3 2 5" xfId="23410" xr:uid="{00000000-0005-0000-0000-0000A15A0000}"/>
    <cellStyle name="Input 20 3 2 3 2 6" xfId="23411" xr:uid="{00000000-0005-0000-0000-0000A25A0000}"/>
    <cellStyle name="Input 20 3 2 3 2 7" xfId="23412" xr:uid="{00000000-0005-0000-0000-0000A35A0000}"/>
    <cellStyle name="Input 20 3 2 3 3" xfId="23413" xr:uid="{00000000-0005-0000-0000-0000A45A0000}"/>
    <cellStyle name="Input 20 3 2 3 3 2" xfId="23414" xr:uid="{00000000-0005-0000-0000-0000A55A0000}"/>
    <cellStyle name="Input 20 3 2 3 3 2 2" xfId="23415" xr:uid="{00000000-0005-0000-0000-0000A65A0000}"/>
    <cellStyle name="Input 20 3 2 3 3 3" xfId="23416" xr:uid="{00000000-0005-0000-0000-0000A75A0000}"/>
    <cellStyle name="Input 20 3 2 3 3 3 2" xfId="23417" xr:uid="{00000000-0005-0000-0000-0000A85A0000}"/>
    <cellStyle name="Input 20 3 2 3 3 4" xfId="23418" xr:uid="{00000000-0005-0000-0000-0000A95A0000}"/>
    <cellStyle name="Input 20 3 2 3 3 5" xfId="23419" xr:uid="{00000000-0005-0000-0000-0000AA5A0000}"/>
    <cellStyle name="Input 20 3 2 3 3 6" xfId="23420" xr:uid="{00000000-0005-0000-0000-0000AB5A0000}"/>
    <cellStyle name="Input 20 3 2 3 4" xfId="23421" xr:uid="{00000000-0005-0000-0000-0000AC5A0000}"/>
    <cellStyle name="Input 20 3 2 3 4 2" xfId="23422" xr:uid="{00000000-0005-0000-0000-0000AD5A0000}"/>
    <cellStyle name="Input 20 3 2 3 5" xfId="23423" xr:uid="{00000000-0005-0000-0000-0000AE5A0000}"/>
    <cellStyle name="Input 20 3 2 3 5 2" xfId="23424" xr:uid="{00000000-0005-0000-0000-0000AF5A0000}"/>
    <cellStyle name="Input 20 3 2 3 6" xfId="23425" xr:uid="{00000000-0005-0000-0000-0000B05A0000}"/>
    <cellStyle name="Input 20 3 2 3 7" xfId="23426" xr:uid="{00000000-0005-0000-0000-0000B15A0000}"/>
    <cellStyle name="Input 20 3 2 3 8" xfId="23427" xr:uid="{00000000-0005-0000-0000-0000B25A0000}"/>
    <cellStyle name="Input 20 3 2 4" xfId="23428" xr:uid="{00000000-0005-0000-0000-0000B35A0000}"/>
    <cellStyle name="Input 20 3 2 4 2" xfId="23429" xr:uid="{00000000-0005-0000-0000-0000B45A0000}"/>
    <cellStyle name="Input 20 3 2 4 2 2" xfId="23430" xr:uid="{00000000-0005-0000-0000-0000B55A0000}"/>
    <cellStyle name="Input 20 3 2 4 2 2 2" xfId="23431" xr:uid="{00000000-0005-0000-0000-0000B65A0000}"/>
    <cellStyle name="Input 20 3 2 4 2 3" xfId="23432" xr:uid="{00000000-0005-0000-0000-0000B75A0000}"/>
    <cellStyle name="Input 20 3 2 4 2 3 2" xfId="23433" xr:uid="{00000000-0005-0000-0000-0000B85A0000}"/>
    <cellStyle name="Input 20 3 2 4 2 4" xfId="23434" xr:uid="{00000000-0005-0000-0000-0000B95A0000}"/>
    <cellStyle name="Input 20 3 2 4 2 5" xfId="23435" xr:uid="{00000000-0005-0000-0000-0000BA5A0000}"/>
    <cellStyle name="Input 20 3 2 4 2 6" xfId="23436" xr:uid="{00000000-0005-0000-0000-0000BB5A0000}"/>
    <cellStyle name="Input 20 3 2 4 3" xfId="23437" xr:uid="{00000000-0005-0000-0000-0000BC5A0000}"/>
    <cellStyle name="Input 20 3 2 4 3 2" xfId="23438" xr:uid="{00000000-0005-0000-0000-0000BD5A0000}"/>
    <cellStyle name="Input 20 3 2 4 4" xfId="23439" xr:uid="{00000000-0005-0000-0000-0000BE5A0000}"/>
    <cellStyle name="Input 20 3 2 4 4 2" xfId="23440" xr:uid="{00000000-0005-0000-0000-0000BF5A0000}"/>
    <cellStyle name="Input 20 3 2 4 5" xfId="23441" xr:uid="{00000000-0005-0000-0000-0000C05A0000}"/>
    <cellStyle name="Input 20 3 2 4 6" xfId="23442" xr:uid="{00000000-0005-0000-0000-0000C15A0000}"/>
    <cellStyle name="Input 20 3 2 4 7" xfId="23443" xr:uid="{00000000-0005-0000-0000-0000C25A0000}"/>
    <cellStyle name="Input 20 3 2 5" xfId="23444" xr:uid="{00000000-0005-0000-0000-0000C35A0000}"/>
    <cellStyle name="Input 20 3 2 5 2" xfId="23445" xr:uid="{00000000-0005-0000-0000-0000C45A0000}"/>
    <cellStyle name="Input 20 3 2 5 2 2" xfId="23446" xr:uid="{00000000-0005-0000-0000-0000C55A0000}"/>
    <cellStyle name="Input 20 3 2 5 3" xfId="23447" xr:uid="{00000000-0005-0000-0000-0000C65A0000}"/>
    <cellStyle name="Input 20 3 2 5 3 2" xfId="23448" xr:uid="{00000000-0005-0000-0000-0000C75A0000}"/>
    <cellStyle name="Input 20 3 2 5 4" xfId="23449" xr:uid="{00000000-0005-0000-0000-0000C85A0000}"/>
    <cellStyle name="Input 20 3 2 5 5" xfId="23450" xr:uid="{00000000-0005-0000-0000-0000C95A0000}"/>
    <cellStyle name="Input 20 3 2 5 6" xfId="23451" xr:uid="{00000000-0005-0000-0000-0000CA5A0000}"/>
    <cellStyle name="Input 20 3 2 6" xfId="23452" xr:uid="{00000000-0005-0000-0000-0000CB5A0000}"/>
    <cellStyle name="Input 20 3 2 6 2" xfId="23453" xr:uid="{00000000-0005-0000-0000-0000CC5A0000}"/>
    <cellStyle name="Input 20 3 2 7" xfId="23454" xr:uid="{00000000-0005-0000-0000-0000CD5A0000}"/>
    <cellStyle name="Input 20 3 2 7 2" xfId="23455" xr:uid="{00000000-0005-0000-0000-0000CE5A0000}"/>
    <cellStyle name="Input 20 3 2 8" xfId="23456" xr:uid="{00000000-0005-0000-0000-0000CF5A0000}"/>
    <cellStyle name="Input 20 3 2 9" xfId="23457" xr:uid="{00000000-0005-0000-0000-0000D05A0000}"/>
    <cellStyle name="Input 20 3 3" xfId="23458" xr:uid="{00000000-0005-0000-0000-0000D15A0000}"/>
    <cellStyle name="Input 20 3 3 2" xfId="23459" xr:uid="{00000000-0005-0000-0000-0000D25A0000}"/>
    <cellStyle name="Input 20 3 3 2 2" xfId="23460" xr:uid="{00000000-0005-0000-0000-0000D35A0000}"/>
    <cellStyle name="Input 20 3 3 2 2 2" xfId="23461" xr:uid="{00000000-0005-0000-0000-0000D45A0000}"/>
    <cellStyle name="Input 20 3 3 2 2 2 2" xfId="23462" xr:uid="{00000000-0005-0000-0000-0000D55A0000}"/>
    <cellStyle name="Input 20 3 3 2 2 3" xfId="23463" xr:uid="{00000000-0005-0000-0000-0000D65A0000}"/>
    <cellStyle name="Input 20 3 3 2 2 3 2" xfId="23464" xr:uid="{00000000-0005-0000-0000-0000D75A0000}"/>
    <cellStyle name="Input 20 3 3 2 2 4" xfId="23465" xr:uid="{00000000-0005-0000-0000-0000D85A0000}"/>
    <cellStyle name="Input 20 3 3 2 2 5" xfId="23466" xr:uid="{00000000-0005-0000-0000-0000D95A0000}"/>
    <cellStyle name="Input 20 3 3 2 2 6" xfId="23467" xr:uid="{00000000-0005-0000-0000-0000DA5A0000}"/>
    <cellStyle name="Input 20 3 3 2 3" xfId="23468" xr:uid="{00000000-0005-0000-0000-0000DB5A0000}"/>
    <cellStyle name="Input 20 3 3 2 3 2" xfId="23469" xr:uid="{00000000-0005-0000-0000-0000DC5A0000}"/>
    <cellStyle name="Input 20 3 3 2 4" xfId="23470" xr:uid="{00000000-0005-0000-0000-0000DD5A0000}"/>
    <cellStyle name="Input 20 3 3 2 4 2" xfId="23471" xr:uid="{00000000-0005-0000-0000-0000DE5A0000}"/>
    <cellStyle name="Input 20 3 3 2 5" xfId="23472" xr:uid="{00000000-0005-0000-0000-0000DF5A0000}"/>
    <cellStyle name="Input 20 3 3 2 6" xfId="23473" xr:uid="{00000000-0005-0000-0000-0000E05A0000}"/>
    <cellStyle name="Input 20 3 3 2 7" xfId="23474" xr:uid="{00000000-0005-0000-0000-0000E15A0000}"/>
    <cellStyle name="Input 20 3 3 3" xfId="23475" xr:uid="{00000000-0005-0000-0000-0000E25A0000}"/>
    <cellStyle name="Input 20 3 3 3 2" xfId="23476" xr:uid="{00000000-0005-0000-0000-0000E35A0000}"/>
    <cellStyle name="Input 20 3 3 3 2 2" xfId="23477" xr:uid="{00000000-0005-0000-0000-0000E45A0000}"/>
    <cellStyle name="Input 20 3 3 3 3" xfId="23478" xr:uid="{00000000-0005-0000-0000-0000E55A0000}"/>
    <cellStyle name="Input 20 3 3 3 3 2" xfId="23479" xr:uid="{00000000-0005-0000-0000-0000E65A0000}"/>
    <cellStyle name="Input 20 3 3 3 4" xfId="23480" xr:uid="{00000000-0005-0000-0000-0000E75A0000}"/>
    <cellStyle name="Input 20 3 3 3 5" xfId="23481" xr:uid="{00000000-0005-0000-0000-0000E85A0000}"/>
    <cellStyle name="Input 20 3 3 3 6" xfId="23482" xr:uid="{00000000-0005-0000-0000-0000E95A0000}"/>
    <cellStyle name="Input 20 3 3 4" xfId="23483" xr:uid="{00000000-0005-0000-0000-0000EA5A0000}"/>
    <cellStyle name="Input 20 3 3 4 2" xfId="23484" xr:uid="{00000000-0005-0000-0000-0000EB5A0000}"/>
    <cellStyle name="Input 20 3 3 5" xfId="23485" xr:uid="{00000000-0005-0000-0000-0000EC5A0000}"/>
    <cellStyle name="Input 20 3 3 5 2" xfId="23486" xr:uid="{00000000-0005-0000-0000-0000ED5A0000}"/>
    <cellStyle name="Input 20 3 3 6" xfId="23487" xr:uid="{00000000-0005-0000-0000-0000EE5A0000}"/>
    <cellStyle name="Input 20 3 3 7" xfId="23488" xr:uid="{00000000-0005-0000-0000-0000EF5A0000}"/>
    <cellStyle name="Input 20 3 3 8" xfId="23489" xr:uid="{00000000-0005-0000-0000-0000F05A0000}"/>
    <cellStyle name="Input 20 3 4" xfId="23490" xr:uid="{00000000-0005-0000-0000-0000F15A0000}"/>
    <cellStyle name="Input 20 3 4 2" xfId="23491" xr:uid="{00000000-0005-0000-0000-0000F25A0000}"/>
    <cellStyle name="Input 20 3 4 2 2" xfId="23492" xr:uid="{00000000-0005-0000-0000-0000F35A0000}"/>
    <cellStyle name="Input 20 3 4 2 2 2" xfId="23493" xr:uid="{00000000-0005-0000-0000-0000F45A0000}"/>
    <cellStyle name="Input 20 3 4 2 3" xfId="23494" xr:uid="{00000000-0005-0000-0000-0000F55A0000}"/>
    <cellStyle name="Input 20 3 4 2 3 2" xfId="23495" xr:uid="{00000000-0005-0000-0000-0000F65A0000}"/>
    <cellStyle name="Input 20 3 4 2 4" xfId="23496" xr:uid="{00000000-0005-0000-0000-0000F75A0000}"/>
    <cellStyle name="Input 20 3 4 2 5" xfId="23497" xr:uid="{00000000-0005-0000-0000-0000F85A0000}"/>
    <cellStyle name="Input 20 3 4 2 6" xfId="23498" xr:uid="{00000000-0005-0000-0000-0000F95A0000}"/>
    <cellStyle name="Input 20 3 4 3" xfId="23499" xr:uid="{00000000-0005-0000-0000-0000FA5A0000}"/>
    <cellStyle name="Input 20 3 4 3 2" xfId="23500" xr:uid="{00000000-0005-0000-0000-0000FB5A0000}"/>
    <cellStyle name="Input 20 3 4 4" xfId="23501" xr:uid="{00000000-0005-0000-0000-0000FC5A0000}"/>
    <cellStyle name="Input 20 3 4 4 2" xfId="23502" xr:uid="{00000000-0005-0000-0000-0000FD5A0000}"/>
    <cellStyle name="Input 20 3 4 5" xfId="23503" xr:uid="{00000000-0005-0000-0000-0000FE5A0000}"/>
    <cellStyle name="Input 20 3 4 6" xfId="23504" xr:uid="{00000000-0005-0000-0000-0000FF5A0000}"/>
    <cellStyle name="Input 20 3 4 7" xfId="23505" xr:uid="{00000000-0005-0000-0000-0000005B0000}"/>
    <cellStyle name="Input 20 3 5" xfId="23506" xr:uid="{00000000-0005-0000-0000-0000015B0000}"/>
    <cellStyle name="Input 20 3 5 2" xfId="23507" xr:uid="{00000000-0005-0000-0000-0000025B0000}"/>
    <cellStyle name="Input 20 3 5 2 2" xfId="23508" xr:uid="{00000000-0005-0000-0000-0000035B0000}"/>
    <cellStyle name="Input 20 3 5 3" xfId="23509" xr:uid="{00000000-0005-0000-0000-0000045B0000}"/>
    <cellStyle name="Input 20 3 5 3 2" xfId="23510" xr:uid="{00000000-0005-0000-0000-0000055B0000}"/>
    <cellStyle name="Input 20 3 5 4" xfId="23511" xr:uid="{00000000-0005-0000-0000-0000065B0000}"/>
    <cellStyle name="Input 20 3 5 5" xfId="23512" xr:uid="{00000000-0005-0000-0000-0000075B0000}"/>
    <cellStyle name="Input 20 3 5 6" xfId="23513" xr:uid="{00000000-0005-0000-0000-0000085B0000}"/>
    <cellStyle name="Input 20 3 6" xfId="23514" xr:uid="{00000000-0005-0000-0000-0000095B0000}"/>
    <cellStyle name="Input 20 3 6 2" xfId="23515" xr:uid="{00000000-0005-0000-0000-00000A5B0000}"/>
    <cellStyle name="Input 20 3 7" xfId="23516" xr:uid="{00000000-0005-0000-0000-00000B5B0000}"/>
    <cellStyle name="Input 20 3 7 2" xfId="23517" xr:uid="{00000000-0005-0000-0000-00000C5B0000}"/>
    <cellStyle name="Input 20 3 8" xfId="23518" xr:uid="{00000000-0005-0000-0000-00000D5B0000}"/>
    <cellStyle name="Input 20 3 9" xfId="23519" xr:uid="{00000000-0005-0000-0000-00000E5B0000}"/>
    <cellStyle name="Input 20 4" xfId="23520" xr:uid="{00000000-0005-0000-0000-00000F5B0000}"/>
    <cellStyle name="Input 20 4 10" xfId="23521" xr:uid="{00000000-0005-0000-0000-0000105B0000}"/>
    <cellStyle name="Input 20 4 2" xfId="23522" xr:uid="{00000000-0005-0000-0000-0000115B0000}"/>
    <cellStyle name="Input 20 4 2 2" xfId="23523" xr:uid="{00000000-0005-0000-0000-0000125B0000}"/>
    <cellStyle name="Input 20 4 2 2 2" xfId="23524" xr:uid="{00000000-0005-0000-0000-0000135B0000}"/>
    <cellStyle name="Input 20 4 2 2 2 2" xfId="23525" xr:uid="{00000000-0005-0000-0000-0000145B0000}"/>
    <cellStyle name="Input 20 4 2 2 2 2 2" xfId="23526" xr:uid="{00000000-0005-0000-0000-0000155B0000}"/>
    <cellStyle name="Input 20 4 2 2 2 3" xfId="23527" xr:uid="{00000000-0005-0000-0000-0000165B0000}"/>
    <cellStyle name="Input 20 4 2 2 2 3 2" xfId="23528" xr:uid="{00000000-0005-0000-0000-0000175B0000}"/>
    <cellStyle name="Input 20 4 2 2 2 4" xfId="23529" xr:uid="{00000000-0005-0000-0000-0000185B0000}"/>
    <cellStyle name="Input 20 4 2 2 2 5" xfId="23530" xr:uid="{00000000-0005-0000-0000-0000195B0000}"/>
    <cellStyle name="Input 20 4 2 2 2 6" xfId="23531" xr:uid="{00000000-0005-0000-0000-00001A5B0000}"/>
    <cellStyle name="Input 20 4 2 2 3" xfId="23532" xr:uid="{00000000-0005-0000-0000-00001B5B0000}"/>
    <cellStyle name="Input 20 4 2 2 3 2" xfId="23533" xr:uid="{00000000-0005-0000-0000-00001C5B0000}"/>
    <cellStyle name="Input 20 4 2 2 4" xfId="23534" xr:uid="{00000000-0005-0000-0000-00001D5B0000}"/>
    <cellStyle name="Input 20 4 2 2 4 2" xfId="23535" xr:uid="{00000000-0005-0000-0000-00001E5B0000}"/>
    <cellStyle name="Input 20 4 2 2 5" xfId="23536" xr:uid="{00000000-0005-0000-0000-00001F5B0000}"/>
    <cellStyle name="Input 20 4 2 2 6" xfId="23537" xr:uid="{00000000-0005-0000-0000-0000205B0000}"/>
    <cellStyle name="Input 20 4 2 2 7" xfId="23538" xr:uid="{00000000-0005-0000-0000-0000215B0000}"/>
    <cellStyle name="Input 20 4 2 3" xfId="23539" xr:uid="{00000000-0005-0000-0000-0000225B0000}"/>
    <cellStyle name="Input 20 4 2 3 2" xfId="23540" xr:uid="{00000000-0005-0000-0000-0000235B0000}"/>
    <cellStyle name="Input 20 4 2 3 2 2" xfId="23541" xr:uid="{00000000-0005-0000-0000-0000245B0000}"/>
    <cellStyle name="Input 20 4 2 3 3" xfId="23542" xr:uid="{00000000-0005-0000-0000-0000255B0000}"/>
    <cellStyle name="Input 20 4 2 3 3 2" xfId="23543" xr:uid="{00000000-0005-0000-0000-0000265B0000}"/>
    <cellStyle name="Input 20 4 2 3 4" xfId="23544" xr:uid="{00000000-0005-0000-0000-0000275B0000}"/>
    <cellStyle name="Input 20 4 2 3 5" xfId="23545" xr:uid="{00000000-0005-0000-0000-0000285B0000}"/>
    <cellStyle name="Input 20 4 2 3 6" xfId="23546" xr:uid="{00000000-0005-0000-0000-0000295B0000}"/>
    <cellStyle name="Input 20 4 2 4" xfId="23547" xr:uid="{00000000-0005-0000-0000-00002A5B0000}"/>
    <cellStyle name="Input 20 4 2 4 2" xfId="23548" xr:uid="{00000000-0005-0000-0000-00002B5B0000}"/>
    <cellStyle name="Input 20 4 2 5" xfId="23549" xr:uid="{00000000-0005-0000-0000-00002C5B0000}"/>
    <cellStyle name="Input 20 4 2 5 2" xfId="23550" xr:uid="{00000000-0005-0000-0000-00002D5B0000}"/>
    <cellStyle name="Input 20 4 2 6" xfId="23551" xr:uid="{00000000-0005-0000-0000-00002E5B0000}"/>
    <cellStyle name="Input 20 4 2 7" xfId="23552" xr:uid="{00000000-0005-0000-0000-00002F5B0000}"/>
    <cellStyle name="Input 20 4 2 8" xfId="23553" xr:uid="{00000000-0005-0000-0000-0000305B0000}"/>
    <cellStyle name="Input 20 4 3" xfId="23554" xr:uid="{00000000-0005-0000-0000-0000315B0000}"/>
    <cellStyle name="Input 20 4 3 2" xfId="23555" xr:uid="{00000000-0005-0000-0000-0000325B0000}"/>
    <cellStyle name="Input 20 4 3 2 2" xfId="23556" xr:uid="{00000000-0005-0000-0000-0000335B0000}"/>
    <cellStyle name="Input 20 4 3 2 2 2" xfId="23557" xr:uid="{00000000-0005-0000-0000-0000345B0000}"/>
    <cellStyle name="Input 20 4 3 2 2 2 2" xfId="23558" xr:uid="{00000000-0005-0000-0000-0000355B0000}"/>
    <cellStyle name="Input 20 4 3 2 2 3" xfId="23559" xr:uid="{00000000-0005-0000-0000-0000365B0000}"/>
    <cellStyle name="Input 20 4 3 2 2 3 2" xfId="23560" xr:uid="{00000000-0005-0000-0000-0000375B0000}"/>
    <cellStyle name="Input 20 4 3 2 2 4" xfId="23561" xr:uid="{00000000-0005-0000-0000-0000385B0000}"/>
    <cellStyle name="Input 20 4 3 2 2 5" xfId="23562" xr:uid="{00000000-0005-0000-0000-0000395B0000}"/>
    <cellStyle name="Input 20 4 3 2 2 6" xfId="23563" xr:uid="{00000000-0005-0000-0000-00003A5B0000}"/>
    <cellStyle name="Input 20 4 3 2 3" xfId="23564" xr:uid="{00000000-0005-0000-0000-00003B5B0000}"/>
    <cellStyle name="Input 20 4 3 2 3 2" xfId="23565" xr:uid="{00000000-0005-0000-0000-00003C5B0000}"/>
    <cellStyle name="Input 20 4 3 2 4" xfId="23566" xr:uid="{00000000-0005-0000-0000-00003D5B0000}"/>
    <cellStyle name="Input 20 4 3 2 4 2" xfId="23567" xr:uid="{00000000-0005-0000-0000-00003E5B0000}"/>
    <cellStyle name="Input 20 4 3 2 5" xfId="23568" xr:uid="{00000000-0005-0000-0000-00003F5B0000}"/>
    <cellStyle name="Input 20 4 3 2 6" xfId="23569" xr:uid="{00000000-0005-0000-0000-0000405B0000}"/>
    <cellStyle name="Input 20 4 3 2 7" xfId="23570" xr:uid="{00000000-0005-0000-0000-0000415B0000}"/>
    <cellStyle name="Input 20 4 3 3" xfId="23571" xr:uid="{00000000-0005-0000-0000-0000425B0000}"/>
    <cellStyle name="Input 20 4 3 3 2" xfId="23572" xr:uid="{00000000-0005-0000-0000-0000435B0000}"/>
    <cellStyle name="Input 20 4 3 3 2 2" xfId="23573" xr:uid="{00000000-0005-0000-0000-0000445B0000}"/>
    <cellStyle name="Input 20 4 3 3 3" xfId="23574" xr:uid="{00000000-0005-0000-0000-0000455B0000}"/>
    <cellStyle name="Input 20 4 3 3 3 2" xfId="23575" xr:uid="{00000000-0005-0000-0000-0000465B0000}"/>
    <cellStyle name="Input 20 4 3 3 4" xfId="23576" xr:uid="{00000000-0005-0000-0000-0000475B0000}"/>
    <cellStyle name="Input 20 4 3 3 5" xfId="23577" xr:uid="{00000000-0005-0000-0000-0000485B0000}"/>
    <cellStyle name="Input 20 4 3 3 6" xfId="23578" xr:uid="{00000000-0005-0000-0000-0000495B0000}"/>
    <cellStyle name="Input 20 4 3 4" xfId="23579" xr:uid="{00000000-0005-0000-0000-00004A5B0000}"/>
    <cellStyle name="Input 20 4 3 4 2" xfId="23580" xr:uid="{00000000-0005-0000-0000-00004B5B0000}"/>
    <cellStyle name="Input 20 4 3 5" xfId="23581" xr:uid="{00000000-0005-0000-0000-00004C5B0000}"/>
    <cellStyle name="Input 20 4 3 5 2" xfId="23582" xr:uid="{00000000-0005-0000-0000-00004D5B0000}"/>
    <cellStyle name="Input 20 4 3 6" xfId="23583" xr:uid="{00000000-0005-0000-0000-00004E5B0000}"/>
    <cellStyle name="Input 20 4 3 7" xfId="23584" xr:uid="{00000000-0005-0000-0000-00004F5B0000}"/>
    <cellStyle name="Input 20 4 3 8" xfId="23585" xr:uid="{00000000-0005-0000-0000-0000505B0000}"/>
    <cellStyle name="Input 20 4 4" xfId="23586" xr:uid="{00000000-0005-0000-0000-0000515B0000}"/>
    <cellStyle name="Input 20 4 4 2" xfId="23587" xr:uid="{00000000-0005-0000-0000-0000525B0000}"/>
    <cellStyle name="Input 20 4 4 2 2" xfId="23588" xr:uid="{00000000-0005-0000-0000-0000535B0000}"/>
    <cellStyle name="Input 20 4 4 2 2 2" xfId="23589" xr:uid="{00000000-0005-0000-0000-0000545B0000}"/>
    <cellStyle name="Input 20 4 4 2 3" xfId="23590" xr:uid="{00000000-0005-0000-0000-0000555B0000}"/>
    <cellStyle name="Input 20 4 4 2 3 2" xfId="23591" xr:uid="{00000000-0005-0000-0000-0000565B0000}"/>
    <cellStyle name="Input 20 4 4 2 4" xfId="23592" xr:uid="{00000000-0005-0000-0000-0000575B0000}"/>
    <cellStyle name="Input 20 4 4 2 5" xfId="23593" xr:uid="{00000000-0005-0000-0000-0000585B0000}"/>
    <cellStyle name="Input 20 4 4 2 6" xfId="23594" xr:uid="{00000000-0005-0000-0000-0000595B0000}"/>
    <cellStyle name="Input 20 4 4 3" xfId="23595" xr:uid="{00000000-0005-0000-0000-00005A5B0000}"/>
    <cellStyle name="Input 20 4 4 3 2" xfId="23596" xr:uid="{00000000-0005-0000-0000-00005B5B0000}"/>
    <cellStyle name="Input 20 4 4 4" xfId="23597" xr:uid="{00000000-0005-0000-0000-00005C5B0000}"/>
    <cellStyle name="Input 20 4 4 4 2" xfId="23598" xr:uid="{00000000-0005-0000-0000-00005D5B0000}"/>
    <cellStyle name="Input 20 4 4 5" xfId="23599" xr:uid="{00000000-0005-0000-0000-00005E5B0000}"/>
    <cellStyle name="Input 20 4 4 6" xfId="23600" xr:uid="{00000000-0005-0000-0000-00005F5B0000}"/>
    <cellStyle name="Input 20 4 4 7" xfId="23601" xr:uid="{00000000-0005-0000-0000-0000605B0000}"/>
    <cellStyle name="Input 20 4 5" xfId="23602" xr:uid="{00000000-0005-0000-0000-0000615B0000}"/>
    <cellStyle name="Input 20 4 5 2" xfId="23603" xr:uid="{00000000-0005-0000-0000-0000625B0000}"/>
    <cellStyle name="Input 20 4 5 2 2" xfId="23604" xr:uid="{00000000-0005-0000-0000-0000635B0000}"/>
    <cellStyle name="Input 20 4 5 3" xfId="23605" xr:uid="{00000000-0005-0000-0000-0000645B0000}"/>
    <cellStyle name="Input 20 4 5 3 2" xfId="23606" xr:uid="{00000000-0005-0000-0000-0000655B0000}"/>
    <cellStyle name="Input 20 4 5 4" xfId="23607" xr:uid="{00000000-0005-0000-0000-0000665B0000}"/>
    <cellStyle name="Input 20 4 5 5" xfId="23608" xr:uid="{00000000-0005-0000-0000-0000675B0000}"/>
    <cellStyle name="Input 20 4 5 6" xfId="23609" xr:uid="{00000000-0005-0000-0000-0000685B0000}"/>
    <cellStyle name="Input 20 4 6" xfId="23610" xr:uid="{00000000-0005-0000-0000-0000695B0000}"/>
    <cellStyle name="Input 20 4 6 2" xfId="23611" xr:uid="{00000000-0005-0000-0000-00006A5B0000}"/>
    <cellStyle name="Input 20 4 7" xfId="23612" xr:uid="{00000000-0005-0000-0000-00006B5B0000}"/>
    <cellStyle name="Input 20 4 7 2" xfId="23613" xr:uid="{00000000-0005-0000-0000-00006C5B0000}"/>
    <cellStyle name="Input 20 4 8" xfId="23614" xr:uid="{00000000-0005-0000-0000-00006D5B0000}"/>
    <cellStyle name="Input 20 4 9" xfId="23615" xr:uid="{00000000-0005-0000-0000-00006E5B0000}"/>
    <cellStyle name="Input 20 5" xfId="23616" xr:uid="{00000000-0005-0000-0000-00006F5B0000}"/>
    <cellStyle name="Input 20 5 2" xfId="23617" xr:uid="{00000000-0005-0000-0000-0000705B0000}"/>
    <cellStyle name="Input 20 5 2 2" xfId="23618" xr:uid="{00000000-0005-0000-0000-0000715B0000}"/>
    <cellStyle name="Input 20 5 2 2 2" xfId="23619" xr:uid="{00000000-0005-0000-0000-0000725B0000}"/>
    <cellStyle name="Input 20 5 2 2 2 2" xfId="23620" xr:uid="{00000000-0005-0000-0000-0000735B0000}"/>
    <cellStyle name="Input 20 5 2 2 3" xfId="23621" xr:uid="{00000000-0005-0000-0000-0000745B0000}"/>
    <cellStyle name="Input 20 5 2 2 3 2" xfId="23622" xr:uid="{00000000-0005-0000-0000-0000755B0000}"/>
    <cellStyle name="Input 20 5 2 2 4" xfId="23623" xr:uid="{00000000-0005-0000-0000-0000765B0000}"/>
    <cellStyle name="Input 20 5 2 2 5" xfId="23624" xr:uid="{00000000-0005-0000-0000-0000775B0000}"/>
    <cellStyle name="Input 20 5 2 2 6" xfId="23625" xr:uid="{00000000-0005-0000-0000-0000785B0000}"/>
    <cellStyle name="Input 20 5 2 3" xfId="23626" xr:uid="{00000000-0005-0000-0000-0000795B0000}"/>
    <cellStyle name="Input 20 5 2 3 2" xfId="23627" xr:uid="{00000000-0005-0000-0000-00007A5B0000}"/>
    <cellStyle name="Input 20 5 2 4" xfId="23628" xr:uid="{00000000-0005-0000-0000-00007B5B0000}"/>
    <cellStyle name="Input 20 5 2 4 2" xfId="23629" xr:uid="{00000000-0005-0000-0000-00007C5B0000}"/>
    <cellStyle name="Input 20 5 2 5" xfId="23630" xr:uid="{00000000-0005-0000-0000-00007D5B0000}"/>
    <cellStyle name="Input 20 5 2 6" xfId="23631" xr:uid="{00000000-0005-0000-0000-00007E5B0000}"/>
    <cellStyle name="Input 20 5 2 7" xfId="23632" xr:uid="{00000000-0005-0000-0000-00007F5B0000}"/>
    <cellStyle name="Input 20 5 3" xfId="23633" xr:uid="{00000000-0005-0000-0000-0000805B0000}"/>
    <cellStyle name="Input 20 5 3 2" xfId="23634" xr:uid="{00000000-0005-0000-0000-0000815B0000}"/>
    <cellStyle name="Input 20 5 3 2 2" xfId="23635" xr:uid="{00000000-0005-0000-0000-0000825B0000}"/>
    <cellStyle name="Input 20 5 3 3" xfId="23636" xr:uid="{00000000-0005-0000-0000-0000835B0000}"/>
    <cellStyle name="Input 20 5 3 3 2" xfId="23637" xr:uid="{00000000-0005-0000-0000-0000845B0000}"/>
    <cellStyle name="Input 20 5 3 4" xfId="23638" xr:uid="{00000000-0005-0000-0000-0000855B0000}"/>
    <cellStyle name="Input 20 5 3 5" xfId="23639" xr:uid="{00000000-0005-0000-0000-0000865B0000}"/>
    <cellStyle name="Input 20 5 3 6" xfId="23640" xr:uid="{00000000-0005-0000-0000-0000875B0000}"/>
    <cellStyle name="Input 20 5 4" xfId="23641" xr:uid="{00000000-0005-0000-0000-0000885B0000}"/>
    <cellStyle name="Input 20 5 4 2" xfId="23642" xr:uid="{00000000-0005-0000-0000-0000895B0000}"/>
    <cellStyle name="Input 20 5 5" xfId="23643" xr:uid="{00000000-0005-0000-0000-00008A5B0000}"/>
    <cellStyle name="Input 20 5 5 2" xfId="23644" xr:uid="{00000000-0005-0000-0000-00008B5B0000}"/>
    <cellStyle name="Input 20 5 6" xfId="23645" xr:uid="{00000000-0005-0000-0000-00008C5B0000}"/>
    <cellStyle name="Input 20 5 7" xfId="23646" xr:uid="{00000000-0005-0000-0000-00008D5B0000}"/>
    <cellStyle name="Input 20 5 8" xfId="23647" xr:uid="{00000000-0005-0000-0000-00008E5B0000}"/>
    <cellStyle name="Input 20 6" xfId="23648" xr:uid="{00000000-0005-0000-0000-00008F5B0000}"/>
    <cellStyle name="Input 20 6 2" xfId="23649" xr:uid="{00000000-0005-0000-0000-0000905B0000}"/>
    <cellStyle name="Input 20 6 2 2" xfId="23650" xr:uid="{00000000-0005-0000-0000-0000915B0000}"/>
    <cellStyle name="Input 20 6 2 2 2" xfId="23651" xr:uid="{00000000-0005-0000-0000-0000925B0000}"/>
    <cellStyle name="Input 20 6 2 3" xfId="23652" xr:uid="{00000000-0005-0000-0000-0000935B0000}"/>
    <cellStyle name="Input 20 6 2 3 2" xfId="23653" xr:uid="{00000000-0005-0000-0000-0000945B0000}"/>
    <cellStyle name="Input 20 6 2 4" xfId="23654" xr:uid="{00000000-0005-0000-0000-0000955B0000}"/>
    <cellStyle name="Input 20 6 2 5" xfId="23655" xr:uid="{00000000-0005-0000-0000-0000965B0000}"/>
    <cellStyle name="Input 20 6 2 6" xfId="23656" xr:uid="{00000000-0005-0000-0000-0000975B0000}"/>
    <cellStyle name="Input 20 6 3" xfId="23657" xr:uid="{00000000-0005-0000-0000-0000985B0000}"/>
    <cellStyle name="Input 20 6 3 2" xfId="23658" xr:uid="{00000000-0005-0000-0000-0000995B0000}"/>
    <cellStyle name="Input 20 6 4" xfId="23659" xr:uid="{00000000-0005-0000-0000-00009A5B0000}"/>
    <cellStyle name="Input 20 6 4 2" xfId="23660" xr:uid="{00000000-0005-0000-0000-00009B5B0000}"/>
    <cellStyle name="Input 20 6 5" xfId="23661" xr:uid="{00000000-0005-0000-0000-00009C5B0000}"/>
    <cellStyle name="Input 20 6 6" xfId="23662" xr:uid="{00000000-0005-0000-0000-00009D5B0000}"/>
    <cellStyle name="Input 20 6 7" xfId="23663" xr:uid="{00000000-0005-0000-0000-00009E5B0000}"/>
    <cellStyle name="Input 20 7" xfId="23664" xr:uid="{00000000-0005-0000-0000-00009F5B0000}"/>
    <cellStyle name="Input 20 7 2" xfId="23665" xr:uid="{00000000-0005-0000-0000-0000A05B0000}"/>
    <cellStyle name="Input 20 7 2 2" xfId="23666" xr:uid="{00000000-0005-0000-0000-0000A15B0000}"/>
    <cellStyle name="Input 20 7 3" xfId="23667" xr:uid="{00000000-0005-0000-0000-0000A25B0000}"/>
    <cellStyle name="Input 20 7 3 2" xfId="23668" xr:uid="{00000000-0005-0000-0000-0000A35B0000}"/>
    <cellStyle name="Input 20 7 4" xfId="23669" xr:uid="{00000000-0005-0000-0000-0000A45B0000}"/>
    <cellStyle name="Input 20 7 5" xfId="23670" xr:uid="{00000000-0005-0000-0000-0000A55B0000}"/>
    <cellStyle name="Input 20 7 6" xfId="23671" xr:uid="{00000000-0005-0000-0000-0000A65B0000}"/>
    <cellStyle name="Input 20 8" xfId="23672" xr:uid="{00000000-0005-0000-0000-0000A75B0000}"/>
    <cellStyle name="Input 20 8 2" xfId="23673" xr:uid="{00000000-0005-0000-0000-0000A85B0000}"/>
    <cellStyle name="Input 20 9" xfId="23674" xr:uid="{00000000-0005-0000-0000-0000A95B0000}"/>
    <cellStyle name="Input 20 9 2" xfId="23675" xr:uid="{00000000-0005-0000-0000-0000AA5B0000}"/>
    <cellStyle name="Input 21" xfId="23676" xr:uid="{00000000-0005-0000-0000-0000AB5B0000}"/>
    <cellStyle name="Input 21 10" xfId="23677" xr:uid="{00000000-0005-0000-0000-0000AC5B0000}"/>
    <cellStyle name="Input 21 11" xfId="23678" xr:uid="{00000000-0005-0000-0000-0000AD5B0000}"/>
    <cellStyle name="Input 21 12" xfId="23679" xr:uid="{00000000-0005-0000-0000-0000AE5B0000}"/>
    <cellStyle name="Input 21 2" xfId="23680" xr:uid="{00000000-0005-0000-0000-0000AF5B0000}"/>
    <cellStyle name="Input 21 2 10" xfId="23681" xr:uid="{00000000-0005-0000-0000-0000B05B0000}"/>
    <cellStyle name="Input 21 2 11" xfId="23682" xr:uid="{00000000-0005-0000-0000-0000B15B0000}"/>
    <cellStyle name="Input 21 2 2" xfId="23683" xr:uid="{00000000-0005-0000-0000-0000B25B0000}"/>
    <cellStyle name="Input 21 2 2 10" xfId="23684" xr:uid="{00000000-0005-0000-0000-0000B35B0000}"/>
    <cellStyle name="Input 21 2 2 2" xfId="23685" xr:uid="{00000000-0005-0000-0000-0000B45B0000}"/>
    <cellStyle name="Input 21 2 2 2 2" xfId="23686" xr:uid="{00000000-0005-0000-0000-0000B55B0000}"/>
    <cellStyle name="Input 21 2 2 2 2 2" xfId="23687" xr:uid="{00000000-0005-0000-0000-0000B65B0000}"/>
    <cellStyle name="Input 21 2 2 2 2 2 2" xfId="23688" xr:uid="{00000000-0005-0000-0000-0000B75B0000}"/>
    <cellStyle name="Input 21 2 2 2 2 2 2 2" xfId="23689" xr:uid="{00000000-0005-0000-0000-0000B85B0000}"/>
    <cellStyle name="Input 21 2 2 2 2 2 3" xfId="23690" xr:uid="{00000000-0005-0000-0000-0000B95B0000}"/>
    <cellStyle name="Input 21 2 2 2 2 2 3 2" xfId="23691" xr:uid="{00000000-0005-0000-0000-0000BA5B0000}"/>
    <cellStyle name="Input 21 2 2 2 2 2 4" xfId="23692" xr:uid="{00000000-0005-0000-0000-0000BB5B0000}"/>
    <cellStyle name="Input 21 2 2 2 2 2 5" xfId="23693" xr:uid="{00000000-0005-0000-0000-0000BC5B0000}"/>
    <cellStyle name="Input 21 2 2 2 2 2 6" xfId="23694" xr:uid="{00000000-0005-0000-0000-0000BD5B0000}"/>
    <cellStyle name="Input 21 2 2 2 2 3" xfId="23695" xr:uid="{00000000-0005-0000-0000-0000BE5B0000}"/>
    <cellStyle name="Input 21 2 2 2 2 3 2" xfId="23696" xr:uid="{00000000-0005-0000-0000-0000BF5B0000}"/>
    <cellStyle name="Input 21 2 2 2 2 4" xfId="23697" xr:uid="{00000000-0005-0000-0000-0000C05B0000}"/>
    <cellStyle name="Input 21 2 2 2 2 4 2" xfId="23698" xr:uid="{00000000-0005-0000-0000-0000C15B0000}"/>
    <cellStyle name="Input 21 2 2 2 2 5" xfId="23699" xr:uid="{00000000-0005-0000-0000-0000C25B0000}"/>
    <cellStyle name="Input 21 2 2 2 2 6" xfId="23700" xr:uid="{00000000-0005-0000-0000-0000C35B0000}"/>
    <cellStyle name="Input 21 2 2 2 2 7" xfId="23701" xr:uid="{00000000-0005-0000-0000-0000C45B0000}"/>
    <cellStyle name="Input 21 2 2 2 3" xfId="23702" xr:uid="{00000000-0005-0000-0000-0000C55B0000}"/>
    <cellStyle name="Input 21 2 2 2 3 2" xfId="23703" xr:uid="{00000000-0005-0000-0000-0000C65B0000}"/>
    <cellStyle name="Input 21 2 2 2 3 2 2" xfId="23704" xr:uid="{00000000-0005-0000-0000-0000C75B0000}"/>
    <cellStyle name="Input 21 2 2 2 3 3" xfId="23705" xr:uid="{00000000-0005-0000-0000-0000C85B0000}"/>
    <cellStyle name="Input 21 2 2 2 3 3 2" xfId="23706" xr:uid="{00000000-0005-0000-0000-0000C95B0000}"/>
    <cellStyle name="Input 21 2 2 2 3 4" xfId="23707" xr:uid="{00000000-0005-0000-0000-0000CA5B0000}"/>
    <cellStyle name="Input 21 2 2 2 3 5" xfId="23708" xr:uid="{00000000-0005-0000-0000-0000CB5B0000}"/>
    <cellStyle name="Input 21 2 2 2 3 6" xfId="23709" xr:uid="{00000000-0005-0000-0000-0000CC5B0000}"/>
    <cellStyle name="Input 21 2 2 2 4" xfId="23710" xr:uid="{00000000-0005-0000-0000-0000CD5B0000}"/>
    <cellStyle name="Input 21 2 2 2 4 2" xfId="23711" xr:uid="{00000000-0005-0000-0000-0000CE5B0000}"/>
    <cellStyle name="Input 21 2 2 2 5" xfId="23712" xr:uid="{00000000-0005-0000-0000-0000CF5B0000}"/>
    <cellStyle name="Input 21 2 2 2 5 2" xfId="23713" xr:uid="{00000000-0005-0000-0000-0000D05B0000}"/>
    <cellStyle name="Input 21 2 2 2 6" xfId="23714" xr:uid="{00000000-0005-0000-0000-0000D15B0000}"/>
    <cellStyle name="Input 21 2 2 2 7" xfId="23715" xr:uid="{00000000-0005-0000-0000-0000D25B0000}"/>
    <cellStyle name="Input 21 2 2 2 8" xfId="23716" xr:uid="{00000000-0005-0000-0000-0000D35B0000}"/>
    <cellStyle name="Input 21 2 2 3" xfId="23717" xr:uid="{00000000-0005-0000-0000-0000D45B0000}"/>
    <cellStyle name="Input 21 2 2 3 2" xfId="23718" xr:uid="{00000000-0005-0000-0000-0000D55B0000}"/>
    <cellStyle name="Input 21 2 2 3 2 2" xfId="23719" xr:uid="{00000000-0005-0000-0000-0000D65B0000}"/>
    <cellStyle name="Input 21 2 2 3 2 2 2" xfId="23720" xr:uid="{00000000-0005-0000-0000-0000D75B0000}"/>
    <cellStyle name="Input 21 2 2 3 2 2 2 2" xfId="23721" xr:uid="{00000000-0005-0000-0000-0000D85B0000}"/>
    <cellStyle name="Input 21 2 2 3 2 2 3" xfId="23722" xr:uid="{00000000-0005-0000-0000-0000D95B0000}"/>
    <cellStyle name="Input 21 2 2 3 2 2 3 2" xfId="23723" xr:uid="{00000000-0005-0000-0000-0000DA5B0000}"/>
    <cellStyle name="Input 21 2 2 3 2 2 4" xfId="23724" xr:uid="{00000000-0005-0000-0000-0000DB5B0000}"/>
    <cellStyle name="Input 21 2 2 3 2 2 5" xfId="23725" xr:uid="{00000000-0005-0000-0000-0000DC5B0000}"/>
    <cellStyle name="Input 21 2 2 3 2 2 6" xfId="23726" xr:uid="{00000000-0005-0000-0000-0000DD5B0000}"/>
    <cellStyle name="Input 21 2 2 3 2 3" xfId="23727" xr:uid="{00000000-0005-0000-0000-0000DE5B0000}"/>
    <cellStyle name="Input 21 2 2 3 2 3 2" xfId="23728" xr:uid="{00000000-0005-0000-0000-0000DF5B0000}"/>
    <cellStyle name="Input 21 2 2 3 2 4" xfId="23729" xr:uid="{00000000-0005-0000-0000-0000E05B0000}"/>
    <cellStyle name="Input 21 2 2 3 2 4 2" xfId="23730" xr:uid="{00000000-0005-0000-0000-0000E15B0000}"/>
    <cellStyle name="Input 21 2 2 3 2 5" xfId="23731" xr:uid="{00000000-0005-0000-0000-0000E25B0000}"/>
    <cellStyle name="Input 21 2 2 3 2 6" xfId="23732" xr:uid="{00000000-0005-0000-0000-0000E35B0000}"/>
    <cellStyle name="Input 21 2 2 3 2 7" xfId="23733" xr:uid="{00000000-0005-0000-0000-0000E45B0000}"/>
    <cellStyle name="Input 21 2 2 3 3" xfId="23734" xr:uid="{00000000-0005-0000-0000-0000E55B0000}"/>
    <cellStyle name="Input 21 2 2 3 3 2" xfId="23735" xr:uid="{00000000-0005-0000-0000-0000E65B0000}"/>
    <cellStyle name="Input 21 2 2 3 3 2 2" xfId="23736" xr:uid="{00000000-0005-0000-0000-0000E75B0000}"/>
    <cellStyle name="Input 21 2 2 3 3 3" xfId="23737" xr:uid="{00000000-0005-0000-0000-0000E85B0000}"/>
    <cellStyle name="Input 21 2 2 3 3 3 2" xfId="23738" xr:uid="{00000000-0005-0000-0000-0000E95B0000}"/>
    <cellStyle name="Input 21 2 2 3 3 4" xfId="23739" xr:uid="{00000000-0005-0000-0000-0000EA5B0000}"/>
    <cellStyle name="Input 21 2 2 3 3 5" xfId="23740" xr:uid="{00000000-0005-0000-0000-0000EB5B0000}"/>
    <cellStyle name="Input 21 2 2 3 3 6" xfId="23741" xr:uid="{00000000-0005-0000-0000-0000EC5B0000}"/>
    <cellStyle name="Input 21 2 2 3 4" xfId="23742" xr:uid="{00000000-0005-0000-0000-0000ED5B0000}"/>
    <cellStyle name="Input 21 2 2 3 4 2" xfId="23743" xr:uid="{00000000-0005-0000-0000-0000EE5B0000}"/>
    <cellStyle name="Input 21 2 2 3 5" xfId="23744" xr:uid="{00000000-0005-0000-0000-0000EF5B0000}"/>
    <cellStyle name="Input 21 2 2 3 5 2" xfId="23745" xr:uid="{00000000-0005-0000-0000-0000F05B0000}"/>
    <cellStyle name="Input 21 2 2 3 6" xfId="23746" xr:uid="{00000000-0005-0000-0000-0000F15B0000}"/>
    <cellStyle name="Input 21 2 2 3 7" xfId="23747" xr:uid="{00000000-0005-0000-0000-0000F25B0000}"/>
    <cellStyle name="Input 21 2 2 3 8" xfId="23748" xr:uid="{00000000-0005-0000-0000-0000F35B0000}"/>
    <cellStyle name="Input 21 2 2 4" xfId="23749" xr:uid="{00000000-0005-0000-0000-0000F45B0000}"/>
    <cellStyle name="Input 21 2 2 4 2" xfId="23750" xr:uid="{00000000-0005-0000-0000-0000F55B0000}"/>
    <cellStyle name="Input 21 2 2 4 2 2" xfId="23751" xr:uid="{00000000-0005-0000-0000-0000F65B0000}"/>
    <cellStyle name="Input 21 2 2 4 2 2 2" xfId="23752" xr:uid="{00000000-0005-0000-0000-0000F75B0000}"/>
    <cellStyle name="Input 21 2 2 4 2 3" xfId="23753" xr:uid="{00000000-0005-0000-0000-0000F85B0000}"/>
    <cellStyle name="Input 21 2 2 4 2 3 2" xfId="23754" xr:uid="{00000000-0005-0000-0000-0000F95B0000}"/>
    <cellStyle name="Input 21 2 2 4 2 4" xfId="23755" xr:uid="{00000000-0005-0000-0000-0000FA5B0000}"/>
    <cellStyle name="Input 21 2 2 4 2 5" xfId="23756" xr:uid="{00000000-0005-0000-0000-0000FB5B0000}"/>
    <cellStyle name="Input 21 2 2 4 2 6" xfId="23757" xr:uid="{00000000-0005-0000-0000-0000FC5B0000}"/>
    <cellStyle name="Input 21 2 2 4 3" xfId="23758" xr:uid="{00000000-0005-0000-0000-0000FD5B0000}"/>
    <cellStyle name="Input 21 2 2 4 3 2" xfId="23759" xr:uid="{00000000-0005-0000-0000-0000FE5B0000}"/>
    <cellStyle name="Input 21 2 2 4 4" xfId="23760" xr:uid="{00000000-0005-0000-0000-0000FF5B0000}"/>
    <cellStyle name="Input 21 2 2 4 4 2" xfId="23761" xr:uid="{00000000-0005-0000-0000-0000005C0000}"/>
    <cellStyle name="Input 21 2 2 4 5" xfId="23762" xr:uid="{00000000-0005-0000-0000-0000015C0000}"/>
    <cellStyle name="Input 21 2 2 4 6" xfId="23763" xr:uid="{00000000-0005-0000-0000-0000025C0000}"/>
    <cellStyle name="Input 21 2 2 4 7" xfId="23764" xr:uid="{00000000-0005-0000-0000-0000035C0000}"/>
    <cellStyle name="Input 21 2 2 5" xfId="23765" xr:uid="{00000000-0005-0000-0000-0000045C0000}"/>
    <cellStyle name="Input 21 2 2 5 2" xfId="23766" xr:uid="{00000000-0005-0000-0000-0000055C0000}"/>
    <cellStyle name="Input 21 2 2 5 2 2" xfId="23767" xr:uid="{00000000-0005-0000-0000-0000065C0000}"/>
    <cellStyle name="Input 21 2 2 5 3" xfId="23768" xr:uid="{00000000-0005-0000-0000-0000075C0000}"/>
    <cellStyle name="Input 21 2 2 5 3 2" xfId="23769" xr:uid="{00000000-0005-0000-0000-0000085C0000}"/>
    <cellStyle name="Input 21 2 2 5 4" xfId="23770" xr:uid="{00000000-0005-0000-0000-0000095C0000}"/>
    <cellStyle name="Input 21 2 2 5 5" xfId="23771" xr:uid="{00000000-0005-0000-0000-00000A5C0000}"/>
    <cellStyle name="Input 21 2 2 5 6" xfId="23772" xr:uid="{00000000-0005-0000-0000-00000B5C0000}"/>
    <cellStyle name="Input 21 2 2 6" xfId="23773" xr:uid="{00000000-0005-0000-0000-00000C5C0000}"/>
    <cellStyle name="Input 21 2 2 6 2" xfId="23774" xr:uid="{00000000-0005-0000-0000-00000D5C0000}"/>
    <cellStyle name="Input 21 2 2 7" xfId="23775" xr:uid="{00000000-0005-0000-0000-00000E5C0000}"/>
    <cellStyle name="Input 21 2 2 7 2" xfId="23776" xr:uid="{00000000-0005-0000-0000-00000F5C0000}"/>
    <cellStyle name="Input 21 2 2 8" xfId="23777" xr:uid="{00000000-0005-0000-0000-0000105C0000}"/>
    <cellStyle name="Input 21 2 2 9" xfId="23778" xr:uid="{00000000-0005-0000-0000-0000115C0000}"/>
    <cellStyle name="Input 21 2 3" xfId="23779" xr:uid="{00000000-0005-0000-0000-0000125C0000}"/>
    <cellStyle name="Input 21 2 3 2" xfId="23780" xr:uid="{00000000-0005-0000-0000-0000135C0000}"/>
    <cellStyle name="Input 21 2 3 2 2" xfId="23781" xr:uid="{00000000-0005-0000-0000-0000145C0000}"/>
    <cellStyle name="Input 21 2 3 2 2 2" xfId="23782" xr:uid="{00000000-0005-0000-0000-0000155C0000}"/>
    <cellStyle name="Input 21 2 3 2 2 2 2" xfId="23783" xr:uid="{00000000-0005-0000-0000-0000165C0000}"/>
    <cellStyle name="Input 21 2 3 2 2 3" xfId="23784" xr:uid="{00000000-0005-0000-0000-0000175C0000}"/>
    <cellStyle name="Input 21 2 3 2 2 3 2" xfId="23785" xr:uid="{00000000-0005-0000-0000-0000185C0000}"/>
    <cellStyle name="Input 21 2 3 2 2 4" xfId="23786" xr:uid="{00000000-0005-0000-0000-0000195C0000}"/>
    <cellStyle name="Input 21 2 3 2 2 5" xfId="23787" xr:uid="{00000000-0005-0000-0000-00001A5C0000}"/>
    <cellStyle name="Input 21 2 3 2 2 6" xfId="23788" xr:uid="{00000000-0005-0000-0000-00001B5C0000}"/>
    <cellStyle name="Input 21 2 3 2 3" xfId="23789" xr:uid="{00000000-0005-0000-0000-00001C5C0000}"/>
    <cellStyle name="Input 21 2 3 2 3 2" xfId="23790" xr:uid="{00000000-0005-0000-0000-00001D5C0000}"/>
    <cellStyle name="Input 21 2 3 2 4" xfId="23791" xr:uid="{00000000-0005-0000-0000-00001E5C0000}"/>
    <cellStyle name="Input 21 2 3 2 4 2" xfId="23792" xr:uid="{00000000-0005-0000-0000-00001F5C0000}"/>
    <cellStyle name="Input 21 2 3 2 5" xfId="23793" xr:uid="{00000000-0005-0000-0000-0000205C0000}"/>
    <cellStyle name="Input 21 2 3 2 6" xfId="23794" xr:uid="{00000000-0005-0000-0000-0000215C0000}"/>
    <cellStyle name="Input 21 2 3 2 7" xfId="23795" xr:uid="{00000000-0005-0000-0000-0000225C0000}"/>
    <cellStyle name="Input 21 2 3 3" xfId="23796" xr:uid="{00000000-0005-0000-0000-0000235C0000}"/>
    <cellStyle name="Input 21 2 3 3 2" xfId="23797" xr:uid="{00000000-0005-0000-0000-0000245C0000}"/>
    <cellStyle name="Input 21 2 3 3 2 2" xfId="23798" xr:uid="{00000000-0005-0000-0000-0000255C0000}"/>
    <cellStyle name="Input 21 2 3 3 3" xfId="23799" xr:uid="{00000000-0005-0000-0000-0000265C0000}"/>
    <cellStyle name="Input 21 2 3 3 3 2" xfId="23800" xr:uid="{00000000-0005-0000-0000-0000275C0000}"/>
    <cellStyle name="Input 21 2 3 3 4" xfId="23801" xr:uid="{00000000-0005-0000-0000-0000285C0000}"/>
    <cellStyle name="Input 21 2 3 3 5" xfId="23802" xr:uid="{00000000-0005-0000-0000-0000295C0000}"/>
    <cellStyle name="Input 21 2 3 3 6" xfId="23803" xr:uid="{00000000-0005-0000-0000-00002A5C0000}"/>
    <cellStyle name="Input 21 2 3 4" xfId="23804" xr:uid="{00000000-0005-0000-0000-00002B5C0000}"/>
    <cellStyle name="Input 21 2 3 4 2" xfId="23805" xr:uid="{00000000-0005-0000-0000-00002C5C0000}"/>
    <cellStyle name="Input 21 2 3 5" xfId="23806" xr:uid="{00000000-0005-0000-0000-00002D5C0000}"/>
    <cellStyle name="Input 21 2 3 5 2" xfId="23807" xr:uid="{00000000-0005-0000-0000-00002E5C0000}"/>
    <cellStyle name="Input 21 2 3 6" xfId="23808" xr:uid="{00000000-0005-0000-0000-00002F5C0000}"/>
    <cellStyle name="Input 21 2 3 7" xfId="23809" xr:uid="{00000000-0005-0000-0000-0000305C0000}"/>
    <cellStyle name="Input 21 2 3 8" xfId="23810" xr:uid="{00000000-0005-0000-0000-0000315C0000}"/>
    <cellStyle name="Input 21 2 4" xfId="23811" xr:uid="{00000000-0005-0000-0000-0000325C0000}"/>
    <cellStyle name="Input 21 2 4 2" xfId="23812" xr:uid="{00000000-0005-0000-0000-0000335C0000}"/>
    <cellStyle name="Input 21 2 4 2 2" xfId="23813" xr:uid="{00000000-0005-0000-0000-0000345C0000}"/>
    <cellStyle name="Input 21 2 4 2 2 2" xfId="23814" xr:uid="{00000000-0005-0000-0000-0000355C0000}"/>
    <cellStyle name="Input 21 2 4 2 2 2 2" xfId="23815" xr:uid="{00000000-0005-0000-0000-0000365C0000}"/>
    <cellStyle name="Input 21 2 4 2 2 3" xfId="23816" xr:uid="{00000000-0005-0000-0000-0000375C0000}"/>
    <cellStyle name="Input 21 2 4 2 2 3 2" xfId="23817" xr:uid="{00000000-0005-0000-0000-0000385C0000}"/>
    <cellStyle name="Input 21 2 4 2 2 4" xfId="23818" xr:uid="{00000000-0005-0000-0000-0000395C0000}"/>
    <cellStyle name="Input 21 2 4 2 2 5" xfId="23819" xr:uid="{00000000-0005-0000-0000-00003A5C0000}"/>
    <cellStyle name="Input 21 2 4 2 2 6" xfId="23820" xr:uid="{00000000-0005-0000-0000-00003B5C0000}"/>
    <cellStyle name="Input 21 2 4 2 3" xfId="23821" xr:uid="{00000000-0005-0000-0000-00003C5C0000}"/>
    <cellStyle name="Input 21 2 4 2 3 2" xfId="23822" xr:uid="{00000000-0005-0000-0000-00003D5C0000}"/>
    <cellStyle name="Input 21 2 4 2 4" xfId="23823" xr:uid="{00000000-0005-0000-0000-00003E5C0000}"/>
    <cellStyle name="Input 21 2 4 2 4 2" xfId="23824" xr:uid="{00000000-0005-0000-0000-00003F5C0000}"/>
    <cellStyle name="Input 21 2 4 2 5" xfId="23825" xr:uid="{00000000-0005-0000-0000-0000405C0000}"/>
    <cellStyle name="Input 21 2 4 2 6" xfId="23826" xr:uid="{00000000-0005-0000-0000-0000415C0000}"/>
    <cellStyle name="Input 21 2 4 2 7" xfId="23827" xr:uid="{00000000-0005-0000-0000-0000425C0000}"/>
    <cellStyle name="Input 21 2 4 3" xfId="23828" xr:uid="{00000000-0005-0000-0000-0000435C0000}"/>
    <cellStyle name="Input 21 2 4 3 2" xfId="23829" xr:uid="{00000000-0005-0000-0000-0000445C0000}"/>
    <cellStyle name="Input 21 2 4 3 2 2" xfId="23830" xr:uid="{00000000-0005-0000-0000-0000455C0000}"/>
    <cellStyle name="Input 21 2 4 3 3" xfId="23831" xr:uid="{00000000-0005-0000-0000-0000465C0000}"/>
    <cellStyle name="Input 21 2 4 3 3 2" xfId="23832" xr:uid="{00000000-0005-0000-0000-0000475C0000}"/>
    <cellStyle name="Input 21 2 4 3 4" xfId="23833" xr:uid="{00000000-0005-0000-0000-0000485C0000}"/>
    <cellStyle name="Input 21 2 4 3 5" xfId="23834" xr:uid="{00000000-0005-0000-0000-0000495C0000}"/>
    <cellStyle name="Input 21 2 4 3 6" xfId="23835" xr:uid="{00000000-0005-0000-0000-00004A5C0000}"/>
    <cellStyle name="Input 21 2 4 4" xfId="23836" xr:uid="{00000000-0005-0000-0000-00004B5C0000}"/>
    <cellStyle name="Input 21 2 4 4 2" xfId="23837" xr:uid="{00000000-0005-0000-0000-00004C5C0000}"/>
    <cellStyle name="Input 21 2 4 5" xfId="23838" xr:uid="{00000000-0005-0000-0000-00004D5C0000}"/>
    <cellStyle name="Input 21 2 4 5 2" xfId="23839" xr:uid="{00000000-0005-0000-0000-00004E5C0000}"/>
    <cellStyle name="Input 21 2 4 6" xfId="23840" xr:uid="{00000000-0005-0000-0000-00004F5C0000}"/>
    <cellStyle name="Input 21 2 4 7" xfId="23841" xr:uid="{00000000-0005-0000-0000-0000505C0000}"/>
    <cellStyle name="Input 21 2 4 8" xfId="23842" xr:uid="{00000000-0005-0000-0000-0000515C0000}"/>
    <cellStyle name="Input 21 2 5" xfId="23843" xr:uid="{00000000-0005-0000-0000-0000525C0000}"/>
    <cellStyle name="Input 21 2 5 2" xfId="23844" xr:uid="{00000000-0005-0000-0000-0000535C0000}"/>
    <cellStyle name="Input 21 2 5 2 2" xfId="23845" xr:uid="{00000000-0005-0000-0000-0000545C0000}"/>
    <cellStyle name="Input 21 2 5 2 2 2" xfId="23846" xr:uid="{00000000-0005-0000-0000-0000555C0000}"/>
    <cellStyle name="Input 21 2 5 2 3" xfId="23847" xr:uid="{00000000-0005-0000-0000-0000565C0000}"/>
    <cellStyle name="Input 21 2 5 2 3 2" xfId="23848" xr:uid="{00000000-0005-0000-0000-0000575C0000}"/>
    <cellStyle name="Input 21 2 5 2 4" xfId="23849" xr:uid="{00000000-0005-0000-0000-0000585C0000}"/>
    <cellStyle name="Input 21 2 5 2 5" xfId="23850" xr:uid="{00000000-0005-0000-0000-0000595C0000}"/>
    <cellStyle name="Input 21 2 5 2 6" xfId="23851" xr:uid="{00000000-0005-0000-0000-00005A5C0000}"/>
    <cellStyle name="Input 21 2 5 3" xfId="23852" xr:uid="{00000000-0005-0000-0000-00005B5C0000}"/>
    <cellStyle name="Input 21 2 5 3 2" xfId="23853" xr:uid="{00000000-0005-0000-0000-00005C5C0000}"/>
    <cellStyle name="Input 21 2 5 4" xfId="23854" xr:uid="{00000000-0005-0000-0000-00005D5C0000}"/>
    <cellStyle name="Input 21 2 5 4 2" xfId="23855" xr:uid="{00000000-0005-0000-0000-00005E5C0000}"/>
    <cellStyle name="Input 21 2 5 5" xfId="23856" xr:uid="{00000000-0005-0000-0000-00005F5C0000}"/>
    <cellStyle name="Input 21 2 5 6" xfId="23857" xr:uid="{00000000-0005-0000-0000-0000605C0000}"/>
    <cellStyle name="Input 21 2 5 7" xfId="23858" xr:uid="{00000000-0005-0000-0000-0000615C0000}"/>
    <cellStyle name="Input 21 2 6" xfId="23859" xr:uid="{00000000-0005-0000-0000-0000625C0000}"/>
    <cellStyle name="Input 21 2 6 2" xfId="23860" xr:uid="{00000000-0005-0000-0000-0000635C0000}"/>
    <cellStyle name="Input 21 2 6 2 2" xfId="23861" xr:uid="{00000000-0005-0000-0000-0000645C0000}"/>
    <cellStyle name="Input 21 2 6 3" xfId="23862" xr:uid="{00000000-0005-0000-0000-0000655C0000}"/>
    <cellStyle name="Input 21 2 6 3 2" xfId="23863" xr:uid="{00000000-0005-0000-0000-0000665C0000}"/>
    <cellStyle name="Input 21 2 6 4" xfId="23864" xr:uid="{00000000-0005-0000-0000-0000675C0000}"/>
    <cellStyle name="Input 21 2 6 5" xfId="23865" xr:uid="{00000000-0005-0000-0000-0000685C0000}"/>
    <cellStyle name="Input 21 2 6 6" xfId="23866" xr:uid="{00000000-0005-0000-0000-0000695C0000}"/>
    <cellStyle name="Input 21 2 7" xfId="23867" xr:uid="{00000000-0005-0000-0000-00006A5C0000}"/>
    <cellStyle name="Input 21 2 7 2" xfId="23868" xr:uid="{00000000-0005-0000-0000-00006B5C0000}"/>
    <cellStyle name="Input 21 2 8" xfId="23869" xr:uid="{00000000-0005-0000-0000-00006C5C0000}"/>
    <cellStyle name="Input 21 2 8 2" xfId="23870" xr:uid="{00000000-0005-0000-0000-00006D5C0000}"/>
    <cellStyle name="Input 21 2 9" xfId="23871" xr:uid="{00000000-0005-0000-0000-00006E5C0000}"/>
    <cellStyle name="Input 21 3" xfId="23872" xr:uid="{00000000-0005-0000-0000-00006F5C0000}"/>
    <cellStyle name="Input 21 3 10" xfId="23873" xr:uid="{00000000-0005-0000-0000-0000705C0000}"/>
    <cellStyle name="Input 21 3 2" xfId="23874" xr:uid="{00000000-0005-0000-0000-0000715C0000}"/>
    <cellStyle name="Input 21 3 2 10" xfId="23875" xr:uid="{00000000-0005-0000-0000-0000725C0000}"/>
    <cellStyle name="Input 21 3 2 2" xfId="23876" xr:uid="{00000000-0005-0000-0000-0000735C0000}"/>
    <cellStyle name="Input 21 3 2 2 2" xfId="23877" xr:uid="{00000000-0005-0000-0000-0000745C0000}"/>
    <cellStyle name="Input 21 3 2 2 2 2" xfId="23878" xr:uid="{00000000-0005-0000-0000-0000755C0000}"/>
    <cellStyle name="Input 21 3 2 2 2 2 2" xfId="23879" xr:uid="{00000000-0005-0000-0000-0000765C0000}"/>
    <cellStyle name="Input 21 3 2 2 2 2 2 2" xfId="23880" xr:uid="{00000000-0005-0000-0000-0000775C0000}"/>
    <cellStyle name="Input 21 3 2 2 2 2 3" xfId="23881" xr:uid="{00000000-0005-0000-0000-0000785C0000}"/>
    <cellStyle name="Input 21 3 2 2 2 2 3 2" xfId="23882" xr:uid="{00000000-0005-0000-0000-0000795C0000}"/>
    <cellStyle name="Input 21 3 2 2 2 2 4" xfId="23883" xr:uid="{00000000-0005-0000-0000-00007A5C0000}"/>
    <cellStyle name="Input 21 3 2 2 2 2 5" xfId="23884" xr:uid="{00000000-0005-0000-0000-00007B5C0000}"/>
    <cellStyle name="Input 21 3 2 2 2 2 6" xfId="23885" xr:uid="{00000000-0005-0000-0000-00007C5C0000}"/>
    <cellStyle name="Input 21 3 2 2 2 3" xfId="23886" xr:uid="{00000000-0005-0000-0000-00007D5C0000}"/>
    <cellStyle name="Input 21 3 2 2 2 3 2" xfId="23887" xr:uid="{00000000-0005-0000-0000-00007E5C0000}"/>
    <cellStyle name="Input 21 3 2 2 2 4" xfId="23888" xr:uid="{00000000-0005-0000-0000-00007F5C0000}"/>
    <cellStyle name="Input 21 3 2 2 2 4 2" xfId="23889" xr:uid="{00000000-0005-0000-0000-0000805C0000}"/>
    <cellStyle name="Input 21 3 2 2 2 5" xfId="23890" xr:uid="{00000000-0005-0000-0000-0000815C0000}"/>
    <cellStyle name="Input 21 3 2 2 2 6" xfId="23891" xr:uid="{00000000-0005-0000-0000-0000825C0000}"/>
    <cellStyle name="Input 21 3 2 2 2 7" xfId="23892" xr:uid="{00000000-0005-0000-0000-0000835C0000}"/>
    <cellStyle name="Input 21 3 2 2 3" xfId="23893" xr:uid="{00000000-0005-0000-0000-0000845C0000}"/>
    <cellStyle name="Input 21 3 2 2 3 2" xfId="23894" xr:uid="{00000000-0005-0000-0000-0000855C0000}"/>
    <cellStyle name="Input 21 3 2 2 3 2 2" xfId="23895" xr:uid="{00000000-0005-0000-0000-0000865C0000}"/>
    <cellStyle name="Input 21 3 2 2 3 3" xfId="23896" xr:uid="{00000000-0005-0000-0000-0000875C0000}"/>
    <cellStyle name="Input 21 3 2 2 3 3 2" xfId="23897" xr:uid="{00000000-0005-0000-0000-0000885C0000}"/>
    <cellStyle name="Input 21 3 2 2 3 4" xfId="23898" xr:uid="{00000000-0005-0000-0000-0000895C0000}"/>
    <cellStyle name="Input 21 3 2 2 3 5" xfId="23899" xr:uid="{00000000-0005-0000-0000-00008A5C0000}"/>
    <cellStyle name="Input 21 3 2 2 3 6" xfId="23900" xr:uid="{00000000-0005-0000-0000-00008B5C0000}"/>
    <cellStyle name="Input 21 3 2 2 4" xfId="23901" xr:uid="{00000000-0005-0000-0000-00008C5C0000}"/>
    <cellStyle name="Input 21 3 2 2 4 2" xfId="23902" xr:uid="{00000000-0005-0000-0000-00008D5C0000}"/>
    <cellStyle name="Input 21 3 2 2 5" xfId="23903" xr:uid="{00000000-0005-0000-0000-00008E5C0000}"/>
    <cellStyle name="Input 21 3 2 2 5 2" xfId="23904" xr:uid="{00000000-0005-0000-0000-00008F5C0000}"/>
    <cellStyle name="Input 21 3 2 2 6" xfId="23905" xr:uid="{00000000-0005-0000-0000-0000905C0000}"/>
    <cellStyle name="Input 21 3 2 2 7" xfId="23906" xr:uid="{00000000-0005-0000-0000-0000915C0000}"/>
    <cellStyle name="Input 21 3 2 2 8" xfId="23907" xr:uid="{00000000-0005-0000-0000-0000925C0000}"/>
    <cellStyle name="Input 21 3 2 3" xfId="23908" xr:uid="{00000000-0005-0000-0000-0000935C0000}"/>
    <cellStyle name="Input 21 3 2 3 2" xfId="23909" xr:uid="{00000000-0005-0000-0000-0000945C0000}"/>
    <cellStyle name="Input 21 3 2 3 2 2" xfId="23910" xr:uid="{00000000-0005-0000-0000-0000955C0000}"/>
    <cellStyle name="Input 21 3 2 3 2 2 2" xfId="23911" xr:uid="{00000000-0005-0000-0000-0000965C0000}"/>
    <cellStyle name="Input 21 3 2 3 2 2 2 2" xfId="23912" xr:uid="{00000000-0005-0000-0000-0000975C0000}"/>
    <cellStyle name="Input 21 3 2 3 2 2 3" xfId="23913" xr:uid="{00000000-0005-0000-0000-0000985C0000}"/>
    <cellStyle name="Input 21 3 2 3 2 2 3 2" xfId="23914" xr:uid="{00000000-0005-0000-0000-0000995C0000}"/>
    <cellStyle name="Input 21 3 2 3 2 2 4" xfId="23915" xr:uid="{00000000-0005-0000-0000-00009A5C0000}"/>
    <cellStyle name="Input 21 3 2 3 2 2 5" xfId="23916" xr:uid="{00000000-0005-0000-0000-00009B5C0000}"/>
    <cellStyle name="Input 21 3 2 3 2 2 6" xfId="23917" xr:uid="{00000000-0005-0000-0000-00009C5C0000}"/>
    <cellStyle name="Input 21 3 2 3 2 3" xfId="23918" xr:uid="{00000000-0005-0000-0000-00009D5C0000}"/>
    <cellStyle name="Input 21 3 2 3 2 3 2" xfId="23919" xr:uid="{00000000-0005-0000-0000-00009E5C0000}"/>
    <cellStyle name="Input 21 3 2 3 2 4" xfId="23920" xr:uid="{00000000-0005-0000-0000-00009F5C0000}"/>
    <cellStyle name="Input 21 3 2 3 2 4 2" xfId="23921" xr:uid="{00000000-0005-0000-0000-0000A05C0000}"/>
    <cellStyle name="Input 21 3 2 3 2 5" xfId="23922" xr:uid="{00000000-0005-0000-0000-0000A15C0000}"/>
    <cellStyle name="Input 21 3 2 3 2 6" xfId="23923" xr:uid="{00000000-0005-0000-0000-0000A25C0000}"/>
    <cellStyle name="Input 21 3 2 3 2 7" xfId="23924" xr:uid="{00000000-0005-0000-0000-0000A35C0000}"/>
    <cellStyle name="Input 21 3 2 3 3" xfId="23925" xr:uid="{00000000-0005-0000-0000-0000A45C0000}"/>
    <cellStyle name="Input 21 3 2 3 3 2" xfId="23926" xr:uid="{00000000-0005-0000-0000-0000A55C0000}"/>
    <cellStyle name="Input 21 3 2 3 3 2 2" xfId="23927" xr:uid="{00000000-0005-0000-0000-0000A65C0000}"/>
    <cellStyle name="Input 21 3 2 3 3 3" xfId="23928" xr:uid="{00000000-0005-0000-0000-0000A75C0000}"/>
    <cellStyle name="Input 21 3 2 3 3 3 2" xfId="23929" xr:uid="{00000000-0005-0000-0000-0000A85C0000}"/>
    <cellStyle name="Input 21 3 2 3 3 4" xfId="23930" xr:uid="{00000000-0005-0000-0000-0000A95C0000}"/>
    <cellStyle name="Input 21 3 2 3 3 5" xfId="23931" xr:uid="{00000000-0005-0000-0000-0000AA5C0000}"/>
    <cellStyle name="Input 21 3 2 3 3 6" xfId="23932" xr:uid="{00000000-0005-0000-0000-0000AB5C0000}"/>
    <cellStyle name="Input 21 3 2 3 4" xfId="23933" xr:uid="{00000000-0005-0000-0000-0000AC5C0000}"/>
    <cellStyle name="Input 21 3 2 3 4 2" xfId="23934" xr:uid="{00000000-0005-0000-0000-0000AD5C0000}"/>
    <cellStyle name="Input 21 3 2 3 5" xfId="23935" xr:uid="{00000000-0005-0000-0000-0000AE5C0000}"/>
    <cellStyle name="Input 21 3 2 3 5 2" xfId="23936" xr:uid="{00000000-0005-0000-0000-0000AF5C0000}"/>
    <cellStyle name="Input 21 3 2 3 6" xfId="23937" xr:uid="{00000000-0005-0000-0000-0000B05C0000}"/>
    <cellStyle name="Input 21 3 2 3 7" xfId="23938" xr:uid="{00000000-0005-0000-0000-0000B15C0000}"/>
    <cellStyle name="Input 21 3 2 3 8" xfId="23939" xr:uid="{00000000-0005-0000-0000-0000B25C0000}"/>
    <cellStyle name="Input 21 3 2 4" xfId="23940" xr:uid="{00000000-0005-0000-0000-0000B35C0000}"/>
    <cellStyle name="Input 21 3 2 4 2" xfId="23941" xr:uid="{00000000-0005-0000-0000-0000B45C0000}"/>
    <cellStyle name="Input 21 3 2 4 2 2" xfId="23942" xr:uid="{00000000-0005-0000-0000-0000B55C0000}"/>
    <cellStyle name="Input 21 3 2 4 2 2 2" xfId="23943" xr:uid="{00000000-0005-0000-0000-0000B65C0000}"/>
    <cellStyle name="Input 21 3 2 4 2 3" xfId="23944" xr:uid="{00000000-0005-0000-0000-0000B75C0000}"/>
    <cellStyle name="Input 21 3 2 4 2 3 2" xfId="23945" xr:uid="{00000000-0005-0000-0000-0000B85C0000}"/>
    <cellStyle name="Input 21 3 2 4 2 4" xfId="23946" xr:uid="{00000000-0005-0000-0000-0000B95C0000}"/>
    <cellStyle name="Input 21 3 2 4 2 5" xfId="23947" xr:uid="{00000000-0005-0000-0000-0000BA5C0000}"/>
    <cellStyle name="Input 21 3 2 4 2 6" xfId="23948" xr:uid="{00000000-0005-0000-0000-0000BB5C0000}"/>
    <cellStyle name="Input 21 3 2 4 3" xfId="23949" xr:uid="{00000000-0005-0000-0000-0000BC5C0000}"/>
    <cellStyle name="Input 21 3 2 4 3 2" xfId="23950" xr:uid="{00000000-0005-0000-0000-0000BD5C0000}"/>
    <cellStyle name="Input 21 3 2 4 4" xfId="23951" xr:uid="{00000000-0005-0000-0000-0000BE5C0000}"/>
    <cellStyle name="Input 21 3 2 4 4 2" xfId="23952" xr:uid="{00000000-0005-0000-0000-0000BF5C0000}"/>
    <cellStyle name="Input 21 3 2 4 5" xfId="23953" xr:uid="{00000000-0005-0000-0000-0000C05C0000}"/>
    <cellStyle name="Input 21 3 2 4 6" xfId="23954" xr:uid="{00000000-0005-0000-0000-0000C15C0000}"/>
    <cellStyle name="Input 21 3 2 4 7" xfId="23955" xr:uid="{00000000-0005-0000-0000-0000C25C0000}"/>
    <cellStyle name="Input 21 3 2 5" xfId="23956" xr:uid="{00000000-0005-0000-0000-0000C35C0000}"/>
    <cellStyle name="Input 21 3 2 5 2" xfId="23957" xr:uid="{00000000-0005-0000-0000-0000C45C0000}"/>
    <cellStyle name="Input 21 3 2 5 2 2" xfId="23958" xr:uid="{00000000-0005-0000-0000-0000C55C0000}"/>
    <cellStyle name="Input 21 3 2 5 3" xfId="23959" xr:uid="{00000000-0005-0000-0000-0000C65C0000}"/>
    <cellStyle name="Input 21 3 2 5 3 2" xfId="23960" xr:uid="{00000000-0005-0000-0000-0000C75C0000}"/>
    <cellStyle name="Input 21 3 2 5 4" xfId="23961" xr:uid="{00000000-0005-0000-0000-0000C85C0000}"/>
    <cellStyle name="Input 21 3 2 5 5" xfId="23962" xr:uid="{00000000-0005-0000-0000-0000C95C0000}"/>
    <cellStyle name="Input 21 3 2 5 6" xfId="23963" xr:uid="{00000000-0005-0000-0000-0000CA5C0000}"/>
    <cellStyle name="Input 21 3 2 6" xfId="23964" xr:uid="{00000000-0005-0000-0000-0000CB5C0000}"/>
    <cellStyle name="Input 21 3 2 6 2" xfId="23965" xr:uid="{00000000-0005-0000-0000-0000CC5C0000}"/>
    <cellStyle name="Input 21 3 2 7" xfId="23966" xr:uid="{00000000-0005-0000-0000-0000CD5C0000}"/>
    <cellStyle name="Input 21 3 2 7 2" xfId="23967" xr:uid="{00000000-0005-0000-0000-0000CE5C0000}"/>
    <cellStyle name="Input 21 3 2 8" xfId="23968" xr:uid="{00000000-0005-0000-0000-0000CF5C0000}"/>
    <cellStyle name="Input 21 3 2 9" xfId="23969" xr:uid="{00000000-0005-0000-0000-0000D05C0000}"/>
    <cellStyle name="Input 21 3 3" xfId="23970" xr:uid="{00000000-0005-0000-0000-0000D15C0000}"/>
    <cellStyle name="Input 21 3 3 2" xfId="23971" xr:uid="{00000000-0005-0000-0000-0000D25C0000}"/>
    <cellStyle name="Input 21 3 3 2 2" xfId="23972" xr:uid="{00000000-0005-0000-0000-0000D35C0000}"/>
    <cellStyle name="Input 21 3 3 2 2 2" xfId="23973" xr:uid="{00000000-0005-0000-0000-0000D45C0000}"/>
    <cellStyle name="Input 21 3 3 2 2 2 2" xfId="23974" xr:uid="{00000000-0005-0000-0000-0000D55C0000}"/>
    <cellStyle name="Input 21 3 3 2 2 3" xfId="23975" xr:uid="{00000000-0005-0000-0000-0000D65C0000}"/>
    <cellStyle name="Input 21 3 3 2 2 3 2" xfId="23976" xr:uid="{00000000-0005-0000-0000-0000D75C0000}"/>
    <cellStyle name="Input 21 3 3 2 2 4" xfId="23977" xr:uid="{00000000-0005-0000-0000-0000D85C0000}"/>
    <cellStyle name="Input 21 3 3 2 2 5" xfId="23978" xr:uid="{00000000-0005-0000-0000-0000D95C0000}"/>
    <cellStyle name="Input 21 3 3 2 2 6" xfId="23979" xr:uid="{00000000-0005-0000-0000-0000DA5C0000}"/>
    <cellStyle name="Input 21 3 3 2 3" xfId="23980" xr:uid="{00000000-0005-0000-0000-0000DB5C0000}"/>
    <cellStyle name="Input 21 3 3 2 3 2" xfId="23981" xr:uid="{00000000-0005-0000-0000-0000DC5C0000}"/>
    <cellStyle name="Input 21 3 3 2 4" xfId="23982" xr:uid="{00000000-0005-0000-0000-0000DD5C0000}"/>
    <cellStyle name="Input 21 3 3 2 4 2" xfId="23983" xr:uid="{00000000-0005-0000-0000-0000DE5C0000}"/>
    <cellStyle name="Input 21 3 3 2 5" xfId="23984" xr:uid="{00000000-0005-0000-0000-0000DF5C0000}"/>
    <cellStyle name="Input 21 3 3 2 6" xfId="23985" xr:uid="{00000000-0005-0000-0000-0000E05C0000}"/>
    <cellStyle name="Input 21 3 3 2 7" xfId="23986" xr:uid="{00000000-0005-0000-0000-0000E15C0000}"/>
    <cellStyle name="Input 21 3 3 3" xfId="23987" xr:uid="{00000000-0005-0000-0000-0000E25C0000}"/>
    <cellStyle name="Input 21 3 3 3 2" xfId="23988" xr:uid="{00000000-0005-0000-0000-0000E35C0000}"/>
    <cellStyle name="Input 21 3 3 3 2 2" xfId="23989" xr:uid="{00000000-0005-0000-0000-0000E45C0000}"/>
    <cellStyle name="Input 21 3 3 3 3" xfId="23990" xr:uid="{00000000-0005-0000-0000-0000E55C0000}"/>
    <cellStyle name="Input 21 3 3 3 3 2" xfId="23991" xr:uid="{00000000-0005-0000-0000-0000E65C0000}"/>
    <cellStyle name="Input 21 3 3 3 4" xfId="23992" xr:uid="{00000000-0005-0000-0000-0000E75C0000}"/>
    <cellStyle name="Input 21 3 3 3 5" xfId="23993" xr:uid="{00000000-0005-0000-0000-0000E85C0000}"/>
    <cellStyle name="Input 21 3 3 3 6" xfId="23994" xr:uid="{00000000-0005-0000-0000-0000E95C0000}"/>
    <cellStyle name="Input 21 3 3 4" xfId="23995" xr:uid="{00000000-0005-0000-0000-0000EA5C0000}"/>
    <cellStyle name="Input 21 3 3 4 2" xfId="23996" xr:uid="{00000000-0005-0000-0000-0000EB5C0000}"/>
    <cellStyle name="Input 21 3 3 5" xfId="23997" xr:uid="{00000000-0005-0000-0000-0000EC5C0000}"/>
    <cellStyle name="Input 21 3 3 5 2" xfId="23998" xr:uid="{00000000-0005-0000-0000-0000ED5C0000}"/>
    <cellStyle name="Input 21 3 3 6" xfId="23999" xr:uid="{00000000-0005-0000-0000-0000EE5C0000}"/>
    <cellStyle name="Input 21 3 3 7" xfId="24000" xr:uid="{00000000-0005-0000-0000-0000EF5C0000}"/>
    <cellStyle name="Input 21 3 3 8" xfId="24001" xr:uid="{00000000-0005-0000-0000-0000F05C0000}"/>
    <cellStyle name="Input 21 3 4" xfId="24002" xr:uid="{00000000-0005-0000-0000-0000F15C0000}"/>
    <cellStyle name="Input 21 3 4 2" xfId="24003" xr:uid="{00000000-0005-0000-0000-0000F25C0000}"/>
    <cellStyle name="Input 21 3 4 2 2" xfId="24004" xr:uid="{00000000-0005-0000-0000-0000F35C0000}"/>
    <cellStyle name="Input 21 3 4 2 2 2" xfId="24005" xr:uid="{00000000-0005-0000-0000-0000F45C0000}"/>
    <cellStyle name="Input 21 3 4 2 3" xfId="24006" xr:uid="{00000000-0005-0000-0000-0000F55C0000}"/>
    <cellStyle name="Input 21 3 4 2 3 2" xfId="24007" xr:uid="{00000000-0005-0000-0000-0000F65C0000}"/>
    <cellStyle name="Input 21 3 4 2 4" xfId="24008" xr:uid="{00000000-0005-0000-0000-0000F75C0000}"/>
    <cellStyle name="Input 21 3 4 2 5" xfId="24009" xr:uid="{00000000-0005-0000-0000-0000F85C0000}"/>
    <cellStyle name="Input 21 3 4 2 6" xfId="24010" xr:uid="{00000000-0005-0000-0000-0000F95C0000}"/>
    <cellStyle name="Input 21 3 4 3" xfId="24011" xr:uid="{00000000-0005-0000-0000-0000FA5C0000}"/>
    <cellStyle name="Input 21 3 4 3 2" xfId="24012" xr:uid="{00000000-0005-0000-0000-0000FB5C0000}"/>
    <cellStyle name="Input 21 3 4 4" xfId="24013" xr:uid="{00000000-0005-0000-0000-0000FC5C0000}"/>
    <cellStyle name="Input 21 3 4 4 2" xfId="24014" xr:uid="{00000000-0005-0000-0000-0000FD5C0000}"/>
    <cellStyle name="Input 21 3 4 5" xfId="24015" xr:uid="{00000000-0005-0000-0000-0000FE5C0000}"/>
    <cellStyle name="Input 21 3 4 6" xfId="24016" xr:uid="{00000000-0005-0000-0000-0000FF5C0000}"/>
    <cellStyle name="Input 21 3 4 7" xfId="24017" xr:uid="{00000000-0005-0000-0000-0000005D0000}"/>
    <cellStyle name="Input 21 3 5" xfId="24018" xr:uid="{00000000-0005-0000-0000-0000015D0000}"/>
    <cellStyle name="Input 21 3 5 2" xfId="24019" xr:uid="{00000000-0005-0000-0000-0000025D0000}"/>
    <cellStyle name="Input 21 3 5 2 2" xfId="24020" xr:uid="{00000000-0005-0000-0000-0000035D0000}"/>
    <cellStyle name="Input 21 3 5 3" xfId="24021" xr:uid="{00000000-0005-0000-0000-0000045D0000}"/>
    <cellStyle name="Input 21 3 5 3 2" xfId="24022" xr:uid="{00000000-0005-0000-0000-0000055D0000}"/>
    <cellStyle name="Input 21 3 5 4" xfId="24023" xr:uid="{00000000-0005-0000-0000-0000065D0000}"/>
    <cellStyle name="Input 21 3 5 5" xfId="24024" xr:uid="{00000000-0005-0000-0000-0000075D0000}"/>
    <cellStyle name="Input 21 3 5 6" xfId="24025" xr:uid="{00000000-0005-0000-0000-0000085D0000}"/>
    <cellStyle name="Input 21 3 6" xfId="24026" xr:uid="{00000000-0005-0000-0000-0000095D0000}"/>
    <cellStyle name="Input 21 3 6 2" xfId="24027" xr:uid="{00000000-0005-0000-0000-00000A5D0000}"/>
    <cellStyle name="Input 21 3 7" xfId="24028" xr:uid="{00000000-0005-0000-0000-00000B5D0000}"/>
    <cellStyle name="Input 21 3 7 2" xfId="24029" xr:uid="{00000000-0005-0000-0000-00000C5D0000}"/>
    <cellStyle name="Input 21 3 8" xfId="24030" xr:uid="{00000000-0005-0000-0000-00000D5D0000}"/>
    <cellStyle name="Input 21 3 9" xfId="24031" xr:uid="{00000000-0005-0000-0000-00000E5D0000}"/>
    <cellStyle name="Input 21 4" xfId="24032" xr:uid="{00000000-0005-0000-0000-00000F5D0000}"/>
    <cellStyle name="Input 21 4 10" xfId="24033" xr:uid="{00000000-0005-0000-0000-0000105D0000}"/>
    <cellStyle name="Input 21 4 2" xfId="24034" xr:uid="{00000000-0005-0000-0000-0000115D0000}"/>
    <cellStyle name="Input 21 4 2 2" xfId="24035" xr:uid="{00000000-0005-0000-0000-0000125D0000}"/>
    <cellStyle name="Input 21 4 2 2 2" xfId="24036" xr:uid="{00000000-0005-0000-0000-0000135D0000}"/>
    <cellStyle name="Input 21 4 2 2 2 2" xfId="24037" xr:uid="{00000000-0005-0000-0000-0000145D0000}"/>
    <cellStyle name="Input 21 4 2 2 2 2 2" xfId="24038" xr:uid="{00000000-0005-0000-0000-0000155D0000}"/>
    <cellStyle name="Input 21 4 2 2 2 3" xfId="24039" xr:uid="{00000000-0005-0000-0000-0000165D0000}"/>
    <cellStyle name="Input 21 4 2 2 2 3 2" xfId="24040" xr:uid="{00000000-0005-0000-0000-0000175D0000}"/>
    <cellStyle name="Input 21 4 2 2 2 4" xfId="24041" xr:uid="{00000000-0005-0000-0000-0000185D0000}"/>
    <cellStyle name="Input 21 4 2 2 2 5" xfId="24042" xr:uid="{00000000-0005-0000-0000-0000195D0000}"/>
    <cellStyle name="Input 21 4 2 2 2 6" xfId="24043" xr:uid="{00000000-0005-0000-0000-00001A5D0000}"/>
    <cellStyle name="Input 21 4 2 2 3" xfId="24044" xr:uid="{00000000-0005-0000-0000-00001B5D0000}"/>
    <cellStyle name="Input 21 4 2 2 3 2" xfId="24045" xr:uid="{00000000-0005-0000-0000-00001C5D0000}"/>
    <cellStyle name="Input 21 4 2 2 4" xfId="24046" xr:uid="{00000000-0005-0000-0000-00001D5D0000}"/>
    <cellStyle name="Input 21 4 2 2 4 2" xfId="24047" xr:uid="{00000000-0005-0000-0000-00001E5D0000}"/>
    <cellStyle name="Input 21 4 2 2 5" xfId="24048" xr:uid="{00000000-0005-0000-0000-00001F5D0000}"/>
    <cellStyle name="Input 21 4 2 2 6" xfId="24049" xr:uid="{00000000-0005-0000-0000-0000205D0000}"/>
    <cellStyle name="Input 21 4 2 2 7" xfId="24050" xr:uid="{00000000-0005-0000-0000-0000215D0000}"/>
    <cellStyle name="Input 21 4 2 3" xfId="24051" xr:uid="{00000000-0005-0000-0000-0000225D0000}"/>
    <cellStyle name="Input 21 4 2 3 2" xfId="24052" xr:uid="{00000000-0005-0000-0000-0000235D0000}"/>
    <cellStyle name="Input 21 4 2 3 2 2" xfId="24053" xr:uid="{00000000-0005-0000-0000-0000245D0000}"/>
    <cellStyle name="Input 21 4 2 3 3" xfId="24054" xr:uid="{00000000-0005-0000-0000-0000255D0000}"/>
    <cellStyle name="Input 21 4 2 3 3 2" xfId="24055" xr:uid="{00000000-0005-0000-0000-0000265D0000}"/>
    <cellStyle name="Input 21 4 2 3 4" xfId="24056" xr:uid="{00000000-0005-0000-0000-0000275D0000}"/>
    <cellStyle name="Input 21 4 2 3 5" xfId="24057" xr:uid="{00000000-0005-0000-0000-0000285D0000}"/>
    <cellStyle name="Input 21 4 2 3 6" xfId="24058" xr:uid="{00000000-0005-0000-0000-0000295D0000}"/>
    <cellStyle name="Input 21 4 2 4" xfId="24059" xr:uid="{00000000-0005-0000-0000-00002A5D0000}"/>
    <cellStyle name="Input 21 4 2 4 2" xfId="24060" xr:uid="{00000000-0005-0000-0000-00002B5D0000}"/>
    <cellStyle name="Input 21 4 2 5" xfId="24061" xr:uid="{00000000-0005-0000-0000-00002C5D0000}"/>
    <cellStyle name="Input 21 4 2 5 2" xfId="24062" xr:uid="{00000000-0005-0000-0000-00002D5D0000}"/>
    <cellStyle name="Input 21 4 2 6" xfId="24063" xr:uid="{00000000-0005-0000-0000-00002E5D0000}"/>
    <cellStyle name="Input 21 4 2 7" xfId="24064" xr:uid="{00000000-0005-0000-0000-00002F5D0000}"/>
    <cellStyle name="Input 21 4 2 8" xfId="24065" xr:uid="{00000000-0005-0000-0000-0000305D0000}"/>
    <cellStyle name="Input 21 4 3" xfId="24066" xr:uid="{00000000-0005-0000-0000-0000315D0000}"/>
    <cellStyle name="Input 21 4 3 2" xfId="24067" xr:uid="{00000000-0005-0000-0000-0000325D0000}"/>
    <cellStyle name="Input 21 4 3 2 2" xfId="24068" xr:uid="{00000000-0005-0000-0000-0000335D0000}"/>
    <cellStyle name="Input 21 4 3 2 2 2" xfId="24069" xr:uid="{00000000-0005-0000-0000-0000345D0000}"/>
    <cellStyle name="Input 21 4 3 2 2 2 2" xfId="24070" xr:uid="{00000000-0005-0000-0000-0000355D0000}"/>
    <cellStyle name="Input 21 4 3 2 2 3" xfId="24071" xr:uid="{00000000-0005-0000-0000-0000365D0000}"/>
    <cellStyle name="Input 21 4 3 2 2 3 2" xfId="24072" xr:uid="{00000000-0005-0000-0000-0000375D0000}"/>
    <cellStyle name="Input 21 4 3 2 2 4" xfId="24073" xr:uid="{00000000-0005-0000-0000-0000385D0000}"/>
    <cellStyle name="Input 21 4 3 2 2 5" xfId="24074" xr:uid="{00000000-0005-0000-0000-0000395D0000}"/>
    <cellStyle name="Input 21 4 3 2 2 6" xfId="24075" xr:uid="{00000000-0005-0000-0000-00003A5D0000}"/>
    <cellStyle name="Input 21 4 3 2 3" xfId="24076" xr:uid="{00000000-0005-0000-0000-00003B5D0000}"/>
    <cellStyle name="Input 21 4 3 2 3 2" xfId="24077" xr:uid="{00000000-0005-0000-0000-00003C5D0000}"/>
    <cellStyle name="Input 21 4 3 2 4" xfId="24078" xr:uid="{00000000-0005-0000-0000-00003D5D0000}"/>
    <cellStyle name="Input 21 4 3 2 4 2" xfId="24079" xr:uid="{00000000-0005-0000-0000-00003E5D0000}"/>
    <cellStyle name="Input 21 4 3 2 5" xfId="24080" xr:uid="{00000000-0005-0000-0000-00003F5D0000}"/>
    <cellStyle name="Input 21 4 3 2 6" xfId="24081" xr:uid="{00000000-0005-0000-0000-0000405D0000}"/>
    <cellStyle name="Input 21 4 3 2 7" xfId="24082" xr:uid="{00000000-0005-0000-0000-0000415D0000}"/>
    <cellStyle name="Input 21 4 3 3" xfId="24083" xr:uid="{00000000-0005-0000-0000-0000425D0000}"/>
    <cellStyle name="Input 21 4 3 3 2" xfId="24084" xr:uid="{00000000-0005-0000-0000-0000435D0000}"/>
    <cellStyle name="Input 21 4 3 3 2 2" xfId="24085" xr:uid="{00000000-0005-0000-0000-0000445D0000}"/>
    <cellStyle name="Input 21 4 3 3 3" xfId="24086" xr:uid="{00000000-0005-0000-0000-0000455D0000}"/>
    <cellStyle name="Input 21 4 3 3 3 2" xfId="24087" xr:uid="{00000000-0005-0000-0000-0000465D0000}"/>
    <cellStyle name="Input 21 4 3 3 4" xfId="24088" xr:uid="{00000000-0005-0000-0000-0000475D0000}"/>
    <cellStyle name="Input 21 4 3 3 5" xfId="24089" xr:uid="{00000000-0005-0000-0000-0000485D0000}"/>
    <cellStyle name="Input 21 4 3 3 6" xfId="24090" xr:uid="{00000000-0005-0000-0000-0000495D0000}"/>
    <cellStyle name="Input 21 4 3 4" xfId="24091" xr:uid="{00000000-0005-0000-0000-00004A5D0000}"/>
    <cellStyle name="Input 21 4 3 4 2" xfId="24092" xr:uid="{00000000-0005-0000-0000-00004B5D0000}"/>
    <cellStyle name="Input 21 4 3 5" xfId="24093" xr:uid="{00000000-0005-0000-0000-00004C5D0000}"/>
    <cellStyle name="Input 21 4 3 5 2" xfId="24094" xr:uid="{00000000-0005-0000-0000-00004D5D0000}"/>
    <cellStyle name="Input 21 4 3 6" xfId="24095" xr:uid="{00000000-0005-0000-0000-00004E5D0000}"/>
    <cellStyle name="Input 21 4 3 7" xfId="24096" xr:uid="{00000000-0005-0000-0000-00004F5D0000}"/>
    <cellStyle name="Input 21 4 3 8" xfId="24097" xr:uid="{00000000-0005-0000-0000-0000505D0000}"/>
    <cellStyle name="Input 21 4 4" xfId="24098" xr:uid="{00000000-0005-0000-0000-0000515D0000}"/>
    <cellStyle name="Input 21 4 4 2" xfId="24099" xr:uid="{00000000-0005-0000-0000-0000525D0000}"/>
    <cellStyle name="Input 21 4 4 2 2" xfId="24100" xr:uid="{00000000-0005-0000-0000-0000535D0000}"/>
    <cellStyle name="Input 21 4 4 2 2 2" xfId="24101" xr:uid="{00000000-0005-0000-0000-0000545D0000}"/>
    <cellStyle name="Input 21 4 4 2 3" xfId="24102" xr:uid="{00000000-0005-0000-0000-0000555D0000}"/>
    <cellStyle name="Input 21 4 4 2 3 2" xfId="24103" xr:uid="{00000000-0005-0000-0000-0000565D0000}"/>
    <cellStyle name="Input 21 4 4 2 4" xfId="24104" xr:uid="{00000000-0005-0000-0000-0000575D0000}"/>
    <cellStyle name="Input 21 4 4 2 5" xfId="24105" xr:uid="{00000000-0005-0000-0000-0000585D0000}"/>
    <cellStyle name="Input 21 4 4 2 6" xfId="24106" xr:uid="{00000000-0005-0000-0000-0000595D0000}"/>
    <cellStyle name="Input 21 4 4 3" xfId="24107" xr:uid="{00000000-0005-0000-0000-00005A5D0000}"/>
    <cellStyle name="Input 21 4 4 3 2" xfId="24108" xr:uid="{00000000-0005-0000-0000-00005B5D0000}"/>
    <cellStyle name="Input 21 4 4 4" xfId="24109" xr:uid="{00000000-0005-0000-0000-00005C5D0000}"/>
    <cellStyle name="Input 21 4 4 4 2" xfId="24110" xr:uid="{00000000-0005-0000-0000-00005D5D0000}"/>
    <cellStyle name="Input 21 4 4 5" xfId="24111" xr:uid="{00000000-0005-0000-0000-00005E5D0000}"/>
    <cellStyle name="Input 21 4 4 6" xfId="24112" xr:uid="{00000000-0005-0000-0000-00005F5D0000}"/>
    <cellStyle name="Input 21 4 4 7" xfId="24113" xr:uid="{00000000-0005-0000-0000-0000605D0000}"/>
    <cellStyle name="Input 21 4 5" xfId="24114" xr:uid="{00000000-0005-0000-0000-0000615D0000}"/>
    <cellStyle name="Input 21 4 5 2" xfId="24115" xr:uid="{00000000-0005-0000-0000-0000625D0000}"/>
    <cellStyle name="Input 21 4 5 2 2" xfId="24116" xr:uid="{00000000-0005-0000-0000-0000635D0000}"/>
    <cellStyle name="Input 21 4 5 3" xfId="24117" xr:uid="{00000000-0005-0000-0000-0000645D0000}"/>
    <cellStyle name="Input 21 4 5 3 2" xfId="24118" xr:uid="{00000000-0005-0000-0000-0000655D0000}"/>
    <cellStyle name="Input 21 4 5 4" xfId="24119" xr:uid="{00000000-0005-0000-0000-0000665D0000}"/>
    <cellStyle name="Input 21 4 5 5" xfId="24120" xr:uid="{00000000-0005-0000-0000-0000675D0000}"/>
    <cellStyle name="Input 21 4 5 6" xfId="24121" xr:uid="{00000000-0005-0000-0000-0000685D0000}"/>
    <cellStyle name="Input 21 4 6" xfId="24122" xr:uid="{00000000-0005-0000-0000-0000695D0000}"/>
    <cellStyle name="Input 21 4 6 2" xfId="24123" xr:uid="{00000000-0005-0000-0000-00006A5D0000}"/>
    <cellStyle name="Input 21 4 7" xfId="24124" xr:uid="{00000000-0005-0000-0000-00006B5D0000}"/>
    <cellStyle name="Input 21 4 7 2" xfId="24125" xr:uid="{00000000-0005-0000-0000-00006C5D0000}"/>
    <cellStyle name="Input 21 4 8" xfId="24126" xr:uid="{00000000-0005-0000-0000-00006D5D0000}"/>
    <cellStyle name="Input 21 4 9" xfId="24127" xr:uid="{00000000-0005-0000-0000-00006E5D0000}"/>
    <cellStyle name="Input 21 5" xfId="24128" xr:uid="{00000000-0005-0000-0000-00006F5D0000}"/>
    <cellStyle name="Input 21 5 2" xfId="24129" xr:uid="{00000000-0005-0000-0000-0000705D0000}"/>
    <cellStyle name="Input 21 5 2 2" xfId="24130" xr:uid="{00000000-0005-0000-0000-0000715D0000}"/>
    <cellStyle name="Input 21 5 2 2 2" xfId="24131" xr:uid="{00000000-0005-0000-0000-0000725D0000}"/>
    <cellStyle name="Input 21 5 2 2 2 2" xfId="24132" xr:uid="{00000000-0005-0000-0000-0000735D0000}"/>
    <cellStyle name="Input 21 5 2 2 3" xfId="24133" xr:uid="{00000000-0005-0000-0000-0000745D0000}"/>
    <cellStyle name="Input 21 5 2 2 3 2" xfId="24134" xr:uid="{00000000-0005-0000-0000-0000755D0000}"/>
    <cellStyle name="Input 21 5 2 2 4" xfId="24135" xr:uid="{00000000-0005-0000-0000-0000765D0000}"/>
    <cellStyle name="Input 21 5 2 2 5" xfId="24136" xr:uid="{00000000-0005-0000-0000-0000775D0000}"/>
    <cellStyle name="Input 21 5 2 2 6" xfId="24137" xr:uid="{00000000-0005-0000-0000-0000785D0000}"/>
    <cellStyle name="Input 21 5 2 3" xfId="24138" xr:uid="{00000000-0005-0000-0000-0000795D0000}"/>
    <cellStyle name="Input 21 5 2 3 2" xfId="24139" xr:uid="{00000000-0005-0000-0000-00007A5D0000}"/>
    <cellStyle name="Input 21 5 2 4" xfId="24140" xr:uid="{00000000-0005-0000-0000-00007B5D0000}"/>
    <cellStyle name="Input 21 5 2 4 2" xfId="24141" xr:uid="{00000000-0005-0000-0000-00007C5D0000}"/>
    <cellStyle name="Input 21 5 2 5" xfId="24142" xr:uid="{00000000-0005-0000-0000-00007D5D0000}"/>
    <cellStyle name="Input 21 5 2 6" xfId="24143" xr:uid="{00000000-0005-0000-0000-00007E5D0000}"/>
    <cellStyle name="Input 21 5 2 7" xfId="24144" xr:uid="{00000000-0005-0000-0000-00007F5D0000}"/>
    <cellStyle name="Input 21 5 3" xfId="24145" xr:uid="{00000000-0005-0000-0000-0000805D0000}"/>
    <cellStyle name="Input 21 5 3 2" xfId="24146" xr:uid="{00000000-0005-0000-0000-0000815D0000}"/>
    <cellStyle name="Input 21 5 3 2 2" xfId="24147" xr:uid="{00000000-0005-0000-0000-0000825D0000}"/>
    <cellStyle name="Input 21 5 3 3" xfId="24148" xr:uid="{00000000-0005-0000-0000-0000835D0000}"/>
    <cellStyle name="Input 21 5 3 3 2" xfId="24149" xr:uid="{00000000-0005-0000-0000-0000845D0000}"/>
    <cellStyle name="Input 21 5 3 4" xfId="24150" xr:uid="{00000000-0005-0000-0000-0000855D0000}"/>
    <cellStyle name="Input 21 5 3 5" xfId="24151" xr:uid="{00000000-0005-0000-0000-0000865D0000}"/>
    <cellStyle name="Input 21 5 3 6" xfId="24152" xr:uid="{00000000-0005-0000-0000-0000875D0000}"/>
    <cellStyle name="Input 21 5 4" xfId="24153" xr:uid="{00000000-0005-0000-0000-0000885D0000}"/>
    <cellStyle name="Input 21 5 4 2" xfId="24154" xr:uid="{00000000-0005-0000-0000-0000895D0000}"/>
    <cellStyle name="Input 21 5 5" xfId="24155" xr:uid="{00000000-0005-0000-0000-00008A5D0000}"/>
    <cellStyle name="Input 21 5 5 2" xfId="24156" xr:uid="{00000000-0005-0000-0000-00008B5D0000}"/>
    <cellStyle name="Input 21 5 6" xfId="24157" xr:uid="{00000000-0005-0000-0000-00008C5D0000}"/>
    <cellStyle name="Input 21 5 7" xfId="24158" xr:uid="{00000000-0005-0000-0000-00008D5D0000}"/>
    <cellStyle name="Input 21 5 8" xfId="24159" xr:uid="{00000000-0005-0000-0000-00008E5D0000}"/>
    <cellStyle name="Input 21 6" xfId="24160" xr:uid="{00000000-0005-0000-0000-00008F5D0000}"/>
    <cellStyle name="Input 21 6 2" xfId="24161" xr:uid="{00000000-0005-0000-0000-0000905D0000}"/>
    <cellStyle name="Input 21 6 2 2" xfId="24162" xr:uid="{00000000-0005-0000-0000-0000915D0000}"/>
    <cellStyle name="Input 21 6 2 2 2" xfId="24163" xr:uid="{00000000-0005-0000-0000-0000925D0000}"/>
    <cellStyle name="Input 21 6 2 3" xfId="24164" xr:uid="{00000000-0005-0000-0000-0000935D0000}"/>
    <cellStyle name="Input 21 6 2 3 2" xfId="24165" xr:uid="{00000000-0005-0000-0000-0000945D0000}"/>
    <cellStyle name="Input 21 6 2 4" xfId="24166" xr:uid="{00000000-0005-0000-0000-0000955D0000}"/>
    <cellStyle name="Input 21 6 2 5" xfId="24167" xr:uid="{00000000-0005-0000-0000-0000965D0000}"/>
    <cellStyle name="Input 21 6 2 6" xfId="24168" xr:uid="{00000000-0005-0000-0000-0000975D0000}"/>
    <cellStyle name="Input 21 6 3" xfId="24169" xr:uid="{00000000-0005-0000-0000-0000985D0000}"/>
    <cellStyle name="Input 21 6 3 2" xfId="24170" xr:uid="{00000000-0005-0000-0000-0000995D0000}"/>
    <cellStyle name="Input 21 6 4" xfId="24171" xr:uid="{00000000-0005-0000-0000-00009A5D0000}"/>
    <cellStyle name="Input 21 6 4 2" xfId="24172" xr:uid="{00000000-0005-0000-0000-00009B5D0000}"/>
    <cellStyle name="Input 21 6 5" xfId="24173" xr:uid="{00000000-0005-0000-0000-00009C5D0000}"/>
    <cellStyle name="Input 21 6 6" xfId="24174" xr:uid="{00000000-0005-0000-0000-00009D5D0000}"/>
    <cellStyle name="Input 21 6 7" xfId="24175" xr:uid="{00000000-0005-0000-0000-00009E5D0000}"/>
    <cellStyle name="Input 21 7" xfId="24176" xr:uid="{00000000-0005-0000-0000-00009F5D0000}"/>
    <cellStyle name="Input 21 7 2" xfId="24177" xr:uid="{00000000-0005-0000-0000-0000A05D0000}"/>
    <cellStyle name="Input 21 7 2 2" xfId="24178" xr:uid="{00000000-0005-0000-0000-0000A15D0000}"/>
    <cellStyle name="Input 21 7 3" xfId="24179" xr:uid="{00000000-0005-0000-0000-0000A25D0000}"/>
    <cellStyle name="Input 21 7 3 2" xfId="24180" xr:uid="{00000000-0005-0000-0000-0000A35D0000}"/>
    <cellStyle name="Input 21 7 4" xfId="24181" xr:uid="{00000000-0005-0000-0000-0000A45D0000}"/>
    <cellStyle name="Input 21 7 5" xfId="24182" xr:uid="{00000000-0005-0000-0000-0000A55D0000}"/>
    <cellStyle name="Input 21 7 6" xfId="24183" xr:uid="{00000000-0005-0000-0000-0000A65D0000}"/>
    <cellStyle name="Input 21 8" xfId="24184" xr:uid="{00000000-0005-0000-0000-0000A75D0000}"/>
    <cellStyle name="Input 21 8 2" xfId="24185" xr:uid="{00000000-0005-0000-0000-0000A85D0000}"/>
    <cellStyle name="Input 21 9" xfId="24186" xr:uid="{00000000-0005-0000-0000-0000A95D0000}"/>
    <cellStyle name="Input 21 9 2" xfId="24187" xr:uid="{00000000-0005-0000-0000-0000AA5D0000}"/>
    <cellStyle name="Input 22" xfId="24188" xr:uid="{00000000-0005-0000-0000-0000AB5D0000}"/>
    <cellStyle name="Input 22 10" xfId="24189" xr:uid="{00000000-0005-0000-0000-0000AC5D0000}"/>
    <cellStyle name="Input 22 11" xfId="24190" xr:uid="{00000000-0005-0000-0000-0000AD5D0000}"/>
    <cellStyle name="Input 22 12" xfId="24191" xr:uid="{00000000-0005-0000-0000-0000AE5D0000}"/>
    <cellStyle name="Input 22 2" xfId="24192" xr:uid="{00000000-0005-0000-0000-0000AF5D0000}"/>
    <cellStyle name="Input 22 2 10" xfId="24193" xr:uid="{00000000-0005-0000-0000-0000B05D0000}"/>
    <cellStyle name="Input 22 2 11" xfId="24194" xr:uid="{00000000-0005-0000-0000-0000B15D0000}"/>
    <cellStyle name="Input 22 2 2" xfId="24195" xr:uid="{00000000-0005-0000-0000-0000B25D0000}"/>
    <cellStyle name="Input 22 2 2 10" xfId="24196" xr:uid="{00000000-0005-0000-0000-0000B35D0000}"/>
    <cellStyle name="Input 22 2 2 2" xfId="24197" xr:uid="{00000000-0005-0000-0000-0000B45D0000}"/>
    <cellStyle name="Input 22 2 2 2 2" xfId="24198" xr:uid="{00000000-0005-0000-0000-0000B55D0000}"/>
    <cellStyle name="Input 22 2 2 2 2 2" xfId="24199" xr:uid="{00000000-0005-0000-0000-0000B65D0000}"/>
    <cellStyle name="Input 22 2 2 2 2 2 2" xfId="24200" xr:uid="{00000000-0005-0000-0000-0000B75D0000}"/>
    <cellStyle name="Input 22 2 2 2 2 2 2 2" xfId="24201" xr:uid="{00000000-0005-0000-0000-0000B85D0000}"/>
    <cellStyle name="Input 22 2 2 2 2 2 3" xfId="24202" xr:uid="{00000000-0005-0000-0000-0000B95D0000}"/>
    <cellStyle name="Input 22 2 2 2 2 2 3 2" xfId="24203" xr:uid="{00000000-0005-0000-0000-0000BA5D0000}"/>
    <cellStyle name="Input 22 2 2 2 2 2 4" xfId="24204" xr:uid="{00000000-0005-0000-0000-0000BB5D0000}"/>
    <cellStyle name="Input 22 2 2 2 2 2 5" xfId="24205" xr:uid="{00000000-0005-0000-0000-0000BC5D0000}"/>
    <cellStyle name="Input 22 2 2 2 2 2 6" xfId="24206" xr:uid="{00000000-0005-0000-0000-0000BD5D0000}"/>
    <cellStyle name="Input 22 2 2 2 2 3" xfId="24207" xr:uid="{00000000-0005-0000-0000-0000BE5D0000}"/>
    <cellStyle name="Input 22 2 2 2 2 3 2" xfId="24208" xr:uid="{00000000-0005-0000-0000-0000BF5D0000}"/>
    <cellStyle name="Input 22 2 2 2 2 4" xfId="24209" xr:uid="{00000000-0005-0000-0000-0000C05D0000}"/>
    <cellStyle name="Input 22 2 2 2 2 4 2" xfId="24210" xr:uid="{00000000-0005-0000-0000-0000C15D0000}"/>
    <cellStyle name="Input 22 2 2 2 2 5" xfId="24211" xr:uid="{00000000-0005-0000-0000-0000C25D0000}"/>
    <cellStyle name="Input 22 2 2 2 2 6" xfId="24212" xr:uid="{00000000-0005-0000-0000-0000C35D0000}"/>
    <cellStyle name="Input 22 2 2 2 2 7" xfId="24213" xr:uid="{00000000-0005-0000-0000-0000C45D0000}"/>
    <cellStyle name="Input 22 2 2 2 3" xfId="24214" xr:uid="{00000000-0005-0000-0000-0000C55D0000}"/>
    <cellStyle name="Input 22 2 2 2 3 2" xfId="24215" xr:uid="{00000000-0005-0000-0000-0000C65D0000}"/>
    <cellStyle name="Input 22 2 2 2 3 2 2" xfId="24216" xr:uid="{00000000-0005-0000-0000-0000C75D0000}"/>
    <cellStyle name="Input 22 2 2 2 3 3" xfId="24217" xr:uid="{00000000-0005-0000-0000-0000C85D0000}"/>
    <cellStyle name="Input 22 2 2 2 3 3 2" xfId="24218" xr:uid="{00000000-0005-0000-0000-0000C95D0000}"/>
    <cellStyle name="Input 22 2 2 2 3 4" xfId="24219" xr:uid="{00000000-0005-0000-0000-0000CA5D0000}"/>
    <cellStyle name="Input 22 2 2 2 3 5" xfId="24220" xr:uid="{00000000-0005-0000-0000-0000CB5D0000}"/>
    <cellStyle name="Input 22 2 2 2 3 6" xfId="24221" xr:uid="{00000000-0005-0000-0000-0000CC5D0000}"/>
    <cellStyle name="Input 22 2 2 2 4" xfId="24222" xr:uid="{00000000-0005-0000-0000-0000CD5D0000}"/>
    <cellStyle name="Input 22 2 2 2 4 2" xfId="24223" xr:uid="{00000000-0005-0000-0000-0000CE5D0000}"/>
    <cellStyle name="Input 22 2 2 2 5" xfId="24224" xr:uid="{00000000-0005-0000-0000-0000CF5D0000}"/>
    <cellStyle name="Input 22 2 2 2 5 2" xfId="24225" xr:uid="{00000000-0005-0000-0000-0000D05D0000}"/>
    <cellStyle name="Input 22 2 2 2 6" xfId="24226" xr:uid="{00000000-0005-0000-0000-0000D15D0000}"/>
    <cellStyle name="Input 22 2 2 2 7" xfId="24227" xr:uid="{00000000-0005-0000-0000-0000D25D0000}"/>
    <cellStyle name="Input 22 2 2 2 8" xfId="24228" xr:uid="{00000000-0005-0000-0000-0000D35D0000}"/>
    <cellStyle name="Input 22 2 2 3" xfId="24229" xr:uid="{00000000-0005-0000-0000-0000D45D0000}"/>
    <cellStyle name="Input 22 2 2 3 2" xfId="24230" xr:uid="{00000000-0005-0000-0000-0000D55D0000}"/>
    <cellStyle name="Input 22 2 2 3 2 2" xfId="24231" xr:uid="{00000000-0005-0000-0000-0000D65D0000}"/>
    <cellStyle name="Input 22 2 2 3 2 2 2" xfId="24232" xr:uid="{00000000-0005-0000-0000-0000D75D0000}"/>
    <cellStyle name="Input 22 2 2 3 2 2 2 2" xfId="24233" xr:uid="{00000000-0005-0000-0000-0000D85D0000}"/>
    <cellStyle name="Input 22 2 2 3 2 2 3" xfId="24234" xr:uid="{00000000-0005-0000-0000-0000D95D0000}"/>
    <cellStyle name="Input 22 2 2 3 2 2 3 2" xfId="24235" xr:uid="{00000000-0005-0000-0000-0000DA5D0000}"/>
    <cellStyle name="Input 22 2 2 3 2 2 4" xfId="24236" xr:uid="{00000000-0005-0000-0000-0000DB5D0000}"/>
    <cellStyle name="Input 22 2 2 3 2 2 5" xfId="24237" xr:uid="{00000000-0005-0000-0000-0000DC5D0000}"/>
    <cellStyle name="Input 22 2 2 3 2 2 6" xfId="24238" xr:uid="{00000000-0005-0000-0000-0000DD5D0000}"/>
    <cellStyle name="Input 22 2 2 3 2 3" xfId="24239" xr:uid="{00000000-0005-0000-0000-0000DE5D0000}"/>
    <cellStyle name="Input 22 2 2 3 2 3 2" xfId="24240" xr:uid="{00000000-0005-0000-0000-0000DF5D0000}"/>
    <cellStyle name="Input 22 2 2 3 2 4" xfId="24241" xr:uid="{00000000-0005-0000-0000-0000E05D0000}"/>
    <cellStyle name="Input 22 2 2 3 2 4 2" xfId="24242" xr:uid="{00000000-0005-0000-0000-0000E15D0000}"/>
    <cellStyle name="Input 22 2 2 3 2 5" xfId="24243" xr:uid="{00000000-0005-0000-0000-0000E25D0000}"/>
    <cellStyle name="Input 22 2 2 3 2 6" xfId="24244" xr:uid="{00000000-0005-0000-0000-0000E35D0000}"/>
    <cellStyle name="Input 22 2 2 3 2 7" xfId="24245" xr:uid="{00000000-0005-0000-0000-0000E45D0000}"/>
    <cellStyle name="Input 22 2 2 3 3" xfId="24246" xr:uid="{00000000-0005-0000-0000-0000E55D0000}"/>
    <cellStyle name="Input 22 2 2 3 3 2" xfId="24247" xr:uid="{00000000-0005-0000-0000-0000E65D0000}"/>
    <cellStyle name="Input 22 2 2 3 3 2 2" xfId="24248" xr:uid="{00000000-0005-0000-0000-0000E75D0000}"/>
    <cellStyle name="Input 22 2 2 3 3 3" xfId="24249" xr:uid="{00000000-0005-0000-0000-0000E85D0000}"/>
    <cellStyle name="Input 22 2 2 3 3 3 2" xfId="24250" xr:uid="{00000000-0005-0000-0000-0000E95D0000}"/>
    <cellStyle name="Input 22 2 2 3 3 4" xfId="24251" xr:uid="{00000000-0005-0000-0000-0000EA5D0000}"/>
    <cellStyle name="Input 22 2 2 3 3 5" xfId="24252" xr:uid="{00000000-0005-0000-0000-0000EB5D0000}"/>
    <cellStyle name="Input 22 2 2 3 3 6" xfId="24253" xr:uid="{00000000-0005-0000-0000-0000EC5D0000}"/>
    <cellStyle name="Input 22 2 2 3 4" xfId="24254" xr:uid="{00000000-0005-0000-0000-0000ED5D0000}"/>
    <cellStyle name="Input 22 2 2 3 4 2" xfId="24255" xr:uid="{00000000-0005-0000-0000-0000EE5D0000}"/>
    <cellStyle name="Input 22 2 2 3 5" xfId="24256" xr:uid="{00000000-0005-0000-0000-0000EF5D0000}"/>
    <cellStyle name="Input 22 2 2 3 5 2" xfId="24257" xr:uid="{00000000-0005-0000-0000-0000F05D0000}"/>
    <cellStyle name="Input 22 2 2 3 6" xfId="24258" xr:uid="{00000000-0005-0000-0000-0000F15D0000}"/>
    <cellStyle name="Input 22 2 2 3 7" xfId="24259" xr:uid="{00000000-0005-0000-0000-0000F25D0000}"/>
    <cellStyle name="Input 22 2 2 3 8" xfId="24260" xr:uid="{00000000-0005-0000-0000-0000F35D0000}"/>
    <cellStyle name="Input 22 2 2 4" xfId="24261" xr:uid="{00000000-0005-0000-0000-0000F45D0000}"/>
    <cellStyle name="Input 22 2 2 4 2" xfId="24262" xr:uid="{00000000-0005-0000-0000-0000F55D0000}"/>
    <cellStyle name="Input 22 2 2 4 2 2" xfId="24263" xr:uid="{00000000-0005-0000-0000-0000F65D0000}"/>
    <cellStyle name="Input 22 2 2 4 2 2 2" xfId="24264" xr:uid="{00000000-0005-0000-0000-0000F75D0000}"/>
    <cellStyle name="Input 22 2 2 4 2 3" xfId="24265" xr:uid="{00000000-0005-0000-0000-0000F85D0000}"/>
    <cellStyle name="Input 22 2 2 4 2 3 2" xfId="24266" xr:uid="{00000000-0005-0000-0000-0000F95D0000}"/>
    <cellStyle name="Input 22 2 2 4 2 4" xfId="24267" xr:uid="{00000000-0005-0000-0000-0000FA5D0000}"/>
    <cellStyle name="Input 22 2 2 4 2 5" xfId="24268" xr:uid="{00000000-0005-0000-0000-0000FB5D0000}"/>
    <cellStyle name="Input 22 2 2 4 2 6" xfId="24269" xr:uid="{00000000-0005-0000-0000-0000FC5D0000}"/>
    <cellStyle name="Input 22 2 2 4 3" xfId="24270" xr:uid="{00000000-0005-0000-0000-0000FD5D0000}"/>
    <cellStyle name="Input 22 2 2 4 3 2" xfId="24271" xr:uid="{00000000-0005-0000-0000-0000FE5D0000}"/>
    <cellStyle name="Input 22 2 2 4 4" xfId="24272" xr:uid="{00000000-0005-0000-0000-0000FF5D0000}"/>
    <cellStyle name="Input 22 2 2 4 4 2" xfId="24273" xr:uid="{00000000-0005-0000-0000-0000005E0000}"/>
    <cellStyle name="Input 22 2 2 4 5" xfId="24274" xr:uid="{00000000-0005-0000-0000-0000015E0000}"/>
    <cellStyle name="Input 22 2 2 4 6" xfId="24275" xr:uid="{00000000-0005-0000-0000-0000025E0000}"/>
    <cellStyle name="Input 22 2 2 4 7" xfId="24276" xr:uid="{00000000-0005-0000-0000-0000035E0000}"/>
    <cellStyle name="Input 22 2 2 5" xfId="24277" xr:uid="{00000000-0005-0000-0000-0000045E0000}"/>
    <cellStyle name="Input 22 2 2 5 2" xfId="24278" xr:uid="{00000000-0005-0000-0000-0000055E0000}"/>
    <cellStyle name="Input 22 2 2 5 2 2" xfId="24279" xr:uid="{00000000-0005-0000-0000-0000065E0000}"/>
    <cellStyle name="Input 22 2 2 5 3" xfId="24280" xr:uid="{00000000-0005-0000-0000-0000075E0000}"/>
    <cellStyle name="Input 22 2 2 5 3 2" xfId="24281" xr:uid="{00000000-0005-0000-0000-0000085E0000}"/>
    <cellStyle name="Input 22 2 2 5 4" xfId="24282" xr:uid="{00000000-0005-0000-0000-0000095E0000}"/>
    <cellStyle name="Input 22 2 2 5 5" xfId="24283" xr:uid="{00000000-0005-0000-0000-00000A5E0000}"/>
    <cellStyle name="Input 22 2 2 5 6" xfId="24284" xr:uid="{00000000-0005-0000-0000-00000B5E0000}"/>
    <cellStyle name="Input 22 2 2 6" xfId="24285" xr:uid="{00000000-0005-0000-0000-00000C5E0000}"/>
    <cellStyle name="Input 22 2 2 6 2" xfId="24286" xr:uid="{00000000-0005-0000-0000-00000D5E0000}"/>
    <cellStyle name="Input 22 2 2 7" xfId="24287" xr:uid="{00000000-0005-0000-0000-00000E5E0000}"/>
    <cellStyle name="Input 22 2 2 7 2" xfId="24288" xr:uid="{00000000-0005-0000-0000-00000F5E0000}"/>
    <cellStyle name="Input 22 2 2 8" xfId="24289" xr:uid="{00000000-0005-0000-0000-0000105E0000}"/>
    <cellStyle name="Input 22 2 2 9" xfId="24290" xr:uid="{00000000-0005-0000-0000-0000115E0000}"/>
    <cellStyle name="Input 22 2 3" xfId="24291" xr:uid="{00000000-0005-0000-0000-0000125E0000}"/>
    <cellStyle name="Input 22 2 3 2" xfId="24292" xr:uid="{00000000-0005-0000-0000-0000135E0000}"/>
    <cellStyle name="Input 22 2 3 2 2" xfId="24293" xr:uid="{00000000-0005-0000-0000-0000145E0000}"/>
    <cellStyle name="Input 22 2 3 2 2 2" xfId="24294" xr:uid="{00000000-0005-0000-0000-0000155E0000}"/>
    <cellStyle name="Input 22 2 3 2 2 2 2" xfId="24295" xr:uid="{00000000-0005-0000-0000-0000165E0000}"/>
    <cellStyle name="Input 22 2 3 2 2 3" xfId="24296" xr:uid="{00000000-0005-0000-0000-0000175E0000}"/>
    <cellStyle name="Input 22 2 3 2 2 3 2" xfId="24297" xr:uid="{00000000-0005-0000-0000-0000185E0000}"/>
    <cellStyle name="Input 22 2 3 2 2 4" xfId="24298" xr:uid="{00000000-0005-0000-0000-0000195E0000}"/>
    <cellStyle name="Input 22 2 3 2 2 5" xfId="24299" xr:uid="{00000000-0005-0000-0000-00001A5E0000}"/>
    <cellStyle name="Input 22 2 3 2 2 6" xfId="24300" xr:uid="{00000000-0005-0000-0000-00001B5E0000}"/>
    <cellStyle name="Input 22 2 3 2 3" xfId="24301" xr:uid="{00000000-0005-0000-0000-00001C5E0000}"/>
    <cellStyle name="Input 22 2 3 2 3 2" xfId="24302" xr:uid="{00000000-0005-0000-0000-00001D5E0000}"/>
    <cellStyle name="Input 22 2 3 2 4" xfId="24303" xr:uid="{00000000-0005-0000-0000-00001E5E0000}"/>
    <cellStyle name="Input 22 2 3 2 4 2" xfId="24304" xr:uid="{00000000-0005-0000-0000-00001F5E0000}"/>
    <cellStyle name="Input 22 2 3 2 5" xfId="24305" xr:uid="{00000000-0005-0000-0000-0000205E0000}"/>
    <cellStyle name="Input 22 2 3 2 6" xfId="24306" xr:uid="{00000000-0005-0000-0000-0000215E0000}"/>
    <cellStyle name="Input 22 2 3 2 7" xfId="24307" xr:uid="{00000000-0005-0000-0000-0000225E0000}"/>
    <cellStyle name="Input 22 2 3 3" xfId="24308" xr:uid="{00000000-0005-0000-0000-0000235E0000}"/>
    <cellStyle name="Input 22 2 3 3 2" xfId="24309" xr:uid="{00000000-0005-0000-0000-0000245E0000}"/>
    <cellStyle name="Input 22 2 3 3 2 2" xfId="24310" xr:uid="{00000000-0005-0000-0000-0000255E0000}"/>
    <cellStyle name="Input 22 2 3 3 3" xfId="24311" xr:uid="{00000000-0005-0000-0000-0000265E0000}"/>
    <cellStyle name="Input 22 2 3 3 3 2" xfId="24312" xr:uid="{00000000-0005-0000-0000-0000275E0000}"/>
    <cellStyle name="Input 22 2 3 3 4" xfId="24313" xr:uid="{00000000-0005-0000-0000-0000285E0000}"/>
    <cellStyle name="Input 22 2 3 3 5" xfId="24314" xr:uid="{00000000-0005-0000-0000-0000295E0000}"/>
    <cellStyle name="Input 22 2 3 3 6" xfId="24315" xr:uid="{00000000-0005-0000-0000-00002A5E0000}"/>
    <cellStyle name="Input 22 2 3 4" xfId="24316" xr:uid="{00000000-0005-0000-0000-00002B5E0000}"/>
    <cellStyle name="Input 22 2 3 4 2" xfId="24317" xr:uid="{00000000-0005-0000-0000-00002C5E0000}"/>
    <cellStyle name="Input 22 2 3 5" xfId="24318" xr:uid="{00000000-0005-0000-0000-00002D5E0000}"/>
    <cellStyle name="Input 22 2 3 5 2" xfId="24319" xr:uid="{00000000-0005-0000-0000-00002E5E0000}"/>
    <cellStyle name="Input 22 2 3 6" xfId="24320" xr:uid="{00000000-0005-0000-0000-00002F5E0000}"/>
    <cellStyle name="Input 22 2 3 7" xfId="24321" xr:uid="{00000000-0005-0000-0000-0000305E0000}"/>
    <cellStyle name="Input 22 2 3 8" xfId="24322" xr:uid="{00000000-0005-0000-0000-0000315E0000}"/>
    <cellStyle name="Input 22 2 4" xfId="24323" xr:uid="{00000000-0005-0000-0000-0000325E0000}"/>
    <cellStyle name="Input 22 2 4 2" xfId="24324" xr:uid="{00000000-0005-0000-0000-0000335E0000}"/>
    <cellStyle name="Input 22 2 4 2 2" xfId="24325" xr:uid="{00000000-0005-0000-0000-0000345E0000}"/>
    <cellStyle name="Input 22 2 4 2 2 2" xfId="24326" xr:uid="{00000000-0005-0000-0000-0000355E0000}"/>
    <cellStyle name="Input 22 2 4 2 2 2 2" xfId="24327" xr:uid="{00000000-0005-0000-0000-0000365E0000}"/>
    <cellStyle name="Input 22 2 4 2 2 3" xfId="24328" xr:uid="{00000000-0005-0000-0000-0000375E0000}"/>
    <cellStyle name="Input 22 2 4 2 2 3 2" xfId="24329" xr:uid="{00000000-0005-0000-0000-0000385E0000}"/>
    <cellStyle name="Input 22 2 4 2 2 4" xfId="24330" xr:uid="{00000000-0005-0000-0000-0000395E0000}"/>
    <cellStyle name="Input 22 2 4 2 2 5" xfId="24331" xr:uid="{00000000-0005-0000-0000-00003A5E0000}"/>
    <cellStyle name="Input 22 2 4 2 2 6" xfId="24332" xr:uid="{00000000-0005-0000-0000-00003B5E0000}"/>
    <cellStyle name="Input 22 2 4 2 3" xfId="24333" xr:uid="{00000000-0005-0000-0000-00003C5E0000}"/>
    <cellStyle name="Input 22 2 4 2 3 2" xfId="24334" xr:uid="{00000000-0005-0000-0000-00003D5E0000}"/>
    <cellStyle name="Input 22 2 4 2 4" xfId="24335" xr:uid="{00000000-0005-0000-0000-00003E5E0000}"/>
    <cellStyle name="Input 22 2 4 2 4 2" xfId="24336" xr:uid="{00000000-0005-0000-0000-00003F5E0000}"/>
    <cellStyle name="Input 22 2 4 2 5" xfId="24337" xr:uid="{00000000-0005-0000-0000-0000405E0000}"/>
    <cellStyle name="Input 22 2 4 2 6" xfId="24338" xr:uid="{00000000-0005-0000-0000-0000415E0000}"/>
    <cellStyle name="Input 22 2 4 2 7" xfId="24339" xr:uid="{00000000-0005-0000-0000-0000425E0000}"/>
    <cellStyle name="Input 22 2 4 3" xfId="24340" xr:uid="{00000000-0005-0000-0000-0000435E0000}"/>
    <cellStyle name="Input 22 2 4 3 2" xfId="24341" xr:uid="{00000000-0005-0000-0000-0000445E0000}"/>
    <cellStyle name="Input 22 2 4 3 2 2" xfId="24342" xr:uid="{00000000-0005-0000-0000-0000455E0000}"/>
    <cellStyle name="Input 22 2 4 3 3" xfId="24343" xr:uid="{00000000-0005-0000-0000-0000465E0000}"/>
    <cellStyle name="Input 22 2 4 3 3 2" xfId="24344" xr:uid="{00000000-0005-0000-0000-0000475E0000}"/>
    <cellStyle name="Input 22 2 4 3 4" xfId="24345" xr:uid="{00000000-0005-0000-0000-0000485E0000}"/>
    <cellStyle name="Input 22 2 4 3 5" xfId="24346" xr:uid="{00000000-0005-0000-0000-0000495E0000}"/>
    <cellStyle name="Input 22 2 4 3 6" xfId="24347" xr:uid="{00000000-0005-0000-0000-00004A5E0000}"/>
    <cellStyle name="Input 22 2 4 4" xfId="24348" xr:uid="{00000000-0005-0000-0000-00004B5E0000}"/>
    <cellStyle name="Input 22 2 4 4 2" xfId="24349" xr:uid="{00000000-0005-0000-0000-00004C5E0000}"/>
    <cellStyle name="Input 22 2 4 5" xfId="24350" xr:uid="{00000000-0005-0000-0000-00004D5E0000}"/>
    <cellStyle name="Input 22 2 4 5 2" xfId="24351" xr:uid="{00000000-0005-0000-0000-00004E5E0000}"/>
    <cellStyle name="Input 22 2 4 6" xfId="24352" xr:uid="{00000000-0005-0000-0000-00004F5E0000}"/>
    <cellStyle name="Input 22 2 4 7" xfId="24353" xr:uid="{00000000-0005-0000-0000-0000505E0000}"/>
    <cellStyle name="Input 22 2 4 8" xfId="24354" xr:uid="{00000000-0005-0000-0000-0000515E0000}"/>
    <cellStyle name="Input 22 2 5" xfId="24355" xr:uid="{00000000-0005-0000-0000-0000525E0000}"/>
    <cellStyle name="Input 22 2 5 2" xfId="24356" xr:uid="{00000000-0005-0000-0000-0000535E0000}"/>
    <cellStyle name="Input 22 2 5 2 2" xfId="24357" xr:uid="{00000000-0005-0000-0000-0000545E0000}"/>
    <cellStyle name="Input 22 2 5 2 2 2" xfId="24358" xr:uid="{00000000-0005-0000-0000-0000555E0000}"/>
    <cellStyle name="Input 22 2 5 2 3" xfId="24359" xr:uid="{00000000-0005-0000-0000-0000565E0000}"/>
    <cellStyle name="Input 22 2 5 2 3 2" xfId="24360" xr:uid="{00000000-0005-0000-0000-0000575E0000}"/>
    <cellStyle name="Input 22 2 5 2 4" xfId="24361" xr:uid="{00000000-0005-0000-0000-0000585E0000}"/>
    <cellStyle name="Input 22 2 5 2 5" xfId="24362" xr:uid="{00000000-0005-0000-0000-0000595E0000}"/>
    <cellStyle name="Input 22 2 5 2 6" xfId="24363" xr:uid="{00000000-0005-0000-0000-00005A5E0000}"/>
    <cellStyle name="Input 22 2 5 3" xfId="24364" xr:uid="{00000000-0005-0000-0000-00005B5E0000}"/>
    <cellStyle name="Input 22 2 5 3 2" xfId="24365" xr:uid="{00000000-0005-0000-0000-00005C5E0000}"/>
    <cellStyle name="Input 22 2 5 4" xfId="24366" xr:uid="{00000000-0005-0000-0000-00005D5E0000}"/>
    <cellStyle name="Input 22 2 5 4 2" xfId="24367" xr:uid="{00000000-0005-0000-0000-00005E5E0000}"/>
    <cellStyle name="Input 22 2 5 5" xfId="24368" xr:uid="{00000000-0005-0000-0000-00005F5E0000}"/>
    <cellStyle name="Input 22 2 5 6" xfId="24369" xr:uid="{00000000-0005-0000-0000-0000605E0000}"/>
    <cellStyle name="Input 22 2 5 7" xfId="24370" xr:uid="{00000000-0005-0000-0000-0000615E0000}"/>
    <cellStyle name="Input 22 2 6" xfId="24371" xr:uid="{00000000-0005-0000-0000-0000625E0000}"/>
    <cellStyle name="Input 22 2 6 2" xfId="24372" xr:uid="{00000000-0005-0000-0000-0000635E0000}"/>
    <cellStyle name="Input 22 2 6 2 2" xfId="24373" xr:uid="{00000000-0005-0000-0000-0000645E0000}"/>
    <cellStyle name="Input 22 2 6 3" xfId="24374" xr:uid="{00000000-0005-0000-0000-0000655E0000}"/>
    <cellStyle name="Input 22 2 6 3 2" xfId="24375" xr:uid="{00000000-0005-0000-0000-0000665E0000}"/>
    <cellStyle name="Input 22 2 6 4" xfId="24376" xr:uid="{00000000-0005-0000-0000-0000675E0000}"/>
    <cellStyle name="Input 22 2 6 5" xfId="24377" xr:uid="{00000000-0005-0000-0000-0000685E0000}"/>
    <cellStyle name="Input 22 2 6 6" xfId="24378" xr:uid="{00000000-0005-0000-0000-0000695E0000}"/>
    <cellStyle name="Input 22 2 7" xfId="24379" xr:uid="{00000000-0005-0000-0000-00006A5E0000}"/>
    <cellStyle name="Input 22 2 7 2" xfId="24380" xr:uid="{00000000-0005-0000-0000-00006B5E0000}"/>
    <cellStyle name="Input 22 2 8" xfId="24381" xr:uid="{00000000-0005-0000-0000-00006C5E0000}"/>
    <cellStyle name="Input 22 2 8 2" xfId="24382" xr:uid="{00000000-0005-0000-0000-00006D5E0000}"/>
    <cellStyle name="Input 22 2 9" xfId="24383" xr:uid="{00000000-0005-0000-0000-00006E5E0000}"/>
    <cellStyle name="Input 22 3" xfId="24384" xr:uid="{00000000-0005-0000-0000-00006F5E0000}"/>
    <cellStyle name="Input 22 3 10" xfId="24385" xr:uid="{00000000-0005-0000-0000-0000705E0000}"/>
    <cellStyle name="Input 22 3 2" xfId="24386" xr:uid="{00000000-0005-0000-0000-0000715E0000}"/>
    <cellStyle name="Input 22 3 2 10" xfId="24387" xr:uid="{00000000-0005-0000-0000-0000725E0000}"/>
    <cellStyle name="Input 22 3 2 2" xfId="24388" xr:uid="{00000000-0005-0000-0000-0000735E0000}"/>
    <cellStyle name="Input 22 3 2 2 2" xfId="24389" xr:uid="{00000000-0005-0000-0000-0000745E0000}"/>
    <cellStyle name="Input 22 3 2 2 2 2" xfId="24390" xr:uid="{00000000-0005-0000-0000-0000755E0000}"/>
    <cellStyle name="Input 22 3 2 2 2 2 2" xfId="24391" xr:uid="{00000000-0005-0000-0000-0000765E0000}"/>
    <cellStyle name="Input 22 3 2 2 2 2 2 2" xfId="24392" xr:uid="{00000000-0005-0000-0000-0000775E0000}"/>
    <cellStyle name="Input 22 3 2 2 2 2 3" xfId="24393" xr:uid="{00000000-0005-0000-0000-0000785E0000}"/>
    <cellStyle name="Input 22 3 2 2 2 2 3 2" xfId="24394" xr:uid="{00000000-0005-0000-0000-0000795E0000}"/>
    <cellStyle name="Input 22 3 2 2 2 2 4" xfId="24395" xr:uid="{00000000-0005-0000-0000-00007A5E0000}"/>
    <cellStyle name="Input 22 3 2 2 2 2 5" xfId="24396" xr:uid="{00000000-0005-0000-0000-00007B5E0000}"/>
    <cellStyle name="Input 22 3 2 2 2 2 6" xfId="24397" xr:uid="{00000000-0005-0000-0000-00007C5E0000}"/>
    <cellStyle name="Input 22 3 2 2 2 3" xfId="24398" xr:uid="{00000000-0005-0000-0000-00007D5E0000}"/>
    <cellStyle name="Input 22 3 2 2 2 3 2" xfId="24399" xr:uid="{00000000-0005-0000-0000-00007E5E0000}"/>
    <cellStyle name="Input 22 3 2 2 2 4" xfId="24400" xr:uid="{00000000-0005-0000-0000-00007F5E0000}"/>
    <cellStyle name="Input 22 3 2 2 2 4 2" xfId="24401" xr:uid="{00000000-0005-0000-0000-0000805E0000}"/>
    <cellStyle name="Input 22 3 2 2 2 5" xfId="24402" xr:uid="{00000000-0005-0000-0000-0000815E0000}"/>
    <cellStyle name="Input 22 3 2 2 2 6" xfId="24403" xr:uid="{00000000-0005-0000-0000-0000825E0000}"/>
    <cellStyle name="Input 22 3 2 2 2 7" xfId="24404" xr:uid="{00000000-0005-0000-0000-0000835E0000}"/>
    <cellStyle name="Input 22 3 2 2 3" xfId="24405" xr:uid="{00000000-0005-0000-0000-0000845E0000}"/>
    <cellStyle name="Input 22 3 2 2 3 2" xfId="24406" xr:uid="{00000000-0005-0000-0000-0000855E0000}"/>
    <cellStyle name="Input 22 3 2 2 3 2 2" xfId="24407" xr:uid="{00000000-0005-0000-0000-0000865E0000}"/>
    <cellStyle name="Input 22 3 2 2 3 3" xfId="24408" xr:uid="{00000000-0005-0000-0000-0000875E0000}"/>
    <cellStyle name="Input 22 3 2 2 3 3 2" xfId="24409" xr:uid="{00000000-0005-0000-0000-0000885E0000}"/>
    <cellStyle name="Input 22 3 2 2 3 4" xfId="24410" xr:uid="{00000000-0005-0000-0000-0000895E0000}"/>
    <cellStyle name="Input 22 3 2 2 3 5" xfId="24411" xr:uid="{00000000-0005-0000-0000-00008A5E0000}"/>
    <cellStyle name="Input 22 3 2 2 3 6" xfId="24412" xr:uid="{00000000-0005-0000-0000-00008B5E0000}"/>
    <cellStyle name="Input 22 3 2 2 4" xfId="24413" xr:uid="{00000000-0005-0000-0000-00008C5E0000}"/>
    <cellStyle name="Input 22 3 2 2 4 2" xfId="24414" xr:uid="{00000000-0005-0000-0000-00008D5E0000}"/>
    <cellStyle name="Input 22 3 2 2 5" xfId="24415" xr:uid="{00000000-0005-0000-0000-00008E5E0000}"/>
    <cellStyle name="Input 22 3 2 2 5 2" xfId="24416" xr:uid="{00000000-0005-0000-0000-00008F5E0000}"/>
    <cellStyle name="Input 22 3 2 2 6" xfId="24417" xr:uid="{00000000-0005-0000-0000-0000905E0000}"/>
    <cellStyle name="Input 22 3 2 2 7" xfId="24418" xr:uid="{00000000-0005-0000-0000-0000915E0000}"/>
    <cellStyle name="Input 22 3 2 2 8" xfId="24419" xr:uid="{00000000-0005-0000-0000-0000925E0000}"/>
    <cellStyle name="Input 22 3 2 3" xfId="24420" xr:uid="{00000000-0005-0000-0000-0000935E0000}"/>
    <cellStyle name="Input 22 3 2 3 2" xfId="24421" xr:uid="{00000000-0005-0000-0000-0000945E0000}"/>
    <cellStyle name="Input 22 3 2 3 2 2" xfId="24422" xr:uid="{00000000-0005-0000-0000-0000955E0000}"/>
    <cellStyle name="Input 22 3 2 3 2 2 2" xfId="24423" xr:uid="{00000000-0005-0000-0000-0000965E0000}"/>
    <cellStyle name="Input 22 3 2 3 2 2 2 2" xfId="24424" xr:uid="{00000000-0005-0000-0000-0000975E0000}"/>
    <cellStyle name="Input 22 3 2 3 2 2 3" xfId="24425" xr:uid="{00000000-0005-0000-0000-0000985E0000}"/>
    <cellStyle name="Input 22 3 2 3 2 2 3 2" xfId="24426" xr:uid="{00000000-0005-0000-0000-0000995E0000}"/>
    <cellStyle name="Input 22 3 2 3 2 2 4" xfId="24427" xr:uid="{00000000-0005-0000-0000-00009A5E0000}"/>
    <cellStyle name="Input 22 3 2 3 2 2 5" xfId="24428" xr:uid="{00000000-0005-0000-0000-00009B5E0000}"/>
    <cellStyle name="Input 22 3 2 3 2 2 6" xfId="24429" xr:uid="{00000000-0005-0000-0000-00009C5E0000}"/>
    <cellStyle name="Input 22 3 2 3 2 3" xfId="24430" xr:uid="{00000000-0005-0000-0000-00009D5E0000}"/>
    <cellStyle name="Input 22 3 2 3 2 3 2" xfId="24431" xr:uid="{00000000-0005-0000-0000-00009E5E0000}"/>
    <cellStyle name="Input 22 3 2 3 2 4" xfId="24432" xr:uid="{00000000-0005-0000-0000-00009F5E0000}"/>
    <cellStyle name="Input 22 3 2 3 2 4 2" xfId="24433" xr:uid="{00000000-0005-0000-0000-0000A05E0000}"/>
    <cellStyle name="Input 22 3 2 3 2 5" xfId="24434" xr:uid="{00000000-0005-0000-0000-0000A15E0000}"/>
    <cellStyle name="Input 22 3 2 3 2 6" xfId="24435" xr:uid="{00000000-0005-0000-0000-0000A25E0000}"/>
    <cellStyle name="Input 22 3 2 3 2 7" xfId="24436" xr:uid="{00000000-0005-0000-0000-0000A35E0000}"/>
    <cellStyle name="Input 22 3 2 3 3" xfId="24437" xr:uid="{00000000-0005-0000-0000-0000A45E0000}"/>
    <cellStyle name="Input 22 3 2 3 3 2" xfId="24438" xr:uid="{00000000-0005-0000-0000-0000A55E0000}"/>
    <cellStyle name="Input 22 3 2 3 3 2 2" xfId="24439" xr:uid="{00000000-0005-0000-0000-0000A65E0000}"/>
    <cellStyle name="Input 22 3 2 3 3 3" xfId="24440" xr:uid="{00000000-0005-0000-0000-0000A75E0000}"/>
    <cellStyle name="Input 22 3 2 3 3 3 2" xfId="24441" xr:uid="{00000000-0005-0000-0000-0000A85E0000}"/>
    <cellStyle name="Input 22 3 2 3 3 4" xfId="24442" xr:uid="{00000000-0005-0000-0000-0000A95E0000}"/>
    <cellStyle name="Input 22 3 2 3 3 5" xfId="24443" xr:uid="{00000000-0005-0000-0000-0000AA5E0000}"/>
    <cellStyle name="Input 22 3 2 3 3 6" xfId="24444" xr:uid="{00000000-0005-0000-0000-0000AB5E0000}"/>
    <cellStyle name="Input 22 3 2 3 4" xfId="24445" xr:uid="{00000000-0005-0000-0000-0000AC5E0000}"/>
    <cellStyle name="Input 22 3 2 3 4 2" xfId="24446" xr:uid="{00000000-0005-0000-0000-0000AD5E0000}"/>
    <cellStyle name="Input 22 3 2 3 5" xfId="24447" xr:uid="{00000000-0005-0000-0000-0000AE5E0000}"/>
    <cellStyle name="Input 22 3 2 3 5 2" xfId="24448" xr:uid="{00000000-0005-0000-0000-0000AF5E0000}"/>
    <cellStyle name="Input 22 3 2 3 6" xfId="24449" xr:uid="{00000000-0005-0000-0000-0000B05E0000}"/>
    <cellStyle name="Input 22 3 2 3 7" xfId="24450" xr:uid="{00000000-0005-0000-0000-0000B15E0000}"/>
    <cellStyle name="Input 22 3 2 3 8" xfId="24451" xr:uid="{00000000-0005-0000-0000-0000B25E0000}"/>
    <cellStyle name="Input 22 3 2 4" xfId="24452" xr:uid="{00000000-0005-0000-0000-0000B35E0000}"/>
    <cellStyle name="Input 22 3 2 4 2" xfId="24453" xr:uid="{00000000-0005-0000-0000-0000B45E0000}"/>
    <cellStyle name="Input 22 3 2 4 2 2" xfId="24454" xr:uid="{00000000-0005-0000-0000-0000B55E0000}"/>
    <cellStyle name="Input 22 3 2 4 2 2 2" xfId="24455" xr:uid="{00000000-0005-0000-0000-0000B65E0000}"/>
    <cellStyle name="Input 22 3 2 4 2 3" xfId="24456" xr:uid="{00000000-0005-0000-0000-0000B75E0000}"/>
    <cellStyle name="Input 22 3 2 4 2 3 2" xfId="24457" xr:uid="{00000000-0005-0000-0000-0000B85E0000}"/>
    <cellStyle name="Input 22 3 2 4 2 4" xfId="24458" xr:uid="{00000000-0005-0000-0000-0000B95E0000}"/>
    <cellStyle name="Input 22 3 2 4 2 5" xfId="24459" xr:uid="{00000000-0005-0000-0000-0000BA5E0000}"/>
    <cellStyle name="Input 22 3 2 4 2 6" xfId="24460" xr:uid="{00000000-0005-0000-0000-0000BB5E0000}"/>
    <cellStyle name="Input 22 3 2 4 3" xfId="24461" xr:uid="{00000000-0005-0000-0000-0000BC5E0000}"/>
    <cellStyle name="Input 22 3 2 4 3 2" xfId="24462" xr:uid="{00000000-0005-0000-0000-0000BD5E0000}"/>
    <cellStyle name="Input 22 3 2 4 4" xfId="24463" xr:uid="{00000000-0005-0000-0000-0000BE5E0000}"/>
    <cellStyle name="Input 22 3 2 4 4 2" xfId="24464" xr:uid="{00000000-0005-0000-0000-0000BF5E0000}"/>
    <cellStyle name="Input 22 3 2 4 5" xfId="24465" xr:uid="{00000000-0005-0000-0000-0000C05E0000}"/>
    <cellStyle name="Input 22 3 2 4 6" xfId="24466" xr:uid="{00000000-0005-0000-0000-0000C15E0000}"/>
    <cellStyle name="Input 22 3 2 4 7" xfId="24467" xr:uid="{00000000-0005-0000-0000-0000C25E0000}"/>
    <cellStyle name="Input 22 3 2 5" xfId="24468" xr:uid="{00000000-0005-0000-0000-0000C35E0000}"/>
    <cellStyle name="Input 22 3 2 5 2" xfId="24469" xr:uid="{00000000-0005-0000-0000-0000C45E0000}"/>
    <cellStyle name="Input 22 3 2 5 2 2" xfId="24470" xr:uid="{00000000-0005-0000-0000-0000C55E0000}"/>
    <cellStyle name="Input 22 3 2 5 3" xfId="24471" xr:uid="{00000000-0005-0000-0000-0000C65E0000}"/>
    <cellStyle name="Input 22 3 2 5 3 2" xfId="24472" xr:uid="{00000000-0005-0000-0000-0000C75E0000}"/>
    <cellStyle name="Input 22 3 2 5 4" xfId="24473" xr:uid="{00000000-0005-0000-0000-0000C85E0000}"/>
    <cellStyle name="Input 22 3 2 5 5" xfId="24474" xr:uid="{00000000-0005-0000-0000-0000C95E0000}"/>
    <cellStyle name="Input 22 3 2 5 6" xfId="24475" xr:uid="{00000000-0005-0000-0000-0000CA5E0000}"/>
    <cellStyle name="Input 22 3 2 6" xfId="24476" xr:uid="{00000000-0005-0000-0000-0000CB5E0000}"/>
    <cellStyle name="Input 22 3 2 6 2" xfId="24477" xr:uid="{00000000-0005-0000-0000-0000CC5E0000}"/>
    <cellStyle name="Input 22 3 2 7" xfId="24478" xr:uid="{00000000-0005-0000-0000-0000CD5E0000}"/>
    <cellStyle name="Input 22 3 2 7 2" xfId="24479" xr:uid="{00000000-0005-0000-0000-0000CE5E0000}"/>
    <cellStyle name="Input 22 3 2 8" xfId="24480" xr:uid="{00000000-0005-0000-0000-0000CF5E0000}"/>
    <cellStyle name="Input 22 3 2 9" xfId="24481" xr:uid="{00000000-0005-0000-0000-0000D05E0000}"/>
    <cellStyle name="Input 22 3 3" xfId="24482" xr:uid="{00000000-0005-0000-0000-0000D15E0000}"/>
    <cellStyle name="Input 22 3 3 2" xfId="24483" xr:uid="{00000000-0005-0000-0000-0000D25E0000}"/>
    <cellStyle name="Input 22 3 3 2 2" xfId="24484" xr:uid="{00000000-0005-0000-0000-0000D35E0000}"/>
    <cellStyle name="Input 22 3 3 2 2 2" xfId="24485" xr:uid="{00000000-0005-0000-0000-0000D45E0000}"/>
    <cellStyle name="Input 22 3 3 2 2 2 2" xfId="24486" xr:uid="{00000000-0005-0000-0000-0000D55E0000}"/>
    <cellStyle name="Input 22 3 3 2 2 3" xfId="24487" xr:uid="{00000000-0005-0000-0000-0000D65E0000}"/>
    <cellStyle name="Input 22 3 3 2 2 3 2" xfId="24488" xr:uid="{00000000-0005-0000-0000-0000D75E0000}"/>
    <cellStyle name="Input 22 3 3 2 2 4" xfId="24489" xr:uid="{00000000-0005-0000-0000-0000D85E0000}"/>
    <cellStyle name="Input 22 3 3 2 2 5" xfId="24490" xr:uid="{00000000-0005-0000-0000-0000D95E0000}"/>
    <cellStyle name="Input 22 3 3 2 2 6" xfId="24491" xr:uid="{00000000-0005-0000-0000-0000DA5E0000}"/>
    <cellStyle name="Input 22 3 3 2 3" xfId="24492" xr:uid="{00000000-0005-0000-0000-0000DB5E0000}"/>
    <cellStyle name="Input 22 3 3 2 3 2" xfId="24493" xr:uid="{00000000-0005-0000-0000-0000DC5E0000}"/>
    <cellStyle name="Input 22 3 3 2 4" xfId="24494" xr:uid="{00000000-0005-0000-0000-0000DD5E0000}"/>
    <cellStyle name="Input 22 3 3 2 4 2" xfId="24495" xr:uid="{00000000-0005-0000-0000-0000DE5E0000}"/>
    <cellStyle name="Input 22 3 3 2 5" xfId="24496" xr:uid="{00000000-0005-0000-0000-0000DF5E0000}"/>
    <cellStyle name="Input 22 3 3 2 6" xfId="24497" xr:uid="{00000000-0005-0000-0000-0000E05E0000}"/>
    <cellStyle name="Input 22 3 3 2 7" xfId="24498" xr:uid="{00000000-0005-0000-0000-0000E15E0000}"/>
    <cellStyle name="Input 22 3 3 3" xfId="24499" xr:uid="{00000000-0005-0000-0000-0000E25E0000}"/>
    <cellStyle name="Input 22 3 3 3 2" xfId="24500" xr:uid="{00000000-0005-0000-0000-0000E35E0000}"/>
    <cellStyle name="Input 22 3 3 3 2 2" xfId="24501" xr:uid="{00000000-0005-0000-0000-0000E45E0000}"/>
    <cellStyle name="Input 22 3 3 3 3" xfId="24502" xr:uid="{00000000-0005-0000-0000-0000E55E0000}"/>
    <cellStyle name="Input 22 3 3 3 3 2" xfId="24503" xr:uid="{00000000-0005-0000-0000-0000E65E0000}"/>
    <cellStyle name="Input 22 3 3 3 4" xfId="24504" xr:uid="{00000000-0005-0000-0000-0000E75E0000}"/>
    <cellStyle name="Input 22 3 3 3 5" xfId="24505" xr:uid="{00000000-0005-0000-0000-0000E85E0000}"/>
    <cellStyle name="Input 22 3 3 3 6" xfId="24506" xr:uid="{00000000-0005-0000-0000-0000E95E0000}"/>
    <cellStyle name="Input 22 3 3 4" xfId="24507" xr:uid="{00000000-0005-0000-0000-0000EA5E0000}"/>
    <cellStyle name="Input 22 3 3 4 2" xfId="24508" xr:uid="{00000000-0005-0000-0000-0000EB5E0000}"/>
    <cellStyle name="Input 22 3 3 5" xfId="24509" xr:uid="{00000000-0005-0000-0000-0000EC5E0000}"/>
    <cellStyle name="Input 22 3 3 5 2" xfId="24510" xr:uid="{00000000-0005-0000-0000-0000ED5E0000}"/>
    <cellStyle name="Input 22 3 3 6" xfId="24511" xr:uid="{00000000-0005-0000-0000-0000EE5E0000}"/>
    <cellStyle name="Input 22 3 3 7" xfId="24512" xr:uid="{00000000-0005-0000-0000-0000EF5E0000}"/>
    <cellStyle name="Input 22 3 3 8" xfId="24513" xr:uid="{00000000-0005-0000-0000-0000F05E0000}"/>
    <cellStyle name="Input 22 3 4" xfId="24514" xr:uid="{00000000-0005-0000-0000-0000F15E0000}"/>
    <cellStyle name="Input 22 3 4 2" xfId="24515" xr:uid="{00000000-0005-0000-0000-0000F25E0000}"/>
    <cellStyle name="Input 22 3 4 2 2" xfId="24516" xr:uid="{00000000-0005-0000-0000-0000F35E0000}"/>
    <cellStyle name="Input 22 3 4 2 2 2" xfId="24517" xr:uid="{00000000-0005-0000-0000-0000F45E0000}"/>
    <cellStyle name="Input 22 3 4 2 3" xfId="24518" xr:uid="{00000000-0005-0000-0000-0000F55E0000}"/>
    <cellStyle name="Input 22 3 4 2 3 2" xfId="24519" xr:uid="{00000000-0005-0000-0000-0000F65E0000}"/>
    <cellStyle name="Input 22 3 4 2 4" xfId="24520" xr:uid="{00000000-0005-0000-0000-0000F75E0000}"/>
    <cellStyle name="Input 22 3 4 2 5" xfId="24521" xr:uid="{00000000-0005-0000-0000-0000F85E0000}"/>
    <cellStyle name="Input 22 3 4 2 6" xfId="24522" xr:uid="{00000000-0005-0000-0000-0000F95E0000}"/>
    <cellStyle name="Input 22 3 4 3" xfId="24523" xr:uid="{00000000-0005-0000-0000-0000FA5E0000}"/>
    <cellStyle name="Input 22 3 4 3 2" xfId="24524" xr:uid="{00000000-0005-0000-0000-0000FB5E0000}"/>
    <cellStyle name="Input 22 3 4 4" xfId="24525" xr:uid="{00000000-0005-0000-0000-0000FC5E0000}"/>
    <cellStyle name="Input 22 3 4 4 2" xfId="24526" xr:uid="{00000000-0005-0000-0000-0000FD5E0000}"/>
    <cellStyle name="Input 22 3 4 5" xfId="24527" xr:uid="{00000000-0005-0000-0000-0000FE5E0000}"/>
    <cellStyle name="Input 22 3 4 6" xfId="24528" xr:uid="{00000000-0005-0000-0000-0000FF5E0000}"/>
    <cellStyle name="Input 22 3 4 7" xfId="24529" xr:uid="{00000000-0005-0000-0000-0000005F0000}"/>
    <cellStyle name="Input 22 3 5" xfId="24530" xr:uid="{00000000-0005-0000-0000-0000015F0000}"/>
    <cellStyle name="Input 22 3 5 2" xfId="24531" xr:uid="{00000000-0005-0000-0000-0000025F0000}"/>
    <cellStyle name="Input 22 3 5 2 2" xfId="24532" xr:uid="{00000000-0005-0000-0000-0000035F0000}"/>
    <cellStyle name="Input 22 3 5 3" xfId="24533" xr:uid="{00000000-0005-0000-0000-0000045F0000}"/>
    <cellStyle name="Input 22 3 5 3 2" xfId="24534" xr:uid="{00000000-0005-0000-0000-0000055F0000}"/>
    <cellStyle name="Input 22 3 5 4" xfId="24535" xr:uid="{00000000-0005-0000-0000-0000065F0000}"/>
    <cellStyle name="Input 22 3 5 5" xfId="24536" xr:uid="{00000000-0005-0000-0000-0000075F0000}"/>
    <cellStyle name="Input 22 3 5 6" xfId="24537" xr:uid="{00000000-0005-0000-0000-0000085F0000}"/>
    <cellStyle name="Input 22 3 6" xfId="24538" xr:uid="{00000000-0005-0000-0000-0000095F0000}"/>
    <cellStyle name="Input 22 3 6 2" xfId="24539" xr:uid="{00000000-0005-0000-0000-00000A5F0000}"/>
    <cellStyle name="Input 22 3 7" xfId="24540" xr:uid="{00000000-0005-0000-0000-00000B5F0000}"/>
    <cellStyle name="Input 22 3 7 2" xfId="24541" xr:uid="{00000000-0005-0000-0000-00000C5F0000}"/>
    <cellStyle name="Input 22 3 8" xfId="24542" xr:uid="{00000000-0005-0000-0000-00000D5F0000}"/>
    <cellStyle name="Input 22 3 9" xfId="24543" xr:uid="{00000000-0005-0000-0000-00000E5F0000}"/>
    <cellStyle name="Input 22 4" xfId="24544" xr:uid="{00000000-0005-0000-0000-00000F5F0000}"/>
    <cellStyle name="Input 22 4 10" xfId="24545" xr:uid="{00000000-0005-0000-0000-0000105F0000}"/>
    <cellStyle name="Input 22 4 2" xfId="24546" xr:uid="{00000000-0005-0000-0000-0000115F0000}"/>
    <cellStyle name="Input 22 4 2 2" xfId="24547" xr:uid="{00000000-0005-0000-0000-0000125F0000}"/>
    <cellStyle name="Input 22 4 2 2 2" xfId="24548" xr:uid="{00000000-0005-0000-0000-0000135F0000}"/>
    <cellStyle name="Input 22 4 2 2 2 2" xfId="24549" xr:uid="{00000000-0005-0000-0000-0000145F0000}"/>
    <cellStyle name="Input 22 4 2 2 2 2 2" xfId="24550" xr:uid="{00000000-0005-0000-0000-0000155F0000}"/>
    <cellStyle name="Input 22 4 2 2 2 3" xfId="24551" xr:uid="{00000000-0005-0000-0000-0000165F0000}"/>
    <cellStyle name="Input 22 4 2 2 2 3 2" xfId="24552" xr:uid="{00000000-0005-0000-0000-0000175F0000}"/>
    <cellStyle name="Input 22 4 2 2 2 4" xfId="24553" xr:uid="{00000000-0005-0000-0000-0000185F0000}"/>
    <cellStyle name="Input 22 4 2 2 2 5" xfId="24554" xr:uid="{00000000-0005-0000-0000-0000195F0000}"/>
    <cellStyle name="Input 22 4 2 2 2 6" xfId="24555" xr:uid="{00000000-0005-0000-0000-00001A5F0000}"/>
    <cellStyle name="Input 22 4 2 2 3" xfId="24556" xr:uid="{00000000-0005-0000-0000-00001B5F0000}"/>
    <cellStyle name="Input 22 4 2 2 3 2" xfId="24557" xr:uid="{00000000-0005-0000-0000-00001C5F0000}"/>
    <cellStyle name="Input 22 4 2 2 4" xfId="24558" xr:uid="{00000000-0005-0000-0000-00001D5F0000}"/>
    <cellStyle name="Input 22 4 2 2 4 2" xfId="24559" xr:uid="{00000000-0005-0000-0000-00001E5F0000}"/>
    <cellStyle name="Input 22 4 2 2 5" xfId="24560" xr:uid="{00000000-0005-0000-0000-00001F5F0000}"/>
    <cellStyle name="Input 22 4 2 2 6" xfId="24561" xr:uid="{00000000-0005-0000-0000-0000205F0000}"/>
    <cellStyle name="Input 22 4 2 2 7" xfId="24562" xr:uid="{00000000-0005-0000-0000-0000215F0000}"/>
    <cellStyle name="Input 22 4 2 3" xfId="24563" xr:uid="{00000000-0005-0000-0000-0000225F0000}"/>
    <cellStyle name="Input 22 4 2 3 2" xfId="24564" xr:uid="{00000000-0005-0000-0000-0000235F0000}"/>
    <cellStyle name="Input 22 4 2 3 2 2" xfId="24565" xr:uid="{00000000-0005-0000-0000-0000245F0000}"/>
    <cellStyle name="Input 22 4 2 3 3" xfId="24566" xr:uid="{00000000-0005-0000-0000-0000255F0000}"/>
    <cellStyle name="Input 22 4 2 3 3 2" xfId="24567" xr:uid="{00000000-0005-0000-0000-0000265F0000}"/>
    <cellStyle name="Input 22 4 2 3 4" xfId="24568" xr:uid="{00000000-0005-0000-0000-0000275F0000}"/>
    <cellStyle name="Input 22 4 2 3 5" xfId="24569" xr:uid="{00000000-0005-0000-0000-0000285F0000}"/>
    <cellStyle name="Input 22 4 2 3 6" xfId="24570" xr:uid="{00000000-0005-0000-0000-0000295F0000}"/>
    <cellStyle name="Input 22 4 2 4" xfId="24571" xr:uid="{00000000-0005-0000-0000-00002A5F0000}"/>
    <cellStyle name="Input 22 4 2 4 2" xfId="24572" xr:uid="{00000000-0005-0000-0000-00002B5F0000}"/>
    <cellStyle name="Input 22 4 2 5" xfId="24573" xr:uid="{00000000-0005-0000-0000-00002C5F0000}"/>
    <cellStyle name="Input 22 4 2 5 2" xfId="24574" xr:uid="{00000000-0005-0000-0000-00002D5F0000}"/>
    <cellStyle name="Input 22 4 2 6" xfId="24575" xr:uid="{00000000-0005-0000-0000-00002E5F0000}"/>
    <cellStyle name="Input 22 4 2 7" xfId="24576" xr:uid="{00000000-0005-0000-0000-00002F5F0000}"/>
    <cellStyle name="Input 22 4 2 8" xfId="24577" xr:uid="{00000000-0005-0000-0000-0000305F0000}"/>
    <cellStyle name="Input 22 4 3" xfId="24578" xr:uid="{00000000-0005-0000-0000-0000315F0000}"/>
    <cellStyle name="Input 22 4 3 2" xfId="24579" xr:uid="{00000000-0005-0000-0000-0000325F0000}"/>
    <cellStyle name="Input 22 4 3 2 2" xfId="24580" xr:uid="{00000000-0005-0000-0000-0000335F0000}"/>
    <cellStyle name="Input 22 4 3 2 2 2" xfId="24581" xr:uid="{00000000-0005-0000-0000-0000345F0000}"/>
    <cellStyle name="Input 22 4 3 2 2 2 2" xfId="24582" xr:uid="{00000000-0005-0000-0000-0000355F0000}"/>
    <cellStyle name="Input 22 4 3 2 2 3" xfId="24583" xr:uid="{00000000-0005-0000-0000-0000365F0000}"/>
    <cellStyle name="Input 22 4 3 2 2 3 2" xfId="24584" xr:uid="{00000000-0005-0000-0000-0000375F0000}"/>
    <cellStyle name="Input 22 4 3 2 2 4" xfId="24585" xr:uid="{00000000-0005-0000-0000-0000385F0000}"/>
    <cellStyle name="Input 22 4 3 2 2 5" xfId="24586" xr:uid="{00000000-0005-0000-0000-0000395F0000}"/>
    <cellStyle name="Input 22 4 3 2 2 6" xfId="24587" xr:uid="{00000000-0005-0000-0000-00003A5F0000}"/>
    <cellStyle name="Input 22 4 3 2 3" xfId="24588" xr:uid="{00000000-0005-0000-0000-00003B5F0000}"/>
    <cellStyle name="Input 22 4 3 2 3 2" xfId="24589" xr:uid="{00000000-0005-0000-0000-00003C5F0000}"/>
    <cellStyle name="Input 22 4 3 2 4" xfId="24590" xr:uid="{00000000-0005-0000-0000-00003D5F0000}"/>
    <cellStyle name="Input 22 4 3 2 4 2" xfId="24591" xr:uid="{00000000-0005-0000-0000-00003E5F0000}"/>
    <cellStyle name="Input 22 4 3 2 5" xfId="24592" xr:uid="{00000000-0005-0000-0000-00003F5F0000}"/>
    <cellStyle name="Input 22 4 3 2 6" xfId="24593" xr:uid="{00000000-0005-0000-0000-0000405F0000}"/>
    <cellStyle name="Input 22 4 3 2 7" xfId="24594" xr:uid="{00000000-0005-0000-0000-0000415F0000}"/>
    <cellStyle name="Input 22 4 3 3" xfId="24595" xr:uid="{00000000-0005-0000-0000-0000425F0000}"/>
    <cellStyle name="Input 22 4 3 3 2" xfId="24596" xr:uid="{00000000-0005-0000-0000-0000435F0000}"/>
    <cellStyle name="Input 22 4 3 3 2 2" xfId="24597" xr:uid="{00000000-0005-0000-0000-0000445F0000}"/>
    <cellStyle name="Input 22 4 3 3 3" xfId="24598" xr:uid="{00000000-0005-0000-0000-0000455F0000}"/>
    <cellStyle name="Input 22 4 3 3 3 2" xfId="24599" xr:uid="{00000000-0005-0000-0000-0000465F0000}"/>
    <cellStyle name="Input 22 4 3 3 4" xfId="24600" xr:uid="{00000000-0005-0000-0000-0000475F0000}"/>
    <cellStyle name="Input 22 4 3 3 5" xfId="24601" xr:uid="{00000000-0005-0000-0000-0000485F0000}"/>
    <cellStyle name="Input 22 4 3 3 6" xfId="24602" xr:uid="{00000000-0005-0000-0000-0000495F0000}"/>
    <cellStyle name="Input 22 4 3 4" xfId="24603" xr:uid="{00000000-0005-0000-0000-00004A5F0000}"/>
    <cellStyle name="Input 22 4 3 4 2" xfId="24604" xr:uid="{00000000-0005-0000-0000-00004B5F0000}"/>
    <cellStyle name="Input 22 4 3 5" xfId="24605" xr:uid="{00000000-0005-0000-0000-00004C5F0000}"/>
    <cellStyle name="Input 22 4 3 5 2" xfId="24606" xr:uid="{00000000-0005-0000-0000-00004D5F0000}"/>
    <cellStyle name="Input 22 4 3 6" xfId="24607" xr:uid="{00000000-0005-0000-0000-00004E5F0000}"/>
    <cellStyle name="Input 22 4 3 7" xfId="24608" xr:uid="{00000000-0005-0000-0000-00004F5F0000}"/>
    <cellStyle name="Input 22 4 3 8" xfId="24609" xr:uid="{00000000-0005-0000-0000-0000505F0000}"/>
    <cellStyle name="Input 22 4 4" xfId="24610" xr:uid="{00000000-0005-0000-0000-0000515F0000}"/>
    <cellStyle name="Input 22 4 4 2" xfId="24611" xr:uid="{00000000-0005-0000-0000-0000525F0000}"/>
    <cellStyle name="Input 22 4 4 2 2" xfId="24612" xr:uid="{00000000-0005-0000-0000-0000535F0000}"/>
    <cellStyle name="Input 22 4 4 2 2 2" xfId="24613" xr:uid="{00000000-0005-0000-0000-0000545F0000}"/>
    <cellStyle name="Input 22 4 4 2 3" xfId="24614" xr:uid="{00000000-0005-0000-0000-0000555F0000}"/>
    <cellStyle name="Input 22 4 4 2 3 2" xfId="24615" xr:uid="{00000000-0005-0000-0000-0000565F0000}"/>
    <cellStyle name="Input 22 4 4 2 4" xfId="24616" xr:uid="{00000000-0005-0000-0000-0000575F0000}"/>
    <cellStyle name="Input 22 4 4 2 5" xfId="24617" xr:uid="{00000000-0005-0000-0000-0000585F0000}"/>
    <cellStyle name="Input 22 4 4 2 6" xfId="24618" xr:uid="{00000000-0005-0000-0000-0000595F0000}"/>
    <cellStyle name="Input 22 4 4 3" xfId="24619" xr:uid="{00000000-0005-0000-0000-00005A5F0000}"/>
    <cellStyle name="Input 22 4 4 3 2" xfId="24620" xr:uid="{00000000-0005-0000-0000-00005B5F0000}"/>
    <cellStyle name="Input 22 4 4 4" xfId="24621" xr:uid="{00000000-0005-0000-0000-00005C5F0000}"/>
    <cellStyle name="Input 22 4 4 4 2" xfId="24622" xr:uid="{00000000-0005-0000-0000-00005D5F0000}"/>
    <cellStyle name="Input 22 4 4 5" xfId="24623" xr:uid="{00000000-0005-0000-0000-00005E5F0000}"/>
    <cellStyle name="Input 22 4 4 6" xfId="24624" xr:uid="{00000000-0005-0000-0000-00005F5F0000}"/>
    <cellStyle name="Input 22 4 4 7" xfId="24625" xr:uid="{00000000-0005-0000-0000-0000605F0000}"/>
    <cellStyle name="Input 22 4 5" xfId="24626" xr:uid="{00000000-0005-0000-0000-0000615F0000}"/>
    <cellStyle name="Input 22 4 5 2" xfId="24627" xr:uid="{00000000-0005-0000-0000-0000625F0000}"/>
    <cellStyle name="Input 22 4 5 2 2" xfId="24628" xr:uid="{00000000-0005-0000-0000-0000635F0000}"/>
    <cellStyle name="Input 22 4 5 3" xfId="24629" xr:uid="{00000000-0005-0000-0000-0000645F0000}"/>
    <cellStyle name="Input 22 4 5 3 2" xfId="24630" xr:uid="{00000000-0005-0000-0000-0000655F0000}"/>
    <cellStyle name="Input 22 4 5 4" xfId="24631" xr:uid="{00000000-0005-0000-0000-0000665F0000}"/>
    <cellStyle name="Input 22 4 5 5" xfId="24632" xr:uid="{00000000-0005-0000-0000-0000675F0000}"/>
    <cellStyle name="Input 22 4 5 6" xfId="24633" xr:uid="{00000000-0005-0000-0000-0000685F0000}"/>
    <cellStyle name="Input 22 4 6" xfId="24634" xr:uid="{00000000-0005-0000-0000-0000695F0000}"/>
    <cellStyle name="Input 22 4 6 2" xfId="24635" xr:uid="{00000000-0005-0000-0000-00006A5F0000}"/>
    <cellStyle name="Input 22 4 7" xfId="24636" xr:uid="{00000000-0005-0000-0000-00006B5F0000}"/>
    <cellStyle name="Input 22 4 7 2" xfId="24637" xr:uid="{00000000-0005-0000-0000-00006C5F0000}"/>
    <cellStyle name="Input 22 4 8" xfId="24638" xr:uid="{00000000-0005-0000-0000-00006D5F0000}"/>
    <cellStyle name="Input 22 4 9" xfId="24639" xr:uid="{00000000-0005-0000-0000-00006E5F0000}"/>
    <cellStyle name="Input 22 5" xfId="24640" xr:uid="{00000000-0005-0000-0000-00006F5F0000}"/>
    <cellStyle name="Input 22 5 2" xfId="24641" xr:uid="{00000000-0005-0000-0000-0000705F0000}"/>
    <cellStyle name="Input 22 5 2 2" xfId="24642" xr:uid="{00000000-0005-0000-0000-0000715F0000}"/>
    <cellStyle name="Input 22 5 2 2 2" xfId="24643" xr:uid="{00000000-0005-0000-0000-0000725F0000}"/>
    <cellStyle name="Input 22 5 2 2 2 2" xfId="24644" xr:uid="{00000000-0005-0000-0000-0000735F0000}"/>
    <cellStyle name="Input 22 5 2 2 3" xfId="24645" xr:uid="{00000000-0005-0000-0000-0000745F0000}"/>
    <cellStyle name="Input 22 5 2 2 3 2" xfId="24646" xr:uid="{00000000-0005-0000-0000-0000755F0000}"/>
    <cellStyle name="Input 22 5 2 2 4" xfId="24647" xr:uid="{00000000-0005-0000-0000-0000765F0000}"/>
    <cellStyle name="Input 22 5 2 2 5" xfId="24648" xr:uid="{00000000-0005-0000-0000-0000775F0000}"/>
    <cellStyle name="Input 22 5 2 2 6" xfId="24649" xr:uid="{00000000-0005-0000-0000-0000785F0000}"/>
    <cellStyle name="Input 22 5 2 3" xfId="24650" xr:uid="{00000000-0005-0000-0000-0000795F0000}"/>
    <cellStyle name="Input 22 5 2 3 2" xfId="24651" xr:uid="{00000000-0005-0000-0000-00007A5F0000}"/>
    <cellStyle name="Input 22 5 2 4" xfId="24652" xr:uid="{00000000-0005-0000-0000-00007B5F0000}"/>
    <cellStyle name="Input 22 5 2 4 2" xfId="24653" xr:uid="{00000000-0005-0000-0000-00007C5F0000}"/>
    <cellStyle name="Input 22 5 2 5" xfId="24654" xr:uid="{00000000-0005-0000-0000-00007D5F0000}"/>
    <cellStyle name="Input 22 5 2 6" xfId="24655" xr:uid="{00000000-0005-0000-0000-00007E5F0000}"/>
    <cellStyle name="Input 22 5 2 7" xfId="24656" xr:uid="{00000000-0005-0000-0000-00007F5F0000}"/>
    <cellStyle name="Input 22 5 3" xfId="24657" xr:uid="{00000000-0005-0000-0000-0000805F0000}"/>
    <cellStyle name="Input 22 5 3 2" xfId="24658" xr:uid="{00000000-0005-0000-0000-0000815F0000}"/>
    <cellStyle name="Input 22 5 3 2 2" xfId="24659" xr:uid="{00000000-0005-0000-0000-0000825F0000}"/>
    <cellStyle name="Input 22 5 3 3" xfId="24660" xr:uid="{00000000-0005-0000-0000-0000835F0000}"/>
    <cellStyle name="Input 22 5 3 3 2" xfId="24661" xr:uid="{00000000-0005-0000-0000-0000845F0000}"/>
    <cellStyle name="Input 22 5 3 4" xfId="24662" xr:uid="{00000000-0005-0000-0000-0000855F0000}"/>
    <cellStyle name="Input 22 5 3 5" xfId="24663" xr:uid="{00000000-0005-0000-0000-0000865F0000}"/>
    <cellStyle name="Input 22 5 3 6" xfId="24664" xr:uid="{00000000-0005-0000-0000-0000875F0000}"/>
    <cellStyle name="Input 22 5 4" xfId="24665" xr:uid="{00000000-0005-0000-0000-0000885F0000}"/>
    <cellStyle name="Input 22 5 4 2" xfId="24666" xr:uid="{00000000-0005-0000-0000-0000895F0000}"/>
    <cellStyle name="Input 22 5 5" xfId="24667" xr:uid="{00000000-0005-0000-0000-00008A5F0000}"/>
    <cellStyle name="Input 22 5 5 2" xfId="24668" xr:uid="{00000000-0005-0000-0000-00008B5F0000}"/>
    <cellStyle name="Input 22 5 6" xfId="24669" xr:uid="{00000000-0005-0000-0000-00008C5F0000}"/>
    <cellStyle name="Input 22 5 7" xfId="24670" xr:uid="{00000000-0005-0000-0000-00008D5F0000}"/>
    <cellStyle name="Input 22 5 8" xfId="24671" xr:uid="{00000000-0005-0000-0000-00008E5F0000}"/>
    <cellStyle name="Input 22 6" xfId="24672" xr:uid="{00000000-0005-0000-0000-00008F5F0000}"/>
    <cellStyle name="Input 22 6 2" xfId="24673" xr:uid="{00000000-0005-0000-0000-0000905F0000}"/>
    <cellStyle name="Input 22 6 2 2" xfId="24674" xr:uid="{00000000-0005-0000-0000-0000915F0000}"/>
    <cellStyle name="Input 22 6 2 2 2" xfId="24675" xr:uid="{00000000-0005-0000-0000-0000925F0000}"/>
    <cellStyle name="Input 22 6 2 3" xfId="24676" xr:uid="{00000000-0005-0000-0000-0000935F0000}"/>
    <cellStyle name="Input 22 6 2 3 2" xfId="24677" xr:uid="{00000000-0005-0000-0000-0000945F0000}"/>
    <cellStyle name="Input 22 6 2 4" xfId="24678" xr:uid="{00000000-0005-0000-0000-0000955F0000}"/>
    <cellStyle name="Input 22 6 2 5" xfId="24679" xr:uid="{00000000-0005-0000-0000-0000965F0000}"/>
    <cellStyle name="Input 22 6 2 6" xfId="24680" xr:uid="{00000000-0005-0000-0000-0000975F0000}"/>
    <cellStyle name="Input 22 6 3" xfId="24681" xr:uid="{00000000-0005-0000-0000-0000985F0000}"/>
    <cellStyle name="Input 22 6 3 2" xfId="24682" xr:uid="{00000000-0005-0000-0000-0000995F0000}"/>
    <cellStyle name="Input 22 6 4" xfId="24683" xr:uid="{00000000-0005-0000-0000-00009A5F0000}"/>
    <cellStyle name="Input 22 6 4 2" xfId="24684" xr:uid="{00000000-0005-0000-0000-00009B5F0000}"/>
    <cellStyle name="Input 22 6 5" xfId="24685" xr:uid="{00000000-0005-0000-0000-00009C5F0000}"/>
    <cellStyle name="Input 22 6 6" xfId="24686" xr:uid="{00000000-0005-0000-0000-00009D5F0000}"/>
    <cellStyle name="Input 22 6 7" xfId="24687" xr:uid="{00000000-0005-0000-0000-00009E5F0000}"/>
    <cellStyle name="Input 22 7" xfId="24688" xr:uid="{00000000-0005-0000-0000-00009F5F0000}"/>
    <cellStyle name="Input 22 7 2" xfId="24689" xr:uid="{00000000-0005-0000-0000-0000A05F0000}"/>
    <cellStyle name="Input 22 7 2 2" xfId="24690" xr:uid="{00000000-0005-0000-0000-0000A15F0000}"/>
    <cellStyle name="Input 22 7 3" xfId="24691" xr:uid="{00000000-0005-0000-0000-0000A25F0000}"/>
    <cellStyle name="Input 22 7 3 2" xfId="24692" xr:uid="{00000000-0005-0000-0000-0000A35F0000}"/>
    <cellStyle name="Input 22 7 4" xfId="24693" xr:uid="{00000000-0005-0000-0000-0000A45F0000}"/>
    <cellStyle name="Input 22 7 5" xfId="24694" xr:uid="{00000000-0005-0000-0000-0000A55F0000}"/>
    <cellStyle name="Input 22 7 6" xfId="24695" xr:uid="{00000000-0005-0000-0000-0000A65F0000}"/>
    <cellStyle name="Input 22 8" xfId="24696" xr:uid="{00000000-0005-0000-0000-0000A75F0000}"/>
    <cellStyle name="Input 22 8 2" xfId="24697" xr:uid="{00000000-0005-0000-0000-0000A85F0000}"/>
    <cellStyle name="Input 22 9" xfId="24698" xr:uid="{00000000-0005-0000-0000-0000A95F0000}"/>
    <cellStyle name="Input 22 9 2" xfId="24699" xr:uid="{00000000-0005-0000-0000-0000AA5F0000}"/>
    <cellStyle name="Input 23" xfId="24700" xr:uid="{00000000-0005-0000-0000-0000AB5F0000}"/>
    <cellStyle name="Input 23 10" xfId="24701" xr:uid="{00000000-0005-0000-0000-0000AC5F0000}"/>
    <cellStyle name="Input 23 11" xfId="24702" xr:uid="{00000000-0005-0000-0000-0000AD5F0000}"/>
    <cellStyle name="Input 23 2" xfId="24703" xr:uid="{00000000-0005-0000-0000-0000AE5F0000}"/>
    <cellStyle name="Input 23 2 10" xfId="24704" xr:uid="{00000000-0005-0000-0000-0000AF5F0000}"/>
    <cellStyle name="Input 23 2 2" xfId="24705" xr:uid="{00000000-0005-0000-0000-0000B05F0000}"/>
    <cellStyle name="Input 23 2 2 10" xfId="24706" xr:uid="{00000000-0005-0000-0000-0000B15F0000}"/>
    <cellStyle name="Input 23 2 2 2" xfId="24707" xr:uid="{00000000-0005-0000-0000-0000B25F0000}"/>
    <cellStyle name="Input 23 2 2 2 2" xfId="24708" xr:uid="{00000000-0005-0000-0000-0000B35F0000}"/>
    <cellStyle name="Input 23 2 2 2 2 2" xfId="24709" xr:uid="{00000000-0005-0000-0000-0000B45F0000}"/>
    <cellStyle name="Input 23 2 2 2 2 2 2" xfId="24710" xr:uid="{00000000-0005-0000-0000-0000B55F0000}"/>
    <cellStyle name="Input 23 2 2 2 2 2 2 2" xfId="24711" xr:uid="{00000000-0005-0000-0000-0000B65F0000}"/>
    <cellStyle name="Input 23 2 2 2 2 2 3" xfId="24712" xr:uid="{00000000-0005-0000-0000-0000B75F0000}"/>
    <cellStyle name="Input 23 2 2 2 2 2 3 2" xfId="24713" xr:uid="{00000000-0005-0000-0000-0000B85F0000}"/>
    <cellStyle name="Input 23 2 2 2 2 2 4" xfId="24714" xr:uid="{00000000-0005-0000-0000-0000B95F0000}"/>
    <cellStyle name="Input 23 2 2 2 2 2 5" xfId="24715" xr:uid="{00000000-0005-0000-0000-0000BA5F0000}"/>
    <cellStyle name="Input 23 2 2 2 2 2 6" xfId="24716" xr:uid="{00000000-0005-0000-0000-0000BB5F0000}"/>
    <cellStyle name="Input 23 2 2 2 2 3" xfId="24717" xr:uid="{00000000-0005-0000-0000-0000BC5F0000}"/>
    <cellStyle name="Input 23 2 2 2 2 3 2" xfId="24718" xr:uid="{00000000-0005-0000-0000-0000BD5F0000}"/>
    <cellStyle name="Input 23 2 2 2 2 4" xfId="24719" xr:uid="{00000000-0005-0000-0000-0000BE5F0000}"/>
    <cellStyle name="Input 23 2 2 2 2 4 2" xfId="24720" xr:uid="{00000000-0005-0000-0000-0000BF5F0000}"/>
    <cellStyle name="Input 23 2 2 2 2 5" xfId="24721" xr:uid="{00000000-0005-0000-0000-0000C05F0000}"/>
    <cellStyle name="Input 23 2 2 2 2 6" xfId="24722" xr:uid="{00000000-0005-0000-0000-0000C15F0000}"/>
    <cellStyle name="Input 23 2 2 2 2 7" xfId="24723" xr:uid="{00000000-0005-0000-0000-0000C25F0000}"/>
    <cellStyle name="Input 23 2 2 2 3" xfId="24724" xr:uid="{00000000-0005-0000-0000-0000C35F0000}"/>
    <cellStyle name="Input 23 2 2 2 3 2" xfId="24725" xr:uid="{00000000-0005-0000-0000-0000C45F0000}"/>
    <cellStyle name="Input 23 2 2 2 3 2 2" xfId="24726" xr:uid="{00000000-0005-0000-0000-0000C55F0000}"/>
    <cellStyle name="Input 23 2 2 2 3 3" xfId="24727" xr:uid="{00000000-0005-0000-0000-0000C65F0000}"/>
    <cellStyle name="Input 23 2 2 2 3 3 2" xfId="24728" xr:uid="{00000000-0005-0000-0000-0000C75F0000}"/>
    <cellStyle name="Input 23 2 2 2 3 4" xfId="24729" xr:uid="{00000000-0005-0000-0000-0000C85F0000}"/>
    <cellStyle name="Input 23 2 2 2 3 5" xfId="24730" xr:uid="{00000000-0005-0000-0000-0000C95F0000}"/>
    <cellStyle name="Input 23 2 2 2 3 6" xfId="24731" xr:uid="{00000000-0005-0000-0000-0000CA5F0000}"/>
    <cellStyle name="Input 23 2 2 2 4" xfId="24732" xr:uid="{00000000-0005-0000-0000-0000CB5F0000}"/>
    <cellStyle name="Input 23 2 2 2 4 2" xfId="24733" xr:uid="{00000000-0005-0000-0000-0000CC5F0000}"/>
    <cellStyle name="Input 23 2 2 2 5" xfId="24734" xr:uid="{00000000-0005-0000-0000-0000CD5F0000}"/>
    <cellStyle name="Input 23 2 2 2 5 2" xfId="24735" xr:uid="{00000000-0005-0000-0000-0000CE5F0000}"/>
    <cellStyle name="Input 23 2 2 2 6" xfId="24736" xr:uid="{00000000-0005-0000-0000-0000CF5F0000}"/>
    <cellStyle name="Input 23 2 2 2 7" xfId="24737" xr:uid="{00000000-0005-0000-0000-0000D05F0000}"/>
    <cellStyle name="Input 23 2 2 2 8" xfId="24738" xr:uid="{00000000-0005-0000-0000-0000D15F0000}"/>
    <cellStyle name="Input 23 2 2 3" xfId="24739" xr:uid="{00000000-0005-0000-0000-0000D25F0000}"/>
    <cellStyle name="Input 23 2 2 3 2" xfId="24740" xr:uid="{00000000-0005-0000-0000-0000D35F0000}"/>
    <cellStyle name="Input 23 2 2 3 2 2" xfId="24741" xr:uid="{00000000-0005-0000-0000-0000D45F0000}"/>
    <cellStyle name="Input 23 2 2 3 2 2 2" xfId="24742" xr:uid="{00000000-0005-0000-0000-0000D55F0000}"/>
    <cellStyle name="Input 23 2 2 3 2 2 2 2" xfId="24743" xr:uid="{00000000-0005-0000-0000-0000D65F0000}"/>
    <cellStyle name="Input 23 2 2 3 2 2 3" xfId="24744" xr:uid="{00000000-0005-0000-0000-0000D75F0000}"/>
    <cellStyle name="Input 23 2 2 3 2 2 3 2" xfId="24745" xr:uid="{00000000-0005-0000-0000-0000D85F0000}"/>
    <cellStyle name="Input 23 2 2 3 2 2 4" xfId="24746" xr:uid="{00000000-0005-0000-0000-0000D95F0000}"/>
    <cellStyle name="Input 23 2 2 3 2 2 5" xfId="24747" xr:uid="{00000000-0005-0000-0000-0000DA5F0000}"/>
    <cellStyle name="Input 23 2 2 3 2 2 6" xfId="24748" xr:uid="{00000000-0005-0000-0000-0000DB5F0000}"/>
    <cellStyle name="Input 23 2 2 3 2 3" xfId="24749" xr:uid="{00000000-0005-0000-0000-0000DC5F0000}"/>
    <cellStyle name="Input 23 2 2 3 2 3 2" xfId="24750" xr:uid="{00000000-0005-0000-0000-0000DD5F0000}"/>
    <cellStyle name="Input 23 2 2 3 2 4" xfId="24751" xr:uid="{00000000-0005-0000-0000-0000DE5F0000}"/>
    <cellStyle name="Input 23 2 2 3 2 4 2" xfId="24752" xr:uid="{00000000-0005-0000-0000-0000DF5F0000}"/>
    <cellStyle name="Input 23 2 2 3 2 5" xfId="24753" xr:uid="{00000000-0005-0000-0000-0000E05F0000}"/>
    <cellStyle name="Input 23 2 2 3 2 6" xfId="24754" xr:uid="{00000000-0005-0000-0000-0000E15F0000}"/>
    <cellStyle name="Input 23 2 2 3 2 7" xfId="24755" xr:uid="{00000000-0005-0000-0000-0000E25F0000}"/>
    <cellStyle name="Input 23 2 2 3 3" xfId="24756" xr:uid="{00000000-0005-0000-0000-0000E35F0000}"/>
    <cellStyle name="Input 23 2 2 3 3 2" xfId="24757" xr:uid="{00000000-0005-0000-0000-0000E45F0000}"/>
    <cellStyle name="Input 23 2 2 3 3 2 2" xfId="24758" xr:uid="{00000000-0005-0000-0000-0000E55F0000}"/>
    <cellStyle name="Input 23 2 2 3 3 3" xfId="24759" xr:uid="{00000000-0005-0000-0000-0000E65F0000}"/>
    <cellStyle name="Input 23 2 2 3 3 3 2" xfId="24760" xr:uid="{00000000-0005-0000-0000-0000E75F0000}"/>
    <cellStyle name="Input 23 2 2 3 3 4" xfId="24761" xr:uid="{00000000-0005-0000-0000-0000E85F0000}"/>
    <cellStyle name="Input 23 2 2 3 3 5" xfId="24762" xr:uid="{00000000-0005-0000-0000-0000E95F0000}"/>
    <cellStyle name="Input 23 2 2 3 3 6" xfId="24763" xr:uid="{00000000-0005-0000-0000-0000EA5F0000}"/>
    <cellStyle name="Input 23 2 2 3 4" xfId="24764" xr:uid="{00000000-0005-0000-0000-0000EB5F0000}"/>
    <cellStyle name="Input 23 2 2 3 4 2" xfId="24765" xr:uid="{00000000-0005-0000-0000-0000EC5F0000}"/>
    <cellStyle name="Input 23 2 2 3 5" xfId="24766" xr:uid="{00000000-0005-0000-0000-0000ED5F0000}"/>
    <cellStyle name="Input 23 2 2 3 5 2" xfId="24767" xr:uid="{00000000-0005-0000-0000-0000EE5F0000}"/>
    <cellStyle name="Input 23 2 2 3 6" xfId="24768" xr:uid="{00000000-0005-0000-0000-0000EF5F0000}"/>
    <cellStyle name="Input 23 2 2 3 7" xfId="24769" xr:uid="{00000000-0005-0000-0000-0000F05F0000}"/>
    <cellStyle name="Input 23 2 2 3 8" xfId="24770" xr:uid="{00000000-0005-0000-0000-0000F15F0000}"/>
    <cellStyle name="Input 23 2 2 4" xfId="24771" xr:uid="{00000000-0005-0000-0000-0000F25F0000}"/>
    <cellStyle name="Input 23 2 2 4 2" xfId="24772" xr:uid="{00000000-0005-0000-0000-0000F35F0000}"/>
    <cellStyle name="Input 23 2 2 4 2 2" xfId="24773" xr:uid="{00000000-0005-0000-0000-0000F45F0000}"/>
    <cellStyle name="Input 23 2 2 4 2 2 2" xfId="24774" xr:uid="{00000000-0005-0000-0000-0000F55F0000}"/>
    <cellStyle name="Input 23 2 2 4 2 3" xfId="24775" xr:uid="{00000000-0005-0000-0000-0000F65F0000}"/>
    <cellStyle name="Input 23 2 2 4 2 3 2" xfId="24776" xr:uid="{00000000-0005-0000-0000-0000F75F0000}"/>
    <cellStyle name="Input 23 2 2 4 2 4" xfId="24777" xr:uid="{00000000-0005-0000-0000-0000F85F0000}"/>
    <cellStyle name="Input 23 2 2 4 2 5" xfId="24778" xr:uid="{00000000-0005-0000-0000-0000F95F0000}"/>
    <cellStyle name="Input 23 2 2 4 2 6" xfId="24779" xr:uid="{00000000-0005-0000-0000-0000FA5F0000}"/>
    <cellStyle name="Input 23 2 2 4 3" xfId="24780" xr:uid="{00000000-0005-0000-0000-0000FB5F0000}"/>
    <cellStyle name="Input 23 2 2 4 3 2" xfId="24781" xr:uid="{00000000-0005-0000-0000-0000FC5F0000}"/>
    <cellStyle name="Input 23 2 2 4 4" xfId="24782" xr:uid="{00000000-0005-0000-0000-0000FD5F0000}"/>
    <cellStyle name="Input 23 2 2 4 4 2" xfId="24783" xr:uid="{00000000-0005-0000-0000-0000FE5F0000}"/>
    <cellStyle name="Input 23 2 2 4 5" xfId="24784" xr:uid="{00000000-0005-0000-0000-0000FF5F0000}"/>
    <cellStyle name="Input 23 2 2 4 6" xfId="24785" xr:uid="{00000000-0005-0000-0000-000000600000}"/>
    <cellStyle name="Input 23 2 2 4 7" xfId="24786" xr:uid="{00000000-0005-0000-0000-000001600000}"/>
    <cellStyle name="Input 23 2 2 5" xfId="24787" xr:uid="{00000000-0005-0000-0000-000002600000}"/>
    <cellStyle name="Input 23 2 2 5 2" xfId="24788" xr:uid="{00000000-0005-0000-0000-000003600000}"/>
    <cellStyle name="Input 23 2 2 5 2 2" xfId="24789" xr:uid="{00000000-0005-0000-0000-000004600000}"/>
    <cellStyle name="Input 23 2 2 5 3" xfId="24790" xr:uid="{00000000-0005-0000-0000-000005600000}"/>
    <cellStyle name="Input 23 2 2 5 3 2" xfId="24791" xr:uid="{00000000-0005-0000-0000-000006600000}"/>
    <cellStyle name="Input 23 2 2 5 4" xfId="24792" xr:uid="{00000000-0005-0000-0000-000007600000}"/>
    <cellStyle name="Input 23 2 2 5 5" xfId="24793" xr:uid="{00000000-0005-0000-0000-000008600000}"/>
    <cellStyle name="Input 23 2 2 5 6" xfId="24794" xr:uid="{00000000-0005-0000-0000-000009600000}"/>
    <cellStyle name="Input 23 2 2 6" xfId="24795" xr:uid="{00000000-0005-0000-0000-00000A600000}"/>
    <cellStyle name="Input 23 2 2 6 2" xfId="24796" xr:uid="{00000000-0005-0000-0000-00000B600000}"/>
    <cellStyle name="Input 23 2 2 7" xfId="24797" xr:uid="{00000000-0005-0000-0000-00000C600000}"/>
    <cellStyle name="Input 23 2 2 7 2" xfId="24798" xr:uid="{00000000-0005-0000-0000-00000D600000}"/>
    <cellStyle name="Input 23 2 2 8" xfId="24799" xr:uid="{00000000-0005-0000-0000-00000E600000}"/>
    <cellStyle name="Input 23 2 2 9" xfId="24800" xr:uid="{00000000-0005-0000-0000-00000F600000}"/>
    <cellStyle name="Input 23 2 3" xfId="24801" xr:uid="{00000000-0005-0000-0000-000010600000}"/>
    <cellStyle name="Input 23 2 3 2" xfId="24802" xr:uid="{00000000-0005-0000-0000-000011600000}"/>
    <cellStyle name="Input 23 2 3 2 2" xfId="24803" xr:uid="{00000000-0005-0000-0000-000012600000}"/>
    <cellStyle name="Input 23 2 3 2 2 2" xfId="24804" xr:uid="{00000000-0005-0000-0000-000013600000}"/>
    <cellStyle name="Input 23 2 3 2 2 2 2" xfId="24805" xr:uid="{00000000-0005-0000-0000-000014600000}"/>
    <cellStyle name="Input 23 2 3 2 2 3" xfId="24806" xr:uid="{00000000-0005-0000-0000-000015600000}"/>
    <cellStyle name="Input 23 2 3 2 2 3 2" xfId="24807" xr:uid="{00000000-0005-0000-0000-000016600000}"/>
    <cellStyle name="Input 23 2 3 2 2 4" xfId="24808" xr:uid="{00000000-0005-0000-0000-000017600000}"/>
    <cellStyle name="Input 23 2 3 2 2 5" xfId="24809" xr:uid="{00000000-0005-0000-0000-000018600000}"/>
    <cellStyle name="Input 23 2 3 2 2 6" xfId="24810" xr:uid="{00000000-0005-0000-0000-000019600000}"/>
    <cellStyle name="Input 23 2 3 2 3" xfId="24811" xr:uid="{00000000-0005-0000-0000-00001A600000}"/>
    <cellStyle name="Input 23 2 3 2 3 2" xfId="24812" xr:uid="{00000000-0005-0000-0000-00001B600000}"/>
    <cellStyle name="Input 23 2 3 2 4" xfId="24813" xr:uid="{00000000-0005-0000-0000-00001C600000}"/>
    <cellStyle name="Input 23 2 3 2 4 2" xfId="24814" xr:uid="{00000000-0005-0000-0000-00001D600000}"/>
    <cellStyle name="Input 23 2 3 2 5" xfId="24815" xr:uid="{00000000-0005-0000-0000-00001E600000}"/>
    <cellStyle name="Input 23 2 3 2 6" xfId="24816" xr:uid="{00000000-0005-0000-0000-00001F600000}"/>
    <cellStyle name="Input 23 2 3 2 7" xfId="24817" xr:uid="{00000000-0005-0000-0000-000020600000}"/>
    <cellStyle name="Input 23 2 3 3" xfId="24818" xr:uid="{00000000-0005-0000-0000-000021600000}"/>
    <cellStyle name="Input 23 2 3 3 2" xfId="24819" xr:uid="{00000000-0005-0000-0000-000022600000}"/>
    <cellStyle name="Input 23 2 3 3 2 2" xfId="24820" xr:uid="{00000000-0005-0000-0000-000023600000}"/>
    <cellStyle name="Input 23 2 3 3 3" xfId="24821" xr:uid="{00000000-0005-0000-0000-000024600000}"/>
    <cellStyle name="Input 23 2 3 3 3 2" xfId="24822" xr:uid="{00000000-0005-0000-0000-000025600000}"/>
    <cellStyle name="Input 23 2 3 3 4" xfId="24823" xr:uid="{00000000-0005-0000-0000-000026600000}"/>
    <cellStyle name="Input 23 2 3 3 5" xfId="24824" xr:uid="{00000000-0005-0000-0000-000027600000}"/>
    <cellStyle name="Input 23 2 3 3 6" xfId="24825" xr:uid="{00000000-0005-0000-0000-000028600000}"/>
    <cellStyle name="Input 23 2 3 4" xfId="24826" xr:uid="{00000000-0005-0000-0000-000029600000}"/>
    <cellStyle name="Input 23 2 3 4 2" xfId="24827" xr:uid="{00000000-0005-0000-0000-00002A600000}"/>
    <cellStyle name="Input 23 2 3 5" xfId="24828" xr:uid="{00000000-0005-0000-0000-00002B600000}"/>
    <cellStyle name="Input 23 2 3 5 2" xfId="24829" xr:uid="{00000000-0005-0000-0000-00002C600000}"/>
    <cellStyle name="Input 23 2 3 6" xfId="24830" xr:uid="{00000000-0005-0000-0000-00002D600000}"/>
    <cellStyle name="Input 23 2 3 7" xfId="24831" xr:uid="{00000000-0005-0000-0000-00002E600000}"/>
    <cellStyle name="Input 23 2 3 8" xfId="24832" xr:uid="{00000000-0005-0000-0000-00002F600000}"/>
    <cellStyle name="Input 23 2 4" xfId="24833" xr:uid="{00000000-0005-0000-0000-000030600000}"/>
    <cellStyle name="Input 23 2 4 2" xfId="24834" xr:uid="{00000000-0005-0000-0000-000031600000}"/>
    <cellStyle name="Input 23 2 4 2 2" xfId="24835" xr:uid="{00000000-0005-0000-0000-000032600000}"/>
    <cellStyle name="Input 23 2 4 2 2 2" xfId="24836" xr:uid="{00000000-0005-0000-0000-000033600000}"/>
    <cellStyle name="Input 23 2 4 2 3" xfId="24837" xr:uid="{00000000-0005-0000-0000-000034600000}"/>
    <cellStyle name="Input 23 2 4 2 3 2" xfId="24838" xr:uid="{00000000-0005-0000-0000-000035600000}"/>
    <cellStyle name="Input 23 2 4 2 4" xfId="24839" xr:uid="{00000000-0005-0000-0000-000036600000}"/>
    <cellStyle name="Input 23 2 4 2 5" xfId="24840" xr:uid="{00000000-0005-0000-0000-000037600000}"/>
    <cellStyle name="Input 23 2 4 2 6" xfId="24841" xr:uid="{00000000-0005-0000-0000-000038600000}"/>
    <cellStyle name="Input 23 2 4 3" xfId="24842" xr:uid="{00000000-0005-0000-0000-000039600000}"/>
    <cellStyle name="Input 23 2 4 3 2" xfId="24843" xr:uid="{00000000-0005-0000-0000-00003A600000}"/>
    <cellStyle name="Input 23 2 4 4" xfId="24844" xr:uid="{00000000-0005-0000-0000-00003B600000}"/>
    <cellStyle name="Input 23 2 4 4 2" xfId="24845" xr:uid="{00000000-0005-0000-0000-00003C600000}"/>
    <cellStyle name="Input 23 2 4 5" xfId="24846" xr:uid="{00000000-0005-0000-0000-00003D600000}"/>
    <cellStyle name="Input 23 2 4 6" xfId="24847" xr:uid="{00000000-0005-0000-0000-00003E600000}"/>
    <cellStyle name="Input 23 2 4 7" xfId="24848" xr:uid="{00000000-0005-0000-0000-00003F600000}"/>
    <cellStyle name="Input 23 2 5" xfId="24849" xr:uid="{00000000-0005-0000-0000-000040600000}"/>
    <cellStyle name="Input 23 2 5 2" xfId="24850" xr:uid="{00000000-0005-0000-0000-000041600000}"/>
    <cellStyle name="Input 23 2 5 2 2" xfId="24851" xr:uid="{00000000-0005-0000-0000-000042600000}"/>
    <cellStyle name="Input 23 2 5 3" xfId="24852" xr:uid="{00000000-0005-0000-0000-000043600000}"/>
    <cellStyle name="Input 23 2 5 3 2" xfId="24853" xr:uid="{00000000-0005-0000-0000-000044600000}"/>
    <cellStyle name="Input 23 2 5 4" xfId="24854" xr:uid="{00000000-0005-0000-0000-000045600000}"/>
    <cellStyle name="Input 23 2 5 5" xfId="24855" xr:uid="{00000000-0005-0000-0000-000046600000}"/>
    <cellStyle name="Input 23 2 5 6" xfId="24856" xr:uid="{00000000-0005-0000-0000-000047600000}"/>
    <cellStyle name="Input 23 2 6" xfId="24857" xr:uid="{00000000-0005-0000-0000-000048600000}"/>
    <cellStyle name="Input 23 2 6 2" xfId="24858" xr:uid="{00000000-0005-0000-0000-000049600000}"/>
    <cellStyle name="Input 23 2 7" xfId="24859" xr:uid="{00000000-0005-0000-0000-00004A600000}"/>
    <cellStyle name="Input 23 2 7 2" xfId="24860" xr:uid="{00000000-0005-0000-0000-00004B600000}"/>
    <cellStyle name="Input 23 2 8" xfId="24861" xr:uid="{00000000-0005-0000-0000-00004C600000}"/>
    <cellStyle name="Input 23 2 9" xfId="24862" xr:uid="{00000000-0005-0000-0000-00004D600000}"/>
    <cellStyle name="Input 23 3" xfId="24863" xr:uid="{00000000-0005-0000-0000-00004E600000}"/>
    <cellStyle name="Input 23 3 10" xfId="24864" xr:uid="{00000000-0005-0000-0000-00004F600000}"/>
    <cellStyle name="Input 23 3 2" xfId="24865" xr:uid="{00000000-0005-0000-0000-000050600000}"/>
    <cellStyle name="Input 23 3 2 2" xfId="24866" xr:uid="{00000000-0005-0000-0000-000051600000}"/>
    <cellStyle name="Input 23 3 2 2 2" xfId="24867" xr:uid="{00000000-0005-0000-0000-000052600000}"/>
    <cellStyle name="Input 23 3 2 2 2 2" xfId="24868" xr:uid="{00000000-0005-0000-0000-000053600000}"/>
    <cellStyle name="Input 23 3 2 2 2 2 2" xfId="24869" xr:uid="{00000000-0005-0000-0000-000054600000}"/>
    <cellStyle name="Input 23 3 2 2 2 3" xfId="24870" xr:uid="{00000000-0005-0000-0000-000055600000}"/>
    <cellStyle name="Input 23 3 2 2 2 3 2" xfId="24871" xr:uid="{00000000-0005-0000-0000-000056600000}"/>
    <cellStyle name="Input 23 3 2 2 2 4" xfId="24872" xr:uid="{00000000-0005-0000-0000-000057600000}"/>
    <cellStyle name="Input 23 3 2 2 2 5" xfId="24873" xr:uid="{00000000-0005-0000-0000-000058600000}"/>
    <cellStyle name="Input 23 3 2 2 2 6" xfId="24874" xr:uid="{00000000-0005-0000-0000-000059600000}"/>
    <cellStyle name="Input 23 3 2 2 3" xfId="24875" xr:uid="{00000000-0005-0000-0000-00005A600000}"/>
    <cellStyle name="Input 23 3 2 2 3 2" xfId="24876" xr:uid="{00000000-0005-0000-0000-00005B600000}"/>
    <cellStyle name="Input 23 3 2 2 4" xfId="24877" xr:uid="{00000000-0005-0000-0000-00005C600000}"/>
    <cellStyle name="Input 23 3 2 2 4 2" xfId="24878" xr:uid="{00000000-0005-0000-0000-00005D600000}"/>
    <cellStyle name="Input 23 3 2 2 5" xfId="24879" xr:uid="{00000000-0005-0000-0000-00005E600000}"/>
    <cellStyle name="Input 23 3 2 2 6" xfId="24880" xr:uid="{00000000-0005-0000-0000-00005F600000}"/>
    <cellStyle name="Input 23 3 2 2 7" xfId="24881" xr:uid="{00000000-0005-0000-0000-000060600000}"/>
    <cellStyle name="Input 23 3 2 3" xfId="24882" xr:uid="{00000000-0005-0000-0000-000061600000}"/>
    <cellStyle name="Input 23 3 2 3 2" xfId="24883" xr:uid="{00000000-0005-0000-0000-000062600000}"/>
    <cellStyle name="Input 23 3 2 3 2 2" xfId="24884" xr:uid="{00000000-0005-0000-0000-000063600000}"/>
    <cellStyle name="Input 23 3 2 3 3" xfId="24885" xr:uid="{00000000-0005-0000-0000-000064600000}"/>
    <cellStyle name="Input 23 3 2 3 3 2" xfId="24886" xr:uid="{00000000-0005-0000-0000-000065600000}"/>
    <cellStyle name="Input 23 3 2 3 4" xfId="24887" xr:uid="{00000000-0005-0000-0000-000066600000}"/>
    <cellStyle name="Input 23 3 2 3 5" xfId="24888" xr:uid="{00000000-0005-0000-0000-000067600000}"/>
    <cellStyle name="Input 23 3 2 3 6" xfId="24889" xr:uid="{00000000-0005-0000-0000-000068600000}"/>
    <cellStyle name="Input 23 3 2 4" xfId="24890" xr:uid="{00000000-0005-0000-0000-000069600000}"/>
    <cellStyle name="Input 23 3 2 4 2" xfId="24891" xr:uid="{00000000-0005-0000-0000-00006A600000}"/>
    <cellStyle name="Input 23 3 2 5" xfId="24892" xr:uid="{00000000-0005-0000-0000-00006B600000}"/>
    <cellStyle name="Input 23 3 2 5 2" xfId="24893" xr:uid="{00000000-0005-0000-0000-00006C600000}"/>
    <cellStyle name="Input 23 3 2 6" xfId="24894" xr:uid="{00000000-0005-0000-0000-00006D600000}"/>
    <cellStyle name="Input 23 3 2 7" xfId="24895" xr:uid="{00000000-0005-0000-0000-00006E600000}"/>
    <cellStyle name="Input 23 3 2 8" xfId="24896" xr:uid="{00000000-0005-0000-0000-00006F600000}"/>
    <cellStyle name="Input 23 3 3" xfId="24897" xr:uid="{00000000-0005-0000-0000-000070600000}"/>
    <cellStyle name="Input 23 3 3 2" xfId="24898" xr:uid="{00000000-0005-0000-0000-000071600000}"/>
    <cellStyle name="Input 23 3 3 2 2" xfId="24899" xr:uid="{00000000-0005-0000-0000-000072600000}"/>
    <cellStyle name="Input 23 3 3 2 2 2" xfId="24900" xr:uid="{00000000-0005-0000-0000-000073600000}"/>
    <cellStyle name="Input 23 3 3 2 2 2 2" xfId="24901" xr:uid="{00000000-0005-0000-0000-000074600000}"/>
    <cellStyle name="Input 23 3 3 2 2 3" xfId="24902" xr:uid="{00000000-0005-0000-0000-000075600000}"/>
    <cellStyle name="Input 23 3 3 2 2 3 2" xfId="24903" xr:uid="{00000000-0005-0000-0000-000076600000}"/>
    <cellStyle name="Input 23 3 3 2 2 4" xfId="24904" xr:uid="{00000000-0005-0000-0000-000077600000}"/>
    <cellStyle name="Input 23 3 3 2 2 5" xfId="24905" xr:uid="{00000000-0005-0000-0000-000078600000}"/>
    <cellStyle name="Input 23 3 3 2 2 6" xfId="24906" xr:uid="{00000000-0005-0000-0000-000079600000}"/>
    <cellStyle name="Input 23 3 3 2 3" xfId="24907" xr:uid="{00000000-0005-0000-0000-00007A600000}"/>
    <cellStyle name="Input 23 3 3 2 3 2" xfId="24908" xr:uid="{00000000-0005-0000-0000-00007B600000}"/>
    <cellStyle name="Input 23 3 3 2 4" xfId="24909" xr:uid="{00000000-0005-0000-0000-00007C600000}"/>
    <cellStyle name="Input 23 3 3 2 4 2" xfId="24910" xr:uid="{00000000-0005-0000-0000-00007D600000}"/>
    <cellStyle name="Input 23 3 3 2 5" xfId="24911" xr:uid="{00000000-0005-0000-0000-00007E600000}"/>
    <cellStyle name="Input 23 3 3 2 6" xfId="24912" xr:uid="{00000000-0005-0000-0000-00007F600000}"/>
    <cellStyle name="Input 23 3 3 2 7" xfId="24913" xr:uid="{00000000-0005-0000-0000-000080600000}"/>
    <cellStyle name="Input 23 3 3 3" xfId="24914" xr:uid="{00000000-0005-0000-0000-000081600000}"/>
    <cellStyle name="Input 23 3 3 3 2" xfId="24915" xr:uid="{00000000-0005-0000-0000-000082600000}"/>
    <cellStyle name="Input 23 3 3 3 2 2" xfId="24916" xr:uid="{00000000-0005-0000-0000-000083600000}"/>
    <cellStyle name="Input 23 3 3 3 3" xfId="24917" xr:uid="{00000000-0005-0000-0000-000084600000}"/>
    <cellStyle name="Input 23 3 3 3 3 2" xfId="24918" xr:uid="{00000000-0005-0000-0000-000085600000}"/>
    <cellStyle name="Input 23 3 3 3 4" xfId="24919" xr:uid="{00000000-0005-0000-0000-000086600000}"/>
    <cellStyle name="Input 23 3 3 3 5" xfId="24920" xr:uid="{00000000-0005-0000-0000-000087600000}"/>
    <cellStyle name="Input 23 3 3 3 6" xfId="24921" xr:uid="{00000000-0005-0000-0000-000088600000}"/>
    <cellStyle name="Input 23 3 3 4" xfId="24922" xr:uid="{00000000-0005-0000-0000-000089600000}"/>
    <cellStyle name="Input 23 3 3 4 2" xfId="24923" xr:uid="{00000000-0005-0000-0000-00008A600000}"/>
    <cellStyle name="Input 23 3 3 5" xfId="24924" xr:uid="{00000000-0005-0000-0000-00008B600000}"/>
    <cellStyle name="Input 23 3 3 5 2" xfId="24925" xr:uid="{00000000-0005-0000-0000-00008C600000}"/>
    <cellStyle name="Input 23 3 3 6" xfId="24926" xr:uid="{00000000-0005-0000-0000-00008D600000}"/>
    <cellStyle name="Input 23 3 3 7" xfId="24927" xr:uid="{00000000-0005-0000-0000-00008E600000}"/>
    <cellStyle name="Input 23 3 3 8" xfId="24928" xr:uid="{00000000-0005-0000-0000-00008F600000}"/>
    <cellStyle name="Input 23 3 4" xfId="24929" xr:uid="{00000000-0005-0000-0000-000090600000}"/>
    <cellStyle name="Input 23 3 4 2" xfId="24930" xr:uid="{00000000-0005-0000-0000-000091600000}"/>
    <cellStyle name="Input 23 3 4 2 2" xfId="24931" xr:uid="{00000000-0005-0000-0000-000092600000}"/>
    <cellStyle name="Input 23 3 4 2 2 2" xfId="24932" xr:uid="{00000000-0005-0000-0000-000093600000}"/>
    <cellStyle name="Input 23 3 4 2 3" xfId="24933" xr:uid="{00000000-0005-0000-0000-000094600000}"/>
    <cellStyle name="Input 23 3 4 2 3 2" xfId="24934" xr:uid="{00000000-0005-0000-0000-000095600000}"/>
    <cellStyle name="Input 23 3 4 2 4" xfId="24935" xr:uid="{00000000-0005-0000-0000-000096600000}"/>
    <cellStyle name="Input 23 3 4 2 5" xfId="24936" xr:uid="{00000000-0005-0000-0000-000097600000}"/>
    <cellStyle name="Input 23 3 4 2 6" xfId="24937" xr:uid="{00000000-0005-0000-0000-000098600000}"/>
    <cellStyle name="Input 23 3 4 3" xfId="24938" xr:uid="{00000000-0005-0000-0000-000099600000}"/>
    <cellStyle name="Input 23 3 4 3 2" xfId="24939" xr:uid="{00000000-0005-0000-0000-00009A600000}"/>
    <cellStyle name="Input 23 3 4 4" xfId="24940" xr:uid="{00000000-0005-0000-0000-00009B600000}"/>
    <cellStyle name="Input 23 3 4 4 2" xfId="24941" xr:uid="{00000000-0005-0000-0000-00009C600000}"/>
    <cellStyle name="Input 23 3 4 5" xfId="24942" xr:uid="{00000000-0005-0000-0000-00009D600000}"/>
    <cellStyle name="Input 23 3 4 6" xfId="24943" xr:uid="{00000000-0005-0000-0000-00009E600000}"/>
    <cellStyle name="Input 23 3 4 7" xfId="24944" xr:uid="{00000000-0005-0000-0000-00009F600000}"/>
    <cellStyle name="Input 23 3 5" xfId="24945" xr:uid="{00000000-0005-0000-0000-0000A0600000}"/>
    <cellStyle name="Input 23 3 5 2" xfId="24946" xr:uid="{00000000-0005-0000-0000-0000A1600000}"/>
    <cellStyle name="Input 23 3 5 2 2" xfId="24947" xr:uid="{00000000-0005-0000-0000-0000A2600000}"/>
    <cellStyle name="Input 23 3 5 3" xfId="24948" xr:uid="{00000000-0005-0000-0000-0000A3600000}"/>
    <cellStyle name="Input 23 3 5 3 2" xfId="24949" xr:uid="{00000000-0005-0000-0000-0000A4600000}"/>
    <cellStyle name="Input 23 3 5 4" xfId="24950" xr:uid="{00000000-0005-0000-0000-0000A5600000}"/>
    <cellStyle name="Input 23 3 5 5" xfId="24951" xr:uid="{00000000-0005-0000-0000-0000A6600000}"/>
    <cellStyle name="Input 23 3 5 6" xfId="24952" xr:uid="{00000000-0005-0000-0000-0000A7600000}"/>
    <cellStyle name="Input 23 3 6" xfId="24953" xr:uid="{00000000-0005-0000-0000-0000A8600000}"/>
    <cellStyle name="Input 23 3 6 2" xfId="24954" xr:uid="{00000000-0005-0000-0000-0000A9600000}"/>
    <cellStyle name="Input 23 3 7" xfId="24955" xr:uid="{00000000-0005-0000-0000-0000AA600000}"/>
    <cellStyle name="Input 23 3 7 2" xfId="24956" xr:uid="{00000000-0005-0000-0000-0000AB600000}"/>
    <cellStyle name="Input 23 3 8" xfId="24957" xr:uid="{00000000-0005-0000-0000-0000AC600000}"/>
    <cellStyle name="Input 23 3 9" xfId="24958" xr:uid="{00000000-0005-0000-0000-0000AD600000}"/>
    <cellStyle name="Input 23 4" xfId="24959" xr:uid="{00000000-0005-0000-0000-0000AE600000}"/>
    <cellStyle name="Input 23 4 2" xfId="24960" xr:uid="{00000000-0005-0000-0000-0000AF600000}"/>
    <cellStyle name="Input 23 4 2 2" xfId="24961" xr:uid="{00000000-0005-0000-0000-0000B0600000}"/>
    <cellStyle name="Input 23 4 2 2 2" xfId="24962" xr:uid="{00000000-0005-0000-0000-0000B1600000}"/>
    <cellStyle name="Input 23 4 2 2 2 2" xfId="24963" xr:uid="{00000000-0005-0000-0000-0000B2600000}"/>
    <cellStyle name="Input 23 4 2 2 3" xfId="24964" xr:uid="{00000000-0005-0000-0000-0000B3600000}"/>
    <cellStyle name="Input 23 4 2 2 3 2" xfId="24965" xr:uid="{00000000-0005-0000-0000-0000B4600000}"/>
    <cellStyle name="Input 23 4 2 2 4" xfId="24966" xr:uid="{00000000-0005-0000-0000-0000B5600000}"/>
    <cellStyle name="Input 23 4 2 2 5" xfId="24967" xr:uid="{00000000-0005-0000-0000-0000B6600000}"/>
    <cellStyle name="Input 23 4 2 2 6" xfId="24968" xr:uid="{00000000-0005-0000-0000-0000B7600000}"/>
    <cellStyle name="Input 23 4 2 3" xfId="24969" xr:uid="{00000000-0005-0000-0000-0000B8600000}"/>
    <cellStyle name="Input 23 4 2 3 2" xfId="24970" xr:uid="{00000000-0005-0000-0000-0000B9600000}"/>
    <cellStyle name="Input 23 4 2 4" xfId="24971" xr:uid="{00000000-0005-0000-0000-0000BA600000}"/>
    <cellStyle name="Input 23 4 2 4 2" xfId="24972" xr:uid="{00000000-0005-0000-0000-0000BB600000}"/>
    <cellStyle name="Input 23 4 2 5" xfId="24973" xr:uid="{00000000-0005-0000-0000-0000BC600000}"/>
    <cellStyle name="Input 23 4 2 6" xfId="24974" xr:uid="{00000000-0005-0000-0000-0000BD600000}"/>
    <cellStyle name="Input 23 4 2 7" xfId="24975" xr:uid="{00000000-0005-0000-0000-0000BE600000}"/>
    <cellStyle name="Input 23 4 3" xfId="24976" xr:uid="{00000000-0005-0000-0000-0000BF600000}"/>
    <cellStyle name="Input 23 4 3 2" xfId="24977" xr:uid="{00000000-0005-0000-0000-0000C0600000}"/>
    <cellStyle name="Input 23 4 3 2 2" xfId="24978" xr:uid="{00000000-0005-0000-0000-0000C1600000}"/>
    <cellStyle name="Input 23 4 3 3" xfId="24979" xr:uid="{00000000-0005-0000-0000-0000C2600000}"/>
    <cellStyle name="Input 23 4 3 3 2" xfId="24980" xr:uid="{00000000-0005-0000-0000-0000C3600000}"/>
    <cellStyle name="Input 23 4 3 4" xfId="24981" xr:uid="{00000000-0005-0000-0000-0000C4600000}"/>
    <cellStyle name="Input 23 4 3 5" xfId="24982" xr:uid="{00000000-0005-0000-0000-0000C5600000}"/>
    <cellStyle name="Input 23 4 3 6" xfId="24983" xr:uid="{00000000-0005-0000-0000-0000C6600000}"/>
    <cellStyle name="Input 23 4 4" xfId="24984" xr:uid="{00000000-0005-0000-0000-0000C7600000}"/>
    <cellStyle name="Input 23 4 4 2" xfId="24985" xr:uid="{00000000-0005-0000-0000-0000C8600000}"/>
    <cellStyle name="Input 23 4 5" xfId="24986" xr:uid="{00000000-0005-0000-0000-0000C9600000}"/>
    <cellStyle name="Input 23 4 5 2" xfId="24987" xr:uid="{00000000-0005-0000-0000-0000CA600000}"/>
    <cellStyle name="Input 23 4 6" xfId="24988" xr:uid="{00000000-0005-0000-0000-0000CB600000}"/>
    <cellStyle name="Input 23 4 7" xfId="24989" xr:uid="{00000000-0005-0000-0000-0000CC600000}"/>
    <cellStyle name="Input 23 4 8" xfId="24990" xr:uid="{00000000-0005-0000-0000-0000CD600000}"/>
    <cellStyle name="Input 23 5" xfId="24991" xr:uid="{00000000-0005-0000-0000-0000CE600000}"/>
    <cellStyle name="Input 23 5 2" xfId="24992" xr:uid="{00000000-0005-0000-0000-0000CF600000}"/>
    <cellStyle name="Input 23 5 2 2" xfId="24993" xr:uid="{00000000-0005-0000-0000-0000D0600000}"/>
    <cellStyle name="Input 23 5 2 2 2" xfId="24994" xr:uid="{00000000-0005-0000-0000-0000D1600000}"/>
    <cellStyle name="Input 23 5 2 3" xfId="24995" xr:uid="{00000000-0005-0000-0000-0000D2600000}"/>
    <cellStyle name="Input 23 5 2 3 2" xfId="24996" xr:uid="{00000000-0005-0000-0000-0000D3600000}"/>
    <cellStyle name="Input 23 5 2 4" xfId="24997" xr:uid="{00000000-0005-0000-0000-0000D4600000}"/>
    <cellStyle name="Input 23 5 2 5" xfId="24998" xr:uid="{00000000-0005-0000-0000-0000D5600000}"/>
    <cellStyle name="Input 23 5 2 6" xfId="24999" xr:uid="{00000000-0005-0000-0000-0000D6600000}"/>
    <cellStyle name="Input 23 5 3" xfId="25000" xr:uid="{00000000-0005-0000-0000-0000D7600000}"/>
    <cellStyle name="Input 23 5 3 2" xfId="25001" xr:uid="{00000000-0005-0000-0000-0000D8600000}"/>
    <cellStyle name="Input 23 5 4" xfId="25002" xr:uid="{00000000-0005-0000-0000-0000D9600000}"/>
    <cellStyle name="Input 23 5 4 2" xfId="25003" xr:uid="{00000000-0005-0000-0000-0000DA600000}"/>
    <cellStyle name="Input 23 5 5" xfId="25004" xr:uid="{00000000-0005-0000-0000-0000DB600000}"/>
    <cellStyle name="Input 23 5 6" xfId="25005" xr:uid="{00000000-0005-0000-0000-0000DC600000}"/>
    <cellStyle name="Input 23 5 7" xfId="25006" xr:uid="{00000000-0005-0000-0000-0000DD600000}"/>
    <cellStyle name="Input 23 6" xfId="25007" xr:uid="{00000000-0005-0000-0000-0000DE600000}"/>
    <cellStyle name="Input 23 6 2" xfId="25008" xr:uid="{00000000-0005-0000-0000-0000DF600000}"/>
    <cellStyle name="Input 23 6 2 2" xfId="25009" xr:uid="{00000000-0005-0000-0000-0000E0600000}"/>
    <cellStyle name="Input 23 6 3" xfId="25010" xr:uid="{00000000-0005-0000-0000-0000E1600000}"/>
    <cellStyle name="Input 23 6 3 2" xfId="25011" xr:uid="{00000000-0005-0000-0000-0000E2600000}"/>
    <cellStyle name="Input 23 6 4" xfId="25012" xr:uid="{00000000-0005-0000-0000-0000E3600000}"/>
    <cellStyle name="Input 23 6 5" xfId="25013" xr:uid="{00000000-0005-0000-0000-0000E4600000}"/>
    <cellStyle name="Input 23 6 6" xfId="25014" xr:uid="{00000000-0005-0000-0000-0000E5600000}"/>
    <cellStyle name="Input 23 7" xfId="25015" xr:uid="{00000000-0005-0000-0000-0000E6600000}"/>
    <cellStyle name="Input 23 7 2" xfId="25016" xr:uid="{00000000-0005-0000-0000-0000E7600000}"/>
    <cellStyle name="Input 23 8" xfId="25017" xr:uid="{00000000-0005-0000-0000-0000E8600000}"/>
    <cellStyle name="Input 23 8 2" xfId="25018" xr:uid="{00000000-0005-0000-0000-0000E9600000}"/>
    <cellStyle name="Input 23 9" xfId="25019" xr:uid="{00000000-0005-0000-0000-0000EA600000}"/>
    <cellStyle name="Input 24" xfId="25020" xr:uid="{00000000-0005-0000-0000-0000EB600000}"/>
    <cellStyle name="Input 24 10" xfId="25021" xr:uid="{00000000-0005-0000-0000-0000EC600000}"/>
    <cellStyle name="Input 24 11" xfId="25022" xr:uid="{00000000-0005-0000-0000-0000ED600000}"/>
    <cellStyle name="Input 24 2" xfId="25023" xr:uid="{00000000-0005-0000-0000-0000EE600000}"/>
    <cellStyle name="Input 24 2 10" xfId="25024" xr:uid="{00000000-0005-0000-0000-0000EF600000}"/>
    <cellStyle name="Input 24 2 2" xfId="25025" xr:uid="{00000000-0005-0000-0000-0000F0600000}"/>
    <cellStyle name="Input 24 2 2 10" xfId="25026" xr:uid="{00000000-0005-0000-0000-0000F1600000}"/>
    <cellStyle name="Input 24 2 2 2" xfId="25027" xr:uid="{00000000-0005-0000-0000-0000F2600000}"/>
    <cellStyle name="Input 24 2 2 2 2" xfId="25028" xr:uid="{00000000-0005-0000-0000-0000F3600000}"/>
    <cellStyle name="Input 24 2 2 2 2 2" xfId="25029" xr:uid="{00000000-0005-0000-0000-0000F4600000}"/>
    <cellStyle name="Input 24 2 2 2 2 2 2" xfId="25030" xr:uid="{00000000-0005-0000-0000-0000F5600000}"/>
    <cellStyle name="Input 24 2 2 2 2 2 2 2" xfId="25031" xr:uid="{00000000-0005-0000-0000-0000F6600000}"/>
    <cellStyle name="Input 24 2 2 2 2 2 3" xfId="25032" xr:uid="{00000000-0005-0000-0000-0000F7600000}"/>
    <cellStyle name="Input 24 2 2 2 2 2 3 2" xfId="25033" xr:uid="{00000000-0005-0000-0000-0000F8600000}"/>
    <cellStyle name="Input 24 2 2 2 2 2 4" xfId="25034" xr:uid="{00000000-0005-0000-0000-0000F9600000}"/>
    <cellStyle name="Input 24 2 2 2 2 2 5" xfId="25035" xr:uid="{00000000-0005-0000-0000-0000FA600000}"/>
    <cellStyle name="Input 24 2 2 2 2 2 6" xfId="25036" xr:uid="{00000000-0005-0000-0000-0000FB600000}"/>
    <cellStyle name="Input 24 2 2 2 2 3" xfId="25037" xr:uid="{00000000-0005-0000-0000-0000FC600000}"/>
    <cellStyle name="Input 24 2 2 2 2 3 2" xfId="25038" xr:uid="{00000000-0005-0000-0000-0000FD600000}"/>
    <cellStyle name="Input 24 2 2 2 2 4" xfId="25039" xr:uid="{00000000-0005-0000-0000-0000FE600000}"/>
    <cellStyle name="Input 24 2 2 2 2 4 2" xfId="25040" xr:uid="{00000000-0005-0000-0000-0000FF600000}"/>
    <cellStyle name="Input 24 2 2 2 2 5" xfId="25041" xr:uid="{00000000-0005-0000-0000-000000610000}"/>
    <cellStyle name="Input 24 2 2 2 2 6" xfId="25042" xr:uid="{00000000-0005-0000-0000-000001610000}"/>
    <cellStyle name="Input 24 2 2 2 2 7" xfId="25043" xr:uid="{00000000-0005-0000-0000-000002610000}"/>
    <cellStyle name="Input 24 2 2 2 3" xfId="25044" xr:uid="{00000000-0005-0000-0000-000003610000}"/>
    <cellStyle name="Input 24 2 2 2 3 2" xfId="25045" xr:uid="{00000000-0005-0000-0000-000004610000}"/>
    <cellStyle name="Input 24 2 2 2 3 2 2" xfId="25046" xr:uid="{00000000-0005-0000-0000-000005610000}"/>
    <cellStyle name="Input 24 2 2 2 3 3" xfId="25047" xr:uid="{00000000-0005-0000-0000-000006610000}"/>
    <cellStyle name="Input 24 2 2 2 3 3 2" xfId="25048" xr:uid="{00000000-0005-0000-0000-000007610000}"/>
    <cellStyle name="Input 24 2 2 2 3 4" xfId="25049" xr:uid="{00000000-0005-0000-0000-000008610000}"/>
    <cellStyle name="Input 24 2 2 2 3 5" xfId="25050" xr:uid="{00000000-0005-0000-0000-000009610000}"/>
    <cellStyle name="Input 24 2 2 2 3 6" xfId="25051" xr:uid="{00000000-0005-0000-0000-00000A610000}"/>
    <cellStyle name="Input 24 2 2 2 4" xfId="25052" xr:uid="{00000000-0005-0000-0000-00000B610000}"/>
    <cellStyle name="Input 24 2 2 2 4 2" xfId="25053" xr:uid="{00000000-0005-0000-0000-00000C610000}"/>
    <cellStyle name="Input 24 2 2 2 5" xfId="25054" xr:uid="{00000000-0005-0000-0000-00000D610000}"/>
    <cellStyle name="Input 24 2 2 2 5 2" xfId="25055" xr:uid="{00000000-0005-0000-0000-00000E610000}"/>
    <cellStyle name="Input 24 2 2 2 6" xfId="25056" xr:uid="{00000000-0005-0000-0000-00000F610000}"/>
    <cellStyle name="Input 24 2 2 2 7" xfId="25057" xr:uid="{00000000-0005-0000-0000-000010610000}"/>
    <cellStyle name="Input 24 2 2 2 8" xfId="25058" xr:uid="{00000000-0005-0000-0000-000011610000}"/>
    <cellStyle name="Input 24 2 2 3" xfId="25059" xr:uid="{00000000-0005-0000-0000-000012610000}"/>
    <cellStyle name="Input 24 2 2 3 2" xfId="25060" xr:uid="{00000000-0005-0000-0000-000013610000}"/>
    <cellStyle name="Input 24 2 2 3 2 2" xfId="25061" xr:uid="{00000000-0005-0000-0000-000014610000}"/>
    <cellStyle name="Input 24 2 2 3 2 2 2" xfId="25062" xr:uid="{00000000-0005-0000-0000-000015610000}"/>
    <cellStyle name="Input 24 2 2 3 2 2 2 2" xfId="25063" xr:uid="{00000000-0005-0000-0000-000016610000}"/>
    <cellStyle name="Input 24 2 2 3 2 2 3" xfId="25064" xr:uid="{00000000-0005-0000-0000-000017610000}"/>
    <cellStyle name="Input 24 2 2 3 2 2 3 2" xfId="25065" xr:uid="{00000000-0005-0000-0000-000018610000}"/>
    <cellStyle name="Input 24 2 2 3 2 2 4" xfId="25066" xr:uid="{00000000-0005-0000-0000-000019610000}"/>
    <cellStyle name="Input 24 2 2 3 2 2 5" xfId="25067" xr:uid="{00000000-0005-0000-0000-00001A610000}"/>
    <cellStyle name="Input 24 2 2 3 2 2 6" xfId="25068" xr:uid="{00000000-0005-0000-0000-00001B610000}"/>
    <cellStyle name="Input 24 2 2 3 2 3" xfId="25069" xr:uid="{00000000-0005-0000-0000-00001C610000}"/>
    <cellStyle name="Input 24 2 2 3 2 3 2" xfId="25070" xr:uid="{00000000-0005-0000-0000-00001D610000}"/>
    <cellStyle name="Input 24 2 2 3 2 4" xfId="25071" xr:uid="{00000000-0005-0000-0000-00001E610000}"/>
    <cellStyle name="Input 24 2 2 3 2 4 2" xfId="25072" xr:uid="{00000000-0005-0000-0000-00001F610000}"/>
    <cellStyle name="Input 24 2 2 3 2 5" xfId="25073" xr:uid="{00000000-0005-0000-0000-000020610000}"/>
    <cellStyle name="Input 24 2 2 3 2 6" xfId="25074" xr:uid="{00000000-0005-0000-0000-000021610000}"/>
    <cellStyle name="Input 24 2 2 3 2 7" xfId="25075" xr:uid="{00000000-0005-0000-0000-000022610000}"/>
    <cellStyle name="Input 24 2 2 3 3" xfId="25076" xr:uid="{00000000-0005-0000-0000-000023610000}"/>
    <cellStyle name="Input 24 2 2 3 3 2" xfId="25077" xr:uid="{00000000-0005-0000-0000-000024610000}"/>
    <cellStyle name="Input 24 2 2 3 3 2 2" xfId="25078" xr:uid="{00000000-0005-0000-0000-000025610000}"/>
    <cellStyle name="Input 24 2 2 3 3 3" xfId="25079" xr:uid="{00000000-0005-0000-0000-000026610000}"/>
    <cellStyle name="Input 24 2 2 3 3 3 2" xfId="25080" xr:uid="{00000000-0005-0000-0000-000027610000}"/>
    <cellStyle name="Input 24 2 2 3 3 4" xfId="25081" xr:uid="{00000000-0005-0000-0000-000028610000}"/>
    <cellStyle name="Input 24 2 2 3 3 5" xfId="25082" xr:uid="{00000000-0005-0000-0000-000029610000}"/>
    <cellStyle name="Input 24 2 2 3 3 6" xfId="25083" xr:uid="{00000000-0005-0000-0000-00002A610000}"/>
    <cellStyle name="Input 24 2 2 3 4" xfId="25084" xr:uid="{00000000-0005-0000-0000-00002B610000}"/>
    <cellStyle name="Input 24 2 2 3 4 2" xfId="25085" xr:uid="{00000000-0005-0000-0000-00002C610000}"/>
    <cellStyle name="Input 24 2 2 3 5" xfId="25086" xr:uid="{00000000-0005-0000-0000-00002D610000}"/>
    <cellStyle name="Input 24 2 2 3 5 2" xfId="25087" xr:uid="{00000000-0005-0000-0000-00002E610000}"/>
    <cellStyle name="Input 24 2 2 3 6" xfId="25088" xr:uid="{00000000-0005-0000-0000-00002F610000}"/>
    <cellStyle name="Input 24 2 2 3 7" xfId="25089" xr:uid="{00000000-0005-0000-0000-000030610000}"/>
    <cellStyle name="Input 24 2 2 3 8" xfId="25090" xr:uid="{00000000-0005-0000-0000-000031610000}"/>
    <cellStyle name="Input 24 2 2 4" xfId="25091" xr:uid="{00000000-0005-0000-0000-000032610000}"/>
    <cellStyle name="Input 24 2 2 4 2" xfId="25092" xr:uid="{00000000-0005-0000-0000-000033610000}"/>
    <cellStyle name="Input 24 2 2 4 2 2" xfId="25093" xr:uid="{00000000-0005-0000-0000-000034610000}"/>
    <cellStyle name="Input 24 2 2 4 2 2 2" xfId="25094" xr:uid="{00000000-0005-0000-0000-000035610000}"/>
    <cellStyle name="Input 24 2 2 4 2 3" xfId="25095" xr:uid="{00000000-0005-0000-0000-000036610000}"/>
    <cellStyle name="Input 24 2 2 4 2 3 2" xfId="25096" xr:uid="{00000000-0005-0000-0000-000037610000}"/>
    <cellStyle name="Input 24 2 2 4 2 4" xfId="25097" xr:uid="{00000000-0005-0000-0000-000038610000}"/>
    <cellStyle name="Input 24 2 2 4 2 5" xfId="25098" xr:uid="{00000000-0005-0000-0000-000039610000}"/>
    <cellStyle name="Input 24 2 2 4 2 6" xfId="25099" xr:uid="{00000000-0005-0000-0000-00003A610000}"/>
    <cellStyle name="Input 24 2 2 4 3" xfId="25100" xr:uid="{00000000-0005-0000-0000-00003B610000}"/>
    <cellStyle name="Input 24 2 2 4 3 2" xfId="25101" xr:uid="{00000000-0005-0000-0000-00003C610000}"/>
    <cellStyle name="Input 24 2 2 4 4" xfId="25102" xr:uid="{00000000-0005-0000-0000-00003D610000}"/>
    <cellStyle name="Input 24 2 2 4 4 2" xfId="25103" xr:uid="{00000000-0005-0000-0000-00003E610000}"/>
    <cellStyle name="Input 24 2 2 4 5" xfId="25104" xr:uid="{00000000-0005-0000-0000-00003F610000}"/>
    <cellStyle name="Input 24 2 2 4 6" xfId="25105" xr:uid="{00000000-0005-0000-0000-000040610000}"/>
    <cellStyle name="Input 24 2 2 4 7" xfId="25106" xr:uid="{00000000-0005-0000-0000-000041610000}"/>
    <cellStyle name="Input 24 2 2 5" xfId="25107" xr:uid="{00000000-0005-0000-0000-000042610000}"/>
    <cellStyle name="Input 24 2 2 5 2" xfId="25108" xr:uid="{00000000-0005-0000-0000-000043610000}"/>
    <cellStyle name="Input 24 2 2 5 2 2" xfId="25109" xr:uid="{00000000-0005-0000-0000-000044610000}"/>
    <cellStyle name="Input 24 2 2 5 3" xfId="25110" xr:uid="{00000000-0005-0000-0000-000045610000}"/>
    <cellStyle name="Input 24 2 2 5 3 2" xfId="25111" xr:uid="{00000000-0005-0000-0000-000046610000}"/>
    <cellStyle name="Input 24 2 2 5 4" xfId="25112" xr:uid="{00000000-0005-0000-0000-000047610000}"/>
    <cellStyle name="Input 24 2 2 5 5" xfId="25113" xr:uid="{00000000-0005-0000-0000-000048610000}"/>
    <cellStyle name="Input 24 2 2 5 6" xfId="25114" xr:uid="{00000000-0005-0000-0000-000049610000}"/>
    <cellStyle name="Input 24 2 2 6" xfId="25115" xr:uid="{00000000-0005-0000-0000-00004A610000}"/>
    <cellStyle name="Input 24 2 2 6 2" xfId="25116" xr:uid="{00000000-0005-0000-0000-00004B610000}"/>
    <cellStyle name="Input 24 2 2 7" xfId="25117" xr:uid="{00000000-0005-0000-0000-00004C610000}"/>
    <cellStyle name="Input 24 2 2 7 2" xfId="25118" xr:uid="{00000000-0005-0000-0000-00004D610000}"/>
    <cellStyle name="Input 24 2 2 8" xfId="25119" xr:uid="{00000000-0005-0000-0000-00004E610000}"/>
    <cellStyle name="Input 24 2 2 9" xfId="25120" xr:uid="{00000000-0005-0000-0000-00004F610000}"/>
    <cellStyle name="Input 24 2 3" xfId="25121" xr:uid="{00000000-0005-0000-0000-000050610000}"/>
    <cellStyle name="Input 24 2 3 2" xfId="25122" xr:uid="{00000000-0005-0000-0000-000051610000}"/>
    <cellStyle name="Input 24 2 3 2 2" xfId="25123" xr:uid="{00000000-0005-0000-0000-000052610000}"/>
    <cellStyle name="Input 24 2 3 2 2 2" xfId="25124" xr:uid="{00000000-0005-0000-0000-000053610000}"/>
    <cellStyle name="Input 24 2 3 2 2 2 2" xfId="25125" xr:uid="{00000000-0005-0000-0000-000054610000}"/>
    <cellStyle name="Input 24 2 3 2 2 3" xfId="25126" xr:uid="{00000000-0005-0000-0000-000055610000}"/>
    <cellStyle name="Input 24 2 3 2 2 3 2" xfId="25127" xr:uid="{00000000-0005-0000-0000-000056610000}"/>
    <cellStyle name="Input 24 2 3 2 2 4" xfId="25128" xr:uid="{00000000-0005-0000-0000-000057610000}"/>
    <cellStyle name="Input 24 2 3 2 2 5" xfId="25129" xr:uid="{00000000-0005-0000-0000-000058610000}"/>
    <cellStyle name="Input 24 2 3 2 2 6" xfId="25130" xr:uid="{00000000-0005-0000-0000-000059610000}"/>
    <cellStyle name="Input 24 2 3 2 3" xfId="25131" xr:uid="{00000000-0005-0000-0000-00005A610000}"/>
    <cellStyle name="Input 24 2 3 2 3 2" xfId="25132" xr:uid="{00000000-0005-0000-0000-00005B610000}"/>
    <cellStyle name="Input 24 2 3 2 4" xfId="25133" xr:uid="{00000000-0005-0000-0000-00005C610000}"/>
    <cellStyle name="Input 24 2 3 2 4 2" xfId="25134" xr:uid="{00000000-0005-0000-0000-00005D610000}"/>
    <cellStyle name="Input 24 2 3 2 5" xfId="25135" xr:uid="{00000000-0005-0000-0000-00005E610000}"/>
    <cellStyle name="Input 24 2 3 2 6" xfId="25136" xr:uid="{00000000-0005-0000-0000-00005F610000}"/>
    <cellStyle name="Input 24 2 3 2 7" xfId="25137" xr:uid="{00000000-0005-0000-0000-000060610000}"/>
    <cellStyle name="Input 24 2 3 3" xfId="25138" xr:uid="{00000000-0005-0000-0000-000061610000}"/>
    <cellStyle name="Input 24 2 3 3 2" xfId="25139" xr:uid="{00000000-0005-0000-0000-000062610000}"/>
    <cellStyle name="Input 24 2 3 3 2 2" xfId="25140" xr:uid="{00000000-0005-0000-0000-000063610000}"/>
    <cellStyle name="Input 24 2 3 3 3" xfId="25141" xr:uid="{00000000-0005-0000-0000-000064610000}"/>
    <cellStyle name="Input 24 2 3 3 3 2" xfId="25142" xr:uid="{00000000-0005-0000-0000-000065610000}"/>
    <cellStyle name="Input 24 2 3 3 4" xfId="25143" xr:uid="{00000000-0005-0000-0000-000066610000}"/>
    <cellStyle name="Input 24 2 3 3 5" xfId="25144" xr:uid="{00000000-0005-0000-0000-000067610000}"/>
    <cellStyle name="Input 24 2 3 3 6" xfId="25145" xr:uid="{00000000-0005-0000-0000-000068610000}"/>
    <cellStyle name="Input 24 2 3 4" xfId="25146" xr:uid="{00000000-0005-0000-0000-000069610000}"/>
    <cellStyle name="Input 24 2 3 4 2" xfId="25147" xr:uid="{00000000-0005-0000-0000-00006A610000}"/>
    <cellStyle name="Input 24 2 3 5" xfId="25148" xr:uid="{00000000-0005-0000-0000-00006B610000}"/>
    <cellStyle name="Input 24 2 3 5 2" xfId="25149" xr:uid="{00000000-0005-0000-0000-00006C610000}"/>
    <cellStyle name="Input 24 2 3 6" xfId="25150" xr:uid="{00000000-0005-0000-0000-00006D610000}"/>
    <cellStyle name="Input 24 2 3 7" xfId="25151" xr:uid="{00000000-0005-0000-0000-00006E610000}"/>
    <cellStyle name="Input 24 2 3 8" xfId="25152" xr:uid="{00000000-0005-0000-0000-00006F610000}"/>
    <cellStyle name="Input 24 2 4" xfId="25153" xr:uid="{00000000-0005-0000-0000-000070610000}"/>
    <cellStyle name="Input 24 2 4 2" xfId="25154" xr:uid="{00000000-0005-0000-0000-000071610000}"/>
    <cellStyle name="Input 24 2 4 2 2" xfId="25155" xr:uid="{00000000-0005-0000-0000-000072610000}"/>
    <cellStyle name="Input 24 2 4 2 2 2" xfId="25156" xr:uid="{00000000-0005-0000-0000-000073610000}"/>
    <cellStyle name="Input 24 2 4 2 3" xfId="25157" xr:uid="{00000000-0005-0000-0000-000074610000}"/>
    <cellStyle name="Input 24 2 4 2 3 2" xfId="25158" xr:uid="{00000000-0005-0000-0000-000075610000}"/>
    <cellStyle name="Input 24 2 4 2 4" xfId="25159" xr:uid="{00000000-0005-0000-0000-000076610000}"/>
    <cellStyle name="Input 24 2 4 2 5" xfId="25160" xr:uid="{00000000-0005-0000-0000-000077610000}"/>
    <cellStyle name="Input 24 2 4 2 6" xfId="25161" xr:uid="{00000000-0005-0000-0000-000078610000}"/>
    <cellStyle name="Input 24 2 4 3" xfId="25162" xr:uid="{00000000-0005-0000-0000-000079610000}"/>
    <cellStyle name="Input 24 2 4 3 2" xfId="25163" xr:uid="{00000000-0005-0000-0000-00007A610000}"/>
    <cellStyle name="Input 24 2 4 4" xfId="25164" xr:uid="{00000000-0005-0000-0000-00007B610000}"/>
    <cellStyle name="Input 24 2 4 4 2" xfId="25165" xr:uid="{00000000-0005-0000-0000-00007C610000}"/>
    <cellStyle name="Input 24 2 4 5" xfId="25166" xr:uid="{00000000-0005-0000-0000-00007D610000}"/>
    <cellStyle name="Input 24 2 4 6" xfId="25167" xr:uid="{00000000-0005-0000-0000-00007E610000}"/>
    <cellStyle name="Input 24 2 4 7" xfId="25168" xr:uid="{00000000-0005-0000-0000-00007F610000}"/>
    <cellStyle name="Input 24 2 5" xfId="25169" xr:uid="{00000000-0005-0000-0000-000080610000}"/>
    <cellStyle name="Input 24 2 5 2" xfId="25170" xr:uid="{00000000-0005-0000-0000-000081610000}"/>
    <cellStyle name="Input 24 2 5 2 2" xfId="25171" xr:uid="{00000000-0005-0000-0000-000082610000}"/>
    <cellStyle name="Input 24 2 5 3" xfId="25172" xr:uid="{00000000-0005-0000-0000-000083610000}"/>
    <cellStyle name="Input 24 2 5 3 2" xfId="25173" xr:uid="{00000000-0005-0000-0000-000084610000}"/>
    <cellStyle name="Input 24 2 5 4" xfId="25174" xr:uid="{00000000-0005-0000-0000-000085610000}"/>
    <cellStyle name="Input 24 2 5 5" xfId="25175" xr:uid="{00000000-0005-0000-0000-000086610000}"/>
    <cellStyle name="Input 24 2 5 6" xfId="25176" xr:uid="{00000000-0005-0000-0000-000087610000}"/>
    <cellStyle name="Input 24 2 6" xfId="25177" xr:uid="{00000000-0005-0000-0000-000088610000}"/>
    <cellStyle name="Input 24 2 6 2" xfId="25178" xr:uid="{00000000-0005-0000-0000-000089610000}"/>
    <cellStyle name="Input 24 2 7" xfId="25179" xr:uid="{00000000-0005-0000-0000-00008A610000}"/>
    <cellStyle name="Input 24 2 7 2" xfId="25180" xr:uid="{00000000-0005-0000-0000-00008B610000}"/>
    <cellStyle name="Input 24 2 8" xfId="25181" xr:uid="{00000000-0005-0000-0000-00008C610000}"/>
    <cellStyle name="Input 24 2 9" xfId="25182" xr:uid="{00000000-0005-0000-0000-00008D610000}"/>
    <cellStyle name="Input 24 3" xfId="25183" xr:uid="{00000000-0005-0000-0000-00008E610000}"/>
    <cellStyle name="Input 24 3 10" xfId="25184" xr:uid="{00000000-0005-0000-0000-00008F610000}"/>
    <cellStyle name="Input 24 3 2" xfId="25185" xr:uid="{00000000-0005-0000-0000-000090610000}"/>
    <cellStyle name="Input 24 3 2 2" xfId="25186" xr:uid="{00000000-0005-0000-0000-000091610000}"/>
    <cellStyle name="Input 24 3 2 2 2" xfId="25187" xr:uid="{00000000-0005-0000-0000-000092610000}"/>
    <cellStyle name="Input 24 3 2 2 2 2" xfId="25188" xr:uid="{00000000-0005-0000-0000-000093610000}"/>
    <cellStyle name="Input 24 3 2 2 2 2 2" xfId="25189" xr:uid="{00000000-0005-0000-0000-000094610000}"/>
    <cellStyle name="Input 24 3 2 2 2 3" xfId="25190" xr:uid="{00000000-0005-0000-0000-000095610000}"/>
    <cellStyle name="Input 24 3 2 2 2 3 2" xfId="25191" xr:uid="{00000000-0005-0000-0000-000096610000}"/>
    <cellStyle name="Input 24 3 2 2 2 4" xfId="25192" xr:uid="{00000000-0005-0000-0000-000097610000}"/>
    <cellStyle name="Input 24 3 2 2 2 5" xfId="25193" xr:uid="{00000000-0005-0000-0000-000098610000}"/>
    <cellStyle name="Input 24 3 2 2 2 6" xfId="25194" xr:uid="{00000000-0005-0000-0000-000099610000}"/>
    <cellStyle name="Input 24 3 2 2 3" xfId="25195" xr:uid="{00000000-0005-0000-0000-00009A610000}"/>
    <cellStyle name="Input 24 3 2 2 3 2" xfId="25196" xr:uid="{00000000-0005-0000-0000-00009B610000}"/>
    <cellStyle name="Input 24 3 2 2 4" xfId="25197" xr:uid="{00000000-0005-0000-0000-00009C610000}"/>
    <cellStyle name="Input 24 3 2 2 4 2" xfId="25198" xr:uid="{00000000-0005-0000-0000-00009D610000}"/>
    <cellStyle name="Input 24 3 2 2 5" xfId="25199" xr:uid="{00000000-0005-0000-0000-00009E610000}"/>
    <cellStyle name="Input 24 3 2 2 6" xfId="25200" xr:uid="{00000000-0005-0000-0000-00009F610000}"/>
    <cellStyle name="Input 24 3 2 2 7" xfId="25201" xr:uid="{00000000-0005-0000-0000-0000A0610000}"/>
    <cellStyle name="Input 24 3 2 3" xfId="25202" xr:uid="{00000000-0005-0000-0000-0000A1610000}"/>
    <cellStyle name="Input 24 3 2 3 2" xfId="25203" xr:uid="{00000000-0005-0000-0000-0000A2610000}"/>
    <cellStyle name="Input 24 3 2 3 2 2" xfId="25204" xr:uid="{00000000-0005-0000-0000-0000A3610000}"/>
    <cellStyle name="Input 24 3 2 3 3" xfId="25205" xr:uid="{00000000-0005-0000-0000-0000A4610000}"/>
    <cellStyle name="Input 24 3 2 3 3 2" xfId="25206" xr:uid="{00000000-0005-0000-0000-0000A5610000}"/>
    <cellStyle name="Input 24 3 2 3 4" xfId="25207" xr:uid="{00000000-0005-0000-0000-0000A6610000}"/>
    <cellStyle name="Input 24 3 2 3 5" xfId="25208" xr:uid="{00000000-0005-0000-0000-0000A7610000}"/>
    <cellStyle name="Input 24 3 2 3 6" xfId="25209" xr:uid="{00000000-0005-0000-0000-0000A8610000}"/>
    <cellStyle name="Input 24 3 2 4" xfId="25210" xr:uid="{00000000-0005-0000-0000-0000A9610000}"/>
    <cellStyle name="Input 24 3 2 4 2" xfId="25211" xr:uid="{00000000-0005-0000-0000-0000AA610000}"/>
    <cellStyle name="Input 24 3 2 5" xfId="25212" xr:uid="{00000000-0005-0000-0000-0000AB610000}"/>
    <cellStyle name="Input 24 3 2 5 2" xfId="25213" xr:uid="{00000000-0005-0000-0000-0000AC610000}"/>
    <cellStyle name="Input 24 3 2 6" xfId="25214" xr:uid="{00000000-0005-0000-0000-0000AD610000}"/>
    <cellStyle name="Input 24 3 2 7" xfId="25215" xr:uid="{00000000-0005-0000-0000-0000AE610000}"/>
    <cellStyle name="Input 24 3 2 8" xfId="25216" xr:uid="{00000000-0005-0000-0000-0000AF610000}"/>
    <cellStyle name="Input 24 3 3" xfId="25217" xr:uid="{00000000-0005-0000-0000-0000B0610000}"/>
    <cellStyle name="Input 24 3 3 2" xfId="25218" xr:uid="{00000000-0005-0000-0000-0000B1610000}"/>
    <cellStyle name="Input 24 3 3 2 2" xfId="25219" xr:uid="{00000000-0005-0000-0000-0000B2610000}"/>
    <cellStyle name="Input 24 3 3 2 2 2" xfId="25220" xr:uid="{00000000-0005-0000-0000-0000B3610000}"/>
    <cellStyle name="Input 24 3 3 2 2 2 2" xfId="25221" xr:uid="{00000000-0005-0000-0000-0000B4610000}"/>
    <cellStyle name="Input 24 3 3 2 2 3" xfId="25222" xr:uid="{00000000-0005-0000-0000-0000B5610000}"/>
    <cellStyle name="Input 24 3 3 2 2 3 2" xfId="25223" xr:uid="{00000000-0005-0000-0000-0000B6610000}"/>
    <cellStyle name="Input 24 3 3 2 2 4" xfId="25224" xr:uid="{00000000-0005-0000-0000-0000B7610000}"/>
    <cellStyle name="Input 24 3 3 2 2 5" xfId="25225" xr:uid="{00000000-0005-0000-0000-0000B8610000}"/>
    <cellStyle name="Input 24 3 3 2 2 6" xfId="25226" xr:uid="{00000000-0005-0000-0000-0000B9610000}"/>
    <cellStyle name="Input 24 3 3 2 3" xfId="25227" xr:uid="{00000000-0005-0000-0000-0000BA610000}"/>
    <cellStyle name="Input 24 3 3 2 3 2" xfId="25228" xr:uid="{00000000-0005-0000-0000-0000BB610000}"/>
    <cellStyle name="Input 24 3 3 2 4" xfId="25229" xr:uid="{00000000-0005-0000-0000-0000BC610000}"/>
    <cellStyle name="Input 24 3 3 2 4 2" xfId="25230" xr:uid="{00000000-0005-0000-0000-0000BD610000}"/>
    <cellStyle name="Input 24 3 3 2 5" xfId="25231" xr:uid="{00000000-0005-0000-0000-0000BE610000}"/>
    <cellStyle name="Input 24 3 3 2 6" xfId="25232" xr:uid="{00000000-0005-0000-0000-0000BF610000}"/>
    <cellStyle name="Input 24 3 3 2 7" xfId="25233" xr:uid="{00000000-0005-0000-0000-0000C0610000}"/>
    <cellStyle name="Input 24 3 3 3" xfId="25234" xr:uid="{00000000-0005-0000-0000-0000C1610000}"/>
    <cellStyle name="Input 24 3 3 3 2" xfId="25235" xr:uid="{00000000-0005-0000-0000-0000C2610000}"/>
    <cellStyle name="Input 24 3 3 3 2 2" xfId="25236" xr:uid="{00000000-0005-0000-0000-0000C3610000}"/>
    <cellStyle name="Input 24 3 3 3 3" xfId="25237" xr:uid="{00000000-0005-0000-0000-0000C4610000}"/>
    <cellStyle name="Input 24 3 3 3 3 2" xfId="25238" xr:uid="{00000000-0005-0000-0000-0000C5610000}"/>
    <cellStyle name="Input 24 3 3 3 4" xfId="25239" xr:uid="{00000000-0005-0000-0000-0000C6610000}"/>
    <cellStyle name="Input 24 3 3 3 5" xfId="25240" xr:uid="{00000000-0005-0000-0000-0000C7610000}"/>
    <cellStyle name="Input 24 3 3 3 6" xfId="25241" xr:uid="{00000000-0005-0000-0000-0000C8610000}"/>
    <cellStyle name="Input 24 3 3 4" xfId="25242" xr:uid="{00000000-0005-0000-0000-0000C9610000}"/>
    <cellStyle name="Input 24 3 3 4 2" xfId="25243" xr:uid="{00000000-0005-0000-0000-0000CA610000}"/>
    <cellStyle name="Input 24 3 3 5" xfId="25244" xr:uid="{00000000-0005-0000-0000-0000CB610000}"/>
    <cellStyle name="Input 24 3 3 5 2" xfId="25245" xr:uid="{00000000-0005-0000-0000-0000CC610000}"/>
    <cellStyle name="Input 24 3 3 6" xfId="25246" xr:uid="{00000000-0005-0000-0000-0000CD610000}"/>
    <cellStyle name="Input 24 3 3 7" xfId="25247" xr:uid="{00000000-0005-0000-0000-0000CE610000}"/>
    <cellStyle name="Input 24 3 3 8" xfId="25248" xr:uid="{00000000-0005-0000-0000-0000CF610000}"/>
    <cellStyle name="Input 24 3 4" xfId="25249" xr:uid="{00000000-0005-0000-0000-0000D0610000}"/>
    <cellStyle name="Input 24 3 4 2" xfId="25250" xr:uid="{00000000-0005-0000-0000-0000D1610000}"/>
    <cellStyle name="Input 24 3 4 2 2" xfId="25251" xr:uid="{00000000-0005-0000-0000-0000D2610000}"/>
    <cellStyle name="Input 24 3 4 2 2 2" xfId="25252" xr:uid="{00000000-0005-0000-0000-0000D3610000}"/>
    <cellStyle name="Input 24 3 4 2 3" xfId="25253" xr:uid="{00000000-0005-0000-0000-0000D4610000}"/>
    <cellStyle name="Input 24 3 4 2 3 2" xfId="25254" xr:uid="{00000000-0005-0000-0000-0000D5610000}"/>
    <cellStyle name="Input 24 3 4 2 4" xfId="25255" xr:uid="{00000000-0005-0000-0000-0000D6610000}"/>
    <cellStyle name="Input 24 3 4 2 5" xfId="25256" xr:uid="{00000000-0005-0000-0000-0000D7610000}"/>
    <cellStyle name="Input 24 3 4 2 6" xfId="25257" xr:uid="{00000000-0005-0000-0000-0000D8610000}"/>
    <cellStyle name="Input 24 3 4 3" xfId="25258" xr:uid="{00000000-0005-0000-0000-0000D9610000}"/>
    <cellStyle name="Input 24 3 4 3 2" xfId="25259" xr:uid="{00000000-0005-0000-0000-0000DA610000}"/>
    <cellStyle name="Input 24 3 4 4" xfId="25260" xr:uid="{00000000-0005-0000-0000-0000DB610000}"/>
    <cellStyle name="Input 24 3 4 4 2" xfId="25261" xr:uid="{00000000-0005-0000-0000-0000DC610000}"/>
    <cellStyle name="Input 24 3 4 5" xfId="25262" xr:uid="{00000000-0005-0000-0000-0000DD610000}"/>
    <cellStyle name="Input 24 3 4 6" xfId="25263" xr:uid="{00000000-0005-0000-0000-0000DE610000}"/>
    <cellStyle name="Input 24 3 4 7" xfId="25264" xr:uid="{00000000-0005-0000-0000-0000DF610000}"/>
    <cellStyle name="Input 24 3 5" xfId="25265" xr:uid="{00000000-0005-0000-0000-0000E0610000}"/>
    <cellStyle name="Input 24 3 5 2" xfId="25266" xr:uid="{00000000-0005-0000-0000-0000E1610000}"/>
    <cellStyle name="Input 24 3 5 2 2" xfId="25267" xr:uid="{00000000-0005-0000-0000-0000E2610000}"/>
    <cellStyle name="Input 24 3 5 3" xfId="25268" xr:uid="{00000000-0005-0000-0000-0000E3610000}"/>
    <cellStyle name="Input 24 3 5 3 2" xfId="25269" xr:uid="{00000000-0005-0000-0000-0000E4610000}"/>
    <cellStyle name="Input 24 3 5 4" xfId="25270" xr:uid="{00000000-0005-0000-0000-0000E5610000}"/>
    <cellStyle name="Input 24 3 5 5" xfId="25271" xr:uid="{00000000-0005-0000-0000-0000E6610000}"/>
    <cellStyle name="Input 24 3 5 6" xfId="25272" xr:uid="{00000000-0005-0000-0000-0000E7610000}"/>
    <cellStyle name="Input 24 3 6" xfId="25273" xr:uid="{00000000-0005-0000-0000-0000E8610000}"/>
    <cellStyle name="Input 24 3 6 2" xfId="25274" xr:uid="{00000000-0005-0000-0000-0000E9610000}"/>
    <cellStyle name="Input 24 3 7" xfId="25275" xr:uid="{00000000-0005-0000-0000-0000EA610000}"/>
    <cellStyle name="Input 24 3 7 2" xfId="25276" xr:uid="{00000000-0005-0000-0000-0000EB610000}"/>
    <cellStyle name="Input 24 3 8" xfId="25277" xr:uid="{00000000-0005-0000-0000-0000EC610000}"/>
    <cellStyle name="Input 24 3 9" xfId="25278" xr:uid="{00000000-0005-0000-0000-0000ED610000}"/>
    <cellStyle name="Input 24 4" xfId="25279" xr:uid="{00000000-0005-0000-0000-0000EE610000}"/>
    <cellStyle name="Input 24 4 2" xfId="25280" xr:uid="{00000000-0005-0000-0000-0000EF610000}"/>
    <cellStyle name="Input 24 4 2 2" xfId="25281" xr:uid="{00000000-0005-0000-0000-0000F0610000}"/>
    <cellStyle name="Input 24 4 2 2 2" xfId="25282" xr:uid="{00000000-0005-0000-0000-0000F1610000}"/>
    <cellStyle name="Input 24 4 2 2 2 2" xfId="25283" xr:uid="{00000000-0005-0000-0000-0000F2610000}"/>
    <cellStyle name="Input 24 4 2 2 3" xfId="25284" xr:uid="{00000000-0005-0000-0000-0000F3610000}"/>
    <cellStyle name="Input 24 4 2 2 3 2" xfId="25285" xr:uid="{00000000-0005-0000-0000-0000F4610000}"/>
    <cellStyle name="Input 24 4 2 2 4" xfId="25286" xr:uid="{00000000-0005-0000-0000-0000F5610000}"/>
    <cellStyle name="Input 24 4 2 2 5" xfId="25287" xr:uid="{00000000-0005-0000-0000-0000F6610000}"/>
    <cellStyle name="Input 24 4 2 2 6" xfId="25288" xr:uid="{00000000-0005-0000-0000-0000F7610000}"/>
    <cellStyle name="Input 24 4 2 3" xfId="25289" xr:uid="{00000000-0005-0000-0000-0000F8610000}"/>
    <cellStyle name="Input 24 4 2 3 2" xfId="25290" xr:uid="{00000000-0005-0000-0000-0000F9610000}"/>
    <cellStyle name="Input 24 4 2 4" xfId="25291" xr:uid="{00000000-0005-0000-0000-0000FA610000}"/>
    <cellStyle name="Input 24 4 2 4 2" xfId="25292" xr:uid="{00000000-0005-0000-0000-0000FB610000}"/>
    <cellStyle name="Input 24 4 2 5" xfId="25293" xr:uid="{00000000-0005-0000-0000-0000FC610000}"/>
    <cellStyle name="Input 24 4 2 6" xfId="25294" xr:uid="{00000000-0005-0000-0000-0000FD610000}"/>
    <cellStyle name="Input 24 4 2 7" xfId="25295" xr:uid="{00000000-0005-0000-0000-0000FE610000}"/>
    <cellStyle name="Input 24 4 3" xfId="25296" xr:uid="{00000000-0005-0000-0000-0000FF610000}"/>
    <cellStyle name="Input 24 4 3 2" xfId="25297" xr:uid="{00000000-0005-0000-0000-000000620000}"/>
    <cellStyle name="Input 24 4 3 2 2" xfId="25298" xr:uid="{00000000-0005-0000-0000-000001620000}"/>
    <cellStyle name="Input 24 4 3 3" xfId="25299" xr:uid="{00000000-0005-0000-0000-000002620000}"/>
    <cellStyle name="Input 24 4 3 3 2" xfId="25300" xr:uid="{00000000-0005-0000-0000-000003620000}"/>
    <cellStyle name="Input 24 4 3 4" xfId="25301" xr:uid="{00000000-0005-0000-0000-000004620000}"/>
    <cellStyle name="Input 24 4 3 5" xfId="25302" xr:uid="{00000000-0005-0000-0000-000005620000}"/>
    <cellStyle name="Input 24 4 3 6" xfId="25303" xr:uid="{00000000-0005-0000-0000-000006620000}"/>
    <cellStyle name="Input 24 4 4" xfId="25304" xr:uid="{00000000-0005-0000-0000-000007620000}"/>
    <cellStyle name="Input 24 4 4 2" xfId="25305" xr:uid="{00000000-0005-0000-0000-000008620000}"/>
    <cellStyle name="Input 24 4 5" xfId="25306" xr:uid="{00000000-0005-0000-0000-000009620000}"/>
    <cellStyle name="Input 24 4 5 2" xfId="25307" xr:uid="{00000000-0005-0000-0000-00000A620000}"/>
    <cellStyle name="Input 24 4 6" xfId="25308" xr:uid="{00000000-0005-0000-0000-00000B620000}"/>
    <cellStyle name="Input 24 4 7" xfId="25309" xr:uid="{00000000-0005-0000-0000-00000C620000}"/>
    <cellStyle name="Input 24 4 8" xfId="25310" xr:uid="{00000000-0005-0000-0000-00000D620000}"/>
    <cellStyle name="Input 24 5" xfId="25311" xr:uid="{00000000-0005-0000-0000-00000E620000}"/>
    <cellStyle name="Input 24 5 2" xfId="25312" xr:uid="{00000000-0005-0000-0000-00000F620000}"/>
    <cellStyle name="Input 24 5 2 2" xfId="25313" xr:uid="{00000000-0005-0000-0000-000010620000}"/>
    <cellStyle name="Input 24 5 2 2 2" xfId="25314" xr:uid="{00000000-0005-0000-0000-000011620000}"/>
    <cellStyle name="Input 24 5 2 3" xfId="25315" xr:uid="{00000000-0005-0000-0000-000012620000}"/>
    <cellStyle name="Input 24 5 2 3 2" xfId="25316" xr:uid="{00000000-0005-0000-0000-000013620000}"/>
    <cellStyle name="Input 24 5 2 4" xfId="25317" xr:uid="{00000000-0005-0000-0000-000014620000}"/>
    <cellStyle name="Input 24 5 2 5" xfId="25318" xr:uid="{00000000-0005-0000-0000-000015620000}"/>
    <cellStyle name="Input 24 5 2 6" xfId="25319" xr:uid="{00000000-0005-0000-0000-000016620000}"/>
    <cellStyle name="Input 24 5 3" xfId="25320" xr:uid="{00000000-0005-0000-0000-000017620000}"/>
    <cellStyle name="Input 24 5 3 2" xfId="25321" xr:uid="{00000000-0005-0000-0000-000018620000}"/>
    <cellStyle name="Input 24 5 4" xfId="25322" xr:uid="{00000000-0005-0000-0000-000019620000}"/>
    <cellStyle name="Input 24 5 4 2" xfId="25323" xr:uid="{00000000-0005-0000-0000-00001A620000}"/>
    <cellStyle name="Input 24 5 5" xfId="25324" xr:uid="{00000000-0005-0000-0000-00001B620000}"/>
    <cellStyle name="Input 24 5 6" xfId="25325" xr:uid="{00000000-0005-0000-0000-00001C620000}"/>
    <cellStyle name="Input 24 5 7" xfId="25326" xr:uid="{00000000-0005-0000-0000-00001D620000}"/>
    <cellStyle name="Input 24 6" xfId="25327" xr:uid="{00000000-0005-0000-0000-00001E620000}"/>
    <cellStyle name="Input 24 6 2" xfId="25328" xr:uid="{00000000-0005-0000-0000-00001F620000}"/>
    <cellStyle name="Input 24 6 2 2" xfId="25329" xr:uid="{00000000-0005-0000-0000-000020620000}"/>
    <cellStyle name="Input 24 6 3" xfId="25330" xr:uid="{00000000-0005-0000-0000-000021620000}"/>
    <cellStyle name="Input 24 6 3 2" xfId="25331" xr:uid="{00000000-0005-0000-0000-000022620000}"/>
    <cellStyle name="Input 24 6 4" xfId="25332" xr:uid="{00000000-0005-0000-0000-000023620000}"/>
    <cellStyle name="Input 24 6 5" xfId="25333" xr:uid="{00000000-0005-0000-0000-000024620000}"/>
    <cellStyle name="Input 24 6 6" xfId="25334" xr:uid="{00000000-0005-0000-0000-000025620000}"/>
    <cellStyle name="Input 24 7" xfId="25335" xr:uid="{00000000-0005-0000-0000-000026620000}"/>
    <cellStyle name="Input 24 7 2" xfId="25336" xr:uid="{00000000-0005-0000-0000-000027620000}"/>
    <cellStyle name="Input 24 8" xfId="25337" xr:uid="{00000000-0005-0000-0000-000028620000}"/>
    <cellStyle name="Input 24 8 2" xfId="25338" xr:uid="{00000000-0005-0000-0000-000029620000}"/>
    <cellStyle name="Input 24 9" xfId="25339" xr:uid="{00000000-0005-0000-0000-00002A620000}"/>
    <cellStyle name="Input 25" xfId="25340" xr:uid="{00000000-0005-0000-0000-00002B620000}"/>
    <cellStyle name="Input 25 10" xfId="25341" xr:uid="{00000000-0005-0000-0000-00002C620000}"/>
    <cellStyle name="Input 25 11" xfId="25342" xr:uid="{00000000-0005-0000-0000-00002D620000}"/>
    <cellStyle name="Input 25 2" xfId="25343" xr:uid="{00000000-0005-0000-0000-00002E620000}"/>
    <cellStyle name="Input 25 2 10" xfId="25344" xr:uid="{00000000-0005-0000-0000-00002F620000}"/>
    <cellStyle name="Input 25 2 2" xfId="25345" xr:uid="{00000000-0005-0000-0000-000030620000}"/>
    <cellStyle name="Input 25 2 2 10" xfId="25346" xr:uid="{00000000-0005-0000-0000-000031620000}"/>
    <cellStyle name="Input 25 2 2 2" xfId="25347" xr:uid="{00000000-0005-0000-0000-000032620000}"/>
    <cellStyle name="Input 25 2 2 2 2" xfId="25348" xr:uid="{00000000-0005-0000-0000-000033620000}"/>
    <cellStyle name="Input 25 2 2 2 2 2" xfId="25349" xr:uid="{00000000-0005-0000-0000-000034620000}"/>
    <cellStyle name="Input 25 2 2 2 2 2 2" xfId="25350" xr:uid="{00000000-0005-0000-0000-000035620000}"/>
    <cellStyle name="Input 25 2 2 2 2 2 2 2" xfId="25351" xr:uid="{00000000-0005-0000-0000-000036620000}"/>
    <cellStyle name="Input 25 2 2 2 2 2 3" xfId="25352" xr:uid="{00000000-0005-0000-0000-000037620000}"/>
    <cellStyle name="Input 25 2 2 2 2 2 3 2" xfId="25353" xr:uid="{00000000-0005-0000-0000-000038620000}"/>
    <cellStyle name="Input 25 2 2 2 2 2 4" xfId="25354" xr:uid="{00000000-0005-0000-0000-000039620000}"/>
    <cellStyle name="Input 25 2 2 2 2 2 5" xfId="25355" xr:uid="{00000000-0005-0000-0000-00003A620000}"/>
    <cellStyle name="Input 25 2 2 2 2 2 6" xfId="25356" xr:uid="{00000000-0005-0000-0000-00003B620000}"/>
    <cellStyle name="Input 25 2 2 2 2 3" xfId="25357" xr:uid="{00000000-0005-0000-0000-00003C620000}"/>
    <cellStyle name="Input 25 2 2 2 2 3 2" xfId="25358" xr:uid="{00000000-0005-0000-0000-00003D620000}"/>
    <cellStyle name="Input 25 2 2 2 2 4" xfId="25359" xr:uid="{00000000-0005-0000-0000-00003E620000}"/>
    <cellStyle name="Input 25 2 2 2 2 4 2" xfId="25360" xr:uid="{00000000-0005-0000-0000-00003F620000}"/>
    <cellStyle name="Input 25 2 2 2 2 5" xfId="25361" xr:uid="{00000000-0005-0000-0000-000040620000}"/>
    <cellStyle name="Input 25 2 2 2 2 6" xfId="25362" xr:uid="{00000000-0005-0000-0000-000041620000}"/>
    <cellStyle name="Input 25 2 2 2 2 7" xfId="25363" xr:uid="{00000000-0005-0000-0000-000042620000}"/>
    <cellStyle name="Input 25 2 2 2 3" xfId="25364" xr:uid="{00000000-0005-0000-0000-000043620000}"/>
    <cellStyle name="Input 25 2 2 2 3 2" xfId="25365" xr:uid="{00000000-0005-0000-0000-000044620000}"/>
    <cellStyle name="Input 25 2 2 2 3 2 2" xfId="25366" xr:uid="{00000000-0005-0000-0000-000045620000}"/>
    <cellStyle name="Input 25 2 2 2 3 3" xfId="25367" xr:uid="{00000000-0005-0000-0000-000046620000}"/>
    <cellStyle name="Input 25 2 2 2 3 3 2" xfId="25368" xr:uid="{00000000-0005-0000-0000-000047620000}"/>
    <cellStyle name="Input 25 2 2 2 3 4" xfId="25369" xr:uid="{00000000-0005-0000-0000-000048620000}"/>
    <cellStyle name="Input 25 2 2 2 3 5" xfId="25370" xr:uid="{00000000-0005-0000-0000-000049620000}"/>
    <cellStyle name="Input 25 2 2 2 3 6" xfId="25371" xr:uid="{00000000-0005-0000-0000-00004A620000}"/>
    <cellStyle name="Input 25 2 2 2 4" xfId="25372" xr:uid="{00000000-0005-0000-0000-00004B620000}"/>
    <cellStyle name="Input 25 2 2 2 4 2" xfId="25373" xr:uid="{00000000-0005-0000-0000-00004C620000}"/>
    <cellStyle name="Input 25 2 2 2 5" xfId="25374" xr:uid="{00000000-0005-0000-0000-00004D620000}"/>
    <cellStyle name="Input 25 2 2 2 5 2" xfId="25375" xr:uid="{00000000-0005-0000-0000-00004E620000}"/>
    <cellStyle name="Input 25 2 2 2 6" xfId="25376" xr:uid="{00000000-0005-0000-0000-00004F620000}"/>
    <cellStyle name="Input 25 2 2 2 7" xfId="25377" xr:uid="{00000000-0005-0000-0000-000050620000}"/>
    <cellStyle name="Input 25 2 2 2 8" xfId="25378" xr:uid="{00000000-0005-0000-0000-000051620000}"/>
    <cellStyle name="Input 25 2 2 3" xfId="25379" xr:uid="{00000000-0005-0000-0000-000052620000}"/>
    <cellStyle name="Input 25 2 2 3 2" xfId="25380" xr:uid="{00000000-0005-0000-0000-000053620000}"/>
    <cellStyle name="Input 25 2 2 3 2 2" xfId="25381" xr:uid="{00000000-0005-0000-0000-000054620000}"/>
    <cellStyle name="Input 25 2 2 3 2 2 2" xfId="25382" xr:uid="{00000000-0005-0000-0000-000055620000}"/>
    <cellStyle name="Input 25 2 2 3 2 2 2 2" xfId="25383" xr:uid="{00000000-0005-0000-0000-000056620000}"/>
    <cellStyle name="Input 25 2 2 3 2 2 3" xfId="25384" xr:uid="{00000000-0005-0000-0000-000057620000}"/>
    <cellStyle name="Input 25 2 2 3 2 2 3 2" xfId="25385" xr:uid="{00000000-0005-0000-0000-000058620000}"/>
    <cellStyle name="Input 25 2 2 3 2 2 4" xfId="25386" xr:uid="{00000000-0005-0000-0000-000059620000}"/>
    <cellStyle name="Input 25 2 2 3 2 2 5" xfId="25387" xr:uid="{00000000-0005-0000-0000-00005A620000}"/>
    <cellStyle name="Input 25 2 2 3 2 2 6" xfId="25388" xr:uid="{00000000-0005-0000-0000-00005B620000}"/>
    <cellStyle name="Input 25 2 2 3 2 3" xfId="25389" xr:uid="{00000000-0005-0000-0000-00005C620000}"/>
    <cellStyle name="Input 25 2 2 3 2 3 2" xfId="25390" xr:uid="{00000000-0005-0000-0000-00005D620000}"/>
    <cellStyle name="Input 25 2 2 3 2 4" xfId="25391" xr:uid="{00000000-0005-0000-0000-00005E620000}"/>
    <cellStyle name="Input 25 2 2 3 2 4 2" xfId="25392" xr:uid="{00000000-0005-0000-0000-00005F620000}"/>
    <cellStyle name="Input 25 2 2 3 2 5" xfId="25393" xr:uid="{00000000-0005-0000-0000-000060620000}"/>
    <cellStyle name="Input 25 2 2 3 2 6" xfId="25394" xr:uid="{00000000-0005-0000-0000-000061620000}"/>
    <cellStyle name="Input 25 2 2 3 2 7" xfId="25395" xr:uid="{00000000-0005-0000-0000-000062620000}"/>
    <cellStyle name="Input 25 2 2 3 3" xfId="25396" xr:uid="{00000000-0005-0000-0000-000063620000}"/>
    <cellStyle name="Input 25 2 2 3 3 2" xfId="25397" xr:uid="{00000000-0005-0000-0000-000064620000}"/>
    <cellStyle name="Input 25 2 2 3 3 2 2" xfId="25398" xr:uid="{00000000-0005-0000-0000-000065620000}"/>
    <cellStyle name="Input 25 2 2 3 3 3" xfId="25399" xr:uid="{00000000-0005-0000-0000-000066620000}"/>
    <cellStyle name="Input 25 2 2 3 3 3 2" xfId="25400" xr:uid="{00000000-0005-0000-0000-000067620000}"/>
    <cellStyle name="Input 25 2 2 3 3 4" xfId="25401" xr:uid="{00000000-0005-0000-0000-000068620000}"/>
    <cellStyle name="Input 25 2 2 3 3 5" xfId="25402" xr:uid="{00000000-0005-0000-0000-000069620000}"/>
    <cellStyle name="Input 25 2 2 3 3 6" xfId="25403" xr:uid="{00000000-0005-0000-0000-00006A620000}"/>
    <cellStyle name="Input 25 2 2 3 4" xfId="25404" xr:uid="{00000000-0005-0000-0000-00006B620000}"/>
    <cellStyle name="Input 25 2 2 3 4 2" xfId="25405" xr:uid="{00000000-0005-0000-0000-00006C620000}"/>
    <cellStyle name="Input 25 2 2 3 5" xfId="25406" xr:uid="{00000000-0005-0000-0000-00006D620000}"/>
    <cellStyle name="Input 25 2 2 3 5 2" xfId="25407" xr:uid="{00000000-0005-0000-0000-00006E620000}"/>
    <cellStyle name="Input 25 2 2 3 6" xfId="25408" xr:uid="{00000000-0005-0000-0000-00006F620000}"/>
    <cellStyle name="Input 25 2 2 3 7" xfId="25409" xr:uid="{00000000-0005-0000-0000-000070620000}"/>
    <cellStyle name="Input 25 2 2 3 8" xfId="25410" xr:uid="{00000000-0005-0000-0000-000071620000}"/>
    <cellStyle name="Input 25 2 2 4" xfId="25411" xr:uid="{00000000-0005-0000-0000-000072620000}"/>
    <cellStyle name="Input 25 2 2 4 2" xfId="25412" xr:uid="{00000000-0005-0000-0000-000073620000}"/>
    <cellStyle name="Input 25 2 2 4 2 2" xfId="25413" xr:uid="{00000000-0005-0000-0000-000074620000}"/>
    <cellStyle name="Input 25 2 2 4 2 2 2" xfId="25414" xr:uid="{00000000-0005-0000-0000-000075620000}"/>
    <cellStyle name="Input 25 2 2 4 2 3" xfId="25415" xr:uid="{00000000-0005-0000-0000-000076620000}"/>
    <cellStyle name="Input 25 2 2 4 2 3 2" xfId="25416" xr:uid="{00000000-0005-0000-0000-000077620000}"/>
    <cellStyle name="Input 25 2 2 4 2 4" xfId="25417" xr:uid="{00000000-0005-0000-0000-000078620000}"/>
    <cellStyle name="Input 25 2 2 4 2 5" xfId="25418" xr:uid="{00000000-0005-0000-0000-000079620000}"/>
    <cellStyle name="Input 25 2 2 4 2 6" xfId="25419" xr:uid="{00000000-0005-0000-0000-00007A620000}"/>
    <cellStyle name="Input 25 2 2 4 3" xfId="25420" xr:uid="{00000000-0005-0000-0000-00007B620000}"/>
    <cellStyle name="Input 25 2 2 4 3 2" xfId="25421" xr:uid="{00000000-0005-0000-0000-00007C620000}"/>
    <cellStyle name="Input 25 2 2 4 4" xfId="25422" xr:uid="{00000000-0005-0000-0000-00007D620000}"/>
    <cellStyle name="Input 25 2 2 4 4 2" xfId="25423" xr:uid="{00000000-0005-0000-0000-00007E620000}"/>
    <cellStyle name="Input 25 2 2 4 5" xfId="25424" xr:uid="{00000000-0005-0000-0000-00007F620000}"/>
    <cellStyle name="Input 25 2 2 4 6" xfId="25425" xr:uid="{00000000-0005-0000-0000-000080620000}"/>
    <cellStyle name="Input 25 2 2 4 7" xfId="25426" xr:uid="{00000000-0005-0000-0000-000081620000}"/>
    <cellStyle name="Input 25 2 2 5" xfId="25427" xr:uid="{00000000-0005-0000-0000-000082620000}"/>
    <cellStyle name="Input 25 2 2 5 2" xfId="25428" xr:uid="{00000000-0005-0000-0000-000083620000}"/>
    <cellStyle name="Input 25 2 2 5 2 2" xfId="25429" xr:uid="{00000000-0005-0000-0000-000084620000}"/>
    <cellStyle name="Input 25 2 2 5 3" xfId="25430" xr:uid="{00000000-0005-0000-0000-000085620000}"/>
    <cellStyle name="Input 25 2 2 5 3 2" xfId="25431" xr:uid="{00000000-0005-0000-0000-000086620000}"/>
    <cellStyle name="Input 25 2 2 5 4" xfId="25432" xr:uid="{00000000-0005-0000-0000-000087620000}"/>
    <cellStyle name="Input 25 2 2 5 5" xfId="25433" xr:uid="{00000000-0005-0000-0000-000088620000}"/>
    <cellStyle name="Input 25 2 2 5 6" xfId="25434" xr:uid="{00000000-0005-0000-0000-000089620000}"/>
    <cellStyle name="Input 25 2 2 6" xfId="25435" xr:uid="{00000000-0005-0000-0000-00008A620000}"/>
    <cellStyle name="Input 25 2 2 6 2" xfId="25436" xr:uid="{00000000-0005-0000-0000-00008B620000}"/>
    <cellStyle name="Input 25 2 2 7" xfId="25437" xr:uid="{00000000-0005-0000-0000-00008C620000}"/>
    <cellStyle name="Input 25 2 2 7 2" xfId="25438" xr:uid="{00000000-0005-0000-0000-00008D620000}"/>
    <cellStyle name="Input 25 2 2 8" xfId="25439" xr:uid="{00000000-0005-0000-0000-00008E620000}"/>
    <cellStyle name="Input 25 2 2 9" xfId="25440" xr:uid="{00000000-0005-0000-0000-00008F620000}"/>
    <cellStyle name="Input 25 2 3" xfId="25441" xr:uid="{00000000-0005-0000-0000-000090620000}"/>
    <cellStyle name="Input 25 2 3 2" xfId="25442" xr:uid="{00000000-0005-0000-0000-000091620000}"/>
    <cellStyle name="Input 25 2 3 2 2" xfId="25443" xr:uid="{00000000-0005-0000-0000-000092620000}"/>
    <cellStyle name="Input 25 2 3 2 2 2" xfId="25444" xr:uid="{00000000-0005-0000-0000-000093620000}"/>
    <cellStyle name="Input 25 2 3 2 2 2 2" xfId="25445" xr:uid="{00000000-0005-0000-0000-000094620000}"/>
    <cellStyle name="Input 25 2 3 2 2 3" xfId="25446" xr:uid="{00000000-0005-0000-0000-000095620000}"/>
    <cellStyle name="Input 25 2 3 2 2 3 2" xfId="25447" xr:uid="{00000000-0005-0000-0000-000096620000}"/>
    <cellStyle name="Input 25 2 3 2 2 4" xfId="25448" xr:uid="{00000000-0005-0000-0000-000097620000}"/>
    <cellStyle name="Input 25 2 3 2 2 5" xfId="25449" xr:uid="{00000000-0005-0000-0000-000098620000}"/>
    <cellStyle name="Input 25 2 3 2 2 6" xfId="25450" xr:uid="{00000000-0005-0000-0000-000099620000}"/>
    <cellStyle name="Input 25 2 3 2 3" xfId="25451" xr:uid="{00000000-0005-0000-0000-00009A620000}"/>
    <cellStyle name="Input 25 2 3 2 3 2" xfId="25452" xr:uid="{00000000-0005-0000-0000-00009B620000}"/>
    <cellStyle name="Input 25 2 3 2 4" xfId="25453" xr:uid="{00000000-0005-0000-0000-00009C620000}"/>
    <cellStyle name="Input 25 2 3 2 4 2" xfId="25454" xr:uid="{00000000-0005-0000-0000-00009D620000}"/>
    <cellStyle name="Input 25 2 3 2 5" xfId="25455" xr:uid="{00000000-0005-0000-0000-00009E620000}"/>
    <cellStyle name="Input 25 2 3 2 6" xfId="25456" xr:uid="{00000000-0005-0000-0000-00009F620000}"/>
    <cellStyle name="Input 25 2 3 2 7" xfId="25457" xr:uid="{00000000-0005-0000-0000-0000A0620000}"/>
    <cellStyle name="Input 25 2 3 3" xfId="25458" xr:uid="{00000000-0005-0000-0000-0000A1620000}"/>
    <cellStyle name="Input 25 2 3 3 2" xfId="25459" xr:uid="{00000000-0005-0000-0000-0000A2620000}"/>
    <cellStyle name="Input 25 2 3 3 2 2" xfId="25460" xr:uid="{00000000-0005-0000-0000-0000A3620000}"/>
    <cellStyle name="Input 25 2 3 3 3" xfId="25461" xr:uid="{00000000-0005-0000-0000-0000A4620000}"/>
    <cellStyle name="Input 25 2 3 3 3 2" xfId="25462" xr:uid="{00000000-0005-0000-0000-0000A5620000}"/>
    <cellStyle name="Input 25 2 3 3 4" xfId="25463" xr:uid="{00000000-0005-0000-0000-0000A6620000}"/>
    <cellStyle name="Input 25 2 3 3 5" xfId="25464" xr:uid="{00000000-0005-0000-0000-0000A7620000}"/>
    <cellStyle name="Input 25 2 3 3 6" xfId="25465" xr:uid="{00000000-0005-0000-0000-0000A8620000}"/>
    <cellStyle name="Input 25 2 3 4" xfId="25466" xr:uid="{00000000-0005-0000-0000-0000A9620000}"/>
    <cellStyle name="Input 25 2 3 4 2" xfId="25467" xr:uid="{00000000-0005-0000-0000-0000AA620000}"/>
    <cellStyle name="Input 25 2 3 5" xfId="25468" xr:uid="{00000000-0005-0000-0000-0000AB620000}"/>
    <cellStyle name="Input 25 2 3 5 2" xfId="25469" xr:uid="{00000000-0005-0000-0000-0000AC620000}"/>
    <cellStyle name="Input 25 2 3 6" xfId="25470" xr:uid="{00000000-0005-0000-0000-0000AD620000}"/>
    <cellStyle name="Input 25 2 3 7" xfId="25471" xr:uid="{00000000-0005-0000-0000-0000AE620000}"/>
    <cellStyle name="Input 25 2 3 8" xfId="25472" xr:uid="{00000000-0005-0000-0000-0000AF620000}"/>
    <cellStyle name="Input 25 2 4" xfId="25473" xr:uid="{00000000-0005-0000-0000-0000B0620000}"/>
    <cellStyle name="Input 25 2 4 2" xfId="25474" xr:uid="{00000000-0005-0000-0000-0000B1620000}"/>
    <cellStyle name="Input 25 2 4 2 2" xfId="25475" xr:uid="{00000000-0005-0000-0000-0000B2620000}"/>
    <cellStyle name="Input 25 2 4 2 2 2" xfId="25476" xr:uid="{00000000-0005-0000-0000-0000B3620000}"/>
    <cellStyle name="Input 25 2 4 2 3" xfId="25477" xr:uid="{00000000-0005-0000-0000-0000B4620000}"/>
    <cellStyle name="Input 25 2 4 2 3 2" xfId="25478" xr:uid="{00000000-0005-0000-0000-0000B5620000}"/>
    <cellStyle name="Input 25 2 4 2 4" xfId="25479" xr:uid="{00000000-0005-0000-0000-0000B6620000}"/>
    <cellStyle name="Input 25 2 4 2 5" xfId="25480" xr:uid="{00000000-0005-0000-0000-0000B7620000}"/>
    <cellStyle name="Input 25 2 4 2 6" xfId="25481" xr:uid="{00000000-0005-0000-0000-0000B8620000}"/>
    <cellStyle name="Input 25 2 4 3" xfId="25482" xr:uid="{00000000-0005-0000-0000-0000B9620000}"/>
    <cellStyle name="Input 25 2 4 3 2" xfId="25483" xr:uid="{00000000-0005-0000-0000-0000BA620000}"/>
    <cellStyle name="Input 25 2 4 4" xfId="25484" xr:uid="{00000000-0005-0000-0000-0000BB620000}"/>
    <cellStyle name="Input 25 2 4 4 2" xfId="25485" xr:uid="{00000000-0005-0000-0000-0000BC620000}"/>
    <cellStyle name="Input 25 2 4 5" xfId="25486" xr:uid="{00000000-0005-0000-0000-0000BD620000}"/>
    <cellStyle name="Input 25 2 4 6" xfId="25487" xr:uid="{00000000-0005-0000-0000-0000BE620000}"/>
    <cellStyle name="Input 25 2 4 7" xfId="25488" xr:uid="{00000000-0005-0000-0000-0000BF620000}"/>
    <cellStyle name="Input 25 2 5" xfId="25489" xr:uid="{00000000-0005-0000-0000-0000C0620000}"/>
    <cellStyle name="Input 25 2 5 2" xfId="25490" xr:uid="{00000000-0005-0000-0000-0000C1620000}"/>
    <cellStyle name="Input 25 2 5 2 2" xfId="25491" xr:uid="{00000000-0005-0000-0000-0000C2620000}"/>
    <cellStyle name="Input 25 2 5 3" xfId="25492" xr:uid="{00000000-0005-0000-0000-0000C3620000}"/>
    <cellStyle name="Input 25 2 5 3 2" xfId="25493" xr:uid="{00000000-0005-0000-0000-0000C4620000}"/>
    <cellStyle name="Input 25 2 5 4" xfId="25494" xr:uid="{00000000-0005-0000-0000-0000C5620000}"/>
    <cellStyle name="Input 25 2 5 5" xfId="25495" xr:uid="{00000000-0005-0000-0000-0000C6620000}"/>
    <cellStyle name="Input 25 2 5 6" xfId="25496" xr:uid="{00000000-0005-0000-0000-0000C7620000}"/>
    <cellStyle name="Input 25 2 6" xfId="25497" xr:uid="{00000000-0005-0000-0000-0000C8620000}"/>
    <cellStyle name="Input 25 2 6 2" xfId="25498" xr:uid="{00000000-0005-0000-0000-0000C9620000}"/>
    <cellStyle name="Input 25 2 7" xfId="25499" xr:uid="{00000000-0005-0000-0000-0000CA620000}"/>
    <cellStyle name="Input 25 2 7 2" xfId="25500" xr:uid="{00000000-0005-0000-0000-0000CB620000}"/>
    <cellStyle name="Input 25 2 8" xfId="25501" xr:uid="{00000000-0005-0000-0000-0000CC620000}"/>
    <cellStyle name="Input 25 2 9" xfId="25502" xr:uid="{00000000-0005-0000-0000-0000CD620000}"/>
    <cellStyle name="Input 25 3" xfId="25503" xr:uid="{00000000-0005-0000-0000-0000CE620000}"/>
    <cellStyle name="Input 25 3 10" xfId="25504" xr:uid="{00000000-0005-0000-0000-0000CF620000}"/>
    <cellStyle name="Input 25 3 2" xfId="25505" xr:uid="{00000000-0005-0000-0000-0000D0620000}"/>
    <cellStyle name="Input 25 3 2 2" xfId="25506" xr:uid="{00000000-0005-0000-0000-0000D1620000}"/>
    <cellStyle name="Input 25 3 2 2 2" xfId="25507" xr:uid="{00000000-0005-0000-0000-0000D2620000}"/>
    <cellStyle name="Input 25 3 2 2 2 2" xfId="25508" xr:uid="{00000000-0005-0000-0000-0000D3620000}"/>
    <cellStyle name="Input 25 3 2 2 2 2 2" xfId="25509" xr:uid="{00000000-0005-0000-0000-0000D4620000}"/>
    <cellStyle name="Input 25 3 2 2 2 3" xfId="25510" xr:uid="{00000000-0005-0000-0000-0000D5620000}"/>
    <cellStyle name="Input 25 3 2 2 2 3 2" xfId="25511" xr:uid="{00000000-0005-0000-0000-0000D6620000}"/>
    <cellStyle name="Input 25 3 2 2 2 4" xfId="25512" xr:uid="{00000000-0005-0000-0000-0000D7620000}"/>
    <cellStyle name="Input 25 3 2 2 2 5" xfId="25513" xr:uid="{00000000-0005-0000-0000-0000D8620000}"/>
    <cellStyle name="Input 25 3 2 2 2 6" xfId="25514" xr:uid="{00000000-0005-0000-0000-0000D9620000}"/>
    <cellStyle name="Input 25 3 2 2 3" xfId="25515" xr:uid="{00000000-0005-0000-0000-0000DA620000}"/>
    <cellStyle name="Input 25 3 2 2 3 2" xfId="25516" xr:uid="{00000000-0005-0000-0000-0000DB620000}"/>
    <cellStyle name="Input 25 3 2 2 4" xfId="25517" xr:uid="{00000000-0005-0000-0000-0000DC620000}"/>
    <cellStyle name="Input 25 3 2 2 4 2" xfId="25518" xr:uid="{00000000-0005-0000-0000-0000DD620000}"/>
    <cellStyle name="Input 25 3 2 2 5" xfId="25519" xr:uid="{00000000-0005-0000-0000-0000DE620000}"/>
    <cellStyle name="Input 25 3 2 2 6" xfId="25520" xr:uid="{00000000-0005-0000-0000-0000DF620000}"/>
    <cellStyle name="Input 25 3 2 2 7" xfId="25521" xr:uid="{00000000-0005-0000-0000-0000E0620000}"/>
    <cellStyle name="Input 25 3 2 3" xfId="25522" xr:uid="{00000000-0005-0000-0000-0000E1620000}"/>
    <cellStyle name="Input 25 3 2 3 2" xfId="25523" xr:uid="{00000000-0005-0000-0000-0000E2620000}"/>
    <cellStyle name="Input 25 3 2 3 2 2" xfId="25524" xr:uid="{00000000-0005-0000-0000-0000E3620000}"/>
    <cellStyle name="Input 25 3 2 3 3" xfId="25525" xr:uid="{00000000-0005-0000-0000-0000E4620000}"/>
    <cellStyle name="Input 25 3 2 3 3 2" xfId="25526" xr:uid="{00000000-0005-0000-0000-0000E5620000}"/>
    <cellStyle name="Input 25 3 2 3 4" xfId="25527" xr:uid="{00000000-0005-0000-0000-0000E6620000}"/>
    <cellStyle name="Input 25 3 2 3 5" xfId="25528" xr:uid="{00000000-0005-0000-0000-0000E7620000}"/>
    <cellStyle name="Input 25 3 2 3 6" xfId="25529" xr:uid="{00000000-0005-0000-0000-0000E8620000}"/>
    <cellStyle name="Input 25 3 2 4" xfId="25530" xr:uid="{00000000-0005-0000-0000-0000E9620000}"/>
    <cellStyle name="Input 25 3 2 4 2" xfId="25531" xr:uid="{00000000-0005-0000-0000-0000EA620000}"/>
    <cellStyle name="Input 25 3 2 5" xfId="25532" xr:uid="{00000000-0005-0000-0000-0000EB620000}"/>
    <cellStyle name="Input 25 3 2 5 2" xfId="25533" xr:uid="{00000000-0005-0000-0000-0000EC620000}"/>
    <cellStyle name="Input 25 3 2 6" xfId="25534" xr:uid="{00000000-0005-0000-0000-0000ED620000}"/>
    <cellStyle name="Input 25 3 2 7" xfId="25535" xr:uid="{00000000-0005-0000-0000-0000EE620000}"/>
    <cellStyle name="Input 25 3 2 8" xfId="25536" xr:uid="{00000000-0005-0000-0000-0000EF620000}"/>
    <cellStyle name="Input 25 3 3" xfId="25537" xr:uid="{00000000-0005-0000-0000-0000F0620000}"/>
    <cellStyle name="Input 25 3 3 2" xfId="25538" xr:uid="{00000000-0005-0000-0000-0000F1620000}"/>
    <cellStyle name="Input 25 3 3 2 2" xfId="25539" xr:uid="{00000000-0005-0000-0000-0000F2620000}"/>
    <cellStyle name="Input 25 3 3 2 2 2" xfId="25540" xr:uid="{00000000-0005-0000-0000-0000F3620000}"/>
    <cellStyle name="Input 25 3 3 2 2 2 2" xfId="25541" xr:uid="{00000000-0005-0000-0000-0000F4620000}"/>
    <cellStyle name="Input 25 3 3 2 2 3" xfId="25542" xr:uid="{00000000-0005-0000-0000-0000F5620000}"/>
    <cellStyle name="Input 25 3 3 2 2 3 2" xfId="25543" xr:uid="{00000000-0005-0000-0000-0000F6620000}"/>
    <cellStyle name="Input 25 3 3 2 2 4" xfId="25544" xr:uid="{00000000-0005-0000-0000-0000F7620000}"/>
    <cellStyle name="Input 25 3 3 2 2 5" xfId="25545" xr:uid="{00000000-0005-0000-0000-0000F8620000}"/>
    <cellStyle name="Input 25 3 3 2 2 6" xfId="25546" xr:uid="{00000000-0005-0000-0000-0000F9620000}"/>
    <cellStyle name="Input 25 3 3 2 3" xfId="25547" xr:uid="{00000000-0005-0000-0000-0000FA620000}"/>
    <cellStyle name="Input 25 3 3 2 3 2" xfId="25548" xr:uid="{00000000-0005-0000-0000-0000FB620000}"/>
    <cellStyle name="Input 25 3 3 2 4" xfId="25549" xr:uid="{00000000-0005-0000-0000-0000FC620000}"/>
    <cellStyle name="Input 25 3 3 2 4 2" xfId="25550" xr:uid="{00000000-0005-0000-0000-0000FD620000}"/>
    <cellStyle name="Input 25 3 3 2 5" xfId="25551" xr:uid="{00000000-0005-0000-0000-0000FE620000}"/>
    <cellStyle name="Input 25 3 3 2 6" xfId="25552" xr:uid="{00000000-0005-0000-0000-0000FF620000}"/>
    <cellStyle name="Input 25 3 3 2 7" xfId="25553" xr:uid="{00000000-0005-0000-0000-000000630000}"/>
    <cellStyle name="Input 25 3 3 3" xfId="25554" xr:uid="{00000000-0005-0000-0000-000001630000}"/>
    <cellStyle name="Input 25 3 3 3 2" xfId="25555" xr:uid="{00000000-0005-0000-0000-000002630000}"/>
    <cellStyle name="Input 25 3 3 3 2 2" xfId="25556" xr:uid="{00000000-0005-0000-0000-000003630000}"/>
    <cellStyle name="Input 25 3 3 3 3" xfId="25557" xr:uid="{00000000-0005-0000-0000-000004630000}"/>
    <cellStyle name="Input 25 3 3 3 3 2" xfId="25558" xr:uid="{00000000-0005-0000-0000-000005630000}"/>
    <cellStyle name="Input 25 3 3 3 4" xfId="25559" xr:uid="{00000000-0005-0000-0000-000006630000}"/>
    <cellStyle name="Input 25 3 3 3 5" xfId="25560" xr:uid="{00000000-0005-0000-0000-000007630000}"/>
    <cellStyle name="Input 25 3 3 3 6" xfId="25561" xr:uid="{00000000-0005-0000-0000-000008630000}"/>
    <cellStyle name="Input 25 3 3 4" xfId="25562" xr:uid="{00000000-0005-0000-0000-000009630000}"/>
    <cellStyle name="Input 25 3 3 4 2" xfId="25563" xr:uid="{00000000-0005-0000-0000-00000A630000}"/>
    <cellStyle name="Input 25 3 3 5" xfId="25564" xr:uid="{00000000-0005-0000-0000-00000B630000}"/>
    <cellStyle name="Input 25 3 3 5 2" xfId="25565" xr:uid="{00000000-0005-0000-0000-00000C630000}"/>
    <cellStyle name="Input 25 3 3 6" xfId="25566" xr:uid="{00000000-0005-0000-0000-00000D630000}"/>
    <cellStyle name="Input 25 3 3 7" xfId="25567" xr:uid="{00000000-0005-0000-0000-00000E630000}"/>
    <cellStyle name="Input 25 3 3 8" xfId="25568" xr:uid="{00000000-0005-0000-0000-00000F630000}"/>
    <cellStyle name="Input 25 3 4" xfId="25569" xr:uid="{00000000-0005-0000-0000-000010630000}"/>
    <cellStyle name="Input 25 3 4 2" xfId="25570" xr:uid="{00000000-0005-0000-0000-000011630000}"/>
    <cellStyle name="Input 25 3 4 2 2" xfId="25571" xr:uid="{00000000-0005-0000-0000-000012630000}"/>
    <cellStyle name="Input 25 3 4 2 2 2" xfId="25572" xr:uid="{00000000-0005-0000-0000-000013630000}"/>
    <cellStyle name="Input 25 3 4 2 3" xfId="25573" xr:uid="{00000000-0005-0000-0000-000014630000}"/>
    <cellStyle name="Input 25 3 4 2 3 2" xfId="25574" xr:uid="{00000000-0005-0000-0000-000015630000}"/>
    <cellStyle name="Input 25 3 4 2 4" xfId="25575" xr:uid="{00000000-0005-0000-0000-000016630000}"/>
    <cellStyle name="Input 25 3 4 2 5" xfId="25576" xr:uid="{00000000-0005-0000-0000-000017630000}"/>
    <cellStyle name="Input 25 3 4 2 6" xfId="25577" xr:uid="{00000000-0005-0000-0000-000018630000}"/>
    <cellStyle name="Input 25 3 4 3" xfId="25578" xr:uid="{00000000-0005-0000-0000-000019630000}"/>
    <cellStyle name="Input 25 3 4 3 2" xfId="25579" xr:uid="{00000000-0005-0000-0000-00001A630000}"/>
    <cellStyle name="Input 25 3 4 4" xfId="25580" xr:uid="{00000000-0005-0000-0000-00001B630000}"/>
    <cellStyle name="Input 25 3 4 4 2" xfId="25581" xr:uid="{00000000-0005-0000-0000-00001C630000}"/>
    <cellStyle name="Input 25 3 4 5" xfId="25582" xr:uid="{00000000-0005-0000-0000-00001D630000}"/>
    <cellStyle name="Input 25 3 4 6" xfId="25583" xr:uid="{00000000-0005-0000-0000-00001E630000}"/>
    <cellStyle name="Input 25 3 4 7" xfId="25584" xr:uid="{00000000-0005-0000-0000-00001F630000}"/>
    <cellStyle name="Input 25 3 5" xfId="25585" xr:uid="{00000000-0005-0000-0000-000020630000}"/>
    <cellStyle name="Input 25 3 5 2" xfId="25586" xr:uid="{00000000-0005-0000-0000-000021630000}"/>
    <cellStyle name="Input 25 3 5 2 2" xfId="25587" xr:uid="{00000000-0005-0000-0000-000022630000}"/>
    <cellStyle name="Input 25 3 5 3" xfId="25588" xr:uid="{00000000-0005-0000-0000-000023630000}"/>
    <cellStyle name="Input 25 3 5 3 2" xfId="25589" xr:uid="{00000000-0005-0000-0000-000024630000}"/>
    <cellStyle name="Input 25 3 5 4" xfId="25590" xr:uid="{00000000-0005-0000-0000-000025630000}"/>
    <cellStyle name="Input 25 3 5 5" xfId="25591" xr:uid="{00000000-0005-0000-0000-000026630000}"/>
    <cellStyle name="Input 25 3 5 6" xfId="25592" xr:uid="{00000000-0005-0000-0000-000027630000}"/>
    <cellStyle name="Input 25 3 6" xfId="25593" xr:uid="{00000000-0005-0000-0000-000028630000}"/>
    <cellStyle name="Input 25 3 6 2" xfId="25594" xr:uid="{00000000-0005-0000-0000-000029630000}"/>
    <cellStyle name="Input 25 3 7" xfId="25595" xr:uid="{00000000-0005-0000-0000-00002A630000}"/>
    <cellStyle name="Input 25 3 7 2" xfId="25596" xr:uid="{00000000-0005-0000-0000-00002B630000}"/>
    <cellStyle name="Input 25 3 8" xfId="25597" xr:uid="{00000000-0005-0000-0000-00002C630000}"/>
    <cellStyle name="Input 25 3 9" xfId="25598" xr:uid="{00000000-0005-0000-0000-00002D630000}"/>
    <cellStyle name="Input 25 4" xfId="25599" xr:uid="{00000000-0005-0000-0000-00002E630000}"/>
    <cellStyle name="Input 25 4 2" xfId="25600" xr:uid="{00000000-0005-0000-0000-00002F630000}"/>
    <cellStyle name="Input 25 4 2 2" xfId="25601" xr:uid="{00000000-0005-0000-0000-000030630000}"/>
    <cellStyle name="Input 25 4 2 2 2" xfId="25602" xr:uid="{00000000-0005-0000-0000-000031630000}"/>
    <cellStyle name="Input 25 4 2 2 2 2" xfId="25603" xr:uid="{00000000-0005-0000-0000-000032630000}"/>
    <cellStyle name="Input 25 4 2 2 3" xfId="25604" xr:uid="{00000000-0005-0000-0000-000033630000}"/>
    <cellStyle name="Input 25 4 2 2 3 2" xfId="25605" xr:uid="{00000000-0005-0000-0000-000034630000}"/>
    <cellStyle name="Input 25 4 2 2 4" xfId="25606" xr:uid="{00000000-0005-0000-0000-000035630000}"/>
    <cellStyle name="Input 25 4 2 2 5" xfId="25607" xr:uid="{00000000-0005-0000-0000-000036630000}"/>
    <cellStyle name="Input 25 4 2 2 6" xfId="25608" xr:uid="{00000000-0005-0000-0000-000037630000}"/>
    <cellStyle name="Input 25 4 2 3" xfId="25609" xr:uid="{00000000-0005-0000-0000-000038630000}"/>
    <cellStyle name="Input 25 4 2 3 2" xfId="25610" xr:uid="{00000000-0005-0000-0000-000039630000}"/>
    <cellStyle name="Input 25 4 2 4" xfId="25611" xr:uid="{00000000-0005-0000-0000-00003A630000}"/>
    <cellStyle name="Input 25 4 2 4 2" xfId="25612" xr:uid="{00000000-0005-0000-0000-00003B630000}"/>
    <cellStyle name="Input 25 4 2 5" xfId="25613" xr:uid="{00000000-0005-0000-0000-00003C630000}"/>
    <cellStyle name="Input 25 4 2 6" xfId="25614" xr:uid="{00000000-0005-0000-0000-00003D630000}"/>
    <cellStyle name="Input 25 4 2 7" xfId="25615" xr:uid="{00000000-0005-0000-0000-00003E630000}"/>
    <cellStyle name="Input 25 4 3" xfId="25616" xr:uid="{00000000-0005-0000-0000-00003F630000}"/>
    <cellStyle name="Input 25 4 3 2" xfId="25617" xr:uid="{00000000-0005-0000-0000-000040630000}"/>
    <cellStyle name="Input 25 4 3 2 2" xfId="25618" xr:uid="{00000000-0005-0000-0000-000041630000}"/>
    <cellStyle name="Input 25 4 3 3" xfId="25619" xr:uid="{00000000-0005-0000-0000-000042630000}"/>
    <cellStyle name="Input 25 4 3 3 2" xfId="25620" xr:uid="{00000000-0005-0000-0000-000043630000}"/>
    <cellStyle name="Input 25 4 3 4" xfId="25621" xr:uid="{00000000-0005-0000-0000-000044630000}"/>
    <cellStyle name="Input 25 4 3 5" xfId="25622" xr:uid="{00000000-0005-0000-0000-000045630000}"/>
    <cellStyle name="Input 25 4 3 6" xfId="25623" xr:uid="{00000000-0005-0000-0000-000046630000}"/>
    <cellStyle name="Input 25 4 4" xfId="25624" xr:uid="{00000000-0005-0000-0000-000047630000}"/>
    <cellStyle name="Input 25 4 4 2" xfId="25625" xr:uid="{00000000-0005-0000-0000-000048630000}"/>
    <cellStyle name="Input 25 4 5" xfId="25626" xr:uid="{00000000-0005-0000-0000-000049630000}"/>
    <cellStyle name="Input 25 4 5 2" xfId="25627" xr:uid="{00000000-0005-0000-0000-00004A630000}"/>
    <cellStyle name="Input 25 4 6" xfId="25628" xr:uid="{00000000-0005-0000-0000-00004B630000}"/>
    <cellStyle name="Input 25 4 7" xfId="25629" xr:uid="{00000000-0005-0000-0000-00004C630000}"/>
    <cellStyle name="Input 25 4 8" xfId="25630" xr:uid="{00000000-0005-0000-0000-00004D630000}"/>
    <cellStyle name="Input 25 5" xfId="25631" xr:uid="{00000000-0005-0000-0000-00004E630000}"/>
    <cellStyle name="Input 25 5 2" xfId="25632" xr:uid="{00000000-0005-0000-0000-00004F630000}"/>
    <cellStyle name="Input 25 5 2 2" xfId="25633" xr:uid="{00000000-0005-0000-0000-000050630000}"/>
    <cellStyle name="Input 25 5 2 2 2" xfId="25634" xr:uid="{00000000-0005-0000-0000-000051630000}"/>
    <cellStyle name="Input 25 5 2 3" xfId="25635" xr:uid="{00000000-0005-0000-0000-000052630000}"/>
    <cellStyle name="Input 25 5 2 3 2" xfId="25636" xr:uid="{00000000-0005-0000-0000-000053630000}"/>
    <cellStyle name="Input 25 5 2 4" xfId="25637" xr:uid="{00000000-0005-0000-0000-000054630000}"/>
    <cellStyle name="Input 25 5 2 5" xfId="25638" xr:uid="{00000000-0005-0000-0000-000055630000}"/>
    <cellStyle name="Input 25 5 2 6" xfId="25639" xr:uid="{00000000-0005-0000-0000-000056630000}"/>
    <cellStyle name="Input 25 5 3" xfId="25640" xr:uid="{00000000-0005-0000-0000-000057630000}"/>
    <cellStyle name="Input 25 5 3 2" xfId="25641" xr:uid="{00000000-0005-0000-0000-000058630000}"/>
    <cellStyle name="Input 25 5 4" xfId="25642" xr:uid="{00000000-0005-0000-0000-000059630000}"/>
    <cellStyle name="Input 25 5 4 2" xfId="25643" xr:uid="{00000000-0005-0000-0000-00005A630000}"/>
    <cellStyle name="Input 25 5 5" xfId="25644" xr:uid="{00000000-0005-0000-0000-00005B630000}"/>
    <cellStyle name="Input 25 5 6" xfId="25645" xr:uid="{00000000-0005-0000-0000-00005C630000}"/>
    <cellStyle name="Input 25 5 7" xfId="25646" xr:uid="{00000000-0005-0000-0000-00005D630000}"/>
    <cellStyle name="Input 25 6" xfId="25647" xr:uid="{00000000-0005-0000-0000-00005E630000}"/>
    <cellStyle name="Input 25 6 2" xfId="25648" xr:uid="{00000000-0005-0000-0000-00005F630000}"/>
    <cellStyle name="Input 25 6 2 2" xfId="25649" xr:uid="{00000000-0005-0000-0000-000060630000}"/>
    <cellStyle name="Input 25 6 3" xfId="25650" xr:uid="{00000000-0005-0000-0000-000061630000}"/>
    <cellStyle name="Input 25 6 3 2" xfId="25651" xr:uid="{00000000-0005-0000-0000-000062630000}"/>
    <cellStyle name="Input 25 6 4" xfId="25652" xr:uid="{00000000-0005-0000-0000-000063630000}"/>
    <cellStyle name="Input 25 6 5" xfId="25653" xr:uid="{00000000-0005-0000-0000-000064630000}"/>
    <cellStyle name="Input 25 6 6" xfId="25654" xr:uid="{00000000-0005-0000-0000-000065630000}"/>
    <cellStyle name="Input 25 7" xfId="25655" xr:uid="{00000000-0005-0000-0000-000066630000}"/>
    <cellStyle name="Input 25 7 2" xfId="25656" xr:uid="{00000000-0005-0000-0000-000067630000}"/>
    <cellStyle name="Input 25 8" xfId="25657" xr:uid="{00000000-0005-0000-0000-000068630000}"/>
    <cellStyle name="Input 25 8 2" xfId="25658" xr:uid="{00000000-0005-0000-0000-000069630000}"/>
    <cellStyle name="Input 25 9" xfId="25659" xr:uid="{00000000-0005-0000-0000-00006A630000}"/>
    <cellStyle name="Input 26" xfId="25660" xr:uid="{00000000-0005-0000-0000-00006B630000}"/>
    <cellStyle name="Input 26 10" xfId="25661" xr:uid="{00000000-0005-0000-0000-00006C630000}"/>
    <cellStyle name="Input 26 11" xfId="25662" xr:uid="{00000000-0005-0000-0000-00006D630000}"/>
    <cellStyle name="Input 26 2" xfId="25663" xr:uid="{00000000-0005-0000-0000-00006E630000}"/>
    <cellStyle name="Input 26 2 10" xfId="25664" xr:uid="{00000000-0005-0000-0000-00006F630000}"/>
    <cellStyle name="Input 26 2 2" xfId="25665" xr:uid="{00000000-0005-0000-0000-000070630000}"/>
    <cellStyle name="Input 26 2 2 10" xfId="25666" xr:uid="{00000000-0005-0000-0000-000071630000}"/>
    <cellStyle name="Input 26 2 2 2" xfId="25667" xr:uid="{00000000-0005-0000-0000-000072630000}"/>
    <cellStyle name="Input 26 2 2 2 2" xfId="25668" xr:uid="{00000000-0005-0000-0000-000073630000}"/>
    <cellStyle name="Input 26 2 2 2 2 2" xfId="25669" xr:uid="{00000000-0005-0000-0000-000074630000}"/>
    <cellStyle name="Input 26 2 2 2 2 2 2" xfId="25670" xr:uid="{00000000-0005-0000-0000-000075630000}"/>
    <cellStyle name="Input 26 2 2 2 2 2 2 2" xfId="25671" xr:uid="{00000000-0005-0000-0000-000076630000}"/>
    <cellStyle name="Input 26 2 2 2 2 2 3" xfId="25672" xr:uid="{00000000-0005-0000-0000-000077630000}"/>
    <cellStyle name="Input 26 2 2 2 2 2 3 2" xfId="25673" xr:uid="{00000000-0005-0000-0000-000078630000}"/>
    <cellStyle name="Input 26 2 2 2 2 2 4" xfId="25674" xr:uid="{00000000-0005-0000-0000-000079630000}"/>
    <cellStyle name="Input 26 2 2 2 2 2 5" xfId="25675" xr:uid="{00000000-0005-0000-0000-00007A630000}"/>
    <cellStyle name="Input 26 2 2 2 2 2 6" xfId="25676" xr:uid="{00000000-0005-0000-0000-00007B630000}"/>
    <cellStyle name="Input 26 2 2 2 2 3" xfId="25677" xr:uid="{00000000-0005-0000-0000-00007C630000}"/>
    <cellStyle name="Input 26 2 2 2 2 3 2" xfId="25678" xr:uid="{00000000-0005-0000-0000-00007D630000}"/>
    <cellStyle name="Input 26 2 2 2 2 4" xfId="25679" xr:uid="{00000000-0005-0000-0000-00007E630000}"/>
    <cellStyle name="Input 26 2 2 2 2 4 2" xfId="25680" xr:uid="{00000000-0005-0000-0000-00007F630000}"/>
    <cellStyle name="Input 26 2 2 2 2 5" xfId="25681" xr:uid="{00000000-0005-0000-0000-000080630000}"/>
    <cellStyle name="Input 26 2 2 2 2 6" xfId="25682" xr:uid="{00000000-0005-0000-0000-000081630000}"/>
    <cellStyle name="Input 26 2 2 2 2 7" xfId="25683" xr:uid="{00000000-0005-0000-0000-000082630000}"/>
    <cellStyle name="Input 26 2 2 2 3" xfId="25684" xr:uid="{00000000-0005-0000-0000-000083630000}"/>
    <cellStyle name="Input 26 2 2 2 3 2" xfId="25685" xr:uid="{00000000-0005-0000-0000-000084630000}"/>
    <cellStyle name="Input 26 2 2 2 3 2 2" xfId="25686" xr:uid="{00000000-0005-0000-0000-000085630000}"/>
    <cellStyle name="Input 26 2 2 2 3 3" xfId="25687" xr:uid="{00000000-0005-0000-0000-000086630000}"/>
    <cellStyle name="Input 26 2 2 2 3 3 2" xfId="25688" xr:uid="{00000000-0005-0000-0000-000087630000}"/>
    <cellStyle name="Input 26 2 2 2 3 4" xfId="25689" xr:uid="{00000000-0005-0000-0000-000088630000}"/>
    <cellStyle name="Input 26 2 2 2 3 5" xfId="25690" xr:uid="{00000000-0005-0000-0000-000089630000}"/>
    <cellStyle name="Input 26 2 2 2 3 6" xfId="25691" xr:uid="{00000000-0005-0000-0000-00008A630000}"/>
    <cellStyle name="Input 26 2 2 2 4" xfId="25692" xr:uid="{00000000-0005-0000-0000-00008B630000}"/>
    <cellStyle name="Input 26 2 2 2 4 2" xfId="25693" xr:uid="{00000000-0005-0000-0000-00008C630000}"/>
    <cellStyle name="Input 26 2 2 2 5" xfId="25694" xr:uid="{00000000-0005-0000-0000-00008D630000}"/>
    <cellStyle name="Input 26 2 2 2 5 2" xfId="25695" xr:uid="{00000000-0005-0000-0000-00008E630000}"/>
    <cellStyle name="Input 26 2 2 2 6" xfId="25696" xr:uid="{00000000-0005-0000-0000-00008F630000}"/>
    <cellStyle name="Input 26 2 2 2 7" xfId="25697" xr:uid="{00000000-0005-0000-0000-000090630000}"/>
    <cellStyle name="Input 26 2 2 2 8" xfId="25698" xr:uid="{00000000-0005-0000-0000-000091630000}"/>
    <cellStyle name="Input 26 2 2 3" xfId="25699" xr:uid="{00000000-0005-0000-0000-000092630000}"/>
    <cellStyle name="Input 26 2 2 3 2" xfId="25700" xr:uid="{00000000-0005-0000-0000-000093630000}"/>
    <cellStyle name="Input 26 2 2 3 2 2" xfId="25701" xr:uid="{00000000-0005-0000-0000-000094630000}"/>
    <cellStyle name="Input 26 2 2 3 2 2 2" xfId="25702" xr:uid="{00000000-0005-0000-0000-000095630000}"/>
    <cellStyle name="Input 26 2 2 3 2 2 2 2" xfId="25703" xr:uid="{00000000-0005-0000-0000-000096630000}"/>
    <cellStyle name="Input 26 2 2 3 2 2 3" xfId="25704" xr:uid="{00000000-0005-0000-0000-000097630000}"/>
    <cellStyle name="Input 26 2 2 3 2 2 3 2" xfId="25705" xr:uid="{00000000-0005-0000-0000-000098630000}"/>
    <cellStyle name="Input 26 2 2 3 2 2 4" xfId="25706" xr:uid="{00000000-0005-0000-0000-000099630000}"/>
    <cellStyle name="Input 26 2 2 3 2 2 5" xfId="25707" xr:uid="{00000000-0005-0000-0000-00009A630000}"/>
    <cellStyle name="Input 26 2 2 3 2 2 6" xfId="25708" xr:uid="{00000000-0005-0000-0000-00009B630000}"/>
    <cellStyle name="Input 26 2 2 3 2 3" xfId="25709" xr:uid="{00000000-0005-0000-0000-00009C630000}"/>
    <cellStyle name="Input 26 2 2 3 2 3 2" xfId="25710" xr:uid="{00000000-0005-0000-0000-00009D630000}"/>
    <cellStyle name="Input 26 2 2 3 2 4" xfId="25711" xr:uid="{00000000-0005-0000-0000-00009E630000}"/>
    <cellStyle name="Input 26 2 2 3 2 4 2" xfId="25712" xr:uid="{00000000-0005-0000-0000-00009F630000}"/>
    <cellStyle name="Input 26 2 2 3 2 5" xfId="25713" xr:uid="{00000000-0005-0000-0000-0000A0630000}"/>
    <cellStyle name="Input 26 2 2 3 2 6" xfId="25714" xr:uid="{00000000-0005-0000-0000-0000A1630000}"/>
    <cellStyle name="Input 26 2 2 3 2 7" xfId="25715" xr:uid="{00000000-0005-0000-0000-0000A2630000}"/>
    <cellStyle name="Input 26 2 2 3 3" xfId="25716" xr:uid="{00000000-0005-0000-0000-0000A3630000}"/>
    <cellStyle name="Input 26 2 2 3 3 2" xfId="25717" xr:uid="{00000000-0005-0000-0000-0000A4630000}"/>
    <cellStyle name="Input 26 2 2 3 3 2 2" xfId="25718" xr:uid="{00000000-0005-0000-0000-0000A5630000}"/>
    <cellStyle name="Input 26 2 2 3 3 3" xfId="25719" xr:uid="{00000000-0005-0000-0000-0000A6630000}"/>
    <cellStyle name="Input 26 2 2 3 3 3 2" xfId="25720" xr:uid="{00000000-0005-0000-0000-0000A7630000}"/>
    <cellStyle name="Input 26 2 2 3 3 4" xfId="25721" xr:uid="{00000000-0005-0000-0000-0000A8630000}"/>
    <cellStyle name="Input 26 2 2 3 3 5" xfId="25722" xr:uid="{00000000-0005-0000-0000-0000A9630000}"/>
    <cellStyle name="Input 26 2 2 3 3 6" xfId="25723" xr:uid="{00000000-0005-0000-0000-0000AA630000}"/>
    <cellStyle name="Input 26 2 2 3 4" xfId="25724" xr:uid="{00000000-0005-0000-0000-0000AB630000}"/>
    <cellStyle name="Input 26 2 2 3 4 2" xfId="25725" xr:uid="{00000000-0005-0000-0000-0000AC630000}"/>
    <cellStyle name="Input 26 2 2 3 5" xfId="25726" xr:uid="{00000000-0005-0000-0000-0000AD630000}"/>
    <cellStyle name="Input 26 2 2 3 5 2" xfId="25727" xr:uid="{00000000-0005-0000-0000-0000AE630000}"/>
    <cellStyle name="Input 26 2 2 3 6" xfId="25728" xr:uid="{00000000-0005-0000-0000-0000AF630000}"/>
    <cellStyle name="Input 26 2 2 3 7" xfId="25729" xr:uid="{00000000-0005-0000-0000-0000B0630000}"/>
    <cellStyle name="Input 26 2 2 3 8" xfId="25730" xr:uid="{00000000-0005-0000-0000-0000B1630000}"/>
    <cellStyle name="Input 26 2 2 4" xfId="25731" xr:uid="{00000000-0005-0000-0000-0000B2630000}"/>
    <cellStyle name="Input 26 2 2 4 2" xfId="25732" xr:uid="{00000000-0005-0000-0000-0000B3630000}"/>
    <cellStyle name="Input 26 2 2 4 2 2" xfId="25733" xr:uid="{00000000-0005-0000-0000-0000B4630000}"/>
    <cellStyle name="Input 26 2 2 4 2 2 2" xfId="25734" xr:uid="{00000000-0005-0000-0000-0000B5630000}"/>
    <cellStyle name="Input 26 2 2 4 2 3" xfId="25735" xr:uid="{00000000-0005-0000-0000-0000B6630000}"/>
    <cellStyle name="Input 26 2 2 4 2 3 2" xfId="25736" xr:uid="{00000000-0005-0000-0000-0000B7630000}"/>
    <cellStyle name="Input 26 2 2 4 2 4" xfId="25737" xr:uid="{00000000-0005-0000-0000-0000B8630000}"/>
    <cellStyle name="Input 26 2 2 4 2 5" xfId="25738" xr:uid="{00000000-0005-0000-0000-0000B9630000}"/>
    <cellStyle name="Input 26 2 2 4 2 6" xfId="25739" xr:uid="{00000000-0005-0000-0000-0000BA630000}"/>
    <cellStyle name="Input 26 2 2 4 3" xfId="25740" xr:uid="{00000000-0005-0000-0000-0000BB630000}"/>
    <cellStyle name="Input 26 2 2 4 3 2" xfId="25741" xr:uid="{00000000-0005-0000-0000-0000BC630000}"/>
    <cellStyle name="Input 26 2 2 4 4" xfId="25742" xr:uid="{00000000-0005-0000-0000-0000BD630000}"/>
    <cellStyle name="Input 26 2 2 4 4 2" xfId="25743" xr:uid="{00000000-0005-0000-0000-0000BE630000}"/>
    <cellStyle name="Input 26 2 2 4 5" xfId="25744" xr:uid="{00000000-0005-0000-0000-0000BF630000}"/>
    <cellStyle name="Input 26 2 2 4 6" xfId="25745" xr:uid="{00000000-0005-0000-0000-0000C0630000}"/>
    <cellStyle name="Input 26 2 2 4 7" xfId="25746" xr:uid="{00000000-0005-0000-0000-0000C1630000}"/>
    <cellStyle name="Input 26 2 2 5" xfId="25747" xr:uid="{00000000-0005-0000-0000-0000C2630000}"/>
    <cellStyle name="Input 26 2 2 5 2" xfId="25748" xr:uid="{00000000-0005-0000-0000-0000C3630000}"/>
    <cellStyle name="Input 26 2 2 5 2 2" xfId="25749" xr:uid="{00000000-0005-0000-0000-0000C4630000}"/>
    <cellStyle name="Input 26 2 2 5 3" xfId="25750" xr:uid="{00000000-0005-0000-0000-0000C5630000}"/>
    <cellStyle name="Input 26 2 2 5 3 2" xfId="25751" xr:uid="{00000000-0005-0000-0000-0000C6630000}"/>
    <cellStyle name="Input 26 2 2 5 4" xfId="25752" xr:uid="{00000000-0005-0000-0000-0000C7630000}"/>
    <cellStyle name="Input 26 2 2 5 5" xfId="25753" xr:uid="{00000000-0005-0000-0000-0000C8630000}"/>
    <cellStyle name="Input 26 2 2 5 6" xfId="25754" xr:uid="{00000000-0005-0000-0000-0000C9630000}"/>
    <cellStyle name="Input 26 2 2 6" xfId="25755" xr:uid="{00000000-0005-0000-0000-0000CA630000}"/>
    <cellStyle name="Input 26 2 2 6 2" xfId="25756" xr:uid="{00000000-0005-0000-0000-0000CB630000}"/>
    <cellStyle name="Input 26 2 2 7" xfId="25757" xr:uid="{00000000-0005-0000-0000-0000CC630000}"/>
    <cellStyle name="Input 26 2 2 7 2" xfId="25758" xr:uid="{00000000-0005-0000-0000-0000CD630000}"/>
    <cellStyle name="Input 26 2 2 8" xfId="25759" xr:uid="{00000000-0005-0000-0000-0000CE630000}"/>
    <cellStyle name="Input 26 2 2 9" xfId="25760" xr:uid="{00000000-0005-0000-0000-0000CF630000}"/>
    <cellStyle name="Input 26 2 3" xfId="25761" xr:uid="{00000000-0005-0000-0000-0000D0630000}"/>
    <cellStyle name="Input 26 2 3 2" xfId="25762" xr:uid="{00000000-0005-0000-0000-0000D1630000}"/>
    <cellStyle name="Input 26 2 3 2 2" xfId="25763" xr:uid="{00000000-0005-0000-0000-0000D2630000}"/>
    <cellStyle name="Input 26 2 3 2 2 2" xfId="25764" xr:uid="{00000000-0005-0000-0000-0000D3630000}"/>
    <cellStyle name="Input 26 2 3 2 2 2 2" xfId="25765" xr:uid="{00000000-0005-0000-0000-0000D4630000}"/>
    <cellStyle name="Input 26 2 3 2 2 3" xfId="25766" xr:uid="{00000000-0005-0000-0000-0000D5630000}"/>
    <cellStyle name="Input 26 2 3 2 2 3 2" xfId="25767" xr:uid="{00000000-0005-0000-0000-0000D6630000}"/>
    <cellStyle name="Input 26 2 3 2 2 4" xfId="25768" xr:uid="{00000000-0005-0000-0000-0000D7630000}"/>
    <cellStyle name="Input 26 2 3 2 2 5" xfId="25769" xr:uid="{00000000-0005-0000-0000-0000D8630000}"/>
    <cellStyle name="Input 26 2 3 2 2 6" xfId="25770" xr:uid="{00000000-0005-0000-0000-0000D9630000}"/>
    <cellStyle name="Input 26 2 3 2 3" xfId="25771" xr:uid="{00000000-0005-0000-0000-0000DA630000}"/>
    <cellStyle name="Input 26 2 3 2 3 2" xfId="25772" xr:uid="{00000000-0005-0000-0000-0000DB630000}"/>
    <cellStyle name="Input 26 2 3 2 4" xfId="25773" xr:uid="{00000000-0005-0000-0000-0000DC630000}"/>
    <cellStyle name="Input 26 2 3 2 4 2" xfId="25774" xr:uid="{00000000-0005-0000-0000-0000DD630000}"/>
    <cellStyle name="Input 26 2 3 2 5" xfId="25775" xr:uid="{00000000-0005-0000-0000-0000DE630000}"/>
    <cellStyle name="Input 26 2 3 2 6" xfId="25776" xr:uid="{00000000-0005-0000-0000-0000DF630000}"/>
    <cellStyle name="Input 26 2 3 2 7" xfId="25777" xr:uid="{00000000-0005-0000-0000-0000E0630000}"/>
    <cellStyle name="Input 26 2 3 3" xfId="25778" xr:uid="{00000000-0005-0000-0000-0000E1630000}"/>
    <cellStyle name="Input 26 2 3 3 2" xfId="25779" xr:uid="{00000000-0005-0000-0000-0000E2630000}"/>
    <cellStyle name="Input 26 2 3 3 2 2" xfId="25780" xr:uid="{00000000-0005-0000-0000-0000E3630000}"/>
    <cellStyle name="Input 26 2 3 3 3" xfId="25781" xr:uid="{00000000-0005-0000-0000-0000E4630000}"/>
    <cellStyle name="Input 26 2 3 3 3 2" xfId="25782" xr:uid="{00000000-0005-0000-0000-0000E5630000}"/>
    <cellStyle name="Input 26 2 3 3 4" xfId="25783" xr:uid="{00000000-0005-0000-0000-0000E6630000}"/>
    <cellStyle name="Input 26 2 3 3 5" xfId="25784" xr:uid="{00000000-0005-0000-0000-0000E7630000}"/>
    <cellStyle name="Input 26 2 3 3 6" xfId="25785" xr:uid="{00000000-0005-0000-0000-0000E8630000}"/>
    <cellStyle name="Input 26 2 3 4" xfId="25786" xr:uid="{00000000-0005-0000-0000-0000E9630000}"/>
    <cellStyle name="Input 26 2 3 4 2" xfId="25787" xr:uid="{00000000-0005-0000-0000-0000EA630000}"/>
    <cellStyle name="Input 26 2 3 5" xfId="25788" xr:uid="{00000000-0005-0000-0000-0000EB630000}"/>
    <cellStyle name="Input 26 2 3 5 2" xfId="25789" xr:uid="{00000000-0005-0000-0000-0000EC630000}"/>
    <cellStyle name="Input 26 2 3 6" xfId="25790" xr:uid="{00000000-0005-0000-0000-0000ED630000}"/>
    <cellStyle name="Input 26 2 3 7" xfId="25791" xr:uid="{00000000-0005-0000-0000-0000EE630000}"/>
    <cellStyle name="Input 26 2 3 8" xfId="25792" xr:uid="{00000000-0005-0000-0000-0000EF630000}"/>
    <cellStyle name="Input 26 2 4" xfId="25793" xr:uid="{00000000-0005-0000-0000-0000F0630000}"/>
    <cellStyle name="Input 26 2 4 2" xfId="25794" xr:uid="{00000000-0005-0000-0000-0000F1630000}"/>
    <cellStyle name="Input 26 2 4 2 2" xfId="25795" xr:uid="{00000000-0005-0000-0000-0000F2630000}"/>
    <cellStyle name="Input 26 2 4 2 2 2" xfId="25796" xr:uid="{00000000-0005-0000-0000-0000F3630000}"/>
    <cellStyle name="Input 26 2 4 2 3" xfId="25797" xr:uid="{00000000-0005-0000-0000-0000F4630000}"/>
    <cellStyle name="Input 26 2 4 2 3 2" xfId="25798" xr:uid="{00000000-0005-0000-0000-0000F5630000}"/>
    <cellStyle name="Input 26 2 4 2 4" xfId="25799" xr:uid="{00000000-0005-0000-0000-0000F6630000}"/>
    <cellStyle name="Input 26 2 4 2 5" xfId="25800" xr:uid="{00000000-0005-0000-0000-0000F7630000}"/>
    <cellStyle name="Input 26 2 4 2 6" xfId="25801" xr:uid="{00000000-0005-0000-0000-0000F8630000}"/>
    <cellStyle name="Input 26 2 4 3" xfId="25802" xr:uid="{00000000-0005-0000-0000-0000F9630000}"/>
    <cellStyle name="Input 26 2 4 3 2" xfId="25803" xr:uid="{00000000-0005-0000-0000-0000FA630000}"/>
    <cellStyle name="Input 26 2 4 4" xfId="25804" xr:uid="{00000000-0005-0000-0000-0000FB630000}"/>
    <cellStyle name="Input 26 2 4 4 2" xfId="25805" xr:uid="{00000000-0005-0000-0000-0000FC630000}"/>
    <cellStyle name="Input 26 2 4 5" xfId="25806" xr:uid="{00000000-0005-0000-0000-0000FD630000}"/>
    <cellStyle name="Input 26 2 4 6" xfId="25807" xr:uid="{00000000-0005-0000-0000-0000FE630000}"/>
    <cellStyle name="Input 26 2 4 7" xfId="25808" xr:uid="{00000000-0005-0000-0000-0000FF630000}"/>
    <cellStyle name="Input 26 2 5" xfId="25809" xr:uid="{00000000-0005-0000-0000-000000640000}"/>
    <cellStyle name="Input 26 2 5 2" xfId="25810" xr:uid="{00000000-0005-0000-0000-000001640000}"/>
    <cellStyle name="Input 26 2 5 2 2" xfId="25811" xr:uid="{00000000-0005-0000-0000-000002640000}"/>
    <cellStyle name="Input 26 2 5 3" xfId="25812" xr:uid="{00000000-0005-0000-0000-000003640000}"/>
    <cellStyle name="Input 26 2 5 3 2" xfId="25813" xr:uid="{00000000-0005-0000-0000-000004640000}"/>
    <cellStyle name="Input 26 2 5 4" xfId="25814" xr:uid="{00000000-0005-0000-0000-000005640000}"/>
    <cellStyle name="Input 26 2 5 5" xfId="25815" xr:uid="{00000000-0005-0000-0000-000006640000}"/>
    <cellStyle name="Input 26 2 5 6" xfId="25816" xr:uid="{00000000-0005-0000-0000-000007640000}"/>
    <cellStyle name="Input 26 2 6" xfId="25817" xr:uid="{00000000-0005-0000-0000-000008640000}"/>
    <cellStyle name="Input 26 2 6 2" xfId="25818" xr:uid="{00000000-0005-0000-0000-000009640000}"/>
    <cellStyle name="Input 26 2 7" xfId="25819" xr:uid="{00000000-0005-0000-0000-00000A640000}"/>
    <cellStyle name="Input 26 2 7 2" xfId="25820" xr:uid="{00000000-0005-0000-0000-00000B640000}"/>
    <cellStyle name="Input 26 2 8" xfId="25821" xr:uid="{00000000-0005-0000-0000-00000C640000}"/>
    <cellStyle name="Input 26 2 9" xfId="25822" xr:uid="{00000000-0005-0000-0000-00000D640000}"/>
    <cellStyle name="Input 26 3" xfId="25823" xr:uid="{00000000-0005-0000-0000-00000E640000}"/>
    <cellStyle name="Input 26 3 10" xfId="25824" xr:uid="{00000000-0005-0000-0000-00000F640000}"/>
    <cellStyle name="Input 26 3 2" xfId="25825" xr:uid="{00000000-0005-0000-0000-000010640000}"/>
    <cellStyle name="Input 26 3 2 2" xfId="25826" xr:uid="{00000000-0005-0000-0000-000011640000}"/>
    <cellStyle name="Input 26 3 2 2 2" xfId="25827" xr:uid="{00000000-0005-0000-0000-000012640000}"/>
    <cellStyle name="Input 26 3 2 2 2 2" xfId="25828" xr:uid="{00000000-0005-0000-0000-000013640000}"/>
    <cellStyle name="Input 26 3 2 2 2 2 2" xfId="25829" xr:uid="{00000000-0005-0000-0000-000014640000}"/>
    <cellStyle name="Input 26 3 2 2 2 3" xfId="25830" xr:uid="{00000000-0005-0000-0000-000015640000}"/>
    <cellStyle name="Input 26 3 2 2 2 3 2" xfId="25831" xr:uid="{00000000-0005-0000-0000-000016640000}"/>
    <cellStyle name="Input 26 3 2 2 2 4" xfId="25832" xr:uid="{00000000-0005-0000-0000-000017640000}"/>
    <cellStyle name="Input 26 3 2 2 2 5" xfId="25833" xr:uid="{00000000-0005-0000-0000-000018640000}"/>
    <cellStyle name="Input 26 3 2 2 2 6" xfId="25834" xr:uid="{00000000-0005-0000-0000-000019640000}"/>
    <cellStyle name="Input 26 3 2 2 3" xfId="25835" xr:uid="{00000000-0005-0000-0000-00001A640000}"/>
    <cellStyle name="Input 26 3 2 2 3 2" xfId="25836" xr:uid="{00000000-0005-0000-0000-00001B640000}"/>
    <cellStyle name="Input 26 3 2 2 4" xfId="25837" xr:uid="{00000000-0005-0000-0000-00001C640000}"/>
    <cellStyle name="Input 26 3 2 2 4 2" xfId="25838" xr:uid="{00000000-0005-0000-0000-00001D640000}"/>
    <cellStyle name="Input 26 3 2 2 5" xfId="25839" xr:uid="{00000000-0005-0000-0000-00001E640000}"/>
    <cellStyle name="Input 26 3 2 2 6" xfId="25840" xr:uid="{00000000-0005-0000-0000-00001F640000}"/>
    <cellStyle name="Input 26 3 2 2 7" xfId="25841" xr:uid="{00000000-0005-0000-0000-000020640000}"/>
    <cellStyle name="Input 26 3 2 3" xfId="25842" xr:uid="{00000000-0005-0000-0000-000021640000}"/>
    <cellStyle name="Input 26 3 2 3 2" xfId="25843" xr:uid="{00000000-0005-0000-0000-000022640000}"/>
    <cellStyle name="Input 26 3 2 3 2 2" xfId="25844" xr:uid="{00000000-0005-0000-0000-000023640000}"/>
    <cellStyle name="Input 26 3 2 3 3" xfId="25845" xr:uid="{00000000-0005-0000-0000-000024640000}"/>
    <cellStyle name="Input 26 3 2 3 3 2" xfId="25846" xr:uid="{00000000-0005-0000-0000-000025640000}"/>
    <cellStyle name="Input 26 3 2 3 4" xfId="25847" xr:uid="{00000000-0005-0000-0000-000026640000}"/>
    <cellStyle name="Input 26 3 2 3 5" xfId="25848" xr:uid="{00000000-0005-0000-0000-000027640000}"/>
    <cellStyle name="Input 26 3 2 3 6" xfId="25849" xr:uid="{00000000-0005-0000-0000-000028640000}"/>
    <cellStyle name="Input 26 3 2 4" xfId="25850" xr:uid="{00000000-0005-0000-0000-000029640000}"/>
    <cellStyle name="Input 26 3 2 4 2" xfId="25851" xr:uid="{00000000-0005-0000-0000-00002A640000}"/>
    <cellStyle name="Input 26 3 2 5" xfId="25852" xr:uid="{00000000-0005-0000-0000-00002B640000}"/>
    <cellStyle name="Input 26 3 2 5 2" xfId="25853" xr:uid="{00000000-0005-0000-0000-00002C640000}"/>
    <cellStyle name="Input 26 3 2 6" xfId="25854" xr:uid="{00000000-0005-0000-0000-00002D640000}"/>
    <cellStyle name="Input 26 3 2 7" xfId="25855" xr:uid="{00000000-0005-0000-0000-00002E640000}"/>
    <cellStyle name="Input 26 3 2 8" xfId="25856" xr:uid="{00000000-0005-0000-0000-00002F640000}"/>
    <cellStyle name="Input 26 3 3" xfId="25857" xr:uid="{00000000-0005-0000-0000-000030640000}"/>
    <cellStyle name="Input 26 3 3 2" xfId="25858" xr:uid="{00000000-0005-0000-0000-000031640000}"/>
    <cellStyle name="Input 26 3 3 2 2" xfId="25859" xr:uid="{00000000-0005-0000-0000-000032640000}"/>
    <cellStyle name="Input 26 3 3 2 2 2" xfId="25860" xr:uid="{00000000-0005-0000-0000-000033640000}"/>
    <cellStyle name="Input 26 3 3 2 2 2 2" xfId="25861" xr:uid="{00000000-0005-0000-0000-000034640000}"/>
    <cellStyle name="Input 26 3 3 2 2 3" xfId="25862" xr:uid="{00000000-0005-0000-0000-000035640000}"/>
    <cellStyle name="Input 26 3 3 2 2 3 2" xfId="25863" xr:uid="{00000000-0005-0000-0000-000036640000}"/>
    <cellStyle name="Input 26 3 3 2 2 4" xfId="25864" xr:uid="{00000000-0005-0000-0000-000037640000}"/>
    <cellStyle name="Input 26 3 3 2 2 5" xfId="25865" xr:uid="{00000000-0005-0000-0000-000038640000}"/>
    <cellStyle name="Input 26 3 3 2 2 6" xfId="25866" xr:uid="{00000000-0005-0000-0000-000039640000}"/>
    <cellStyle name="Input 26 3 3 2 3" xfId="25867" xr:uid="{00000000-0005-0000-0000-00003A640000}"/>
    <cellStyle name="Input 26 3 3 2 3 2" xfId="25868" xr:uid="{00000000-0005-0000-0000-00003B640000}"/>
    <cellStyle name="Input 26 3 3 2 4" xfId="25869" xr:uid="{00000000-0005-0000-0000-00003C640000}"/>
    <cellStyle name="Input 26 3 3 2 4 2" xfId="25870" xr:uid="{00000000-0005-0000-0000-00003D640000}"/>
    <cellStyle name="Input 26 3 3 2 5" xfId="25871" xr:uid="{00000000-0005-0000-0000-00003E640000}"/>
    <cellStyle name="Input 26 3 3 2 6" xfId="25872" xr:uid="{00000000-0005-0000-0000-00003F640000}"/>
    <cellStyle name="Input 26 3 3 2 7" xfId="25873" xr:uid="{00000000-0005-0000-0000-000040640000}"/>
    <cellStyle name="Input 26 3 3 3" xfId="25874" xr:uid="{00000000-0005-0000-0000-000041640000}"/>
    <cellStyle name="Input 26 3 3 3 2" xfId="25875" xr:uid="{00000000-0005-0000-0000-000042640000}"/>
    <cellStyle name="Input 26 3 3 3 2 2" xfId="25876" xr:uid="{00000000-0005-0000-0000-000043640000}"/>
    <cellStyle name="Input 26 3 3 3 3" xfId="25877" xr:uid="{00000000-0005-0000-0000-000044640000}"/>
    <cellStyle name="Input 26 3 3 3 3 2" xfId="25878" xr:uid="{00000000-0005-0000-0000-000045640000}"/>
    <cellStyle name="Input 26 3 3 3 4" xfId="25879" xr:uid="{00000000-0005-0000-0000-000046640000}"/>
    <cellStyle name="Input 26 3 3 3 5" xfId="25880" xr:uid="{00000000-0005-0000-0000-000047640000}"/>
    <cellStyle name="Input 26 3 3 3 6" xfId="25881" xr:uid="{00000000-0005-0000-0000-000048640000}"/>
    <cellStyle name="Input 26 3 3 4" xfId="25882" xr:uid="{00000000-0005-0000-0000-000049640000}"/>
    <cellStyle name="Input 26 3 3 4 2" xfId="25883" xr:uid="{00000000-0005-0000-0000-00004A640000}"/>
    <cellStyle name="Input 26 3 3 5" xfId="25884" xr:uid="{00000000-0005-0000-0000-00004B640000}"/>
    <cellStyle name="Input 26 3 3 5 2" xfId="25885" xr:uid="{00000000-0005-0000-0000-00004C640000}"/>
    <cellStyle name="Input 26 3 3 6" xfId="25886" xr:uid="{00000000-0005-0000-0000-00004D640000}"/>
    <cellStyle name="Input 26 3 3 7" xfId="25887" xr:uid="{00000000-0005-0000-0000-00004E640000}"/>
    <cellStyle name="Input 26 3 3 8" xfId="25888" xr:uid="{00000000-0005-0000-0000-00004F640000}"/>
    <cellStyle name="Input 26 3 4" xfId="25889" xr:uid="{00000000-0005-0000-0000-000050640000}"/>
    <cellStyle name="Input 26 3 4 2" xfId="25890" xr:uid="{00000000-0005-0000-0000-000051640000}"/>
    <cellStyle name="Input 26 3 4 2 2" xfId="25891" xr:uid="{00000000-0005-0000-0000-000052640000}"/>
    <cellStyle name="Input 26 3 4 2 2 2" xfId="25892" xr:uid="{00000000-0005-0000-0000-000053640000}"/>
    <cellStyle name="Input 26 3 4 2 3" xfId="25893" xr:uid="{00000000-0005-0000-0000-000054640000}"/>
    <cellStyle name="Input 26 3 4 2 3 2" xfId="25894" xr:uid="{00000000-0005-0000-0000-000055640000}"/>
    <cellStyle name="Input 26 3 4 2 4" xfId="25895" xr:uid="{00000000-0005-0000-0000-000056640000}"/>
    <cellStyle name="Input 26 3 4 2 5" xfId="25896" xr:uid="{00000000-0005-0000-0000-000057640000}"/>
    <cellStyle name="Input 26 3 4 2 6" xfId="25897" xr:uid="{00000000-0005-0000-0000-000058640000}"/>
    <cellStyle name="Input 26 3 4 3" xfId="25898" xr:uid="{00000000-0005-0000-0000-000059640000}"/>
    <cellStyle name="Input 26 3 4 3 2" xfId="25899" xr:uid="{00000000-0005-0000-0000-00005A640000}"/>
    <cellStyle name="Input 26 3 4 4" xfId="25900" xr:uid="{00000000-0005-0000-0000-00005B640000}"/>
    <cellStyle name="Input 26 3 4 4 2" xfId="25901" xr:uid="{00000000-0005-0000-0000-00005C640000}"/>
    <cellStyle name="Input 26 3 4 5" xfId="25902" xr:uid="{00000000-0005-0000-0000-00005D640000}"/>
    <cellStyle name="Input 26 3 4 6" xfId="25903" xr:uid="{00000000-0005-0000-0000-00005E640000}"/>
    <cellStyle name="Input 26 3 4 7" xfId="25904" xr:uid="{00000000-0005-0000-0000-00005F640000}"/>
    <cellStyle name="Input 26 3 5" xfId="25905" xr:uid="{00000000-0005-0000-0000-000060640000}"/>
    <cellStyle name="Input 26 3 5 2" xfId="25906" xr:uid="{00000000-0005-0000-0000-000061640000}"/>
    <cellStyle name="Input 26 3 5 2 2" xfId="25907" xr:uid="{00000000-0005-0000-0000-000062640000}"/>
    <cellStyle name="Input 26 3 5 3" xfId="25908" xr:uid="{00000000-0005-0000-0000-000063640000}"/>
    <cellStyle name="Input 26 3 5 3 2" xfId="25909" xr:uid="{00000000-0005-0000-0000-000064640000}"/>
    <cellStyle name="Input 26 3 5 4" xfId="25910" xr:uid="{00000000-0005-0000-0000-000065640000}"/>
    <cellStyle name="Input 26 3 5 5" xfId="25911" xr:uid="{00000000-0005-0000-0000-000066640000}"/>
    <cellStyle name="Input 26 3 5 6" xfId="25912" xr:uid="{00000000-0005-0000-0000-000067640000}"/>
    <cellStyle name="Input 26 3 6" xfId="25913" xr:uid="{00000000-0005-0000-0000-000068640000}"/>
    <cellStyle name="Input 26 3 6 2" xfId="25914" xr:uid="{00000000-0005-0000-0000-000069640000}"/>
    <cellStyle name="Input 26 3 7" xfId="25915" xr:uid="{00000000-0005-0000-0000-00006A640000}"/>
    <cellStyle name="Input 26 3 7 2" xfId="25916" xr:uid="{00000000-0005-0000-0000-00006B640000}"/>
    <cellStyle name="Input 26 3 8" xfId="25917" xr:uid="{00000000-0005-0000-0000-00006C640000}"/>
    <cellStyle name="Input 26 3 9" xfId="25918" xr:uid="{00000000-0005-0000-0000-00006D640000}"/>
    <cellStyle name="Input 26 4" xfId="25919" xr:uid="{00000000-0005-0000-0000-00006E640000}"/>
    <cellStyle name="Input 26 4 2" xfId="25920" xr:uid="{00000000-0005-0000-0000-00006F640000}"/>
    <cellStyle name="Input 26 4 2 2" xfId="25921" xr:uid="{00000000-0005-0000-0000-000070640000}"/>
    <cellStyle name="Input 26 4 2 2 2" xfId="25922" xr:uid="{00000000-0005-0000-0000-000071640000}"/>
    <cellStyle name="Input 26 4 2 2 2 2" xfId="25923" xr:uid="{00000000-0005-0000-0000-000072640000}"/>
    <cellStyle name="Input 26 4 2 2 3" xfId="25924" xr:uid="{00000000-0005-0000-0000-000073640000}"/>
    <cellStyle name="Input 26 4 2 2 3 2" xfId="25925" xr:uid="{00000000-0005-0000-0000-000074640000}"/>
    <cellStyle name="Input 26 4 2 2 4" xfId="25926" xr:uid="{00000000-0005-0000-0000-000075640000}"/>
    <cellStyle name="Input 26 4 2 2 5" xfId="25927" xr:uid="{00000000-0005-0000-0000-000076640000}"/>
    <cellStyle name="Input 26 4 2 2 6" xfId="25928" xr:uid="{00000000-0005-0000-0000-000077640000}"/>
    <cellStyle name="Input 26 4 2 3" xfId="25929" xr:uid="{00000000-0005-0000-0000-000078640000}"/>
    <cellStyle name="Input 26 4 2 3 2" xfId="25930" xr:uid="{00000000-0005-0000-0000-000079640000}"/>
    <cellStyle name="Input 26 4 2 4" xfId="25931" xr:uid="{00000000-0005-0000-0000-00007A640000}"/>
    <cellStyle name="Input 26 4 2 4 2" xfId="25932" xr:uid="{00000000-0005-0000-0000-00007B640000}"/>
    <cellStyle name="Input 26 4 2 5" xfId="25933" xr:uid="{00000000-0005-0000-0000-00007C640000}"/>
    <cellStyle name="Input 26 4 2 6" xfId="25934" xr:uid="{00000000-0005-0000-0000-00007D640000}"/>
    <cellStyle name="Input 26 4 2 7" xfId="25935" xr:uid="{00000000-0005-0000-0000-00007E640000}"/>
    <cellStyle name="Input 26 4 3" xfId="25936" xr:uid="{00000000-0005-0000-0000-00007F640000}"/>
    <cellStyle name="Input 26 4 3 2" xfId="25937" xr:uid="{00000000-0005-0000-0000-000080640000}"/>
    <cellStyle name="Input 26 4 3 2 2" xfId="25938" xr:uid="{00000000-0005-0000-0000-000081640000}"/>
    <cellStyle name="Input 26 4 3 3" xfId="25939" xr:uid="{00000000-0005-0000-0000-000082640000}"/>
    <cellStyle name="Input 26 4 3 3 2" xfId="25940" xr:uid="{00000000-0005-0000-0000-000083640000}"/>
    <cellStyle name="Input 26 4 3 4" xfId="25941" xr:uid="{00000000-0005-0000-0000-000084640000}"/>
    <cellStyle name="Input 26 4 3 5" xfId="25942" xr:uid="{00000000-0005-0000-0000-000085640000}"/>
    <cellStyle name="Input 26 4 3 6" xfId="25943" xr:uid="{00000000-0005-0000-0000-000086640000}"/>
    <cellStyle name="Input 26 4 4" xfId="25944" xr:uid="{00000000-0005-0000-0000-000087640000}"/>
    <cellStyle name="Input 26 4 4 2" xfId="25945" xr:uid="{00000000-0005-0000-0000-000088640000}"/>
    <cellStyle name="Input 26 4 5" xfId="25946" xr:uid="{00000000-0005-0000-0000-000089640000}"/>
    <cellStyle name="Input 26 4 5 2" xfId="25947" xr:uid="{00000000-0005-0000-0000-00008A640000}"/>
    <cellStyle name="Input 26 4 6" xfId="25948" xr:uid="{00000000-0005-0000-0000-00008B640000}"/>
    <cellStyle name="Input 26 4 7" xfId="25949" xr:uid="{00000000-0005-0000-0000-00008C640000}"/>
    <cellStyle name="Input 26 4 8" xfId="25950" xr:uid="{00000000-0005-0000-0000-00008D640000}"/>
    <cellStyle name="Input 26 5" xfId="25951" xr:uid="{00000000-0005-0000-0000-00008E640000}"/>
    <cellStyle name="Input 26 5 2" xfId="25952" xr:uid="{00000000-0005-0000-0000-00008F640000}"/>
    <cellStyle name="Input 26 5 2 2" xfId="25953" xr:uid="{00000000-0005-0000-0000-000090640000}"/>
    <cellStyle name="Input 26 5 2 2 2" xfId="25954" xr:uid="{00000000-0005-0000-0000-000091640000}"/>
    <cellStyle name="Input 26 5 2 3" xfId="25955" xr:uid="{00000000-0005-0000-0000-000092640000}"/>
    <cellStyle name="Input 26 5 2 3 2" xfId="25956" xr:uid="{00000000-0005-0000-0000-000093640000}"/>
    <cellStyle name="Input 26 5 2 4" xfId="25957" xr:uid="{00000000-0005-0000-0000-000094640000}"/>
    <cellStyle name="Input 26 5 2 5" xfId="25958" xr:uid="{00000000-0005-0000-0000-000095640000}"/>
    <cellStyle name="Input 26 5 2 6" xfId="25959" xr:uid="{00000000-0005-0000-0000-000096640000}"/>
    <cellStyle name="Input 26 5 3" xfId="25960" xr:uid="{00000000-0005-0000-0000-000097640000}"/>
    <cellStyle name="Input 26 5 3 2" xfId="25961" xr:uid="{00000000-0005-0000-0000-000098640000}"/>
    <cellStyle name="Input 26 5 4" xfId="25962" xr:uid="{00000000-0005-0000-0000-000099640000}"/>
    <cellStyle name="Input 26 5 4 2" xfId="25963" xr:uid="{00000000-0005-0000-0000-00009A640000}"/>
    <cellStyle name="Input 26 5 5" xfId="25964" xr:uid="{00000000-0005-0000-0000-00009B640000}"/>
    <cellStyle name="Input 26 5 6" xfId="25965" xr:uid="{00000000-0005-0000-0000-00009C640000}"/>
    <cellStyle name="Input 26 5 7" xfId="25966" xr:uid="{00000000-0005-0000-0000-00009D640000}"/>
    <cellStyle name="Input 26 6" xfId="25967" xr:uid="{00000000-0005-0000-0000-00009E640000}"/>
    <cellStyle name="Input 26 6 2" xfId="25968" xr:uid="{00000000-0005-0000-0000-00009F640000}"/>
    <cellStyle name="Input 26 6 2 2" xfId="25969" xr:uid="{00000000-0005-0000-0000-0000A0640000}"/>
    <cellStyle name="Input 26 6 3" xfId="25970" xr:uid="{00000000-0005-0000-0000-0000A1640000}"/>
    <cellStyle name="Input 26 6 3 2" xfId="25971" xr:uid="{00000000-0005-0000-0000-0000A2640000}"/>
    <cellStyle name="Input 26 6 4" xfId="25972" xr:uid="{00000000-0005-0000-0000-0000A3640000}"/>
    <cellStyle name="Input 26 6 5" xfId="25973" xr:uid="{00000000-0005-0000-0000-0000A4640000}"/>
    <cellStyle name="Input 26 6 6" xfId="25974" xr:uid="{00000000-0005-0000-0000-0000A5640000}"/>
    <cellStyle name="Input 26 7" xfId="25975" xr:uid="{00000000-0005-0000-0000-0000A6640000}"/>
    <cellStyle name="Input 26 7 2" xfId="25976" xr:uid="{00000000-0005-0000-0000-0000A7640000}"/>
    <cellStyle name="Input 26 8" xfId="25977" xr:uid="{00000000-0005-0000-0000-0000A8640000}"/>
    <cellStyle name="Input 26 8 2" xfId="25978" xr:uid="{00000000-0005-0000-0000-0000A9640000}"/>
    <cellStyle name="Input 26 9" xfId="25979" xr:uid="{00000000-0005-0000-0000-0000AA640000}"/>
    <cellStyle name="Input 27" xfId="25980" xr:uid="{00000000-0005-0000-0000-0000AB640000}"/>
    <cellStyle name="Input 27 10" xfId="25981" xr:uid="{00000000-0005-0000-0000-0000AC640000}"/>
    <cellStyle name="Input 27 11" xfId="25982" xr:uid="{00000000-0005-0000-0000-0000AD640000}"/>
    <cellStyle name="Input 27 2" xfId="25983" xr:uid="{00000000-0005-0000-0000-0000AE640000}"/>
    <cellStyle name="Input 27 2 10" xfId="25984" xr:uid="{00000000-0005-0000-0000-0000AF640000}"/>
    <cellStyle name="Input 27 2 2" xfId="25985" xr:uid="{00000000-0005-0000-0000-0000B0640000}"/>
    <cellStyle name="Input 27 2 2 10" xfId="25986" xr:uid="{00000000-0005-0000-0000-0000B1640000}"/>
    <cellStyle name="Input 27 2 2 2" xfId="25987" xr:uid="{00000000-0005-0000-0000-0000B2640000}"/>
    <cellStyle name="Input 27 2 2 2 2" xfId="25988" xr:uid="{00000000-0005-0000-0000-0000B3640000}"/>
    <cellStyle name="Input 27 2 2 2 2 2" xfId="25989" xr:uid="{00000000-0005-0000-0000-0000B4640000}"/>
    <cellStyle name="Input 27 2 2 2 2 2 2" xfId="25990" xr:uid="{00000000-0005-0000-0000-0000B5640000}"/>
    <cellStyle name="Input 27 2 2 2 2 2 2 2" xfId="25991" xr:uid="{00000000-0005-0000-0000-0000B6640000}"/>
    <cellStyle name="Input 27 2 2 2 2 2 3" xfId="25992" xr:uid="{00000000-0005-0000-0000-0000B7640000}"/>
    <cellStyle name="Input 27 2 2 2 2 2 3 2" xfId="25993" xr:uid="{00000000-0005-0000-0000-0000B8640000}"/>
    <cellStyle name="Input 27 2 2 2 2 2 4" xfId="25994" xr:uid="{00000000-0005-0000-0000-0000B9640000}"/>
    <cellStyle name="Input 27 2 2 2 2 2 5" xfId="25995" xr:uid="{00000000-0005-0000-0000-0000BA640000}"/>
    <cellStyle name="Input 27 2 2 2 2 2 6" xfId="25996" xr:uid="{00000000-0005-0000-0000-0000BB640000}"/>
    <cellStyle name="Input 27 2 2 2 2 3" xfId="25997" xr:uid="{00000000-0005-0000-0000-0000BC640000}"/>
    <cellStyle name="Input 27 2 2 2 2 3 2" xfId="25998" xr:uid="{00000000-0005-0000-0000-0000BD640000}"/>
    <cellStyle name="Input 27 2 2 2 2 4" xfId="25999" xr:uid="{00000000-0005-0000-0000-0000BE640000}"/>
    <cellStyle name="Input 27 2 2 2 2 4 2" xfId="26000" xr:uid="{00000000-0005-0000-0000-0000BF640000}"/>
    <cellStyle name="Input 27 2 2 2 2 5" xfId="26001" xr:uid="{00000000-0005-0000-0000-0000C0640000}"/>
    <cellStyle name="Input 27 2 2 2 2 6" xfId="26002" xr:uid="{00000000-0005-0000-0000-0000C1640000}"/>
    <cellStyle name="Input 27 2 2 2 2 7" xfId="26003" xr:uid="{00000000-0005-0000-0000-0000C2640000}"/>
    <cellStyle name="Input 27 2 2 2 3" xfId="26004" xr:uid="{00000000-0005-0000-0000-0000C3640000}"/>
    <cellStyle name="Input 27 2 2 2 3 2" xfId="26005" xr:uid="{00000000-0005-0000-0000-0000C4640000}"/>
    <cellStyle name="Input 27 2 2 2 3 2 2" xfId="26006" xr:uid="{00000000-0005-0000-0000-0000C5640000}"/>
    <cellStyle name="Input 27 2 2 2 3 3" xfId="26007" xr:uid="{00000000-0005-0000-0000-0000C6640000}"/>
    <cellStyle name="Input 27 2 2 2 3 3 2" xfId="26008" xr:uid="{00000000-0005-0000-0000-0000C7640000}"/>
    <cellStyle name="Input 27 2 2 2 3 4" xfId="26009" xr:uid="{00000000-0005-0000-0000-0000C8640000}"/>
    <cellStyle name="Input 27 2 2 2 3 5" xfId="26010" xr:uid="{00000000-0005-0000-0000-0000C9640000}"/>
    <cellStyle name="Input 27 2 2 2 3 6" xfId="26011" xr:uid="{00000000-0005-0000-0000-0000CA640000}"/>
    <cellStyle name="Input 27 2 2 2 4" xfId="26012" xr:uid="{00000000-0005-0000-0000-0000CB640000}"/>
    <cellStyle name="Input 27 2 2 2 4 2" xfId="26013" xr:uid="{00000000-0005-0000-0000-0000CC640000}"/>
    <cellStyle name="Input 27 2 2 2 5" xfId="26014" xr:uid="{00000000-0005-0000-0000-0000CD640000}"/>
    <cellStyle name="Input 27 2 2 2 5 2" xfId="26015" xr:uid="{00000000-0005-0000-0000-0000CE640000}"/>
    <cellStyle name="Input 27 2 2 2 6" xfId="26016" xr:uid="{00000000-0005-0000-0000-0000CF640000}"/>
    <cellStyle name="Input 27 2 2 2 7" xfId="26017" xr:uid="{00000000-0005-0000-0000-0000D0640000}"/>
    <cellStyle name="Input 27 2 2 2 8" xfId="26018" xr:uid="{00000000-0005-0000-0000-0000D1640000}"/>
    <cellStyle name="Input 27 2 2 3" xfId="26019" xr:uid="{00000000-0005-0000-0000-0000D2640000}"/>
    <cellStyle name="Input 27 2 2 3 2" xfId="26020" xr:uid="{00000000-0005-0000-0000-0000D3640000}"/>
    <cellStyle name="Input 27 2 2 3 2 2" xfId="26021" xr:uid="{00000000-0005-0000-0000-0000D4640000}"/>
    <cellStyle name="Input 27 2 2 3 2 2 2" xfId="26022" xr:uid="{00000000-0005-0000-0000-0000D5640000}"/>
    <cellStyle name="Input 27 2 2 3 2 2 2 2" xfId="26023" xr:uid="{00000000-0005-0000-0000-0000D6640000}"/>
    <cellStyle name="Input 27 2 2 3 2 2 3" xfId="26024" xr:uid="{00000000-0005-0000-0000-0000D7640000}"/>
    <cellStyle name="Input 27 2 2 3 2 2 3 2" xfId="26025" xr:uid="{00000000-0005-0000-0000-0000D8640000}"/>
    <cellStyle name="Input 27 2 2 3 2 2 4" xfId="26026" xr:uid="{00000000-0005-0000-0000-0000D9640000}"/>
    <cellStyle name="Input 27 2 2 3 2 2 5" xfId="26027" xr:uid="{00000000-0005-0000-0000-0000DA640000}"/>
    <cellStyle name="Input 27 2 2 3 2 2 6" xfId="26028" xr:uid="{00000000-0005-0000-0000-0000DB640000}"/>
    <cellStyle name="Input 27 2 2 3 2 3" xfId="26029" xr:uid="{00000000-0005-0000-0000-0000DC640000}"/>
    <cellStyle name="Input 27 2 2 3 2 3 2" xfId="26030" xr:uid="{00000000-0005-0000-0000-0000DD640000}"/>
    <cellStyle name="Input 27 2 2 3 2 4" xfId="26031" xr:uid="{00000000-0005-0000-0000-0000DE640000}"/>
    <cellStyle name="Input 27 2 2 3 2 4 2" xfId="26032" xr:uid="{00000000-0005-0000-0000-0000DF640000}"/>
    <cellStyle name="Input 27 2 2 3 2 5" xfId="26033" xr:uid="{00000000-0005-0000-0000-0000E0640000}"/>
    <cellStyle name="Input 27 2 2 3 2 6" xfId="26034" xr:uid="{00000000-0005-0000-0000-0000E1640000}"/>
    <cellStyle name="Input 27 2 2 3 2 7" xfId="26035" xr:uid="{00000000-0005-0000-0000-0000E2640000}"/>
    <cellStyle name="Input 27 2 2 3 3" xfId="26036" xr:uid="{00000000-0005-0000-0000-0000E3640000}"/>
    <cellStyle name="Input 27 2 2 3 3 2" xfId="26037" xr:uid="{00000000-0005-0000-0000-0000E4640000}"/>
    <cellStyle name="Input 27 2 2 3 3 2 2" xfId="26038" xr:uid="{00000000-0005-0000-0000-0000E5640000}"/>
    <cellStyle name="Input 27 2 2 3 3 3" xfId="26039" xr:uid="{00000000-0005-0000-0000-0000E6640000}"/>
    <cellStyle name="Input 27 2 2 3 3 3 2" xfId="26040" xr:uid="{00000000-0005-0000-0000-0000E7640000}"/>
    <cellStyle name="Input 27 2 2 3 3 4" xfId="26041" xr:uid="{00000000-0005-0000-0000-0000E8640000}"/>
    <cellStyle name="Input 27 2 2 3 3 5" xfId="26042" xr:uid="{00000000-0005-0000-0000-0000E9640000}"/>
    <cellStyle name="Input 27 2 2 3 3 6" xfId="26043" xr:uid="{00000000-0005-0000-0000-0000EA640000}"/>
    <cellStyle name="Input 27 2 2 3 4" xfId="26044" xr:uid="{00000000-0005-0000-0000-0000EB640000}"/>
    <cellStyle name="Input 27 2 2 3 4 2" xfId="26045" xr:uid="{00000000-0005-0000-0000-0000EC640000}"/>
    <cellStyle name="Input 27 2 2 3 5" xfId="26046" xr:uid="{00000000-0005-0000-0000-0000ED640000}"/>
    <cellStyle name="Input 27 2 2 3 5 2" xfId="26047" xr:uid="{00000000-0005-0000-0000-0000EE640000}"/>
    <cellStyle name="Input 27 2 2 3 6" xfId="26048" xr:uid="{00000000-0005-0000-0000-0000EF640000}"/>
    <cellStyle name="Input 27 2 2 3 7" xfId="26049" xr:uid="{00000000-0005-0000-0000-0000F0640000}"/>
    <cellStyle name="Input 27 2 2 3 8" xfId="26050" xr:uid="{00000000-0005-0000-0000-0000F1640000}"/>
    <cellStyle name="Input 27 2 2 4" xfId="26051" xr:uid="{00000000-0005-0000-0000-0000F2640000}"/>
    <cellStyle name="Input 27 2 2 4 2" xfId="26052" xr:uid="{00000000-0005-0000-0000-0000F3640000}"/>
    <cellStyle name="Input 27 2 2 4 2 2" xfId="26053" xr:uid="{00000000-0005-0000-0000-0000F4640000}"/>
    <cellStyle name="Input 27 2 2 4 2 2 2" xfId="26054" xr:uid="{00000000-0005-0000-0000-0000F5640000}"/>
    <cellStyle name="Input 27 2 2 4 2 3" xfId="26055" xr:uid="{00000000-0005-0000-0000-0000F6640000}"/>
    <cellStyle name="Input 27 2 2 4 2 3 2" xfId="26056" xr:uid="{00000000-0005-0000-0000-0000F7640000}"/>
    <cellStyle name="Input 27 2 2 4 2 4" xfId="26057" xr:uid="{00000000-0005-0000-0000-0000F8640000}"/>
    <cellStyle name="Input 27 2 2 4 2 5" xfId="26058" xr:uid="{00000000-0005-0000-0000-0000F9640000}"/>
    <cellStyle name="Input 27 2 2 4 2 6" xfId="26059" xr:uid="{00000000-0005-0000-0000-0000FA640000}"/>
    <cellStyle name="Input 27 2 2 4 3" xfId="26060" xr:uid="{00000000-0005-0000-0000-0000FB640000}"/>
    <cellStyle name="Input 27 2 2 4 3 2" xfId="26061" xr:uid="{00000000-0005-0000-0000-0000FC640000}"/>
    <cellStyle name="Input 27 2 2 4 4" xfId="26062" xr:uid="{00000000-0005-0000-0000-0000FD640000}"/>
    <cellStyle name="Input 27 2 2 4 4 2" xfId="26063" xr:uid="{00000000-0005-0000-0000-0000FE640000}"/>
    <cellStyle name="Input 27 2 2 4 5" xfId="26064" xr:uid="{00000000-0005-0000-0000-0000FF640000}"/>
    <cellStyle name="Input 27 2 2 4 6" xfId="26065" xr:uid="{00000000-0005-0000-0000-000000650000}"/>
    <cellStyle name="Input 27 2 2 4 7" xfId="26066" xr:uid="{00000000-0005-0000-0000-000001650000}"/>
    <cellStyle name="Input 27 2 2 5" xfId="26067" xr:uid="{00000000-0005-0000-0000-000002650000}"/>
    <cellStyle name="Input 27 2 2 5 2" xfId="26068" xr:uid="{00000000-0005-0000-0000-000003650000}"/>
    <cellStyle name="Input 27 2 2 5 2 2" xfId="26069" xr:uid="{00000000-0005-0000-0000-000004650000}"/>
    <cellStyle name="Input 27 2 2 5 3" xfId="26070" xr:uid="{00000000-0005-0000-0000-000005650000}"/>
    <cellStyle name="Input 27 2 2 5 3 2" xfId="26071" xr:uid="{00000000-0005-0000-0000-000006650000}"/>
    <cellStyle name="Input 27 2 2 5 4" xfId="26072" xr:uid="{00000000-0005-0000-0000-000007650000}"/>
    <cellStyle name="Input 27 2 2 5 5" xfId="26073" xr:uid="{00000000-0005-0000-0000-000008650000}"/>
    <cellStyle name="Input 27 2 2 5 6" xfId="26074" xr:uid="{00000000-0005-0000-0000-000009650000}"/>
    <cellStyle name="Input 27 2 2 6" xfId="26075" xr:uid="{00000000-0005-0000-0000-00000A650000}"/>
    <cellStyle name="Input 27 2 2 6 2" xfId="26076" xr:uid="{00000000-0005-0000-0000-00000B650000}"/>
    <cellStyle name="Input 27 2 2 7" xfId="26077" xr:uid="{00000000-0005-0000-0000-00000C650000}"/>
    <cellStyle name="Input 27 2 2 7 2" xfId="26078" xr:uid="{00000000-0005-0000-0000-00000D650000}"/>
    <cellStyle name="Input 27 2 2 8" xfId="26079" xr:uid="{00000000-0005-0000-0000-00000E650000}"/>
    <cellStyle name="Input 27 2 2 9" xfId="26080" xr:uid="{00000000-0005-0000-0000-00000F650000}"/>
    <cellStyle name="Input 27 2 3" xfId="26081" xr:uid="{00000000-0005-0000-0000-000010650000}"/>
    <cellStyle name="Input 27 2 3 2" xfId="26082" xr:uid="{00000000-0005-0000-0000-000011650000}"/>
    <cellStyle name="Input 27 2 3 2 2" xfId="26083" xr:uid="{00000000-0005-0000-0000-000012650000}"/>
    <cellStyle name="Input 27 2 3 2 2 2" xfId="26084" xr:uid="{00000000-0005-0000-0000-000013650000}"/>
    <cellStyle name="Input 27 2 3 2 2 2 2" xfId="26085" xr:uid="{00000000-0005-0000-0000-000014650000}"/>
    <cellStyle name="Input 27 2 3 2 2 3" xfId="26086" xr:uid="{00000000-0005-0000-0000-000015650000}"/>
    <cellStyle name="Input 27 2 3 2 2 3 2" xfId="26087" xr:uid="{00000000-0005-0000-0000-000016650000}"/>
    <cellStyle name="Input 27 2 3 2 2 4" xfId="26088" xr:uid="{00000000-0005-0000-0000-000017650000}"/>
    <cellStyle name="Input 27 2 3 2 2 5" xfId="26089" xr:uid="{00000000-0005-0000-0000-000018650000}"/>
    <cellStyle name="Input 27 2 3 2 2 6" xfId="26090" xr:uid="{00000000-0005-0000-0000-000019650000}"/>
    <cellStyle name="Input 27 2 3 2 3" xfId="26091" xr:uid="{00000000-0005-0000-0000-00001A650000}"/>
    <cellStyle name="Input 27 2 3 2 3 2" xfId="26092" xr:uid="{00000000-0005-0000-0000-00001B650000}"/>
    <cellStyle name="Input 27 2 3 2 4" xfId="26093" xr:uid="{00000000-0005-0000-0000-00001C650000}"/>
    <cellStyle name="Input 27 2 3 2 4 2" xfId="26094" xr:uid="{00000000-0005-0000-0000-00001D650000}"/>
    <cellStyle name="Input 27 2 3 2 5" xfId="26095" xr:uid="{00000000-0005-0000-0000-00001E650000}"/>
    <cellStyle name="Input 27 2 3 2 6" xfId="26096" xr:uid="{00000000-0005-0000-0000-00001F650000}"/>
    <cellStyle name="Input 27 2 3 2 7" xfId="26097" xr:uid="{00000000-0005-0000-0000-000020650000}"/>
    <cellStyle name="Input 27 2 3 3" xfId="26098" xr:uid="{00000000-0005-0000-0000-000021650000}"/>
    <cellStyle name="Input 27 2 3 3 2" xfId="26099" xr:uid="{00000000-0005-0000-0000-000022650000}"/>
    <cellStyle name="Input 27 2 3 3 2 2" xfId="26100" xr:uid="{00000000-0005-0000-0000-000023650000}"/>
    <cellStyle name="Input 27 2 3 3 3" xfId="26101" xr:uid="{00000000-0005-0000-0000-000024650000}"/>
    <cellStyle name="Input 27 2 3 3 3 2" xfId="26102" xr:uid="{00000000-0005-0000-0000-000025650000}"/>
    <cellStyle name="Input 27 2 3 3 4" xfId="26103" xr:uid="{00000000-0005-0000-0000-000026650000}"/>
    <cellStyle name="Input 27 2 3 3 5" xfId="26104" xr:uid="{00000000-0005-0000-0000-000027650000}"/>
    <cellStyle name="Input 27 2 3 3 6" xfId="26105" xr:uid="{00000000-0005-0000-0000-000028650000}"/>
    <cellStyle name="Input 27 2 3 4" xfId="26106" xr:uid="{00000000-0005-0000-0000-000029650000}"/>
    <cellStyle name="Input 27 2 3 4 2" xfId="26107" xr:uid="{00000000-0005-0000-0000-00002A650000}"/>
    <cellStyle name="Input 27 2 3 5" xfId="26108" xr:uid="{00000000-0005-0000-0000-00002B650000}"/>
    <cellStyle name="Input 27 2 3 5 2" xfId="26109" xr:uid="{00000000-0005-0000-0000-00002C650000}"/>
    <cellStyle name="Input 27 2 3 6" xfId="26110" xr:uid="{00000000-0005-0000-0000-00002D650000}"/>
    <cellStyle name="Input 27 2 3 7" xfId="26111" xr:uid="{00000000-0005-0000-0000-00002E650000}"/>
    <cellStyle name="Input 27 2 3 8" xfId="26112" xr:uid="{00000000-0005-0000-0000-00002F650000}"/>
    <cellStyle name="Input 27 2 4" xfId="26113" xr:uid="{00000000-0005-0000-0000-000030650000}"/>
    <cellStyle name="Input 27 2 4 2" xfId="26114" xr:uid="{00000000-0005-0000-0000-000031650000}"/>
    <cellStyle name="Input 27 2 4 2 2" xfId="26115" xr:uid="{00000000-0005-0000-0000-000032650000}"/>
    <cellStyle name="Input 27 2 4 2 2 2" xfId="26116" xr:uid="{00000000-0005-0000-0000-000033650000}"/>
    <cellStyle name="Input 27 2 4 2 3" xfId="26117" xr:uid="{00000000-0005-0000-0000-000034650000}"/>
    <cellStyle name="Input 27 2 4 2 3 2" xfId="26118" xr:uid="{00000000-0005-0000-0000-000035650000}"/>
    <cellStyle name="Input 27 2 4 2 4" xfId="26119" xr:uid="{00000000-0005-0000-0000-000036650000}"/>
    <cellStyle name="Input 27 2 4 2 5" xfId="26120" xr:uid="{00000000-0005-0000-0000-000037650000}"/>
    <cellStyle name="Input 27 2 4 2 6" xfId="26121" xr:uid="{00000000-0005-0000-0000-000038650000}"/>
    <cellStyle name="Input 27 2 4 3" xfId="26122" xr:uid="{00000000-0005-0000-0000-000039650000}"/>
    <cellStyle name="Input 27 2 4 3 2" xfId="26123" xr:uid="{00000000-0005-0000-0000-00003A650000}"/>
    <cellStyle name="Input 27 2 4 4" xfId="26124" xr:uid="{00000000-0005-0000-0000-00003B650000}"/>
    <cellStyle name="Input 27 2 4 4 2" xfId="26125" xr:uid="{00000000-0005-0000-0000-00003C650000}"/>
    <cellStyle name="Input 27 2 4 5" xfId="26126" xr:uid="{00000000-0005-0000-0000-00003D650000}"/>
    <cellStyle name="Input 27 2 4 6" xfId="26127" xr:uid="{00000000-0005-0000-0000-00003E650000}"/>
    <cellStyle name="Input 27 2 4 7" xfId="26128" xr:uid="{00000000-0005-0000-0000-00003F650000}"/>
    <cellStyle name="Input 27 2 5" xfId="26129" xr:uid="{00000000-0005-0000-0000-000040650000}"/>
    <cellStyle name="Input 27 2 5 2" xfId="26130" xr:uid="{00000000-0005-0000-0000-000041650000}"/>
    <cellStyle name="Input 27 2 5 2 2" xfId="26131" xr:uid="{00000000-0005-0000-0000-000042650000}"/>
    <cellStyle name="Input 27 2 5 3" xfId="26132" xr:uid="{00000000-0005-0000-0000-000043650000}"/>
    <cellStyle name="Input 27 2 5 3 2" xfId="26133" xr:uid="{00000000-0005-0000-0000-000044650000}"/>
    <cellStyle name="Input 27 2 5 4" xfId="26134" xr:uid="{00000000-0005-0000-0000-000045650000}"/>
    <cellStyle name="Input 27 2 5 5" xfId="26135" xr:uid="{00000000-0005-0000-0000-000046650000}"/>
    <cellStyle name="Input 27 2 5 6" xfId="26136" xr:uid="{00000000-0005-0000-0000-000047650000}"/>
    <cellStyle name="Input 27 2 6" xfId="26137" xr:uid="{00000000-0005-0000-0000-000048650000}"/>
    <cellStyle name="Input 27 2 6 2" xfId="26138" xr:uid="{00000000-0005-0000-0000-000049650000}"/>
    <cellStyle name="Input 27 2 7" xfId="26139" xr:uid="{00000000-0005-0000-0000-00004A650000}"/>
    <cellStyle name="Input 27 2 7 2" xfId="26140" xr:uid="{00000000-0005-0000-0000-00004B650000}"/>
    <cellStyle name="Input 27 2 8" xfId="26141" xr:uid="{00000000-0005-0000-0000-00004C650000}"/>
    <cellStyle name="Input 27 2 9" xfId="26142" xr:uid="{00000000-0005-0000-0000-00004D650000}"/>
    <cellStyle name="Input 27 3" xfId="26143" xr:uid="{00000000-0005-0000-0000-00004E650000}"/>
    <cellStyle name="Input 27 3 10" xfId="26144" xr:uid="{00000000-0005-0000-0000-00004F650000}"/>
    <cellStyle name="Input 27 3 2" xfId="26145" xr:uid="{00000000-0005-0000-0000-000050650000}"/>
    <cellStyle name="Input 27 3 2 2" xfId="26146" xr:uid="{00000000-0005-0000-0000-000051650000}"/>
    <cellStyle name="Input 27 3 2 2 2" xfId="26147" xr:uid="{00000000-0005-0000-0000-000052650000}"/>
    <cellStyle name="Input 27 3 2 2 2 2" xfId="26148" xr:uid="{00000000-0005-0000-0000-000053650000}"/>
    <cellStyle name="Input 27 3 2 2 2 2 2" xfId="26149" xr:uid="{00000000-0005-0000-0000-000054650000}"/>
    <cellStyle name="Input 27 3 2 2 2 3" xfId="26150" xr:uid="{00000000-0005-0000-0000-000055650000}"/>
    <cellStyle name="Input 27 3 2 2 2 3 2" xfId="26151" xr:uid="{00000000-0005-0000-0000-000056650000}"/>
    <cellStyle name="Input 27 3 2 2 2 4" xfId="26152" xr:uid="{00000000-0005-0000-0000-000057650000}"/>
    <cellStyle name="Input 27 3 2 2 2 5" xfId="26153" xr:uid="{00000000-0005-0000-0000-000058650000}"/>
    <cellStyle name="Input 27 3 2 2 2 6" xfId="26154" xr:uid="{00000000-0005-0000-0000-000059650000}"/>
    <cellStyle name="Input 27 3 2 2 3" xfId="26155" xr:uid="{00000000-0005-0000-0000-00005A650000}"/>
    <cellStyle name="Input 27 3 2 2 3 2" xfId="26156" xr:uid="{00000000-0005-0000-0000-00005B650000}"/>
    <cellStyle name="Input 27 3 2 2 4" xfId="26157" xr:uid="{00000000-0005-0000-0000-00005C650000}"/>
    <cellStyle name="Input 27 3 2 2 4 2" xfId="26158" xr:uid="{00000000-0005-0000-0000-00005D650000}"/>
    <cellStyle name="Input 27 3 2 2 5" xfId="26159" xr:uid="{00000000-0005-0000-0000-00005E650000}"/>
    <cellStyle name="Input 27 3 2 2 6" xfId="26160" xr:uid="{00000000-0005-0000-0000-00005F650000}"/>
    <cellStyle name="Input 27 3 2 2 7" xfId="26161" xr:uid="{00000000-0005-0000-0000-000060650000}"/>
    <cellStyle name="Input 27 3 2 3" xfId="26162" xr:uid="{00000000-0005-0000-0000-000061650000}"/>
    <cellStyle name="Input 27 3 2 3 2" xfId="26163" xr:uid="{00000000-0005-0000-0000-000062650000}"/>
    <cellStyle name="Input 27 3 2 3 2 2" xfId="26164" xr:uid="{00000000-0005-0000-0000-000063650000}"/>
    <cellStyle name="Input 27 3 2 3 3" xfId="26165" xr:uid="{00000000-0005-0000-0000-000064650000}"/>
    <cellStyle name="Input 27 3 2 3 3 2" xfId="26166" xr:uid="{00000000-0005-0000-0000-000065650000}"/>
    <cellStyle name="Input 27 3 2 3 4" xfId="26167" xr:uid="{00000000-0005-0000-0000-000066650000}"/>
    <cellStyle name="Input 27 3 2 3 5" xfId="26168" xr:uid="{00000000-0005-0000-0000-000067650000}"/>
    <cellStyle name="Input 27 3 2 3 6" xfId="26169" xr:uid="{00000000-0005-0000-0000-000068650000}"/>
    <cellStyle name="Input 27 3 2 4" xfId="26170" xr:uid="{00000000-0005-0000-0000-000069650000}"/>
    <cellStyle name="Input 27 3 2 4 2" xfId="26171" xr:uid="{00000000-0005-0000-0000-00006A650000}"/>
    <cellStyle name="Input 27 3 2 5" xfId="26172" xr:uid="{00000000-0005-0000-0000-00006B650000}"/>
    <cellStyle name="Input 27 3 2 5 2" xfId="26173" xr:uid="{00000000-0005-0000-0000-00006C650000}"/>
    <cellStyle name="Input 27 3 2 6" xfId="26174" xr:uid="{00000000-0005-0000-0000-00006D650000}"/>
    <cellStyle name="Input 27 3 2 7" xfId="26175" xr:uid="{00000000-0005-0000-0000-00006E650000}"/>
    <cellStyle name="Input 27 3 2 8" xfId="26176" xr:uid="{00000000-0005-0000-0000-00006F650000}"/>
    <cellStyle name="Input 27 3 3" xfId="26177" xr:uid="{00000000-0005-0000-0000-000070650000}"/>
    <cellStyle name="Input 27 3 3 2" xfId="26178" xr:uid="{00000000-0005-0000-0000-000071650000}"/>
    <cellStyle name="Input 27 3 3 2 2" xfId="26179" xr:uid="{00000000-0005-0000-0000-000072650000}"/>
    <cellStyle name="Input 27 3 3 2 2 2" xfId="26180" xr:uid="{00000000-0005-0000-0000-000073650000}"/>
    <cellStyle name="Input 27 3 3 2 2 2 2" xfId="26181" xr:uid="{00000000-0005-0000-0000-000074650000}"/>
    <cellStyle name="Input 27 3 3 2 2 3" xfId="26182" xr:uid="{00000000-0005-0000-0000-000075650000}"/>
    <cellStyle name="Input 27 3 3 2 2 3 2" xfId="26183" xr:uid="{00000000-0005-0000-0000-000076650000}"/>
    <cellStyle name="Input 27 3 3 2 2 4" xfId="26184" xr:uid="{00000000-0005-0000-0000-000077650000}"/>
    <cellStyle name="Input 27 3 3 2 2 5" xfId="26185" xr:uid="{00000000-0005-0000-0000-000078650000}"/>
    <cellStyle name="Input 27 3 3 2 2 6" xfId="26186" xr:uid="{00000000-0005-0000-0000-000079650000}"/>
    <cellStyle name="Input 27 3 3 2 3" xfId="26187" xr:uid="{00000000-0005-0000-0000-00007A650000}"/>
    <cellStyle name="Input 27 3 3 2 3 2" xfId="26188" xr:uid="{00000000-0005-0000-0000-00007B650000}"/>
    <cellStyle name="Input 27 3 3 2 4" xfId="26189" xr:uid="{00000000-0005-0000-0000-00007C650000}"/>
    <cellStyle name="Input 27 3 3 2 4 2" xfId="26190" xr:uid="{00000000-0005-0000-0000-00007D650000}"/>
    <cellStyle name="Input 27 3 3 2 5" xfId="26191" xr:uid="{00000000-0005-0000-0000-00007E650000}"/>
    <cellStyle name="Input 27 3 3 2 6" xfId="26192" xr:uid="{00000000-0005-0000-0000-00007F650000}"/>
    <cellStyle name="Input 27 3 3 2 7" xfId="26193" xr:uid="{00000000-0005-0000-0000-000080650000}"/>
    <cellStyle name="Input 27 3 3 3" xfId="26194" xr:uid="{00000000-0005-0000-0000-000081650000}"/>
    <cellStyle name="Input 27 3 3 3 2" xfId="26195" xr:uid="{00000000-0005-0000-0000-000082650000}"/>
    <cellStyle name="Input 27 3 3 3 2 2" xfId="26196" xr:uid="{00000000-0005-0000-0000-000083650000}"/>
    <cellStyle name="Input 27 3 3 3 3" xfId="26197" xr:uid="{00000000-0005-0000-0000-000084650000}"/>
    <cellStyle name="Input 27 3 3 3 3 2" xfId="26198" xr:uid="{00000000-0005-0000-0000-000085650000}"/>
    <cellStyle name="Input 27 3 3 3 4" xfId="26199" xr:uid="{00000000-0005-0000-0000-000086650000}"/>
    <cellStyle name="Input 27 3 3 3 5" xfId="26200" xr:uid="{00000000-0005-0000-0000-000087650000}"/>
    <cellStyle name="Input 27 3 3 3 6" xfId="26201" xr:uid="{00000000-0005-0000-0000-000088650000}"/>
    <cellStyle name="Input 27 3 3 4" xfId="26202" xr:uid="{00000000-0005-0000-0000-000089650000}"/>
    <cellStyle name="Input 27 3 3 4 2" xfId="26203" xr:uid="{00000000-0005-0000-0000-00008A650000}"/>
    <cellStyle name="Input 27 3 3 5" xfId="26204" xr:uid="{00000000-0005-0000-0000-00008B650000}"/>
    <cellStyle name="Input 27 3 3 5 2" xfId="26205" xr:uid="{00000000-0005-0000-0000-00008C650000}"/>
    <cellStyle name="Input 27 3 3 6" xfId="26206" xr:uid="{00000000-0005-0000-0000-00008D650000}"/>
    <cellStyle name="Input 27 3 3 7" xfId="26207" xr:uid="{00000000-0005-0000-0000-00008E650000}"/>
    <cellStyle name="Input 27 3 3 8" xfId="26208" xr:uid="{00000000-0005-0000-0000-00008F650000}"/>
    <cellStyle name="Input 27 3 4" xfId="26209" xr:uid="{00000000-0005-0000-0000-000090650000}"/>
    <cellStyle name="Input 27 3 4 2" xfId="26210" xr:uid="{00000000-0005-0000-0000-000091650000}"/>
    <cellStyle name="Input 27 3 4 2 2" xfId="26211" xr:uid="{00000000-0005-0000-0000-000092650000}"/>
    <cellStyle name="Input 27 3 4 2 2 2" xfId="26212" xr:uid="{00000000-0005-0000-0000-000093650000}"/>
    <cellStyle name="Input 27 3 4 2 3" xfId="26213" xr:uid="{00000000-0005-0000-0000-000094650000}"/>
    <cellStyle name="Input 27 3 4 2 3 2" xfId="26214" xr:uid="{00000000-0005-0000-0000-000095650000}"/>
    <cellStyle name="Input 27 3 4 2 4" xfId="26215" xr:uid="{00000000-0005-0000-0000-000096650000}"/>
    <cellStyle name="Input 27 3 4 2 5" xfId="26216" xr:uid="{00000000-0005-0000-0000-000097650000}"/>
    <cellStyle name="Input 27 3 4 2 6" xfId="26217" xr:uid="{00000000-0005-0000-0000-000098650000}"/>
    <cellStyle name="Input 27 3 4 3" xfId="26218" xr:uid="{00000000-0005-0000-0000-000099650000}"/>
    <cellStyle name="Input 27 3 4 3 2" xfId="26219" xr:uid="{00000000-0005-0000-0000-00009A650000}"/>
    <cellStyle name="Input 27 3 4 4" xfId="26220" xr:uid="{00000000-0005-0000-0000-00009B650000}"/>
    <cellStyle name="Input 27 3 4 4 2" xfId="26221" xr:uid="{00000000-0005-0000-0000-00009C650000}"/>
    <cellStyle name="Input 27 3 4 5" xfId="26222" xr:uid="{00000000-0005-0000-0000-00009D650000}"/>
    <cellStyle name="Input 27 3 4 6" xfId="26223" xr:uid="{00000000-0005-0000-0000-00009E650000}"/>
    <cellStyle name="Input 27 3 4 7" xfId="26224" xr:uid="{00000000-0005-0000-0000-00009F650000}"/>
    <cellStyle name="Input 27 3 5" xfId="26225" xr:uid="{00000000-0005-0000-0000-0000A0650000}"/>
    <cellStyle name="Input 27 3 5 2" xfId="26226" xr:uid="{00000000-0005-0000-0000-0000A1650000}"/>
    <cellStyle name="Input 27 3 5 2 2" xfId="26227" xr:uid="{00000000-0005-0000-0000-0000A2650000}"/>
    <cellStyle name="Input 27 3 5 3" xfId="26228" xr:uid="{00000000-0005-0000-0000-0000A3650000}"/>
    <cellStyle name="Input 27 3 5 3 2" xfId="26229" xr:uid="{00000000-0005-0000-0000-0000A4650000}"/>
    <cellStyle name="Input 27 3 5 4" xfId="26230" xr:uid="{00000000-0005-0000-0000-0000A5650000}"/>
    <cellStyle name="Input 27 3 5 5" xfId="26231" xr:uid="{00000000-0005-0000-0000-0000A6650000}"/>
    <cellStyle name="Input 27 3 5 6" xfId="26232" xr:uid="{00000000-0005-0000-0000-0000A7650000}"/>
    <cellStyle name="Input 27 3 6" xfId="26233" xr:uid="{00000000-0005-0000-0000-0000A8650000}"/>
    <cellStyle name="Input 27 3 6 2" xfId="26234" xr:uid="{00000000-0005-0000-0000-0000A9650000}"/>
    <cellStyle name="Input 27 3 7" xfId="26235" xr:uid="{00000000-0005-0000-0000-0000AA650000}"/>
    <cellStyle name="Input 27 3 7 2" xfId="26236" xr:uid="{00000000-0005-0000-0000-0000AB650000}"/>
    <cellStyle name="Input 27 3 8" xfId="26237" xr:uid="{00000000-0005-0000-0000-0000AC650000}"/>
    <cellStyle name="Input 27 3 9" xfId="26238" xr:uid="{00000000-0005-0000-0000-0000AD650000}"/>
    <cellStyle name="Input 27 4" xfId="26239" xr:uid="{00000000-0005-0000-0000-0000AE650000}"/>
    <cellStyle name="Input 27 4 2" xfId="26240" xr:uid="{00000000-0005-0000-0000-0000AF650000}"/>
    <cellStyle name="Input 27 4 2 2" xfId="26241" xr:uid="{00000000-0005-0000-0000-0000B0650000}"/>
    <cellStyle name="Input 27 4 2 2 2" xfId="26242" xr:uid="{00000000-0005-0000-0000-0000B1650000}"/>
    <cellStyle name="Input 27 4 2 2 2 2" xfId="26243" xr:uid="{00000000-0005-0000-0000-0000B2650000}"/>
    <cellStyle name="Input 27 4 2 2 3" xfId="26244" xr:uid="{00000000-0005-0000-0000-0000B3650000}"/>
    <cellStyle name="Input 27 4 2 2 3 2" xfId="26245" xr:uid="{00000000-0005-0000-0000-0000B4650000}"/>
    <cellStyle name="Input 27 4 2 2 4" xfId="26246" xr:uid="{00000000-0005-0000-0000-0000B5650000}"/>
    <cellStyle name="Input 27 4 2 2 5" xfId="26247" xr:uid="{00000000-0005-0000-0000-0000B6650000}"/>
    <cellStyle name="Input 27 4 2 2 6" xfId="26248" xr:uid="{00000000-0005-0000-0000-0000B7650000}"/>
    <cellStyle name="Input 27 4 2 3" xfId="26249" xr:uid="{00000000-0005-0000-0000-0000B8650000}"/>
    <cellStyle name="Input 27 4 2 3 2" xfId="26250" xr:uid="{00000000-0005-0000-0000-0000B9650000}"/>
    <cellStyle name="Input 27 4 2 4" xfId="26251" xr:uid="{00000000-0005-0000-0000-0000BA650000}"/>
    <cellStyle name="Input 27 4 2 4 2" xfId="26252" xr:uid="{00000000-0005-0000-0000-0000BB650000}"/>
    <cellStyle name="Input 27 4 2 5" xfId="26253" xr:uid="{00000000-0005-0000-0000-0000BC650000}"/>
    <cellStyle name="Input 27 4 2 6" xfId="26254" xr:uid="{00000000-0005-0000-0000-0000BD650000}"/>
    <cellStyle name="Input 27 4 2 7" xfId="26255" xr:uid="{00000000-0005-0000-0000-0000BE650000}"/>
    <cellStyle name="Input 27 4 3" xfId="26256" xr:uid="{00000000-0005-0000-0000-0000BF650000}"/>
    <cellStyle name="Input 27 4 3 2" xfId="26257" xr:uid="{00000000-0005-0000-0000-0000C0650000}"/>
    <cellStyle name="Input 27 4 3 2 2" xfId="26258" xr:uid="{00000000-0005-0000-0000-0000C1650000}"/>
    <cellStyle name="Input 27 4 3 3" xfId="26259" xr:uid="{00000000-0005-0000-0000-0000C2650000}"/>
    <cellStyle name="Input 27 4 3 3 2" xfId="26260" xr:uid="{00000000-0005-0000-0000-0000C3650000}"/>
    <cellStyle name="Input 27 4 3 4" xfId="26261" xr:uid="{00000000-0005-0000-0000-0000C4650000}"/>
    <cellStyle name="Input 27 4 3 5" xfId="26262" xr:uid="{00000000-0005-0000-0000-0000C5650000}"/>
    <cellStyle name="Input 27 4 3 6" xfId="26263" xr:uid="{00000000-0005-0000-0000-0000C6650000}"/>
    <cellStyle name="Input 27 4 4" xfId="26264" xr:uid="{00000000-0005-0000-0000-0000C7650000}"/>
    <cellStyle name="Input 27 4 4 2" xfId="26265" xr:uid="{00000000-0005-0000-0000-0000C8650000}"/>
    <cellStyle name="Input 27 4 5" xfId="26266" xr:uid="{00000000-0005-0000-0000-0000C9650000}"/>
    <cellStyle name="Input 27 4 5 2" xfId="26267" xr:uid="{00000000-0005-0000-0000-0000CA650000}"/>
    <cellStyle name="Input 27 4 6" xfId="26268" xr:uid="{00000000-0005-0000-0000-0000CB650000}"/>
    <cellStyle name="Input 27 4 7" xfId="26269" xr:uid="{00000000-0005-0000-0000-0000CC650000}"/>
    <cellStyle name="Input 27 4 8" xfId="26270" xr:uid="{00000000-0005-0000-0000-0000CD650000}"/>
    <cellStyle name="Input 27 5" xfId="26271" xr:uid="{00000000-0005-0000-0000-0000CE650000}"/>
    <cellStyle name="Input 27 5 2" xfId="26272" xr:uid="{00000000-0005-0000-0000-0000CF650000}"/>
    <cellStyle name="Input 27 5 2 2" xfId="26273" xr:uid="{00000000-0005-0000-0000-0000D0650000}"/>
    <cellStyle name="Input 27 5 2 2 2" xfId="26274" xr:uid="{00000000-0005-0000-0000-0000D1650000}"/>
    <cellStyle name="Input 27 5 2 3" xfId="26275" xr:uid="{00000000-0005-0000-0000-0000D2650000}"/>
    <cellStyle name="Input 27 5 2 3 2" xfId="26276" xr:uid="{00000000-0005-0000-0000-0000D3650000}"/>
    <cellStyle name="Input 27 5 2 4" xfId="26277" xr:uid="{00000000-0005-0000-0000-0000D4650000}"/>
    <cellStyle name="Input 27 5 2 5" xfId="26278" xr:uid="{00000000-0005-0000-0000-0000D5650000}"/>
    <cellStyle name="Input 27 5 2 6" xfId="26279" xr:uid="{00000000-0005-0000-0000-0000D6650000}"/>
    <cellStyle name="Input 27 5 3" xfId="26280" xr:uid="{00000000-0005-0000-0000-0000D7650000}"/>
    <cellStyle name="Input 27 5 3 2" xfId="26281" xr:uid="{00000000-0005-0000-0000-0000D8650000}"/>
    <cellStyle name="Input 27 5 4" xfId="26282" xr:uid="{00000000-0005-0000-0000-0000D9650000}"/>
    <cellStyle name="Input 27 5 4 2" xfId="26283" xr:uid="{00000000-0005-0000-0000-0000DA650000}"/>
    <cellStyle name="Input 27 5 5" xfId="26284" xr:uid="{00000000-0005-0000-0000-0000DB650000}"/>
    <cellStyle name="Input 27 5 6" xfId="26285" xr:uid="{00000000-0005-0000-0000-0000DC650000}"/>
    <cellStyle name="Input 27 5 7" xfId="26286" xr:uid="{00000000-0005-0000-0000-0000DD650000}"/>
    <cellStyle name="Input 27 6" xfId="26287" xr:uid="{00000000-0005-0000-0000-0000DE650000}"/>
    <cellStyle name="Input 27 6 2" xfId="26288" xr:uid="{00000000-0005-0000-0000-0000DF650000}"/>
    <cellStyle name="Input 27 6 2 2" xfId="26289" xr:uid="{00000000-0005-0000-0000-0000E0650000}"/>
    <cellStyle name="Input 27 6 3" xfId="26290" xr:uid="{00000000-0005-0000-0000-0000E1650000}"/>
    <cellStyle name="Input 27 6 3 2" xfId="26291" xr:uid="{00000000-0005-0000-0000-0000E2650000}"/>
    <cellStyle name="Input 27 6 4" xfId="26292" xr:uid="{00000000-0005-0000-0000-0000E3650000}"/>
    <cellStyle name="Input 27 6 5" xfId="26293" xr:uid="{00000000-0005-0000-0000-0000E4650000}"/>
    <cellStyle name="Input 27 6 6" xfId="26294" xr:uid="{00000000-0005-0000-0000-0000E5650000}"/>
    <cellStyle name="Input 27 7" xfId="26295" xr:uid="{00000000-0005-0000-0000-0000E6650000}"/>
    <cellStyle name="Input 27 7 2" xfId="26296" xr:uid="{00000000-0005-0000-0000-0000E7650000}"/>
    <cellStyle name="Input 27 8" xfId="26297" xr:uid="{00000000-0005-0000-0000-0000E8650000}"/>
    <cellStyle name="Input 27 8 2" xfId="26298" xr:uid="{00000000-0005-0000-0000-0000E9650000}"/>
    <cellStyle name="Input 27 9" xfId="26299" xr:uid="{00000000-0005-0000-0000-0000EA650000}"/>
    <cellStyle name="Input 28" xfId="26300" xr:uid="{00000000-0005-0000-0000-0000EB650000}"/>
    <cellStyle name="Input 28 10" xfId="26301" xr:uid="{00000000-0005-0000-0000-0000EC650000}"/>
    <cellStyle name="Input 28 11" xfId="26302" xr:uid="{00000000-0005-0000-0000-0000ED650000}"/>
    <cellStyle name="Input 28 2" xfId="26303" xr:uid="{00000000-0005-0000-0000-0000EE650000}"/>
    <cellStyle name="Input 28 2 10" xfId="26304" xr:uid="{00000000-0005-0000-0000-0000EF650000}"/>
    <cellStyle name="Input 28 2 2" xfId="26305" xr:uid="{00000000-0005-0000-0000-0000F0650000}"/>
    <cellStyle name="Input 28 2 2 2" xfId="26306" xr:uid="{00000000-0005-0000-0000-0000F1650000}"/>
    <cellStyle name="Input 28 2 2 2 2" xfId="26307" xr:uid="{00000000-0005-0000-0000-0000F2650000}"/>
    <cellStyle name="Input 28 2 2 2 2 2" xfId="26308" xr:uid="{00000000-0005-0000-0000-0000F3650000}"/>
    <cellStyle name="Input 28 2 2 2 2 2 2" xfId="26309" xr:uid="{00000000-0005-0000-0000-0000F4650000}"/>
    <cellStyle name="Input 28 2 2 2 2 3" xfId="26310" xr:uid="{00000000-0005-0000-0000-0000F5650000}"/>
    <cellStyle name="Input 28 2 2 2 2 3 2" xfId="26311" xr:uid="{00000000-0005-0000-0000-0000F6650000}"/>
    <cellStyle name="Input 28 2 2 2 2 4" xfId="26312" xr:uid="{00000000-0005-0000-0000-0000F7650000}"/>
    <cellStyle name="Input 28 2 2 2 2 5" xfId="26313" xr:uid="{00000000-0005-0000-0000-0000F8650000}"/>
    <cellStyle name="Input 28 2 2 2 2 6" xfId="26314" xr:uid="{00000000-0005-0000-0000-0000F9650000}"/>
    <cellStyle name="Input 28 2 2 2 3" xfId="26315" xr:uid="{00000000-0005-0000-0000-0000FA650000}"/>
    <cellStyle name="Input 28 2 2 2 3 2" xfId="26316" xr:uid="{00000000-0005-0000-0000-0000FB650000}"/>
    <cellStyle name="Input 28 2 2 2 4" xfId="26317" xr:uid="{00000000-0005-0000-0000-0000FC650000}"/>
    <cellStyle name="Input 28 2 2 2 4 2" xfId="26318" xr:uid="{00000000-0005-0000-0000-0000FD650000}"/>
    <cellStyle name="Input 28 2 2 2 5" xfId="26319" xr:uid="{00000000-0005-0000-0000-0000FE650000}"/>
    <cellStyle name="Input 28 2 2 2 6" xfId="26320" xr:uid="{00000000-0005-0000-0000-0000FF650000}"/>
    <cellStyle name="Input 28 2 2 2 7" xfId="26321" xr:uid="{00000000-0005-0000-0000-000000660000}"/>
    <cellStyle name="Input 28 2 2 3" xfId="26322" xr:uid="{00000000-0005-0000-0000-000001660000}"/>
    <cellStyle name="Input 28 2 2 3 2" xfId="26323" xr:uid="{00000000-0005-0000-0000-000002660000}"/>
    <cellStyle name="Input 28 2 2 3 2 2" xfId="26324" xr:uid="{00000000-0005-0000-0000-000003660000}"/>
    <cellStyle name="Input 28 2 2 3 3" xfId="26325" xr:uid="{00000000-0005-0000-0000-000004660000}"/>
    <cellStyle name="Input 28 2 2 3 3 2" xfId="26326" xr:uid="{00000000-0005-0000-0000-000005660000}"/>
    <cellStyle name="Input 28 2 2 3 4" xfId="26327" xr:uid="{00000000-0005-0000-0000-000006660000}"/>
    <cellStyle name="Input 28 2 2 3 5" xfId="26328" xr:uid="{00000000-0005-0000-0000-000007660000}"/>
    <cellStyle name="Input 28 2 2 3 6" xfId="26329" xr:uid="{00000000-0005-0000-0000-000008660000}"/>
    <cellStyle name="Input 28 2 2 4" xfId="26330" xr:uid="{00000000-0005-0000-0000-000009660000}"/>
    <cellStyle name="Input 28 2 2 4 2" xfId="26331" xr:uid="{00000000-0005-0000-0000-00000A660000}"/>
    <cellStyle name="Input 28 2 2 5" xfId="26332" xr:uid="{00000000-0005-0000-0000-00000B660000}"/>
    <cellStyle name="Input 28 2 2 5 2" xfId="26333" xr:uid="{00000000-0005-0000-0000-00000C660000}"/>
    <cellStyle name="Input 28 2 2 6" xfId="26334" xr:uid="{00000000-0005-0000-0000-00000D660000}"/>
    <cellStyle name="Input 28 2 2 7" xfId="26335" xr:uid="{00000000-0005-0000-0000-00000E660000}"/>
    <cellStyle name="Input 28 2 2 8" xfId="26336" xr:uid="{00000000-0005-0000-0000-00000F660000}"/>
    <cellStyle name="Input 28 2 3" xfId="26337" xr:uid="{00000000-0005-0000-0000-000010660000}"/>
    <cellStyle name="Input 28 2 3 2" xfId="26338" xr:uid="{00000000-0005-0000-0000-000011660000}"/>
    <cellStyle name="Input 28 2 3 2 2" xfId="26339" xr:uid="{00000000-0005-0000-0000-000012660000}"/>
    <cellStyle name="Input 28 2 3 2 2 2" xfId="26340" xr:uid="{00000000-0005-0000-0000-000013660000}"/>
    <cellStyle name="Input 28 2 3 2 2 2 2" xfId="26341" xr:uid="{00000000-0005-0000-0000-000014660000}"/>
    <cellStyle name="Input 28 2 3 2 2 3" xfId="26342" xr:uid="{00000000-0005-0000-0000-000015660000}"/>
    <cellStyle name="Input 28 2 3 2 2 3 2" xfId="26343" xr:uid="{00000000-0005-0000-0000-000016660000}"/>
    <cellStyle name="Input 28 2 3 2 2 4" xfId="26344" xr:uid="{00000000-0005-0000-0000-000017660000}"/>
    <cellStyle name="Input 28 2 3 2 2 5" xfId="26345" xr:uid="{00000000-0005-0000-0000-000018660000}"/>
    <cellStyle name="Input 28 2 3 2 2 6" xfId="26346" xr:uid="{00000000-0005-0000-0000-000019660000}"/>
    <cellStyle name="Input 28 2 3 2 3" xfId="26347" xr:uid="{00000000-0005-0000-0000-00001A660000}"/>
    <cellStyle name="Input 28 2 3 2 3 2" xfId="26348" xr:uid="{00000000-0005-0000-0000-00001B660000}"/>
    <cellStyle name="Input 28 2 3 2 4" xfId="26349" xr:uid="{00000000-0005-0000-0000-00001C660000}"/>
    <cellStyle name="Input 28 2 3 2 4 2" xfId="26350" xr:uid="{00000000-0005-0000-0000-00001D660000}"/>
    <cellStyle name="Input 28 2 3 2 5" xfId="26351" xr:uid="{00000000-0005-0000-0000-00001E660000}"/>
    <cellStyle name="Input 28 2 3 2 6" xfId="26352" xr:uid="{00000000-0005-0000-0000-00001F660000}"/>
    <cellStyle name="Input 28 2 3 2 7" xfId="26353" xr:uid="{00000000-0005-0000-0000-000020660000}"/>
    <cellStyle name="Input 28 2 3 3" xfId="26354" xr:uid="{00000000-0005-0000-0000-000021660000}"/>
    <cellStyle name="Input 28 2 3 3 2" xfId="26355" xr:uid="{00000000-0005-0000-0000-000022660000}"/>
    <cellStyle name="Input 28 2 3 3 2 2" xfId="26356" xr:uid="{00000000-0005-0000-0000-000023660000}"/>
    <cellStyle name="Input 28 2 3 3 3" xfId="26357" xr:uid="{00000000-0005-0000-0000-000024660000}"/>
    <cellStyle name="Input 28 2 3 3 3 2" xfId="26358" xr:uid="{00000000-0005-0000-0000-000025660000}"/>
    <cellStyle name="Input 28 2 3 3 4" xfId="26359" xr:uid="{00000000-0005-0000-0000-000026660000}"/>
    <cellStyle name="Input 28 2 3 3 5" xfId="26360" xr:uid="{00000000-0005-0000-0000-000027660000}"/>
    <cellStyle name="Input 28 2 3 3 6" xfId="26361" xr:uid="{00000000-0005-0000-0000-000028660000}"/>
    <cellStyle name="Input 28 2 3 4" xfId="26362" xr:uid="{00000000-0005-0000-0000-000029660000}"/>
    <cellStyle name="Input 28 2 3 4 2" xfId="26363" xr:uid="{00000000-0005-0000-0000-00002A660000}"/>
    <cellStyle name="Input 28 2 3 5" xfId="26364" xr:uid="{00000000-0005-0000-0000-00002B660000}"/>
    <cellStyle name="Input 28 2 3 5 2" xfId="26365" xr:uid="{00000000-0005-0000-0000-00002C660000}"/>
    <cellStyle name="Input 28 2 3 6" xfId="26366" xr:uid="{00000000-0005-0000-0000-00002D660000}"/>
    <cellStyle name="Input 28 2 3 7" xfId="26367" xr:uid="{00000000-0005-0000-0000-00002E660000}"/>
    <cellStyle name="Input 28 2 3 8" xfId="26368" xr:uid="{00000000-0005-0000-0000-00002F660000}"/>
    <cellStyle name="Input 28 2 4" xfId="26369" xr:uid="{00000000-0005-0000-0000-000030660000}"/>
    <cellStyle name="Input 28 2 4 2" xfId="26370" xr:uid="{00000000-0005-0000-0000-000031660000}"/>
    <cellStyle name="Input 28 2 4 2 2" xfId="26371" xr:uid="{00000000-0005-0000-0000-000032660000}"/>
    <cellStyle name="Input 28 2 4 2 2 2" xfId="26372" xr:uid="{00000000-0005-0000-0000-000033660000}"/>
    <cellStyle name="Input 28 2 4 2 3" xfId="26373" xr:uid="{00000000-0005-0000-0000-000034660000}"/>
    <cellStyle name="Input 28 2 4 2 3 2" xfId="26374" xr:uid="{00000000-0005-0000-0000-000035660000}"/>
    <cellStyle name="Input 28 2 4 2 4" xfId="26375" xr:uid="{00000000-0005-0000-0000-000036660000}"/>
    <cellStyle name="Input 28 2 4 2 5" xfId="26376" xr:uid="{00000000-0005-0000-0000-000037660000}"/>
    <cellStyle name="Input 28 2 4 2 6" xfId="26377" xr:uid="{00000000-0005-0000-0000-000038660000}"/>
    <cellStyle name="Input 28 2 4 3" xfId="26378" xr:uid="{00000000-0005-0000-0000-000039660000}"/>
    <cellStyle name="Input 28 2 4 3 2" xfId="26379" xr:uid="{00000000-0005-0000-0000-00003A660000}"/>
    <cellStyle name="Input 28 2 4 4" xfId="26380" xr:uid="{00000000-0005-0000-0000-00003B660000}"/>
    <cellStyle name="Input 28 2 4 4 2" xfId="26381" xr:uid="{00000000-0005-0000-0000-00003C660000}"/>
    <cellStyle name="Input 28 2 4 5" xfId="26382" xr:uid="{00000000-0005-0000-0000-00003D660000}"/>
    <cellStyle name="Input 28 2 4 6" xfId="26383" xr:uid="{00000000-0005-0000-0000-00003E660000}"/>
    <cellStyle name="Input 28 2 4 7" xfId="26384" xr:uid="{00000000-0005-0000-0000-00003F660000}"/>
    <cellStyle name="Input 28 2 5" xfId="26385" xr:uid="{00000000-0005-0000-0000-000040660000}"/>
    <cellStyle name="Input 28 2 5 2" xfId="26386" xr:uid="{00000000-0005-0000-0000-000041660000}"/>
    <cellStyle name="Input 28 2 5 2 2" xfId="26387" xr:uid="{00000000-0005-0000-0000-000042660000}"/>
    <cellStyle name="Input 28 2 5 3" xfId="26388" xr:uid="{00000000-0005-0000-0000-000043660000}"/>
    <cellStyle name="Input 28 2 5 3 2" xfId="26389" xr:uid="{00000000-0005-0000-0000-000044660000}"/>
    <cellStyle name="Input 28 2 5 4" xfId="26390" xr:uid="{00000000-0005-0000-0000-000045660000}"/>
    <cellStyle name="Input 28 2 5 5" xfId="26391" xr:uid="{00000000-0005-0000-0000-000046660000}"/>
    <cellStyle name="Input 28 2 5 6" xfId="26392" xr:uid="{00000000-0005-0000-0000-000047660000}"/>
    <cellStyle name="Input 28 2 6" xfId="26393" xr:uid="{00000000-0005-0000-0000-000048660000}"/>
    <cellStyle name="Input 28 2 6 2" xfId="26394" xr:uid="{00000000-0005-0000-0000-000049660000}"/>
    <cellStyle name="Input 28 2 7" xfId="26395" xr:uid="{00000000-0005-0000-0000-00004A660000}"/>
    <cellStyle name="Input 28 2 7 2" xfId="26396" xr:uid="{00000000-0005-0000-0000-00004B660000}"/>
    <cellStyle name="Input 28 2 8" xfId="26397" xr:uid="{00000000-0005-0000-0000-00004C660000}"/>
    <cellStyle name="Input 28 2 9" xfId="26398" xr:uid="{00000000-0005-0000-0000-00004D660000}"/>
    <cellStyle name="Input 28 3" xfId="26399" xr:uid="{00000000-0005-0000-0000-00004E660000}"/>
    <cellStyle name="Input 28 3 2" xfId="26400" xr:uid="{00000000-0005-0000-0000-00004F660000}"/>
    <cellStyle name="Input 28 3 2 2" xfId="26401" xr:uid="{00000000-0005-0000-0000-000050660000}"/>
    <cellStyle name="Input 28 3 2 2 2" xfId="26402" xr:uid="{00000000-0005-0000-0000-000051660000}"/>
    <cellStyle name="Input 28 3 2 2 2 2" xfId="26403" xr:uid="{00000000-0005-0000-0000-000052660000}"/>
    <cellStyle name="Input 28 3 2 2 3" xfId="26404" xr:uid="{00000000-0005-0000-0000-000053660000}"/>
    <cellStyle name="Input 28 3 2 2 3 2" xfId="26405" xr:uid="{00000000-0005-0000-0000-000054660000}"/>
    <cellStyle name="Input 28 3 2 2 4" xfId="26406" xr:uid="{00000000-0005-0000-0000-000055660000}"/>
    <cellStyle name="Input 28 3 2 2 5" xfId="26407" xr:uid="{00000000-0005-0000-0000-000056660000}"/>
    <cellStyle name="Input 28 3 2 2 6" xfId="26408" xr:uid="{00000000-0005-0000-0000-000057660000}"/>
    <cellStyle name="Input 28 3 2 3" xfId="26409" xr:uid="{00000000-0005-0000-0000-000058660000}"/>
    <cellStyle name="Input 28 3 2 3 2" xfId="26410" xr:uid="{00000000-0005-0000-0000-000059660000}"/>
    <cellStyle name="Input 28 3 2 4" xfId="26411" xr:uid="{00000000-0005-0000-0000-00005A660000}"/>
    <cellStyle name="Input 28 3 2 4 2" xfId="26412" xr:uid="{00000000-0005-0000-0000-00005B660000}"/>
    <cellStyle name="Input 28 3 2 5" xfId="26413" xr:uid="{00000000-0005-0000-0000-00005C660000}"/>
    <cellStyle name="Input 28 3 2 6" xfId="26414" xr:uid="{00000000-0005-0000-0000-00005D660000}"/>
    <cellStyle name="Input 28 3 2 7" xfId="26415" xr:uid="{00000000-0005-0000-0000-00005E660000}"/>
    <cellStyle name="Input 28 3 3" xfId="26416" xr:uid="{00000000-0005-0000-0000-00005F660000}"/>
    <cellStyle name="Input 28 3 3 2" xfId="26417" xr:uid="{00000000-0005-0000-0000-000060660000}"/>
    <cellStyle name="Input 28 3 3 2 2" xfId="26418" xr:uid="{00000000-0005-0000-0000-000061660000}"/>
    <cellStyle name="Input 28 3 3 3" xfId="26419" xr:uid="{00000000-0005-0000-0000-000062660000}"/>
    <cellStyle name="Input 28 3 3 3 2" xfId="26420" xr:uid="{00000000-0005-0000-0000-000063660000}"/>
    <cellStyle name="Input 28 3 3 4" xfId="26421" xr:uid="{00000000-0005-0000-0000-000064660000}"/>
    <cellStyle name="Input 28 3 3 5" xfId="26422" xr:uid="{00000000-0005-0000-0000-000065660000}"/>
    <cellStyle name="Input 28 3 3 6" xfId="26423" xr:uid="{00000000-0005-0000-0000-000066660000}"/>
    <cellStyle name="Input 28 3 4" xfId="26424" xr:uid="{00000000-0005-0000-0000-000067660000}"/>
    <cellStyle name="Input 28 3 4 2" xfId="26425" xr:uid="{00000000-0005-0000-0000-000068660000}"/>
    <cellStyle name="Input 28 3 5" xfId="26426" xr:uid="{00000000-0005-0000-0000-000069660000}"/>
    <cellStyle name="Input 28 3 5 2" xfId="26427" xr:uid="{00000000-0005-0000-0000-00006A660000}"/>
    <cellStyle name="Input 28 3 6" xfId="26428" xr:uid="{00000000-0005-0000-0000-00006B660000}"/>
    <cellStyle name="Input 28 3 7" xfId="26429" xr:uid="{00000000-0005-0000-0000-00006C660000}"/>
    <cellStyle name="Input 28 3 8" xfId="26430" xr:uid="{00000000-0005-0000-0000-00006D660000}"/>
    <cellStyle name="Input 28 4" xfId="26431" xr:uid="{00000000-0005-0000-0000-00006E660000}"/>
    <cellStyle name="Input 28 4 2" xfId="26432" xr:uid="{00000000-0005-0000-0000-00006F660000}"/>
    <cellStyle name="Input 28 4 2 2" xfId="26433" xr:uid="{00000000-0005-0000-0000-000070660000}"/>
    <cellStyle name="Input 28 4 2 2 2" xfId="26434" xr:uid="{00000000-0005-0000-0000-000071660000}"/>
    <cellStyle name="Input 28 4 2 2 2 2" xfId="26435" xr:uid="{00000000-0005-0000-0000-000072660000}"/>
    <cellStyle name="Input 28 4 2 2 3" xfId="26436" xr:uid="{00000000-0005-0000-0000-000073660000}"/>
    <cellStyle name="Input 28 4 2 2 3 2" xfId="26437" xr:uid="{00000000-0005-0000-0000-000074660000}"/>
    <cellStyle name="Input 28 4 2 2 4" xfId="26438" xr:uid="{00000000-0005-0000-0000-000075660000}"/>
    <cellStyle name="Input 28 4 2 2 5" xfId="26439" xr:uid="{00000000-0005-0000-0000-000076660000}"/>
    <cellStyle name="Input 28 4 2 2 6" xfId="26440" xr:uid="{00000000-0005-0000-0000-000077660000}"/>
    <cellStyle name="Input 28 4 2 3" xfId="26441" xr:uid="{00000000-0005-0000-0000-000078660000}"/>
    <cellStyle name="Input 28 4 2 3 2" xfId="26442" xr:uid="{00000000-0005-0000-0000-000079660000}"/>
    <cellStyle name="Input 28 4 2 4" xfId="26443" xr:uid="{00000000-0005-0000-0000-00007A660000}"/>
    <cellStyle name="Input 28 4 2 4 2" xfId="26444" xr:uid="{00000000-0005-0000-0000-00007B660000}"/>
    <cellStyle name="Input 28 4 2 5" xfId="26445" xr:uid="{00000000-0005-0000-0000-00007C660000}"/>
    <cellStyle name="Input 28 4 2 6" xfId="26446" xr:uid="{00000000-0005-0000-0000-00007D660000}"/>
    <cellStyle name="Input 28 4 2 7" xfId="26447" xr:uid="{00000000-0005-0000-0000-00007E660000}"/>
    <cellStyle name="Input 28 4 3" xfId="26448" xr:uid="{00000000-0005-0000-0000-00007F660000}"/>
    <cellStyle name="Input 28 4 3 2" xfId="26449" xr:uid="{00000000-0005-0000-0000-000080660000}"/>
    <cellStyle name="Input 28 4 3 2 2" xfId="26450" xr:uid="{00000000-0005-0000-0000-000081660000}"/>
    <cellStyle name="Input 28 4 3 3" xfId="26451" xr:uid="{00000000-0005-0000-0000-000082660000}"/>
    <cellStyle name="Input 28 4 3 3 2" xfId="26452" xr:uid="{00000000-0005-0000-0000-000083660000}"/>
    <cellStyle name="Input 28 4 3 4" xfId="26453" xr:uid="{00000000-0005-0000-0000-000084660000}"/>
    <cellStyle name="Input 28 4 3 5" xfId="26454" xr:uid="{00000000-0005-0000-0000-000085660000}"/>
    <cellStyle name="Input 28 4 3 6" xfId="26455" xr:uid="{00000000-0005-0000-0000-000086660000}"/>
    <cellStyle name="Input 28 4 4" xfId="26456" xr:uid="{00000000-0005-0000-0000-000087660000}"/>
    <cellStyle name="Input 28 4 4 2" xfId="26457" xr:uid="{00000000-0005-0000-0000-000088660000}"/>
    <cellStyle name="Input 28 4 5" xfId="26458" xr:uid="{00000000-0005-0000-0000-000089660000}"/>
    <cellStyle name="Input 28 4 5 2" xfId="26459" xr:uid="{00000000-0005-0000-0000-00008A660000}"/>
    <cellStyle name="Input 28 4 6" xfId="26460" xr:uid="{00000000-0005-0000-0000-00008B660000}"/>
    <cellStyle name="Input 28 4 7" xfId="26461" xr:uid="{00000000-0005-0000-0000-00008C660000}"/>
    <cellStyle name="Input 28 4 8" xfId="26462" xr:uid="{00000000-0005-0000-0000-00008D660000}"/>
    <cellStyle name="Input 28 5" xfId="26463" xr:uid="{00000000-0005-0000-0000-00008E660000}"/>
    <cellStyle name="Input 28 5 2" xfId="26464" xr:uid="{00000000-0005-0000-0000-00008F660000}"/>
    <cellStyle name="Input 28 5 2 2" xfId="26465" xr:uid="{00000000-0005-0000-0000-000090660000}"/>
    <cellStyle name="Input 28 5 2 2 2" xfId="26466" xr:uid="{00000000-0005-0000-0000-000091660000}"/>
    <cellStyle name="Input 28 5 2 3" xfId="26467" xr:uid="{00000000-0005-0000-0000-000092660000}"/>
    <cellStyle name="Input 28 5 2 3 2" xfId="26468" xr:uid="{00000000-0005-0000-0000-000093660000}"/>
    <cellStyle name="Input 28 5 2 4" xfId="26469" xr:uid="{00000000-0005-0000-0000-000094660000}"/>
    <cellStyle name="Input 28 5 2 5" xfId="26470" xr:uid="{00000000-0005-0000-0000-000095660000}"/>
    <cellStyle name="Input 28 5 2 6" xfId="26471" xr:uid="{00000000-0005-0000-0000-000096660000}"/>
    <cellStyle name="Input 28 5 3" xfId="26472" xr:uid="{00000000-0005-0000-0000-000097660000}"/>
    <cellStyle name="Input 28 5 3 2" xfId="26473" xr:uid="{00000000-0005-0000-0000-000098660000}"/>
    <cellStyle name="Input 28 5 4" xfId="26474" xr:uid="{00000000-0005-0000-0000-000099660000}"/>
    <cellStyle name="Input 28 5 4 2" xfId="26475" xr:uid="{00000000-0005-0000-0000-00009A660000}"/>
    <cellStyle name="Input 28 5 5" xfId="26476" xr:uid="{00000000-0005-0000-0000-00009B660000}"/>
    <cellStyle name="Input 28 5 6" xfId="26477" xr:uid="{00000000-0005-0000-0000-00009C660000}"/>
    <cellStyle name="Input 28 5 7" xfId="26478" xr:uid="{00000000-0005-0000-0000-00009D660000}"/>
    <cellStyle name="Input 28 6" xfId="26479" xr:uid="{00000000-0005-0000-0000-00009E660000}"/>
    <cellStyle name="Input 28 6 2" xfId="26480" xr:uid="{00000000-0005-0000-0000-00009F660000}"/>
    <cellStyle name="Input 28 6 2 2" xfId="26481" xr:uid="{00000000-0005-0000-0000-0000A0660000}"/>
    <cellStyle name="Input 28 6 3" xfId="26482" xr:uid="{00000000-0005-0000-0000-0000A1660000}"/>
    <cellStyle name="Input 28 6 3 2" xfId="26483" xr:uid="{00000000-0005-0000-0000-0000A2660000}"/>
    <cellStyle name="Input 28 6 4" xfId="26484" xr:uid="{00000000-0005-0000-0000-0000A3660000}"/>
    <cellStyle name="Input 28 6 5" xfId="26485" xr:uid="{00000000-0005-0000-0000-0000A4660000}"/>
    <cellStyle name="Input 28 6 6" xfId="26486" xr:uid="{00000000-0005-0000-0000-0000A5660000}"/>
    <cellStyle name="Input 28 7" xfId="26487" xr:uid="{00000000-0005-0000-0000-0000A6660000}"/>
    <cellStyle name="Input 28 7 2" xfId="26488" xr:uid="{00000000-0005-0000-0000-0000A7660000}"/>
    <cellStyle name="Input 28 8" xfId="26489" xr:uid="{00000000-0005-0000-0000-0000A8660000}"/>
    <cellStyle name="Input 28 8 2" xfId="26490" xr:uid="{00000000-0005-0000-0000-0000A9660000}"/>
    <cellStyle name="Input 28 9" xfId="26491" xr:uid="{00000000-0005-0000-0000-0000AA660000}"/>
    <cellStyle name="Input 29" xfId="26492" xr:uid="{00000000-0005-0000-0000-0000AB660000}"/>
    <cellStyle name="Input 29 10" xfId="26493" xr:uid="{00000000-0005-0000-0000-0000AC660000}"/>
    <cellStyle name="Input 29 11" xfId="26494" xr:uid="{00000000-0005-0000-0000-0000AD660000}"/>
    <cellStyle name="Input 29 2" xfId="26495" xr:uid="{00000000-0005-0000-0000-0000AE660000}"/>
    <cellStyle name="Input 29 2 10" xfId="26496" xr:uid="{00000000-0005-0000-0000-0000AF660000}"/>
    <cellStyle name="Input 29 2 2" xfId="26497" xr:uid="{00000000-0005-0000-0000-0000B0660000}"/>
    <cellStyle name="Input 29 2 2 2" xfId="26498" xr:uid="{00000000-0005-0000-0000-0000B1660000}"/>
    <cellStyle name="Input 29 2 2 2 2" xfId="26499" xr:uid="{00000000-0005-0000-0000-0000B2660000}"/>
    <cellStyle name="Input 29 2 2 2 2 2" xfId="26500" xr:uid="{00000000-0005-0000-0000-0000B3660000}"/>
    <cellStyle name="Input 29 2 2 2 2 2 2" xfId="26501" xr:uid="{00000000-0005-0000-0000-0000B4660000}"/>
    <cellStyle name="Input 29 2 2 2 2 3" xfId="26502" xr:uid="{00000000-0005-0000-0000-0000B5660000}"/>
    <cellStyle name="Input 29 2 2 2 2 3 2" xfId="26503" xr:uid="{00000000-0005-0000-0000-0000B6660000}"/>
    <cellStyle name="Input 29 2 2 2 2 4" xfId="26504" xr:uid="{00000000-0005-0000-0000-0000B7660000}"/>
    <cellStyle name="Input 29 2 2 2 2 5" xfId="26505" xr:uid="{00000000-0005-0000-0000-0000B8660000}"/>
    <cellStyle name="Input 29 2 2 2 2 6" xfId="26506" xr:uid="{00000000-0005-0000-0000-0000B9660000}"/>
    <cellStyle name="Input 29 2 2 2 3" xfId="26507" xr:uid="{00000000-0005-0000-0000-0000BA660000}"/>
    <cellStyle name="Input 29 2 2 2 3 2" xfId="26508" xr:uid="{00000000-0005-0000-0000-0000BB660000}"/>
    <cellStyle name="Input 29 2 2 2 4" xfId="26509" xr:uid="{00000000-0005-0000-0000-0000BC660000}"/>
    <cellStyle name="Input 29 2 2 2 4 2" xfId="26510" xr:uid="{00000000-0005-0000-0000-0000BD660000}"/>
    <cellStyle name="Input 29 2 2 2 5" xfId="26511" xr:uid="{00000000-0005-0000-0000-0000BE660000}"/>
    <cellStyle name="Input 29 2 2 2 6" xfId="26512" xr:uid="{00000000-0005-0000-0000-0000BF660000}"/>
    <cellStyle name="Input 29 2 2 2 7" xfId="26513" xr:uid="{00000000-0005-0000-0000-0000C0660000}"/>
    <cellStyle name="Input 29 2 2 3" xfId="26514" xr:uid="{00000000-0005-0000-0000-0000C1660000}"/>
    <cellStyle name="Input 29 2 2 3 2" xfId="26515" xr:uid="{00000000-0005-0000-0000-0000C2660000}"/>
    <cellStyle name="Input 29 2 2 3 2 2" xfId="26516" xr:uid="{00000000-0005-0000-0000-0000C3660000}"/>
    <cellStyle name="Input 29 2 2 3 3" xfId="26517" xr:uid="{00000000-0005-0000-0000-0000C4660000}"/>
    <cellStyle name="Input 29 2 2 3 3 2" xfId="26518" xr:uid="{00000000-0005-0000-0000-0000C5660000}"/>
    <cellStyle name="Input 29 2 2 3 4" xfId="26519" xr:uid="{00000000-0005-0000-0000-0000C6660000}"/>
    <cellStyle name="Input 29 2 2 3 5" xfId="26520" xr:uid="{00000000-0005-0000-0000-0000C7660000}"/>
    <cellStyle name="Input 29 2 2 3 6" xfId="26521" xr:uid="{00000000-0005-0000-0000-0000C8660000}"/>
    <cellStyle name="Input 29 2 2 4" xfId="26522" xr:uid="{00000000-0005-0000-0000-0000C9660000}"/>
    <cellStyle name="Input 29 2 2 4 2" xfId="26523" xr:uid="{00000000-0005-0000-0000-0000CA660000}"/>
    <cellStyle name="Input 29 2 2 5" xfId="26524" xr:uid="{00000000-0005-0000-0000-0000CB660000}"/>
    <cellStyle name="Input 29 2 2 5 2" xfId="26525" xr:uid="{00000000-0005-0000-0000-0000CC660000}"/>
    <cellStyle name="Input 29 2 2 6" xfId="26526" xr:uid="{00000000-0005-0000-0000-0000CD660000}"/>
    <cellStyle name="Input 29 2 2 7" xfId="26527" xr:uid="{00000000-0005-0000-0000-0000CE660000}"/>
    <cellStyle name="Input 29 2 2 8" xfId="26528" xr:uid="{00000000-0005-0000-0000-0000CF660000}"/>
    <cellStyle name="Input 29 2 3" xfId="26529" xr:uid="{00000000-0005-0000-0000-0000D0660000}"/>
    <cellStyle name="Input 29 2 3 2" xfId="26530" xr:uid="{00000000-0005-0000-0000-0000D1660000}"/>
    <cellStyle name="Input 29 2 3 2 2" xfId="26531" xr:uid="{00000000-0005-0000-0000-0000D2660000}"/>
    <cellStyle name="Input 29 2 3 2 2 2" xfId="26532" xr:uid="{00000000-0005-0000-0000-0000D3660000}"/>
    <cellStyle name="Input 29 2 3 2 2 2 2" xfId="26533" xr:uid="{00000000-0005-0000-0000-0000D4660000}"/>
    <cellStyle name="Input 29 2 3 2 2 3" xfId="26534" xr:uid="{00000000-0005-0000-0000-0000D5660000}"/>
    <cellStyle name="Input 29 2 3 2 2 3 2" xfId="26535" xr:uid="{00000000-0005-0000-0000-0000D6660000}"/>
    <cellStyle name="Input 29 2 3 2 2 4" xfId="26536" xr:uid="{00000000-0005-0000-0000-0000D7660000}"/>
    <cellStyle name="Input 29 2 3 2 2 5" xfId="26537" xr:uid="{00000000-0005-0000-0000-0000D8660000}"/>
    <cellStyle name="Input 29 2 3 2 2 6" xfId="26538" xr:uid="{00000000-0005-0000-0000-0000D9660000}"/>
    <cellStyle name="Input 29 2 3 2 3" xfId="26539" xr:uid="{00000000-0005-0000-0000-0000DA660000}"/>
    <cellStyle name="Input 29 2 3 2 3 2" xfId="26540" xr:uid="{00000000-0005-0000-0000-0000DB660000}"/>
    <cellStyle name="Input 29 2 3 2 4" xfId="26541" xr:uid="{00000000-0005-0000-0000-0000DC660000}"/>
    <cellStyle name="Input 29 2 3 2 4 2" xfId="26542" xr:uid="{00000000-0005-0000-0000-0000DD660000}"/>
    <cellStyle name="Input 29 2 3 2 5" xfId="26543" xr:uid="{00000000-0005-0000-0000-0000DE660000}"/>
    <cellStyle name="Input 29 2 3 2 6" xfId="26544" xr:uid="{00000000-0005-0000-0000-0000DF660000}"/>
    <cellStyle name="Input 29 2 3 2 7" xfId="26545" xr:uid="{00000000-0005-0000-0000-0000E0660000}"/>
    <cellStyle name="Input 29 2 3 3" xfId="26546" xr:uid="{00000000-0005-0000-0000-0000E1660000}"/>
    <cellStyle name="Input 29 2 3 3 2" xfId="26547" xr:uid="{00000000-0005-0000-0000-0000E2660000}"/>
    <cellStyle name="Input 29 2 3 3 2 2" xfId="26548" xr:uid="{00000000-0005-0000-0000-0000E3660000}"/>
    <cellStyle name="Input 29 2 3 3 3" xfId="26549" xr:uid="{00000000-0005-0000-0000-0000E4660000}"/>
    <cellStyle name="Input 29 2 3 3 3 2" xfId="26550" xr:uid="{00000000-0005-0000-0000-0000E5660000}"/>
    <cellStyle name="Input 29 2 3 3 4" xfId="26551" xr:uid="{00000000-0005-0000-0000-0000E6660000}"/>
    <cellStyle name="Input 29 2 3 3 5" xfId="26552" xr:uid="{00000000-0005-0000-0000-0000E7660000}"/>
    <cellStyle name="Input 29 2 3 3 6" xfId="26553" xr:uid="{00000000-0005-0000-0000-0000E8660000}"/>
    <cellStyle name="Input 29 2 3 4" xfId="26554" xr:uid="{00000000-0005-0000-0000-0000E9660000}"/>
    <cellStyle name="Input 29 2 3 4 2" xfId="26555" xr:uid="{00000000-0005-0000-0000-0000EA660000}"/>
    <cellStyle name="Input 29 2 3 5" xfId="26556" xr:uid="{00000000-0005-0000-0000-0000EB660000}"/>
    <cellStyle name="Input 29 2 3 5 2" xfId="26557" xr:uid="{00000000-0005-0000-0000-0000EC660000}"/>
    <cellStyle name="Input 29 2 3 6" xfId="26558" xr:uid="{00000000-0005-0000-0000-0000ED660000}"/>
    <cellStyle name="Input 29 2 3 7" xfId="26559" xr:uid="{00000000-0005-0000-0000-0000EE660000}"/>
    <cellStyle name="Input 29 2 3 8" xfId="26560" xr:uid="{00000000-0005-0000-0000-0000EF660000}"/>
    <cellStyle name="Input 29 2 4" xfId="26561" xr:uid="{00000000-0005-0000-0000-0000F0660000}"/>
    <cellStyle name="Input 29 2 4 2" xfId="26562" xr:uid="{00000000-0005-0000-0000-0000F1660000}"/>
    <cellStyle name="Input 29 2 4 2 2" xfId="26563" xr:uid="{00000000-0005-0000-0000-0000F2660000}"/>
    <cellStyle name="Input 29 2 4 2 2 2" xfId="26564" xr:uid="{00000000-0005-0000-0000-0000F3660000}"/>
    <cellStyle name="Input 29 2 4 2 3" xfId="26565" xr:uid="{00000000-0005-0000-0000-0000F4660000}"/>
    <cellStyle name="Input 29 2 4 2 3 2" xfId="26566" xr:uid="{00000000-0005-0000-0000-0000F5660000}"/>
    <cellStyle name="Input 29 2 4 2 4" xfId="26567" xr:uid="{00000000-0005-0000-0000-0000F6660000}"/>
    <cellStyle name="Input 29 2 4 2 5" xfId="26568" xr:uid="{00000000-0005-0000-0000-0000F7660000}"/>
    <cellStyle name="Input 29 2 4 2 6" xfId="26569" xr:uid="{00000000-0005-0000-0000-0000F8660000}"/>
    <cellStyle name="Input 29 2 4 3" xfId="26570" xr:uid="{00000000-0005-0000-0000-0000F9660000}"/>
    <cellStyle name="Input 29 2 4 3 2" xfId="26571" xr:uid="{00000000-0005-0000-0000-0000FA660000}"/>
    <cellStyle name="Input 29 2 4 4" xfId="26572" xr:uid="{00000000-0005-0000-0000-0000FB660000}"/>
    <cellStyle name="Input 29 2 4 4 2" xfId="26573" xr:uid="{00000000-0005-0000-0000-0000FC660000}"/>
    <cellStyle name="Input 29 2 4 5" xfId="26574" xr:uid="{00000000-0005-0000-0000-0000FD660000}"/>
    <cellStyle name="Input 29 2 4 6" xfId="26575" xr:uid="{00000000-0005-0000-0000-0000FE660000}"/>
    <cellStyle name="Input 29 2 4 7" xfId="26576" xr:uid="{00000000-0005-0000-0000-0000FF660000}"/>
    <cellStyle name="Input 29 2 5" xfId="26577" xr:uid="{00000000-0005-0000-0000-000000670000}"/>
    <cellStyle name="Input 29 2 5 2" xfId="26578" xr:uid="{00000000-0005-0000-0000-000001670000}"/>
    <cellStyle name="Input 29 2 5 2 2" xfId="26579" xr:uid="{00000000-0005-0000-0000-000002670000}"/>
    <cellStyle name="Input 29 2 5 3" xfId="26580" xr:uid="{00000000-0005-0000-0000-000003670000}"/>
    <cellStyle name="Input 29 2 5 3 2" xfId="26581" xr:uid="{00000000-0005-0000-0000-000004670000}"/>
    <cellStyle name="Input 29 2 5 4" xfId="26582" xr:uid="{00000000-0005-0000-0000-000005670000}"/>
    <cellStyle name="Input 29 2 5 5" xfId="26583" xr:uid="{00000000-0005-0000-0000-000006670000}"/>
    <cellStyle name="Input 29 2 5 6" xfId="26584" xr:uid="{00000000-0005-0000-0000-000007670000}"/>
    <cellStyle name="Input 29 2 6" xfId="26585" xr:uid="{00000000-0005-0000-0000-000008670000}"/>
    <cellStyle name="Input 29 2 6 2" xfId="26586" xr:uid="{00000000-0005-0000-0000-000009670000}"/>
    <cellStyle name="Input 29 2 7" xfId="26587" xr:uid="{00000000-0005-0000-0000-00000A670000}"/>
    <cellStyle name="Input 29 2 7 2" xfId="26588" xr:uid="{00000000-0005-0000-0000-00000B670000}"/>
    <cellStyle name="Input 29 2 8" xfId="26589" xr:uid="{00000000-0005-0000-0000-00000C670000}"/>
    <cellStyle name="Input 29 2 9" xfId="26590" xr:uid="{00000000-0005-0000-0000-00000D670000}"/>
    <cellStyle name="Input 29 3" xfId="26591" xr:uid="{00000000-0005-0000-0000-00000E670000}"/>
    <cellStyle name="Input 29 3 2" xfId="26592" xr:uid="{00000000-0005-0000-0000-00000F670000}"/>
    <cellStyle name="Input 29 3 2 2" xfId="26593" xr:uid="{00000000-0005-0000-0000-000010670000}"/>
    <cellStyle name="Input 29 3 2 2 2" xfId="26594" xr:uid="{00000000-0005-0000-0000-000011670000}"/>
    <cellStyle name="Input 29 3 2 2 2 2" xfId="26595" xr:uid="{00000000-0005-0000-0000-000012670000}"/>
    <cellStyle name="Input 29 3 2 2 3" xfId="26596" xr:uid="{00000000-0005-0000-0000-000013670000}"/>
    <cellStyle name="Input 29 3 2 2 3 2" xfId="26597" xr:uid="{00000000-0005-0000-0000-000014670000}"/>
    <cellStyle name="Input 29 3 2 2 4" xfId="26598" xr:uid="{00000000-0005-0000-0000-000015670000}"/>
    <cellStyle name="Input 29 3 2 2 5" xfId="26599" xr:uid="{00000000-0005-0000-0000-000016670000}"/>
    <cellStyle name="Input 29 3 2 2 6" xfId="26600" xr:uid="{00000000-0005-0000-0000-000017670000}"/>
    <cellStyle name="Input 29 3 2 3" xfId="26601" xr:uid="{00000000-0005-0000-0000-000018670000}"/>
    <cellStyle name="Input 29 3 2 3 2" xfId="26602" xr:uid="{00000000-0005-0000-0000-000019670000}"/>
    <cellStyle name="Input 29 3 2 4" xfId="26603" xr:uid="{00000000-0005-0000-0000-00001A670000}"/>
    <cellStyle name="Input 29 3 2 4 2" xfId="26604" xr:uid="{00000000-0005-0000-0000-00001B670000}"/>
    <cellStyle name="Input 29 3 2 5" xfId="26605" xr:uid="{00000000-0005-0000-0000-00001C670000}"/>
    <cellStyle name="Input 29 3 2 6" xfId="26606" xr:uid="{00000000-0005-0000-0000-00001D670000}"/>
    <cellStyle name="Input 29 3 2 7" xfId="26607" xr:uid="{00000000-0005-0000-0000-00001E670000}"/>
    <cellStyle name="Input 29 3 3" xfId="26608" xr:uid="{00000000-0005-0000-0000-00001F670000}"/>
    <cellStyle name="Input 29 3 3 2" xfId="26609" xr:uid="{00000000-0005-0000-0000-000020670000}"/>
    <cellStyle name="Input 29 3 3 2 2" xfId="26610" xr:uid="{00000000-0005-0000-0000-000021670000}"/>
    <cellStyle name="Input 29 3 3 3" xfId="26611" xr:uid="{00000000-0005-0000-0000-000022670000}"/>
    <cellStyle name="Input 29 3 3 3 2" xfId="26612" xr:uid="{00000000-0005-0000-0000-000023670000}"/>
    <cellStyle name="Input 29 3 3 4" xfId="26613" xr:uid="{00000000-0005-0000-0000-000024670000}"/>
    <cellStyle name="Input 29 3 3 5" xfId="26614" xr:uid="{00000000-0005-0000-0000-000025670000}"/>
    <cellStyle name="Input 29 3 3 6" xfId="26615" xr:uid="{00000000-0005-0000-0000-000026670000}"/>
    <cellStyle name="Input 29 3 4" xfId="26616" xr:uid="{00000000-0005-0000-0000-000027670000}"/>
    <cellStyle name="Input 29 3 4 2" xfId="26617" xr:uid="{00000000-0005-0000-0000-000028670000}"/>
    <cellStyle name="Input 29 3 5" xfId="26618" xr:uid="{00000000-0005-0000-0000-000029670000}"/>
    <cellStyle name="Input 29 3 5 2" xfId="26619" xr:uid="{00000000-0005-0000-0000-00002A670000}"/>
    <cellStyle name="Input 29 3 6" xfId="26620" xr:uid="{00000000-0005-0000-0000-00002B670000}"/>
    <cellStyle name="Input 29 3 7" xfId="26621" xr:uid="{00000000-0005-0000-0000-00002C670000}"/>
    <cellStyle name="Input 29 3 8" xfId="26622" xr:uid="{00000000-0005-0000-0000-00002D670000}"/>
    <cellStyle name="Input 29 4" xfId="26623" xr:uid="{00000000-0005-0000-0000-00002E670000}"/>
    <cellStyle name="Input 29 4 2" xfId="26624" xr:uid="{00000000-0005-0000-0000-00002F670000}"/>
    <cellStyle name="Input 29 4 2 2" xfId="26625" xr:uid="{00000000-0005-0000-0000-000030670000}"/>
    <cellStyle name="Input 29 4 2 2 2" xfId="26626" xr:uid="{00000000-0005-0000-0000-000031670000}"/>
    <cellStyle name="Input 29 4 2 2 2 2" xfId="26627" xr:uid="{00000000-0005-0000-0000-000032670000}"/>
    <cellStyle name="Input 29 4 2 2 3" xfId="26628" xr:uid="{00000000-0005-0000-0000-000033670000}"/>
    <cellStyle name="Input 29 4 2 2 3 2" xfId="26629" xr:uid="{00000000-0005-0000-0000-000034670000}"/>
    <cellStyle name="Input 29 4 2 2 4" xfId="26630" xr:uid="{00000000-0005-0000-0000-000035670000}"/>
    <cellStyle name="Input 29 4 2 2 5" xfId="26631" xr:uid="{00000000-0005-0000-0000-000036670000}"/>
    <cellStyle name="Input 29 4 2 2 6" xfId="26632" xr:uid="{00000000-0005-0000-0000-000037670000}"/>
    <cellStyle name="Input 29 4 2 3" xfId="26633" xr:uid="{00000000-0005-0000-0000-000038670000}"/>
    <cellStyle name="Input 29 4 2 3 2" xfId="26634" xr:uid="{00000000-0005-0000-0000-000039670000}"/>
    <cellStyle name="Input 29 4 2 4" xfId="26635" xr:uid="{00000000-0005-0000-0000-00003A670000}"/>
    <cellStyle name="Input 29 4 2 4 2" xfId="26636" xr:uid="{00000000-0005-0000-0000-00003B670000}"/>
    <cellStyle name="Input 29 4 2 5" xfId="26637" xr:uid="{00000000-0005-0000-0000-00003C670000}"/>
    <cellStyle name="Input 29 4 2 6" xfId="26638" xr:uid="{00000000-0005-0000-0000-00003D670000}"/>
    <cellStyle name="Input 29 4 2 7" xfId="26639" xr:uid="{00000000-0005-0000-0000-00003E670000}"/>
    <cellStyle name="Input 29 4 3" xfId="26640" xr:uid="{00000000-0005-0000-0000-00003F670000}"/>
    <cellStyle name="Input 29 4 3 2" xfId="26641" xr:uid="{00000000-0005-0000-0000-000040670000}"/>
    <cellStyle name="Input 29 4 3 2 2" xfId="26642" xr:uid="{00000000-0005-0000-0000-000041670000}"/>
    <cellStyle name="Input 29 4 3 3" xfId="26643" xr:uid="{00000000-0005-0000-0000-000042670000}"/>
    <cellStyle name="Input 29 4 3 3 2" xfId="26644" xr:uid="{00000000-0005-0000-0000-000043670000}"/>
    <cellStyle name="Input 29 4 3 4" xfId="26645" xr:uid="{00000000-0005-0000-0000-000044670000}"/>
    <cellStyle name="Input 29 4 3 5" xfId="26646" xr:uid="{00000000-0005-0000-0000-000045670000}"/>
    <cellStyle name="Input 29 4 3 6" xfId="26647" xr:uid="{00000000-0005-0000-0000-000046670000}"/>
    <cellStyle name="Input 29 4 4" xfId="26648" xr:uid="{00000000-0005-0000-0000-000047670000}"/>
    <cellStyle name="Input 29 4 4 2" xfId="26649" xr:uid="{00000000-0005-0000-0000-000048670000}"/>
    <cellStyle name="Input 29 4 5" xfId="26650" xr:uid="{00000000-0005-0000-0000-000049670000}"/>
    <cellStyle name="Input 29 4 5 2" xfId="26651" xr:uid="{00000000-0005-0000-0000-00004A670000}"/>
    <cellStyle name="Input 29 4 6" xfId="26652" xr:uid="{00000000-0005-0000-0000-00004B670000}"/>
    <cellStyle name="Input 29 4 7" xfId="26653" xr:uid="{00000000-0005-0000-0000-00004C670000}"/>
    <cellStyle name="Input 29 4 8" xfId="26654" xr:uid="{00000000-0005-0000-0000-00004D670000}"/>
    <cellStyle name="Input 29 5" xfId="26655" xr:uid="{00000000-0005-0000-0000-00004E670000}"/>
    <cellStyle name="Input 29 5 2" xfId="26656" xr:uid="{00000000-0005-0000-0000-00004F670000}"/>
    <cellStyle name="Input 29 5 2 2" xfId="26657" xr:uid="{00000000-0005-0000-0000-000050670000}"/>
    <cellStyle name="Input 29 5 2 2 2" xfId="26658" xr:uid="{00000000-0005-0000-0000-000051670000}"/>
    <cellStyle name="Input 29 5 2 3" xfId="26659" xr:uid="{00000000-0005-0000-0000-000052670000}"/>
    <cellStyle name="Input 29 5 2 3 2" xfId="26660" xr:uid="{00000000-0005-0000-0000-000053670000}"/>
    <cellStyle name="Input 29 5 2 4" xfId="26661" xr:uid="{00000000-0005-0000-0000-000054670000}"/>
    <cellStyle name="Input 29 5 2 5" xfId="26662" xr:uid="{00000000-0005-0000-0000-000055670000}"/>
    <cellStyle name="Input 29 5 2 6" xfId="26663" xr:uid="{00000000-0005-0000-0000-000056670000}"/>
    <cellStyle name="Input 29 5 3" xfId="26664" xr:uid="{00000000-0005-0000-0000-000057670000}"/>
    <cellStyle name="Input 29 5 3 2" xfId="26665" xr:uid="{00000000-0005-0000-0000-000058670000}"/>
    <cellStyle name="Input 29 5 4" xfId="26666" xr:uid="{00000000-0005-0000-0000-000059670000}"/>
    <cellStyle name="Input 29 5 4 2" xfId="26667" xr:uid="{00000000-0005-0000-0000-00005A670000}"/>
    <cellStyle name="Input 29 5 5" xfId="26668" xr:uid="{00000000-0005-0000-0000-00005B670000}"/>
    <cellStyle name="Input 29 5 6" xfId="26669" xr:uid="{00000000-0005-0000-0000-00005C670000}"/>
    <cellStyle name="Input 29 5 7" xfId="26670" xr:uid="{00000000-0005-0000-0000-00005D670000}"/>
    <cellStyle name="Input 29 6" xfId="26671" xr:uid="{00000000-0005-0000-0000-00005E670000}"/>
    <cellStyle name="Input 29 6 2" xfId="26672" xr:uid="{00000000-0005-0000-0000-00005F670000}"/>
    <cellStyle name="Input 29 6 2 2" xfId="26673" xr:uid="{00000000-0005-0000-0000-000060670000}"/>
    <cellStyle name="Input 29 6 3" xfId="26674" xr:uid="{00000000-0005-0000-0000-000061670000}"/>
    <cellStyle name="Input 29 6 3 2" xfId="26675" xr:uid="{00000000-0005-0000-0000-000062670000}"/>
    <cellStyle name="Input 29 6 4" xfId="26676" xr:uid="{00000000-0005-0000-0000-000063670000}"/>
    <cellStyle name="Input 29 6 5" xfId="26677" xr:uid="{00000000-0005-0000-0000-000064670000}"/>
    <cellStyle name="Input 29 6 6" xfId="26678" xr:uid="{00000000-0005-0000-0000-000065670000}"/>
    <cellStyle name="Input 29 7" xfId="26679" xr:uid="{00000000-0005-0000-0000-000066670000}"/>
    <cellStyle name="Input 29 7 2" xfId="26680" xr:uid="{00000000-0005-0000-0000-000067670000}"/>
    <cellStyle name="Input 29 8" xfId="26681" xr:uid="{00000000-0005-0000-0000-000068670000}"/>
    <cellStyle name="Input 29 8 2" xfId="26682" xr:uid="{00000000-0005-0000-0000-000069670000}"/>
    <cellStyle name="Input 29 9" xfId="26683" xr:uid="{00000000-0005-0000-0000-00006A670000}"/>
    <cellStyle name="Input 3" xfId="26684" xr:uid="{00000000-0005-0000-0000-00006B670000}"/>
    <cellStyle name="Input 3 10" xfId="26685" xr:uid="{00000000-0005-0000-0000-00006C670000}"/>
    <cellStyle name="Input 3 11" xfId="26686" xr:uid="{00000000-0005-0000-0000-00006D670000}"/>
    <cellStyle name="Input 3 2" xfId="26687" xr:uid="{00000000-0005-0000-0000-00006E670000}"/>
    <cellStyle name="Input 3 2 10" xfId="26688" xr:uid="{00000000-0005-0000-0000-00006F670000}"/>
    <cellStyle name="Input 3 2 11" xfId="26689" xr:uid="{00000000-0005-0000-0000-000070670000}"/>
    <cellStyle name="Input 3 2 12" xfId="26690" xr:uid="{00000000-0005-0000-0000-000071670000}"/>
    <cellStyle name="Input 3 2 2" xfId="26691" xr:uid="{00000000-0005-0000-0000-000072670000}"/>
    <cellStyle name="Input 3 2 2 10" xfId="26692" xr:uid="{00000000-0005-0000-0000-000073670000}"/>
    <cellStyle name="Input 3 2 2 11" xfId="26693" xr:uid="{00000000-0005-0000-0000-000074670000}"/>
    <cellStyle name="Input 3 2 2 12" xfId="26694" xr:uid="{00000000-0005-0000-0000-000075670000}"/>
    <cellStyle name="Input 3 2 2 2" xfId="26695" xr:uid="{00000000-0005-0000-0000-000076670000}"/>
    <cellStyle name="Input 3 2 2 2 10" xfId="26696" xr:uid="{00000000-0005-0000-0000-000077670000}"/>
    <cellStyle name="Input 3 2 2 2 11" xfId="26697" xr:uid="{00000000-0005-0000-0000-000078670000}"/>
    <cellStyle name="Input 3 2 2 2 2" xfId="26698" xr:uid="{00000000-0005-0000-0000-000079670000}"/>
    <cellStyle name="Input 3 2 2 2 2 10" xfId="26699" xr:uid="{00000000-0005-0000-0000-00007A670000}"/>
    <cellStyle name="Input 3 2 2 2 2 2" xfId="26700" xr:uid="{00000000-0005-0000-0000-00007B670000}"/>
    <cellStyle name="Input 3 2 2 2 2 2 2" xfId="26701" xr:uid="{00000000-0005-0000-0000-00007C670000}"/>
    <cellStyle name="Input 3 2 2 2 2 2 2 2" xfId="26702" xr:uid="{00000000-0005-0000-0000-00007D670000}"/>
    <cellStyle name="Input 3 2 2 2 2 2 2 2 2" xfId="26703" xr:uid="{00000000-0005-0000-0000-00007E670000}"/>
    <cellStyle name="Input 3 2 2 2 2 2 2 2 2 2" xfId="26704" xr:uid="{00000000-0005-0000-0000-00007F670000}"/>
    <cellStyle name="Input 3 2 2 2 2 2 2 2 3" xfId="26705" xr:uid="{00000000-0005-0000-0000-000080670000}"/>
    <cellStyle name="Input 3 2 2 2 2 2 2 2 3 2" xfId="26706" xr:uid="{00000000-0005-0000-0000-000081670000}"/>
    <cellStyle name="Input 3 2 2 2 2 2 2 2 4" xfId="26707" xr:uid="{00000000-0005-0000-0000-000082670000}"/>
    <cellStyle name="Input 3 2 2 2 2 2 2 2 5" xfId="26708" xr:uid="{00000000-0005-0000-0000-000083670000}"/>
    <cellStyle name="Input 3 2 2 2 2 2 2 2 6" xfId="26709" xr:uid="{00000000-0005-0000-0000-000084670000}"/>
    <cellStyle name="Input 3 2 2 2 2 2 2 3" xfId="26710" xr:uid="{00000000-0005-0000-0000-000085670000}"/>
    <cellStyle name="Input 3 2 2 2 2 2 2 3 2" xfId="26711" xr:uid="{00000000-0005-0000-0000-000086670000}"/>
    <cellStyle name="Input 3 2 2 2 2 2 2 4" xfId="26712" xr:uid="{00000000-0005-0000-0000-000087670000}"/>
    <cellStyle name="Input 3 2 2 2 2 2 2 4 2" xfId="26713" xr:uid="{00000000-0005-0000-0000-000088670000}"/>
    <cellStyle name="Input 3 2 2 2 2 2 2 5" xfId="26714" xr:uid="{00000000-0005-0000-0000-000089670000}"/>
    <cellStyle name="Input 3 2 2 2 2 2 2 6" xfId="26715" xr:uid="{00000000-0005-0000-0000-00008A670000}"/>
    <cellStyle name="Input 3 2 2 2 2 2 2 7" xfId="26716" xr:uid="{00000000-0005-0000-0000-00008B670000}"/>
    <cellStyle name="Input 3 2 2 2 2 2 3" xfId="26717" xr:uid="{00000000-0005-0000-0000-00008C670000}"/>
    <cellStyle name="Input 3 2 2 2 2 2 3 2" xfId="26718" xr:uid="{00000000-0005-0000-0000-00008D670000}"/>
    <cellStyle name="Input 3 2 2 2 2 2 3 2 2" xfId="26719" xr:uid="{00000000-0005-0000-0000-00008E670000}"/>
    <cellStyle name="Input 3 2 2 2 2 2 3 3" xfId="26720" xr:uid="{00000000-0005-0000-0000-00008F670000}"/>
    <cellStyle name="Input 3 2 2 2 2 2 3 3 2" xfId="26721" xr:uid="{00000000-0005-0000-0000-000090670000}"/>
    <cellStyle name="Input 3 2 2 2 2 2 3 4" xfId="26722" xr:uid="{00000000-0005-0000-0000-000091670000}"/>
    <cellStyle name="Input 3 2 2 2 2 2 3 5" xfId="26723" xr:uid="{00000000-0005-0000-0000-000092670000}"/>
    <cellStyle name="Input 3 2 2 2 2 2 3 6" xfId="26724" xr:uid="{00000000-0005-0000-0000-000093670000}"/>
    <cellStyle name="Input 3 2 2 2 2 2 4" xfId="26725" xr:uid="{00000000-0005-0000-0000-000094670000}"/>
    <cellStyle name="Input 3 2 2 2 2 2 4 2" xfId="26726" xr:uid="{00000000-0005-0000-0000-000095670000}"/>
    <cellStyle name="Input 3 2 2 2 2 2 5" xfId="26727" xr:uid="{00000000-0005-0000-0000-000096670000}"/>
    <cellStyle name="Input 3 2 2 2 2 2 5 2" xfId="26728" xr:uid="{00000000-0005-0000-0000-000097670000}"/>
    <cellStyle name="Input 3 2 2 2 2 2 6" xfId="26729" xr:uid="{00000000-0005-0000-0000-000098670000}"/>
    <cellStyle name="Input 3 2 2 2 2 2 7" xfId="26730" xr:uid="{00000000-0005-0000-0000-000099670000}"/>
    <cellStyle name="Input 3 2 2 2 2 2 8" xfId="26731" xr:uid="{00000000-0005-0000-0000-00009A670000}"/>
    <cellStyle name="Input 3 2 2 2 2 3" xfId="26732" xr:uid="{00000000-0005-0000-0000-00009B670000}"/>
    <cellStyle name="Input 3 2 2 2 2 3 2" xfId="26733" xr:uid="{00000000-0005-0000-0000-00009C670000}"/>
    <cellStyle name="Input 3 2 2 2 2 3 2 2" xfId="26734" xr:uid="{00000000-0005-0000-0000-00009D670000}"/>
    <cellStyle name="Input 3 2 2 2 2 3 2 2 2" xfId="26735" xr:uid="{00000000-0005-0000-0000-00009E670000}"/>
    <cellStyle name="Input 3 2 2 2 2 3 2 2 2 2" xfId="26736" xr:uid="{00000000-0005-0000-0000-00009F670000}"/>
    <cellStyle name="Input 3 2 2 2 2 3 2 2 3" xfId="26737" xr:uid="{00000000-0005-0000-0000-0000A0670000}"/>
    <cellStyle name="Input 3 2 2 2 2 3 2 2 3 2" xfId="26738" xr:uid="{00000000-0005-0000-0000-0000A1670000}"/>
    <cellStyle name="Input 3 2 2 2 2 3 2 2 4" xfId="26739" xr:uid="{00000000-0005-0000-0000-0000A2670000}"/>
    <cellStyle name="Input 3 2 2 2 2 3 2 2 5" xfId="26740" xr:uid="{00000000-0005-0000-0000-0000A3670000}"/>
    <cellStyle name="Input 3 2 2 2 2 3 2 2 6" xfId="26741" xr:uid="{00000000-0005-0000-0000-0000A4670000}"/>
    <cellStyle name="Input 3 2 2 2 2 3 2 3" xfId="26742" xr:uid="{00000000-0005-0000-0000-0000A5670000}"/>
    <cellStyle name="Input 3 2 2 2 2 3 2 3 2" xfId="26743" xr:uid="{00000000-0005-0000-0000-0000A6670000}"/>
    <cellStyle name="Input 3 2 2 2 2 3 2 4" xfId="26744" xr:uid="{00000000-0005-0000-0000-0000A7670000}"/>
    <cellStyle name="Input 3 2 2 2 2 3 2 4 2" xfId="26745" xr:uid="{00000000-0005-0000-0000-0000A8670000}"/>
    <cellStyle name="Input 3 2 2 2 2 3 2 5" xfId="26746" xr:uid="{00000000-0005-0000-0000-0000A9670000}"/>
    <cellStyle name="Input 3 2 2 2 2 3 2 6" xfId="26747" xr:uid="{00000000-0005-0000-0000-0000AA670000}"/>
    <cellStyle name="Input 3 2 2 2 2 3 2 7" xfId="26748" xr:uid="{00000000-0005-0000-0000-0000AB670000}"/>
    <cellStyle name="Input 3 2 2 2 2 3 3" xfId="26749" xr:uid="{00000000-0005-0000-0000-0000AC670000}"/>
    <cellStyle name="Input 3 2 2 2 2 3 3 2" xfId="26750" xr:uid="{00000000-0005-0000-0000-0000AD670000}"/>
    <cellStyle name="Input 3 2 2 2 2 3 3 2 2" xfId="26751" xr:uid="{00000000-0005-0000-0000-0000AE670000}"/>
    <cellStyle name="Input 3 2 2 2 2 3 3 3" xfId="26752" xr:uid="{00000000-0005-0000-0000-0000AF670000}"/>
    <cellStyle name="Input 3 2 2 2 2 3 3 3 2" xfId="26753" xr:uid="{00000000-0005-0000-0000-0000B0670000}"/>
    <cellStyle name="Input 3 2 2 2 2 3 3 4" xfId="26754" xr:uid="{00000000-0005-0000-0000-0000B1670000}"/>
    <cellStyle name="Input 3 2 2 2 2 3 3 5" xfId="26755" xr:uid="{00000000-0005-0000-0000-0000B2670000}"/>
    <cellStyle name="Input 3 2 2 2 2 3 3 6" xfId="26756" xr:uid="{00000000-0005-0000-0000-0000B3670000}"/>
    <cellStyle name="Input 3 2 2 2 2 3 4" xfId="26757" xr:uid="{00000000-0005-0000-0000-0000B4670000}"/>
    <cellStyle name="Input 3 2 2 2 2 3 4 2" xfId="26758" xr:uid="{00000000-0005-0000-0000-0000B5670000}"/>
    <cellStyle name="Input 3 2 2 2 2 3 5" xfId="26759" xr:uid="{00000000-0005-0000-0000-0000B6670000}"/>
    <cellStyle name="Input 3 2 2 2 2 3 5 2" xfId="26760" xr:uid="{00000000-0005-0000-0000-0000B7670000}"/>
    <cellStyle name="Input 3 2 2 2 2 3 6" xfId="26761" xr:uid="{00000000-0005-0000-0000-0000B8670000}"/>
    <cellStyle name="Input 3 2 2 2 2 3 7" xfId="26762" xr:uid="{00000000-0005-0000-0000-0000B9670000}"/>
    <cellStyle name="Input 3 2 2 2 2 3 8" xfId="26763" xr:uid="{00000000-0005-0000-0000-0000BA670000}"/>
    <cellStyle name="Input 3 2 2 2 2 4" xfId="26764" xr:uid="{00000000-0005-0000-0000-0000BB670000}"/>
    <cellStyle name="Input 3 2 2 2 2 4 2" xfId="26765" xr:uid="{00000000-0005-0000-0000-0000BC670000}"/>
    <cellStyle name="Input 3 2 2 2 2 4 2 2" xfId="26766" xr:uid="{00000000-0005-0000-0000-0000BD670000}"/>
    <cellStyle name="Input 3 2 2 2 2 4 2 2 2" xfId="26767" xr:uid="{00000000-0005-0000-0000-0000BE670000}"/>
    <cellStyle name="Input 3 2 2 2 2 4 2 3" xfId="26768" xr:uid="{00000000-0005-0000-0000-0000BF670000}"/>
    <cellStyle name="Input 3 2 2 2 2 4 2 3 2" xfId="26769" xr:uid="{00000000-0005-0000-0000-0000C0670000}"/>
    <cellStyle name="Input 3 2 2 2 2 4 2 4" xfId="26770" xr:uid="{00000000-0005-0000-0000-0000C1670000}"/>
    <cellStyle name="Input 3 2 2 2 2 4 2 5" xfId="26771" xr:uid="{00000000-0005-0000-0000-0000C2670000}"/>
    <cellStyle name="Input 3 2 2 2 2 4 2 6" xfId="26772" xr:uid="{00000000-0005-0000-0000-0000C3670000}"/>
    <cellStyle name="Input 3 2 2 2 2 4 3" xfId="26773" xr:uid="{00000000-0005-0000-0000-0000C4670000}"/>
    <cellStyle name="Input 3 2 2 2 2 4 3 2" xfId="26774" xr:uid="{00000000-0005-0000-0000-0000C5670000}"/>
    <cellStyle name="Input 3 2 2 2 2 4 4" xfId="26775" xr:uid="{00000000-0005-0000-0000-0000C6670000}"/>
    <cellStyle name="Input 3 2 2 2 2 4 4 2" xfId="26776" xr:uid="{00000000-0005-0000-0000-0000C7670000}"/>
    <cellStyle name="Input 3 2 2 2 2 4 5" xfId="26777" xr:uid="{00000000-0005-0000-0000-0000C8670000}"/>
    <cellStyle name="Input 3 2 2 2 2 4 6" xfId="26778" xr:uid="{00000000-0005-0000-0000-0000C9670000}"/>
    <cellStyle name="Input 3 2 2 2 2 4 7" xfId="26779" xr:uid="{00000000-0005-0000-0000-0000CA670000}"/>
    <cellStyle name="Input 3 2 2 2 2 5" xfId="26780" xr:uid="{00000000-0005-0000-0000-0000CB670000}"/>
    <cellStyle name="Input 3 2 2 2 2 5 2" xfId="26781" xr:uid="{00000000-0005-0000-0000-0000CC670000}"/>
    <cellStyle name="Input 3 2 2 2 2 5 2 2" xfId="26782" xr:uid="{00000000-0005-0000-0000-0000CD670000}"/>
    <cellStyle name="Input 3 2 2 2 2 5 3" xfId="26783" xr:uid="{00000000-0005-0000-0000-0000CE670000}"/>
    <cellStyle name="Input 3 2 2 2 2 5 3 2" xfId="26784" xr:uid="{00000000-0005-0000-0000-0000CF670000}"/>
    <cellStyle name="Input 3 2 2 2 2 5 4" xfId="26785" xr:uid="{00000000-0005-0000-0000-0000D0670000}"/>
    <cellStyle name="Input 3 2 2 2 2 5 5" xfId="26786" xr:uid="{00000000-0005-0000-0000-0000D1670000}"/>
    <cellStyle name="Input 3 2 2 2 2 5 6" xfId="26787" xr:uid="{00000000-0005-0000-0000-0000D2670000}"/>
    <cellStyle name="Input 3 2 2 2 2 6" xfId="26788" xr:uid="{00000000-0005-0000-0000-0000D3670000}"/>
    <cellStyle name="Input 3 2 2 2 2 6 2" xfId="26789" xr:uid="{00000000-0005-0000-0000-0000D4670000}"/>
    <cellStyle name="Input 3 2 2 2 2 7" xfId="26790" xr:uid="{00000000-0005-0000-0000-0000D5670000}"/>
    <cellStyle name="Input 3 2 2 2 2 7 2" xfId="26791" xr:uid="{00000000-0005-0000-0000-0000D6670000}"/>
    <cellStyle name="Input 3 2 2 2 2 8" xfId="26792" xr:uid="{00000000-0005-0000-0000-0000D7670000}"/>
    <cellStyle name="Input 3 2 2 2 2 9" xfId="26793" xr:uid="{00000000-0005-0000-0000-0000D8670000}"/>
    <cellStyle name="Input 3 2 2 2 3" xfId="26794" xr:uid="{00000000-0005-0000-0000-0000D9670000}"/>
    <cellStyle name="Input 3 2 2 2 3 2" xfId="26795" xr:uid="{00000000-0005-0000-0000-0000DA670000}"/>
    <cellStyle name="Input 3 2 2 2 3 2 2" xfId="26796" xr:uid="{00000000-0005-0000-0000-0000DB670000}"/>
    <cellStyle name="Input 3 2 2 2 3 2 2 2" xfId="26797" xr:uid="{00000000-0005-0000-0000-0000DC670000}"/>
    <cellStyle name="Input 3 2 2 2 3 2 2 2 2" xfId="26798" xr:uid="{00000000-0005-0000-0000-0000DD670000}"/>
    <cellStyle name="Input 3 2 2 2 3 2 2 3" xfId="26799" xr:uid="{00000000-0005-0000-0000-0000DE670000}"/>
    <cellStyle name="Input 3 2 2 2 3 2 2 3 2" xfId="26800" xr:uid="{00000000-0005-0000-0000-0000DF670000}"/>
    <cellStyle name="Input 3 2 2 2 3 2 2 4" xfId="26801" xr:uid="{00000000-0005-0000-0000-0000E0670000}"/>
    <cellStyle name="Input 3 2 2 2 3 2 2 5" xfId="26802" xr:uid="{00000000-0005-0000-0000-0000E1670000}"/>
    <cellStyle name="Input 3 2 2 2 3 2 2 6" xfId="26803" xr:uid="{00000000-0005-0000-0000-0000E2670000}"/>
    <cellStyle name="Input 3 2 2 2 3 2 3" xfId="26804" xr:uid="{00000000-0005-0000-0000-0000E3670000}"/>
    <cellStyle name="Input 3 2 2 2 3 2 3 2" xfId="26805" xr:uid="{00000000-0005-0000-0000-0000E4670000}"/>
    <cellStyle name="Input 3 2 2 2 3 2 4" xfId="26806" xr:uid="{00000000-0005-0000-0000-0000E5670000}"/>
    <cellStyle name="Input 3 2 2 2 3 2 4 2" xfId="26807" xr:uid="{00000000-0005-0000-0000-0000E6670000}"/>
    <cellStyle name="Input 3 2 2 2 3 2 5" xfId="26808" xr:uid="{00000000-0005-0000-0000-0000E7670000}"/>
    <cellStyle name="Input 3 2 2 2 3 2 6" xfId="26809" xr:uid="{00000000-0005-0000-0000-0000E8670000}"/>
    <cellStyle name="Input 3 2 2 2 3 2 7" xfId="26810" xr:uid="{00000000-0005-0000-0000-0000E9670000}"/>
    <cellStyle name="Input 3 2 2 2 3 3" xfId="26811" xr:uid="{00000000-0005-0000-0000-0000EA670000}"/>
    <cellStyle name="Input 3 2 2 2 3 3 2" xfId="26812" xr:uid="{00000000-0005-0000-0000-0000EB670000}"/>
    <cellStyle name="Input 3 2 2 2 3 3 2 2" xfId="26813" xr:uid="{00000000-0005-0000-0000-0000EC670000}"/>
    <cellStyle name="Input 3 2 2 2 3 3 3" xfId="26814" xr:uid="{00000000-0005-0000-0000-0000ED670000}"/>
    <cellStyle name="Input 3 2 2 2 3 3 3 2" xfId="26815" xr:uid="{00000000-0005-0000-0000-0000EE670000}"/>
    <cellStyle name="Input 3 2 2 2 3 3 4" xfId="26816" xr:uid="{00000000-0005-0000-0000-0000EF670000}"/>
    <cellStyle name="Input 3 2 2 2 3 3 5" xfId="26817" xr:uid="{00000000-0005-0000-0000-0000F0670000}"/>
    <cellStyle name="Input 3 2 2 2 3 3 6" xfId="26818" xr:uid="{00000000-0005-0000-0000-0000F1670000}"/>
    <cellStyle name="Input 3 2 2 2 3 4" xfId="26819" xr:uid="{00000000-0005-0000-0000-0000F2670000}"/>
    <cellStyle name="Input 3 2 2 2 3 4 2" xfId="26820" xr:uid="{00000000-0005-0000-0000-0000F3670000}"/>
    <cellStyle name="Input 3 2 2 2 3 5" xfId="26821" xr:uid="{00000000-0005-0000-0000-0000F4670000}"/>
    <cellStyle name="Input 3 2 2 2 3 5 2" xfId="26822" xr:uid="{00000000-0005-0000-0000-0000F5670000}"/>
    <cellStyle name="Input 3 2 2 2 3 6" xfId="26823" xr:uid="{00000000-0005-0000-0000-0000F6670000}"/>
    <cellStyle name="Input 3 2 2 2 3 7" xfId="26824" xr:uid="{00000000-0005-0000-0000-0000F7670000}"/>
    <cellStyle name="Input 3 2 2 2 3 8" xfId="26825" xr:uid="{00000000-0005-0000-0000-0000F8670000}"/>
    <cellStyle name="Input 3 2 2 2 4" xfId="26826" xr:uid="{00000000-0005-0000-0000-0000F9670000}"/>
    <cellStyle name="Input 3 2 2 2 4 2" xfId="26827" xr:uid="{00000000-0005-0000-0000-0000FA670000}"/>
    <cellStyle name="Input 3 2 2 2 4 2 2" xfId="26828" xr:uid="{00000000-0005-0000-0000-0000FB670000}"/>
    <cellStyle name="Input 3 2 2 2 4 2 2 2" xfId="26829" xr:uid="{00000000-0005-0000-0000-0000FC670000}"/>
    <cellStyle name="Input 3 2 2 2 4 2 2 2 2" xfId="26830" xr:uid="{00000000-0005-0000-0000-0000FD670000}"/>
    <cellStyle name="Input 3 2 2 2 4 2 2 3" xfId="26831" xr:uid="{00000000-0005-0000-0000-0000FE670000}"/>
    <cellStyle name="Input 3 2 2 2 4 2 2 3 2" xfId="26832" xr:uid="{00000000-0005-0000-0000-0000FF670000}"/>
    <cellStyle name="Input 3 2 2 2 4 2 2 4" xfId="26833" xr:uid="{00000000-0005-0000-0000-000000680000}"/>
    <cellStyle name="Input 3 2 2 2 4 2 2 5" xfId="26834" xr:uid="{00000000-0005-0000-0000-000001680000}"/>
    <cellStyle name="Input 3 2 2 2 4 2 2 6" xfId="26835" xr:uid="{00000000-0005-0000-0000-000002680000}"/>
    <cellStyle name="Input 3 2 2 2 4 2 3" xfId="26836" xr:uid="{00000000-0005-0000-0000-000003680000}"/>
    <cellStyle name="Input 3 2 2 2 4 2 3 2" xfId="26837" xr:uid="{00000000-0005-0000-0000-000004680000}"/>
    <cellStyle name="Input 3 2 2 2 4 2 4" xfId="26838" xr:uid="{00000000-0005-0000-0000-000005680000}"/>
    <cellStyle name="Input 3 2 2 2 4 2 4 2" xfId="26839" xr:uid="{00000000-0005-0000-0000-000006680000}"/>
    <cellStyle name="Input 3 2 2 2 4 2 5" xfId="26840" xr:uid="{00000000-0005-0000-0000-000007680000}"/>
    <cellStyle name="Input 3 2 2 2 4 2 6" xfId="26841" xr:uid="{00000000-0005-0000-0000-000008680000}"/>
    <cellStyle name="Input 3 2 2 2 4 2 7" xfId="26842" xr:uid="{00000000-0005-0000-0000-000009680000}"/>
    <cellStyle name="Input 3 2 2 2 4 3" xfId="26843" xr:uid="{00000000-0005-0000-0000-00000A680000}"/>
    <cellStyle name="Input 3 2 2 2 4 3 2" xfId="26844" xr:uid="{00000000-0005-0000-0000-00000B680000}"/>
    <cellStyle name="Input 3 2 2 2 4 3 2 2" xfId="26845" xr:uid="{00000000-0005-0000-0000-00000C680000}"/>
    <cellStyle name="Input 3 2 2 2 4 3 3" xfId="26846" xr:uid="{00000000-0005-0000-0000-00000D680000}"/>
    <cellStyle name="Input 3 2 2 2 4 3 3 2" xfId="26847" xr:uid="{00000000-0005-0000-0000-00000E680000}"/>
    <cellStyle name="Input 3 2 2 2 4 3 4" xfId="26848" xr:uid="{00000000-0005-0000-0000-00000F680000}"/>
    <cellStyle name="Input 3 2 2 2 4 3 5" xfId="26849" xr:uid="{00000000-0005-0000-0000-000010680000}"/>
    <cellStyle name="Input 3 2 2 2 4 3 6" xfId="26850" xr:uid="{00000000-0005-0000-0000-000011680000}"/>
    <cellStyle name="Input 3 2 2 2 4 4" xfId="26851" xr:uid="{00000000-0005-0000-0000-000012680000}"/>
    <cellStyle name="Input 3 2 2 2 4 4 2" xfId="26852" xr:uid="{00000000-0005-0000-0000-000013680000}"/>
    <cellStyle name="Input 3 2 2 2 4 5" xfId="26853" xr:uid="{00000000-0005-0000-0000-000014680000}"/>
    <cellStyle name="Input 3 2 2 2 4 5 2" xfId="26854" xr:uid="{00000000-0005-0000-0000-000015680000}"/>
    <cellStyle name="Input 3 2 2 2 4 6" xfId="26855" xr:uid="{00000000-0005-0000-0000-000016680000}"/>
    <cellStyle name="Input 3 2 2 2 4 7" xfId="26856" xr:uid="{00000000-0005-0000-0000-000017680000}"/>
    <cellStyle name="Input 3 2 2 2 4 8" xfId="26857" xr:uid="{00000000-0005-0000-0000-000018680000}"/>
    <cellStyle name="Input 3 2 2 2 5" xfId="26858" xr:uid="{00000000-0005-0000-0000-000019680000}"/>
    <cellStyle name="Input 3 2 2 2 5 2" xfId="26859" xr:uid="{00000000-0005-0000-0000-00001A680000}"/>
    <cellStyle name="Input 3 2 2 2 5 2 2" xfId="26860" xr:uid="{00000000-0005-0000-0000-00001B680000}"/>
    <cellStyle name="Input 3 2 2 2 5 2 2 2" xfId="26861" xr:uid="{00000000-0005-0000-0000-00001C680000}"/>
    <cellStyle name="Input 3 2 2 2 5 2 3" xfId="26862" xr:uid="{00000000-0005-0000-0000-00001D680000}"/>
    <cellStyle name="Input 3 2 2 2 5 2 3 2" xfId="26863" xr:uid="{00000000-0005-0000-0000-00001E680000}"/>
    <cellStyle name="Input 3 2 2 2 5 2 4" xfId="26864" xr:uid="{00000000-0005-0000-0000-00001F680000}"/>
    <cellStyle name="Input 3 2 2 2 5 2 5" xfId="26865" xr:uid="{00000000-0005-0000-0000-000020680000}"/>
    <cellStyle name="Input 3 2 2 2 5 2 6" xfId="26866" xr:uid="{00000000-0005-0000-0000-000021680000}"/>
    <cellStyle name="Input 3 2 2 2 5 3" xfId="26867" xr:uid="{00000000-0005-0000-0000-000022680000}"/>
    <cellStyle name="Input 3 2 2 2 5 3 2" xfId="26868" xr:uid="{00000000-0005-0000-0000-000023680000}"/>
    <cellStyle name="Input 3 2 2 2 5 4" xfId="26869" xr:uid="{00000000-0005-0000-0000-000024680000}"/>
    <cellStyle name="Input 3 2 2 2 5 4 2" xfId="26870" xr:uid="{00000000-0005-0000-0000-000025680000}"/>
    <cellStyle name="Input 3 2 2 2 5 5" xfId="26871" xr:uid="{00000000-0005-0000-0000-000026680000}"/>
    <cellStyle name="Input 3 2 2 2 5 6" xfId="26872" xr:uid="{00000000-0005-0000-0000-000027680000}"/>
    <cellStyle name="Input 3 2 2 2 5 7" xfId="26873" xr:uid="{00000000-0005-0000-0000-000028680000}"/>
    <cellStyle name="Input 3 2 2 2 6" xfId="26874" xr:uid="{00000000-0005-0000-0000-000029680000}"/>
    <cellStyle name="Input 3 2 2 2 6 2" xfId="26875" xr:uid="{00000000-0005-0000-0000-00002A680000}"/>
    <cellStyle name="Input 3 2 2 2 6 2 2" xfId="26876" xr:uid="{00000000-0005-0000-0000-00002B680000}"/>
    <cellStyle name="Input 3 2 2 2 6 3" xfId="26877" xr:uid="{00000000-0005-0000-0000-00002C680000}"/>
    <cellStyle name="Input 3 2 2 2 6 3 2" xfId="26878" xr:uid="{00000000-0005-0000-0000-00002D680000}"/>
    <cellStyle name="Input 3 2 2 2 6 4" xfId="26879" xr:uid="{00000000-0005-0000-0000-00002E680000}"/>
    <cellStyle name="Input 3 2 2 2 6 5" xfId="26880" xr:uid="{00000000-0005-0000-0000-00002F680000}"/>
    <cellStyle name="Input 3 2 2 2 6 6" xfId="26881" xr:uid="{00000000-0005-0000-0000-000030680000}"/>
    <cellStyle name="Input 3 2 2 2 7" xfId="26882" xr:uid="{00000000-0005-0000-0000-000031680000}"/>
    <cellStyle name="Input 3 2 2 2 7 2" xfId="26883" xr:uid="{00000000-0005-0000-0000-000032680000}"/>
    <cellStyle name="Input 3 2 2 2 8" xfId="26884" xr:uid="{00000000-0005-0000-0000-000033680000}"/>
    <cellStyle name="Input 3 2 2 2 8 2" xfId="26885" xr:uid="{00000000-0005-0000-0000-000034680000}"/>
    <cellStyle name="Input 3 2 2 2 9" xfId="26886" xr:uid="{00000000-0005-0000-0000-000035680000}"/>
    <cellStyle name="Input 3 2 2 3" xfId="26887" xr:uid="{00000000-0005-0000-0000-000036680000}"/>
    <cellStyle name="Input 3 2 2 3 10" xfId="26888" xr:uid="{00000000-0005-0000-0000-000037680000}"/>
    <cellStyle name="Input 3 2 2 3 2" xfId="26889" xr:uid="{00000000-0005-0000-0000-000038680000}"/>
    <cellStyle name="Input 3 2 2 3 2 10" xfId="26890" xr:uid="{00000000-0005-0000-0000-000039680000}"/>
    <cellStyle name="Input 3 2 2 3 2 2" xfId="26891" xr:uid="{00000000-0005-0000-0000-00003A680000}"/>
    <cellStyle name="Input 3 2 2 3 2 2 2" xfId="26892" xr:uid="{00000000-0005-0000-0000-00003B680000}"/>
    <cellStyle name="Input 3 2 2 3 2 2 2 2" xfId="26893" xr:uid="{00000000-0005-0000-0000-00003C680000}"/>
    <cellStyle name="Input 3 2 2 3 2 2 2 2 2" xfId="26894" xr:uid="{00000000-0005-0000-0000-00003D680000}"/>
    <cellStyle name="Input 3 2 2 3 2 2 2 2 2 2" xfId="26895" xr:uid="{00000000-0005-0000-0000-00003E680000}"/>
    <cellStyle name="Input 3 2 2 3 2 2 2 2 3" xfId="26896" xr:uid="{00000000-0005-0000-0000-00003F680000}"/>
    <cellStyle name="Input 3 2 2 3 2 2 2 2 3 2" xfId="26897" xr:uid="{00000000-0005-0000-0000-000040680000}"/>
    <cellStyle name="Input 3 2 2 3 2 2 2 2 4" xfId="26898" xr:uid="{00000000-0005-0000-0000-000041680000}"/>
    <cellStyle name="Input 3 2 2 3 2 2 2 2 5" xfId="26899" xr:uid="{00000000-0005-0000-0000-000042680000}"/>
    <cellStyle name="Input 3 2 2 3 2 2 2 2 6" xfId="26900" xr:uid="{00000000-0005-0000-0000-000043680000}"/>
    <cellStyle name="Input 3 2 2 3 2 2 2 3" xfId="26901" xr:uid="{00000000-0005-0000-0000-000044680000}"/>
    <cellStyle name="Input 3 2 2 3 2 2 2 3 2" xfId="26902" xr:uid="{00000000-0005-0000-0000-000045680000}"/>
    <cellStyle name="Input 3 2 2 3 2 2 2 4" xfId="26903" xr:uid="{00000000-0005-0000-0000-000046680000}"/>
    <cellStyle name="Input 3 2 2 3 2 2 2 4 2" xfId="26904" xr:uid="{00000000-0005-0000-0000-000047680000}"/>
    <cellStyle name="Input 3 2 2 3 2 2 2 5" xfId="26905" xr:uid="{00000000-0005-0000-0000-000048680000}"/>
    <cellStyle name="Input 3 2 2 3 2 2 2 6" xfId="26906" xr:uid="{00000000-0005-0000-0000-000049680000}"/>
    <cellStyle name="Input 3 2 2 3 2 2 2 7" xfId="26907" xr:uid="{00000000-0005-0000-0000-00004A680000}"/>
    <cellStyle name="Input 3 2 2 3 2 2 3" xfId="26908" xr:uid="{00000000-0005-0000-0000-00004B680000}"/>
    <cellStyle name="Input 3 2 2 3 2 2 3 2" xfId="26909" xr:uid="{00000000-0005-0000-0000-00004C680000}"/>
    <cellStyle name="Input 3 2 2 3 2 2 3 2 2" xfId="26910" xr:uid="{00000000-0005-0000-0000-00004D680000}"/>
    <cellStyle name="Input 3 2 2 3 2 2 3 3" xfId="26911" xr:uid="{00000000-0005-0000-0000-00004E680000}"/>
    <cellStyle name="Input 3 2 2 3 2 2 3 3 2" xfId="26912" xr:uid="{00000000-0005-0000-0000-00004F680000}"/>
    <cellStyle name="Input 3 2 2 3 2 2 3 4" xfId="26913" xr:uid="{00000000-0005-0000-0000-000050680000}"/>
    <cellStyle name="Input 3 2 2 3 2 2 3 5" xfId="26914" xr:uid="{00000000-0005-0000-0000-000051680000}"/>
    <cellStyle name="Input 3 2 2 3 2 2 3 6" xfId="26915" xr:uid="{00000000-0005-0000-0000-000052680000}"/>
    <cellStyle name="Input 3 2 2 3 2 2 4" xfId="26916" xr:uid="{00000000-0005-0000-0000-000053680000}"/>
    <cellStyle name="Input 3 2 2 3 2 2 4 2" xfId="26917" xr:uid="{00000000-0005-0000-0000-000054680000}"/>
    <cellStyle name="Input 3 2 2 3 2 2 5" xfId="26918" xr:uid="{00000000-0005-0000-0000-000055680000}"/>
    <cellStyle name="Input 3 2 2 3 2 2 5 2" xfId="26919" xr:uid="{00000000-0005-0000-0000-000056680000}"/>
    <cellStyle name="Input 3 2 2 3 2 2 6" xfId="26920" xr:uid="{00000000-0005-0000-0000-000057680000}"/>
    <cellStyle name="Input 3 2 2 3 2 2 7" xfId="26921" xr:uid="{00000000-0005-0000-0000-000058680000}"/>
    <cellStyle name="Input 3 2 2 3 2 2 8" xfId="26922" xr:uid="{00000000-0005-0000-0000-000059680000}"/>
    <cellStyle name="Input 3 2 2 3 2 3" xfId="26923" xr:uid="{00000000-0005-0000-0000-00005A680000}"/>
    <cellStyle name="Input 3 2 2 3 2 3 2" xfId="26924" xr:uid="{00000000-0005-0000-0000-00005B680000}"/>
    <cellStyle name="Input 3 2 2 3 2 3 2 2" xfId="26925" xr:uid="{00000000-0005-0000-0000-00005C680000}"/>
    <cellStyle name="Input 3 2 2 3 2 3 2 2 2" xfId="26926" xr:uid="{00000000-0005-0000-0000-00005D680000}"/>
    <cellStyle name="Input 3 2 2 3 2 3 2 2 2 2" xfId="26927" xr:uid="{00000000-0005-0000-0000-00005E680000}"/>
    <cellStyle name="Input 3 2 2 3 2 3 2 2 3" xfId="26928" xr:uid="{00000000-0005-0000-0000-00005F680000}"/>
    <cellStyle name="Input 3 2 2 3 2 3 2 2 3 2" xfId="26929" xr:uid="{00000000-0005-0000-0000-000060680000}"/>
    <cellStyle name="Input 3 2 2 3 2 3 2 2 4" xfId="26930" xr:uid="{00000000-0005-0000-0000-000061680000}"/>
    <cellStyle name="Input 3 2 2 3 2 3 2 2 5" xfId="26931" xr:uid="{00000000-0005-0000-0000-000062680000}"/>
    <cellStyle name="Input 3 2 2 3 2 3 2 2 6" xfId="26932" xr:uid="{00000000-0005-0000-0000-000063680000}"/>
    <cellStyle name="Input 3 2 2 3 2 3 2 3" xfId="26933" xr:uid="{00000000-0005-0000-0000-000064680000}"/>
    <cellStyle name="Input 3 2 2 3 2 3 2 3 2" xfId="26934" xr:uid="{00000000-0005-0000-0000-000065680000}"/>
    <cellStyle name="Input 3 2 2 3 2 3 2 4" xfId="26935" xr:uid="{00000000-0005-0000-0000-000066680000}"/>
    <cellStyle name="Input 3 2 2 3 2 3 2 4 2" xfId="26936" xr:uid="{00000000-0005-0000-0000-000067680000}"/>
    <cellStyle name="Input 3 2 2 3 2 3 2 5" xfId="26937" xr:uid="{00000000-0005-0000-0000-000068680000}"/>
    <cellStyle name="Input 3 2 2 3 2 3 2 6" xfId="26938" xr:uid="{00000000-0005-0000-0000-000069680000}"/>
    <cellStyle name="Input 3 2 2 3 2 3 2 7" xfId="26939" xr:uid="{00000000-0005-0000-0000-00006A680000}"/>
    <cellStyle name="Input 3 2 2 3 2 3 3" xfId="26940" xr:uid="{00000000-0005-0000-0000-00006B680000}"/>
    <cellStyle name="Input 3 2 2 3 2 3 3 2" xfId="26941" xr:uid="{00000000-0005-0000-0000-00006C680000}"/>
    <cellStyle name="Input 3 2 2 3 2 3 3 2 2" xfId="26942" xr:uid="{00000000-0005-0000-0000-00006D680000}"/>
    <cellStyle name="Input 3 2 2 3 2 3 3 3" xfId="26943" xr:uid="{00000000-0005-0000-0000-00006E680000}"/>
    <cellStyle name="Input 3 2 2 3 2 3 3 3 2" xfId="26944" xr:uid="{00000000-0005-0000-0000-00006F680000}"/>
    <cellStyle name="Input 3 2 2 3 2 3 3 4" xfId="26945" xr:uid="{00000000-0005-0000-0000-000070680000}"/>
    <cellStyle name="Input 3 2 2 3 2 3 3 5" xfId="26946" xr:uid="{00000000-0005-0000-0000-000071680000}"/>
    <cellStyle name="Input 3 2 2 3 2 3 3 6" xfId="26947" xr:uid="{00000000-0005-0000-0000-000072680000}"/>
    <cellStyle name="Input 3 2 2 3 2 3 4" xfId="26948" xr:uid="{00000000-0005-0000-0000-000073680000}"/>
    <cellStyle name="Input 3 2 2 3 2 3 4 2" xfId="26949" xr:uid="{00000000-0005-0000-0000-000074680000}"/>
    <cellStyle name="Input 3 2 2 3 2 3 5" xfId="26950" xr:uid="{00000000-0005-0000-0000-000075680000}"/>
    <cellStyle name="Input 3 2 2 3 2 3 5 2" xfId="26951" xr:uid="{00000000-0005-0000-0000-000076680000}"/>
    <cellStyle name="Input 3 2 2 3 2 3 6" xfId="26952" xr:uid="{00000000-0005-0000-0000-000077680000}"/>
    <cellStyle name="Input 3 2 2 3 2 3 7" xfId="26953" xr:uid="{00000000-0005-0000-0000-000078680000}"/>
    <cellStyle name="Input 3 2 2 3 2 3 8" xfId="26954" xr:uid="{00000000-0005-0000-0000-000079680000}"/>
    <cellStyle name="Input 3 2 2 3 2 4" xfId="26955" xr:uid="{00000000-0005-0000-0000-00007A680000}"/>
    <cellStyle name="Input 3 2 2 3 2 4 2" xfId="26956" xr:uid="{00000000-0005-0000-0000-00007B680000}"/>
    <cellStyle name="Input 3 2 2 3 2 4 2 2" xfId="26957" xr:uid="{00000000-0005-0000-0000-00007C680000}"/>
    <cellStyle name="Input 3 2 2 3 2 4 2 2 2" xfId="26958" xr:uid="{00000000-0005-0000-0000-00007D680000}"/>
    <cellStyle name="Input 3 2 2 3 2 4 2 3" xfId="26959" xr:uid="{00000000-0005-0000-0000-00007E680000}"/>
    <cellStyle name="Input 3 2 2 3 2 4 2 3 2" xfId="26960" xr:uid="{00000000-0005-0000-0000-00007F680000}"/>
    <cellStyle name="Input 3 2 2 3 2 4 2 4" xfId="26961" xr:uid="{00000000-0005-0000-0000-000080680000}"/>
    <cellStyle name="Input 3 2 2 3 2 4 2 5" xfId="26962" xr:uid="{00000000-0005-0000-0000-000081680000}"/>
    <cellStyle name="Input 3 2 2 3 2 4 2 6" xfId="26963" xr:uid="{00000000-0005-0000-0000-000082680000}"/>
    <cellStyle name="Input 3 2 2 3 2 4 3" xfId="26964" xr:uid="{00000000-0005-0000-0000-000083680000}"/>
    <cellStyle name="Input 3 2 2 3 2 4 3 2" xfId="26965" xr:uid="{00000000-0005-0000-0000-000084680000}"/>
    <cellStyle name="Input 3 2 2 3 2 4 4" xfId="26966" xr:uid="{00000000-0005-0000-0000-000085680000}"/>
    <cellStyle name="Input 3 2 2 3 2 4 4 2" xfId="26967" xr:uid="{00000000-0005-0000-0000-000086680000}"/>
    <cellStyle name="Input 3 2 2 3 2 4 5" xfId="26968" xr:uid="{00000000-0005-0000-0000-000087680000}"/>
    <cellStyle name="Input 3 2 2 3 2 4 6" xfId="26969" xr:uid="{00000000-0005-0000-0000-000088680000}"/>
    <cellStyle name="Input 3 2 2 3 2 4 7" xfId="26970" xr:uid="{00000000-0005-0000-0000-000089680000}"/>
    <cellStyle name="Input 3 2 2 3 2 5" xfId="26971" xr:uid="{00000000-0005-0000-0000-00008A680000}"/>
    <cellStyle name="Input 3 2 2 3 2 5 2" xfId="26972" xr:uid="{00000000-0005-0000-0000-00008B680000}"/>
    <cellStyle name="Input 3 2 2 3 2 5 2 2" xfId="26973" xr:uid="{00000000-0005-0000-0000-00008C680000}"/>
    <cellStyle name="Input 3 2 2 3 2 5 3" xfId="26974" xr:uid="{00000000-0005-0000-0000-00008D680000}"/>
    <cellStyle name="Input 3 2 2 3 2 5 3 2" xfId="26975" xr:uid="{00000000-0005-0000-0000-00008E680000}"/>
    <cellStyle name="Input 3 2 2 3 2 5 4" xfId="26976" xr:uid="{00000000-0005-0000-0000-00008F680000}"/>
    <cellStyle name="Input 3 2 2 3 2 5 5" xfId="26977" xr:uid="{00000000-0005-0000-0000-000090680000}"/>
    <cellStyle name="Input 3 2 2 3 2 5 6" xfId="26978" xr:uid="{00000000-0005-0000-0000-000091680000}"/>
    <cellStyle name="Input 3 2 2 3 2 6" xfId="26979" xr:uid="{00000000-0005-0000-0000-000092680000}"/>
    <cellStyle name="Input 3 2 2 3 2 6 2" xfId="26980" xr:uid="{00000000-0005-0000-0000-000093680000}"/>
    <cellStyle name="Input 3 2 2 3 2 7" xfId="26981" xr:uid="{00000000-0005-0000-0000-000094680000}"/>
    <cellStyle name="Input 3 2 2 3 2 7 2" xfId="26982" xr:uid="{00000000-0005-0000-0000-000095680000}"/>
    <cellStyle name="Input 3 2 2 3 2 8" xfId="26983" xr:uid="{00000000-0005-0000-0000-000096680000}"/>
    <cellStyle name="Input 3 2 2 3 2 9" xfId="26984" xr:uid="{00000000-0005-0000-0000-000097680000}"/>
    <cellStyle name="Input 3 2 2 3 3" xfId="26985" xr:uid="{00000000-0005-0000-0000-000098680000}"/>
    <cellStyle name="Input 3 2 2 3 3 2" xfId="26986" xr:uid="{00000000-0005-0000-0000-000099680000}"/>
    <cellStyle name="Input 3 2 2 3 3 2 2" xfId="26987" xr:uid="{00000000-0005-0000-0000-00009A680000}"/>
    <cellStyle name="Input 3 2 2 3 3 2 2 2" xfId="26988" xr:uid="{00000000-0005-0000-0000-00009B680000}"/>
    <cellStyle name="Input 3 2 2 3 3 2 2 2 2" xfId="26989" xr:uid="{00000000-0005-0000-0000-00009C680000}"/>
    <cellStyle name="Input 3 2 2 3 3 2 2 3" xfId="26990" xr:uid="{00000000-0005-0000-0000-00009D680000}"/>
    <cellStyle name="Input 3 2 2 3 3 2 2 3 2" xfId="26991" xr:uid="{00000000-0005-0000-0000-00009E680000}"/>
    <cellStyle name="Input 3 2 2 3 3 2 2 4" xfId="26992" xr:uid="{00000000-0005-0000-0000-00009F680000}"/>
    <cellStyle name="Input 3 2 2 3 3 2 2 5" xfId="26993" xr:uid="{00000000-0005-0000-0000-0000A0680000}"/>
    <cellStyle name="Input 3 2 2 3 3 2 2 6" xfId="26994" xr:uid="{00000000-0005-0000-0000-0000A1680000}"/>
    <cellStyle name="Input 3 2 2 3 3 2 3" xfId="26995" xr:uid="{00000000-0005-0000-0000-0000A2680000}"/>
    <cellStyle name="Input 3 2 2 3 3 2 3 2" xfId="26996" xr:uid="{00000000-0005-0000-0000-0000A3680000}"/>
    <cellStyle name="Input 3 2 2 3 3 2 4" xfId="26997" xr:uid="{00000000-0005-0000-0000-0000A4680000}"/>
    <cellStyle name="Input 3 2 2 3 3 2 4 2" xfId="26998" xr:uid="{00000000-0005-0000-0000-0000A5680000}"/>
    <cellStyle name="Input 3 2 2 3 3 2 5" xfId="26999" xr:uid="{00000000-0005-0000-0000-0000A6680000}"/>
    <cellStyle name="Input 3 2 2 3 3 2 6" xfId="27000" xr:uid="{00000000-0005-0000-0000-0000A7680000}"/>
    <cellStyle name="Input 3 2 2 3 3 2 7" xfId="27001" xr:uid="{00000000-0005-0000-0000-0000A8680000}"/>
    <cellStyle name="Input 3 2 2 3 3 3" xfId="27002" xr:uid="{00000000-0005-0000-0000-0000A9680000}"/>
    <cellStyle name="Input 3 2 2 3 3 3 2" xfId="27003" xr:uid="{00000000-0005-0000-0000-0000AA680000}"/>
    <cellStyle name="Input 3 2 2 3 3 3 2 2" xfId="27004" xr:uid="{00000000-0005-0000-0000-0000AB680000}"/>
    <cellStyle name="Input 3 2 2 3 3 3 3" xfId="27005" xr:uid="{00000000-0005-0000-0000-0000AC680000}"/>
    <cellStyle name="Input 3 2 2 3 3 3 3 2" xfId="27006" xr:uid="{00000000-0005-0000-0000-0000AD680000}"/>
    <cellStyle name="Input 3 2 2 3 3 3 4" xfId="27007" xr:uid="{00000000-0005-0000-0000-0000AE680000}"/>
    <cellStyle name="Input 3 2 2 3 3 3 5" xfId="27008" xr:uid="{00000000-0005-0000-0000-0000AF680000}"/>
    <cellStyle name="Input 3 2 2 3 3 3 6" xfId="27009" xr:uid="{00000000-0005-0000-0000-0000B0680000}"/>
    <cellStyle name="Input 3 2 2 3 3 4" xfId="27010" xr:uid="{00000000-0005-0000-0000-0000B1680000}"/>
    <cellStyle name="Input 3 2 2 3 3 4 2" xfId="27011" xr:uid="{00000000-0005-0000-0000-0000B2680000}"/>
    <cellStyle name="Input 3 2 2 3 3 5" xfId="27012" xr:uid="{00000000-0005-0000-0000-0000B3680000}"/>
    <cellStyle name="Input 3 2 2 3 3 5 2" xfId="27013" xr:uid="{00000000-0005-0000-0000-0000B4680000}"/>
    <cellStyle name="Input 3 2 2 3 3 6" xfId="27014" xr:uid="{00000000-0005-0000-0000-0000B5680000}"/>
    <cellStyle name="Input 3 2 2 3 3 7" xfId="27015" xr:uid="{00000000-0005-0000-0000-0000B6680000}"/>
    <cellStyle name="Input 3 2 2 3 3 8" xfId="27016" xr:uid="{00000000-0005-0000-0000-0000B7680000}"/>
    <cellStyle name="Input 3 2 2 3 4" xfId="27017" xr:uid="{00000000-0005-0000-0000-0000B8680000}"/>
    <cellStyle name="Input 3 2 2 3 4 2" xfId="27018" xr:uid="{00000000-0005-0000-0000-0000B9680000}"/>
    <cellStyle name="Input 3 2 2 3 4 2 2" xfId="27019" xr:uid="{00000000-0005-0000-0000-0000BA680000}"/>
    <cellStyle name="Input 3 2 2 3 4 2 2 2" xfId="27020" xr:uid="{00000000-0005-0000-0000-0000BB680000}"/>
    <cellStyle name="Input 3 2 2 3 4 2 3" xfId="27021" xr:uid="{00000000-0005-0000-0000-0000BC680000}"/>
    <cellStyle name="Input 3 2 2 3 4 2 3 2" xfId="27022" xr:uid="{00000000-0005-0000-0000-0000BD680000}"/>
    <cellStyle name="Input 3 2 2 3 4 2 4" xfId="27023" xr:uid="{00000000-0005-0000-0000-0000BE680000}"/>
    <cellStyle name="Input 3 2 2 3 4 2 5" xfId="27024" xr:uid="{00000000-0005-0000-0000-0000BF680000}"/>
    <cellStyle name="Input 3 2 2 3 4 2 6" xfId="27025" xr:uid="{00000000-0005-0000-0000-0000C0680000}"/>
    <cellStyle name="Input 3 2 2 3 4 3" xfId="27026" xr:uid="{00000000-0005-0000-0000-0000C1680000}"/>
    <cellStyle name="Input 3 2 2 3 4 3 2" xfId="27027" xr:uid="{00000000-0005-0000-0000-0000C2680000}"/>
    <cellStyle name="Input 3 2 2 3 4 4" xfId="27028" xr:uid="{00000000-0005-0000-0000-0000C3680000}"/>
    <cellStyle name="Input 3 2 2 3 4 4 2" xfId="27029" xr:uid="{00000000-0005-0000-0000-0000C4680000}"/>
    <cellStyle name="Input 3 2 2 3 4 5" xfId="27030" xr:uid="{00000000-0005-0000-0000-0000C5680000}"/>
    <cellStyle name="Input 3 2 2 3 4 6" xfId="27031" xr:uid="{00000000-0005-0000-0000-0000C6680000}"/>
    <cellStyle name="Input 3 2 2 3 4 7" xfId="27032" xr:uid="{00000000-0005-0000-0000-0000C7680000}"/>
    <cellStyle name="Input 3 2 2 3 5" xfId="27033" xr:uid="{00000000-0005-0000-0000-0000C8680000}"/>
    <cellStyle name="Input 3 2 2 3 5 2" xfId="27034" xr:uid="{00000000-0005-0000-0000-0000C9680000}"/>
    <cellStyle name="Input 3 2 2 3 5 2 2" xfId="27035" xr:uid="{00000000-0005-0000-0000-0000CA680000}"/>
    <cellStyle name="Input 3 2 2 3 5 3" xfId="27036" xr:uid="{00000000-0005-0000-0000-0000CB680000}"/>
    <cellStyle name="Input 3 2 2 3 5 3 2" xfId="27037" xr:uid="{00000000-0005-0000-0000-0000CC680000}"/>
    <cellStyle name="Input 3 2 2 3 5 4" xfId="27038" xr:uid="{00000000-0005-0000-0000-0000CD680000}"/>
    <cellStyle name="Input 3 2 2 3 5 5" xfId="27039" xr:uid="{00000000-0005-0000-0000-0000CE680000}"/>
    <cellStyle name="Input 3 2 2 3 5 6" xfId="27040" xr:uid="{00000000-0005-0000-0000-0000CF680000}"/>
    <cellStyle name="Input 3 2 2 3 6" xfId="27041" xr:uid="{00000000-0005-0000-0000-0000D0680000}"/>
    <cellStyle name="Input 3 2 2 3 6 2" xfId="27042" xr:uid="{00000000-0005-0000-0000-0000D1680000}"/>
    <cellStyle name="Input 3 2 2 3 7" xfId="27043" xr:uid="{00000000-0005-0000-0000-0000D2680000}"/>
    <cellStyle name="Input 3 2 2 3 7 2" xfId="27044" xr:uid="{00000000-0005-0000-0000-0000D3680000}"/>
    <cellStyle name="Input 3 2 2 3 8" xfId="27045" xr:uid="{00000000-0005-0000-0000-0000D4680000}"/>
    <cellStyle name="Input 3 2 2 3 9" xfId="27046" xr:uid="{00000000-0005-0000-0000-0000D5680000}"/>
    <cellStyle name="Input 3 2 2 4" xfId="27047" xr:uid="{00000000-0005-0000-0000-0000D6680000}"/>
    <cellStyle name="Input 3 2 2 4 10" xfId="27048" xr:uid="{00000000-0005-0000-0000-0000D7680000}"/>
    <cellStyle name="Input 3 2 2 4 2" xfId="27049" xr:uid="{00000000-0005-0000-0000-0000D8680000}"/>
    <cellStyle name="Input 3 2 2 4 2 2" xfId="27050" xr:uid="{00000000-0005-0000-0000-0000D9680000}"/>
    <cellStyle name="Input 3 2 2 4 2 2 2" xfId="27051" xr:uid="{00000000-0005-0000-0000-0000DA680000}"/>
    <cellStyle name="Input 3 2 2 4 2 2 2 2" xfId="27052" xr:uid="{00000000-0005-0000-0000-0000DB680000}"/>
    <cellStyle name="Input 3 2 2 4 2 2 2 2 2" xfId="27053" xr:uid="{00000000-0005-0000-0000-0000DC680000}"/>
    <cellStyle name="Input 3 2 2 4 2 2 2 3" xfId="27054" xr:uid="{00000000-0005-0000-0000-0000DD680000}"/>
    <cellStyle name="Input 3 2 2 4 2 2 2 3 2" xfId="27055" xr:uid="{00000000-0005-0000-0000-0000DE680000}"/>
    <cellStyle name="Input 3 2 2 4 2 2 2 4" xfId="27056" xr:uid="{00000000-0005-0000-0000-0000DF680000}"/>
    <cellStyle name="Input 3 2 2 4 2 2 2 5" xfId="27057" xr:uid="{00000000-0005-0000-0000-0000E0680000}"/>
    <cellStyle name="Input 3 2 2 4 2 2 2 6" xfId="27058" xr:uid="{00000000-0005-0000-0000-0000E1680000}"/>
    <cellStyle name="Input 3 2 2 4 2 2 3" xfId="27059" xr:uid="{00000000-0005-0000-0000-0000E2680000}"/>
    <cellStyle name="Input 3 2 2 4 2 2 3 2" xfId="27060" xr:uid="{00000000-0005-0000-0000-0000E3680000}"/>
    <cellStyle name="Input 3 2 2 4 2 2 4" xfId="27061" xr:uid="{00000000-0005-0000-0000-0000E4680000}"/>
    <cellStyle name="Input 3 2 2 4 2 2 4 2" xfId="27062" xr:uid="{00000000-0005-0000-0000-0000E5680000}"/>
    <cellStyle name="Input 3 2 2 4 2 2 5" xfId="27063" xr:uid="{00000000-0005-0000-0000-0000E6680000}"/>
    <cellStyle name="Input 3 2 2 4 2 2 6" xfId="27064" xr:uid="{00000000-0005-0000-0000-0000E7680000}"/>
    <cellStyle name="Input 3 2 2 4 2 2 7" xfId="27065" xr:uid="{00000000-0005-0000-0000-0000E8680000}"/>
    <cellStyle name="Input 3 2 2 4 2 3" xfId="27066" xr:uid="{00000000-0005-0000-0000-0000E9680000}"/>
    <cellStyle name="Input 3 2 2 4 2 3 2" xfId="27067" xr:uid="{00000000-0005-0000-0000-0000EA680000}"/>
    <cellStyle name="Input 3 2 2 4 2 3 2 2" xfId="27068" xr:uid="{00000000-0005-0000-0000-0000EB680000}"/>
    <cellStyle name="Input 3 2 2 4 2 3 3" xfId="27069" xr:uid="{00000000-0005-0000-0000-0000EC680000}"/>
    <cellStyle name="Input 3 2 2 4 2 3 3 2" xfId="27070" xr:uid="{00000000-0005-0000-0000-0000ED680000}"/>
    <cellStyle name="Input 3 2 2 4 2 3 4" xfId="27071" xr:uid="{00000000-0005-0000-0000-0000EE680000}"/>
    <cellStyle name="Input 3 2 2 4 2 3 5" xfId="27072" xr:uid="{00000000-0005-0000-0000-0000EF680000}"/>
    <cellStyle name="Input 3 2 2 4 2 3 6" xfId="27073" xr:uid="{00000000-0005-0000-0000-0000F0680000}"/>
    <cellStyle name="Input 3 2 2 4 2 4" xfId="27074" xr:uid="{00000000-0005-0000-0000-0000F1680000}"/>
    <cellStyle name="Input 3 2 2 4 2 4 2" xfId="27075" xr:uid="{00000000-0005-0000-0000-0000F2680000}"/>
    <cellStyle name="Input 3 2 2 4 2 5" xfId="27076" xr:uid="{00000000-0005-0000-0000-0000F3680000}"/>
    <cellStyle name="Input 3 2 2 4 2 5 2" xfId="27077" xr:uid="{00000000-0005-0000-0000-0000F4680000}"/>
    <cellStyle name="Input 3 2 2 4 2 6" xfId="27078" xr:uid="{00000000-0005-0000-0000-0000F5680000}"/>
    <cellStyle name="Input 3 2 2 4 2 7" xfId="27079" xr:uid="{00000000-0005-0000-0000-0000F6680000}"/>
    <cellStyle name="Input 3 2 2 4 2 8" xfId="27080" xr:uid="{00000000-0005-0000-0000-0000F7680000}"/>
    <cellStyle name="Input 3 2 2 4 3" xfId="27081" xr:uid="{00000000-0005-0000-0000-0000F8680000}"/>
    <cellStyle name="Input 3 2 2 4 3 2" xfId="27082" xr:uid="{00000000-0005-0000-0000-0000F9680000}"/>
    <cellStyle name="Input 3 2 2 4 3 2 2" xfId="27083" xr:uid="{00000000-0005-0000-0000-0000FA680000}"/>
    <cellStyle name="Input 3 2 2 4 3 2 2 2" xfId="27084" xr:uid="{00000000-0005-0000-0000-0000FB680000}"/>
    <cellStyle name="Input 3 2 2 4 3 2 2 2 2" xfId="27085" xr:uid="{00000000-0005-0000-0000-0000FC680000}"/>
    <cellStyle name="Input 3 2 2 4 3 2 2 3" xfId="27086" xr:uid="{00000000-0005-0000-0000-0000FD680000}"/>
    <cellStyle name="Input 3 2 2 4 3 2 2 3 2" xfId="27087" xr:uid="{00000000-0005-0000-0000-0000FE680000}"/>
    <cellStyle name="Input 3 2 2 4 3 2 2 4" xfId="27088" xr:uid="{00000000-0005-0000-0000-0000FF680000}"/>
    <cellStyle name="Input 3 2 2 4 3 2 2 5" xfId="27089" xr:uid="{00000000-0005-0000-0000-000000690000}"/>
    <cellStyle name="Input 3 2 2 4 3 2 2 6" xfId="27090" xr:uid="{00000000-0005-0000-0000-000001690000}"/>
    <cellStyle name="Input 3 2 2 4 3 2 3" xfId="27091" xr:uid="{00000000-0005-0000-0000-000002690000}"/>
    <cellStyle name="Input 3 2 2 4 3 2 3 2" xfId="27092" xr:uid="{00000000-0005-0000-0000-000003690000}"/>
    <cellStyle name="Input 3 2 2 4 3 2 4" xfId="27093" xr:uid="{00000000-0005-0000-0000-000004690000}"/>
    <cellStyle name="Input 3 2 2 4 3 2 4 2" xfId="27094" xr:uid="{00000000-0005-0000-0000-000005690000}"/>
    <cellStyle name="Input 3 2 2 4 3 2 5" xfId="27095" xr:uid="{00000000-0005-0000-0000-000006690000}"/>
    <cellStyle name="Input 3 2 2 4 3 2 6" xfId="27096" xr:uid="{00000000-0005-0000-0000-000007690000}"/>
    <cellStyle name="Input 3 2 2 4 3 2 7" xfId="27097" xr:uid="{00000000-0005-0000-0000-000008690000}"/>
    <cellStyle name="Input 3 2 2 4 3 3" xfId="27098" xr:uid="{00000000-0005-0000-0000-000009690000}"/>
    <cellStyle name="Input 3 2 2 4 3 3 2" xfId="27099" xr:uid="{00000000-0005-0000-0000-00000A690000}"/>
    <cellStyle name="Input 3 2 2 4 3 3 2 2" xfId="27100" xr:uid="{00000000-0005-0000-0000-00000B690000}"/>
    <cellStyle name="Input 3 2 2 4 3 3 3" xfId="27101" xr:uid="{00000000-0005-0000-0000-00000C690000}"/>
    <cellStyle name="Input 3 2 2 4 3 3 3 2" xfId="27102" xr:uid="{00000000-0005-0000-0000-00000D690000}"/>
    <cellStyle name="Input 3 2 2 4 3 3 4" xfId="27103" xr:uid="{00000000-0005-0000-0000-00000E690000}"/>
    <cellStyle name="Input 3 2 2 4 3 3 5" xfId="27104" xr:uid="{00000000-0005-0000-0000-00000F690000}"/>
    <cellStyle name="Input 3 2 2 4 3 3 6" xfId="27105" xr:uid="{00000000-0005-0000-0000-000010690000}"/>
    <cellStyle name="Input 3 2 2 4 3 4" xfId="27106" xr:uid="{00000000-0005-0000-0000-000011690000}"/>
    <cellStyle name="Input 3 2 2 4 3 4 2" xfId="27107" xr:uid="{00000000-0005-0000-0000-000012690000}"/>
    <cellStyle name="Input 3 2 2 4 3 5" xfId="27108" xr:uid="{00000000-0005-0000-0000-000013690000}"/>
    <cellStyle name="Input 3 2 2 4 3 5 2" xfId="27109" xr:uid="{00000000-0005-0000-0000-000014690000}"/>
    <cellStyle name="Input 3 2 2 4 3 6" xfId="27110" xr:uid="{00000000-0005-0000-0000-000015690000}"/>
    <cellStyle name="Input 3 2 2 4 3 7" xfId="27111" xr:uid="{00000000-0005-0000-0000-000016690000}"/>
    <cellStyle name="Input 3 2 2 4 3 8" xfId="27112" xr:uid="{00000000-0005-0000-0000-000017690000}"/>
    <cellStyle name="Input 3 2 2 4 4" xfId="27113" xr:uid="{00000000-0005-0000-0000-000018690000}"/>
    <cellStyle name="Input 3 2 2 4 4 2" xfId="27114" xr:uid="{00000000-0005-0000-0000-000019690000}"/>
    <cellStyle name="Input 3 2 2 4 4 2 2" xfId="27115" xr:uid="{00000000-0005-0000-0000-00001A690000}"/>
    <cellStyle name="Input 3 2 2 4 4 2 2 2" xfId="27116" xr:uid="{00000000-0005-0000-0000-00001B690000}"/>
    <cellStyle name="Input 3 2 2 4 4 2 3" xfId="27117" xr:uid="{00000000-0005-0000-0000-00001C690000}"/>
    <cellStyle name="Input 3 2 2 4 4 2 3 2" xfId="27118" xr:uid="{00000000-0005-0000-0000-00001D690000}"/>
    <cellStyle name="Input 3 2 2 4 4 2 4" xfId="27119" xr:uid="{00000000-0005-0000-0000-00001E690000}"/>
    <cellStyle name="Input 3 2 2 4 4 2 5" xfId="27120" xr:uid="{00000000-0005-0000-0000-00001F690000}"/>
    <cellStyle name="Input 3 2 2 4 4 2 6" xfId="27121" xr:uid="{00000000-0005-0000-0000-000020690000}"/>
    <cellStyle name="Input 3 2 2 4 4 3" xfId="27122" xr:uid="{00000000-0005-0000-0000-000021690000}"/>
    <cellStyle name="Input 3 2 2 4 4 3 2" xfId="27123" xr:uid="{00000000-0005-0000-0000-000022690000}"/>
    <cellStyle name="Input 3 2 2 4 4 4" xfId="27124" xr:uid="{00000000-0005-0000-0000-000023690000}"/>
    <cellStyle name="Input 3 2 2 4 4 4 2" xfId="27125" xr:uid="{00000000-0005-0000-0000-000024690000}"/>
    <cellStyle name="Input 3 2 2 4 4 5" xfId="27126" xr:uid="{00000000-0005-0000-0000-000025690000}"/>
    <cellStyle name="Input 3 2 2 4 4 6" xfId="27127" xr:uid="{00000000-0005-0000-0000-000026690000}"/>
    <cellStyle name="Input 3 2 2 4 4 7" xfId="27128" xr:uid="{00000000-0005-0000-0000-000027690000}"/>
    <cellStyle name="Input 3 2 2 4 5" xfId="27129" xr:uid="{00000000-0005-0000-0000-000028690000}"/>
    <cellStyle name="Input 3 2 2 4 5 2" xfId="27130" xr:uid="{00000000-0005-0000-0000-000029690000}"/>
    <cellStyle name="Input 3 2 2 4 5 2 2" xfId="27131" xr:uid="{00000000-0005-0000-0000-00002A690000}"/>
    <cellStyle name="Input 3 2 2 4 5 3" xfId="27132" xr:uid="{00000000-0005-0000-0000-00002B690000}"/>
    <cellStyle name="Input 3 2 2 4 5 3 2" xfId="27133" xr:uid="{00000000-0005-0000-0000-00002C690000}"/>
    <cellStyle name="Input 3 2 2 4 5 4" xfId="27134" xr:uid="{00000000-0005-0000-0000-00002D690000}"/>
    <cellStyle name="Input 3 2 2 4 5 5" xfId="27135" xr:uid="{00000000-0005-0000-0000-00002E690000}"/>
    <cellStyle name="Input 3 2 2 4 5 6" xfId="27136" xr:uid="{00000000-0005-0000-0000-00002F690000}"/>
    <cellStyle name="Input 3 2 2 4 6" xfId="27137" xr:uid="{00000000-0005-0000-0000-000030690000}"/>
    <cellStyle name="Input 3 2 2 4 6 2" xfId="27138" xr:uid="{00000000-0005-0000-0000-000031690000}"/>
    <cellStyle name="Input 3 2 2 4 7" xfId="27139" xr:uid="{00000000-0005-0000-0000-000032690000}"/>
    <cellStyle name="Input 3 2 2 4 7 2" xfId="27140" xr:uid="{00000000-0005-0000-0000-000033690000}"/>
    <cellStyle name="Input 3 2 2 4 8" xfId="27141" xr:uid="{00000000-0005-0000-0000-000034690000}"/>
    <cellStyle name="Input 3 2 2 4 9" xfId="27142" xr:uid="{00000000-0005-0000-0000-000035690000}"/>
    <cellStyle name="Input 3 2 2 5" xfId="27143" xr:uid="{00000000-0005-0000-0000-000036690000}"/>
    <cellStyle name="Input 3 2 2 5 2" xfId="27144" xr:uid="{00000000-0005-0000-0000-000037690000}"/>
    <cellStyle name="Input 3 2 2 5 2 2" xfId="27145" xr:uid="{00000000-0005-0000-0000-000038690000}"/>
    <cellStyle name="Input 3 2 2 5 2 2 2" xfId="27146" xr:uid="{00000000-0005-0000-0000-000039690000}"/>
    <cellStyle name="Input 3 2 2 5 2 2 2 2" xfId="27147" xr:uid="{00000000-0005-0000-0000-00003A690000}"/>
    <cellStyle name="Input 3 2 2 5 2 2 3" xfId="27148" xr:uid="{00000000-0005-0000-0000-00003B690000}"/>
    <cellStyle name="Input 3 2 2 5 2 2 3 2" xfId="27149" xr:uid="{00000000-0005-0000-0000-00003C690000}"/>
    <cellStyle name="Input 3 2 2 5 2 2 4" xfId="27150" xr:uid="{00000000-0005-0000-0000-00003D690000}"/>
    <cellStyle name="Input 3 2 2 5 2 2 5" xfId="27151" xr:uid="{00000000-0005-0000-0000-00003E690000}"/>
    <cellStyle name="Input 3 2 2 5 2 2 6" xfId="27152" xr:uid="{00000000-0005-0000-0000-00003F690000}"/>
    <cellStyle name="Input 3 2 2 5 2 3" xfId="27153" xr:uid="{00000000-0005-0000-0000-000040690000}"/>
    <cellStyle name="Input 3 2 2 5 2 3 2" xfId="27154" xr:uid="{00000000-0005-0000-0000-000041690000}"/>
    <cellStyle name="Input 3 2 2 5 2 4" xfId="27155" xr:uid="{00000000-0005-0000-0000-000042690000}"/>
    <cellStyle name="Input 3 2 2 5 2 4 2" xfId="27156" xr:uid="{00000000-0005-0000-0000-000043690000}"/>
    <cellStyle name="Input 3 2 2 5 2 5" xfId="27157" xr:uid="{00000000-0005-0000-0000-000044690000}"/>
    <cellStyle name="Input 3 2 2 5 2 6" xfId="27158" xr:uid="{00000000-0005-0000-0000-000045690000}"/>
    <cellStyle name="Input 3 2 2 5 2 7" xfId="27159" xr:uid="{00000000-0005-0000-0000-000046690000}"/>
    <cellStyle name="Input 3 2 2 5 3" xfId="27160" xr:uid="{00000000-0005-0000-0000-000047690000}"/>
    <cellStyle name="Input 3 2 2 5 3 2" xfId="27161" xr:uid="{00000000-0005-0000-0000-000048690000}"/>
    <cellStyle name="Input 3 2 2 5 3 2 2" xfId="27162" xr:uid="{00000000-0005-0000-0000-000049690000}"/>
    <cellStyle name="Input 3 2 2 5 3 3" xfId="27163" xr:uid="{00000000-0005-0000-0000-00004A690000}"/>
    <cellStyle name="Input 3 2 2 5 3 3 2" xfId="27164" xr:uid="{00000000-0005-0000-0000-00004B690000}"/>
    <cellStyle name="Input 3 2 2 5 3 4" xfId="27165" xr:uid="{00000000-0005-0000-0000-00004C690000}"/>
    <cellStyle name="Input 3 2 2 5 3 5" xfId="27166" xr:uid="{00000000-0005-0000-0000-00004D690000}"/>
    <cellStyle name="Input 3 2 2 5 3 6" xfId="27167" xr:uid="{00000000-0005-0000-0000-00004E690000}"/>
    <cellStyle name="Input 3 2 2 5 4" xfId="27168" xr:uid="{00000000-0005-0000-0000-00004F690000}"/>
    <cellStyle name="Input 3 2 2 5 4 2" xfId="27169" xr:uid="{00000000-0005-0000-0000-000050690000}"/>
    <cellStyle name="Input 3 2 2 5 5" xfId="27170" xr:uid="{00000000-0005-0000-0000-000051690000}"/>
    <cellStyle name="Input 3 2 2 5 5 2" xfId="27171" xr:uid="{00000000-0005-0000-0000-000052690000}"/>
    <cellStyle name="Input 3 2 2 5 6" xfId="27172" xr:uid="{00000000-0005-0000-0000-000053690000}"/>
    <cellStyle name="Input 3 2 2 5 7" xfId="27173" xr:uid="{00000000-0005-0000-0000-000054690000}"/>
    <cellStyle name="Input 3 2 2 5 8" xfId="27174" xr:uid="{00000000-0005-0000-0000-000055690000}"/>
    <cellStyle name="Input 3 2 2 6" xfId="27175" xr:uid="{00000000-0005-0000-0000-000056690000}"/>
    <cellStyle name="Input 3 2 2 6 2" xfId="27176" xr:uid="{00000000-0005-0000-0000-000057690000}"/>
    <cellStyle name="Input 3 2 2 6 2 2" xfId="27177" xr:uid="{00000000-0005-0000-0000-000058690000}"/>
    <cellStyle name="Input 3 2 2 6 2 2 2" xfId="27178" xr:uid="{00000000-0005-0000-0000-000059690000}"/>
    <cellStyle name="Input 3 2 2 6 2 3" xfId="27179" xr:uid="{00000000-0005-0000-0000-00005A690000}"/>
    <cellStyle name="Input 3 2 2 6 2 3 2" xfId="27180" xr:uid="{00000000-0005-0000-0000-00005B690000}"/>
    <cellStyle name="Input 3 2 2 6 2 4" xfId="27181" xr:uid="{00000000-0005-0000-0000-00005C690000}"/>
    <cellStyle name="Input 3 2 2 6 2 5" xfId="27182" xr:uid="{00000000-0005-0000-0000-00005D690000}"/>
    <cellStyle name="Input 3 2 2 6 2 6" xfId="27183" xr:uid="{00000000-0005-0000-0000-00005E690000}"/>
    <cellStyle name="Input 3 2 2 6 3" xfId="27184" xr:uid="{00000000-0005-0000-0000-00005F690000}"/>
    <cellStyle name="Input 3 2 2 6 3 2" xfId="27185" xr:uid="{00000000-0005-0000-0000-000060690000}"/>
    <cellStyle name="Input 3 2 2 6 4" xfId="27186" xr:uid="{00000000-0005-0000-0000-000061690000}"/>
    <cellStyle name="Input 3 2 2 6 4 2" xfId="27187" xr:uid="{00000000-0005-0000-0000-000062690000}"/>
    <cellStyle name="Input 3 2 2 6 5" xfId="27188" xr:uid="{00000000-0005-0000-0000-000063690000}"/>
    <cellStyle name="Input 3 2 2 6 6" xfId="27189" xr:uid="{00000000-0005-0000-0000-000064690000}"/>
    <cellStyle name="Input 3 2 2 6 7" xfId="27190" xr:uid="{00000000-0005-0000-0000-000065690000}"/>
    <cellStyle name="Input 3 2 2 7" xfId="27191" xr:uid="{00000000-0005-0000-0000-000066690000}"/>
    <cellStyle name="Input 3 2 2 7 2" xfId="27192" xr:uid="{00000000-0005-0000-0000-000067690000}"/>
    <cellStyle name="Input 3 2 2 7 2 2" xfId="27193" xr:uid="{00000000-0005-0000-0000-000068690000}"/>
    <cellStyle name="Input 3 2 2 7 3" xfId="27194" xr:uid="{00000000-0005-0000-0000-000069690000}"/>
    <cellStyle name="Input 3 2 2 7 3 2" xfId="27195" xr:uid="{00000000-0005-0000-0000-00006A690000}"/>
    <cellStyle name="Input 3 2 2 7 4" xfId="27196" xr:uid="{00000000-0005-0000-0000-00006B690000}"/>
    <cellStyle name="Input 3 2 2 7 5" xfId="27197" xr:uid="{00000000-0005-0000-0000-00006C690000}"/>
    <cellStyle name="Input 3 2 2 7 6" xfId="27198" xr:uid="{00000000-0005-0000-0000-00006D690000}"/>
    <cellStyle name="Input 3 2 2 8" xfId="27199" xr:uid="{00000000-0005-0000-0000-00006E690000}"/>
    <cellStyle name="Input 3 2 2 8 2" xfId="27200" xr:uid="{00000000-0005-0000-0000-00006F690000}"/>
    <cellStyle name="Input 3 2 2 9" xfId="27201" xr:uid="{00000000-0005-0000-0000-000070690000}"/>
    <cellStyle name="Input 3 2 2 9 2" xfId="27202" xr:uid="{00000000-0005-0000-0000-000071690000}"/>
    <cellStyle name="Input 3 2 3" xfId="27203" xr:uid="{00000000-0005-0000-0000-000072690000}"/>
    <cellStyle name="Input 3 2 3 10" xfId="27204" xr:uid="{00000000-0005-0000-0000-000073690000}"/>
    <cellStyle name="Input 3 2 3 11" xfId="27205" xr:uid="{00000000-0005-0000-0000-000074690000}"/>
    <cellStyle name="Input 3 2 3 12" xfId="27206" xr:uid="{00000000-0005-0000-0000-000075690000}"/>
    <cellStyle name="Input 3 2 3 2" xfId="27207" xr:uid="{00000000-0005-0000-0000-000076690000}"/>
    <cellStyle name="Input 3 2 3 2 10" xfId="27208" xr:uid="{00000000-0005-0000-0000-000077690000}"/>
    <cellStyle name="Input 3 2 3 2 11" xfId="27209" xr:uid="{00000000-0005-0000-0000-000078690000}"/>
    <cellStyle name="Input 3 2 3 2 2" xfId="27210" xr:uid="{00000000-0005-0000-0000-000079690000}"/>
    <cellStyle name="Input 3 2 3 2 2 10" xfId="27211" xr:uid="{00000000-0005-0000-0000-00007A690000}"/>
    <cellStyle name="Input 3 2 3 2 2 2" xfId="27212" xr:uid="{00000000-0005-0000-0000-00007B690000}"/>
    <cellStyle name="Input 3 2 3 2 2 2 2" xfId="27213" xr:uid="{00000000-0005-0000-0000-00007C690000}"/>
    <cellStyle name="Input 3 2 3 2 2 2 2 2" xfId="27214" xr:uid="{00000000-0005-0000-0000-00007D690000}"/>
    <cellStyle name="Input 3 2 3 2 2 2 2 2 2" xfId="27215" xr:uid="{00000000-0005-0000-0000-00007E690000}"/>
    <cellStyle name="Input 3 2 3 2 2 2 2 2 2 2" xfId="27216" xr:uid="{00000000-0005-0000-0000-00007F690000}"/>
    <cellStyle name="Input 3 2 3 2 2 2 2 2 3" xfId="27217" xr:uid="{00000000-0005-0000-0000-000080690000}"/>
    <cellStyle name="Input 3 2 3 2 2 2 2 2 3 2" xfId="27218" xr:uid="{00000000-0005-0000-0000-000081690000}"/>
    <cellStyle name="Input 3 2 3 2 2 2 2 2 4" xfId="27219" xr:uid="{00000000-0005-0000-0000-000082690000}"/>
    <cellStyle name="Input 3 2 3 2 2 2 2 2 5" xfId="27220" xr:uid="{00000000-0005-0000-0000-000083690000}"/>
    <cellStyle name="Input 3 2 3 2 2 2 2 2 6" xfId="27221" xr:uid="{00000000-0005-0000-0000-000084690000}"/>
    <cellStyle name="Input 3 2 3 2 2 2 2 3" xfId="27222" xr:uid="{00000000-0005-0000-0000-000085690000}"/>
    <cellStyle name="Input 3 2 3 2 2 2 2 3 2" xfId="27223" xr:uid="{00000000-0005-0000-0000-000086690000}"/>
    <cellStyle name="Input 3 2 3 2 2 2 2 4" xfId="27224" xr:uid="{00000000-0005-0000-0000-000087690000}"/>
    <cellStyle name="Input 3 2 3 2 2 2 2 4 2" xfId="27225" xr:uid="{00000000-0005-0000-0000-000088690000}"/>
    <cellStyle name="Input 3 2 3 2 2 2 2 5" xfId="27226" xr:uid="{00000000-0005-0000-0000-000089690000}"/>
    <cellStyle name="Input 3 2 3 2 2 2 2 6" xfId="27227" xr:uid="{00000000-0005-0000-0000-00008A690000}"/>
    <cellStyle name="Input 3 2 3 2 2 2 2 7" xfId="27228" xr:uid="{00000000-0005-0000-0000-00008B690000}"/>
    <cellStyle name="Input 3 2 3 2 2 2 3" xfId="27229" xr:uid="{00000000-0005-0000-0000-00008C690000}"/>
    <cellStyle name="Input 3 2 3 2 2 2 3 2" xfId="27230" xr:uid="{00000000-0005-0000-0000-00008D690000}"/>
    <cellStyle name="Input 3 2 3 2 2 2 3 2 2" xfId="27231" xr:uid="{00000000-0005-0000-0000-00008E690000}"/>
    <cellStyle name="Input 3 2 3 2 2 2 3 3" xfId="27232" xr:uid="{00000000-0005-0000-0000-00008F690000}"/>
    <cellStyle name="Input 3 2 3 2 2 2 3 3 2" xfId="27233" xr:uid="{00000000-0005-0000-0000-000090690000}"/>
    <cellStyle name="Input 3 2 3 2 2 2 3 4" xfId="27234" xr:uid="{00000000-0005-0000-0000-000091690000}"/>
    <cellStyle name="Input 3 2 3 2 2 2 3 5" xfId="27235" xr:uid="{00000000-0005-0000-0000-000092690000}"/>
    <cellStyle name="Input 3 2 3 2 2 2 3 6" xfId="27236" xr:uid="{00000000-0005-0000-0000-000093690000}"/>
    <cellStyle name="Input 3 2 3 2 2 2 4" xfId="27237" xr:uid="{00000000-0005-0000-0000-000094690000}"/>
    <cellStyle name="Input 3 2 3 2 2 2 4 2" xfId="27238" xr:uid="{00000000-0005-0000-0000-000095690000}"/>
    <cellStyle name="Input 3 2 3 2 2 2 5" xfId="27239" xr:uid="{00000000-0005-0000-0000-000096690000}"/>
    <cellStyle name="Input 3 2 3 2 2 2 5 2" xfId="27240" xr:uid="{00000000-0005-0000-0000-000097690000}"/>
    <cellStyle name="Input 3 2 3 2 2 2 6" xfId="27241" xr:uid="{00000000-0005-0000-0000-000098690000}"/>
    <cellStyle name="Input 3 2 3 2 2 2 7" xfId="27242" xr:uid="{00000000-0005-0000-0000-000099690000}"/>
    <cellStyle name="Input 3 2 3 2 2 2 8" xfId="27243" xr:uid="{00000000-0005-0000-0000-00009A690000}"/>
    <cellStyle name="Input 3 2 3 2 2 3" xfId="27244" xr:uid="{00000000-0005-0000-0000-00009B690000}"/>
    <cellStyle name="Input 3 2 3 2 2 3 2" xfId="27245" xr:uid="{00000000-0005-0000-0000-00009C690000}"/>
    <cellStyle name="Input 3 2 3 2 2 3 2 2" xfId="27246" xr:uid="{00000000-0005-0000-0000-00009D690000}"/>
    <cellStyle name="Input 3 2 3 2 2 3 2 2 2" xfId="27247" xr:uid="{00000000-0005-0000-0000-00009E690000}"/>
    <cellStyle name="Input 3 2 3 2 2 3 2 2 2 2" xfId="27248" xr:uid="{00000000-0005-0000-0000-00009F690000}"/>
    <cellStyle name="Input 3 2 3 2 2 3 2 2 3" xfId="27249" xr:uid="{00000000-0005-0000-0000-0000A0690000}"/>
    <cellStyle name="Input 3 2 3 2 2 3 2 2 3 2" xfId="27250" xr:uid="{00000000-0005-0000-0000-0000A1690000}"/>
    <cellStyle name="Input 3 2 3 2 2 3 2 2 4" xfId="27251" xr:uid="{00000000-0005-0000-0000-0000A2690000}"/>
    <cellStyle name="Input 3 2 3 2 2 3 2 2 5" xfId="27252" xr:uid="{00000000-0005-0000-0000-0000A3690000}"/>
    <cellStyle name="Input 3 2 3 2 2 3 2 2 6" xfId="27253" xr:uid="{00000000-0005-0000-0000-0000A4690000}"/>
    <cellStyle name="Input 3 2 3 2 2 3 2 3" xfId="27254" xr:uid="{00000000-0005-0000-0000-0000A5690000}"/>
    <cellStyle name="Input 3 2 3 2 2 3 2 3 2" xfId="27255" xr:uid="{00000000-0005-0000-0000-0000A6690000}"/>
    <cellStyle name="Input 3 2 3 2 2 3 2 4" xfId="27256" xr:uid="{00000000-0005-0000-0000-0000A7690000}"/>
    <cellStyle name="Input 3 2 3 2 2 3 2 4 2" xfId="27257" xr:uid="{00000000-0005-0000-0000-0000A8690000}"/>
    <cellStyle name="Input 3 2 3 2 2 3 2 5" xfId="27258" xr:uid="{00000000-0005-0000-0000-0000A9690000}"/>
    <cellStyle name="Input 3 2 3 2 2 3 2 6" xfId="27259" xr:uid="{00000000-0005-0000-0000-0000AA690000}"/>
    <cellStyle name="Input 3 2 3 2 2 3 2 7" xfId="27260" xr:uid="{00000000-0005-0000-0000-0000AB690000}"/>
    <cellStyle name="Input 3 2 3 2 2 3 3" xfId="27261" xr:uid="{00000000-0005-0000-0000-0000AC690000}"/>
    <cellStyle name="Input 3 2 3 2 2 3 3 2" xfId="27262" xr:uid="{00000000-0005-0000-0000-0000AD690000}"/>
    <cellStyle name="Input 3 2 3 2 2 3 3 2 2" xfId="27263" xr:uid="{00000000-0005-0000-0000-0000AE690000}"/>
    <cellStyle name="Input 3 2 3 2 2 3 3 3" xfId="27264" xr:uid="{00000000-0005-0000-0000-0000AF690000}"/>
    <cellStyle name="Input 3 2 3 2 2 3 3 3 2" xfId="27265" xr:uid="{00000000-0005-0000-0000-0000B0690000}"/>
    <cellStyle name="Input 3 2 3 2 2 3 3 4" xfId="27266" xr:uid="{00000000-0005-0000-0000-0000B1690000}"/>
    <cellStyle name="Input 3 2 3 2 2 3 3 5" xfId="27267" xr:uid="{00000000-0005-0000-0000-0000B2690000}"/>
    <cellStyle name="Input 3 2 3 2 2 3 3 6" xfId="27268" xr:uid="{00000000-0005-0000-0000-0000B3690000}"/>
    <cellStyle name="Input 3 2 3 2 2 3 4" xfId="27269" xr:uid="{00000000-0005-0000-0000-0000B4690000}"/>
    <cellStyle name="Input 3 2 3 2 2 3 4 2" xfId="27270" xr:uid="{00000000-0005-0000-0000-0000B5690000}"/>
    <cellStyle name="Input 3 2 3 2 2 3 5" xfId="27271" xr:uid="{00000000-0005-0000-0000-0000B6690000}"/>
    <cellStyle name="Input 3 2 3 2 2 3 5 2" xfId="27272" xr:uid="{00000000-0005-0000-0000-0000B7690000}"/>
    <cellStyle name="Input 3 2 3 2 2 3 6" xfId="27273" xr:uid="{00000000-0005-0000-0000-0000B8690000}"/>
    <cellStyle name="Input 3 2 3 2 2 3 7" xfId="27274" xr:uid="{00000000-0005-0000-0000-0000B9690000}"/>
    <cellStyle name="Input 3 2 3 2 2 3 8" xfId="27275" xr:uid="{00000000-0005-0000-0000-0000BA690000}"/>
    <cellStyle name="Input 3 2 3 2 2 4" xfId="27276" xr:uid="{00000000-0005-0000-0000-0000BB690000}"/>
    <cellStyle name="Input 3 2 3 2 2 4 2" xfId="27277" xr:uid="{00000000-0005-0000-0000-0000BC690000}"/>
    <cellStyle name="Input 3 2 3 2 2 4 2 2" xfId="27278" xr:uid="{00000000-0005-0000-0000-0000BD690000}"/>
    <cellStyle name="Input 3 2 3 2 2 4 2 2 2" xfId="27279" xr:uid="{00000000-0005-0000-0000-0000BE690000}"/>
    <cellStyle name="Input 3 2 3 2 2 4 2 3" xfId="27280" xr:uid="{00000000-0005-0000-0000-0000BF690000}"/>
    <cellStyle name="Input 3 2 3 2 2 4 2 3 2" xfId="27281" xr:uid="{00000000-0005-0000-0000-0000C0690000}"/>
    <cellStyle name="Input 3 2 3 2 2 4 2 4" xfId="27282" xr:uid="{00000000-0005-0000-0000-0000C1690000}"/>
    <cellStyle name="Input 3 2 3 2 2 4 2 5" xfId="27283" xr:uid="{00000000-0005-0000-0000-0000C2690000}"/>
    <cellStyle name="Input 3 2 3 2 2 4 2 6" xfId="27284" xr:uid="{00000000-0005-0000-0000-0000C3690000}"/>
    <cellStyle name="Input 3 2 3 2 2 4 3" xfId="27285" xr:uid="{00000000-0005-0000-0000-0000C4690000}"/>
    <cellStyle name="Input 3 2 3 2 2 4 3 2" xfId="27286" xr:uid="{00000000-0005-0000-0000-0000C5690000}"/>
    <cellStyle name="Input 3 2 3 2 2 4 4" xfId="27287" xr:uid="{00000000-0005-0000-0000-0000C6690000}"/>
    <cellStyle name="Input 3 2 3 2 2 4 4 2" xfId="27288" xr:uid="{00000000-0005-0000-0000-0000C7690000}"/>
    <cellStyle name="Input 3 2 3 2 2 4 5" xfId="27289" xr:uid="{00000000-0005-0000-0000-0000C8690000}"/>
    <cellStyle name="Input 3 2 3 2 2 4 6" xfId="27290" xr:uid="{00000000-0005-0000-0000-0000C9690000}"/>
    <cellStyle name="Input 3 2 3 2 2 4 7" xfId="27291" xr:uid="{00000000-0005-0000-0000-0000CA690000}"/>
    <cellStyle name="Input 3 2 3 2 2 5" xfId="27292" xr:uid="{00000000-0005-0000-0000-0000CB690000}"/>
    <cellStyle name="Input 3 2 3 2 2 5 2" xfId="27293" xr:uid="{00000000-0005-0000-0000-0000CC690000}"/>
    <cellStyle name="Input 3 2 3 2 2 5 2 2" xfId="27294" xr:uid="{00000000-0005-0000-0000-0000CD690000}"/>
    <cellStyle name="Input 3 2 3 2 2 5 3" xfId="27295" xr:uid="{00000000-0005-0000-0000-0000CE690000}"/>
    <cellStyle name="Input 3 2 3 2 2 5 3 2" xfId="27296" xr:uid="{00000000-0005-0000-0000-0000CF690000}"/>
    <cellStyle name="Input 3 2 3 2 2 5 4" xfId="27297" xr:uid="{00000000-0005-0000-0000-0000D0690000}"/>
    <cellStyle name="Input 3 2 3 2 2 5 5" xfId="27298" xr:uid="{00000000-0005-0000-0000-0000D1690000}"/>
    <cellStyle name="Input 3 2 3 2 2 5 6" xfId="27299" xr:uid="{00000000-0005-0000-0000-0000D2690000}"/>
    <cellStyle name="Input 3 2 3 2 2 6" xfId="27300" xr:uid="{00000000-0005-0000-0000-0000D3690000}"/>
    <cellStyle name="Input 3 2 3 2 2 6 2" xfId="27301" xr:uid="{00000000-0005-0000-0000-0000D4690000}"/>
    <cellStyle name="Input 3 2 3 2 2 7" xfId="27302" xr:uid="{00000000-0005-0000-0000-0000D5690000}"/>
    <cellStyle name="Input 3 2 3 2 2 7 2" xfId="27303" xr:uid="{00000000-0005-0000-0000-0000D6690000}"/>
    <cellStyle name="Input 3 2 3 2 2 8" xfId="27304" xr:uid="{00000000-0005-0000-0000-0000D7690000}"/>
    <cellStyle name="Input 3 2 3 2 2 9" xfId="27305" xr:uid="{00000000-0005-0000-0000-0000D8690000}"/>
    <cellStyle name="Input 3 2 3 2 3" xfId="27306" xr:uid="{00000000-0005-0000-0000-0000D9690000}"/>
    <cellStyle name="Input 3 2 3 2 3 2" xfId="27307" xr:uid="{00000000-0005-0000-0000-0000DA690000}"/>
    <cellStyle name="Input 3 2 3 2 3 2 2" xfId="27308" xr:uid="{00000000-0005-0000-0000-0000DB690000}"/>
    <cellStyle name="Input 3 2 3 2 3 2 2 2" xfId="27309" xr:uid="{00000000-0005-0000-0000-0000DC690000}"/>
    <cellStyle name="Input 3 2 3 2 3 2 2 2 2" xfId="27310" xr:uid="{00000000-0005-0000-0000-0000DD690000}"/>
    <cellStyle name="Input 3 2 3 2 3 2 2 3" xfId="27311" xr:uid="{00000000-0005-0000-0000-0000DE690000}"/>
    <cellStyle name="Input 3 2 3 2 3 2 2 3 2" xfId="27312" xr:uid="{00000000-0005-0000-0000-0000DF690000}"/>
    <cellStyle name="Input 3 2 3 2 3 2 2 4" xfId="27313" xr:uid="{00000000-0005-0000-0000-0000E0690000}"/>
    <cellStyle name="Input 3 2 3 2 3 2 2 5" xfId="27314" xr:uid="{00000000-0005-0000-0000-0000E1690000}"/>
    <cellStyle name="Input 3 2 3 2 3 2 2 6" xfId="27315" xr:uid="{00000000-0005-0000-0000-0000E2690000}"/>
    <cellStyle name="Input 3 2 3 2 3 2 3" xfId="27316" xr:uid="{00000000-0005-0000-0000-0000E3690000}"/>
    <cellStyle name="Input 3 2 3 2 3 2 3 2" xfId="27317" xr:uid="{00000000-0005-0000-0000-0000E4690000}"/>
    <cellStyle name="Input 3 2 3 2 3 2 4" xfId="27318" xr:uid="{00000000-0005-0000-0000-0000E5690000}"/>
    <cellStyle name="Input 3 2 3 2 3 2 4 2" xfId="27319" xr:uid="{00000000-0005-0000-0000-0000E6690000}"/>
    <cellStyle name="Input 3 2 3 2 3 2 5" xfId="27320" xr:uid="{00000000-0005-0000-0000-0000E7690000}"/>
    <cellStyle name="Input 3 2 3 2 3 2 6" xfId="27321" xr:uid="{00000000-0005-0000-0000-0000E8690000}"/>
    <cellStyle name="Input 3 2 3 2 3 2 7" xfId="27322" xr:uid="{00000000-0005-0000-0000-0000E9690000}"/>
    <cellStyle name="Input 3 2 3 2 3 3" xfId="27323" xr:uid="{00000000-0005-0000-0000-0000EA690000}"/>
    <cellStyle name="Input 3 2 3 2 3 3 2" xfId="27324" xr:uid="{00000000-0005-0000-0000-0000EB690000}"/>
    <cellStyle name="Input 3 2 3 2 3 3 2 2" xfId="27325" xr:uid="{00000000-0005-0000-0000-0000EC690000}"/>
    <cellStyle name="Input 3 2 3 2 3 3 3" xfId="27326" xr:uid="{00000000-0005-0000-0000-0000ED690000}"/>
    <cellStyle name="Input 3 2 3 2 3 3 3 2" xfId="27327" xr:uid="{00000000-0005-0000-0000-0000EE690000}"/>
    <cellStyle name="Input 3 2 3 2 3 3 4" xfId="27328" xr:uid="{00000000-0005-0000-0000-0000EF690000}"/>
    <cellStyle name="Input 3 2 3 2 3 3 5" xfId="27329" xr:uid="{00000000-0005-0000-0000-0000F0690000}"/>
    <cellStyle name="Input 3 2 3 2 3 3 6" xfId="27330" xr:uid="{00000000-0005-0000-0000-0000F1690000}"/>
    <cellStyle name="Input 3 2 3 2 3 4" xfId="27331" xr:uid="{00000000-0005-0000-0000-0000F2690000}"/>
    <cellStyle name="Input 3 2 3 2 3 4 2" xfId="27332" xr:uid="{00000000-0005-0000-0000-0000F3690000}"/>
    <cellStyle name="Input 3 2 3 2 3 5" xfId="27333" xr:uid="{00000000-0005-0000-0000-0000F4690000}"/>
    <cellStyle name="Input 3 2 3 2 3 5 2" xfId="27334" xr:uid="{00000000-0005-0000-0000-0000F5690000}"/>
    <cellStyle name="Input 3 2 3 2 3 6" xfId="27335" xr:uid="{00000000-0005-0000-0000-0000F6690000}"/>
    <cellStyle name="Input 3 2 3 2 3 7" xfId="27336" xr:uid="{00000000-0005-0000-0000-0000F7690000}"/>
    <cellStyle name="Input 3 2 3 2 3 8" xfId="27337" xr:uid="{00000000-0005-0000-0000-0000F8690000}"/>
    <cellStyle name="Input 3 2 3 2 4" xfId="27338" xr:uid="{00000000-0005-0000-0000-0000F9690000}"/>
    <cellStyle name="Input 3 2 3 2 4 2" xfId="27339" xr:uid="{00000000-0005-0000-0000-0000FA690000}"/>
    <cellStyle name="Input 3 2 3 2 4 2 2" xfId="27340" xr:uid="{00000000-0005-0000-0000-0000FB690000}"/>
    <cellStyle name="Input 3 2 3 2 4 2 2 2" xfId="27341" xr:uid="{00000000-0005-0000-0000-0000FC690000}"/>
    <cellStyle name="Input 3 2 3 2 4 2 2 2 2" xfId="27342" xr:uid="{00000000-0005-0000-0000-0000FD690000}"/>
    <cellStyle name="Input 3 2 3 2 4 2 2 3" xfId="27343" xr:uid="{00000000-0005-0000-0000-0000FE690000}"/>
    <cellStyle name="Input 3 2 3 2 4 2 2 3 2" xfId="27344" xr:uid="{00000000-0005-0000-0000-0000FF690000}"/>
    <cellStyle name="Input 3 2 3 2 4 2 2 4" xfId="27345" xr:uid="{00000000-0005-0000-0000-0000006A0000}"/>
    <cellStyle name="Input 3 2 3 2 4 2 2 5" xfId="27346" xr:uid="{00000000-0005-0000-0000-0000016A0000}"/>
    <cellStyle name="Input 3 2 3 2 4 2 2 6" xfId="27347" xr:uid="{00000000-0005-0000-0000-0000026A0000}"/>
    <cellStyle name="Input 3 2 3 2 4 2 3" xfId="27348" xr:uid="{00000000-0005-0000-0000-0000036A0000}"/>
    <cellStyle name="Input 3 2 3 2 4 2 3 2" xfId="27349" xr:uid="{00000000-0005-0000-0000-0000046A0000}"/>
    <cellStyle name="Input 3 2 3 2 4 2 4" xfId="27350" xr:uid="{00000000-0005-0000-0000-0000056A0000}"/>
    <cellStyle name="Input 3 2 3 2 4 2 4 2" xfId="27351" xr:uid="{00000000-0005-0000-0000-0000066A0000}"/>
    <cellStyle name="Input 3 2 3 2 4 2 5" xfId="27352" xr:uid="{00000000-0005-0000-0000-0000076A0000}"/>
    <cellStyle name="Input 3 2 3 2 4 2 6" xfId="27353" xr:uid="{00000000-0005-0000-0000-0000086A0000}"/>
    <cellStyle name="Input 3 2 3 2 4 2 7" xfId="27354" xr:uid="{00000000-0005-0000-0000-0000096A0000}"/>
    <cellStyle name="Input 3 2 3 2 4 3" xfId="27355" xr:uid="{00000000-0005-0000-0000-00000A6A0000}"/>
    <cellStyle name="Input 3 2 3 2 4 3 2" xfId="27356" xr:uid="{00000000-0005-0000-0000-00000B6A0000}"/>
    <cellStyle name="Input 3 2 3 2 4 3 2 2" xfId="27357" xr:uid="{00000000-0005-0000-0000-00000C6A0000}"/>
    <cellStyle name="Input 3 2 3 2 4 3 3" xfId="27358" xr:uid="{00000000-0005-0000-0000-00000D6A0000}"/>
    <cellStyle name="Input 3 2 3 2 4 3 3 2" xfId="27359" xr:uid="{00000000-0005-0000-0000-00000E6A0000}"/>
    <cellStyle name="Input 3 2 3 2 4 3 4" xfId="27360" xr:uid="{00000000-0005-0000-0000-00000F6A0000}"/>
    <cellStyle name="Input 3 2 3 2 4 3 5" xfId="27361" xr:uid="{00000000-0005-0000-0000-0000106A0000}"/>
    <cellStyle name="Input 3 2 3 2 4 3 6" xfId="27362" xr:uid="{00000000-0005-0000-0000-0000116A0000}"/>
    <cellStyle name="Input 3 2 3 2 4 4" xfId="27363" xr:uid="{00000000-0005-0000-0000-0000126A0000}"/>
    <cellStyle name="Input 3 2 3 2 4 4 2" xfId="27364" xr:uid="{00000000-0005-0000-0000-0000136A0000}"/>
    <cellStyle name="Input 3 2 3 2 4 5" xfId="27365" xr:uid="{00000000-0005-0000-0000-0000146A0000}"/>
    <cellStyle name="Input 3 2 3 2 4 5 2" xfId="27366" xr:uid="{00000000-0005-0000-0000-0000156A0000}"/>
    <cellStyle name="Input 3 2 3 2 4 6" xfId="27367" xr:uid="{00000000-0005-0000-0000-0000166A0000}"/>
    <cellStyle name="Input 3 2 3 2 4 7" xfId="27368" xr:uid="{00000000-0005-0000-0000-0000176A0000}"/>
    <cellStyle name="Input 3 2 3 2 4 8" xfId="27369" xr:uid="{00000000-0005-0000-0000-0000186A0000}"/>
    <cellStyle name="Input 3 2 3 2 5" xfId="27370" xr:uid="{00000000-0005-0000-0000-0000196A0000}"/>
    <cellStyle name="Input 3 2 3 2 5 2" xfId="27371" xr:uid="{00000000-0005-0000-0000-00001A6A0000}"/>
    <cellStyle name="Input 3 2 3 2 5 2 2" xfId="27372" xr:uid="{00000000-0005-0000-0000-00001B6A0000}"/>
    <cellStyle name="Input 3 2 3 2 5 2 2 2" xfId="27373" xr:uid="{00000000-0005-0000-0000-00001C6A0000}"/>
    <cellStyle name="Input 3 2 3 2 5 2 3" xfId="27374" xr:uid="{00000000-0005-0000-0000-00001D6A0000}"/>
    <cellStyle name="Input 3 2 3 2 5 2 3 2" xfId="27375" xr:uid="{00000000-0005-0000-0000-00001E6A0000}"/>
    <cellStyle name="Input 3 2 3 2 5 2 4" xfId="27376" xr:uid="{00000000-0005-0000-0000-00001F6A0000}"/>
    <cellStyle name="Input 3 2 3 2 5 2 5" xfId="27377" xr:uid="{00000000-0005-0000-0000-0000206A0000}"/>
    <cellStyle name="Input 3 2 3 2 5 2 6" xfId="27378" xr:uid="{00000000-0005-0000-0000-0000216A0000}"/>
    <cellStyle name="Input 3 2 3 2 5 3" xfId="27379" xr:uid="{00000000-0005-0000-0000-0000226A0000}"/>
    <cellStyle name="Input 3 2 3 2 5 3 2" xfId="27380" xr:uid="{00000000-0005-0000-0000-0000236A0000}"/>
    <cellStyle name="Input 3 2 3 2 5 4" xfId="27381" xr:uid="{00000000-0005-0000-0000-0000246A0000}"/>
    <cellStyle name="Input 3 2 3 2 5 4 2" xfId="27382" xr:uid="{00000000-0005-0000-0000-0000256A0000}"/>
    <cellStyle name="Input 3 2 3 2 5 5" xfId="27383" xr:uid="{00000000-0005-0000-0000-0000266A0000}"/>
    <cellStyle name="Input 3 2 3 2 5 6" xfId="27384" xr:uid="{00000000-0005-0000-0000-0000276A0000}"/>
    <cellStyle name="Input 3 2 3 2 5 7" xfId="27385" xr:uid="{00000000-0005-0000-0000-0000286A0000}"/>
    <cellStyle name="Input 3 2 3 2 6" xfId="27386" xr:uid="{00000000-0005-0000-0000-0000296A0000}"/>
    <cellStyle name="Input 3 2 3 2 6 2" xfId="27387" xr:uid="{00000000-0005-0000-0000-00002A6A0000}"/>
    <cellStyle name="Input 3 2 3 2 6 2 2" xfId="27388" xr:uid="{00000000-0005-0000-0000-00002B6A0000}"/>
    <cellStyle name="Input 3 2 3 2 6 3" xfId="27389" xr:uid="{00000000-0005-0000-0000-00002C6A0000}"/>
    <cellStyle name="Input 3 2 3 2 6 3 2" xfId="27390" xr:uid="{00000000-0005-0000-0000-00002D6A0000}"/>
    <cellStyle name="Input 3 2 3 2 6 4" xfId="27391" xr:uid="{00000000-0005-0000-0000-00002E6A0000}"/>
    <cellStyle name="Input 3 2 3 2 6 5" xfId="27392" xr:uid="{00000000-0005-0000-0000-00002F6A0000}"/>
    <cellStyle name="Input 3 2 3 2 6 6" xfId="27393" xr:uid="{00000000-0005-0000-0000-0000306A0000}"/>
    <cellStyle name="Input 3 2 3 2 7" xfId="27394" xr:uid="{00000000-0005-0000-0000-0000316A0000}"/>
    <cellStyle name="Input 3 2 3 2 7 2" xfId="27395" xr:uid="{00000000-0005-0000-0000-0000326A0000}"/>
    <cellStyle name="Input 3 2 3 2 8" xfId="27396" xr:uid="{00000000-0005-0000-0000-0000336A0000}"/>
    <cellStyle name="Input 3 2 3 2 8 2" xfId="27397" xr:uid="{00000000-0005-0000-0000-0000346A0000}"/>
    <cellStyle name="Input 3 2 3 2 9" xfId="27398" xr:uid="{00000000-0005-0000-0000-0000356A0000}"/>
    <cellStyle name="Input 3 2 3 3" xfId="27399" xr:uid="{00000000-0005-0000-0000-0000366A0000}"/>
    <cellStyle name="Input 3 2 3 3 10" xfId="27400" xr:uid="{00000000-0005-0000-0000-0000376A0000}"/>
    <cellStyle name="Input 3 2 3 3 2" xfId="27401" xr:uid="{00000000-0005-0000-0000-0000386A0000}"/>
    <cellStyle name="Input 3 2 3 3 2 10" xfId="27402" xr:uid="{00000000-0005-0000-0000-0000396A0000}"/>
    <cellStyle name="Input 3 2 3 3 2 2" xfId="27403" xr:uid="{00000000-0005-0000-0000-00003A6A0000}"/>
    <cellStyle name="Input 3 2 3 3 2 2 2" xfId="27404" xr:uid="{00000000-0005-0000-0000-00003B6A0000}"/>
    <cellStyle name="Input 3 2 3 3 2 2 2 2" xfId="27405" xr:uid="{00000000-0005-0000-0000-00003C6A0000}"/>
    <cellStyle name="Input 3 2 3 3 2 2 2 2 2" xfId="27406" xr:uid="{00000000-0005-0000-0000-00003D6A0000}"/>
    <cellStyle name="Input 3 2 3 3 2 2 2 2 2 2" xfId="27407" xr:uid="{00000000-0005-0000-0000-00003E6A0000}"/>
    <cellStyle name="Input 3 2 3 3 2 2 2 2 3" xfId="27408" xr:uid="{00000000-0005-0000-0000-00003F6A0000}"/>
    <cellStyle name="Input 3 2 3 3 2 2 2 2 3 2" xfId="27409" xr:uid="{00000000-0005-0000-0000-0000406A0000}"/>
    <cellStyle name="Input 3 2 3 3 2 2 2 2 4" xfId="27410" xr:uid="{00000000-0005-0000-0000-0000416A0000}"/>
    <cellStyle name="Input 3 2 3 3 2 2 2 2 5" xfId="27411" xr:uid="{00000000-0005-0000-0000-0000426A0000}"/>
    <cellStyle name="Input 3 2 3 3 2 2 2 2 6" xfId="27412" xr:uid="{00000000-0005-0000-0000-0000436A0000}"/>
    <cellStyle name="Input 3 2 3 3 2 2 2 3" xfId="27413" xr:uid="{00000000-0005-0000-0000-0000446A0000}"/>
    <cellStyle name="Input 3 2 3 3 2 2 2 3 2" xfId="27414" xr:uid="{00000000-0005-0000-0000-0000456A0000}"/>
    <cellStyle name="Input 3 2 3 3 2 2 2 4" xfId="27415" xr:uid="{00000000-0005-0000-0000-0000466A0000}"/>
    <cellStyle name="Input 3 2 3 3 2 2 2 4 2" xfId="27416" xr:uid="{00000000-0005-0000-0000-0000476A0000}"/>
    <cellStyle name="Input 3 2 3 3 2 2 2 5" xfId="27417" xr:uid="{00000000-0005-0000-0000-0000486A0000}"/>
    <cellStyle name="Input 3 2 3 3 2 2 2 6" xfId="27418" xr:uid="{00000000-0005-0000-0000-0000496A0000}"/>
    <cellStyle name="Input 3 2 3 3 2 2 2 7" xfId="27419" xr:uid="{00000000-0005-0000-0000-00004A6A0000}"/>
    <cellStyle name="Input 3 2 3 3 2 2 3" xfId="27420" xr:uid="{00000000-0005-0000-0000-00004B6A0000}"/>
    <cellStyle name="Input 3 2 3 3 2 2 3 2" xfId="27421" xr:uid="{00000000-0005-0000-0000-00004C6A0000}"/>
    <cellStyle name="Input 3 2 3 3 2 2 3 2 2" xfId="27422" xr:uid="{00000000-0005-0000-0000-00004D6A0000}"/>
    <cellStyle name="Input 3 2 3 3 2 2 3 3" xfId="27423" xr:uid="{00000000-0005-0000-0000-00004E6A0000}"/>
    <cellStyle name="Input 3 2 3 3 2 2 3 3 2" xfId="27424" xr:uid="{00000000-0005-0000-0000-00004F6A0000}"/>
    <cellStyle name="Input 3 2 3 3 2 2 3 4" xfId="27425" xr:uid="{00000000-0005-0000-0000-0000506A0000}"/>
    <cellStyle name="Input 3 2 3 3 2 2 3 5" xfId="27426" xr:uid="{00000000-0005-0000-0000-0000516A0000}"/>
    <cellStyle name="Input 3 2 3 3 2 2 3 6" xfId="27427" xr:uid="{00000000-0005-0000-0000-0000526A0000}"/>
    <cellStyle name="Input 3 2 3 3 2 2 4" xfId="27428" xr:uid="{00000000-0005-0000-0000-0000536A0000}"/>
    <cellStyle name="Input 3 2 3 3 2 2 4 2" xfId="27429" xr:uid="{00000000-0005-0000-0000-0000546A0000}"/>
    <cellStyle name="Input 3 2 3 3 2 2 5" xfId="27430" xr:uid="{00000000-0005-0000-0000-0000556A0000}"/>
    <cellStyle name="Input 3 2 3 3 2 2 5 2" xfId="27431" xr:uid="{00000000-0005-0000-0000-0000566A0000}"/>
    <cellStyle name="Input 3 2 3 3 2 2 6" xfId="27432" xr:uid="{00000000-0005-0000-0000-0000576A0000}"/>
    <cellStyle name="Input 3 2 3 3 2 2 7" xfId="27433" xr:uid="{00000000-0005-0000-0000-0000586A0000}"/>
    <cellStyle name="Input 3 2 3 3 2 2 8" xfId="27434" xr:uid="{00000000-0005-0000-0000-0000596A0000}"/>
    <cellStyle name="Input 3 2 3 3 2 3" xfId="27435" xr:uid="{00000000-0005-0000-0000-00005A6A0000}"/>
    <cellStyle name="Input 3 2 3 3 2 3 2" xfId="27436" xr:uid="{00000000-0005-0000-0000-00005B6A0000}"/>
    <cellStyle name="Input 3 2 3 3 2 3 2 2" xfId="27437" xr:uid="{00000000-0005-0000-0000-00005C6A0000}"/>
    <cellStyle name="Input 3 2 3 3 2 3 2 2 2" xfId="27438" xr:uid="{00000000-0005-0000-0000-00005D6A0000}"/>
    <cellStyle name="Input 3 2 3 3 2 3 2 2 2 2" xfId="27439" xr:uid="{00000000-0005-0000-0000-00005E6A0000}"/>
    <cellStyle name="Input 3 2 3 3 2 3 2 2 3" xfId="27440" xr:uid="{00000000-0005-0000-0000-00005F6A0000}"/>
    <cellStyle name="Input 3 2 3 3 2 3 2 2 3 2" xfId="27441" xr:uid="{00000000-0005-0000-0000-0000606A0000}"/>
    <cellStyle name="Input 3 2 3 3 2 3 2 2 4" xfId="27442" xr:uid="{00000000-0005-0000-0000-0000616A0000}"/>
    <cellStyle name="Input 3 2 3 3 2 3 2 2 5" xfId="27443" xr:uid="{00000000-0005-0000-0000-0000626A0000}"/>
    <cellStyle name="Input 3 2 3 3 2 3 2 2 6" xfId="27444" xr:uid="{00000000-0005-0000-0000-0000636A0000}"/>
    <cellStyle name="Input 3 2 3 3 2 3 2 3" xfId="27445" xr:uid="{00000000-0005-0000-0000-0000646A0000}"/>
    <cellStyle name="Input 3 2 3 3 2 3 2 3 2" xfId="27446" xr:uid="{00000000-0005-0000-0000-0000656A0000}"/>
    <cellStyle name="Input 3 2 3 3 2 3 2 4" xfId="27447" xr:uid="{00000000-0005-0000-0000-0000666A0000}"/>
    <cellStyle name="Input 3 2 3 3 2 3 2 4 2" xfId="27448" xr:uid="{00000000-0005-0000-0000-0000676A0000}"/>
    <cellStyle name="Input 3 2 3 3 2 3 2 5" xfId="27449" xr:uid="{00000000-0005-0000-0000-0000686A0000}"/>
    <cellStyle name="Input 3 2 3 3 2 3 2 6" xfId="27450" xr:uid="{00000000-0005-0000-0000-0000696A0000}"/>
    <cellStyle name="Input 3 2 3 3 2 3 2 7" xfId="27451" xr:uid="{00000000-0005-0000-0000-00006A6A0000}"/>
    <cellStyle name="Input 3 2 3 3 2 3 3" xfId="27452" xr:uid="{00000000-0005-0000-0000-00006B6A0000}"/>
    <cellStyle name="Input 3 2 3 3 2 3 3 2" xfId="27453" xr:uid="{00000000-0005-0000-0000-00006C6A0000}"/>
    <cellStyle name="Input 3 2 3 3 2 3 3 2 2" xfId="27454" xr:uid="{00000000-0005-0000-0000-00006D6A0000}"/>
    <cellStyle name="Input 3 2 3 3 2 3 3 3" xfId="27455" xr:uid="{00000000-0005-0000-0000-00006E6A0000}"/>
    <cellStyle name="Input 3 2 3 3 2 3 3 3 2" xfId="27456" xr:uid="{00000000-0005-0000-0000-00006F6A0000}"/>
    <cellStyle name="Input 3 2 3 3 2 3 3 4" xfId="27457" xr:uid="{00000000-0005-0000-0000-0000706A0000}"/>
    <cellStyle name="Input 3 2 3 3 2 3 3 5" xfId="27458" xr:uid="{00000000-0005-0000-0000-0000716A0000}"/>
    <cellStyle name="Input 3 2 3 3 2 3 3 6" xfId="27459" xr:uid="{00000000-0005-0000-0000-0000726A0000}"/>
    <cellStyle name="Input 3 2 3 3 2 3 4" xfId="27460" xr:uid="{00000000-0005-0000-0000-0000736A0000}"/>
    <cellStyle name="Input 3 2 3 3 2 3 4 2" xfId="27461" xr:uid="{00000000-0005-0000-0000-0000746A0000}"/>
    <cellStyle name="Input 3 2 3 3 2 3 5" xfId="27462" xr:uid="{00000000-0005-0000-0000-0000756A0000}"/>
    <cellStyle name="Input 3 2 3 3 2 3 5 2" xfId="27463" xr:uid="{00000000-0005-0000-0000-0000766A0000}"/>
    <cellStyle name="Input 3 2 3 3 2 3 6" xfId="27464" xr:uid="{00000000-0005-0000-0000-0000776A0000}"/>
    <cellStyle name="Input 3 2 3 3 2 3 7" xfId="27465" xr:uid="{00000000-0005-0000-0000-0000786A0000}"/>
    <cellStyle name="Input 3 2 3 3 2 3 8" xfId="27466" xr:uid="{00000000-0005-0000-0000-0000796A0000}"/>
    <cellStyle name="Input 3 2 3 3 2 4" xfId="27467" xr:uid="{00000000-0005-0000-0000-00007A6A0000}"/>
    <cellStyle name="Input 3 2 3 3 2 4 2" xfId="27468" xr:uid="{00000000-0005-0000-0000-00007B6A0000}"/>
    <cellStyle name="Input 3 2 3 3 2 4 2 2" xfId="27469" xr:uid="{00000000-0005-0000-0000-00007C6A0000}"/>
    <cellStyle name="Input 3 2 3 3 2 4 2 2 2" xfId="27470" xr:uid="{00000000-0005-0000-0000-00007D6A0000}"/>
    <cellStyle name="Input 3 2 3 3 2 4 2 3" xfId="27471" xr:uid="{00000000-0005-0000-0000-00007E6A0000}"/>
    <cellStyle name="Input 3 2 3 3 2 4 2 3 2" xfId="27472" xr:uid="{00000000-0005-0000-0000-00007F6A0000}"/>
    <cellStyle name="Input 3 2 3 3 2 4 2 4" xfId="27473" xr:uid="{00000000-0005-0000-0000-0000806A0000}"/>
    <cellStyle name="Input 3 2 3 3 2 4 2 5" xfId="27474" xr:uid="{00000000-0005-0000-0000-0000816A0000}"/>
    <cellStyle name="Input 3 2 3 3 2 4 2 6" xfId="27475" xr:uid="{00000000-0005-0000-0000-0000826A0000}"/>
    <cellStyle name="Input 3 2 3 3 2 4 3" xfId="27476" xr:uid="{00000000-0005-0000-0000-0000836A0000}"/>
    <cellStyle name="Input 3 2 3 3 2 4 3 2" xfId="27477" xr:uid="{00000000-0005-0000-0000-0000846A0000}"/>
    <cellStyle name="Input 3 2 3 3 2 4 4" xfId="27478" xr:uid="{00000000-0005-0000-0000-0000856A0000}"/>
    <cellStyle name="Input 3 2 3 3 2 4 4 2" xfId="27479" xr:uid="{00000000-0005-0000-0000-0000866A0000}"/>
    <cellStyle name="Input 3 2 3 3 2 4 5" xfId="27480" xr:uid="{00000000-0005-0000-0000-0000876A0000}"/>
    <cellStyle name="Input 3 2 3 3 2 4 6" xfId="27481" xr:uid="{00000000-0005-0000-0000-0000886A0000}"/>
    <cellStyle name="Input 3 2 3 3 2 4 7" xfId="27482" xr:uid="{00000000-0005-0000-0000-0000896A0000}"/>
    <cellStyle name="Input 3 2 3 3 2 5" xfId="27483" xr:uid="{00000000-0005-0000-0000-00008A6A0000}"/>
    <cellStyle name="Input 3 2 3 3 2 5 2" xfId="27484" xr:uid="{00000000-0005-0000-0000-00008B6A0000}"/>
    <cellStyle name="Input 3 2 3 3 2 5 2 2" xfId="27485" xr:uid="{00000000-0005-0000-0000-00008C6A0000}"/>
    <cellStyle name="Input 3 2 3 3 2 5 3" xfId="27486" xr:uid="{00000000-0005-0000-0000-00008D6A0000}"/>
    <cellStyle name="Input 3 2 3 3 2 5 3 2" xfId="27487" xr:uid="{00000000-0005-0000-0000-00008E6A0000}"/>
    <cellStyle name="Input 3 2 3 3 2 5 4" xfId="27488" xr:uid="{00000000-0005-0000-0000-00008F6A0000}"/>
    <cellStyle name="Input 3 2 3 3 2 5 5" xfId="27489" xr:uid="{00000000-0005-0000-0000-0000906A0000}"/>
    <cellStyle name="Input 3 2 3 3 2 5 6" xfId="27490" xr:uid="{00000000-0005-0000-0000-0000916A0000}"/>
    <cellStyle name="Input 3 2 3 3 2 6" xfId="27491" xr:uid="{00000000-0005-0000-0000-0000926A0000}"/>
    <cellStyle name="Input 3 2 3 3 2 6 2" xfId="27492" xr:uid="{00000000-0005-0000-0000-0000936A0000}"/>
    <cellStyle name="Input 3 2 3 3 2 7" xfId="27493" xr:uid="{00000000-0005-0000-0000-0000946A0000}"/>
    <cellStyle name="Input 3 2 3 3 2 7 2" xfId="27494" xr:uid="{00000000-0005-0000-0000-0000956A0000}"/>
    <cellStyle name="Input 3 2 3 3 2 8" xfId="27495" xr:uid="{00000000-0005-0000-0000-0000966A0000}"/>
    <cellStyle name="Input 3 2 3 3 2 9" xfId="27496" xr:uid="{00000000-0005-0000-0000-0000976A0000}"/>
    <cellStyle name="Input 3 2 3 3 3" xfId="27497" xr:uid="{00000000-0005-0000-0000-0000986A0000}"/>
    <cellStyle name="Input 3 2 3 3 3 2" xfId="27498" xr:uid="{00000000-0005-0000-0000-0000996A0000}"/>
    <cellStyle name="Input 3 2 3 3 3 2 2" xfId="27499" xr:uid="{00000000-0005-0000-0000-00009A6A0000}"/>
    <cellStyle name="Input 3 2 3 3 3 2 2 2" xfId="27500" xr:uid="{00000000-0005-0000-0000-00009B6A0000}"/>
    <cellStyle name="Input 3 2 3 3 3 2 2 2 2" xfId="27501" xr:uid="{00000000-0005-0000-0000-00009C6A0000}"/>
    <cellStyle name="Input 3 2 3 3 3 2 2 3" xfId="27502" xr:uid="{00000000-0005-0000-0000-00009D6A0000}"/>
    <cellStyle name="Input 3 2 3 3 3 2 2 3 2" xfId="27503" xr:uid="{00000000-0005-0000-0000-00009E6A0000}"/>
    <cellStyle name="Input 3 2 3 3 3 2 2 4" xfId="27504" xr:uid="{00000000-0005-0000-0000-00009F6A0000}"/>
    <cellStyle name="Input 3 2 3 3 3 2 2 5" xfId="27505" xr:uid="{00000000-0005-0000-0000-0000A06A0000}"/>
    <cellStyle name="Input 3 2 3 3 3 2 2 6" xfId="27506" xr:uid="{00000000-0005-0000-0000-0000A16A0000}"/>
    <cellStyle name="Input 3 2 3 3 3 2 3" xfId="27507" xr:uid="{00000000-0005-0000-0000-0000A26A0000}"/>
    <cellStyle name="Input 3 2 3 3 3 2 3 2" xfId="27508" xr:uid="{00000000-0005-0000-0000-0000A36A0000}"/>
    <cellStyle name="Input 3 2 3 3 3 2 4" xfId="27509" xr:uid="{00000000-0005-0000-0000-0000A46A0000}"/>
    <cellStyle name="Input 3 2 3 3 3 2 4 2" xfId="27510" xr:uid="{00000000-0005-0000-0000-0000A56A0000}"/>
    <cellStyle name="Input 3 2 3 3 3 2 5" xfId="27511" xr:uid="{00000000-0005-0000-0000-0000A66A0000}"/>
    <cellStyle name="Input 3 2 3 3 3 2 6" xfId="27512" xr:uid="{00000000-0005-0000-0000-0000A76A0000}"/>
    <cellStyle name="Input 3 2 3 3 3 2 7" xfId="27513" xr:uid="{00000000-0005-0000-0000-0000A86A0000}"/>
    <cellStyle name="Input 3 2 3 3 3 3" xfId="27514" xr:uid="{00000000-0005-0000-0000-0000A96A0000}"/>
    <cellStyle name="Input 3 2 3 3 3 3 2" xfId="27515" xr:uid="{00000000-0005-0000-0000-0000AA6A0000}"/>
    <cellStyle name="Input 3 2 3 3 3 3 2 2" xfId="27516" xr:uid="{00000000-0005-0000-0000-0000AB6A0000}"/>
    <cellStyle name="Input 3 2 3 3 3 3 3" xfId="27517" xr:uid="{00000000-0005-0000-0000-0000AC6A0000}"/>
    <cellStyle name="Input 3 2 3 3 3 3 3 2" xfId="27518" xr:uid="{00000000-0005-0000-0000-0000AD6A0000}"/>
    <cellStyle name="Input 3 2 3 3 3 3 4" xfId="27519" xr:uid="{00000000-0005-0000-0000-0000AE6A0000}"/>
    <cellStyle name="Input 3 2 3 3 3 3 5" xfId="27520" xr:uid="{00000000-0005-0000-0000-0000AF6A0000}"/>
    <cellStyle name="Input 3 2 3 3 3 3 6" xfId="27521" xr:uid="{00000000-0005-0000-0000-0000B06A0000}"/>
    <cellStyle name="Input 3 2 3 3 3 4" xfId="27522" xr:uid="{00000000-0005-0000-0000-0000B16A0000}"/>
    <cellStyle name="Input 3 2 3 3 3 4 2" xfId="27523" xr:uid="{00000000-0005-0000-0000-0000B26A0000}"/>
    <cellStyle name="Input 3 2 3 3 3 5" xfId="27524" xr:uid="{00000000-0005-0000-0000-0000B36A0000}"/>
    <cellStyle name="Input 3 2 3 3 3 5 2" xfId="27525" xr:uid="{00000000-0005-0000-0000-0000B46A0000}"/>
    <cellStyle name="Input 3 2 3 3 3 6" xfId="27526" xr:uid="{00000000-0005-0000-0000-0000B56A0000}"/>
    <cellStyle name="Input 3 2 3 3 3 7" xfId="27527" xr:uid="{00000000-0005-0000-0000-0000B66A0000}"/>
    <cellStyle name="Input 3 2 3 3 3 8" xfId="27528" xr:uid="{00000000-0005-0000-0000-0000B76A0000}"/>
    <cellStyle name="Input 3 2 3 3 4" xfId="27529" xr:uid="{00000000-0005-0000-0000-0000B86A0000}"/>
    <cellStyle name="Input 3 2 3 3 4 2" xfId="27530" xr:uid="{00000000-0005-0000-0000-0000B96A0000}"/>
    <cellStyle name="Input 3 2 3 3 4 2 2" xfId="27531" xr:uid="{00000000-0005-0000-0000-0000BA6A0000}"/>
    <cellStyle name="Input 3 2 3 3 4 2 2 2" xfId="27532" xr:uid="{00000000-0005-0000-0000-0000BB6A0000}"/>
    <cellStyle name="Input 3 2 3 3 4 2 3" xfId="27533" xr:uid="{00000000-0005-0000-0000-0000BC6A0000}"/>
    <cellStyle name="Input 3 2 3 3 4 2 3 2" xfId="27534" xr:uid="{00000000-0005-0000-0000-0000BD6A0000}"/>
    <cellStyle name="Input 3 2 3 3 4 2 4" xfId="27535" xr:uid="{00000000-0005-0000-0000-0000BE6A0000}"/>
    <cellStyle name="Input 3 2 3 3 4 2 5" xfId="27536" xr:uid="{00000000-0005-0000-0000-0000BF6A0000}"/>
    <cellStyle name="Input 3 2 3 3 4 2 6" xfId="27537" xr:uid="{00000000-0005-0000-0000-0000C06A0000}"/>
    <cellStyle name="Input 3 2 3 3 4 3" xfId="27538" xr:uid="{00000000-0005-0000-0000-0000C16A0000}"/>
    <cellStyle name="Input 3 2 3 3 4 3 2" xfId="27539" xr:uid="{00000000-0005-0000-0000-0000C26A0000}"/>
    <cellStyle name="Input 3 2 3 3 4 4" xfId="27540" xr:uid="{00000000-0005-0000-0000-0000C36A0000}"/>
    <cellStyle name="Input 3 2 3 3 4 4 2" xfId="27541" xr:uid="{00000000-0005-0000-0000-0000C46A0000}"/>
    <cellStyle name="Input 3 2 3 3 4 5" xfId="27542" xr:uid="{00000000-0005-0000-0000-0000C56A0000}"/>
    <cellStyle name="Input 3 2 3 3 4 6" xfId="27543" xr:uid="{00000000-0005-0000-0000-0000C66A0000}"/>
    <cellStyle name="Input 3 2 3 3 4 7" xfId="27544" xr:uid="{00000000-0005-0000-0000-0000C76A0000}"/>
    <cellStyle name="Input 3 2 3 3 5" xfId="27545" xr:uid="{00000000-0005-0000-0000-0000C86A0000}"/>
    <cellStyle name="Input 3 2 3 3 5 2" xfId="27546" xr:uid="{00000000-0005-0000-0000-0000C96A0000}"/>
    <cellStyle name="Input 3 2 3 3 5 2 2" xfId="27547" xr:uid="{00000000-0005-0000-0000-0000CA6A0000}"/>
    <cellStyle name="Input 3 2 3 3 5 3" xfId="27548" xr:uid="{00000000-0005-0000-0000-0000CB6A0000}"/>
    <cellStyle name="Input 3 2 3 3 5 3 2" xfId="27549" xr:uid="{00000000-0005-0000-0000-0000CC6A0000}"/>
    <cellStyle name="Input 3 2 3 3 5 4" xfId="27550" xr:uid="{00000000-0005-0000-0000-0000CD6A0000}"/>
    <cellStyle name="Input 3 2 3 3 5 5" xfId="27551" xr:uid="{00000000-0005-0000-0000-0000CE6A0000}"/>
    <cellStyle name="Input 3 2 3 3 5 6" xfId="27552" xr:uid="{00000000-0005-0000-0000-0000CF6A0000}"/>
    <cellStyle name="Input 3 2 3 3 6" xfId="27553" xr:uid="{00000000-0005-0000-0000-0000D06A0000}"/>
    <cellStyle name="Input 3 2 3 3 6 2" xfId="27554" xr:uid="{00000000-0005-0000-0000-0000D16A0000}"/>
    <cellStyle name="Input 3 2 3 3 7" xfId="27555" xr:uid="{00000000-0005-0000-0000-0000D26A0000}"/>
    <cellStyle name="Input 3 2 3 3 7 2" xfId="27556" xr:uid="{00000000-0005-0000-0000-0000D36A0000}"/>
    <cellStyle name="Input 3 2 3 3 8" xfId="27557" xr:uid="{00000000-0005-0000-0000-0000D46A0000}"/>
    <cellStyle name="Input 3 2 3 3 9" xfId="27558" xr:uid="{00000000-0005-0000-0000-0000D56A0000}"/>
    <cellStyle name="Input 3 2 3 4" xfId="27559" xr:uid="{00000000-0005-0000-0000-0000D66A0000}"/>
    <cellStyle name="Input 3 2 3 4 10" xfId="27560" xr:uid="{00000000-0005-0000-0000-0000D76A0000}"/>
    <cellStyle name="Input 3 2 3 4 2" xfId="27561" xr:uid="{00000000-0005-0000-0000-0000D86A0000}"/>
    <cellStyle name="Input 3 2 3 4 2 2" xfId="27562" xr:uid="{00000000-0005-0000-0000-0000D96A0000}"/>
    <cellStyle name="Input 3 2 3 4 2 2 2" xfId="27563" xr:uid="{00000000-0005-0000-0000-0000DA6A0000}"/>
    <cellStyle name="Input 3 2 3 4 2 2 2 2" xfId="27564" xr:uid="{00000000-0005-0000-0000-0000DB6A0000}"/>
    <cellStyle name="Input 3 2 3 4 2 2 2 2 2" xfId="27565" xr:uid="{00000000-0005-0000-0000-0000DC6A0000}"/>
    <cellStyle name="Input 3 2 3 4 2 2 2 3" xfId="27566" xr:uid="{00000000-0005-0000-0000-0000DD6A0000}"/>
    <cellStyle name="Input 3 2 3 4 2 2 2 3 2" xfId="27567" xr:uid="{00000000-0005-0000-0000-0000DE6A0000}"/>
    <cellStyle name="Input 3 2 3 4 2 2 2 4" xfId="27568" xr:uid="{00000000-0005-0000-0000-0000DF6A0000}"/>
    <cellStyle name="Input 3 2 3 4 2 2 2 5" xfId="27569" xr:uid="{00000000-0005-0000-0000-0000E06A0000}"/>
    <cellStyle name="Input 3 2 3 4 2 2 2 6" xfId="27570" xr:uid="{00000000-0005-0000-0000-0000E16A0000}"/>
    <cellStyle name="Input 3 2 3 4 2 2 3" xfId="27571" xr:uid="{00000000-0005-0000-0000-0000E26A0000}"/>
    <cellStyle name="Input 3 2 3 4 2 2 3 2" xfId="27572" xr:uid="{00000000-0005-0000-0000-0000E36A0000}"/>
    <cellStyle name="Input 3 2 3 4 2 2 4" xfId="27573" xr:uid="{00000000-0005-0000-0000-0000E46A0000}"/>
    <cellStyle name="Input 3 2 3 4 2 2 4 2" xfId="27574" xr:uid="{00000000-0005-0000-0000-0000E56A0000}"/>
    <cellStyle name="Input 3 2 3 4 2 2 5" xfId="27575" xr:uid="{00000000-0005-0000-0000-0000E66A0000}"/>
    <cellStyle name="Input 3 2 3 4 2 2 6" xfId="27576" xr:uid="{00000000-0005-0000-0000-0000E76A0000}"/>
    <cellStyle name="Input 3 2 3 4 2 2 7" xfId="27577" xr:uid="{00000000-0005-0000-0000-0000E86A0000}"/>
    <cellStyle name="Input 3 2 3 4 2 3" xfId="27578" xr:uid="{00000000-0005-0000-0000-0000E96A0000}"/>
    <cellStyle name="Input 3 2 3 4 2 3 2" xfId="27579" xr:uid="{00000000-0005-0000-0000-0000EA6A0000}"/>
    <cellStyle name="Input 3 2 3 4 2 3 2 2" xfId="27580" xr:uid="{00000000-0005-0000-0000-0000EB6A0000}"/>
    <cellStyle name="Input 3 2 3 4 2 3 3" xfId="27581" xr:uid="{00000000-0005-0000-0000-0000EC6A0000}"/>
    <cellStyle name="Input 3 2 3 4 2 3 3 2" xfId="27582" xr:uid="{00000000-0005-0000-0000-0000ED6A0000}"/>
    <cellStyle name="Input 3 2 3 4 2 3 4" xfId="27583" xr:uid="{00000000-0005-0000-0000-0000EE6A0000}"/>
    <cellStyle name="Input 3 2 3 4 2 3 5" xfId="27584" xr:uid="{00000000-0005-0000-0000-0000EF6A0000}"/>
    <cellStyle name="Input 3 2 3 4 2 3 6" xfId="27585" xr:uid="{00000000-0005-0000-0000-0000F06A0000}"/>
    <cellStyle name="Input 3 2 3 4 2 4" xfId="27586" xr:uid="{00000000-0005-0000-0000-0000F16A0000}"/>
    <cellStyle name="Input 3 2 3 4 2 4 2" xfId="27587" xr:uid="{00000000-0005-0000-0000-0000F26A0000}"/>
    <cellStyle name="Input 3 2 3 4 2 5" xfId="27588" xr:uid="{00000000-0005-0000-0000-0000F36A0000}"/>
    <cellStyle name="Input 3 2 3 4 2 5 2" xfId="27589" xr:uid="{00000000-0005-0000-0000-0000F46A0000}"/>
    <cellStyle name="Input 3 2 3 4 2 6" xfId="27590" xr:uid="{00000000-0005-0000-0000-0000F56A0000}"/>
    <cellStyle name="Input 3 2 3 4 2 7" xfId="27591" xr:uid="{00000000-0005-0000-0000-0000F66A0000}"/>
    <cellStyle name="Input 3 2 3 4 2 8" xfId="27592" xr:uid="{00000000-0005-0000-0000-0000F76A0000}"/>
    <cellStyle name="Input 3 2 3 4 3" xfId="27593" xr:uid="{00000000-0005-0000-0000-0000F86A0000}"/>
    <cellStyle name="Input 3 2 3 4 3 2" xfId="27594" xr:uid="{00000000-0005-0000-0000-0000F96A0000}"/>
    <cellStyle name="Input 3 2 3 4 3 2 2" xfId="27595" xr:uid="{00000000-0005-0000-0000-0000FA6A0000}"/>
    <cellStyle name="Input 3 2 3 4 3 2 2 2" xfId="27596" xr:uid="{00000000-0005-0000-0000-0000FB6A0000}"/>
    <cellStyle name="Input 3 2 3 4 3 2 2 2 2" xfId="27597" xr:uid="{00000000-0005-0000-0000-0000FC6A0000}"/>
    <cellStyle name="Input 3 2 3 4 3 2 2 3" xfId="27598" xr:uid="{00000000-0005-0000-0000-0000FD6A0000}"/>
    <cellStyle name="Input 3 2 3 4 3 2 2 3 2" xfId="27599" xr:uid="{00000000-0005-0000-0000-0000FE6A0000}"/>
    <cellStyle name="Input 3 2 3 4 3 2 2 4" xfId="27600" xr:uid="{00000000-0005-0000-0000-0000FF6A0000}"/>
    <cellStyle name="Input 3 2 3 4 3 2 2 5" xfId="27601" xr:uid="{00000000-0005-0000-0000-0000006B0000}"/>
    <cellStyle name="Input 3 2 3 4 3 2 2 6" xfId="27602" xr:uid="{00000000-0005-0000-0000-0000016B0000}"/>
    <cellStyle name="Input 3 2 3 4 3 2 3" xfId="27603" xr:uid="{00000000-0005-0000-0000-0000026B0000}"/>
    <cellStyle name="Input 3 2 3 4 3 2 3 2" xfId="27604" xr:uid="{00000000-0005-0000-0000-0000036B0000}"/>
    <cellStyle name="Input 3 2 3 4 3 2 4" xfId="27605" xr:uid="{00000000-0005-0000-0000-0000046B0000}"/>
    <cellStyle name="Input 3 2 3 4 3 2 4 2" xfId="27606" xr:uid="{00000000-0005-0000-0000-0000056B0000}"/>
    <cellStyle name="Input 3 2 3 4 3 2 5" xfId="27607" xr:uid="{00000000-0005-0000-0000-0000066B0000}"/>
    <cellStyle name="Input 3 2 3 4 3 2 6" xfId="27608" xr:uid="{00000000-0005-0000-0000-0000076B0000}"/>
    <cellStyle name="Input 3 2 3 4 3 2 7" xfId="27609" xr:uid="{00000000-0005-0000-0000-0000086B0000}"/>
    <cellStyle name="Input 3 2 3 4 3 3" xfId="27610" xr:uid="{00000000-0005-0000-0000-0000096B0000}"/>
    <cellStyle name="Input 3 2 3 4 3 3 2" xfId="27611" xr:uid="{00000000-0005-0000-0000-00000A6B0000}"/>
    <cellStyle name="Input 3 2 3 4 3 3 2 2" xfId="27612" xr:uid="{00000000-0005-0000-0000-00000B6B0000}"/>
    <cellStyle name="Input 3 2 3 4 3 3 3" xfId="27613" xr:uid="{00000000-0005-0000-0000-00000C6B0000}"/>
    <cellStyle name="Input 3 2 3 4 3 3 3 2" xfId="27614" xr:uid="{00000000-0005-0000-0000-00000D6B0000}"/>
    <cellStyle name="Input 3 2 3 4 3 3 4" xfId="27615" xr:uid="{00000000-0005-0000-0000-00000E6B0000}"/>
    <cellStyle name="Input 3 2 3 4 3 3 5" xfId="27616" xr:uid="{00000000-0005-0000-0000-00000F6B0000}"/>
    <cellStyle name="Input 3 2 3 4 3 3 6" xfId="27617" xr:uid="{00000000-0005-0000-0000-0000106B0000}"/>
    <cellStyle name="Input 3 2 3 4 3 4" xfId="27618" xr:uid="{00000000-0005-0000-0000-0000116B0000}"/>
    <cellStyle name="Input 3 2 3 4 3 4 2" xfId="27619" xr:uid="{00000000-0005-0000-0000-0000126B0000}"/>
    <cellStyle name="Input 3 2 3 4 3 5" xfId="27620" xr:uid="{00000000-0005-0000-0000-0000136B0000}"/>
    <cellStyle name="Input 3 2 3 4 3 5 2" xfId="27621" xr:uid="{00000000-0005-0000-0000-0000146B0000}"/>
    <cellStyle name="Input 3 2 3 4 3 6" xfId="27622" xr:uid="{00000000-0005-0000-0000-0000156B0000}"/>
    <cellStyle name="Input 3 2 3 4 3 7" xfId="27623" xr:uid="{00000000-0005-0000-0000-0000166B0000}"/>
    <cellStyle name="Input 3 2 3 4 3 8" xfId="27624" xr:uid="{00000000-0005-0000-0000-0000176B0000}"/>
    <cellStyle name="Input 3 2 3 4 4" xfId="27625" xr:uid="{00000000-0005-0000-0000-0000186B0000}"/>
    <cellStyle name="Input 3 2 3 4 4 2" xfId="27626" xr:uid="{00000000-0005-0000-0000-0000196B0000}"/>
    <cellStyle name="Input 3 2 3 4 4 2 2" xfId="27627" xr:uid="{00000000-0005-0000-0000-00001A6B0000}"/>
    <cellStyle name="Input 3 2 3 4 4 2 2 2" xfId="27628" xr:uid="{00000000-0005-0000-0000-00001B6B0000}"/>
    <cellStyle name="Input 3 2 3 4 4 2 3" xfId="27629" xr:uid="{00000000-0005-0000-0000-00001C6B0000}"/>
    <cellStyle name="Input 3 2 3 4 4 2 3 2" xfId="27630" xr:uid="{00000000-0005-0000-0000-00001D6B0000}"/>
    <cellStyle name="Input 3 2 3 4 4 2 4" xfId="27631" xr:uid="{00000000-0005-0000-0000-00001E6B0000}"/>
    <cellStyle name="Input 3 2 3 4 4 2 5" xfId="27632" xr:uid="{00000000-0005-0000-0000-00001F6B0000}"/>
    <cellStyle name="Input 3 2 3 4 4 2 6" xfId="27633" xr:uid="{00000000-0005-0000-0000-0000206B0000}"/>
    <cellStyle name="Input 3 2 3 4 4 3" xfId="27634" xr:uid="{00000000-0005-0000-0000-0000216B0000}"/>
    <cellStyle name="Input 3 2 3 4 4 3 2" xfId="27635" xr:uid="{00000000-0005-0000-0000-0000226B0000}"/>
    <cellStyle name="Input 3 2 3 4 4 4" xfId="27636" xr:uid="{00000000-0005-0000-0000-0000236B0000}"/>
    <cellStyle name="Input 3 2 3 4 4 4 2" xfId="27637" xr:uid="{00000000-0005-0000-0000-0000246B0000}"/>
    <cellStyle name="Input 3 2 3 4 4 5" xfId="27638" xr:uid="{00000000-0005-0000-0000-0000256B0000}"/>
    <cellStyle name="Input 3 2 3 4 4 6" xfId="27639" xr:uid="{00000000-0005-0000-0000-0000266B0000}"/>
    <cellStyle name="Input 3 2 3 4 4 7" xfId="27640" xr:uid="{00000000-0005-0000-0000-0000276B0000}"/>
    <cellStyle name="Input 3 2 3 4 5" xfId="27641" xr:uid="{00000000-0005-0000-0000-0000286B0000}"/>
    <cellStyle name="Input 3 2 3 4 5 2" xfId="27642" xr:uid="{00000000-0005-0000-0000-0000296B0000}"/>
    <cellStyle name="Input 3 2 3 4 5 2 2" xfId="27643" xr:uid="{00000000-0005-0000-0000-00002A6B0000}"/>
    <cellStyle name="Input 3 2 3 4 5 3" xfId="27644" xr:uid="{00000000-0005-0000-0000-00002B6B0000}"/>
    <cellStyle name="Input 3 2 3 4 5 3 2" xfId="27645" xr:uid="{00000000-0005-0000-0000-00002C6B0000}"/>
    <cellStyle name="Input 3 2 3 4 5 4" xfId="27646" xr:uid="{00000000-0005-0000-0000-00002D6B0000}"/>
    <cellStyle name="Input 3 2 3 4 5 5" xfId="27647" xr:uid="{00000000-0005-0000-0000-00002E6B0000}"/>
    <cellStyle name="Input 3 2 3 4 5 6" xfId="27648" xr:uid="{00000000-0005-0000-0000-00002F6B0000}"/>
    <cellStyle name="Input 3 2 3 4 6" xfId="27649" xr:uid="{00000000-0005-0000-0000-0000306B0000}"/>
    <cellStyle name="Input 3 2 3 4 6 2" xfId="27650" xr:uid="{00000000-0005-0000-0000-0000316B0000}"/>
    <cellStyle name="Input 3 2 3 4 7" xfId="27651" xr:uid="{00000000-0005-0000-0000-0000326B0000}"/>
    <cellStyle name="Input 3 2 3 4 7 2" xfId="27652" xr:uid="{00000000-0005-0000-0000-0000336B0000}"/>
    <cellStyle name="Input 3 2 3 4 8" xfId="27653" xr:uid="{00000000-0005-0000-0000-0000346B0000}"/>
    <cellStyle name="Input 3 2 3 4 9" xfId="27654" xr:uid="{00000000-0005-0000-0000-0000356B0000}"/>
    <cellStyle name="Input 3 2 3 5" xfId="27655" xr:uid="{00000000-0005-0000-0000-0000366B0000}"/>
    <cellStyle name="Input 3 2 3 5 2" xfId="27656" xr:uid="{00000000-0005-0000-0000-0000376B0000}"/>
    <cellStyle name="Input 3 2 3 5 2 2" xfId="27657" xr:uid="{00000000-0005-0000-0000-0000386B0000}"/>
    <cellStyle name="Input 3 2 3 5 2 2 2" xfId="27658" xr:uid="{00000000-0005-0000-0000-0000396B0000}"/>
    <cellStyle name="Input 3 2 3 5 2 2 2 2" xfId="27659" xr:uid="{00000000-0005-0000-0000-00003A6B0000}"/>
    <cellStyle name="Input 3 2 3 5 2 2 3" xfId="27660" xr:uid="{00000000-0005-0000-0000-00003B6B0000}"/>
    <cellStyle name="Input 3 2 3 5 2 2 3 2" xfId="27661" xr:uid="{00000000-0005-0000-0000-00003C6B0000}"/>
    <cellStyle name="Input 3 2 3 5 2 2 4" xfId="27662" xr:uid="{00000000-0005-0000-0000-00003D6B0000}"/>
    <cellStyle name="Input 3 2 3 5 2 2 5" xfId="27663" xr:uid="{00000000-0005-0000-0000-00003E6B0000}"/>
    <cellStyle name="Input 3 2 3 5 2 2 6" xfId="27664" xr:uid="{00000000-0005-0000-0000-00003F6B0000}"/>
    <cellStyle name="Input 3 2 3 5 2 3" xfId="27665" xr:uid="{00000000-0005-0000-0000-0000406B0000}"/>
    <cellStyle name="Input 3 2 3 5 2 3 2" xfId="27666" xr:uid="{00000000-0005-0000-0000-0000416B0000}"/>
    <cellStyle name="Input 3 2 3 5 2 4" xfId="27667" xr:uid="{00000000-0005-0000-0000-0000426B0000}"/>
    <cellStyle name="Input 3 2 3 5 2 4 2" xfId="27668" xr:uid="{00000000-0005-0000-0000-0000436B0000}"/>
    <cellStyle name="Input 3 2 3 5 2 5" xfId="27669" xr:uid="{00000000-0005-0000-0000-0000446B0000}"/>
    <cellStyle name="Input 3 2 3 5 2 6" xfId="27670" xr:uid="{00000000-0005-0000-0000-0000456B0000}"/>
    <cellStyle name="Input 3 2 3 5 2 7" xfId="27671" xr:uid="{00000000-0005-0000-0000-0000466B0000}"/>
    <cellStyle name="Input 3 2 3 5 3" xfId="27672" xr:uid="{00000000-0005-0000-0000-0000476B0000}"/>
    <cellStyle name="Input 3 2 3 5 3 2" xfId="27673" xr:uid="{00000000-0005-0000-0000-0000486B0000}"/>
    <cellStyle name="Input 3 2 3 5 3 2 2" xfId="27674" xr:uid="{00000000-0005-0000-0000-0000496B0000}"/>
    <cellStyle name="Input 3 2 3 5 3 3" xfId="27675" xr:uid="{00000000-0005-0000-0000-00004A6B0000}"/>
    <cellStyle name="Input 3 2 3 5 3 3 2" xfId="27676" xr:uid="{00000000-0005-0000-0000-00004B6B0000}"/>
    <cellStyle name="Input 3 2 3 5 3 4" xfId="27677" xr:uid="{00000000-0005-0000-0000-00004C6B0000}"/>
    <cellStyle name="Input 3 2 3 5 3 5" xfId="27678" xr:uid="{00000000-0005-0000-0000-00004D6B0000}"/>
    <cellStyle name="Input 3 2 3 5 3 6" xfId="27679" xr:uid="{00000000-0005-0000-0000-00004E6B0000}"/>
    <cellStyle name="Input 3 2 3 5 4" xfId="27680" xr:uid="{00000000-0005-0000-0000-00004F6B0000}"/>
    <cellStyle name="Input 3 2 3 5 4 2" xfId="27681" xr:uid="{00000000-0005-0000-0000-0000506B0000}"/>
    <cellStyle name="Input 3 2 3 5 5" xfId="27682" xr:uid="{00000000-0005-0000-0000-0000516B0000}"/>
    <cellStyle name="Input 3 2 3 5 5 2" xfId="27683" xr:uid="{00000000-0005-0000-0000-0000526B0000}"/>
    <cellStyle name="Input 3 2 3 5 6" xfId="27684" xr:uid="{00000000-0005-0000-0000-0000536B0000}"/>
    <cellStyle name="Input 3 2 3 5 7" xfId="27685" xr:uid="{00000000-0005-0000-0000-0000546B0000}"/>
    <cellStyle name="Input 3 2 3 5 8" xfId="27686" xr:uid="{00000000-0005-0000-0000-0000556B0000}"/>
    <cellStyle name="Input 3 2 3 6" xfId="27687" xr:uid="{00000000-0005-0000-0000-0000566B0000}"/>
    <cellStyle name="Input 3 2 3 6 2" xfId="27688" xr:uid="{00000000-0005-0000-0000-0000576B0000}"/>
    <cellStyle name="Input 3 2 3 6 2 2" xfId="27689" xr:uid="{00000000-0005-0000-0000-0000586B0000}"/>
    <cellStyle name="Input 3 2 3 6 2 2 2" xfId="27690" xr:uid="{00000000-0005-0000-0000-0000596B0000}"/>
    <cellStyle name="Input 3 2 3 6 2 3" xfId="27691" xr:uid="{00000000-0005-0000-0000-00005A6B0000}"/>
    <cellStyle name="Input 3 2 3 6 2 3 2" xfId="27692" xr:uid="{00000000-0005-0000-0000-00005B6B0000}"/>
    <cellStyle name="Input 3 2 3 6 2 4" xfId="27693" xr:uid="{00000000-0005-0000-0000-00005C6B0000}"/>
    <cellStyle name="Input 3 2 3 6 2 5" xfId="27694" xr:uid="{00000000-0005-0000-0000-00005D6B0000}"/>
    <cellStyle name="Input 3 2 3 6 2 6" xfId="27695" xr:uid="{00000000-0005-0000-0000-00005E6B0000}"/>
    <cellStyle name="Input 3 2 3 6 3" xfId="27696" xr:uid="{00000000-0005-0000-0000-00005F6B0000}"/>
    <cellStyle name="Input 3 2 3 6 3 2" xfId="27697" xr:uid="{00000000-0005-0000-0000-0000606B0000}"/>
    <cellStyle name="Input 3 2 3 6 4" xfId="27698" xr:uid="{00000000-0005-0000-0000-0000616B0000}"/>
    <cellStyle name="Input 3 2 3 6 4 2" xfId="27699" xr:uid="{00000000-0005-0000-0000-0000626B0000}"/>
    <cellStyle name="Input 3 2 3 6 5" xfId="27700" xr:uid="{00000000-0005-0000-0000-0000636B0000}"/>
    <cellStyle name="Input 3 2 3 6 6" xfId="27701" xr:uid="{00000000-0005-0000-0000-0000646B0000}"/>
    <cellStyle name="Input 3 2 3 6 7" xfId="27702" xr:uid="{00000000-0005-0000-0000-0000656B0000}"/>
    <cellStyle name="Input 3 2 3 7" xfId="27703" xr:uid="{00000000-0005-0000-0000-0000666B0000}"/>
    <cellStyle name="Input 3 2 3 7 2" xfId="27704" xr:uid="{00000000-0005-0000-0000-0000676B0000}"/>
    <cellStyle name="Input 3 2 3 7 2 2" xfId="27705" xr:uid="{00000000-0005-0000-0000-0000686B0000}"/>
    <cellStyle name="Input 3 2 3 7 3" xfId="27706" xr:uid="{00000000-0005-0000-0000-0000696B0000}"/>
    <cellStyle name="Input 3 2 3 7 3 2" xfId="27707" xr:uid="{00000000-0005-0000-0000-00006A6B0000}"/>
    <cellStyle name="Input 3 2 3 7 4" xfId="27708" xr:uid="{00000000-0005-0000-0000-00006B6B0000}"/>
    <cellStyle name="Input 3 2 3 7 5" xfId="27709" xr:uid="{00000000-0005-0000-0000-00006C6B0000}"/>
    <cellStyle name="Input 3 2 3 7 6" xfId="27710" xr:uid="{00000000-0005-0000-0000-00006D6B0000}"/>
    <cellStyle name="Input 3 2 3 8" xfId="27711" xr:uid="{00000000-0005-0000-0000-00006E6B0000}"/>
    <cellStyle name="Input 3 2 3 8 2" xfId="27712" xr:uid="{00000000-0005-0000-0000-00006F6B0000}"/>
    <cellStyle name="Input 3 2 3 9" xfId="27713" xr:uid="{00000000-0005-0000-0000-0000706B0000}"/>
    <cellStyle name="Input 3 2 3 9 2" xfId="27714" xr:uid="{00000000-0005-0000-0000-0000716B0000}"/>
    <cellStyle name="Input 3 2 4" xfId="27715" xr:uid="{00000000-0005-0000-0000-0000726B0000}"/>
    <cellStyle name="Input 3 2 4 10" xfId="27716" xr:uid="{00000000-0005-0000-0000-0000736B0000}"/>
    <cellStyle name="Input 3 2 4 11" xfId="27717" xr:uid="{00000000-0005-0000-0000-0000746B0000}"/>
    <cellStyle name="Input 3 2 4 2" xfId="27718" xr:uid="{00000000-0005-0000-0000-0000756B0000}"/>
    <cellStyle name="Input 3 2 4 2 10" xfId="27719" xr:uid="{00000000-0005-0000-0000-0000766B0000}"/>
    <cellStyle name="Input 3 2 4 2 2" xfId="27720" xr:uid="{00000000-0005-0000-0000-0000776B0000}"/>
    <cellStyle name="Input 3 2 4 2 2 10" xfId="27721" xr:uid="{00000000-0005-0000-0000-0000786B0000}"/>
    <cellStyle name="Input 3 2 4 2 2 2" xfId="27722" xr:uid="{00000000-0005-0000-0000-0000796B0000}"/>
    <cellStyle name="Input 3 2 4 2 2 2 2" xfId="27723" xr:uid="{00000000-0005-0000-0000-00007A6B0000}"/>
    <cellStyle name="Input 3 2 4 2 2 2 2 2" xfId="27724" xr:uid="{00000000-0005-0000-0000-00007B6B0000}"/>
    <cellStyle name="Input 3 2 4 2 2 2 2 2 2" xfId="27725" xr:uid="{00000000-0005-0000-0000-00007C6B0000}"/>
    <cellStyle name="Input 3 2 4 2 2 2 2 2 2 2" xfId="27726" xr:uid="{00000000-0005-0000-0000-00007D6B0000}"/>
    <cellStyle name="Input 3 2 4 2 2 2 2 2 3" xfId="27727" xr:uid="{00000000-0005-0000-0000-00007E6B0000}"/>
    <cellStyle name="Input 3 2 4 2 2 2 2 2 3 2" xfId="27728" xr:uid="{00000000-0005-0000-0000-00007F6B0000}"/>
    <cellStyle name="Input 3 2 4 2 2 2 2 2 4" xfId="27729" xr:uid="{00000000-0005-0000-0000-0000806B0000}"/>
    <cellStyle name="Input 3 2 4 2 2 2 2 2 5" xfId="27730" xr:uid="{00000000-0005-0000-0000-0000816B0000}"/>
    <cellStyle name="Input 3 2 4 2 2 2 2 2 6" xfId="27731" xr:uid="{00000000-0005-0000-0000-0000826B0000}"/>
    <cellStyle name="Input 3 2 4 2 2 2 2 3" xfId="27732" xr:uid="{00000000-0005-0000-0000-0000836B0000}"/>
    <cellStyle name="Input 3 2 4 2 2 2 2 3 2" xfId="27733" xr:uid="{00000000-0005-0000-0000-0000846B0000}"/>
    <cellStyle name="Input 3 2 4 2 2 2 2 4" xfId="27734" xr:uid="{00000000-0005-0000-0000-0000856B0000}"/>
    <cellStyle name="Input 3 2 4 2 2 2 2 4 2" xfId="27735" xr:uid="{00000000-0005-0000-0000-0000866B0000}"/>
    <cellStyle name="Input 3 2 4 2 2 2 2 5" xfId="27736" xr:uid="{00000000-0005-0000-0000-0000876B0000}"/>
    <cellStyle name="Input 3 2 4 2 2 2 2 6" xfId="27737" xr:uid="{00000000-0005-0000-0000-0000886B0000}"/>
    <cellStyle name="Input 3 2 4 2 2 2 2 7" xfId="27738" xr:uid="{00000000-0005-0000-0000-0000896B0000}"/>
    <cellStyle name="Input 3 2 4 2 2 2 3" xfId="27739" xr:uid="{00000000-0005-0000-0000-00008A6B0000}"/>
    <cellStyle name="Input 3 2 4 2 2 2 3 2" xfId="27740" xr:uid="{00000000-0005-0000-0000-00008B6B0000}"/>
    <cellStyle name="Input 3 2 4 2 2 2 3 2 2" xfId="27741" xr:uid="{00000000-0005-0000-0000-00008C6B0000}"/>
    <cellStyle name="Input 3 2 4 2 2 2 3 3" xfId="27742" xr:uid="{00000000-0005-0000-0000-00008D6B0000}"/>
    <cellStyle name="Input 3 2 4 2 2 2 3 3 2" xfId="27743" xr:uid="{00000000-0005-0000-0000-00008E6B0000}"/>
    <cellStyle name="Input 3 2 4 2 2 2 3 4" xfId="27744" xr:uid="{00000000-0005-0000-0000-00008F6B0000}"/>
    <cellStyle name="Input 3 2 4 2 2 2 3 5" xfId="27745" xr:uid="{00000000-0005-0000-0000-0000906B0000}"/>
    <cellStyle name="Input 3 2 4 2 2 2 3 6" xfId="27746" xr:uid="{00000000-0005-0000-0000-0000916B0000}"/>
    <cellStyle name="Input 3 2 4 2 2 2 4" xfId="27747" xr:uid="{00000000-0005-0000-0000-0000926B0000}"/>
    <cellStyle name="Input 3 2 4 2 2 2 4 2" xfId="27748" xr:uid="{00000000-0005-0000-0000-0000936B0000}"/>
    <cellStyle name="Input 3 2 4 2 2 2 5" xfId="27749" xr:uid="{00000000-0005-0000-0000-0000946B0000}"/>
    <cellStyle name="Input 3 2 4 2 2 2 5 2" xfId="27750" xr:uid="{00000000-0005-0000-0000-0000956B0000}"/>
    <cellStyle name="Input 3 2 4 2 2 2 6" xfId="27751" xr:uid="{00000000-0005-0000-0000-0000966B0000}"/>
    <cellStyle name="Input 3 2 4 2 2 2 7" xfId="27752" xr:uid="{00000000-0005-0000-0000-0000976B0000}"/>
    <cellStyle name="Input 3 2 4 2 2 2 8" xfId="27753" xr:uid="{00000000-0005-0000-0000-0000986B0000}"/>
    <cellStyle name="Input 3 2 4 2 2 3" xfId="27754" xr:uid="{00000000-0005-0000-0000-0000996B0000}"/>
    <cellStyle name="Input 3 2 4 2 2 3 2" xfId="27755" xr:uid="{00000000-0005-0000-0000-00009A6B0000}"/>
    <cellStyle name="Input 3 2 4 2 2 3 2 2" xfId="27756" xr:uid="{00000000-0005-0000-0000-00009B6B0000}"/>
    <cellStyle name="Input 3 2 4 2 2 3 2 2 2" xfId="27757" xr:uid="{00000000-0005-0000-0000-00009C6B0000}"/>
    <cellStyle name="Input 3 2 4 2 2 3 2 2 2 2" xfId="27758" xr:uid="{00000000-0005-0000-0000-00009D6B0000}"/>
    <cellStyle name="Input 3 2 4 2 2 3 2 2 3" xfId="27759" xr:uid="{00000000-0005-0000-0000-00009E6B0000}"/>
    <cellStyle name="Input 3 2 4 2 2 3 2 2 3 2" xfId="27760" xr:uid="{00000000-0005-0000-0000-00009F6B0000}"/>
    <cellStyle name="Input 3 2 4 2 2 3 2 2 4" xfId="27761" xr:uid="{00000000-0005-0000-0000-0000A06B0000}"/>
    <cellStyle name="Input 3 2 4 2 2 3 2 2 5" xfId="27762" xr:uid="{00000000-0005-0000-0000-0000A16B0000}"/>
    <cellStyle name="Input 3 2 4 2 2 3 2 2 6" xfId="27763" xr:uid="{00000000-0005-0000-0000-0000A26B0000}"/>
    <cellStyle name="Input 3 2 4 2 2 3 2 3" xfId="27764" xr:uid="{00000000-0005-0000-0000-0000A36B0000}"/>
    <cellStyle name="Input 3 2 4 2 2 3 2 3 2" xfId="27765" xr:uid="{00000000-0005-0000-0000-0000A46B0000}"/>
    <cellStyle name="Input 3 2 4 2 2 3 2 4" xfId="27766" xr:uid="{00000000-0005-0000-0000-0000A56B0000}"/>
    <cellStyle name="Input 3 2 4 2 2 3 2 4 2" xfId="27767" xr:uid="{00000000-0005-0000-0000-0000A66B0000}"/>
    <cellStyle name="Input 3 2 4 2 2 3 2 5" xfId="27768" xr:uid="{00000000-0005-0000-0000-0000A76B0000}"/>
    <cellStyle name="Input 3 2 4 2 2 3 2 6" xfId="27769" xr:uid="{00000000-0005-0000-0000-0000A86B0000}"/>
    <cellStyle name="Input 3 2 4 2 2 3 2 7" xfId="27770" xr:uid="{00000000-0005-0000-0000-0000A96B0000}"/>
    <cellStyle name="Input 3 2 4 2 2 3 3" xfId="27771" xr:uid="{00000000-0005-0000-0000-0000AA6B0000}"/>
    <cellStyle name="Input 3 2 4 2 2 3 3 2" xfId="27772" xr:uid="{00000000-0005-0000-0000-0000AB6B0000}"/>
    <cellStyle name="Input 3 2 4 2 2 3 3 2 2" xfId="27773" xr:uid="{00000000-0005-0000-0000-0000AC6B0000}"/>
    <cellStyle name="Input 3 2 4 2 2 3 3 3" xfId="27774" xr:uid="{00000000-0005-0000-0000-0000AD6B0000}"/>
    <cellStyle name="Input 3 2 4 2 2 3 3 3 2" xfId="27775" xr:uid="{00000000-0005-0000-0000-0000AE6B0000}"/>
    <cellStyle name="Input 3 2 4 2 2 3 3 4" xfId="27776" xr:uid="{00000000-0005-0000-0000-0000AF6B0000}"/>
    <cellStyle name="Input 3 2 4 2 2 3 3 5" xfId="27777" xr:uid="{00000000-0005-0000-0000-0000B06B0000}"/>
    <cellStyle name="Input 3 2 4 2 2 3 3 6" xfId="27778" xr:uid="{00000000-0005-0000-0000-0000B16B0000}"/>
    <cellStyle name="Input 3 2 4 2 2 3 4" xfId="27779" xr:uid="{00000000-0005-0000-0000-0000B26B0000}"/>
    <cellStyle name="Input 3 2 4 2 2 3 4 2" xfId="27780" xr:uid="{00000000-0005-0000-0000-0000B36B0000}"/>
    <cellStyle name="Input 3 2 4 2 2 3 5" xfId="27781" xr:uid="{00000000-0005-0000-0000-0000B46B0000}"/>
    <cellStyle name="Input 3 2 4 2 2 3 5 2" xfId="27782" xr:uid="{00000000-0005-0000-0000-0000B56B0000}"/>
    <cellStyle name="Input 3 2 4 2 2 3 6" xfId="27783" xr:uid="{00000000-0005-0000-0000-0000B66B0000}"/>
    <cellStyle name="Input 3 2 4 2 2 3 7" xfId="27784" xr:uid="{00000000-0005-0000-0000-0000B76B0000}"/>
    <cellStyle name="Input 3 2 4 2 2 3 8" xfId="27785" xr:uid="{00000000-0005-0000-0000-0000B86B0000}"/>
    <cellStyle name="Input 3 2 4 2 2 4" xfId="27786" xr:uid="{00000000-0005-0000-0000-0000B96B0000}"/>
    <cellStyle name="Input 3 2 4 2 2 4 2" xfId="27787" xr:uid="{00000000-0005-0000-0000-0000BA6B0000}"/>
    <cellStyle name="Input 3 2 4 2 2 4 2 2" xfId="27788" xr:uid="{00000000-0005-0000-0000-0000BB6B0000}"/>
    <cellStyle name="Input 3 2 4 2 2 4 2 2 2" xfId="27789" xr:uid="{00000000-0005-0000-0000-0000BC6B0000}"/>
    <cellStyle name="Input 3 2 4 2 2 4 2 3" xfId="27790" xr:uid="{00000000-0005-0000-0000-0000BD6B0000}"/>
    <cellStyle name="Input 3 2 4 2 2 4 2 3 2" xfId="27791" xr:uid="{00000000-0005-0000-0000-0000BE6B0000}"/>
    <cellStyle name="Input 3 2 4 2 2 4 2 4" xfId="27792" xr:uid="{00000000-0005-0000-0000-0000BF6B0000}"/>
    <cellStyle name="Input 3 2 4 2 2 4 2 5" xfId="27793" xr:uid="{00000000-0005-0000-0000-0000C06B0000}"/>
    <cellStyle name="Input 3 2 4 2 2 4 2 6" xfId="27794" xr:uid="{00000000-0005-0000-0000-0000C16B0000}"/>
    <cellStyle name="Input 3 2 4 2 2 4 3" xfId="27795" xr:uid="{00000000-0005-0000-0000-0000C26B0000}"/>
    <cellStyle name="Input 3 2 4 2 2 4 3 2" xfId="27796" xr:uid="{00000000-0005-0000-0000-0000C36B0000}"/>
    <cellStyle name="Input 3 2 4 2 2 4 4" xfId="27797" xr:uid="{00000000-0005-0000-0000-0000C46B0000}"/>
    <cellStyle name="Input 3 2 4 2 2 4 4 2" xfId="27798" xr:uid="{00000000-0005-0000-0000-0000C56B0000}"/>
    <cellStyle name="Input 3 2 4 2 2 4 5" xfId="27799" xr:uid="{00000000-0005-0000-0000-0000C66B0000}"/>
    <cellStyle name="Input 3 2 4 2 2 4 6" xfId="27800" xr:uid="{00000000-0005-0000-0000-0000C76B0000}"/>
    <cellStyle name="Input 3 2 4 2 2 4 7" xfId="27801" xr:uid="{00000000-0005-0000-0000-0000C86B0000}"/>
    <cellStyle name="Input 3 2 4 2 2 5" xfId="27802" xr:uid="{00000000-0005-0000-0000-0000C96B0000}"/>
    <cellStyle name="Input 3 2 4 2 2 5 2" xfId="27803" xr:uid="{00000000-0005-0000-0000-0000CA6B0000}"/>
    <cellStyle name="Input 3 2 4 2 2 5 2 2" xfId="27804" xr:uid="{00000000-0005-0000-0000-0000CB6B0000}"/>
    <cellStyle name="Input 3 2 4 2 2 5 3" xfId="27805" xr:uid="{00000000-0005-0000-0000-0000CC6B0000}"/>
    <cellStyle name="Input 3 2 4 2 2 5 3 2" xfId="27806" xr:uid="{00000000-0005-0000-0000-0000CD6B0000}"/>
    <cellStyle name="Input 3 2 4 2 2 5 4" xfId="27807" xr:uid="{00000000-0005-0000-0000-0000CE6B0000}"/>
    <cellStyle name="Input 3 2 4 2 2 5 5" xfId="27808" xr:uid="{00000000-0005-0000-0000-0000CF6B0000}"/>
    <cellStyle name="Input 3 2 4 2 2 5 6" xfId="27809" xr:uid="{00000000-0005-0000-0000-0000D06B0000}"/>
    <cellStyle name="Input 3 2 4 2 2 6" xfId="27810" xr:uid="{00000000-0005-0000-0000-0000D16B0000}"/>
    <cellStyle name="Input 3 2 4 2 2 6 2" xfId="27811" xr:uid="{00000000-0005-0000-0000-0000D26B0000}"/>
    <cellStyle name="Input 3 2 4 2 2 7" xfId="27812" xr:uid="{00000000-0005-0000-0000-0000D36B0000}"/>
    <cellStyle name="Input 3 2 4 2 2 7 2" xfId="27813" xr:uid="{00000000-0005-0000-0000-0000D46B0000}"/>
    <cellStyle name="Input 3 2 4 2 2 8" xfId="27814" xr:uid="{00000000-0005-0000-0000-0000D56B0000}"/>
    <cellStyle name="Input 3 2 4 2 2 9" xfId="27815" xr:uid="{00000000-0005-0000-0000-0000D66B0000}"/>
    <cellStyle name="Input 3 2 4 2 3" xfId="27816" xr:uid="{00000000-0005-0000-0000-0000D76B0000}"/>
    <cellStyle name="Input 3 2 4 2 3 2" xfId="27817" xr:uid="{00000000-0005-0000-0000-0000D86B0000}"/>
    <cellStyle name="Input 3 2 4 2 3 2 2" xfId="27818" xr:uid="{00000000-0005-0000-0000-0000D96B0000}"/>
    <cellStyle name="Input 3 2 4 2 3 2 2 2" xfId="27819" xr:uid="{00000000-0005-0000-0000-0000DA6B0000}"/>
    <cellStyle name="Input 3 2 4 2 3 2 2 2 2" xfId="27820" xr:uid="{00000000-0005-0000-0000-0000DB6B0000}"/>
    <cellStyle name="Input 3 2 4 2 3 2 2 3" xfId="27821" xr:uid="{00000000-0005-0000-0000-0000DC6B0000}"/>
    <cellStyle name="Input 3 2 4 2 3 2 2 3 2" xfId="27822" xr:uid="{00000000-0005-0000-0000-0000DD6B0000}"/>
    <cellStyle name="Input 3 2 4 2 3 2 2 4" xfId="27823" xr:uid="{00000000-0005-0000-0000-0000DE6B0000}"/>
    <cellStyle name="Input 3 2 4 2 3 2 2 5" xfId="27824" xr:uid="{00000000-0005-0000-0000-0000DF6B0000}"/>
    <cellStyle name="Input 3 2 4 2 3 2 2 6" xfId="27825" xr:uid="{00000000-0005-0000-0000-0000E06B0000}"/>
    <cellStyle name="Input 3 2 4 2 3 2 3" xfId="27826" xr:uid="{00000000-0005-0000-0000-0000E16B0000}"/>
    <cellStyle name="Input 3 2 4 2 3 2 3 2" xfId="27827" xr:uid="{00000000-0005-0000-0000-0000E26B0000}"/>
    <cellStyle name="Input 3 2 4 2 3 2 4" xfId="27828" xr:uid="{00000000-0005-0000-0000-0000E36B0000}"/>
    <cellStyle name="Input 3 2 4 2 3 2 4 2" xfId="27829" xr:uid="{00000000-0005-0000-0000-0000E46B0000}"/>
    <cellStyle name="Input 3 2 4 2 3 2 5" xfId="27830" xr:uid="{00000000-0005-0000-0000-0000E56B0000}"/>
    <cellStyle name="Input 3 2 4 2 3 2 6" xfId="27831" xr:uid="{00000000-0005-0000-0000-0000E66B0000}"/>
    <cellStyle name="Input 3 2 4 2 3 2 7" xfId="27832" xr:uid="{00000000-0005-0000-0000-0000E76B0000}"/>
    <cellStyle name="Input 3 2 4 2 3 3" xfId="27833" xr:uid="{00000000-0005-0000-0000-0000E86B0000}"/>
    <cellStyle name="Input 3 2 4 2 3 3 2" xfId="27834" xr:uid="{00000000-0005-0000-0000-0000E96B0000}"/>
    <cellStyle name="Input 3 2 4 2 3 3 2 2" xfId="27835" xr:uid="{00000000-0005-0000-0000-0000EA6B0000}"/>
    <cellStyle name="Input 3 2 4 2 3 3 3" xfId="27836" xr:uid="{00000000-0005-0000-0000-0000EB6B0000}"/>
    <cellStyle name="Input 3 2 4 2 3 3 3 2" xfId="27837" xr:uid="{00000000-0005-0000-0000-0000EC6B0000}"/>
    <cellStyle name="Input 3 2 4 2 3 3 4" xfId="27838" xr:uid="{00000000-0005-0000-0000-0000ED6B0000}"/>
    <cellStyle name="Input 3 2 4 2 3 3 5" xfId="27839" xr:uid="{00000000-0005-0000-0000-0000EE6B0000}"/>
    <cellStyle name="Input 3 2 4 2 3 3 6" xfId="27840" xr:uid="{00000000-0005-0000-0000-0000EF6B0000}"/>
    <cellStyle name="Input 3 2 4 2 3 4" xfId="27841" xr:uid="{00000000-0005-0000-0000-0000F06B0000}"/>
    <cellStyle name="Input 3 2 4 2 3 4 2" xfId="27842" xr:uid="{00000000-0005-0000-0000-0000F16B0000}"/>
    <cellStyle name="Input 3 2 4 2 3 5" xfId="27843" xr:uid="{00000000-0005-0000-0000-0000F26B0000}"/>
    <cellStyle name="Input 3 2 4 2 3 5 2" xfId="27844" xr:uid="{00000000-0005-0000-0000-0000F36B0000}"/>
    <cellStyle name="Input 3 2 4 2 3 6" xfId="27845" xr:uid="{00000000-0005-0000-0000-0000F46B0000}"/>
    <cellStyle name="Input 3 2 4 2 3 7" xfId="27846" xr:uid="{00000000-0005-0000-0000-0000F56B0000}"/>
    <cellStyle name="Input 3 2 4 2 3 8" xfId="27847" xr:uid="{00000000-0005-0000-0000-0000F66B0000}"/>
    <cellStyle name="Input 3 2 4 2 4" xfId="27848" xr:uid="{00000000-0005-0000-0000-0000F76B0000}"/>
    <cellStyle name="Input 3 2 4 2 4 2" xfId="27849" xr:uid="{00000000-0005-0000-0000-0000F86B0000}"/>
    <cellStyle name="Input 3 2 4 2 4 2 2" xfId="27850" xr:uid="{00000000-0005-0000-0000-0000F96B0000}"/>
    <cellStyle name="Input 3 2 4 2 4 2 2 2" xfId="27851" xr:uid="{00000000-0005-0000-0000-0000FA6B0000}"/>
    <cellStyle name="Input 3 2 4 2 4 2 3" xfId="27852" xr:uid="{00000000-0005-0000-0000-0000FB6B0000}"/>
    <cellStyle name="Input 3 2 4 2 4 2 3 2" xfId="27853" xr:uid="{00000000-0005-0000-0000-0000FC6B0000}"/>
    <cellStyle name="Input 3 2 4 2 4 2 4" xfId="27854" xr:uid="{00000000-0005-0000-0000-0000FD6B0000}"/>
    <cellStyle name="Input 3 2 4 2 4 2 5" xfId="27855" xr:uid="{00000000-0005-0000-0000-0000FE6B0000}"/>
    <cellStyle name="Input 3 2 4 2 4 2 6" xfId="27856" xr:uid="{00000000-0005-0000-0000-0000FF6B0000}"/>
    <cellStyle name="Input 3 2 4 2 4 3" xfId="27857" xr:uid="{00000000-0005-0000-0000-0000006C0000}"/>
    <cellStyle name="Input 3 2 4 2 4 3 2" xfId="27858" xr:uid="{00000000-0005-0000-0000-0000016C0000}"/>
    <cellStyle name="Input 3 2 4 2 4 4" xfId="27859" xr:uid="{00000000-0005-0000-0000-0000026C0000}"/>
    <cellStyle name="Input 3 2 4 2 4 4 2" xfId="27860" xr:uid="{00000000-0005-0000-0000-0000036C0000}"/>
    <cellStyle name="Input 3 2 4 2 4 5" xfId="27861" xr:uid="{00000000-0005-0000-0000-0000046C0000}"/>
    <cellStyle name="Input 3 2 4 2 4 6" xfId="27862" xr:uid="{00000000-0005-0000-0000-0000056C0000}"/>
    <cellStyle name="Input 3 2 4 2 4 7" xfId="27863" xr:uid="{00000000-0005-0000-0000-0000066C0000}"/>
    <cellStyle name="Input 3 2 4 2 5" xfId="27864" xr:uid="{00000000-0005-0000-0000-0000076C0000}"/>
    <cellStyle name="Input 3 2 4 2 5 2" xfId="27865" xr:uid="{00000000-0005-0000-0000-0000086C0000}"/>
    <cellStyle name="Input 3 2 4 2 5 2 2" xfId="27866" xr:uid="{00000000-0005-0000-0000-0000096C0000}"/>
    <cellStyle name="Input 3 2 4 2 5 3" xfId="27867" xr:uid="{00000000-0005-0000-0000-00000A6C0000}"/>
    <cellStyle name="Input 3 2 4 2 5 3 2" xfId="27868" xr:uid="{00000000-0005-0000-0000-00000B6C0000}"/>
    <cellStyle name="Input 3 2 4 2 5 4" xfId="27869" xr:uid="{00000000-0005-0000-0000-00000C6C0000}"/>
    <cellStyle name="Input 3 2 4 2 5 5" xfId="27870" xr:uid="{00000000-0005-0000-0000-00000D6C0000}"/>
    <cellStyle name="Input 3 2 4 2 5 6" xfId="27871" xr:uid="{00000000-0005-0000-0000-00000E6C0000}"/>
    <cellStyle name="Input 3 2 4 2 6" xfId="27872" xr:uid="{00000000-0005-0000-0000-00000F6C0000}"/>
    <cellStyle name="Input 3 2 4 2 6 2" xfId="27873" xr:uid="{00000000-0005-0000-0000-0000106C0000}"/>
    <cellStyle name="Input 3 2 4 2 7" xfId="27874" xr:uid="{00000000-0005-0000-0000-0000116C0000}"/>
    <cellStyle name="Input 3 2 4 2 7 2" xfId="27875" xr:uid="{00000000-0005-0000-0000-0000126C0000}"/>
    <cellStyle name="Input 3 2 4 2 8" xfId="27876" xr:uid="{00000000-0005-0000-0000-0000136C0000}"/>
    <cellStyle name="Input 3 2 4 2 9" xfId="27877" xr:uid="{00000000-0005-0000-0000-0000146C0000}"/>
    <cellStyle name="Input 3 2 4 3" xfId="27878" xr:uid="{00000000-0005-0000-0000-0000156C0000}"/>
    <cellStyle name="Input 3 2 4 3 10" xfId="27879" xr:uid="{00000000-0005-0000-0000-0000166C0000}"/>
    <cellStyle name="Input 3 2 4 3 2" xfId="27880" xr:uid="{00000000-0005-0000-0000-0000176C0000}"/>
    <cellStyle name="Input 3 2 4 3 2 2" xfId="27881" xr:uid="{00000000-0005-0000-0000-0000186C0000}"/>
    <cellStyle name="Input 3 2 4 3 2 2 2" xfId="27882" xr:uid="{00000000-0005-0000-0000-0000196C0000}"/>
    <cellStyle name="Input 3 2 4 3 2 2 2 2" xfId="27883" xr:uid="{00000000-0005-0000-0000-00001A6C0000}"/>
    <cellStyle name="Input 3 2 4 3 2 2 2 2 2" xfId="27884" xr:uid="{00000000-0005-0000-0000-00001B6C0000}"/>
    <cellStyle name="Input 3 2 4 3 2 2 2 3" xfId="27885" xr:uid="{00000000-0005-0000-0000-00001C6C0000}"/>
    <cellStyle name="Input 3 2 4 3 2 2 2 3 2" xfId="27886" xr:uid="{00000000-0005-0000-0000-00001D6C0000}"/>
    <cellStyle name="Input 3 2 4 3 2 2 2 4" xfId="27887" xr:uid="{00000000-0005-0000-0000-00001E6C0000}"/>
    <cellStyle name="Input 3 2 4 3 2 2 2 5" xfId="27888" xr:uid="{00000000-0005-0000-0000-00001F6C0000}"/>
    <cellStyle name="Input 3 2 4 3 2 2 2 6" xfId="27889" xr:uid="{00000000-0005-0000-0000-0000206C0000}"/>
    <cellStyle name="Input 3 2 4 3 2 2 3" xfId="27890" xr:uid="{00000000-0005-0000-0000-0000216C0000}"/>
    <cellStyle name="Input 3 2 4 3 2 2 3 2" xfId="27891" xr:uid="{00000000-0005-0000-0000-0000226C0000}"/>
    <cellStyle name="Input 3 2 4 3 2 2 4" xfId="27892" xr:uid="{00000000-0005-0000-0000-0000236C0000}"/>
    <cellStyle name="Input 3 2 4 3 2 2 4 2" xfId="27893" xr:uid="{00000000-0005-0000-0000-0000246C0000}"/>
    <cellStyle name="Input 3 2 4 3 2 2 5" xfId="27894" xr:uid="{00000000-0005-0000-0000-0000256C0000}"/>
    <cellStyle name="Input 3 2 4 3 2 2 6" xfId="27895" xr:uid="{00000000-0005-0000-0000-0000266C0000}"/>
    <cellStyle name="Input 3 2 4 3 2 2 7" xfId="27896" xr:uid="{00000000-0005-0000-0000-0000276C0000}"/>
    <cellStyle name="Input 3 2 4 3 2 3" xfId="27897" xr:uid="{00000000-0005-0000-0000-0000286C0000}"/>
    <cellStyle name="Input 3 2 4 3 2 3 2" xfId="27898" xr:uid="{00000000-0005-0000-0000-0000296C0000}"/>
    <cellStyle name="Input 3 2 4 3 2 3 2 2" xfId="27899" xr:uid="{00000000-0005-0000-0000-00002A6C0000}"/>
    <cellStyle name="Input 3 2 4 3 2 3 3" xfId="27900" xr:uid="{00000000-0005-0000-0000-00002B6C0000}"/>
    <cellStyle name="Input 3 2 4 3 2 3 3 2" xfId="27901" xr:uid="{00000000-0005-0000-0000-00002C6C0000}"/>
    <cellStyle name="Input 3 2 4 3 2 3 4" xfId="27902" xr:uid="{00000000-0005-0000-0000-00002D6C0000}"/>
    <cellStyle name="Input 3 2 4 3 2 3 5" xfId="27903" xr:uid="{00000000-0005-0000-0000-00002E6C0000}"/>
    <cellStyle name="Input 3 2 4 3 2 3 6" xfId="27904" xr:uid="{00000000-0005-0000-0000-00002F6C0000}"/>
    <cellStyle name="Input 3 2 4 3 2 4" xfId="27905" xr:uid="{00000000-0005-0000-0000-0000306C0000}"/>
    <cellStyle name="Input 3 2 4 3 2 4 2" xfId="27906" xr:uid="{00000000-0005-0000-0000-0000316C0000}"/>
    <cellStyle name="Input 3 2 4 3 2 5" xfId="27907" xr:uid="{00000000-0005-0000-0000-0000326C0000}"/>
    <cellStyle name="Input 3 2 4 3 2 5 2" xfId="27908" xr:uid="{00000000-0005-0000-0000-0000336C0000}"/>
    <cellStyle name="Input 3 2 4 3 2 6" xfId="27909" xr:uid="{00000000-0005-0000-0000-0000346C0000}"/>
    <cellStyle name="Input 3 2 4 3 2 7" xfId="27910" xr:uid="{00000000-0005-0000-0000-0000356C0000}"/>
    <cellStyle name="Input 3 2 4 3 2 8" xfId="27911" xr:uid="{00000000-0005-0000-0000-0000366C0000}"/>
    <cellStyle name="Input 3 2 4 3 3" xfId="27912" xr:uid="{00000000-0005-0000-0000-0000376C0000}"/>
    <cellStyle name="Input 3 2 4 3 3 2" xfId="27913" xr:uid="{00000000-0005-0000-0000-0000386C0000}"/>
    <cellStyle name="Input 3 2 4 3 3 2 2" xfId="27914" xr:uid="{00000000-0005-0000-0000-0000396C0000}"/>
    <cellStyle name="Input 3 2 4 3 3 2 2 2" xfId="27915" xr:uid="{00000000-0005-0000-0000-00003A6C0000}"/>
    <cellStyle name="Input 3 2 4 3 3 2 2 2 2" xfId="27916" xr:uid="{00000000-0005-0000-0000-00003B6C0000}"/>
    <cellStyle name="Input 3 2 4 3 3 2 2 3" xfId="27917" xr:uid="{00000000-0005-0000-0000-00003C6C0000}"/>
    <cellStyle name="Input 3 2 4 3 3 2 2 3 2" xfId="27918" xr:uid="{00000000-0005-0000-0000-00003D6C0000}"/>
    <cellStyle name="Input 3 2 4 3 3 2 2 4" xfId="27919" xr:uid="{00000000-0005-0000-0000-00003E6C0000}"/>
    <cellStyle name="Input 3 2 4 3 3 2 2 5" xfId="27920" xr:uid="{00000000-0005-0000-0000-00003F6C0000}"/>
    <cellStyle name="Input 3 2 4 3 3 2 2 6" xfId="27921" xr:uid="{00000000-0005-0000-0000-0000406C0000}"/>
    <cellStyle name="Input 3 2 4 3 3 2 3" xfId="27922" xr:uid="{00000000-0005-0000-0000-0000416C0000}"/>
    <cellStyle name="Input 3 2 4 3 3 2 3 2" xfId="27923" xr:uid="{00000000-0005-0000-0000-0000426C0000}"/>
    <cellStyle name="Input 3 2 4 3 3 2 4" xfId="27924" xr:uid="{00000000-0005-0000-0000-0000436C0000}"/>
    <cellStyle name="Input 3 2 4 3 3 2 4 2" xfId="27925" xr:uid="{00000000-0005-0000-0000-0000446C0000}"/>
    <cellStyle name="Input 3 2 4 3 3 2 5" xfId="27926" xr:uid="{00000000-0005-0000-0000-0000456C0000}"/>
    <cellStyle name="Input 3 2 4 3 3 2 6" xfId="27927" xr:uid="{00000000-0005-0000-0000-0000466C0000}"/>
    <cellStyle name="Input 3 2 4 3 3 2 7" xfId="27928" xr:uid="{00000000-0005-0000-0000-0000476C0000}"/>
    <cellStyle name="Input 3 2 4 3 3 3" xfId="27929" xr:uid="{00000000-0005-0000-0000-0000486C0000}"/>
    <cellStyle name="Input 3 2 4 3 3 3 2" xfId="27930" xr:uid="{00000000-0005-0000-0000-0000496C0000}"/>
    <cellStyle name="Input 3 2 4 3 3 3 2 2" xfId="27931" xr:uid="{00000000-0005-0000-0000-00004A6C0000}"/>
    <cellStyle name="Input 3 2 4 3 3 3 3" xfId="27932" xr:uid="{00000000-0005-0000-0000-00004B6C0000}"/>
    <cellStyle name="Input 3 2 4 3 3 3 3 2" xfId="27933" xr:uid="{00000000-0005-0000-0000-00004C6C0000}"/>
    <cellStyle name="Input 3 2 4 3 3 3 4" xfId="27934" xr:uid="{00000000-0005-0000-0000-00004D6C0000}"/>
    <cellStyle name="Input 3 2 4 3 3 3 5" xfId="27935" xr:uid="{00000000-0005-0000-0000-00004E6C0000}"/>
    <cellStyle name="Input 3 2 4 3 3 3 6" xfId="27936" xr:uid="{00000000-0005-0000-0000-00004F6C0000}"/>
    <cellStyle name="Input 3 2 4 3 3 4" xfId="27937" xr:uid="{00000000-0005-0000-0000-0000506C0000}"/>
    <cellStyle name="Input 3 2 4 3 3 4 2" xfId="27938" xr:uid="{00000000-0005-0000-0000-0000516C0000}"/>
    <cellStyle name="Input 3 2 4 3 3 5" xfId="27939" xr:uid="{00000000-0005-0000-0000-0000526C0000}"/>
    <cellStyle name="Input 3 2 4 3 3 5 2" xfId="27940" xr:uid="{00000000-0005-0000-0000-0000536C0000}"/>
    <cellStyle name="Input 3 2 4 3 3 6" xfId="27941" xr:uid="{00000000-0005-0000-0000-0000546C0000}"/>
    <cellStyle name="Input 3 2 4 3 3 7" xfId="27942" xr:uid="{00000000-0005-0000-0000-0000556C0000}"/>
    <cellStyle name="Input 3 2 4 3 3 8" xfId="27943" xr:uid="{00000000-0005-0000-0000-0000566C0000}"/>
    <cellStyle name="Input 3 2 4 3 4" xfId="27944" xr:uid="{00000000-0005-0000-0000-0000576C0000}"/>
    <cellStyle name="Input 3 2 4 3 4 2" xfId="27945" xr:uid="{00000000-0005-0000-0000-0000586C0000}"/>
    <cellStyle name="Input 3 2 4 3 4 2 2" xfId="27946" xr:uid="{00000000-0005-0000-0000-0000596C0000}"/>
    <cellStyle name="Input 3 2 4 3 4 2 2 2" xfId="27947" xr:uid="{00000000-0005-0000-0000-00005A6C0000}"/>
    <cellStyle name="Input 3 2 4 3 4 2 3" xfId="27948" xr:uid="{00000000-0005-0000-0000-00005B6C0000}"/>
    <cellStyle name="Input 3 2 4 3 4 2 3 2" xfId="27949" xr:uid="{00000000-0005-0000-0000-00005C6C0000}"/>
    <cellStyle name="Input 3 2 4 3 4 2 4" xfId="27950" xr:uid="{00000000-0005-0000-0000-00005D6C0000}"/>
    <cellStyle name="Input 3 2 4 3 4 2 5" xfId="27951" xr:uid="{00000000-0005-0000-0000-00005E6C0000}"/>
    <cellStyle name="Input 3 2 4 3 4 2 6" xfId="27952" xr:uid="{00000000-0005-0000-0000-00005F6C0000}"/>
    <cellStyle name="Input 3 2 4 3 4 3" xfId="27953" xr:uid="{00000000-0005-0000-0000-0000606C0000}"/>
    <cellStyle name="Input 3 2 4 3 4 3 2" xfId="27954" xr:uid="{00000000-0005-0000-0000-0000616C0000}"/>
    <cellStyle name="Input 3 2 4 3 4 4" xfId="27955" xr:uid="{00000000-0005-0000-0000-0000626C0000}"/>
    <cellStyle name="Input 3 2 4 3 4 4 2" xfId="27956" xr:uid="{00000000-0005-0000-0000-0000636C0000}"/>
    <cellStyle name="Input 3 2 4 3 4 5" xfId="27957" xr:uid="{00000000-0005-0000-0000-0000646C0000}"/>
    <cellStyle name="Input 3 2 4 3 4 6" xfId="27958" xr:uid="{00000000-0005-0000-0000-0000656C0000}"/>
    <cellStyle name="Input 3 2 4 3 4 7" xfId="27959" xr:uid="{00000000-0005-0000-0000-0000666C0000}"/>
    <cellStyle name="Input 3 2 4 3 5" xfId="27960" xr:uid="{00000000-0005-0000-0000-0000676C0000}"/>
    <cellStyle name="Input 3 2 4 3 5 2" xfId="27961" xr:uid="{00000000-0005-0000-0000-0000686C0000}"/>
    <cellStyle name="Input 3 2 4 3 5 2 2" xfId="27962" xr:uid="{00000000-0005-0000-0000-0000696C0000}"/>
    <cellStyle name="Input 3 2 4 3 5 3" xfId="27963" xr:uid="{00000000-0005-0000-0000-00006A6C0000}"/>
    <cellStyle name="Input 3 2 4 3 5 3 2" xfId="27964" xr:uid="{00000000-0005-0000-0000-00006B6C0000}"/>
    <cellStyle name="Input 3 2 4 3 5 4" xfId="27965" xr:uid="{00000000-0005-0000-0000-00006C6C0000}"/>
    <cellStyle name="Input 3 2 4 3 5 5" xfId="27966" xr:uid="{00000000-0005-0000-0000-00006D6C0000}"/>
    <cellStyle name="Input 3 2 4 3 5 6" xfId="27967" xr:uid="{00000000-0005-0000-0000-00006E6C0000}"/>
    <cellStyle name="Input 3 2 4 3 6" xfId="27968" xr:uid="{00000000-0005-0000-0000-00006F6C0000}"/>
    <cellStyle name="Input 3 2 4 3 6 2" xfId="27969" xr:uid="{00000000-0005-0000-0000-0000706C0000}"/>
    <cellStyle name="Input 3 2 4 3 7" xfId="27970" xr:uid="{00000000-0005-0000-0000-0000716C0000}"/>
    <cellStyle name="Input 3 2 4 3 7 2" xfId="27971" xr:uid="{00000000-0005-0000-0000-0000726C0000}"/>
    <cellStyle name="Input 3 2 4 3 8" xfId="27972" xr:uid="{00000000-0005-0000-0000-0000736C0000}"/>
    <cellStyle name="Input 3 2 4 3 9" xfId="27973" xr:uid="{00000000-0005-0000-0000-0000746C0000}"/>
    <cellStyle name="Input 3 2 4 4" xfId="27974" xr:uid="{00000000-0005-0000-0000-0000756C0000}"/>
    <cellStyle name="Input 3 2 4 4 2" xfId="27975" xr:uid="{00000000-0005-0000-0000-0000766C0000}"/>
    <cellStyle name="Input 3 2 4 4 2 2" xfId="27976" xr:uid="{00000000-0005-0000-0000-0000776C0000}"/>
    <cellStyle name="Input 3 2 4 4 2 2 2" xfId="27977" xr:uid="{00000000-0005-0000-0000-0000786C0000}"/>
    <cellStyle name="Input 3 2 4 4 2 2 2 2" xfId="27978" xr:uid="{00000000-0005-0000-0000-0000796C0000}"/>
    <cellStyle name="Input 3 2 4 4 2 2 3" xfId="27979" xr:uid="{00000000-0005-0000-0000-00007A6C0000}"/>
    <cellStyle name="Input 3 2 4 4 2 2 3 2" xfId="27980" xr:uid="{00000000-0005-0000-0000-00007B6C0000}"/>
    <cellStyle name="Input 3 2 4 4 2 2 4" xfId="27981" xr:uid="{00000000-0005-0000-0000-00007C6C0000}"/>
    <cellStyle name="Input 3 2 4 4 2 2 5" xfId="27982" xr:uid="{00000000-0005-0000-0000-00007D6C0000}"/>
    <cellStyle name="Input 3 2 4 4 2 2 6" xfId="27983" xr:uid="{00000000-0005-0000-0000-00007E6C0000}"/>
    <cellStyle name="Input 3 2 4 4 2 3" xfId="27984" xr:uid="{00000000-0005-0000-0000-00007F6C0000}"/>
    <cellStyle name="Input 3 2 4 4 2 3 2" xfId="27985" xr:uid="{00000000-0005-0000-0000-0000806C0000}"/>
    <cellStyle name="Input 3 2 4 4 2 4" xfId="27986" xr:uid="{00000000-0005-0000-0000-0000816C0000}"/>
    <cellStyle name="Input 3 2 4 4 2 4 2" xfId="27987" xr:uid="{00000000-0005-0000-0000-0000826C0000}"/>
    <cellStyle name="Input 3 2 4 4 2 5" xfId="27988" xr:uid="{00000000-0005-0000-0000-0000836C0000}"/>
    <cellStyle name="Input 3 2 4 4 2 6" xfId="27989" xr:uid="{00000000-0005-0000-0000-0000846C0000}"/>
    <cellStyle name="Input 3 2 4 4 2 7" xfId="27990" xr:uid="{00000000-0005-0000-0000-0000856C0000}"/>
    <cellStyle name="Input 3 2 4 4 3" xfId="27991" xr:uid="{00000000-0005-0000-0000-0000866C0000}"/>
    <cellStyle name="Input 3 2 4 4 3 2" xfId="27992" xr:uid="{00000000-0005-0000-0000-0000876C0000}"/>
    <cellStyle name="Input 3 2 4 4 3 2 2" xfId="27993" xr:uid="{00000000-0005-0000-0000-0000886C0000}"/>
    <cellStyle name="Input 3 2 4 4 3 3" xfId="27994" xr:uid="{00000000-0005-0000-0000-0000896C0000}"/>
    <cellStyle name="Input 3 2 4 4 3 3 2" xfId="27995" xr:uid="{00000000-0005-0000-0000-00008A6C0000}"/>
    <cellStyle name="Input 3 2 4 4 3 4" xfId="27996" xr:uid="{00000000-0005-0000-0000-00008B6C0000}"/>
    <cellStyle name="Input 3 2 4 4 3 5" xfId="27997" xr:uid="{00000000-0005-0000-0000-00008C6C0000}"/>
    <cellStyle name="Input 3 2 4 4 3 6" xfId="27998" xr:uid="{00000000-0005-0000-0000-00008D6C0000}"/>
    <cellStyle name="Input 3 2 4 4 4" xfId="27999" xr:uid="{00000000-0005-0000-0000-00008E6C0000}"/>
    <cellStyle name="Input 3 2 4 4 4 2" xfId="28000" xr:uid="{00000000-0005-0000-0000-00008F6C0000}"/>
    <cellStyle name="Input 3 2 4 4 5" xfId="28001" xr:uid="{00000000-0005-0000-0000-0000906C0000}"/>
    <cellStyle name="Input 3 2 4 4 5 2" xfId="28002" xr:uid="{00000000-0005-0000-0000-0000916C0000}"/>
    <cellStyle name="Input 3 2 4 4 6" xfId="28003" xr:uid="{00000000-0005-0000-0000-0000926C0000}"/>
    <cellStyle name="Input 3 2 4 4 7" xfId="28004" xr:uid="{00000000-0005-0000-0000-0000936C0000}"/>
    <cellStyle name="Input 3 2 4 4 8" xfId="28005" xr:uid="{00000000-0005-0000-0000-0000946C0000}"/>
    <cellStyle name="Input 3 2 4 5" xfId="28006" xr:uid="{00000000-0005-0000-0000-0000956C0000}"/>
    <cellStyle name="Input 3 2 4 5 2" xfId="28007" xr:uid="{00000000-0005-0000-0000-0000966C0000}"/>
    <cellStyle name="Input 3 2 4 5 2 2" xfId="28008" xr:uid="{00000000-0005-0000-0000-0000976C0000}"/>
    <cellStyle name="Input 3 2 4 5 2 2 2" xfId="28009" xr:uid="{00000000-0005-0000-0000-0000986C0000}"/>
    <cellStyle name="Input 3 2 4 5 2 3" xfId="28010" xr:uid="{00000000-0005-0000-0000-0000996C0000}"/>
    <cellStyle name="Input 3 2 4 5 2 3 2" xfId="28011" xr:uid="{00000000-0005-0000-0000-00009A6C0000}"/>
    <cellStyle name="Input 3 2 4 5 2 4" xfId="28012" xr:uid="{00000000-0005-0000-0000-00009B6C0000}"/>
    <cellStyle name="Input 3 2 4 5 2 5" xfId="28013" xr:uid="{00000000-0005-0000-0000-00009C6C0000}"/>
    <cellStyle name="Input 3 2 4 5 2 6" xfId="28014" xr:uid="{00000000-0005-0000-0000-00009D6C0000}"/>
    <cellStyle name="Input 3 2 4 5 3" xfId="28015" xr:uid="{00000000-0005-0000-0000-00009E6C0000}"/>
    <cellStyle name="Input 3 2 4 5 3 2" xfId="28016" xr:uid="{00000000-0005-0000-0000-00009F6C0000}"/>
    <cellStyle name="Input 3 2 4 5 4" xfId="28017" xr:uid="{00000000-0005-0000-0000-0000A06C0000}"/>
    <cellStyle name="Input 3 2 4 5 4 2" xfId="28018" xr:uid="{00000000-0005-0000-0000-0000A16C0000}"/>
    <cellStyle name="Input 3 2 4 5 5" xfId="28019" xr:uid="{00000000-0005-0000-0000-0000A26C0000}"/>
    <cellStyle name="Input 3 2 4 5 6" xfId="28020" xr:uid="{00000000-0005-0000-0000-0000A36C0000}"/>
    <cellStyle name="Input 3 2 4 5 7" xfId="28021" xr:uid="{00000000-0005-0000-0000-0000A46C0000}"/>
    <cellStyle name="Input 3 2 4 6" xfId="28022" xr:uid="{00000000-0005-0000-0000-0000A56C0000}"/>
    <cellStyle name="Input 3 2 4 6 2" xfId="28023" xr:uid="{00000000-0005-0000-0000-0000A66C0000}"/>
    <cellStyle name="Input 3 2 4 6 2 2" xfId="28024" xr:uid="{00000000-0005-0000-0000-0000A76C0000}"/>
    <cellStyle name="Input 3 2 4 6 3" xfId="28025" xr:uid="{00000000-0005-0000-0000-0000A86C0000}"/>
    <cellStyle name="Input 3 2 4 6 3 2" xfId="28026" xr:uid="{00000000-0005-0000-0000-0000A96C0000}"/>
    <cellStyle name="Input 3 2 4 6 4" xfId="28027" xr:uid="{00000000-0005-0000-0000-0000AA6C0000}"/>
    <cellStyle name="Input 3 2 4 6 5" xfId="28028" xr:uid="{00000000-0005-0000-0000-0000AB6C0000}"/>
    <cellStyle name="Input 3 2 4 6 6" xfId="28029" xr:uid="{00000000-0005-0000-0000-0000AC6C0000}"/>
    <cellStyle name="Input 3 2 4 7" xfId="28030" xr:uid="{00000000-0005-0000-0000-0000AD6C0000}"/>
    <cellStyle name="Input 3 2 4 7 2" xfId="28031" xr:uid="{00000000-0005-0000-0000-0000AE6C0000}"/>
    <cellStyle name="Input 3 2 4 8" xfId="28032" xr:uid="{00000000-0005-0000-0000-0000AF6C0000}"/>
    <cellStyle name="Input 3 2 4 8 2" xfId="28033" xr:uid="{00000000-0005-0000-0000-0000B06C0000}"/>
    <cellStyle name="Input 3 2 4 9" xfId="28034" xr:uid="{00000000-0005-0000-0000-0000B16C0000}"/>
    <cellStyle name="Input 3 2 5" xfId="28035" xr:uid="{00000000-0005-0000-0000-0000B26C0000}"/>
    <cellStyle name="Input 3 2 5 10" xfId="28036" xr:uid="{00000000-0005-0000-0000-0000B36C0000}"/>
    <cellStyle name="Input 3 2 5 2" xfId="28037" xr:uid="{00000000-0005-0000-0000-0000B46C0000}"/>
    <cellStyle name="Input 3 2 5 2 2" xfId="28038" xr:uid="{00000000-0005-0000-0000-0000B56C0000}"/>
    <cellStyle name="Input 3 2 5 2 2 2" xfId="28039" xr:uid="{00000000-0005-0000-0000-0000B66C0000}"/>
    <cellStyle name="Input 3 2 5 2 2 2 2" xfId="28040" xr:uid="{00000000-0005-0000-0000-0000B76C0000}"/>
    <cellStyle name="Input 3 2 5 2 2 2 2 2" xfId="28041" xr:uid="{00000000-0005-0000-0000-0000B86C0000}"/>
    <cellStyle name="Input 3 2 5 2 2 2 3" xfId="28042" xr:uid="{00000000-0005-0000-0000-0000B96C0000}"/>
    <cellStyle name="Input 3 2 5 2 2 2 3 2" xfId="28043" xr:uid="{00000000-0005-0000-0000-0000BA6C0000}"/>
    <cellStyle name="Input 3 2 5 2 2 2 4" xfId="28044" xr:uid="{00000000-0005-0000-0000-0000BB6C0000}"/>
    <cellStyle name="Input 3 2 5 2 2 2 5" xfId="28045" xr:uid="{00000000-0005-0000-0000-0000BC6C0000}"/>
    <cellStyle name="Input 3 2 5 2 2 2 6" xfId="28046" xr:uid="{00000000-0005-0000-0000-0000BD6C0000}"/>
    <cellStyle name="Input 3 2 5 2 2 3" xfId="28047" xr:uid="{00000000-0005-0000-0000-0000BE6C0000}"/>
    <cellStyle name="Input 3 2 5 2 2 3 2" xfId="28048" xr:uid="{00000000-0005-0000-0000-0000BF6C0000}"/>
    <cellStyle name="Input 3 2 5 2 2 4" xfId="28049" xr:uid="{00000000-0005-0000-0000-0000C06C0000}"/>
    <cellStyle name="Input 3 2 5 2 2 4 2" xfId="28050" xr:uid="{00000000-0005-0000-0000-0000C16C0000}"/>
    <cellStyle name="Input 3 2 5 2 2 5" xfId="28051" xr:uid="{00000000-0005-0000-0000-0000C26C0000}"/>
    <cellStyle name="Input 3 2 5 2 2 6" xfId="28052" xr:uid="{00000000-0005-0000-0000-0000C36C0000}"/>
    <cellStyle name="Input 3 2 5 2 2 7" xfId="28053" xr:uid="{00000000-0005-0000-0000-0000C46C0000}"/>
    <cellStyle name="Input 3 2 5 2 3" xfId="28054" xr:uid="{00000000-0005-0000-0000-0000C56C0000}"/>
    <cellStyle name="Input 3 2 5 2 3 2" xfId="28055" xr:uid="{00000000-0005-0000-0000-0000C66C0000}"/>
    <cellStyle name="Input 3 2 5 2 3 2 2" xfId="28056" xr:uid="{00000000-0005-0000-0000-0000C76C0000}"/>
    <cellStyle name="Input 3 2 5 2 3 3" xfId="28057" xr:uid="{00000000-0005-0000-0000-0000C86C0000}"/>
    <cellStyle name="Input 3 2 5 2 3 3 2" xfId="28058" xr:uid="{00000000-0005-0000-0000-0000C96C0000}"/>
    <cellStyle name="Input 3 2 5 2 3 4" xfId="28059" xr:uid="{00000000-0005-0000-0000-0000CA6C0000}"/>
    <cellStyle name="Input 3 2 5 2 3 5" xfId="28060" xr:uid="{00000000-0005-0000-0000-0000CB6C0000}"/>
    <cellStyle name="Input 3 2 5 2 3 6" xfId="28061" xr:uid="{00000000-0005-0000-0000-0000CC6C0000}"/>
    <cellStyle name="Input 3 2 5 2 4" xfId="28062" xr:uid="{00000000-0005-0000-0000-0000CD6C0000}"/>
    <cellStyle name="Input 3 2 5 2 4 2" xfId="28063" xr:uid="{00000000-0005-0000-0000-0000CE6C0000}"/>
    <cellStyle name="Input 3 2 5 2 5" xfId="28064" xr:uid="{00000000-0005-0000-0000-0000CF6C0000}"/>
    <cellStyle name="Input 3 2 5 2 5 2" xfId="28065" xr:uid="{00000000-0005-0000-0000-0000D06C0000}"/>
    <cellStyle name="Input 3 2 5 2 6" xfId="28066" xr:uid="{00000000-0005-0000-0000-0000D16C0000}"/>
    <cellStyle name="Input 3 2 5 2 7" xfId="28067" xr:uid="{00000000-0005-0000-0000-0000D26C0000}"/>
    <cellStyle name="Input 3 2 5 2 8" xfId="28068" xr:uid="{00000000-0005-0000-0000-0000D36C0000}"/>
    <cellStyle name="Input 3 2 5 3" xfId="28069" xr:uid="{00000000-0005-0000-0000-0000D46C0000}"/>
    <cellStyle name="Input 3 2 5 3 2" xfId="28070" xr:uid="{00000000-0005-0000-0000-0000D56C0000}"/>
    <cellStyle name="Input 3 2 5 3 2 2" xfId="28071" xr:uid="{00000000-0005-0000-0000-0000D66C0000}"/>
    <cellStyle name="Input 3 2 5 3 2 2 2" xfId="28072" xr:uid="{00000000-0005-0000-0000-0000D76C0000}"/>
    <cellStyle name="Input 3 2 5 3 2 2 2 2" xfId="28073" xr:uid="{00000000-0005-0000-0000-0000D86C0000}"/>
    <cellStyle name="Input 3 2 5 3 2 2 3" xfId="28074" xr:uid="{00000000-0005-0000-0000-0000D96C0000}"/>
    <cellStyle name="Input 3 2 5 3 2 2 3 2" xfId="28075" xr:uid="{00000000-0005-0000-0000-0000DA6C0000}"/>
    <cellStyle name="Input 3 2 5 3 2 2 4" xfId="28076" xr:uid="{00000000-0005-0000-0000-0000DB6C0000}"/>
    <cellStyle name="Input 3 2 5 3 2 2 5" xfId="28077" xr:uid="{00000000-0005-0000-0000-0000DC6C0000}"/>
    <cellStyle name="Input 3 2 5 3 2 2 6" xfId="28078" xr:uid="{00000000-0005-0000-0000-0000DD6C0000}"/>
    <cellStyle name="Input 3 2 5 3 2 3" xfId="28079" xr:uid="{00000000-0005-0000-0000-0000DE6C0000}"/>
    <cellStyle name="Input 3 2 5 3 2 3 2" xfId="28080" xr:uid="{00000000-0005-0000-0000-0000DF6C0000}"/>
    <cellStyle name="Input 3 2 5 3 2 4" xfId="28081" xr:uid="{00000000-0005-0000-0000-0000E06C0000}"/>
    <cellStyle name="Input 3 2 5 3 2 4 2" xfId="28082" xr:uid="{00000000-0005-0000-0000-0000E16C0000}"/>
    <cellStyle name="Input 3 2 5 3 2 5" xfId="28083" xr:uid="{00000000-0005-0000-0000-0000E26C0000}"/>
    <cellStyle name="Input 3 2 5 3 2 6" xfId="28084" xr:uid="{00000000-0005-0000-0000-0000E36C0000}"/>
    <cellStyle name="Input 3 2 5 3 2 7" xfId="28085" xr:uid="{00000000-0005-0000-0000-0000E46C0000}"/>
    <cellStyle name="Input 3 2 5 3 3" xfId="28086" xr:uid="{00000000-0005-0000-0000-0000E56C0000}"/>
    <cellStyle name="Input 3 2 5 3 3 2" xfId="28087" xr:uid="{00000000-0005-0000-0000-0000E66C0000}"/>
    <cellStyle name="Input 3 2 5 3 3 2 2" xfId="28088" xr:uid="{00000000-0005-0000-0000-0000E76C0000}"/>
    <cellStyle name="Input 3 2 5 3 3 3" xfId="28089" xr:uid="{00000000-0005-0000-0000-0000E86C0000}"/>
    <cellStyle name="Input 3 2 5 3 3 3 2" xfId="28090" xr:uid="{00000000-0005-0000-0000-0000E96C0000}"/>
    <cellStyle name="Input 3 2 5 3 3 4" xfId="28091" xr:uid="{00000000-0005-0000-0000-0000EA6C0000}"/>
    <cellStyle name="Input 3 2 5 3 3 5" xfId="28092" xr:uid="{00000000-0005-0000-0000-0000EB6C0000}"/>
    <cellStyle name="Input 3 2 5 3 3 6" xfId="28093" xr:uid="{00000000-0005-0000-0000-0000EC6C0000}"/>
    <cellStyle name="Input 3 2 5 3 4" xfId="28094" xr:uid="{00000000-0005-0000-0000-0000ED6C0000}"/>
    <cellStyle name="Input 3 2 5 3 4 2" xfId="28095" xr:uid="{00000000-0005-0000-0000-0000EE6C0000}"/>
    <cellStyle name="Input 3 2 5 3 5" xfId="28096" xr:uid="{00000000-0005-0000-0000-0000EF6C0000}"/>
    <cellStyle name="Input 3 2 5 3 5 2" xfId="28097" xr:uid="{00000000-0005-0000-0000-0000F06C0000}"/>
    <cellStyle name="Input 3 2 5 3 6" xfId="28098" xr:uid="{00000000-0005-0000-0000-0000F16C0000}"/>
    <cellStyle name="Input 3 2 5 3 7" xfId="28099" xr:uid="{00000000-0005-0000-0000-0000F26C0000}"/>
    <cellStyle name="Input 3 2 5 3 8" xfId="28100" xr:uid="{00000000-0005-0000-0000-0000F36C0000}"/>
    <cellStyle name="Input 3 2 5 4" xfId="28101" xr:uid="{00000000-0005-0000-0000-0000F46C0000}"/>
    <cellStyle name="Input 3 2 5 4 2" xfId="28102" xr:uid="{00000000-0005-0000-0000-0000F56C0000}"/>
    <cellStyle name="Input 3 2 5 4 2 2" xfId="28103" xr:uid="{00000000-0005-0000-0000-0000F66C0000}"/>
    <cellStyle name="Input 3 2 5 4 2 2 2" xfId="28104" xr:uid="{00000000-0005-0000-0000-0000F76C0000}"/>
    <cellStyle name="Input 3 2 5 4 2 3" xfId="28105" xr:uid="{00000000-0005-0000-0000-0000F86C0000}"/>
    <cellStyle name="Input 3 2 5 4 2 3 2" xfId="28106" xr:uid="{00000000-0005-0000-0000-0000F96C0000}"/>
    <cellStyle name="Input 3 2 5 4 2 4" xfId="28107" xr:uid="{00000000-0005-0000-0000-0000FA6C0000}"/>
    <cellStyle name="Input 3 2 5 4 2 5" xfId="28108" xr:uid="{00000000-0005-0000-0000-0000FB6C0000}"/>
    <cellStyle name="Input 3 2 5 4 2 6" xfId="28109" xr:uid="{00000000-0005-0000-0000-0000FC6C0000}"/>
    <cellStyle name="Input 3 2 5 4 3" xfId="28110" xr:uid="{00000000-0005-0000-0000-0000FD6C0000}"/>
    <cellStyle name="Input 3 2 5 4 3 2" xfId="28111" xr:uid="{00000000-0005-0000-0000-0000FE6C0000}"/>
    <cellStyle name="Input 3 2 5 4 4" xfId="28112" xr:uid="{00000000-0005-0000-0000-0000FF6C0000}"/>
    <cellStyle name="Input 3 2 5 4 4 2" xfId="28113" xr:uid="{00000000-0005-0000-0000-0000006D0000}"/>
    <cellStyle name="Input 3 2 5 4 5" xfId="28114" xr:uid="{00000000-0005-0000-0000-0000016D0000}"/>
    <cellStyle name="Input 3 2 5 4 6" xfId="28115" xr:uid="{00000000-0005-0000-0000-0000026D0000}"/>
    <cellStyle name="Input 3 2 5 4 7" xfId="28116" xr:uid="{00000000-0005-0000-0000-0000036D0000}"/>
    <cellStyle name="Input 3 2 5 5" xfId="28117" xr:uid="{00000000-0005-0000-0000-0000046D0000}"/>
    <cellStyle name="Input 3 2 5 5 2" xfId="28118" xr:uid="{00000000-0005-0000-0000-0000056D0000}"/>
    <cellStyle name="Input 3 2 5 5 2 2" xfId="28119" xr:uid="{00000000-0005-0000-0000-0000066D0000}"/>
    <cellStyle name="Input 3 2 5 5 3" xfId="28120" xr:uid="{00000000-0005-0000-0000-0000076D0000}"/>
    <cellStyle name="Input 3 2 5 5 3 2" xfId="28121" xr:uid="{00000000-0005-0000-0000-0000086D0000}"/>
    <cellStyle name="Input 3 2 5 5 4" xfId="28122" xr:uid="{00000000-0005-0000-0000-0000096D0000}"/>
    <cellStyle name="Input 3 2 5 5 5" xfId="28123" xr:uid="{00000000-0005-0000-0000-00000A6D0000}"/>
    <cellStyle name="Input 3 2 5 5 6" xfId="28124" xr:uid="{00000000-0005-0000-0000-00000B6D0000}"/>
    <cellStyle name="Input 3 2 5 6" xfId="28125" xr:uid="{00000000-0005-0000-0000-00000C6D0000}"/>
    <cellStyle name="Input 3 2 5 6 2" xfId="28126" xr:uid="{00000000-0005-0000-0000-00000D6D0000}"/>
    <cellStyle name="Input 3 2 5 7" xfId="28127" xr:uid="{00000000-0005-0000-0000-00000E6D0000}"/>
    <cellStyle name="Input 3 2 5 7 2" xfId="28128" xr:uid="{00000000-0005-0000-0000-00000F6D0000}"/>
    <cellStyle name="Input 3 2 5 8" xfId="28129" xr:uid="{00000000-0005-0000-0000-0000106D0000}"/>
    <cellStyle name="Input 3 2 5 9" xfId="28130" xr:uid="{00000000-0005-0000-0000-0000116D0000}"/>
    <cellStyle name="Input 3 2 6" xfId="28131" xr:uid="{00000000-0005-0000-0000-0000126D0000}"/>
    <cellStyle name="Input 3 2 6 2" xfId="28132" xr:uid="{00000000-0005-0000-0000-0000136D0000}"/>
    <cellStyle name="Input 3 2 6 2 2" xfId="28133" xr:uid="{00000000-0005-0000-0000-0000146D0000}"/>
    <cellStyle name="Input 3 2 6 2 2 2" xfId="28134" xr:uid="{00000000-0005-0000-0000-0000156D0000}"/>
    <cellStyle name="Input 3 2 6 2 2 2 2" xfId="28135" xr:uid="{00000000-0005-0000-0000-0000166D0000}"/>
    <cellStyle name="Input 3 2 6 2 2 3" xfId="28136" xr:uid="{00000000-0005-0000-0000-0000176D0000}"/>
    <cellStyle name="Input 3 2 6 2 2 3 2" xfId="28137" xr:uid="{00000000-0005-0000-0000-0000186D0000}"/>
    <cellStyle name="Input 3 2 6 2 2 4" xfId="28138" xr:uid="{00000000-0005-0000-0000-0000196D0000}"/>
    <cellStyle name="Input 3 2 6 2 2 5" xfId="28139" xr:uid="{00000000-0005-0000-0000-00001A6D0000}"/>
    <cellStyle name="Input 3 2 6 2 2 6" xfId="28140" xr:uid="{00000000-0005-0000-0000-00001B6D0000}"/>
    <cellStyle name="Input 3 2 6 2 3" xfId="28141" xr:uid="{00000000-0005-0000-0000-00001C6D0000}"/>
    <cellStyle name="Input 3 2 6 2 3 2" xfId="28142" xr:uid="{00000000-0005-0000-0000-00001D6D0000}"/>
    <cellStyle name="Input 3 2 6 2 4" xfId="28143" xr:uid="{00000000-0005-0000-0000-00001E6D0000}"/>
    <cellStyle name="Input 3 2 6 2 4 2" xfId="28144" xr:uid="{00000000-0005-0000-0000-00001F6D0000}"/>
    <cellStyle name="Input 3 2 6 2 5" xfId="28145" xr:uid="{00000000-0005-0000-0000-0000206D0000}"/>
    <cellStyle name="Input 3 2 6 2 6" xfId="28146" xr:uid="{00000000-0005-0000-0000-0000216D0000}"/>
    <cellStyle name="Input 3 2 6 2 7" xfId="28147" xr:uid="{00000000-0005-0000-0000-0000226D0000}"/>
    <cellStyle name="Input 3 2 6 3" xfId="28148" xr:uid="{00000000-0005-0000-0000-0000236D0000}"/>
    <cellStyle name="Input 3 2 6 3 2" xfId="28149" xr:uid="{00000000-0005-0000-0000-0000246D0000}"/>
    <cellStyle name="Input 3 2 6 3 2 2" xfId="28150" xr:uid="{00000000-0005-0000-0000-0000256D0000}"/>
    <cellStyle name="Input 3 2 6 3 3" xfId="28151" xr:uid="{00000000-0005-0000-0000-0000266D0000}"/>
    <cellStyle name="Input 3 2 6 3 3 2" xfId="28152" xr:uid="{00000000-0005-0000-0000-0000276D0000}"/>
    <cellStyle name="Input 3 2 6 3 4" xfId="28153" xr:uid="{00000000-0005-0000-0000-0000286D0000}"/>
    <cellStyle name="Input 3 2 6 3 5" xfId="28154" xr:uid="{00000000-0005-0000-0000-0000296D0000}"/>
    <cellStyle name="Input 3 2 6 3 6" xfId="28155" xr:uid="{00000000-0005-0000-0000-00002A6D0000}"/>
    <cellStyle name="Input 3 2 6 4" xfId="28156" xr:uid="{00000000-0005-0000-0000-00002B6D0000}"/>
    <cellStyle name="Input 3 2 6 4 2" xfId="28157" xr:uid="{00000000-0005-0000-0000-00002C6D0000}"/>
    <cellStyle name="Input 3 2 6 5" xfId="28158" xr:uid="{00000000-0005-0000-0000-00002D6D0000}"/>
    <cellStyle name="Input 3 2 6 5 2" xfId="28159" xr:uid="{00000000-0005-0000-0000-00002E6D0000}"/>
    <cellStyle name="Input 3 2 6 6" xfId="28160" xr:uid="{00000000-0005-0000-0000-00002F6D0000}"/>
    <cellStyle name="Input 3 2 6 7" xfId="28161" xr:uid="{00000000-0005-0000-0000-0000306D0000}"/>
    <cellStyle name="Input 3 2 6 8" xfId="28162" xr:uid="{00000000-0005-0000-0000-0000316D0000}"/>
    <cellStyle name="Input 3 2 7" xfId="28163" xr:uid="{00000000-0005-0000-0000-0000326D0000}"/>
    <cellStyle name="Input 3 2 7 2" xfId="28164" xr:uid="{00000000-0005-0000-0000-0000336D0000}"/>
    <cellStyle name="Input 3 2 7 2 2" xfId="28165" xr:uid="{00000000-0005-0000-0000-0000346D0000}"/>
    <cellStyle name="Input 3 2 7 2 2 2" xfId="28166" xr:uid="{00000000-0005-0000-0000-0000356D0000}"/>
    <cellStyle name="Input 3 2 7 2 3" xfId="28167" xr:uid="{00000000-0005-0000-0000-0000366D0000}"/>
    <cellStyle name="Input 3 2 7 2 3 2" xfId="28168" xr:uid="{00000000-0005-0000-0000-0000376D0000}"/>
    <cellStyle name="Input 3 2 7 2 4" xfId="28169" xr:uid="{00000000-0005-0000-0000-0000386D0000}"/>
    <cellStyle name="Input 3 2 7 2 5" xfId="28170" xr:uid="{00000000-0005-0000-0000-0000396D0000}"/>
    <cellStyle name="Input 3 2 7 2 6" xfId="28171" xr:uid="{00000000-0005-0000-0000-00003A6D0000}"/>
    <cellStyle name="Input 3 2 7 3" xfId="28172" xr:uid="{00000000-0005-0000-0000-00003B6D0000}"/>
    <cellStyle name="Input 3 2 7 3 2" xfId="28173" xr:uid="{00000000-0005-0000-0000-00003C6D0000}"/>
    <cellStyle name="Input 3 2 7 4" xfId="28174" xr:uid="{00000000-0005-0000-0000-00003D6D0000}"/>
    <cellStyle name="Input 3 2 7 4 2" xfId="28175" xr:uid="{00000000-0005-0000-0000-00003E6D0000}"/>
    <cellStyle name="Input 3 2 7 5" xfId="28176" xr:uid="{00000000-0005-0000-0000-00003F6D0000}"/>
    <cellStyle name="Input 3 2 7 6" xfId="28177" xr:uid="{00000000-0005-0000-0000-0000406D0000}"/>
    <cellStyle name="Input 3 2 7 7" xfId="28178" xr:uid="{00000000-0005-0000-0000-0000416D0000}"/>
    <cellStyle name="Input 3 2 8" xfId="28179" xr:uid="{00000000-0005-0000-0000-0000426D0000}"/>
    <cellStyle name="Input 3 2 8 2" xfId="28180" xr:uid="{00000000-0005-0000-0000-0000436D0000}"/>
    <cellStyle name="Input 3 2 9" xfId="28181" xr:uid="{00000000-0005-0000-0000-0000446D0000}"/>
    <cellStyle name="Input 3 2 9 2" xfId="28182" xr:uid="{00000000-0005-0000-0000-0000456D0000}"/>
    <cellStyle name="Input 3 3" xfId="28183" xr:uid="{00000000-0005-0000-0000-0000466D0000}"/>
    <cellStyle name="Input 3 3 10" xfId="28184" xr:uid="{00000000-0005-0000-0000-0000476D0000}"/>
    <cellStyle name="Input 3 3 11" xfId="28185" xr:uid="{00000000-0005-0000-0000-0000486D0000}"/>
    <cellStyle name="Input 3 3 12" xfId="28186" xr:uid="{00000000-0005-0000-0000-0000496D0000}"/>
    <cellStyle name="Input 3 3 2" xfId="28187" xr:uid="{00000000-0005-0000-0000-00004A6D0000}"/>
    <cellStyle name="Input 3 3 2 10" xfId="28188" xr:uid="{00000000-0005-0000-0000-00004B6D0000}"/>
    <cellStyle name="Input 3 3 2 11" xfId="28189" xr:uid="{00000000-0005-0000-0000-00004C6D0000}"/>
    <cellStyle name="Input 3 3 2 2" xfId="28190" xr:uid="{00000000-0005-0000-0000-00004D6D0000}"/>
    <cellStyle name="Input 3 3 2 2 10" xfId="28191" xr:uid="{00000000-0005-0000-0000-00004E6D0000}"/>
    <cellStyle name="Input 3 3 2 2 2" xfId="28192" xr:uid="{00000000-0005-0000-0000-00004F6D0000}"/>
    <cellStyle name="Input 3 3 2 2 2 2" xfId="28193" xr:uid="{00000000-0005-0000-0000-0000506D0000}"/>
    <cellStyle name="Input 3 3 2 2 2 2 2" xfId="28194" xr:uid="{00000000-0005-0000-0000-0000516D0000}"/>
    <cellStyle name="Input 3 3 2 2 2 2 2 2" xfId="28195" xr:uid="{00000000-0005-0000-0000-0000526D0000}"/>
    <cellStyle name="Input 3 3 2 2 2 2 2 2 2" xfId="28196" xr:uid="{00000000-0005-0000-0000-0000536D0000}"/>
    <cellStyle name="Input 3 3 2 2 2 2 2 3" xfId="28197" xr:uid="{00000000-0005-0000-0000-0000546D0000}"/>
    <cellStyle name="Input 3 3 2 2 2 2 2 3 2" xfId="28198" xr:uid="{00000000-0005-0000-0000-0000556D0000}"/>
    <cellStyle name="Input 3 3 2 2 2 2 2 4" xfId="28199" xr:uid="{00000000-0005-0000-0000-0000566D0000}"/>
    <cellStyle name="Input 3 3 2 2 2 2 2 5" xfId="28200" xr:uid="{00000000-0005-0000-0000-0000576D0000}"/>
    <cellStyle name="Input 3 3 2 2 2 2 2 6" xfId="28201" xr:uid="{00000000-0005-0000-0000-0000586D0000}"/>
    <cellStyle name="Input 3 3 2 2 2 2 3" xfId="28202" xr:uid="{00000000-0005-0000-0000-0000596D0000}"/>
    <cellStyle name="Input 3 3 2 2 2 2 3 2" xfId="28203" xr:uid="{00000000-0005-0000-0000-00005A6D0000}"/>
    <cellStyle name="Input 3 3 2 2 2 2 4" xfId="28204" xr:uid="{00000000-0005-0000-0000-00005B6D0000}"/>
    <cellStyle name="Input 3 3 2 2 2 2 4 2" xfId="28205" xr:uid="{00000000-0005-0000-0000-00005C6D0000}"/>
    <cellStyle name="Input 3 3 2 2 2 2 5" xfId="28206" xr:uid="{00000000-0005-0000-0000-00005D6D0000}"/>
    <cellStyle name="Input 3 3 2 2 2 2 6" xfId="28207" xr:uid="{00000000-0005-0000-0000-00005E6D0000}"/>
    <cellStyle name="Input 3 3 2 2 2 2 7" xfId="28208" xr:uid="{00000000-0005-0000-0000-00005F6D0000}"/>
    <cellStyle name="Input 3 3 2 2 2 3" xfId="28209" xr:uid="{00000000-0005-0000-0000-0000606D0000}"/>
    <cellStyle name="Input 3 3 2 2 2 3 2" xfId="28210" xr:uid="{00000000-0005-0000-0000-0000616D0000}"/>
    <cellStyle name="Input 3 3 2 2 2 3 2 2" xfId="28211" xr:uid="{00000000-0005-0000-0000-0000626D0000}"/>
    <cellStyle name="Input 3 3 2 2 2 3 3" xfId="28212" xr:uid="{00000000-0005-0000-0000-0000636D0000}"/>
    <cellStyle name="Input 3 3 2 2 2 3 3 2" xfId="28213" xr:uid="{00000000-0005-0000-0000-0000646D0000}"/>
    <cellStyle name="Input 3 3 2 2 2 3 4" xfId="28214" xr:uid="{00000000-0005-0000-0000-0000656D0000}"/>
    <cellStyle name="Input 3 3 2 2 2 3 5" xfId="28215" xr:uid="{00000000-0005-0000-0000-0000666D0000}"/>
    <cellStyle name="Input 3 3 2 2 2 3 6" xfId="28216" xr:uid="{00000000-0005-0000-0000-0000676D0000}"/>
    <cellStyle name="Input 3 3 2 2 2 4" xfId="28217" xr:uid="{00000000-0005-0000-0000-0000686D0000}"/>
    <cellStyle name="Input 3 3 2 2 2 4 2" xfId="28218" xr:uid="{00000000-0005-0000-0000-0000696D0000}"/>
    <cellStyle name="Input 3 3 2 2 2 5" xfId="28219" xr:uid="{00000000-0005-0000-0000-00006A6D0000}"/>
    <cellStyle name="Input 3 3 2 2 2 5 2" xfId="28220" xr:uid="{00000000-0005-0000-0000-00006B6D0000}"/>
    <cellStyle name="Input 3 3 2 2 2 6" xfId="28221" xr:uid="{00000000-0005-0000-0000-00006C6D0000}"/>
    <cellStyle name="Input 3 3 2 2 2 7" xfId="28222" xr:uid="{00000000-0005-0000-0000-00006D6D0000}"/>
    <cellStyle name="Input 3 3 2 2 2 8" xfId="28223" xr:uid="{00000000-0005-0000-0000-00006E6D0000}"/>
    <cellStyle name="Input 3 3 2 2 3" xfId="28224" xr:uid="{00000000-0005-0000-0000-00006F6D0000}"/>
    <cellStyle name="Input 3 3 2 2 3 2" xfId="28225" xr:uid="{00000000-0005-0000-0000-0000706D0000}"/>
    <cellStyle name="Input 3 3 2 2 3 2 2" xfId="28226" xr:uid="{00000000-0005-0000-0000-0000716D0000}"/>
    <cellStyle name="Input 3 3 2 2 3 2 2 2" xfId="28227" xr:uid="{00000000-0005-0000-0000-0000726D0000}"/>
    <cellStyle name="Input 3 3 2 2 3 2 2 2 2" xfId="28228" xr:uid="{00000000-0005-0000-0000-0000736D0000}"/>
    <cellStyle name="Input 3 3 2 2 3 2 2 3" xfId="28229" xr:uid="{00000000-0005-0000-0000-0000746D0000}"/>
    <cellStyle name="Input 3 3 2 2 3 2 2 3 2" xfId="28230" xr:uid="{00000000-0005-0000-0000-0000756D0000}"/>
    <cellStyle name="Input 3 3 2 2 3 2 2 4" xfId="28231" xr:uid="{00000000-0005-0000-0000-0000766D0000}"/>
    <cellStyle name="Input 3 3 2 2 3 2 2 5" xfId="28232" xr:uid="{00000000-0005-0000-0000-0000776D0000}"/>
    <cellStyle name="Input 3 3 2 2 3 2 2 6" xfId="28233" xr:uid="{00000000-0005-0000-0000-0000786D0000}"/>
    <cellStyle name="Input 3 3 2 2 3 2 3" xfId="28234" xr:uid="{00000000-0005-0000-0000-0000796D0000}"/>
    <cellStyle name="Input 3 3 2 2 3 2 3 2" xfId="28235" xr:uid="{00000000-0005-0000-0000-00007A6D0000}"/>
    <cellStyle name="Input 3 3 2 2 3 2 4" xfId="28236" xr:uid="{00000000-0005-0000-0000-00007B6D0000}"/>
    <cellStyle name="Input 3 3 2 2 3 2 4 2" xfId="28237" xr:uid="{00000000-0005-0000-0000-00007C6D0000}"/>
    <cellStyle name="Input 3 3 2 2 3 2 5" xfId="28238" xr:uid="{00000000-0005-0000-0000-00007D6D0000}"/>
    <cellStyle name="Input 3 3 2 2 3 2 6" xfId="28239" xr:uid="{00000000-0005-0000-0000-00007E6D0000}"/>
    <cellStyle name="Input 3 3 2 2 3 2 7" xfId="28240" xr:uid="{00000000-0005-0000-0000-00007F6D0000}"/>
    <cellStyle name="Input 3 3 2 2 3 3" xfId="28241" xr:uid="{00000000-0005-0000-0000-0000806D0000}"/>
    <cellStyle name="Input 3 3 2 2 3 3 2" xfId="28242" xr:uid="{00000000-0005-0000-0000-0000816D0000}"/>
    <cellStyle name="Input 3 3 2 2 3 3 2 2" xfId="28243" xr:uid="{00000000-0005-0000-0000-0000826D0000}"/>
    <cellStyle name="Input 3 3 2 2 3 3 3" xfId="28244" xr:uid="{00000000-0005-0000-0000-0000836D0000}"/>
    <cellStyle name="Input 3 3 2 2 3 3 3 2" xfId="28245" xr:uid="{00000000-0005-0000-0000-0000846D0000}"/>
    <cellStyle name="Input 3 3 2 2 3 3 4" xfId="28246" xr:uid="{00000000-0005-0000-0000-0000856D0000}"/>
    <cellStyle name="Input 3 3 2 2 3 3 5" xfId="28247" xr:uid="{00000000-0005-0000-0000-0000866D0000}"/>
    <cellStyle name="Input 3 3 2 2 3 3 6" xfId="28248" xr:uid="{00000000-0005-0000-0000-0000876D0000}"/>
    <cellStyle name="Input 3 3 2 2 3 4" xfId="28249" xr:uid="{00000000-0005-0000-0000-0000886D0000}"/>
    <cellStyle name="Input 3 3 2 2 3 4 2" xfId="28250" xr:uid="{00000000-0005-0000-0000-0000896D0000}"/>
    <cellStyle name="Input 3 3 2 2 3 5" xfId="28251" xr:uid="{00000000-0005-0000-0000-00008A6D0000}"/>
    <cellStyle name="Input 3 3 2 2 3 5 2" xfId="28252" xr:uid="{00000000-0005-0000-0000-00008B6D0000}"/>
    <cellStyle name="Input 3 3 2 2 3 6" xfId="28253" xr:uid="{00000000-0005-0000-0000-00008C6D0000}"/>
    <cellStyle name="Input 3 3 2 2 3 7" xfId="28254" xr:uid="{00000000-0005-0000-0000-00008D6D0000}"/>
    <cellStyle name="Input 3 3 2 2 3 8" xfId="28255" xr:uid="{00000000-0005-0000-0000-00008E6D0000}"/>
    <cellStyle name="Input 3 3 2 2 4" xfId="28256" xr:uid="{00000000-0005-0000-0000-00008F6D0000}"/>
    <cellStyle name="Input 3 3 2 2 4 2" xfId="28257" xr:uid="{00000000-0005-0000-0000-0000906D0000}"/>
    <cellStyle name="Input 3 3 2 2 4 2 2" xfId="28258" xr:uid="{00000000-0005-0000-0000-0000916D0000}"/>
    <cellStyle name="Input 3 3 2 2 4 2 2 2" xfId="28259" xr:uid="{00000000-0005-0000-0000-0000926D0000}"/>
    <cellStyle name="Input 3 3 2 2 4 2 3" xfId="28260" xr:uid="{00000000-0005-0000-0000-0000936D0000}"/>
    <cellStyle name="Input 3 3 2 2 4 2 3 2" xfId="28261" xr:uid="{00000000-0005-0000-0000-0000946D0000}"/>
    <cellStyle name="Input 3 3 2 2 4 2 4" xfId="28262" xr:uid="{00000000-0005-0000-0000-0000956D0000}"/>
    <cellStyle name="Input 3 3 2 2 4 2 5" xfId="28263" xr:uid="{00000000-0005-0000-0000-0000966D0000}"/>
    <cellStyle name="Input 3 3 2 2 4 2 6" xfId="28264" xr:uid="{00000000-0005-0000-0000-0000976D0000}"/>
    <cellStyle name="Input 3 3 2 2 4 3" xfId="28265" xr:uid="{00000000-0005-0000-0000-0000986D0000}"/>
    <cellStyle name="Input 3 3 2 2 4 3 2" xfId="28266" xr:uid="{00000000-0005-0000-0000-0000996D0000}"/>
    <cellStyle name="Input 3 3 2 2 4 4" xfId="28267" xr:uid="{00000000-0005-0000-0000-00009A6D0000}"/>
    <cellStyle name="Input 3 3 2 2 4 4 2" xfId="28268" xr:uid="{00000000-0005-0000-0000-00009B6D0000}"/>
    <cellStyle name="Input 3 3 2 2 4 5" xfId="28269" xr:uid="{00000000-0005-0000-0000-00009C6D0000}"/>
    <cellStyle name="Input 3 3 2 2 4 6" xfId="28270" xr:uid="{00000000-0005-0000-0000-00009D6D0000}"/>
    <cellStyle name="Input 3 3 2 2 4 7" xfId="28271" xr:uid="{00000000-0005-0000-0000-00009E6D0000}"/>
    <cellStyle name="Input 3 3 2 2 5" xfId="28272" xr:uid="{00000000-0005-0000-0000-00009F6D0000}"/>
    <cellStyle name="Input 3 3 2 2 5 2" xfId="28273" xr:uid="{00000000-0005-0000-0000-0000A06D0000}"/>
    <cellStyle name="Input 3 3 2 2 5 2 2" xfId="28274" xr:uid="{00000000-0005-0000-0000-0000A16D0000}"/>
    <cellStyle name="Input 3 3 2 2 5 3" xfId="28275" xr:uid="{00000000-0005-0000-0000-0000A26D0000}"/>
    <cellStyle name="Input 3 3 2 2 5 3 2" xfId="28276" xr:uid="{00000000-0005-0000-0000-0000A36D0000}"/>
    <cellStyle name="Input 3 3 2 2 5 4" xfId="28277" xr:uid="{00000000-0005-0000-0000-0000A46D0000}"/>
    <cellStyle name="Input 3 3 2 2 5 5" xfId="28278" xr:uid="{00000000-0005-0000-0000-0000A56D0000}"/>
    <cellStyle name="Input 3 3 2 2 5 6" xfId="28279" xr:uid="{00000000-0005-0000-0000-0000A66D0000}"/>
    <cellStyle name="Input 3 3 2 2 6" xfId="28280" xr:uid="{00000000-0005-0000-0000-0000A76D0000}"/>
    <cellStyle name="Input 3 3 2 2 6 2" xfId="28281" xr:uid="{00000000-0005-0000-0000-0000A86D0000}"/>
    <cellStyle name="Input 3 3 2 2 7" xfId="28282" xr:uid="{00000000-0005-0000-0000-0000A96D0000}"/>
    <cellStyle name="Input 3 3 2 2 7 2" xfId="28283" xr:uid="{00000000-0005-0000-0000-0000AA6D0000}"/>
    <cellStyle name="Input 3 3 2 2 8" xfId="28284" xr:uid="{00000000-0005-0000-0000-0000AB6D0000}"/>
    <cellStyle name="Input 3 3 2 2 9" xfId="28285" xr:uid="{00000000-0005-0000-0000-0000AC6D0000}"/>
    <cellStyle name="Input 3 3 2 3" xfId="28286" xr:uid="{00000000-0005-0000-0000-0000AD6D0000}"/>
    <cellStyle name="Input 3 3 2 3 2" xfId="28287" xr:uid="{00000000-0005-0000-0000-0000AE6D0000}"/>
    <cellStyle name="Input 3 3 2 3 2 2" xfId="28288" xr:uid="{00000000-0005-0000-0000-0000AF6D0000}"/>
    <cellStyle name="Input 3 3 2 3 2 2 2" xfId="28289" xr:uid="{00000000-0005-0000-0000-0000B06D0000}"/>
    <cellStyle name="Input 3 3 2 3 2 2 2 2" xfId="28290" xr:uid="{00000000-0005-0000-0000-0000B16D0000}"/>
    <cellStyle name="Input 3 3 2 3 2 2 3" xfId="28291" xr:uid="{00000000-0005-0000-0000-0000B26D0000}"/>
    <cellStyle name="Input 3 3 2 3 2 2 3 2" xfId="28292" xr:uid="{00000000-0005-0000-0000-0000B36D0000}"/>
    <cellStyle name="Input 3 3 2 3 2 2 4" xfId="28293" xr:uid="{00000000-0005-0000-0000-0000B46D0000}"/>
    <cellStyle name="Input 3 3 2 3 2 2 5" xfId="28294" xr:uid="{00000000-0005-0000-0000-0000B56D0000}"/>
    <cellStyle name="Input 3 3 2 3 2 2 6" xfId="28295" xr:uid="{00000000-0005-0000-0000-0000B66D0000}"/>
    <cellStyle name="Input 3 3 2 3 2 3" xfId="28296" xr:uid="{00000000-0005-0000-0000-0000B76D0000}"/>
    <cellStyle name="Input 3 3 2 3 2 3 2" xfId="28297" xr:uid="{00000000-0005-0000-0000-0000B86D0000}"/>
    <cellStyle name="Input 3 3 2 3 2 4" xfId="28298" xr:uid="{00000000-0005-0000-0000-0000B96D0000}"/>
    <cellStyle name="Input 3 3 2 3 2 4 2" xfId="28299" xr:uid="{00000000-0005-0000-0000-0000BA6D0000}"/>
    <cellStyle name="Input 3 3 2 3 2 5" xfId="28300" xr:uid="{00000000-0005-0000-0000-0000BB6D0000}"/>
    <cellStyle name="Input 3 3 2 3 2 6" xfId="28301" xr:uid="{00000000-0005-0000-0000-0000BC6D0000}"/>
    <cellStyle name="Input 3 3 2 3 2 7" xfId="28302" xr:uid="{00000000-0005-0000-0000-0000BD6D0000}"/>
    <cellStyle name="Input 3 3 2 3 3" xfId="28303" xr:uid="{00000000-0005-0000-0000-0000BE6D0000}"/>
    <cellStyle name="Input 3 3 2 3 3 2" xfId="28304" xr:uid="{00000000-0005-0000-0000-0000BF6D0000}"/>
    <cellStyle name="Input 3 3 2 3 3 2 2" xfId="28305" xr:uid="{00000000-0005-0000-0000-0000C06D0000}"/>
    <cellStyle name="Input 3 3 2 3 3 3" xfId="28306" xr:uid="{00000000-0005-0000-0000-0000C16D0000}"/>
    <cellStyle name="Input 3 3 2 3 3 3 2" xfId="28307" xr:uid="{00000000-0005-0000-0000-0000C26D0000}"/>
    <cellStyle name="Input 3 3 2 3 3 4" xfId="28308" xr:uid="{00000000-0005-0000-0000-0000C36D0000}"/>
    <cellStyle name="Input 3 3 2 3 3 5" xfId="28309" xr:uid="{00000000-0005-0000-0000-0000C46D0000}"/>
    <cellStyle name="Input 3 3 2 3 3 6" xfId="28310" xr:uid="{00000000-0005-0000-0000-0000C56D0000}"/>
    <cellStyle name="Input 3 3 2 3 4" xfId="28311" xr:uid="{00000000-0005-0000-0000-0000C66D0000}"/>
    <cellStyle name="Input 3 3 2 3 4 2" xfId="28312" xr:uid="{00000000-0005-0000-0000-0000C76D0000}"/>
    <cellStyle name="Input 3 3 2 3 5" xfId="28313" xr:uid="{00000000-0005-0000-0000-0000C86D0000}"/>
    <cellStyle name="Input 3 3 2 3 5 2" xfId="28314" xr:uid="{00000000-0005-0000-0000-0000C96D0000}"/>
    <cellStyle name="Input 3 3 2 3 6" xfId="28315" xr:uid="{00000000-0005-0000-0000-0000CA6D0000}"/>
    <cellStyle name="Input 3 3 2 3 7" xfId="28316" xr:uid="{00000000-0005-0000-0000-0000CB6D0000}"/>
    <cellStyle name="Input 3 3 2 3 8" xfId="28317" xr:uid="{00000000-0005-0000-0000-0000CC6D0000}"/>
    <cellStyle name="Input 3 3 2 4" xfId="28318" xr:uid="{00000000-0005-0000-0000-0000CD6D0000}"/>
    <cellStyle name="Input 3 3 2 4 2" xfId="28319" xr:uid="{00000000-0005-0000-0000-0000CE6D0000}"/>
    <cellStyle name="Input 3 3 2 4 2 2" xfId="28320" xr:uid="{00000000-0005-0000-0000-0000CF6D0000}"/>
    <cellStyle name="Input 3 3 2 4 2 2 2" xfId="28321" xr:uid="{00000000-0005-0000-0000-0000D06D0000}"/>
    <cellStyle name="Input 3 3 2 4 2 2 2 2" xfId="28322" xr:uid="{00000000-0005-0000-0000-0000D16D0000}"/>
    <cellStyle name="Input 3 3 2 4 2 2 3" xfId="28323" xr:uid="{00000000-0005-0000-0000-0000D26D0000}"/>
    <cellStyle name="Input 3 3 2 4 2 2 3 2" xfId="28324" xr:uid="{00000000-0005-0000-0000-0000D36D0000}"/>
    <cellStyle name="Input 3 3 2 4 2 2 4" xfId="28325" xr:uid="{00000000-0005-0000-0000-0000D46D0000}"/>
    <cellStyle name="Input 3 3 2 4 2 2 5" xfId="28326" xr:uid="{00000000-0005-0000-0000-0000D56D0000}"/>
    <cellStyle name="Input 3 3 2 4 2 2 6" xfId="28327" xr:uid="{00000000-0005-0000-0000-0000D66D0000}"/>
    <cellStyle name="Input 3 3 2 4 2 3" xfId="28328" xr:uid="{00000000-0005-0000-0000-0000D76D0000}"/>
    <cellStyle name="Input 3 3 2 4 2 3 2" xfId="28329" xr:uid="{00000000-0005-0000-0000-0000D86D0000}"/>
    <cellStyle name="Input 3 3 2 4 2 4" xfId="28330" xr:uid="{00000000-0005-0000-0000-0000D96D0000}"/>
    <cellStyle name="Input 3 3 2 4 2 4 2" xfId="28331" xr:uid="{00000000-0005-0000-0000-0000DA6D0000}"/>
    <cellStyle name="Input 3 3 2 4 2 5" xfId="28332" xr:uid="{00000000-0005-0000-0000-0000DB6D0000}"/>
    <cellStyle name="Input 3 3 2 4 2 6" xfId="28333" xr:uid="{00000000-0005-0000-0000-0000DC6D0000}"/>
    <cellStyle name="Input 3 3 2 4 2 7" xfId="28334" xr:uid="{00000000-0005-0000-0000-0000DD6D0000}"/>
    <cellStyle name="Input 3 3 2 4 3" xfId="28335" xr:uid="{00000000-0005-0000-0000-0000DE6D0000}"/>
    <cellStyle name="Input 3 3 2 4 3 2" xfId="28336" xr:uid="{00000000-0005-0000-0000-0000DF6D0000}"/>
    <cellStyle name="Input 3 3 2 4 3 2 2" xfId="28337" xr:uid="{00000000-0005-0000-0000-0000E06D0000}"/>
    <cellStyle name="Input 3 3 2 4 3 3" xfId="28338" xr:uid="{00000000-0005-0000-0000-0000E16D0000}"/>
    <cellStyle name="Input 3 3 2 4 3 3 2" xfId="28339" xr:uid="{00000000-0005-0000-0000-0000E26D0000}"/>
    <cellStyle name="Input 3 3 2 4 3 4" xfId="28340" xr:uid="{00000000-0005-0000-0000-0000E36D0000}"/>
    <cellStyle name="Input 3 3 2 4 3 5" xfId="28341" xr:uid="{00000000-0005-0000-0000-0000E46D0000}"/>
    <cellStyle name="Input 3 3 2 4 3 6" xfId="28342" xr:uid="{00000000-0005-0000-0000-0000E56D0000}"/>
    <cellStyle name="Input 3 3 2 4 4" xfId="28343" xr:uid="{00000000-0005-0000-0000-0000E66D0000}"/>
    <cellStyle name="Input 3 3 2 4 4 2" xfId="28344" xr:uid="{00000000-0005-0000-0000-0000E76D0000}"/>
    <cellStyle name="Input 3 3 2 4 5" xfId="28345" xr:uid="{00000000-0005-0000-0000-0000E86D0000}"/>
    <cellStyle name="Input 3 3 2 4 5 2" xfId="28346" xr:uid="{00000000-0005-0000-0000-0000E96D0000}"/>
    <cellStyle name="Input 3 3 2 4 6" xfId="28347" xr:uid="{00000000-0005-0000-0000-0000EA6D0000}"/>
    <cellStyle name="Input 3 3 2 4 7" xfId="28348" xr:uid="{00000000-0005-0000-0000-0000EB6D0000}"/>
    <cellStyle name="Input 3 3 2 4 8" xfId="28349" xr:uid="{00000000-0005-0000-0000-0000EC6D0000}"/>
    <cellStyle name="Input 3 3 2 5" xfId="28350" xr:uid="{00000000-0005-0000-0000-0000ED6D0000}"/>
    <cellStyle name="Input 3 3 2 5 2" xfId="28351" xr:uid="{00000000-0005-0000-0000-0000EE6D0000}"/>
    <cellStyle name="Input 3 3 2 5 2 2" xfId="28352" xr:uid="{00000000-0005-0000-0000-0000EF6D0000}"/>
    <cellStyle name="Input 3 3 2 5 2 2 2" xfId="28353" xr:uid="{00000000-0005-0000-0000-0000F06D0000}"/>
    <cellStyle name="Input 3 3 2 5 2 3" xfId="28354" xr:uid="{00000000-0005-0000-0000-0000F16D0000}"/>
    <cellStyle name="Input 3 3 2 5 2 3 2" xfId="28355" xr:uid="{00000000-0005-0000-0000-0000F26D0000}"/>
    <cellStyle name="Input 3 3 2 5 2 4" xfId="28356" xr:uid="{00000000-0005-0000-0000-0000F36D0000}"/>
    <cellStyle name="Input 3 3 2 5 2 5" xfId="28357" xr:uid="{00000000-0005-0000-0000-0000F46D0000}"/>
    <cellStyle name="Input 3 3 2 5 2 6" xfId="28358" xr:uid="{00000000-0005-0000-0000-0000F56D0000}"/>
    <cellStyle name="Input 3 3 2 5 3" xfId="28359" xr:uid="{00000000-0005-0000-0000-0000F66D0000}"/>
    <cellStyle name="Input 3 3 2 5 3 2" xfId="28360" xr:uid="{00000000-0005-0000-0000-0000F76D0000}"/>
    <cellStyle name="Input 3 3 2 5 4" xfId="28361" xr:uid="{00000000-0005-0000-0000-0000F86D0000}"/>
    <cellStyle name="Input 3 3 2 5 4 2" xfId="28362" xr:uid="{00000000-0005-0000-0000-0000F96D0000}"/>
    <cellStyle name="Input 3 3 2 5 5" xfId="28363" xr:uid="{00000000-0005-0000-0000-0000FA6D0000}"/>
    <cellStyle name="Input 3 3 2 5 6" xfId="28364" xr:uid="{00000000-0005-0000-0000-0000FB6D0000}"/>
    <cellStyle name="Input 3 3 2 5 7" xfId="28365" xr:uid="{00000000-0005-0000-0000-0000FC6D0000}"/>
    <cellStyle name="Input 3 3 2 6" xfId="28366" xr:uid="{00000000-0005-0000-0000-0000FD6D0000}"/>
    <cellStyle name="Input 3 3 2 6 2" xfId="28367" xr:uid="{00000000-0005-0000-0000-0000FE6D0000}"/>
    <cellStyle name="Input 3 3 2 6 2 2" xfId="28368" xr:uid="{00000000-0005-0000-0000-0000FF6D0000}"/>
    <cellStyle name="Input 3 3 2 6 3" xfId="28369" xr:uid="{00000000-0005-0000-0000-0000006E0000}"/>
    <cellStyle name="Input 3 3 2 6 3 2" xfId="28370" xr:uid="{00000000-0005-0000-0000-0000016E0000}"/>
    <cellStyle name="Input 3 3 2 6 4" xfId="28371" xr:uid="{00000000-0005-0000-0000-0000026E0000}"/>
    <cellStyle name="Input 3 3 2 6 5" xfId="28372" xr:uid="{00000000-0005-0000-0000-0000036E0000}"/>
    <cellStyle name="Input 3 3 2 6 6" xfId="28373" xr:uid="{00000000-0005-0000-0000-0000046E0000}"/>
    <cellStyle name="Input 3 3 2 7" xfId="28374" xr:uid="{00000000-0005-0000-0000-0000056E0000}"/>
    <cellStyle name="Input 3 3 2 7 2" xfId="28375" xr:uid="{00000000-0005-0000-0000-0000066E0000}"/>
    <cellStyle name="Input 3 3 2 8" xfId="28376" xr:uid="{00000000-0005-0000-0000-0000076E0000}"/>
    <cellStyle name="Input 3 3 2 8 2" xfId="28377" xr:uid="{00000000-0005-0000-0000-0000086E0000}"/>
    <cellStyle name="Input 3 3 2 9" xfId="28378" xr:uid="{00000000-0005-0000-0000-0000096E0000}"/>
    <cellStyle name="Input 3 3 3" xfId="28379" xr:uid="{00000000-0005-0000-0000-00000A6E0000}"/>
    <cellStyle name="Input 3 3 3 10" xfId="28380" xr:uid="{00000000-0005-0000-0000-00000B6E0000}"/>
    <cellStyle name="Input 3 3 3 2" xfId="28381" xr:uid="{00000000-0005-0000-0000-00000C6E0000}"/>
    <cellStyle name="Input 3 3 3 2 10" xfId="28382" xr:uid="{00000000-0005-0000-0000-00000D6E0000}"/>
    <cellStyle name="Input 3 3 3 2 2" xfId="28383" xr:uid="{00000000-0005-0000-0000-00000E6E0000}"/>
    <cellStyle name="Input 3 3 3 2 2 2" xfId="28384" xr:uid="{00000000-0005-0000-0000-00000F6E0000}"/>
    <cellStyle name="Input 3 3 3 2 2 2 2" xfId="28385" xr:uid="{00000000-0005-0000-0000-0000106E0000}"/>
    <cellStyle name="Input 3 3 3 2 2 2 2 2" xfId="28386" xr:uid="{00000000-0005-0000-0000-0000116E0000}"/>
    <cellStyle name="Input 3 3 3 2 2 2 2 2 2" xfId="28387" xr:uid="{00000000-0005-0000-0000-0000126E0000}"/>
    <cellStyle name="Input 3 3 3 2 2 2 2 3" xfId="28388" xr:uid="{00000000-0005-0000-0000-0000136E0000}"/>
    <cellStyle name="Input 3 3 3 2 2 2 2 3 2" xfId="28389" xr:uid="{00000000-0005-0000-0000-0000146E0000}"/>
    <cellStyle name="Input 3 3 3 2 2 2 2 4" xfId="28390" xr:uid="{00000000-0005-0000-0000-0000156E0000}"/>
    <cellStyle name="Input 3 3 3 2 2 2 2 5" xfId="28391" xr:uid="{00000000-0005-0000-0000-0000166E0000}"/>
    <cellStyle name="Input 3 3 3 2 2 2 2 6" xfId="28392" xr:uid="{00000000-0005-0000-0000-0000176E0000}"/>
    <cellStyle name="Input 3 3 3 2 2 2 3" xfId="28393" xr:uid="{00000000-0005-0000-0000-0000186E0000}"/>
    <cellStyle name="Input 3 3 3 2 2 2 3 2" xfId="28394" xr:uid="{00000000-0005-0000-0000-0000196E0000}"/>
    <cellStyle name="Input 3 3 3 2 2 2 4" xfId="28395" xr:uid="{00000000-0005-0000-0000-00001A6E0000}"/>
    <cellStyle name="Input 3 3 3 2 2 2 4 2" xfId="28396" xr:uid="{00000000-0005-0000-0000-00001B6E0000}"/>
    <cellStyle name="Input 3 3 3 2 2 2 5" xfId="28397" xr:uid="{00000000-0005-0000-0000-00001C6E0000}"/>
    <cellStyle name="Input 3 3 3 2 2 2 6" xfId="28398" xr:uid="{00000000-0005-0000-0000-00001D6E0000}"/>
    <cellStyle name="Input 3 3 3 2 2 2 7" xfId="28399" xr:uid="{00000000-0005-0000-0000-00001E6E0000}"/>
    <cellStyle name="Input 3 3 3 2 2 3" xfId="28400" xr:uid="{00000000-0005-0000-0000-00001F6E0000}"/>
    <cellStyle name="Input 3 3 3 2 2 3 2" xfId="28401" xr:uid="{00000000-0005-0000-0000-0000206E0000}"/>
    <cellStyle name="Input 3 3 3 2 2 3 2 2" xfId="28402" xr:uid="{00000000-0005-0000-0000-0000216E0000}"/>
    <cellStyle name="Input 3 3 3 2 2 3 3" xfId="28403" xr:uid="{00000000-0005-0000-0000-0000226E0000}"/>
    <cellStyle name="Input 3 3 3 2 2 3 3 2" xfId="28404" xr:uid="{00000000-0005-0000-0000-0000236E0000}"/>
    <cellStyle name="Input 3 3 3 2 2 3 4" xfId="28405" xr:uid="{00000000-0005-0000-0000-0000246E0000}"/>
    <cellStyle name="Input 3 3 3 2 2 3 5" xfId="28406" xr:uid="{00000000-0005-0000-0000-0000256E0000}"/>
    <cellStyle name="Input 3 3 3 2 2 3 6" xfId="28407" xr:uid="{00000000-0005-0000-0000-0000266E0000}"/>
    <cellStyle name="Input 3 3 3 2 2 4" xfId="28408" xr:uid="{00000000-0005-0000-0000-0000276E0000}"/>
    <cellStyle name="Input 3 3 3 2 2 4 2" xfId="28409" xr:uid="{00000000-0005-0000-0000-0000286E0000}"/>
    <cellStyle name="Input 3 3 3 2 2 5" xfId="28410" xr:uid="{00000000-0005-0000-0000-0000296E0000}"/>
    <cellStyle name="Input 3 3 3 2 2 5 2" xfId="28411" xr:uid="{00000000-0005-0000-0000-00002A6E0000}"/>
    <cellStyle name="Input 3 3 3 2 2 6" xfId="28412" xr:uid="{00000000-0005-0000-0000-00002B6E0000}"/>
    <cellStyle name="Input 3 3 3 2 2 7" xfId="28413" xr:uid="{00000000-0005-0000-0000-00002C6E0000}"/>
    <cellStyle name="Input 3 3 3 2 2 8" xfId="28414" xr:uid="{00000000-0005-0000-0000-00002D6E0000}"/>
    <cellStyle name="Input 3 3 3 2 3" xfId="28415" xr:uid="{00000000-0005-0000-0000-00002E6E0000}"/>
    <cellStyle name="Input 3 3 3 2 3 2" xfId="28416" xr:uid="{00000000-0005-0000-0000-00002F6E0000}"/>
    <cellStyle name="Input 3 3 3 2 3 2 2" xfId="28417" xr:uid="{00000000-0005-0000-0000-0000306E0000}"/>
    <cellStyle name="Input 3 3 3 2 3 2 2 2" xfId="28418" xr:uid="{00000000-0005-0000-0000-0000316E0000}"/>
    <cellStyle name="Input 3 3 3 2 3 2 2 2 2" xfId="28419" xr:uid="{00000000-0005-0000-0000-0000326E0000}"/>
    <cellStyle name="Input 3 3 3 2 3 2 2 3" xfId="28420" xr:uid="{00000000-0005-0000-0000-0000336E0000}"/>
    <cellStyle name="Input 3 3 3 2 3 2 2 3 2" xfId="28421" xr:uid="{00000000-0005-0000-0000-0000346E0000}"/>
    <cellStyle name="Input 3 3 3 2 3 2 2 4" xfId="28422" xr:uid="{00000000-0005-0000-0000-0000356E0000}"/>
    <cellStyle name="Input 3 3 3 2 3 2 2 5" xfId="28423" xr:uid="{00000000-0005-0000-0000-0000366E0000}"/>
    <cellStyle name="Input 3 3 3 2 3 2 2 6" xfId="28424" xr:uid="{00000000-0005-0000-0000-0000376E0000}"/>
    <cellStyle name="Input 3 3 3 2 3 2 3" xfId="28425" xr:uid="{00000000-0005-0000-0000-0000386E0000}"/>
    <cellStyle name="Input 3 3 3 2 3 2 3 2" xfId="28426" xr:uid="{00000000-0005-0000-0000-0000396E0000}"/>
    <cellStyle name="Input 3 3 3 2 3 2 4" xfId="28427" xr:uid="{00000000-0005-0000-0000-00003A6E0000}"/>
    <cellStyle name="Input 3 3 3 2 3 2 4 2" xfId="28428" xr:uid="{00000000-0005-0000-0000-00003B6E0000}"/>
    <cellStyle name="Input 3 3 3 2 3 2 5" xfId="28429" xr:uid="{00000000-0005-0000-0000-00003C6E0000}"/>
    <cellStyle name="Input 3 3 3 2 3 2 6" xfId="28430" xr:uid="{00000000-0005-0000-0000-00003D6E0000}"/>
    <cellStyle name="Input 3 3 3 2 3 2 7" xfId="28431" xr:uid="{00000000-0005-0000-0000-00003E6E0000}"/>
    <cellStyle name="Input 3 3 3 2 3 3" xfId="28432" xr:uid="{00000000-0005-0000-0000-00003F6E0000}"/>
    <cellStyle name="Input 3 3 3 2 3 3 2" xfId="28433" xr:uid="{00000000-0005-0000-0000-0000406E0000}"/>
    <cellStyle name="Input 3 3 3 2 3 3 2 2" xfId="28434" xr:uid="{00000000-0005-0000-0000-0000416E0000}"/>
    <cellStyle name="Input 3 3 3 2 3 3 3" xfId="28435" xr:uid="{00000000-0005-0000-0000-0000426E0000}"/>
    <cellStyle name="Input 3 3 3 2 3 3 3 2" xfId="28436" xr:uid="{00000000-0005-0000-0000-0000436E0000}"/>
    <cellStyle name="Input 3 3 3 2 3 3 4" xfId="28437" xr:uid="{00000000-0005-0000-0000-0000446E0000}"/>
    <cellStyle name="Input 3 3 3 2 3 3 5" xfId="28438" xr:uid="{00000000-0005-0000-0000-0000456E0000}"/>
    <cellStyle name="Input 3 3 3 2 3 3 6" xfId="28439" xr:uid="{00000000-0005-0000-0000-0000466E0000}"/>
    <cellStyle name="Input 3 3 3 2 3 4" xfId="28440" xr:uid="{00000000-0005-0000-0000-0000476E0000}"/>
    <cellStyle name="Input 3 3 3 2 3 4 2" xfId="28441" xr:uid="{00000000-0005-0000-0000-0000486E0000}"/>
    <cellStyle name="Input 3 3 3 2 3 5" xfId="28442" xr:uid="{00000000-0005-0000-0000-0000496E0000}"/>
    <cellStyle name="Input 3 3 3 2 3 5 2" xfId="28443" xr:uid="{00000000-0005-0000-0000-00004A6E0000}"/>
    <cellStyle name="Input 3 3 3 2 3 6" xfId="28444" xr:uid="{00000000-0005-0000-0000-00004B6E0000}"/>
    <cellStyle name="Input 3 3 3 2 3 7" xfId="28445" xr:uid="{00000000-0005-0000-0000-00004C6E0000}"/>
    <cellStyle name="Input 3 3 3 2 3 8" xfId="28446" xr:uid="{00000000-0005-0000-0000-00004D6E0000}"/>
    <cellStyle name="Input 3 3 3 2 4" xfId="28447" xr:uid="{00000000-0005-0000-0000-00004E6E0000}"/>
    <cellStyle name="Input 3 3 3 2 4 2" xfId="28448" xr:uid="{00000000-0005-0000-0000-00004F6E0000}"/>
    <cellStyle name="Input 3 3 3 2 4 2 2" xfId="28449" xr:uid="{00000000-0005-0000-0000-0000506E0000}"/>
    <cellStyle name="Input 3 3 3 2 4 2 2 2" xfId="28450" xr:uid="{00000000-0005-0000-0000-0000516E0000}"/>
    <cellStyle name="Input 3 3 3 2 4 2 3" xfId="28451" xr:uid="{00000000-0005-0000-0000-0000526E0000}"/>
    <cellStyle name="Input 3 3 3 2 4 2 3 2" xfId="28452" xr:uid="{00000000-0005-0000-0000-0000536E0000}"/>
    <cellStyle name="Input 3 3 3 2 4 2 4" xfId="28453" xr:uid="{00000000-0005-0000-0000-0000546E0000}"/>
    <cellStyle name="Input 3 3 3 2 4 2 5" xfId="28454" xr:uid="{00000000-0005-0000-0000-0000556E0000}"/>
    <cellStyle name="Input 3 3 3 2 4 2 6" xfId="28455" xr:uid="{00000000-0005-0000-0000-0000566E0000}"/>
    <cellStyle name="Input 3 3 3 2 4 3" xfId="28456" xr:uid="{00000000-0005-0000-0000-0000576E0000}"/>
    <cellStyle name="Input 3 3 3 2 4 3 2" xfId="28457" xr:uid="{00000000-0005-0000-0000-0000586E0000}"/>
    <cellStyle name="Input 3 3 3 2 4 4" xfId="28458" xr:uid="{00000000-0005-0000-0000-0000596E0000}"/>
    <cellStyle name="Input 3 3 3 2 4 4 2" xfId="28459" xr:uid="{00000000-0005-0000-0000-00005A6E0000}"/>
    <cellStyle name="Input 3 3 3 2 4 5" xfId="28460" xr:uid="{00000000-0005-0000-0000-00005B6E0000}"/>
    <cellStyle name="Input 3 3 3 2 4 6" xfId="28461" xr:uid="{00000000-0005-0000-0000-00005C6E0000}"/>
    <cellStyle name="Input 3 3 3 2 4 7" xfId="28462" xr:uid="{00000000-0005-0000-0000-00005D6E0000}"/>
    <cellStyle name="Input 3 3 3 2 5" xfId="28463" xr:uid="{00000000-0005-0000-0000-00005E6E0000}"/>
    <cellStyle name="Input 3 3 3 2 5 2" xfId="28464" xr:uid="{00000000-0005-0000-0000-00005F6E0000}"/>
    <cellStyle name="Input 3 3 3 2 5 2 2" xfId="28465" xr:uid="{00000000-0005-0000-0000-0000606E0000}"/>
    <cellStyle name="Input 3 3 3 2 5 3" xfId="28466" xr:uid="{00000000-0005-0000-0000-0000616E0000}"/>
    <cellStyle name="Input 3 3 3 2 5 3 2" xfId="28467" xr:uid="{00000000-0005-0000-0000-0000626E0000}"/>
    <cellStyle name="Input 3 3 3 2 5 4" xfId="28468" xr:uid="{00000000-0005-0000-0000-0000636E0000}"/>
    <cellStyle name="Input 3 3 3 2 5 5" xfId="28469" xr:uid="{00000000-0005-0000-0000-0000646E0000}"/>
    <cellStyle name="Input 3 3 3 2 5 6" xfId="28470" xr:uid="{00000000-0005-0000-0000-0000656E0000}"/>
    <cellStyle name="Input 3 3 3 2 6" xfId="28471" xr:uid="{00000000-0005-0000-0000-0000666E0000}"/>
    <cellStyle name="Input 3 3 3 2 6 2" xfId="28472" xr:uid="{00000000-0005-0000-0000-0000676E0000}"/>
    <cellStyle name="Input 3 3 3 2 7" xfId="28473" xr:uid="{00000000-0005-0000-0000-0000686E0000}"/>
    <cellStyle name="Input 3 3 3 2 7 2" xfId="28474" xr:uid="{00000000-0005-0000-0000-0000696E0000}"/>
    <cellStyle name="Input 3 3 3 2 8" xfId="28475" xr:uid="{00000000-0005-0000-0000-00006A6E0000}"/>
    <cellStyle name="Input 3 3 3 2 9" xfId="28476" xr:uid="{00000000-0005-0000-0000-00006B6E0000}"/>
    <cellStyle name="Input 3 3 3 3" xfId="28477" xr:uid="{00000000-0005-0000-0000-00006C6E0000}"/>
    <cellStyle name="Input 3 3 3 3 2" xfId="28478" xr:uid="{00000000-0005-0000-0000-00006D6E0000}"/>
    <cellStyle name="Input 3 3 3 3 2 2" xfId="28479" xr:uid="{00000000-0005-0000-0000-00006E6E0000}"/>
    <cellStyle name="Input 3 3 3 3 2 2 2" xfId="28480" xr:uid="{00000000-0005-0000-0000-00006F6E0000}"/>
    <cellStyle name="Input 3 3 3 3 2 2 2 2" xfId="28481" xr:uid="{00000000-0005-0000-0000-0000706E0000}"/>
    <cellStyle name="Input 3 3 3 3 2 2 3" xfId="28482" xr:uid="{00000000-0005-0000-0000-0000716E0000}"/>
    <cellStyle name="Input 3 3 3 3 2 2 3 2" xfId="28483" xr:uid="{00000000-0005-0000-0000-0000726E0000}"/>
    <cellStyle name="Input 3 3 3 3 2 2 4" xfId="28484" xr:uid="{00000000-0005-0000-0000-0000736E0000}"/>
    <cellStyle name="Input 3 3 3 3 2 2 5" xfId="28485" xr:uid="{00000000-0005-0000-0000-0000746E0000}"/>
    <cellStyle name="Input 3 3 3 3 2 2 6" xfId="28486" xr:uid="{00000000-0005-0000-0000-0000756E0000}"/>
    <cellStyle name="Input 3 3 3 3 2 3" xfId="28487" xr:uid="{00000000-0005-0000-0000-0000766E0000}"/>
    <cellStyle name="Input 3 3 3 3 2 3 2" xfId="28488" xr:uid="{00000000-0005-0000-0000-0000776E0000}"/>
    <cellStyle name="Input 3 3 3 3 2 4" xfId="28489" xr:uid="{00000000-0005-0000-0000-0000786E0000}"/>
    <cellStyle name="Input 3 3 3 3 2 4 2" xfId="28490" xr:uid="{00000000-0005-0000-0000-0000796E0000}"/>
    <cellStyle name="Input 3 3 3 3 2 5" xfId="28491" xr:uid="{00000000-0005-0000-0000-00007A6E0000}"/>
    <cellStyle name="Input 3 3 3 3 2 6" xfId="28492" xr:uid="{00000000-0005-0000-0000-00007B6E0000}"/>
    <cellStyle name="Input 3 3 3 3 2 7" xfId="28493" xr:uid="{00000000-0005-0000-0000-00007C6E0000}"/>
    <cellStyle name="Input 3 3 3 3 3" xfId="28494" xr:uid="{00000000-0005-0000-0000-00007D6E0000}"/>
    <cellStyle name="Input 3 3 3 3 3 2" xfId="28495" xr:uid="{00000000-0005-0000-0000-00007E6E0000}"/>
    <cellStyle name="Input 3 3 3 3 3 2 2" xfId="28496" xr:uid="{00000000-0005-0000-0000-00007F6E0000}"/>
    <cellStyle name="Input 3 3 3 3 3 3" xfId="28497" xr:uid="{00000000-0005-0000-0000-0000806E0000}"/>
    <cellStyle name="Input 3 3 3 3 3 3 2" xfId="28498" xr:uid="{00000000-0005-0000-0000-0000816E0000}"/>
    <cellStyle name="Input 3 3 3 3 3 4" xfId="28499" xr:uid="{00000000-0005-0000-0000-0000826E0000}"/>
    <cellStyle name="Input 3 3 3 3 3 5" xfId="28500" xr:uid="{00000000-0005-0000-0000-0000836E0000}"/>
    <cellStyle name="Input 3 3 3 3 3 6" xfId="28501" xr:uid="{00000000-0005-0000-0000-0000846E0000}"/>
    <cellStyle name="Input 3 3 3 3 4" xfId="28502" xr:uid="{00000000-0005-0000-0000-0000856E0000}"/>
    <cellStyle name="Input 3 3 3 3 4 2" xfId="28503" xr:uid="{00000000-0005-0000-0000-0000866E0000}"/>
    <cellStyle name="Input 3 3 3 3 5" xfId="28504" xr:uid="{00000000-0005-0000-0000-0000876E0000}"/>
    <cellStyle name="Input 3 3 3 3 5 2" xfId="28505" xr:uid="{00000000-0005-0000-0000-0000886E0000}"/>
    <cellStyle name="Input 3 3 3 3 6" xfId="28506" xr:uid="{00000000-0005-0000-0000-0000896E0000}"/>
    <cellStyle name="Input 3 3 3 3 7" xfId="28507" xr:uid="{00000000-0005-0000-0000-00008A6E0000}"/>
    <cellStyle name="Input 3 3 3 3 8" xfId="28508" xr:uid="{00000000-0005-0000-0000-00008B6E0000}"/>
    <cellStyle name="Input 3 3 3 4" xfId="28509" xr:uid="{00000000-0005-0000-0000-00008C6E0000}"/>
    <cellStyle name="Input 3 3 3 4 2" xfId="28510" xr:uid="{00000000-0005-0000-0000-00008D6E0000}"/>
    <cellStyle name="Input 3 3 3 4 2 2" xfId="28511" xr:uid="{00000000-0005-0000-0000-00008E6E0000}"/>
    <cellStyle name="Input 3 3 3 4 2 2 2" xfId="28512" xr:uid="{00000000-0005-0000-0000-00008F6E0000}"/>
    <cellStyle name="Input 3 3 3 4 2 3" xfId="28513" xr:uid="{00000000-0005-0000-0000-0000906E0000}"/>
    <cellStyle name="Input 3 3 3 4 2 3 2" xfId="28514" xr:uid="{00000000-0005-0000-0000-0000916E0000}"/>
    <cellStyle name="Input 3 3 3 4 2 4" xfId="28515" xr:uid="{00000000-0005-0000-0000-0000926E0000}"/>
    <cellStyle name="Input 3 3 3 4 2 5" xfId="28516" xr:uid="{00000000-0005-0000-0000-0000936E0000}"/>
    <cellStyle name="Input 3 3 3 4 2 6" xfId="28517" xr:uid="{00000000-0005-0000-0000-0000946E0000}"/>
    <cellStyle name="Input 3 3 3 4 3" xfId="28518" xr:uid="{00000000-0005-0000-0000-0000956E0000}"/>
    <cellStyle name="Input 3 3 3 4 3 2" xfId="28519" xr:uid="{00000000-0005-0000-0000-0000966E0000}"/>
    <cellStyle name="Input 3 3 3 4 4" xfId="28520" xr:uid="{00000000-0005-0000-0000-0000976E0000}"/>
    <cellStyle name="Input 3 3 3 4 4 2" xfId="28521" xr:uid="{00000000-0005-0000-0000-0000986E0000}"/>
    <cellStyle name="Input 3 3 3 4 5" xfId="28522" xr:uid="{00000000-0005-0000-0000-0000996E0000}"/>
    <cellStyle name="Input 3 3 3 4 6" xfId="28523" xr:uid="{00000000-0005-0000-0000-00009A6E0000}"/>
    <cellStyle name="Input 3 3 3 4 7" xfId="28524" xr:uid="{00000000-0005-0000-0000-00009B6E0000}"/>
    <cellStyle name="Input 3 3 3 5" xfId="28525" xr:uid="{00000000-0005-0000-0000-00009C6E0000}"/>
    <cellStyle name="Input 3 3 3 5 2" xfId="28526" xr:uid="{00000000-0005-0000-0000-00009D6E0000}"/>
    <cellStyle name="Input 3 3 3 5 2 2" xfId="28527" xr:uid="{00000000-0005-0000-0000-00009E6E0000}"/>
    <cellStyle name="Input 3 3 3 5 3" xfId="28528" xr:uid="{00000000-0005-0000-0000-00009F6E0000}"/>
    <cellStyle name="Input 3 3 3 5 3 2" xfId="28529" xr:uid="{00000000-0005-0000-0000-0000A06E0000}"/>
    <cellStyle name="Input 3 3 3 5 4" xfId="28530" xr:uid="{00000000-0005-0000-0000-0000A16E0000}"/>
    <cellStyle name="Input 3 3 3 5 5" xfId="28531" xr:uid="{00000000-0005-0000-0000-0000A26E0000}"/>
    <cellStyle name="Input 3 3 3 5 6" xfId="28532" xr:uid="{00000000-0005-0000-0000-0000A36E0000}"/>
    <cellStyle name="Input 3 3 3 6" xfId="28533" xr:uid="{00000000-0005-0000-0000-0000A46E0000}"/>
    <cellStyle name="Input 3 3 3 6 2" xfId="28534" xr:uid="{00000000-0005-0000-0000-0000A56E0000}"/>
    <cellStyle name="Input 3 3 3 7" xfId="28535" xr:uid="{00000000-0005-0000-0000-0000A66E0000}"/>
    <cellStyle name="Input 3 3 3 7 2" xfId="28536" xr:uid="{00000000-0005-0000-0000-0000A76E0000}"/>
    <cellStyle name="Input 3 3 3 8" xfId="28537" xr:uid="{00000000-0005-0000-0000-0000A86E0000}"/>
    <cellStyle name="Input 3 3 3 9" xfId="28538" xr:uid="{00000000-0005-0000-0000-0000A96E0000}"/>
    <cellStyle name="Input 3 3 4" xfId="28539" xr:uid="{00000000-0005-0000-0000-0000AA6E0000}"/>
    <cellStyle name="Input 3 3 4 10" xfId="28540" xr:uid="{00000000-0005-0000-0000-0000AB6E0000}"/>
    <cellStyle name="Input 3 3 4 2" xfId="28541" xr:uid="{00000000-0005-0000-0000-0000AC6E0000}"/>
    <cellStyle name="Input 3 3 4 2 2" xfId="28542" xr:uid="{00000000-0005-0000-0000-0000AD6E0000}"/>
    <cellStyle name="Input 3 3 4 2 2 2" xfId="28543" xr:uid="{00000000-0005-0000-0000-0000AE6E0000}"/>
    <cellStyle name="Input 3 3 4 2 2 2 2" xfId="28544" xr:uid="{00000000-0005-0000-0000-0000AF6E0000}"/>
    <cellStyle name="Input 3 3 4 2 2 2 2 2" xfId="28545" xr:uid="{00000000-0005-0000-0000-0000B06E0000}"/>
    <cellStyle name="Input 3 3 4 2 2 2 3" xfId="28546" xr:uid="{00000000-0005-0000-0000-0000B16E0000}"/>
    <cellStyle name="Input 3 3 4 2 2 2 3 2" xfId="28547" xr:uid="{00000000-0005-0000-0000-0000B26E0000}"/>
    <cellStyle name="Input 3 3 4 2 2 2 4" xfId="28548" xr:uid="{00000000-0005-0000-0000-0000B36E0000}"/>
    <cellStyle name="Input 3 3 4 2 2 2 5" xfId="28549" xr:uid="{00000000-0005-0000-0000-0000B46E0000}"/>
    <cellStyle name="Input 3 3 4 2 2 2 6" xfId="28550" xr:uid="{00000000-0005-0000-0000-0000B56E0000}"/>
    <cellStyle name="Input 3 3 4 2 2 3" xfId="28551" xr:uid="{00000000-0005-0000-0000-0000B66E0000}"/>
    <cellStyle name="Input 3 3 4 2 2 3 2" xfId="28552" xr:uid="{00000000-0005-0000-0000-0000B76E0000}"/>
    <cellStyle name="Input 3 3 4 2 2 4" xfId="28553" xr:uid="{00000000-0005-0000-0000-0000B86E0000}"/>
    <cellStyle name="Input 3 3 4 2 2 4 2" xfId="28554" xr:uid="{00000000-0005-0000-0000-0000B96E0000}"/>
    <cellStyle name="Input 3 3 4 2 2 5" xfId="28555" xr:uid="{00000000-0005-0000-0000-0000BA6E0000}"/>
    <cellStyle name="Input 3 3 4 2 2 6" xfId="28556" xr:uid="{00000000-0005-0000-0000-0000BB6E0000}"/>
    <cellStyle name="Input 3 3 4 2 2 7" xfId="28557" xr:uid="{00000000-0005-0000-0000-0000BC6E0000}"/>
    <cellStyle name="Input 3 3 4 2 3" xfId="28558" xr:uid="{00000000-0005-0000-0000-0000BD6E0000}"/>
    <cellStyle name="Input 3 3 4 2 3 2" xfId="28559" xr:uid="{00000000-0005-0000-0000-0000BE6E0000}"/>
    <cellStyle name="Input 3 3 4 2 3 2 2" xfId="28560" xr:uid="{00000000-0005-0000-0000-0000BF6E0000}"/>
    <cellStyle name="Input 3 3 4 2 3 3" xfId="28561" xr:uid="{00000000-0005-0000-0000-0000C06E0000}"/>
    <cellStyle name="Input 3 3 4 2 3 3 2" xfId="28562" xr:uid="{00000000-0005-0000-0000-0000C16E0000}"/>
    <cellStyle name="Input 3 3 4 2 3 4" xfId="28563" xr:uid="{00000000-0005-0000-0000-0000C26E0000}"/>
    <cellStyle name="Input 3 3 4 2 3 5" xfId="28564" xr:uid="{00000000-0005-0000-0000-0000C36E0000}"/>
    <cellStyle name="Input 3 3 4 2 3 6" xfId="28565" xr:uid="{00000000-0005-0000-0000-0000C46E0000}"/>
    <cellStyle name="Input 3 3 4 2 4" xfId="28566" xr:uid="{00000000-0005-0000-0000-0000C56E0000}"/>
    <cellStyle name="Input 3 3 4 2 4 2" xfId="28567" xr:uid="{00000000-0005-0000-0000-0000C66E0000}"/>
    <cellStyle name="Input 3 3 4 2 5" xfId="28568" xr:uid="{00000000-0005-0000-0000-0000C76E0000}"/>
    <cellStyle name="Input 3 3 4 2 5 2" xfId="28569" xr:uid="{00000000-0005-0000-0000-0000C86E0000}"/>
    <cellStyle name="Input 3 3 4 2 6" xfId="28570" xr:uid="{00000000-0005-0000-0000-0000C96E0000}"/>
    <cellStyle name="Input 3 3 4 2 7" xfId="28571" xr:uid="{00000000-0005-0000-0000-0000CA6E0000}"/>
    <cellStyle name="Input 3 3 4 2 8" xfId="28572" xr:uid="{00000000-0005-0000-0000-0000CB6E0000}"/>
    <cellStyle name="Input 3 3 4 3" xfId="28573" xr:uid="{00000000-0005-0000-0000-0000CC6E0000}"/>
    <cellStyle name="Input 3 3 4 3 2" xfId="28574" xr:uid="{00000000-0005-0000-0000-0000CD6E0000}"/>
    <cellStyle name="Input 3 3 4 3 2 2" xfId="28575" xr:uid="{00000000-0005-0000-0000-0000CE6E0000}"/>
    <cellStyle name="Input 3 3 4 3 2 2 2" xfId="28576" xr:uid="{00000000-0005-0000-0000-0000CF6E0000}"/>
    <cellStyle name="Input 3 3 4 3 2 2 2 2" xfId="28577" xr:uid="{00000000-0005-0000-0000-0000D06E0000}"/>
    <cellStyle name="Input 3 3 4 3 2 2 3" xfId="28578" xr:uid="{00000000-0005-0000-0000-0000D16E0000}"/>
    <cellStyle name="Input 3 3 4 3 2 2 3 2" xfId="28579" xr:uid="{00000000-0005-0000-0000-0000D26E0000}"/>
    <cellStyle name="Input 3 3 4 3 2 2 4" xfId="28580" xr:uid="{00000000-0005-0000-0000-0000D36E0000}"/>
    <cellStyle name="Input 3 3 4 3 2 2 5" xfId="28581" xr:uid="{00000000-0005-0000-0000-0000D46E0000}"/>
    <cellStyle name="Input 3 3 4 3 2 2 6" xfId="28582" xr:uid="{00000000-0005-0000-0000-0000D56E0000}"/>
    <cellStyle name="Input 3 3 4 3 2 3" xfId="28583" xr:uid="{00000000-0005-0000-0000-0000D66E0000}"/>
    <cellStyle name="Input 3 3 4 3 2 3 2" xfId="28584" xr:uid="{00000000-0005-0000-0000-0000D76E0000}"/>
    <cellStyle name="Input 3 3 4 3 2 4" xfId="28585" xr:uid="{00000000-0005-0000-0000-0000D86E0000}"/>
    <cellStyle name="Input 3 3 4 3 2 4 2" xfId="28586" xr:uid="{00000000-0005-0000-0000-0000D96E0000}"/>
    <cellStyle name="Input 3 3 4 3 2 5" xfId="28587" xr:uid="{00000000-0005-0000-0000-0000DA6E0000}"/>
    <cellStyle name="Input 3 3 4 3 2 6" xfId="28588" xr:uid="{00000000-0005-0000-0000-0000DB6E0000}"/>
    <cellStyle name="Input 3 3 4 3 2 7" xfId="28589" xr:uid="{00000000-0005-0000-0000-0000DC6E0000}"/>
    <cellStyle name="Input 3 3 4 3 3" xfId="28590" xr:uid="{00000000-0005-0000-0000-0000DD6E0000}"/>
    <cellStyle name="Input 3 3 4 3 3 2" xfId="28591" xr:uid="{00000000-0005-0000-0000-0000DE6E0000}"/>
    <cellStyle name="Input 3 3 4 3 3 2 2" xfId="28592" xr:uid="{00000000-0005-0000-0000-0000DF6E0000}"/>
    <cellStyle name="Input 3 3 4 3 3 3" xfId="28593" xr:uid="{00000000-0005-0000-0000-0000E06E0000}"/>
    <cellStyle name="Input 3 3 4 3 3 3 2" xfId="28594" xr:uid="{00000000-0005-0000-0000-0000E16E0000}"/>
    <cellStyle name="Input 3 3 4 3 3 4" xfId="28595" xr:uid="{00000000-0005-0000-0000-0000E26E0000}"/>
    <cellStyle name="Input 3 3 4 3 3 5" xfId="28596" xr:uid="{00000000-0005-0000-0000-0000E36E0000}"/>
    <cellStyle name="Input 3 3 4 3 3 6" xfId="28597" xr:uid="{00000000-0005-0000-0000-0000E46E0000}"/>
    <cellStyle name="Input 3 3 4 3 4" xfId="28598" xr:uid="{00000000-0005-0000-0000-0000E56E0000}"/>
    <cellStyle name="Input 3 3 4 3 4 2" xfId="28599" xr:uid="{00000000-0005-0000-0000-0000E66E0000}"/>
    <cellStyle name="Input 3 3 4 3 5" xfId="28600" xr:uid="{00000000-0005-0000-0000-0000E76E0000}"/>
    <cellStyle name="Input 3 3 4 3 5 2" xfId="28601" xr:uid="{00000000-0005-0000-0000-0000E86E0000}"/>
    <cellStyle name="Input 3 3 4 3 6" xfId="28602" xr:uid="{00000000-0005-0000-0000-0000E96E0000}"/>
    <cellStyle name="Input 3 3 4 3 7" xfId="28603" xr:uid="{00000000-0005-0000-0000-0000EA6E0000}"/>
    <cellStyle name="Input 3 3 4 3 8" xfId="28604" xr:uid="{00000000-0005-0000-0000-0000EB6E0000}"/>
    <cellStyle name="Input 3 3 4 4" xfId="28605" xr:uid="{00000000-0005-0000-0000-0000EC6E0000}"/>
    <cellStyle name="Input 3 3 4 4 2" xfId="28606" xr:uid="{00000000-0005-0000-0000-0000ED6E0000}"/>
    <cellStyle name="Input 3 3 4 4 2 2" xfId="28607" xr:uid="{00000000-0005-0000-0000-0000EE6E0000}"/>
    <cellStyle name="Input 3 3 4 4 2 2 2" xfId="28608" xr:uid="{00000000-0005-0000-0000-0000EF6E0000}"/>
    <cellStyle name="Input 3 3 4 4 2 3" xfId="28609" xr:uid="{00000000-0005-0000-0000-0000F06E0000}"/>
    <cellStyle name="Input 3 3 4 4 2 3 2" xfId="28610" xr:uid="{00000000-0005-0000-0000-0000F16E0000}"/>
    <cellStyle name="Input 3 3 4 4 2 4" xfId="28611" xr:uid="{00000000-0005-0000-0000-0000F26E0000}"/>
    <cellStyle name="Input 3 3 4 4 2 5" xfId="28612" xr:uid="{00000000-0005-0000-0000-0000F36E0000}"/>
    <cellStyle name="Input 3 3 4 4 2 6" xfId="28613" xr:uid="{00000000-0005-0000-0000-0000F46E0000}"/>
    <cellStyle name="Input 3 3 4 4 3" xfId="28614" xr:uid="{00000000-0005-0000-0000-0000F56E0000}"/>
    <cellStyle name="Input 3 3 4 4 3 2" xfId="28615" xr:uid="{00000000-0005-0000-0000-0000F66E0000}"/>
    <cellStyle name="Input 3 3 4 4 4" xfId="28616" xr:uid="{00000000-0005-0000-0000-0000F76E0000}"/>
    <cellStyle name="Input 3 3 4 4 4 2" xfId="28617" xr:uid="{00000000-0005-0000-0000-0000F86E0000}"/>
    <cellStyle name="Input 3 3 4 4 5" xfId="28618" xr:uid="{00000000-0005-0000-0000-0000F96E0000}"/>
    <cellStyle name="Input 3 3 4 4 6" xfId="28619" xr:uid="{00000000-0005-0000-0000-0000FA6E0000}"/>
    <cellStyle name="Input 3 3 4 4 7" xfId="28620" xr:uid="{00000000-0005-0000-0000-0000FB6E0000}"/>
    <cellStyle name="Input 3 3 4 5" xfId="28621" xr:uid="{00000000-0005-0000-0000-0000FC6E0000}"/>
    <cellStyle name="Input 3 3 4 5 2" xfId="28622" xr:uid="{00000000-0005-0000-0000-0000FD6E0000}"/>
    <cellStyle name="Input 3 3 4 5 2 2" xfId="28623" xr:uid="{00000000-0005-0000-0000-0000FE6E0000}"/>
    <cellStyle name="Input 3 3 4 5 3" xfId="28624" xr:uid="{00000000-0005-0000-0000-0000FF6E0000}"/>
    <cellStyle name="Input 3 3 4 5 3 2" xfId="28625" xr:uid="{00000000-0005-0000-0000-0000006F0000}"/>
    <cellStyle name="Input 3 3 4 5 4" xfId="28626" xr:uid="{00000000-0005-0000-0000-0000016F0000}"/>
    <cellStyle name="Input 3 3 4 5 5" xfId="28627" xr:uid="{00000000-0005-0000-0000-0000026F0000}"/>
    <cellStyle name="Input 3 3 4 5 6" xfId="28628" xr:uid="{00000000-0005-0000-0000-0000036F0000}"/>
    <cellStyle name="Input 3 3 4 6" xfId="28629" xr:uid="{00000000-0005-0000-0000-0000046F0000}"/>
    <cellStyle name="Input 3 3 4 6 2" xfId="28630" xr:uid="{00000000-0005-0000-0000-0000056F0000}"/>
    <cellStyle name="Input 3 3 4 7" xfId="28631" xr:uid="{00000000-0005-0000-0000-0000066F0000}"/>
    <cellStyle name="Input 3 3 4 7 2" xfId="28632" xr:uid="{00000000-0005-0000-0000-0000076F0000}"/>
    <cellStyle name="Input 3 3 4 8" xfId="28633" xr:uid="{00000000-0005-0000-0000-0000086F0000}"/>
    <cellStyle name="Input 3 3 4 9" xfId="28634" xr:uid="{00000000-0005-0000-0000-0000096F0000}"/>
    <cellStyle name="Input 3 3 5" xfId="28635" xr:uid="{00000000-0005-0000-0000-00000A6F0000}"/>
    <cellStyle name="Input 3 3 5 2" xfId="28636" xr:uid="{00000000-0005-0000-0000-00000B6F0000}"/>
    <cellStyle name="Input 3 3 5 2 2" xfId="28637" xr:uid="{00000000-0005-0000-0000-00000C6F0000}"/>
    <cellStyle name="Input 3 3 5 2 2 2" xfId="28638" xr:uid="{00000000-0005-0000-0000-00000D6F0000}"/>
    <cellStyle name="Input 3 3 5 2 2 2 2" xfId="28639" xr:uid="{00000000-0005-0000-0000-00000E6F0000}"/>
    <cellStyle name="Input 3 3 5 2 2 3" xfId="28640" xr:uid="{00000000-0005-0000-0000-00000F6F0000}"/>
    <cellStyle name="Input 3 3 5 2 2 3 2" xfId="28641" xr:uid="{00000000-0005-0000-0000-0000106F0000}"/>
    <cellStyle name="Input 3 3 5 2 2 4" xfId="28642" xr:uid="{00000000-0005-0000-0000-0000116F0000}"/>
    <cellStyle name="Input 3 3 5 2 2 5" xfId="28643" xr:uid="{00000000-0005-0000-0000-0000126F0000}"/>
    <cellStyle name="Input 3 3 5 2 2 6" xfId="28644" xr:uid="{00000000-0005-0000-0000-0000136F0000}"/>
    <cellStyle name="Input 3 3 5 2 3" xfId="28645" xr:uid="{00000000-0005-0000-0000-0000146F0000}"/>
    <cellStyle name="Input 3 3 5 2 3 2" xfId="28646" xr:uid="{00000000-0005-0000-0000-0000156F0000}"/>
    <cellStyle name="Input 3 3 5 2 4" xfId="28647" xr:uid="{00000000-0005-0000-0000-0000166F0000}"/>
    <cellStyle name="Input 3 3 5 2 4 2" xfId="28648" xr:uid="{00000000-0005-0000-0000-0000176F0000}"/>
    <cellStyle name="Input 3 3 5 2 5" xfId="28649" xr:uid="{00000000-0005-0000-0000-0000186F0000}"/>
    <cellStyle name="Input 3 3 5 2 6" xfId="28650" xr:uid="{00000000-0005-0000-0000-0000196F0000}"/>
    <cellStyle name="Input 3 3 5 2 7" xfId="28651" xr:uid="{00000000-0005-0000-0000-00001A6F0000}"/>
    <cellStyle name="Input 3 3 5 3" xfId="28652" xr:uid="{00000000-0005-0000-0000-00001B6F0000}"/>
    <cellStyle name="Input 3 3 5 3 2" xfId="28653" xr:uid="{00000000-0005-0000-0000-00001C6F0000}"/>
    <cellStyle name="Input 3 3 5 3 2 2" xfId="28654" xr:uid="{00000000-0005-0000-0000-00001D6F0000}"/>
    <cellStyle name="Input 3 3 5 3 3" xfId="28655" xr:uid="{00000000-0005-0000-0000-00001E6F0000}"/>
    <cellStyle name="Input 3 3 5 3 3 2" xfId="28656" xr:uid="{00000000-0005-0000-0000-00001F6F0000}"/>
    <cellStyle name="Input 3 3 5 3 4" xfId="28657" xr:uid="{00000000-0005-0000-0000-0000206F0000}"/>
    <cellStyle name="Input 3 3 5 3 5" xfId="28658" xr:uid="{00000000-0005-0000-0000-0000216F0000}"/>
    <cellStyle name="Input 3 3 5 3 6" xfId="28659" xr:uid="{00000000-0005-0000-0000-0000226F0000}"/>
    <cellStyle name="Input 3 3 5 4" xfId="28660" xr:uid="{00000000-0005-0000-0000-0000236F0000}"/>
    <cellStyle name="Input 3 3 5 4 2" xfId="28661" xr:uid="{00000000-0005-0000-0000-0000246F0000}"/>
    <cellStyle name="Input 3 3 5 5" xfId="28662" xr:uid="{00000000-0005-0000-0000-0000256F0000}"/>
    <cellStyle name="Input 3 3 5 5 2" xfId="28663" xr:uid="{00000000-0005-0000-0000-0000266F0000}"/>
    <cellStyle name="Input 3 3 5 6" xfId="28664" xr:uid="{00000000-0005-0000-0000-0000276F0000}"/>
    <cellStyle name="Input 3 3 5 7" xfId="28665" xr:uid="{00000000-0005-0000-0000-0000286F0000}"/>
    <cellStyle name="Input 3 3 5 8" xfId="28666" xr:uid="{00000000-0005-0000-0000-0000296F0000}"/>
    <cellStyle name="Input 3 3 6" xfId="28667" xr:uid="{00000000-0005-0000-0000-00002A6F0000}"/>
    <cellStyle name="Input 3 3 6 2" xfId="28668" xr:uid="{00000000-0005-0000-0000-00002B6F0000}"/>
    <cellStyle name="Input 3 3 6 2 2" xfId="28669" xr:uid="{00000000-0005-0000-0000-00002C6F0000}"/>
    <cellStyle name="Input 3 3 6 2 2 2" xfId="28670" xr:uid="{00000000-0005-0000-0000-00002D6F0000}"/>
    <cellStyle name="Input 3 3 6 2 3" xfId="28671" xr:uid="{00000000-0005-0000-0000-00002E6F0000}"/>
    <cellStyle name="Input 3 3 6 2 3 2" xfId="28672" xr:uid="{00000000-0005-0000-0000-00002F6F0000}"/>
    <cellStyle name="Input 3 3 6 2 4" xfId="28673" xr:uid="{00000000-0005-0000-0000-0000306F0000}"/>
    <cellStyle name="Input 3 3 6 2 5" xfId="28674" xr:uid="{00000000-0005-0000-0000-0000316F0000}"/>
    <cellStyle name="Input 3 3 6 2 6" xfId="28675" xr:uid="{00000000-0005-0000-0000-0000326F0000}"/>
    <cellStyle name="Input 3 3 6 3" xfId="28676" xr:uid="{00000000-0005-0000-0000-0000336F0000}"/>
    <cellStyle name="Input 3 3 6 3 2" xfId="28677" xr:uid="{00000000-0005-0000-0000-0000346F0000}"/>
    <cellStyle name="Input 3 3 6 4" xfId="28678" xr:uid="{00000000-0005-0000-0000-0000356F0000}"/>
    <cellStyle name="Input 3 3 6 4 2" xfId="28679" xr:uid="{00000000-0005-0000-0000-0000366F0000}"/>
    <cellStyle name="Input 3 3 6 5" xfId="28680" xr:uid="{00000000-0005-0000-0000-0000376F0000}"/>
    <cellStyle name="Input 3 3 6 6" xfId="28681" xr:uid="{00000000-0005-0000-0000-0000386F0000}"/>
    <cellStyle name="Input 3 3 6 7" xfId="28682" xr:uid="{00000000-0005-0000-0000-0000396F0000}"/>
    <cellStyle name="Input 3 3 7" xfId="28683" xr:uid="{00000000-0005-0000-0000-00003A6F0000}"/>
    <cellStyle name="Input 3 3 7 2" xfId="28684" xr:uid="{00000000-0005-0000-0000-00003B6F0000}"/>
    <cellStyle name="Input 3 3 7 2 2" xfId="28685" xr:uid="{00000000-0005-0000-0000-00003C6F0000}"/>
    <cellStyle name="Input 3 3 7 3" xfId="28686" xr:uid="{00000000-0005-0000-0000-00003D6F0000}"/>
    <cellStyle name="Input 3 3 7 3 2" xfId="28687" xr:uid="{00000000-0005-0000-0000-00003E6F0000}"/>
    <cellStyle name="Input 3 3 7 4" xfId="28688" xr:uid="{00000000-0005-0000-0000-00003F6F0000}"/>
    <cellStyle name="Input 3 3 7 5" xfId="28689" xr:uid="{00000000-0005-0000-0000-0000406F0000}"/>
    <cellStyle name="Input 3 3 7 6" xfId="28690" xr:uid="{00000000-0005-0000-0000-0000416F0000}"/>
    <cellStyle name="Input 3 3 8" xfId="28691" xr:uid="{00000000-0005-0000-0000-0000426F0000}"/>
    <cellStyle name="Input 3 3 8 2" xfId="28692" xr:uid="{00000000-0005-0000-0000-0000436F0000}"/>
    <cellStyle name="Input 3 3 9" xfId="28693" xr:uid="{00000000-0005-0000-0000-0000446F0000}"/>
    <cellStyle name="Input 3 3 9 2" xfId="28694" xr:uid="{00000000-0005-0000-0000-0000456F0000}"/>
    <cellStyle name="Input 3 4" xfId="28695" xr:uid="{00000000-0005-0000-0000-0000466F0000}"/>
    <cellStyle name="Input 3 4 10" xfId="28696" xr:uid="{00000000-0005-0000-0000-0000476F0000}"/>
    <cellStyle name="Input 3 4 11" xfId="28697" xr:uid="{00000000-0005-0000-0000-0000486F0000}"/>
    <cellStyle name="Input 3 4 2" xfId="28698" xr:uid="{00000000-0005-0000-0000-0000496F0000}"/>
    <cellStyle name="Input 3 4 2 10" xfId="28699" xr:uid="{00000000-0005-0000-0000-00004A6F0000}"/>
    <cellStyle name="Input 3 4 2 2" xfId="28700" xr:uid="{00000000-0005-0000-0000-00004B6F0000}"/>
    <cellStyle name="Input 3 4 2 2 10" xfId="28701" xr:uid="{00000000-0005-0000-0000-00004C6F0000}"/>
    <cellStyle name="Input 3 4 2 2 2" xfId="28702" xr:uid="{00000000-0005-0000-0000-00004D6F0000}"/>
    <cellStyle name="Input 3 4 2 2 2 2" xfId="28703" xr:uid="{00000000-0005-0000-0000-00004E6F0000}"/>
    <cellStyle name="Input 3 4 2 2 2 2 2" xfId="28704" xr:uid="{00000000-0005-0000-0000-00004F6F0000}"/>
    <cellStyle name="Input 3 4 2 2 2 2 2 2" xfId="28705" xr:uid="{00000000-0005-0000-0000-0000506F0000}"/>
    <cellStyle name="Input 3 4 2 2 2 2 2 2 2" xfId="28706" xr:uid="{00000000-0005-0000-0000-0000516F0000}"/>
    <cellStyle name="Input 3 4 2 2 2 2 2 3" xfId="28707" xr:uid="{00000000-0005-0000-0000-0000526F0000}"/>
    <cellStyle name="Input 3 4 2 2 2 2 2 3 2" xfId="28708" xr:uid="{00000000-0005-0000-0000-0000536F0000}"/>
    <cellStyle name="Input 3 4 2 2 2 2 2 4" xfId="28709" xr:uid="{00000000-0005-0000-0000-0000546F0000}"/>
    <cellStyle name="Input 3 4 2 2 2 2 2 5" xfId="28710" xr:uid="{00000000-0005-0000-0000-0000556F0000}"/>
    <cellStyle name="Input 3 4 2 2 2 2 2 6" xfId="28711" xr:uid="{00000000-0005-0000-0000-0000566F0000}"/>
    <cellStyle name="Input 3 4 2 2 2 2 3" xfId="28712" xr:uid="{00000000-0005-0000-0000-0000576F0000}"/>
    <cellStyle name="Input 3 4 2 2 2 2 3 2" xfId="28713" xr:uid="{00000000-0005-0000-0000-0000586F0000}"/>
    <cellStyle name="Input 3 4 2 2 2 2 4" xfId="28714" xr:uid="{00000000-0005-0000-0000-0000596F0000}"/>
    <cellStyle name="Input 3 4 2 2 2 2 4 2" xfId="28715" xr:uid="{00000000-0005-0000-0000-00005A6F0000}"/>
    <cellStyle name="Input 3 4 2 2 2 2 5" xfId="28716" xr:uid="{00000000-0005-0000-0000-00005B6F0000}"/>
    <cellStyle name="Input 3 4 2 2 2 2 6" xfId="28717" xr:uid="{00000000-0005-0000-0000-00005C6F0000}"/>
    <cellStyle name="Input 3 4 2 2 2 2 7" xfId="28718" xr:uid="{00000000-0005-0000-0000-00005D6F0000}"/>
    <cellStyle name="Input 3 4 2 2 2 3" xfId="28719" xr:uid="{00000000-0005-0000-0000-00005E6F0000}"/>
    <cellStyle name="Input 3 4 2 2 2 3 2" xfId="28720" xr:uid="{00000000-0005-0000-0000-00005F6F0000}"/>
    <cellStyle name="Input 3 4 2 2 2 3 2 2" xfId="28721" xr:uid="{00000000-0005-0000-0000-0000606F0000}"/>
    <cellStyle name="Input 3 4 2 2 2 3 3" xfId="28722" xr:uid="{00000000-0005-0000-0000-0000616F0000}"/>
    <cellStyle name="Input 3 4 2 2 2 3 3 2" xfId="28723" xr:uid="{00000000-0005-0000-0000-0000626F0000}"/>
    <cellStyle name="Input 3 4 2 2 2 3 4" xfId="28724" xr:uid="{00000000-0005-0000-0000-0000636F0000}"/>
    <cellStyle name="Input 3 4 2 2 2 3 5" xfId="28725" xr:uid="{00000000-0005-0000-0000-0000646F0000}"/>
    <cellStyle name="Input 3 4 2 2 2 3 6" xfId="28726" xr:uid="{00000000-0005-0000-0000-0000656F0000}"/>
    <cellStyle name="Input 3 4 2 2 2 4" xfId="28727" xr:uid="{00000000-0005-0000-0000-0000666F0000}"/>
    <cellStyle name="Input 3 4 2 2 2 4 2" xfId="28728" xr:uid="{00000000-0005-0000-0000-0000676F0000}"/>
    <cellStyle name="Input 3 4 2 2 2 5" xfId="28729" xr:uid="{00000000-0005-0000-0000-0000686F0000}"/>
    <cellStyle name="Input 3 4 2 2 2 5 2" xfId="28730" xr:uid="{00000000-0005-0000-0000-0000696F0000}"/>
    <cellStyle name="Input 3 4 2 2 2 6" xfId="28731" xr:uid="{00000000-0005-0000-0000-00006A6F0000}"/>
    <cellStyle name="Input 3 4 2 2 2 7" xfId="28732" xr:uid="{00000000-0005-0000-0000-00006B6F0000}"/>
    <cellStyle name="Input 3 4 2 2 2 8" xfId="28733" xr:uid="{00000000-0005-0000-0000-00006C6F0000}"/>
    <cellStyle name="Input 3 4 2 2 3" xfId="28734" xr:uid="{00000000-0005-0000-0000-00006D6F0000}"/>
    <cellStyle name="Input 3 4 2 2 3 2" xfId="28735" xr:uid="{00000000-0005-0000-0000-00006E6F0000}"/>
    <cellStyle name="Input 3 4 2 2 3 2 2" xfId="28736" xr:uid="{00000000-0005-0000-0000-00006F6F0000}"/>
    <cellStyle name="Input 3 4 2 2 3 2 2 2" xfId="28737" xr:uid="{00000000-0005-0000-0000-0000706F0000}"/>
    <cellStyle name="Input 3 4 2 2 3 2 2 2 2" xfId="28738" xr:uid="{00000000-0005-0000-0000-0000716F0000}"/>
    <cellStyle name="Input 3 4 2 2 3 2 2 3" xfId="28739" xr:uid="{00000000-0005-0000-0000-0000726F0000}"/>
    <cellStyle name="Input 3 4 2 2 3 2 2 3 2" xfId="28740" xr:uid="{00000000-0005-0000-0000-0000736F0000}"/>
    <cellStyle name="Input 3 4 2 2 3 2 2 4" xfId="28741" xr:uid="{00000000-0005-0000-0000-0000746F0000}"/>
    <cellStyle name="Input 3 4 2 2 3 2 2 5" xfId="28742" xr:uid="{00000000-0005-0000-0000-0000756F0000}"/>
    <cellStyle name="Input 3 4 2 2 3 2 2 6" xfId="28743" xr:uid="{00000000-0005-0000-0000-0000766F0000}"/>
    <cellStyle name="Input 3 4 2 2 3 2 3" xfId="28744" xr:uid="{00000000-0005-0000-0000-0000776F0000}"/>
    <cellStyle name="Input 3 4 2 2 3 2 3 2" xfId="28745" xr:uid="{00000000-0005-0000-0000-0000786F0000}"/>
    <cellStyle name="Input 3 4 2 2 3 2 4" xfId="28746" xr:uid="{00000000-0005-0000-0000-0000796F0000}"/>
    <cellStyle name="Input 3 4 2 2 3 2 4 2" xfId="28747" xr:uid="{00000000-0005-0000-0000-00007A6F0000}"/>
    <cellStyle name="Input 3 4 2 2 3 2 5" xfId="28748" xr:uid="{00000000-0005-0000-0000-00007B6F0000}"/>
    <cellStyle name="Input 3 4 2 2 3 2 6" xfId="28749" xr:uid="{00000000-0005-0000-0000-00007C6F0000}"/>
    <cellStyle name="Input 3 4 2 2 3 2 7" xfId="28750" xr:uid="{00000000-0005-0000-0000-00007D6F0000}"/>
    <cellStyle name="Input 3 4 2 2 3 3" xfId="28751" xr:uid="{00000000-0005-0000-0000-00007E6F0000}"/>
    <cellStyle name="Input 3 4 2 2 3 3 2" xfId="28752" xr:uid="{00000000-0005-0000-0000-00007F6F0000}"/>
    <cellStyle name="Input 3 4 2 2 3 3 2 2" xfId="28753" xr:uid="{00000000-0005-0000-0000-0000806F0000}"/>
    <cellStyle name="Input 3 4 2 2 3 3 3" xfId="28754" xr:uid="{00000000-0005-0000-0000-0000816F0000}"/>
    <cellStyle name="Input 3 4 2 2 3 3 3 2" xfId="28755" xr:uid="{00000000-0005-0000-0000-0000826F0000}"/>
    <cellStyle name="Input 3 4 2 2 3 3 4" xfId="28756" xr:uid="{00000000-0005-0000-0000-0000836F0000}"/>
    <cellStyle name="Input 3 4 2 2 3 3 5" xfId="28757" xr:uid="{00000000-0005-0000-0000-0000846F0000}"/>
    <cellStyle name="Input 3 4 2 2 3 3 6" xfId="28758" xr:uid="{00000000-0005-0000-0000-0000856F0000}"/>
    <cellStyle name="Input 3 4 2 2 3 4" xfId="28759" xr:uid="{00000000-0005-0000-0000-0000866F0000}"/>
    <cellStyle name="Input 3 4 2 2 3 4 2" xfId="28760" xr:uid="{00000000-0005-0000-0000-0000876F0000}"/>
    <cellStyle name="Input 3 4 2 2 3 5" xfId="28761" xr:uid="{00000000-0005-0000-0000-0000886F0000}"/>
    <cellStyle name="Input 3 4 2 2 3 5 2" xfId="28762" xr:uid="{00000000-0005-0000-0000-0000896F0000}"/>
    <cellStyle name="Input 3 4 2 2 3 6" xfId="28763" xr:uid="{00000000-0005-0000-0000-00008A6F0000}"/>
    <cellStyle name="Input 3 4 2 2 3 7" xfId="28764" xr:uid="{00000000-0005-0000-0000-00008B6F0000}"/>
    <cellStyle name="Input 3 4 2 2 3 8" xfId="28765" xr:uid="{00000000-0005-0000-0000-00008C6F0000}"/>
    <cellStyle name="Input 3 4 2 2 4" xfId="28766" xr:uid="{00000000-0005-0000-0000-00008D6F0000}"/>
    <cellStyle name="Input 3 4 2 2 4 2" xfId="28767" xr:uid="{00000000-0005-0000-0000-00008E6F0000}"/>
    <cellStyle name="Input 3 4 2 2 4 2 2" xfId="28768" xr:uid="{00000000-0005-0000-0000-00008F6F0000}"/>
    <cellStyle name="Input 3 4 2 2 4 2 2 2" xfId="28769" xr:uid="{00000000-0005-0000-0000-0000906F0000}"/>
    <cellStyle name="Input 3 4 2 2 4 2 3" xfId="28770" xr:uid="{00000000-0005-0000-0000-0000916F0000}"/>
    <cellStyle name="Input 3 4 2 2 4 2 3 2" xfId="28771" xr:uid="{00000000-0005-0000-0000-0000926F0000}"/>
    <cellStyle name="Input 3 4 2 2 4 2 4" xfId="28772" xr:uid="{00000000-0005-0000-0000-0000936F0000}"/>
    <cellStyle name="Input 3 4 2 2 4 2 5" xfId="28773" xr:uid="{00000000-0005-0000-0000-0000946F0000}"/>
    <cellStyle name="Input 3 4 2 2 4 2 6" xfId="28774" xr:uid="{00000000-0005-0000-0000-0000956F0000}"/>
    <cellStyle name="Input 3 4 2 2 4 3" xfId="28775" xr:uid="{00000000-0005-0000-0000-0000966F0000}"/>
    <cellStyle name="Input 3 4 2 2 4 3 2" xfId="28776" xr:uid="{00000000-0005-0000-0000-0000976F0000}"/>
    <cellStyle name="Input 3 4 2 2 4 4" xfId="28777" xr:uid="{00000000-0005-0000-0000-0000986F0000}"/>
    <cellStyle name="Input 3 4 2 2 4 4 2" xfId="28778" xr:uid="{00000000-0005-0000-0000-0000996F0000}"/>
    <cellStyle name="Input 3 4 2 2 4 5" xfId="28779" xr:uid="{00000000-0005-0000-0000-00009A6F0000}"/>
    <cellStyle name="Input 3 4 2 2 4 6" xfId="28780" xr:uid="{00000000-0005-0000-0000-00009B6F0000}"/>
    <cellStyle name="Input 3 4 2 2 4 7" xfId="28781" xr:uid="{00000000-0005-0000-0000-00009C6F0000}"/>
    <cellStyle name="Input 3 4 2 2 5" xfId="28782" xr:uid="{00000000-0005-0000-0000-00009D6F0000}"/>
    <cellStyle name="Input 3 4 2 2 5 2" xfId="28783" xr:uid="{00000000-0005-0000-0000-00009E6F0000}"/>
    <cellStyle name="Input 3 4 2 2 5 2 2" xfId="28784" xr:uid="{00000000-0005-0000-0000-00009F6F0000}"/>
    <cellStyle name="Input 3 4 2 2 5 3" xfId="28785" xr:uid="{00000000-0005-0000-0000-0000A06F0000}"/>
    <cellStyle name="Input 3 4 2 2 5 3 2" xfId="28786" xr:uid="{00000000-0005-0000-0000-0000A16F0000}"/>
    <cellStyle name="Input 3 4 2 2 5 4" xfId="28787" xr:uid="{00000000-0005-0000-0000-0000A26F0000}"/>
    <cellStyle name="Input 3 4 2 2 5 5" xfId="28788" xr:uid="{00000000-0005-0000-0000-0000A36F0000}"/>
    <cellStyle name="Input 3 4 2 2 5 6" xfId="28789" xr:uid="{00000000-0005-0000-0000-0000A46F0000}"/>
    <cellStyle name="Input 3 4 2 2 6" xfId="28790" xr:uid="{00000000-0005-0000-0000-0000A56F0000}"/>
    <cellStyle name="Input 3 4 2 2 6 2" xfId="28791" xr:uid="{00000000-0005-0000-0000-0000A66F0000}"/>
    <cellStyle name="Input 3 4 2 2 7" xfId="28792" xr:uid="{00000000-0005-0000-0000-0000A76F0000}"/>
    <cellStyle name="Input 3 4 2 2 7 2" xfId="28793" xr:uid="{00000000-0005-0000-0000-0000A86F0000}"/>
    <cellStyle name="Input 3 4 2 2 8" xfId="28794" xr:uid="{00000000-0005-0000-0000-0000A96F0000}"/>
    <cellStyle name="Input 3 4 2 2 9" xfId="28795" xr:uid="{00000000-0005-0000-0000-0000AA6F0000}"/>
    <cellStyle name="Input 3 4 2 3" xfId="28796" xr:uid="{00000000-0005-0000-0000-0000AB6F0000}"/>
    <cellStyle name="Input 3 4 2 3 2" xfId="28797" xr:uid="{00000000-0005-0000-0000-0000AC6F0000}"/>
    <cellStyle name="Input 3 4 2 3 2 2" xfId="28798" xr:uid="{00000000-0005-0000-0000-0000AD6F0000}"/>
    <cellStyle name="Input 3 4 2 3 2 2 2" xfId="28799" xr:uid="{00000000-0005-0000-0000-0000AE6F0000}"/>
    <cellStyle name="Input 3 4 2 3 2 2 2 2" xfId="28800" xr:uid="{00000000-0005-0000-0000-0000AF6F0000}"/>
    <cellStyle name="Input 3 4 2 3 2 2 3" xfId="28801" xr:uid="{00000000-0005-0000-0000-0000B06F0000}"/>
    <cellStyle name="Input 3 4 2 3 2 2 3 2" xfId="28802" xr:uid="{00000000-0005-0000-0000-0000B16F0000}"/>
    <cellStyle name="Input 3 4 2 3 2 2 4" xfId="28803" xr:uid="{00000000-0005-0000-0000-0000B26F0000}"/>
    <cellStyle name="Input 3 4 2 3 2 2 5" xfId="28804" xr:uid="{00000000-0005-0000-0000-0000B36F0000}"/>
    <cellStyle name="Input 3 4 2 3 2 2 6" xfId="28805" xr:uid="{00000000-0005-0000-0000-0000B46F0000}"/>
    <cellStyle name="Input 3 4 2 3 2 3" xfId="28806" xr:uid="{00000000-0005-0000-0000-0000B56F0000}"/>
    <cellStyle name="Input 3 4 2 3 2 3 2" xfId="28807" xr:uid="{00000000-0005-0000-0000-0000B66F0000}"/>
    <cellStyle name="Input 3 4 2 3 2 4" xfId="28808" xr:uid="{00000000-0005-0000-0000-0000B76F0000}"/>
    <cellStyle name="Input 3 4 2 3 2 4 2" xfId="28809" xr:uid="{00000000-0005-0000-0000-0000B86F0000}"/>
    <cellStyle name="Input 3 4 2 3 2 5" xfId="28810" xr:uid="{00000000-0005-0000-0000-0000B96F0000}"/>
    <cellStyle name="Input 3 4 2 3 2 6" xfId="28811" xr:uid="{00000000-0005-0000-0000-0000BA6F0000}"/>
    <cellStyle name="Input 3 4 2 3 2 7" xfId="28812" xr:uid="{00000000-0005-0000-0000-0000BB6F0000}"/>
    <cellStyle name="Input 3 4 2 3 3" xfId="28813" xr:uid="{00000000-0005-0000-0000-0000BC6F0000}"/>
    <cellStyle name="Input 3 4 2 3 3 2" xfId="28814" xr:uid="{00000000-0005-0000-0000-0000BD6F0000}"/>
    <cellStyle name="Input 3 4 2 3 3 2 2" xfId="28815" xr:uid="{00000000-0005-0000-0000-0000BE6F0000}"/>
    <cellStyle name="Input 3 4 2 3 3 3" xfId="28816" xr:uid="{00000000-0005-0000-0000-0000BF6F0000}"/>
    <cellStyle name="Input 3 4 2 3 3 3 2" xfId="28817" xr:uid="{00000000-0005-0000-0000-0000C06F0000}"/>
    <cellStyle name="Input 3 4 2 3 3 4" xfId="28818" xr:uid="{00000000-0005-0000-0000-0000C16F0000}"/>
    <cellStyle name="Input 3 4 2 3 3 5" xfId="28819" xr:uid="{00000000-0005-0000-0000-0000C26F0000}"/>
    <cellStyle name="Input 3 4 2 3 3 6" xfId="28820" xr:uid="{00000000-0005-0000-0000-0000C36F0000}"/>
    <cellStyle name="Input 3 4 2 3 4" xfId="28821" xr:uid="{00000000-0005-0000-0000-0000C46F0000}"/>
    <cellStyle name="Input 3 4 2 3 4 2" xfId="28822" xr:uid="{00000000-0005-0000-0000-0000C56F0000}"/>
    <cellStyle name="Input 3 4 2 3 5" xfId="28823" xr:uid="{00000000-0005-0000-0000-0000C66F0000}"/>
    <cellStyle name="Input 3 4 2 3 5 2" xfId="28824" xr:uid="{00000000-0005-0000-0000-0000C76F0000}"/>
    <cellStyle name="Input 3 4 2 3 6" xfId="28825" xr:uid="{00000000-0005-0000-0000-0000C86F0000}"/>
    <cellStyle name="Input 3 4 2 3 7" xfId="28826" xr:uid="{00000000-0005-0000-0000-0000C96F0000}"/>
    <cellStyle name="Input 3 4 2 3 8" xfId="28827" xr:uid="{00000000-0005-0000-0000-0000CA6F0000}"/>
    <cellStyle name="Input 3 4 2 4" xfId="28828" xr:uid="{00000000-0005-0000-0000-0000CB6F0000}"/>
    <cellStyle name="Input 3 4 2 4 2" xfId="28829" xr:uid="{00000000-0005-0000-0000-0000CC6F0000}"/>
    <cellStyle name="Input 3 4 2 4 2 2" xfId="28830" xr:uid="{00000000-0005-0000-0000-0000CD6F0000}"/>
    <cellStyle name="Input 3 4 2 4 2 2 2" xfId="28831" xr:uid="{00000000-0005-0000-0000-0000CE6F0000}"/>
    <cellStyle name="Input 3 4 2 4 2 3" xfId="28832" xr:uid="{00000000-0005-0000-0000-0000CF6F0000}"/>
    <cellStyle name="Input 3 4 2 4 2 3 2" xfId="28833" xr:uid="{00000000-0005-0000-0000-0000D06F0000}"/>
    <cellStyle name="Input 3 4 2 4 2 4" xfId="28834" xr:uid="{00000000-0005-0000-0000-0000D16F0000}"/>
    <cellStyle name="Input 3 4 2 4 2 5" xfId="28835" xr:uid="{00000000-0005-0000-0000-0000D26F0000}"/>
    <cellStyle name="Input 3 4 2 4 2 6" xfId="28836" xr:uid="{00000000-0005-0000-0000-0000D36F0000}"/>
    <cellStyle name="Input 3 4 2 4 3" xfId="28837" xr:uid="{00000000-0005-0000-0000-0000D46F0000}"/>
    <cellStyle name="Input 3 4 2 4 3 2" xfId="28838" xr:uid="{00000000-0005-0000-0000-0000D56F0000}"/>
    <cellStyle name="Input 3 4 2 4 4" xfId="28839" xr:uid="{00000000-0005-0000-0000-0000D66F0000}"/>
    <cellStyle name="Input 3 4 2 4 4 2" xfId="28840" xr:uid="{00000000-0005-0000-0000-0000D76F0000}"/>
    <cellStyle name="Input 3 4 2 4 5" xfId="28841" xr:uid="{00000000-0005-0000-0000-0000D86F0000}"/>
    <cellStyle name="Input 3 4 2 4 6" xfId="28842" xr:uid="{00000000-0005-0000-0000-0000D96F0000}"/>
    <cellStyle name="Input 3 4 2 4 7" xfId="28843" xr:uid="{00000000-0005-0000-0000-0000DA6F0000}"/>
    <cellStyle name="Input 3 4 2 5" xfId="28844" xr:uid="{00000000-0005-0000-0000-0000DB6F0000}"/>
    <cellStyle name="Input 3 4 2 5 2" xfId="28845" xr:uid="{00000000-0005-0000-0000-0000DC6F0000}"/>
    <cellStyle name="Input 3 4 2 5 2 2" xfId="28846" xr:uid="{00000000-0005-0000-0000-0000DD6F0000}"/>
    <cellStyle name="Input 3 4 2 5 3" xfId="28847" xr:uid="{00000000-0005-0000-0000-0000DE6F0000}"/>
    <cellStyle name="Input 3 4 2 5 3 2" xfId="28848" xr:uid="{00000000-0005-0000-0000-0000DF6F0000}"/>
    <cellStyle name="Input 3 4 2 5 4" xfId="28849" xr:uid="{00000000-0005-0000-0000-0000E06F0000}"/>
    <cellStyle name="Input 3 4 2 5 5" xfId="28850" xr:uid="{00000000-0005-0000-0000-0000E16F0000}"/>
    <cellStyle name="Input 3 4 2 5 6" xfId="28851" xr:uid="{00000000-0005-0000-0000-0000E26F0000}"/>
    <cellStyle name="Input 3 4 2 6" xfId="28852" xr:uid="{00000000-0005-0000-0000-0000E36F0000}"/>
    <cellStyle name="Input 3 4 2 6 2" xfId="28853" xr:uid="{00000000-0005-0000-0000-0000E46F0000}"/>
    <cellStyle name="Input 3 4 2 7" xfId="28854" xr:uid="{00000000-0005-0000-0000-0000E56F0000}"/>
    <cellStyle name="Input 3 4 2 7 2" xfId="28855" xr:uid="{00000000-0005-0000-0000-0000E66F0000}"/>
    <cellStyle name="Input 3 4 2 8" xfId="28856" xr:uid="{00000000-0005-0000-0000-0000E76F0000}"/>
    <cellStyle name="Input 3 4 2 9" xfId="28857" xr:uid="{00000000-0005-0000-0000-0000E86F0000}"/>
    <cellStyle name="Input 3 4 3" xfId="28858" xr:uid="{00000000-0005-0000-0000-0000E96F0000}"/>
    <cellStyle name="Input 3 4 3 10" xfId="28859" xr:uid="{00000000-0005-0000-0000-0000EA6F0000}"/>
    <cellStyle name="Input 3 4 3 2" xfId="28860" xr:uid="{00000000-0005-0000-0000-0000EB6F0000}"/>
    <cellStyle name="Input 3 4 3 2 2" xfId="28861" xr:uid="{00000000-0005-0000-0000-0000EC6F0000}"/>
    <cellStyle name="Input 3 4 3 2 2 2" xfId="28862" xr:uid="{00000000-0005-0000-0000-0000ED6F0000}"/>
    <cellStyle name="Input 3 4 3 2 2 2 2" xfId="28863" xr:uid="{00000000-0005-0000-0000-0000EE6F0000}"/>
    <cellStyle name="Input 3 4 3 2 2 2 2 2" xfId="28864" xr:uid="{00000000-0005-0000-0000-0000EF6F0000}"/>
    <cellStyle name="Input 3 4 3 2 2 2 3" xfId="28865" xr:uid="{00000000-0005-0000-0000-0000F06F0000}"/>
    <cellStyle name="Input 3 4 3 2 2 2 3 2" xfId="28866" xr:uid="{00000000-0005-0000-0000-0000F16F0000}"/>
    <cellStyle name="Input 3 4 3 2 2 2 4" xfId="28867" xr:uid="{00000000-0005-0000-0000-0000F26F0000}"/>
    <cellStyle name="Input 3 4 3 2 2 2 5" xfId="28868" xr:uid="{00000000-0005-0000-0000-0000F36F0000}"/>
    <cellStyle name="Input 3 4 3 2 2 2 6" xfId="28869" xr:uid="{00000000-0005-0000-0000-0000F46F0000}"/>
    <cellStyle name="Input 3 4 3 2 2 3" xfId="28870" xr:uid="{00000000-0005-0000-0000-0000F56F0000}"/>
    <cellStyle name="Input 3 4 3 2 2 3 2" xfId="28871" xr:uid="{00000000-0005-0000-0000-0000F66F0000}"/>
    <cellStyle name="Input 3 4 3 2 2 4" xfId="28872" xr:uid="{00000000-0005-0000-0000-0000F76F0000}"/>
    <cellStyle name="Input 3 4 3 2 2 4 2" xfId="28873" xr:uid="{00000000-0005-0000-0000-0000F86F0000}"/>
    <cellStyle name="Input 3 4 3 2 2 5" xfId="28874" xr:uid="{00000000-0005-0000-0000-0000F96F0000}"/>
    <cellStyle name="Input 3 4 3 2 2 6" xfId="28875" xr:uid="{00000000-0005-0000-0000-0000FA6F0000}"/>
    <cellStyle name="Input 3 4 3 2 2 7" xfId="28876" xr:uid="{00000000-0005-0000-0000-0000FB6F0000}"/>
    <cellStyle name="Input 3 4 3 2 3" xfId="28877" xr:uid="{00000000-0005-0000-0000-0000FC6F0000}"/>
    <cellStyle name="Input 3 4 3 2 3 2" xfId="28878" xr:uid="{00000000-0005-0000-0000-0000FD6F0000}"/>
    <cellStyle name="Input 3 4 3 2 3 2 2" xfId="28879" xr:uid="{00000000-0005-0000-0000-0000FE6F0000}"/>
    <cellStyle name="Input 3 4 3 2 3 3" xfId="28880" xr:uid="{00000000-0005-0000-0000-0000FF6F0000}"/>
    <cellStyle name="Input 3 4 3 2 3 3 2" xfId="28881" xr:uid="{00000000-0005-0000-0000-000000700000}"/>
    <cellStyle name="Input 3 4 3 2 3 4" xfId="28882" xr:uid="{00000000-0005-0000-0000-000001700000}"/>
    <cellStyle name="Input 3 4 3 2 3 5" xfId="28883" xr:uid="{00000000-0005-0000-0000-000002700000}"/>
    <cellStyle name="Input 3 4 3 2 3 6" xfId="28884" xr:uid="{00000000-0005-0000-0000-000003700000}"/>
    <cellStyle name="Input 3 4 3 2 4" xfId="28885" xr:uid="{00000000-0005-0000-0000-000004700000}"/>
    <cellStyle name="Input 3 4 3 2 4 2" xfId="28886" xr:uid="{00000000-0005-0000-0000-000005700000}"/>
    <cellStyle name="Input 3 4 3 2 5" xfId="28887" xr:uid="{00000000-0005-0000-0000-000006700000}"/>
    <cellStyle name="Input 3 4 3 2 5 2" xfId="28888" xr:uid="{00000000-0005-0000-0000-000007700000}"/>
    <cellStyle name="Input 3 4 3 2 6" xfId="28889" xr:uid="{00000000-0005-0000-0000-000008700000}"/>
    <cellStyle name="Input 3 4 3 2 7" xfId="28890" xr:uid="{00000000-0005-0000-0000-000009700000}"/>
    <cellStyle name="Input 3 4 3 2 8" xfId="28891" xr:uid="{00000000-0005-0000-0000-00000A700000}"/>
    <cellStyle name="Input 3 4 3 3" xfId="28892" xr:uid="{00000000-0005-0000-0000-00000B700000}"/>
    <cellStyle name="Input 3 4 3 3 2" xfId="28893" xr:uid="{00000000-0005-0000-0000-00000C700000}"/>
    <cellStyle name="Input 3 4 3 3 2 2" xfId="28894" xr:uid="{00000000-0005-0000-0000-00000D700000}"/>
    <cellStyle name="Input 3 4 3 3 2 2 2" xfId="28895" xr:uid="{00000000-0005-0000-0000-00000E700000}"/>
    <cellStyle name="Input 3 4 3 3 2 2 2 2" xfId="28896" xr:uid="{00000000-0005-0000-0000-00000F700000}"/>
    <cellStyle name="Input 3 4 3 3 2 2 3" xfId="28897" xr:uid="{00000000-0005-0000-0000-000010700000}"/>
    <cellStyle name="Input 3 4 3 3 2 2 3 2" xfId="28898" xr:uid="{00000000-0005-0000-0000-000011700000}"/>
    <cellStyle name="Input 3 4 3 3 2 2 4" xfId="28899" xr:uid="{00000000-0005-0000-0000-000012700000}"/>
    <cellStyle name="Input 3 4 3 3 2 2 5" xfId="28900" xr:uid="{00000000-0005-0000-0000-000013700000}"/>
    <cellStyle name="Input 3 4 3 3 2 2 6" xfId="28901" xr:uid="{00000000-0005-0000-0000-000014700000}"/>
    <cellStyle name="Input 3 4 3 3 2 3" xfId="28902" xr:uid="{00000000-0005-0000-0000-000015700000}"/>
    <cellStyle name="Input 3 4 3 3 2 3 2" xfId="28903" xr:uid="{00000000-0005-0000-0000-000016700000}"/>
    <cellStyle name="Input 3 4 3 3 2 4" xfId="28904" xr:uid="{00000000-0005-0000-0000-000017700000}"/>
    <cellStyle name="Input 3 4 3 3 2 4 2" xfId="28905" xr:uid="{00000000-0005-0000-0000-000018700000}"/>
    <cellStyle name="Input 3 4 3 3 2 5" xfId="28906" xr:uid="{00000000-0005-0000-0000-000019700000}"/>
    <cellStyle name="Input 3 4 3 3 2 6" xfId="28907" xr:uid="{00000000-0005-0000-0000-00001A700000}"/>
    <cellStyle name="Input 3 4 3 3 2 7" xfId="28908" xr:uid="{00000000-0005-0000-0000-00001B700000}"/>
    <cellStyle name="Input 3 4 3 3 3" xfId="28909" xr:uid="{00000000-0005-0000-0000-00001C700000}"/>
    <cellStyle name="Input 3 4 3 3 3 2" xfId="28910" xr:uid="{00000000-0005-0000-0000-00001D700000}"/>
    <cellStyle name="Input 3 4 3 3 3 2 2" xfId="28911" xr:uid="{00000000-0005-0000-0000-00001E700000}"/>
    <cellStyle name="Input 3 4 3 3 3 3" xfId="28912" xr:uid="{00000000-0005-0000-0000-00001F700000}"/>
    <cellStyle name="Input 3 4 3 3 3 3 2" xfId="28913" xr:uid="{00000000-0005-0000-0000-000020700000}"/>
    <cellStyle name="Input 3 4 3 3 3 4" xfId="28914" xr:uid="{00000000-0005-0000-0000-000021700000}"/>
    <cellStyle name="Input 3 4 3 3 3 5" xfId="28915" xr:uid="{00000000-0005-0000-0000-000022700000}"/>
    <cellStyle name="Input 3 4 3 3 3 6" xfId="28916" xr:uid="{00000000-0005-0000-0000-000023700000}"/>
    <cellStyle name="Input 3 4 3 3 4" xfId="28917" xr:uid="{00000000-0005-0000-0000-000024700000}"/>
    <cellStyle name="Input 3 4 3 3 4 2" xfId="28918" xr:uid="{00000000-0005-0000-0000-000025700000}"/>
    <cellStyle name="Input 3 4 3 3 5" xfId="28919" xr:uid="{00000000-0005-0000-0000-000026700000}"/>
    <cellStyle name="Input 3 4 3 3 5 2" xfId="28920" xr:uid="{00000000-0005-0000-0000-000027700000}"/>
    <cellStyle name="Input 3 4 3 3 6" xfId="28921" xr:uid="{00000000-0005-0000-0000-000028700000}"/>
    <cellStyle name="Input 3 4 3 3 7" xfId="28922" xr:uid="{00000000-0005-0000-0000-000029700000}"/>
    <cellStyle name="Input 3 4 3 3 8" xfId="28923" xr:uid="{00000000-0005-0000-0000-00002A700000}"/>
    <cellStyle name="Input 3 4 3 4" xfId="28924" xr:uid="{00000000-0005-0000-0000-00002B700000}"/>
    <cellStyle name="Input 3 4 3 4 2" xfId="28925" xr:uid="{00000000-0005-0000-0000-00002C700000}"/>
    <cellStyle name="Input 3 4 3 4 2 2" xfId="28926" xr:uid="{00000000-0005-0000-0000-00002D700000}"/>
    <cellStyle name="Input 3 4 3 4 2 2 2" xfId="28927" xr:uid="{00000000-0005-0000-0000-00002E700000}"/>
    <cellStyle name="Input 3 4 3 4 2 3" xfId="28928" xr:uid="{00000000-0005-0000-0000-00002F700000}"/>
    <cellStyle name="Input 3 4 3 4 2 3 2" xfId="28929" xr:uid="{00000000-0005-0000-0000-000030700000}"/>
    <cellStyle name="Input 3 4 3 4 2 4" xfId="28930" xr:uid="{00000000-0005-0000-0000-000031700000}"/>
    <cellStyle name="Input 3 4 3 4 2 5" xfId="28931" xr:uid="{00000000-0005-0000-0000-000032700000}"/>
    <cellStyle name="Input 3 4 3 4 2 6" xfId="28932" xr:uid="{00000000-0005-0000-0000-000033700000}"/>
    <cellStyle name="Input 3 4 3 4 3" xfId="28933" xr:uid="{00000000-0005-0000-0000-000034700000}"/>
    <cellStyle name="Input 3 4 3 4 3 2" xfId="28934" xr:uid="{00000000-0005-0000-0000-000035700000}"/>
    <cellStyle name="Input 3 4 3 4 4" xfId="28935" xr:uid="{00000000-0005-0000-0000-000036700000}"/>
    <cellStyle name="Input 3 4 3 4 4 2" xfId="28936" xr:uid="{00000000-0005-0000-0000-000037700000}"/>
    <cellStyle name="Input 3 4 3 4 5" xfId="28937" xr:uid="{00000000-0005-0000-0000-000038700000}"/>
    <cellStyle name="Input 3 4 3 4 6" xfId="28938" xr:uid="{00000000-0005-0000-0000-000039700000}"/>
    <cellStyle name="Input 3 4 3 4 7" xfId="28939" xr:uid="{00000000-0005-0000-0000-00003A700000}"/>
    <cellStyle name="Input 3 4 3 5" xfId="28940" xr:uid="{00000000-0005-0000-0000-00003B700000}"/>
    <cellStyle name="Input 3 4 3 5 2" xfId="28941" xr:uid="{00000000-0005-0000-0000-00003C700000}"/>
    <cellStyle name="Input 3 4 3 5 2 2" xfId="28942" xr:uid="{00000000-0005-0000-0000-00003D700000}"/>
    <cellStyle name="Input 3 4 3 5 3" xfId="28943" xr:uid="{00000000-0005-0000-0000-00003E700000}"/>
    <cellStyle name="Input 3 4 3 5 3 2" xfId="28944" xr:uid="{00000000-0005-0000-0000-00003F700000}"/>
    <cellStyle name="Input 3 4 3 5 4" xfId="28945" xr:uid="{00000000-0005-0000-0000-000040700000}"/>
    <cellStyle name="Input 3 4 3 5 5" xfId="28946" xr:uid="{00000000-0005-0000-0000-000041700000}"/>
    <cellStyle name="Input 3 4 3 5 6" xfId="28947" xr:uid="{00000000-0005-0000-0000-000042700000}"/>
    <cellStyle name="Input 3 4 3 6" xfId="28948" xr:uid="{00000000-0005-0000-0000-000043700000}"/>
    <cellStyle name="Input 3 4 3 6 2" xfId="28949" xr:uid="{00000000-0005-0000-0000-000044700000}"/>
    <cellStyle name="Input 3 4 3 7" xfId="28950" xr:uid="{00000000-0005-0000-0000-000045700000}"/>
    <cellStyle name="Input 3 4 3 7 2" xfId="28951" xr:uid="{00000000-0005-0000-0000-000046700000}"/>
    <cellStyle name="Input 3 4 3 8" xfId="28952" xr:uid="{00000000-0005-0000-0000-000047700000}"/>
    <cellStyle name="Input 3 4 3 9" xfId="28953" xr:uid="{00000000-0005-0000-0000-000048700000}"/>
    <cellStyle name="Input 3 4 4" xfId="28954" xr:uid="{00000000-0005-0000-0000-000049700000}"/>
    <cellStyle name="Input 3 4 4 2" xfId="28955" xr:uid="{00000000-0005-0000-0000-00004A700000}"/>
    <cellStyle name="Input 3 4 4 2 2" xfId="28956" xr:uid="{00000000-0005-0000-0000-00004B700000}"/>
    <cellStyle name="Input 3 4 4 2 2 2" xfId="28957" xr:uid="{00000000-0005-0000-0000-00004C700000}"/>
    <cellStyle name="Input 3 4 4 2 2 2 2" xfId="28958" xr:uid="{00000000-0005-0000-0000-00004D700000}"/>
    <cellStyle name="Input 3 4 4 2 2 3" xfId="28959" xr:uid="{00000000-0005-0000-0000-00004E700000}"/>
    <cellStyle name="Input 3 4 4 2 2 3 2" xfId="28960" xr:uid="{00000000-0005-0000-0000-00004F700000}"/>
    <cellStyle name="Input 3 4 4 2 2 4" xfId="28961" xr:uid="{00000000-0005-0000-0000-000050700000}"/>
    <cellStyle name="Input 3 4 4 2 2 5" xfId="28962" xr:uid="{00000000-0005-0000-0000-000051700000}"/>
    <cellStyle name="Input 3 4 4 2 2 6" xfId="28963" xr:uid="{00000000-0005-0000-0000-000052700000}"/>
    <cellStyle name="Input 3 4 4 2 3" xfId="28964" xr:uid="{00000000-0005-0000-0000-000053700000}"/>
    <cellStyle name="Input 3 4 4 2 3 2" xfId="28965" xr:uid="{00000000-0005-0000-0000-000054700000}"/>
    <cellStyle name="Input 3 4 4 2 4" xfId="28966" xr:uid="{00000000-0005-0000-0000-000055700000}"/>
    <cellStyle name="Input 3 4 4 2 4 2" xfId="28967" xr:uid="{00000000-0005-0000-0000-000056700000}"/>
    <cellStyle name="Input 3 4 4 2 5" xfId="28968" xr:uid="{00000000-0005-0000-0000-000057700000}"/>
    <cellStyle name="Input 3 4 4 2 6" xfId="28969" xr:uid="{00000000-0005-0000-0000-000058700000}"/>
    <cellStyle name="Input 3 4 4 2 7" xfId="28970" xr:uid="{00000000-0005-0000-0000-000059700000}"/>
    <cellStyle name="Input 3 4 4 3" xfId="28971" xr:uid="{00000000-0005-0000-0000-00005A700000}"/>
    <cellStyle name="Input 3 4 4 3 2" xfId="28972" xr:uid="{00000000-0005-0000-0000-00005B700000}"/>
    <cellStyle name="Input 3 4 4 3 2 2" xfId="28973" xr:uid="{00000000-0005-0000-0000-00005C700000}"/>
    <cellStyle name="Input 3 4 4 3 3" xfId="28974" xr:uid="{00000000-0005-0000-0000-00005D700000}"/>
    <cellStyle name="Input 3 4 4 3 3 2" xfId="28975" xr:uid="{00000000-0005-0000-0000-00005E700000}"/>
    <cellStyle name="Input 3 4 4 3 4" xfId="28976" xr:uid="{00000000-0005-0000-0000-00005F700000}"/>
    <cellStyle name="Input 3 4 4 3 5" xfId="28977" xr:uid="{00000000-0005-0000-0000-000060700000}"/>
    <cellStyle name="Input 3 4 4 3 6" xfId="28978" xr:uid="{00000000-0005-0000-0000-000061700000}"/>
    <cellStyle name="Input 3 4 4 4" xfId="28979" xr:uid="{00000000-0005-0000-0000-000062700000}"/>
    <cellStyle name="Input 3 4 4 4 2" xfId="28980" xr:uid="{00000000-0005-0000-0000-000063700000}"/>
    <cellStyle name="Input 3 4 4 5" xfId="28981" xr:uid="{00000000-0005-0000-0000-000064700000}"/>
    <cellStyle name="Input 3 4 4 5 2" xfId="28982" xr:uid="{00000000-0005-0000-0000-000065700000}"/>
    <cellStyle name="Input 3 4 4 6" xfId="28983" xr:uid="{00000000-0005-0000-0000-000066700000}"/>
    <cellStyle name="Input 3 4 4 7" xfId="28984" xr:uid="{00000000-0005-0000-0000-000067700000}"/>
    <cellStyle name="Input 3 4 4 8" xfId="28985" xr:uid="{00000000-0005-0000-0000-000068700000}"/>
    <cellStyle name="Input 3 4 5" xfId="28986" xr:uid="{00000000-0005-0000-0000-000069700000}"/>
    <cellStyle name="Input 3 4 5 2" xfId="28987" xr:uid="{00000000-0005-0000-0000-00006A700000}"/>
    <cellStyle name="Input 3 4 5 2 2" xfId="28988" xr:uid="{00000000-0005-0000-0000-00006B700000}"/>
    <cellStyle name="Input 3 4 5 2 2 2" xfId="28989" xr:uid="{00000000-0005-0000-0000-00006C700000}"/>
    <cellStyle name="Input 3 4 5 2 3" xfId="28990" xr:uid="{00000000-0005-0000-0000-00006D700000}"/>
    <cellStyle name="Input 3 4 5 2 3 2" xfId="28991" xr:uid="{00000000-0005-0000-0000-00006E700000}"/>
    <cellStyle name="Input 3 4 5 2 4" xfId="28992" xr:uid="{00000000-0005-0000-0000-00006F700000}"/>
    <cellStyle name="Input 3 4 5 2 5" xfId="28993" xr:uid="{00000000-0005-0000-0000-000070700000}"/>
    <cellStyle name="Input 3 4 5 2 6" xfId="28994" xr:uid="{00000000-0005-0000-0000-000071700000}"/>
    <cellStyle name="Input 3 4 5 3" xfId="28995" xr:uid="{00000000-0005-0000-0000-000072700000}"/>
    <cellStyle name="Input 3 4 5 3 2" xfId="28996" xr:uid="{00000000-0005-0000-0000-000073700000}"/>
    <cellStyle name="Input 3 4 5 4" xfId="28997" xr:uid="{00000000-0005-0000-0000-000074700000}"/>
    <cellStyle name="Input 3 4 5 4 2" xfId="28998" xr:uid="{00000000-0005-0000-0000-000075700000}"/>
    <cellStyle name="Input 3 4 5 5" xfId="28999" xr:uid="{00000000-0005-0000-0000-000076700000}"/>
    <cellStyle name="Input 3 4 5 6" xfId="29000" xr:uid="{00000000-0005-0000-0000-000077700000}"/>
    <cellStyle name="Input 3 4 5 7" xfId="29001" xr:uid="{00000000-0005-0000-0000-000078700000}"/>
    <cellStyle name="Input 3 4 6" xfId="29002" xr:uid="{00000000-0005-0000-0000-000079700000}"/>
    <cellStyle name="Input 3 4 6 2" xfId="29003" xr:uid="{00000000-0005-0000-0000-00007A700000}"/>
    <cellStyle name="Input 3 4 6 2 2" xfId="29004" xr:uid="{00000000-0005-0000-0000-00007B700000}"/>
    <cellStyle name="Input 3 4 6 3" xfId="29005" xr:uid="{00000000-0005-0000-0000-00007C700000}"/>
    <cellStyle name="Input 3 4 6 3 2" xfId="29006" xr:uid="{00000000-0005-0000-0000-00007D700000}"/>
    <cellStyle name="Input 3 4 6 4" xfId="29007" xr:uid="{00000000-0005-0000-0000-00007E700000}"/>
    <cellStyle name="Input 3 4 6 5" xfId="29008" xr:uid="{00000000-0005-0000-0000-00007F700000}"/>
    <cellStyle name="Input 3 4 6 6" xfId="29009" xr:uid="{00000000-0005-0000-0000-000080700000}"/>
    <cellStyle name="Input 3 4 7" xfId="29010" xr:uid="{00000000-0005-0000-0000-000081700000}"/>
    <cellStyle name="Input 3 4 7 2" xfId="29011" xr:uid="{00000000-0005-0000-0000-000082700000}"/>
    <cellStyle name="Input 3 4 8" xfId="29012" xr:uid="{00000000-0005-0000-0000-000083700000}"/>
    <cellStyle name="Input 3 4 8 2" xfId="29013" xr:uid="{00000000-0005-0000-0000-000084700000}"/>
    <cellStyle name="Input 3 4 9" xfId="29014" xr:uid="{00000000-0005-0000-0000-000085700000}"/>
    <cellStyle name="Input 3 5" xfId="29015" xr:uid="{00000000-0005-0000-0000-000086700000}"/>
    <cellStyle name="Input 3 5 10" xfId="29016" xr:uid="{00000000-0005-0000-0000-000087700000}"/>
    <cellStyle name="Input 3 5 11" xfId="29017" xr:uid="{00000000-0005-0000-0000-000088700000}"/>
    <cellStyle name="Input 3 5 2" xfId="29018" xr:uid="{00000000-0005-0000-0000-000089700000}"/>
    <cellStyle name="Input 3 5 2 10" xfId="29019" xr:uid="{00000000-0005-0000-0000-00008A700000}"/>
    <cellStyle name="Input 3 5 2 2" xfId="29020" xr:uid="{00000000-0005-0000-0000-00008B700000}"/>
    <cellStyle name="Input 3 5 2 2 2" xfId="29021" xr:uid="{00000000-0005-0000-0000-00008C700000}"/>
    <cellStyle name="Input 3 5 2 2 2 2" xfId="29022" xr:uid="{00000000-0005-0000-0000-00008D700000}"/>
    <cellStyle name="Input 3 5 2 2 2 2 2" xfId="29023" xr:uid="{00000000-0005-0000-0000-00008E700000}"/>
    <cellStyle name="Input 3 5 2 2 2 2 2 2" xfId="29024" xr:uid="{00000000-0005-0000-0000-00008F700000}"/>
    <cellStyle name="Input 3 5 2 2 2 2 3" xfId="29025" xr:uid="{00000000-0005-0000-0000-000090700000}"/>
    <cellStyle name="Input 3 5 2 2 2 2 3 2" xfId="29026" xr:uid="{00000000-0005-0000-0000-000091700000}"/>
    <cellStyle name="Input 3 5 2 2 2 2 4" xfId="29027" xr:uid="{00000000-0005-0000-0000-000092700000}"/>
    <cellStyle name="Input 3 5 2 2 2 2 5" xfId="29028" xr:uid="{00000000-0005-0000-0000-000093700000}"/>
    <cellStyle name="Input 3 5 2 2 2 2 6" xfId="29029" xr:uid="{00000000-0005-0000-0000-000094700000}"/>
    <cellStyle name="Input 3 5 2 2 2 3" xfId="29030" xr:uid="{00000000-0005-0000-0000-000095700000}"/>
    <cellStyle name="Input 3 5 2 2 2 3 2" xfId="29031" xr:uid="{00000000-0005-0000-0000-000096700000}"/>
    <cellStyle name="Input 3 5 2 2 2 4" xfId="29032" xr:uid="{00000000-0005-0000-0000-000097700000}"/>
    <cellStyle name="Input 3 5 2 2 2 4 2" xfId="29033" xr:uid="{00000000-0005-0000-0000-000098700000}"/>
    <cellStyle name="Input 3 5 2 2 2 5" xfId="29034" xr:uid="{00000000-0005-0000-0000-000099700000}"/>
    <cellStyle name="Input 3 5 2 2 2 6" xfId="29035" xr:uid="{00000000-0005-0000-0000-00009A700000}"/>
    <cellStyle name="Input 3 5 2 2 2 7" xfId="29036" xr:uid="{00000000-0005-0000-0000-00009B700000}"/>
    <cellStyle name="Input 3 5 2 2 3" xfId="29037" xr:uid="{00000000-0005-0000-0000-00009C700000}"/>
    <cellStyle name="Input 3 5 2 2 3 2" xfId="29038" xr:uid="{00000000-0005-0000-0000-00009D700000}"/>
    <cellStyle name="Input 3 5 2 2 3 2 2" xfId="29039" xr:uid="{00000000-0005-0000-0000-00009E700000}"/>
    <cellStyle name="Input 3 5 2 2 3 3" xfId="29040" xr:uid="{00000000-0005-0000-0000-00009F700000}"/>
    <cellStyle name="Input 3 5 2 2 3 3 2" xfId="29041" xr:uid="{00000000-0005-0000-0000-0000A0700000}"/>
    <cellStyle name="Input 3 5 2 2 3 4" xfId="29042" xr:uid="{00000000-0005-0000-0000-0000A1700000}"/>
    <cellStyle name="Input 3 5 2 2 3 5" xfId="29043" xr:uid="{00000000-0005-0000-0000-0000A2700000}"/>
    <cellStyle name="Input 3 5 2 2 3 6" xfId="29044" xr:uid="{00000000-0005-0000-0000-0000A3700000}"/>
    <cellStyle name="Input 3 5 2 2 4" xfId="29045" xr:uid="{00000000-0005-0000-0000-0000A4700000}"/>
    <cellStyle name="Input 3 5 2 2 4 2" xfId="29046" xr:uid="{00000000-0005-0000-0000-0000A5700000}"/>
    <cellStyle name="Input 3 5 2 2 5" xfId="29047" xr:uid="{00000000-0005-0000-0000-0000A6700000}"/>
    <cellStyle name="Input 3 5 2 2 5 2" xfId="29048" xr:uid="{00000000-0005-0000-0000-0000A7700000}"/>
    <cellStyle name="Input 3 5 2 2 6" xfId="29049" xr:uid="{00000000-0005-0000-0000-0000A8700000}"/>
    <cellStyle name="Input 3 5 2 2 7" xfId="29050" xr:uid="{00000000-0005-0000-0000-0000A9700000}"/>
    <cellStyle name="Input 3 5 2 2 8" xfId="29051" xr:uid="{00000000-0005-0000-0000-0000AA700000}"/>
    <cellStyle name="Input 3 5 2 3" xfId="29052" xr:uid="{00000000-0005-0000-0000-0000AB700000}"/>
    <cellStyle name="Input 3 5 2 3 2" xfId="29053" xr:uid="{00000000-0005-0000-0000-0000AC700000}"/>
    <cellStyle name="Input 3 5 2 3 2 2" xfId="29054" xr:uid="{00000000-0005-0000-0000-0000AD700000}"/>
    <cellStyle name="Input 3 5 2 3 2 2 2" xfId="29055" xr:uid="{00000000-0005-0000-0000-0000AE700000}"/>
    <cellStyle name="Input 3 5 2 3 2 2 2 2" xfId="29056" xr:uid="{00000000-0005-0000-0000-0000AF700000}"/>
    <cellStyle name="Input 3 5 2 3 2 2 3" xfId="29057" xr:uid="{00000000-0005-0000-0000-0000B0700000}"/>
    <cellStyle name="Input 3 5 2 3 2 2 3 2" xfId="29058" xr:uid="{00000000-0005-0000-0000-0000B1700000}"/>
    <cellStyle name="Input 3 5 2 3 2 2 4" xfId="29059" xr:uid="{00000000-0005-0000-0000-0000B2700000}"/>
    <cellStyle name="Input 3 5 2 3 2 2 5" xfId="29060" xr:uid="{00000000-0005-0000-0000-0000B3700000}"/>
    <cellStyle name="Input 3 5 2 3 2 2 6" xfId="29061" xr:uid="{00000000-0005-0000-0000-0000B4700000}"/>
    <cellStyle name="Input 3 5 2 3 2 3" xfId="29062" xr:uid="{00000000-0005-0000-0000-0000B5700000}"/>
    <cellStyle name="Input 3 5 2 3 2 3 2" xfId="29063" xr:uid="{00000000-0005-0000-0000-0000B6700000}"/>
    <cellStyle name="Input 3 5 2 3 2 4" xfId="29064" xr:uid="{00000000-0005-0000-0000-0000B7700000}"/>
    <cellStyle name="Input 3 5 2 3 2 4 2" xfId="29065" xr:uid="{00000000-0005-0000-0000-0000B8700000}"/>
    <cellStyle name="Input 3 5 2 3 2 5" xfId="29066" xr:uid="{00000000-0005-0000-0000-0000B9700000}"/>
    <cellStyle name="Input 3 5 2 3 2 6" xfId="29067" xr:uid="{00000000-0005-0000-0000-0000BA700000}"/>
    <cellStyle name="Input 3 5 2 3 2 7" xfId="29068" xr:uid="{00000000-0005-0000-0000-0000BB700000}"/>
    <cellStyle name="Input 3 5 2 3 3" xfId="29069" xr:uid="{00000000-0005-0000-0000-0000BC700000}"/>
    <cellStyle name="Input 3 5 2 3 3 2" xfId="29070" xr:uid="{00000000-0005-0000-0000-0000BD700000}"/>
    <cellStyle name="Input 3 5 2 3 3 2 2" xfId="29071" xr:uid="{00000000-0005-0000-0000-0000BE700000}"/>
    <cellStyle name="Input 3 5 2 3 3 3" xfId="29072" xr:uid="{00000000-0005-0000-0000-0000BF700000}"/>
    <cellStyle name="Input 3 5 2 3 3 3 2" xfId="29073" xr:uid="{00000000-0005-0000-0000-0000C0700000}"/>
    <cellStyle name="Input 3 5 2 3 3 4" xfId="29074" xr:uid="{00000000-0005-0000-0000-0000C1700000}"/>
    <cellStyle name="Input 3 5 2 3 3 5" xfId="29075" xr:uid="{00000000-0005-0000-0000-0000C2700000}"/>
    <cellStyle name="Input 3 5 2 3 3 6" xfId="29076" xr:uid="{00000000-0005-0000-0000-0000C3700000}"/>
    <cellStyle name="Input 3 5 2 3 4" xfId="29077" xr:uid="{00000000-0005-0000-0000-0000C4700000}"/>
    <cellStyle name="Input 3 5 2 3 4 2" xfId="29078" xr:uid="{00000000-0005-0000-0000-0000C5700000}"/>
    <cellStyle name="Input 3 5 2 3 5" xfId="29079" xr:uid="{00000000-0005-0000-0000-0000C6700000}"/>
    <cellStyle name="Input 3 5 2 3 5 2" xfId="29080" xr:uid="{00000000-0005-0000-0000-0000C7700000}"/>
    <cellStyle name="Input 3 5 2 3 6" xfId="29081" xr:uid="{00000000-0005-0000-0000-0000C8700000}"/>
    <cellStyle name="Input 3 5 2 3 7" xfId="29082" xr:uid="{00000000-0005-0000-0000-0000C9700000}"/>
    <cellStyle name="Input 3 5 2 3 8" xfId="29083" xr:uid="{00000000-0005-0000-0000-0000CA700000}"/>
    <cellStyle name="Input 3 5 2 4" xfId="29084" xr:uid="{00000000-0005-0000-0000-0000CB700000}"/>
    <cellStyle name="Input 3 5 2 4 2" xfId="29085" xr:uid="{00000000-0005-0000-0000-0000CC700000}"/>
    <cellStyle name="Input 3 5 2 4 2 2" xfId="29086" xr:uid="{00000000-0005-0000-0000-0000CD700000}"/>
    <cellStyle name="Input 3 5 2 4 2 2 2" xfId="29087" xr:uid="{00000000-0005-0000-0000-0000CE700000}"/>
    <cellStyle name="Input 3 5 2 4 2 3" xfId="29088" xr:uid="{00000000-0005-0000-0000-0000CF700000}"/>
    <cellStyle name="Input 3 5 2 4 2 3 2" xfId="29089" xr:uid="{00000000-0005-0000-0000-0000D0700000}"/>
    <cellStyle name="Input 3 5 2 4 2 4" xfId="29090" xr:uid="{00000000-0005-0000-0000-0000D1700000}"/>
    <cellStyle name="Input 3 5 2 4 2 5" xfId="29091" xr:uid="{00000000-0005-0000-0000-0000D2700000}"/>
    <cellStyle name="Input 3 5 2 4 2 6" xfId="29092" xr:uid="{00000000-0005-0000-0000-0000D3700000}"/>
    <cellStyle name="Input 3 5 2 4 3" xfId="29093" xr:uid="{00000000-0005-0000-0000-0000D4700000}"/>
    <cellStyle name="Input 3 5 2 4 3 2" xfId="29094" xr:uid="{00000000-0005-0000-0000-0000D5700000}"/>
    <cellStyle name="Input 3 5 2 4 4" xfId="29095" xr:uid="{00000000-0005-0000-0000-0000D6700000}"/>
    <cellStyle name="Input 3 5 2 4 4 2" xfId="29096" xr:uid="{00000000-0005-0000-0000-0000D7700000}"/>
    <cellStyle name="Input 3 5 2 4 5" xfId="29097" xr:uid="{00000000-0005-0000-0000-0000D8700000}"/>
    <cellStyle name="Input 3 5 2 4 6" xfId="29098" xr:uid="{00000000-0005-0000-0000-0000D9700000}"/>
    <cellStyle name="Input 3 5 2 4 7" xfId="29099" xr:uid="{00000000-0005-0000-0000-0000DA700000}"/>
    <cellStyle name="Input 3 5 2 5" xfId="29100" xr:uid="{00000000-0005-0000-0000-0000DB700000}"/>
    <cellStyle name="Input 3 5 2 5 2" xfId="29101" xr:uid="{00000000-0005-0000-0000-0000DC700000}"/>
    <cellStyle name="Input 3 5 2 5 2 2" xfId="29102" xr:uid="{00000000-0005-0000-0000-0000DD700000}"/>
    <cellStyle name="Input 3 5 2 5 3" xfId="29103" xr:uid="{00000000-0005-0000-0000-0000DE700000}"/>
    <cellStyle name="Input 3 5 2 5 3 2" xfId="29104" xr:uid="{00000000-0005-0000-0000-0000DF700000}"/>
    <cellStyle name="Input 3 5 2 5 4" xfId="29105" xr:uid="{00000000-0005-0000-0000-0000E0700000}"/>
    <cellStyle name="Input 3 5 2 5 5" xfId="29106" xr:uid="{00000000-0005-0000-0000-0000E1700000}"/>
    <cellStyle name="Input 3 5 2 5 6" xfId="29107" xr:uid="{00000000-0005-0000-0000-0000E2700000}"/>
    <cellStyle name="Input 3 5 2 6" xfId="29108" xr:uid="{00000000-0005-0000-0000-0000E3700000}"/>
    <cellStyle name="Input 3 5 2 6 2" xfId="29109" xr:uid="{00000000-0005-0000-0000-0000E4700000}"/>
    <cellStyle name="Input 3 5 2 7" xfId="29110" xr:uid="{00000000-0005-0000-0000-0000E5700000}"/>
    <cellStyle name="Input 3 5 2 7 2" xfId="29111" xr:uid="{00000000-0005-0000-0000-0000E6700000}"/>
    <cellStyle name="Input 3 5 2 8" xfId="29112" xr:uid="{00000000-0005-0000-0000-0000E7700000}"/>
    <cellStyle name="Input 3 5 2 9" xfId="29113" xr:uid="{00000000-0005-0000-0000-0000E8700000}"/>
    <cellStyle name="Input 3 5 3" xfId="29114" xr:uid="{00000000-0005-0000-0000-0000E9700000}"/>
    <cellStyle name="Input 3 5 3 2" xfId="29115" xr:uid="{00000000-0005-0000-0000-0000EA700000}"/>
    <cellStyle name="Input 3 5 3 2 2" xfId="29116" xr:uid="{00000000-0005-0000-0000-0000EB700000}"/>
    <cellStyle name="Input 3 5 3 2 2 2" xfId="29117" xr:uid="{00000000-0005-0000-0000-0000EC700000}"/>
    <cellStyle name="Input 3 5 3 2 2 2 2" xfId="29118" xr:uid="{00000000-0005-0000-0000-0000ED700000}"/>
    <cellStyle name="Input 3 5 3 2 2 3" xfId="29119" xr:uid="{00000000-0005-0000-0000-0000EE700000}"/>
    <cellStyle name="Input 3 5 3 2 2 3 2" xfId="29120" xr:uid="{00000000-0005-0000-0000-0000EF700000}"/>
    <cellStyle name="Input 3 5 3 2 2 4" xfId="29121" xr:uid="{00000000-0005-0000-0000-0000F0700000}"/>
    <cellStyle name="Input 3 5 3 2 2 5" xfId="29122" xr:uid="{00000000-0005-0000-0000-0000F1700000}"/>
    <cellStyle name="Input 3 5 3 2 2 6" xfId="29123" xr:uid="{00000000-0005-0000-0000-0000F2700000}"/>
    <cellStyle name="Input 3 5 3 2 3" xfId="29124" xr:uid="{00000000-0005-0000-0000-0000F3700000}"/>
    <cellStyle name="Input 3 5 3 2 3 2" xfId="29125" xr:uid="{00000000-0005-0000-0000-0000F4700000}"/>
    <cellStyle name="Input 3 5 3 2 4" xfId="29126" xr:uid="{00000000-0005-0000-0000-0000F5700000}"/>
    <cellStyle name="Input 3 5 3 2 4 2" xfId="29127" xr:uid="{00000000-0005-0000-0000-0000F6700000}"/>
    <cellStyle name="Input 3 5 3 2 5" xfId="29128" xr:uid="{00000000-0005-0000-0000-0000F7700000}"/>
    <cellStyle name="Input 3 5 3 2 6" xfId="29129" xr:uid="{00000000-0005-0000-0000-0000F8700000}"/>
    <cellStyle name="Input 3 5 3 2 7" xfId="29130" xr:uid="{00000000-0005-0000-0000-0000F9700000}"/>
    <cellStyle name="Input 3 5 3 3" xfId="29131" xr:uid="{00000000-0005-0000-0000-0000FA700000}"/>
    <cellStyle name="Input 3 5 3 3 2" xfId="29132" xr:uid="{00000000-0005-0000-0000-0000FB700000}"/>
    <cellStyle name="Input 3 5 3 3 2 2" xfId="29133" xr:uid="{00000000-0005-0000-0000-0000FC700000}"/>
    <cellStyle name="Input 3 5 3 3 3" xfId="29134" xr:uid="{00000000-0005-0000-0000-0000FD700000}"/>
    <cellStyle name="Input 3 5 3 3 3 2" xfId="29135" xr:uid="{00000000-0005-0000-0000-0000FE700000}"/>
    <cellStyle name="Input 3 5 3 3 4" xfId="29136" xr:uid="{00000000-0005-0000-0000-0000FF700000}"/>
    <cellStyle name="Input 3 5 3 3 5" xfId="29137" xr:uid="{00000000-0005-0000-0000-000000710000}"/>
    <cellStyle name="Input 3 5 3 3 6" xfId="29138" xr:uid="{00000000-0005-0000-0000-000001710000}"/>
    <cellStyle name="Input 3 5 3 4" xfId="29139" xr:uid="{00000000-0005-0000-0000-000002710000}"/>
    <cellStyle name="Input 3 5 3 4 2" xfId="29140" xr:uid="{00000000-0005-0000-0000-000003710000}"/>
    <cellStyle name="Input 3 5 3 5" xfId="29141" xr:uid="{00000000-0005-0000-0000-000004710000}"/>
    <cellStyle name="Input 3 5 3 5 2" xfId="29142" xr:uid="{00000000-0005-0000-0000-000005710000}"/>
    <cellStyle name="Input 3 5 3 6" xfId="29143" xr:uid="{00000000-0005-0000-0000-000006710000}"/>
    <cellStyle name="Input 3 5 3 7" xfId="29144" xr:uid="{00000000-0005-0000-0000-000007710000}"/>
    <cellStyle name="Input 3 5 3 8" xfId="29145" xr:uid="{00000000-0005-0000-0000-000008710000}"/>
    <cellStyle name="Input 3 5 4" xfId="29146" xr:uid="{00000000-0005-0000-0000-000009710000}"/>
    <cellStyle name="Input 3 5 4 2" xfId="29147" xr:uid="{00000000-0005-0000-0000-00000A710000}"/>
    <cellStyle name="Input 3 5 4 2 2" xfId="29148" xr:uid="{00000000-0005-0000-0000-00000B710000}"/>
    <cellStyle name="Input 3 5 4 2 2 2" xfId="29149" xr:uid="{00000000-0005-0000-0000-00000C710000}"/>
    <cellStyle name="Input 3 5 4 2 2 2 2" xfId="29150" xr:uid="{00000000-0005-0000-0000-00000D710000}"/>
    <cellStyle name="Input 3 5 4 2 2 3" xfId="29151" xr:uid="{00000000-0005-0000-0000-00000E710000}"/>
    <cellStyle name="Input 3 5 4 2 2 3 2" xfId="29152" xr:uid="{00000000-0005-0000-0000-00000F710000}"/>
    <cellStyle name="Input 3 5 4 2 2 4" xfId="29153" xr:uid="{00000000-0005-0000-0000-000010710000}"/>
    <cellStyle name="Input 3 5 4 2 2 5" xfId="29154" xr:uid="{00000000-0005-0000-0000-000011710000}"/>
    <cellStyle name="Input 3 5 4 2 2 6" xfId="29155" xr:uid="{00000000-0005-0000-0000-000012710000}"/>
    <cellStyle name="Input 3 5 4 2 3" xfId="29156" xr:uid="{00000000-0005-0000-0000-000013710000}"/>
    <cellStyle name="Input 3 5 4 2 3 2" xfId="29157" xr:uid="{00000000-0005-0000-0000-000014710000}"/>
    <cellStyle name="Input 3 5 4 2 4" xfId="29158" xr:uid="{00000000-0005-0000-0000-000015710000}"/>
    <cellStyle name="Input 3 5 4 2 4 2" xfId="29159" xr:uid="{00000000-0005-0000-0000-000016710000}"/>
    <cellStyle name="Input 3 5 4 2 5" xfId="29160" xr:uid="{00000000-0005-0000-0000-000017710000}"/>
    <cellStyle name="Input 3 5 4 2 6" xfId="29161" xr:uid="{00000000-0005-0000-0000-000018710000}"/>
    <cellStyle name="Input 3 5 4 2 7" xfId="29162" xr:uid="{00000000-0005-0000-0000-000019710000}"/>
    <cellStyle name="Input 3 5 4 3" xfId="29163" xr:uid="{00000000-0005-0000-0000-00001A710000}"/>
    <cellStyle name="Input 3 5 4 3 2" xfId="29164" xr:uid="{00000000-0005-0000-0000-00001B710000}"/>
    <cellStyle name="Input 3 5 4 3 2 2" xfId="29165" xr:uid="{00000000-0005-0000-0000-00001C710000}"/>
    <cellStyle name="Input 3 5 4 3 3" xfId="29166" xr:uid="{00000000-0005-0000-0000-00001D710000}"/>
    <cellStyle name="Input 3 5 4 3 3 2" xfId="29167" xr:uid="{00000000-0005-0000-0000-00001E710000}"/>
    <cellStyle name="Input 3 5 4 3 4" xfId="29168" xr:uid="{00000000-0005-0000-0000-00001F710000}"/>
    <cellStyle name="Input 3 5 4 3 5" xfId="29169" xr:uid="{00000000-0005-0000-0000-000020710000}"/>
    <cellStyle name="Input 3 5 4 3 6" xfId="29170" xr:uid="{00000000-0005-0000-0000-000021710000}"/>
    <cellStyle name="Input 3 5 4 4" xfId="29171" xr:uid="{00000000-0005-0000-0000-000022710000}"/>
    <cellStyle name="Input 3 5 4 4 2" xfId="29172" xr:uid="{00000000-0005-0000-0000-000023710000}"/>
    <cellStyle name="Input 3 5 4 5" xfId="29173" xr:uid="{00000000-0005-0000-0000-000024710000}"/>
    <cellStyle name="Input 3 5 4 5 2" xfId="29174" xr:uid="{00000000-0005-0000-0000-000025710000}"/>
    <cellStyle name="Input 3 5 4 6" xfId="29175" xr:uid="{00000000-0005-0000-0000-000026710000}"/>
    <cellStyle name="Input 3 5 4 7" xfId="29176" xr:uid="{00000000-0005-0000-0000-000027710000}"/>
    <cellStyle name="Input 3 5 4 8" xfId="29177" xr:uid="{00000000-0005-0000-0000-000028710000}"/>
    <cellStyle name="Input 3 5 5" xfId="29178" xr:uid="{00000000-0005-0000-0000-000029710000}"/>
    <cellStyle name="Input 3 5 5 2" xfId="29179" xr:uid="{00000000-0005-0000-0000-00002A710000}"/>
    <cellStyle name="Input 3 5 5 2 2" xfId="29180" xr:uid="{00000000-0005-0000-0000-00002B710000}"/>
    <cellStyle name="Input 3 5 5 2 2 2" xfId="29181" xr:uid="{00000000-0005-0000-0000-00002C710000}"/>
    <cellStyle name="Input 3 5 5 2 3" xfId="29182" xr:uid="{00000000-0005-0000-0000-00002D710000}"/>
    <cellStyle name="Input 3 5 5 2 3 2" xfId="29183" xr:uid="{00000000-0005-0000-0000-00002E710000}"/>
    <cellStyle name="Input 3 5 5 2 4" xfId="29184" xr:uid="{00000000-0005-0000-0000-00002F710000}"/>
    <cellStyle name="Input 3 5 5 2 5" xfId="29185" xr:uid="{00000000-0005-0000-0000-000030710000}"/>
    <cellStyle name="Input 3 5 5 2 6" xfId="29186" xr:uid="{00000000-0005-0000-0000-000031710000}"/>
    <cellStyle name="Input 3 5 5 3" xfId="29187" xr:uid="{00000000-0005-0000-0000-000032710000}"/>
    <cellStyle name="Input 3 5 5 3 2" xfId="29188" xr:uid="{00000000-0005-0000-0000-000033710000}"/>
    <cellStyle name="Input 3 5 5 4" xfId="29189" xr:uid="{00000000-0005-0000-0000-000034710000}"/>
    <cellStyle name="Input 3 5 5 4 2" xfId="29190" xr:uid="{00000000-0005-0000-0000-000035710000}"/>
    <cellStyle name="Input 3 5 5 5" xfId="29191" xr:uid="{00000000-0005-0000-0000-000036710000}"/>
    <cellStyle name="Input 3 5 5 6" xfId="29192" xr:uid="{00000000-0005-0000-0000-000037710000}"/>
    <cellStyle name="Input 3 5 5 7" xfId="29193" xr:uid="{00000000-0005-0000-0000-000038710000}"/>
    <cellStyle name="Input 3 5 6" xfId="29194" xr:uid="{00000000-0005-0000-0000-000039710000}"/>
    <cellStyle name="Input 3 5 6 2" xfId="29195" xr:uid="{00000000-0005-0000-0000-00003A710000}"/>
    <cellStyle name="Input 3 5 6 2 2" xfId="29196" xr:uid="{00000000-0005-0000-0000-00003B710000}"/>
    <cellStyle name="Input 3 5 6 3" xfId="29197" xr:uid="{00000000-0005-0000-0000-00003C710000}"/>
    <cellStyle name="Input 3 5 6 3 2" xfId="29198" xr:uid="{00000000-0005-0000-0000-00003D710000}"/>
    <cellStyle name="Input 3 5 6 4" xfId="29199" xr:uid="{00000000-0005-0000-0000-00003E710000}"/>
    <cellStyle name="Input 3 5 6 5" xfId="29200" xr:uid="{00000000-0005-0000-0000-00003F710000}"/>
    <cellStyle name="Input 3 5 6 6" xfId="29201" xr:uid="{00000000-0005-0000-0000-000040710000}"/>
    <cellStyle name="Input 3 5 7" xfId="29202" xr:uid="{00000000-0005-0000-0000-000041710000}"/>
    <cellStyle name="Input 3 5 7 2" xfId="29203" xr:uid="{00000000-0005-0000-0000-000042710000}"/>
    <cellStyle name="Input 3 5 8" xfId="29204" xr:uid="{00000000-0005-0000-0000-000043710000}"/>
    <cellStyle name="Input 3 5 8 2" xfId="29205" xr:uid="{00000000-0005-0000-0000-000044710000}"/>
    <cellStyle name="Input 3 5 9" xfId="29206" xr:uid="{00000000-0005-0000-0000-000045710000}"/>
    <cellStyle name="Input 3 6" xfId="29207" xr:uid="{00000000-0005-0000-0000-000046710000}"/>
    <cellStyle name="Input 3 6 2" xfId="29208" xr:uid="{00000000-0005-0000-0000-000047710000}"/>
    <cellStyle name="Input 3 6 2 2" xfId="29209" xr:uid="{00000000-0005-0000-0000-000048710000}"/>
    <cellStyle name="Input 3 6 2 2 2" xfId="29210" xr:uid="{00000000-0005-0000-0000-000049710000}"/>
    <cellStyle name="Input 3 6 2 3" xfId="29211" xr:uid="{00000000-0005-0000-0000-00004A710000}"/>
    <cellStyle name="Input 3 6 2 3 2" xfId="29212" xr:uid="{00000000-0005-0000-0000-00004B710000}"/>
    <cellStyle name="Input 3 6 2 4" xfId="29213" xr:uid="{00000000-0005-0000-0000-00004C710000}"/>
    <cellStyle name="Input 3 6 2 5" xfId="29214" xr:uid="{00000000-0005-0000-0000-00004D710000}"/>
    <cellStyle name="Input 3 6 2 6" xfId="29215" xr:uid="{00000000-0005-0000-0000-00004E710000}"/>
    <cellStyle name="Input 3 6 3" xfId="29216" xr:uid="{00000000-0005-0000-0000-00004F710000}"/>
    <cellStyle name="Input 3 6 3 2" xfId="29217" xr:uid="{00000000-0005-0000-0000-000050710000}"/>
    <cellStyle name="Input 3 6 4" xfId="29218" xr:uid="{00000000-0005-0000-0000-000051710000}"/>
    <cellStyle name="Input 3 6 4 2" xfId="29219" xr:uid="{00000000-0005-0000-0000-000052710000}"/>
    <cellStyle name="Input 3 6 5" xfId="29220" xr:uid="{00000000-0005-0000-0000-000053710000}"/>
    <cellStyle name="Input 3 6 6" xfId="29221" xr:uid="{00000000-0005-0000-0000-000054710000}"/>
    <cellStyle name="Input 3 6 7" xfId="29222" xr:uid="{00000000-0005-0000-0000-000055710000}"/>
    <cellStyle name="Input 3 7" xfId="29223" xr:uid="{00000000-0005-0000-0000-000056710000}"/>
    <cellStyle name="Input 3 7 2" xfId="29224" xr:uid="{00000000-0005-0000-0000-000057710000}"/>
    <cellStyle name="Input 3 8" xfId="29225" xr:uid="{00000000-0005-0000-0000-000058710000}"/>
    <cellStyle name="Input 3 8 2" xfId="29226" xr:uid="{00000000-0005-0000-0000-000059710000}"/>
    <cellStyle name="Input 3 9" xfId="29227" xr:uid="{00000000-0005-0000-0000-00005A710000}"/>
    <cellStyle name="Input 30" xfId="29228" xr:uid="{00000000-0005-0000-0000-00005B710000}"/>
    <cellStyle name="Input 30 10" xfId="29229" xr:uid="{00000000-0005-0000-0000-00005C710000}"/>
    <cellStyle name="Input 30 11" xfId="29230" xr:uid="{00000000-0005-0000-0000-00005D710000}"/>
    <cellStyle name="Input 30 2" xfId="29231" xr:uid="{00000000-0005-0000-0000-00005E710000}"/>
    <cellStyle name="Input 30 2 10" xfId="29232" xr:uid="{00000000-0005-0000-0000-00005F710000}"/>
    <cellStyle name="Input 30 2 2" xfId="29233" xr:uid="{00000000-0005-0000-0000-000060710000}"/>
    <cellStyle name="Input 30 2 2 2" xfId="29234" xr:uid="{00000000-0005-0000-0000-000061710000}"/>
    <cellStyle name="Input 30 2 2 2 2" xfId="29235" xr:uid="{00000000-0005-0000-0000-000062710000}"/>
    <cellStyle name="Input 30 2 2 2 2 2" xfId="29236" xr:uid="{00000000-0005-0000-0000-000063710000}"/>
    <cellStyle name="Input 30 2 2 2 2 2 2" xfId="29237" xr:uid="{00000000-0005-0000-0000-000064710000}"/>
    <cellStyle name="Input 30 2 2 2 2 3" xfId="29238" xr:uid="{00000000-0005-0000-0000-000065710000}"/>
    <cellStyle name="Input 30 2 2 2 2 3 2" xfId="29239" xr:uid="{00000000-0005-0000-0000-000066710000}"/>
    <cellStyle name="Input 30 2 2 2 2 4" xfId="29240" xr:uid="{00000000-0005-0000-0000-000067710000}"/>
    <cellStyle name="Input 30 2 2 2 2 5" xfId="29241" xr:uid="{00000000-0005-0000-0000-000068710000}"/>
    <cellStyle name="Input 30 2 2 2 2 6" xfId="29242" xr:uid="{00000000-0005-0000-0000-000069710000}"/>
    <cellStyle name="Input 30 2 2 2 3" xfId="29243" xr:uid="{00000000-0005-0000-0000-00006A710000}"/>
    <cellStyle name="Input 30 2 2 2 3 2" xfId="29244" xr:uid="{00000000-0005-0000-0000-00006B710000}"/>
    <cellStyle name="Input 30 2 2 2 4" xfId="29245" xr:uid="{00000000-0005-0000-0000-00006C710000}"/>
    <cellStyle name="Input 30 2 2 2 4 2" xfId="29246" xr:uid="{00000000-0005-0000-0000-00006D710000}"/>
    <cellStyle name="Input 30 2 2 2 5" xfId="29247" xr:uid="{00000000-0005-0000-0000-00006E710000}"/>
    <cellStyle name="Input 30 2 2 2 6" xfId="29248" xr:uid="{00000000-0005-0000-0000-00006F710000}"/>
    <cellStyle name="Input 30 2 2 2 7" xfId="29249" xr:uid="{00000000-0005-0000-0000-000070710000}"/>
    <cellStyle name="Input 30 2 2 3" xfId="29250" xr:uid="{00000000-0005-0000-0000-000071710000}"/>
    <cellStyle name="Input 30 2 2 3 2" xfId="29251" xr:uid="{00000000-0005-0000-0000-000072710000}"/>
    <cellStyle name="Input 30 2 2 3 2 2" xfId="29252" xr:uid="{00000000-0005-0000-0000-000073710000}"/>
    <cellStyle name="Input 30 2 2 3 3" xfId="29253" xr:uid="{00000000-0005-0000-0000-000074710000}"/>
    <cellStyle name="Input 30 2 2 3 3 2" xfId="29254" xr:uid="{00000000-0005-0000-0000-000075710000}"/>
    <cellStyle name="Input 30 2 2 3 4" xfId="29255" xr:uid="{00000000-0005-0000-0000-000076710000}"/>
    <cellStyle name="Input 30 2 2 3 5" xfId="29256" xr:uid="{00000000-0005-0000-0000-000077710000}"/>
    <cellStyle name="Input 30 2 2 3 6" xfId="29257" xr:uid="{00000000-0005-0000-0000-000078710000}"/>
    <cellStyle name="Input 30 2 2 4" xfId="29258" xr:uid="{00000000-0005-0000-0000-000079710000}"/>
    <cellStyle name="Input 30 2 2 4 2" xfId="29259" xr:uid="{00000000-0005-0000-0000-00007A710000}"/>
    <cellStyle name="Input 30 2 2 5" xfId="29260" xr:uid="{00000000-0005-0000-0000-00007B710000}"/>
    <cellStyle name="Input 30 2 2 5 2" xfId="29261" xr:uid="{00000000-0005-0000-0000-00007C710000}"/>
    <cellStyle name="Input 30 2 2 6" xfId="29262" xr:uid="{00000000-0005-0000-0000-00007D710000}"/>
    <cellStyle name="Input 30 2 2 7" xfId="29263" xr:uid="{00000000-0005-0000-0000-00007E710000}"/>
    <cellStyle name="Input 30 2 2 8" xfId="29264" xr:uid="{00000000-0005-0000-0000-00007F710000}"/>
    <cellStyle name="Input 30 2 3" xfId="29265" xr:uid="{00000000-0005-0000-0000-000080710000}"/>
    <cellStyle name="Input 30 2 3 2" xfId="29266" xr:uid="{00000000-0005-0000-0000-000081710000}"/>
    <cellStyle name="Input 30 2 3 2 2" xfId="29267" xr:uid="{00000000-0005-0000-0000-000082710000}"/>
    <cellStyle name="Input 30 2 3 2 2 2" xfId="29268" xr:uid="{00000000-0005-0000-0000-000083710000}"/>
    <cellStyle name="Input 30 2 3 2 2 2 2" xfId="29269" xr:uid="{00000000-0005-0000-0000-000084710000}"/>
    <cellStyle name="Input 30 2 3 2 2 3" xfId="29270" xr:uid="{00000000-0005-0000-0000-000085710000}"/>
    <cellStyle name="Input 30 2 3 2 2 3 2" xfId="29271" xr:uid="{00000000-0005-0000-0000-000086710000}"/>
    <cellStyle name="Input 30 2 3 2 2 4" xfId="29272" xr:uid="{00000000-0005-0000-0000-000087710000}"/>
    <cellStyle name="Input 30 2 3 2 2 5" xfId="29273" xr:uid="{00000000-0005-0000-0000-000088710000}"/>
    <cellStyle name="Input 30 2 3 2 2 6" xfId="29274" xr:uid="{00000000-0005-0000-0000-000089710000}"/>
    <cellStyle name="Input 30 2 3 2 3" xfId="29275" xr:uid="{00000000-0005-0000-0000-00008A710000}"/>
    <cellStyle name="Input 30 2 3 2 3 2" xfId="29276" xr:uid="{00000000-0005-0000-0000-00008B710000}"/>
    <cellStyle name="Input 30 2 3 2 4" xfId="29277" xr:uid="{00000000-0005-0000-0000-00008C710000}"/>
    <cellStyle name="Input 30 2 3 2 4 2" xfId="29278" xr:uid="{00000000-0005-0000-0000-00008D710000}"/>
    <cellStyle name="Input 30 2 3 2 5" xfId="29279" xr:uid="{00000000-0005-0000-0000-00008E710000}"/>
    <cellStyle name="Input 30 2 3 2 6" xfId="29280" xr:uid="{00000000-0005-0000-0000-00008F710000}"/>
    <cellStyle name="Input 30 2 3 2 7" xfId="29281" xr:uid="{00000000-0005-0000-0000-000090710000}"/>
    <cellStyle name="Input 30 2 3 3" xfId="29282" xr:uid="{00000000-0005-0000-0000-000091710000}"/>
    <cellStyle name="Input 30 2 3 3 2" xfId="29283" xr:uid="{00000000-0005-0000-0000-000092710000}"/>
    <cellStyle name="Input 30 2 3 3 2 2" xfId="29284" xr:uid="{00000000-0005-0000-0000-000093710000}"/>
    <cellStyle name="Input 30 2 3 3 3" xfId="29285" xr:uid="{00000000-0005-0000-0000-000094710000}"/>
    <cellStyle name="Input 30 2 3 3 3 2" xfId="29286" xr:uid="{00000000-0005-0000-0000-000095710000}"/>
    <cellStyle name="Input 30 2 3 3 4" xfId="29287" xr:uid="{00000000-0005-0000-0000-000096710000}"/>
    <cellStyle name="Input 30 2 3 3 5" xfId="29288" xr:uid="{00000000-0005-0000-0000-000097710000}"/>
    <cellStyle name="Input 30 2 3 3 6" xfId="29289" xr:uid="{00000000-0005-0000-0000-000098710000}"/>
    <cellStyle name="Input 30 2 3 4" xfId="29290" xr:uid="{00000000-0005-0000-0000-000099710000}"/>
    <cellStyle name="Input 30 2 3 4 2" xfId="29291" xr:uid="{00000000-0005-0000-0000-00009A710000}"/>
    <cellStyle name="Input 30 2 3 5" xfId="29292" xr:uid="{00000000-0005-0000-0000-00009B710000}"/>
    <cellStyle name="Input 30 2 3 5 2" xfId="29293" xr:uid="{00000000-0005-0000-0000-00009C710000}"/>
    <cellStyle name="Input 30 2 3 6" xfId="29294" xr:uid="{00000000-0005-0000-0000-00009D710000}"/>
    <cellStyle name="Input 30 2 3 7" xfId="29295" xr:uid="{00000000-0005-0000-0000-00009E710000}"/>
    <cellStyle name="Input 30 2 3 8" xfId="29296" xr:uid="{00000000-0005-0000-0000-00009F710000}"/>
    <cellStyle name="Input 30 2 4" xfId="29297" xr:uid="{00000000-0005-0000-0000-0000A0710000}"/>
    <cellStyle name="Input 30 2 4 2" xfId="29298" xr:uid="{00000000-0005-0000-0000-0000A1710000}"/>
    <cellStyle name="Input 30 2 4 2 2" xfId="29299" xr:uid="{00000000-0005-0000-0000-0000A2710000}"/>
    <cellStyle name="Input 30 2 4 2 2 2" xfId="29300" xr:uid="{00000000-0005-0000-0000-0000A3710000}"/>
    <cellStyle name="Input 30 2 4 2 3" xfId="29301" xr:uid="{00000000-0005-0000-0000-0000A4710000}"/>
    <cellStyle name="Input 30 2 4 2 3 2" xfId="29302" xr:uid="{00000000-0005-0000-0000-0000A5710000}"/>
    <cellStyle name="Input 30 2 4 2 4" xfId="29303" xr:uid="{00000000-0005-0000-0000-0000A6710000}"/>
    <cellStyle name="Input 30 2 4 2 5" xfId="29304" xr:uid="{00000000-0005-0000-0000-0000A7710000}"/>
    <cellStyle name="Input 30 2 4 2 6" xfId="29305" xr:uid="{00000000-0005-0000-0000-0000A8710000}"/>
    <cellStyle name="Input 30 2 4 3" xfId="29306" xr:uid="{00000000-0005-0000-0000-0000A9710000}"/>
    <cellStyle name="Input 30 2 4 3 2" xfId="29307" xr:uid="{00000000-0005-0000-0000-0000AA710000}"/>
    <cellStyle name="Input 30 2 4 4" xfId="29308" xr:uid="{00000000-0005-0000-0000-0000AB710000}"/>
    <cellStyle name="Input 30 2 4 4 2" xfId="29309" xr:uid="{00000000-0005-0000-0000-0000AC710000}"/>
    <cellStyle name="Input 30 2 4 5" xfId="29310" xr:uid="{00000000-0005-0000-0000-0000AD710000}"/>
    <cellStyle name="Input 30 2 4 6" xfId="29311" xr:uid="{00000000-0005-0000-0000-0000AE710000}"/>
    <cellStyle name="Input 30 2 4 7" xfId="29312" xr:uid="{00000000-0005-0000-0000-0000AF710000}"/>
    <cellStyle name="Input 30 2 5" xfId="29313" xr:uid="{00000000-0005-0000-0000-0000B0710000}"/>
    <cellStyle name="Input 30 2 5 2" xfId="29314" xr:uid="{00000000-0005-0000-0000-0000B1710000}"/>
    <cellStyle name="Input 30 2 5 2 2" xfId="29315" xr:uid="{00000000-0005-0000-0000-0000B2710000}"/>
    <cellStyle name="Input 30 2 5 3" xfId="29316" xr:uid="{00000000-0005-0000-0000-0000B3710000}"/>
    <cellStyle name="Input 30 2 5 3 2" xfId="29317" xr:uid="{00000000-0005-0000-0000-0000B4710000}"/>
    <cellStyle name="Input 30 2 5 4" xfId="29318" xr:uid="{00000000-0005-0000-0000-0000B5710000}"/>
    <cellStyle name="Input 30 2 5 5" xfId="29319" xr:uid="{00000000-0005-0000-0000-0000B6710000}"/>
    <cellStyle name="Input 30 2 5 6" xfId="29320" xr:uid="{00000000-0005-0000-0000-0000B7710000}"/>
    <cellStyle name="Input 30 2 6" xfId="29321" xr:uid="{00000000-0005-0000-0000-0000B8710000}"/>
    <cellStyle name="Input 30 2 6 2" xfId="29322" xr:uid="{00000000-0005-0000-0000-0000B9710000}"/>
    <cellStyle name="Input 30 2 7" xfId="29323" xr:uid="{00000000-0005-0000-0000-0000BA710000}"/>
    <cellStyle name="Input 30 2 7 2" xfId="29324" xr:uid="{00000000-0005-0000-0000-0000BB710000}"/>
    <cellStyle name="Input 30 2 8" xfId="29325" xr:uid="{00000000-0005-0000-0000-0000BC710000}"/>
    <cellStyle name="Input 30 2 9" xfId="29326" xr:uid="{00000000-0005-0000-0000-0000BD710000}"/>
    <cellStyle name="Input 30 3" xfId="29327" xr:uid="{00000000-0005-0000-0000-0000BE710000}"/>
    <cellStyle name="Input 30 3 2" xfId="29328" xr:uid="{00000000-0005-0000-0000-0000BF710000}"/>
    <cellStyle name="Input 30 3 2 2" xfId="29329" xr:uid="{00000000-0005-0000-0000-0000C0710000}"/>
    <cellStyle name="Input 30 3 2 2 2" xfId="29330" xr:uid="{00000000-0005-0000-0000-0000C1710000}"/>
    <cellStyle name="Input 30 3 2 2 2 2" xfId="29331" xr:uid="{00000000-0005-0000-0000-0000C2710000}"/>
    <cellStyle name="Input 30 3 2 2 3" xfId="29332" xr:uid="{00000000-0005-0000-0000-0000C3710000}"/>
    <cellStyle name="Input 30 3 2 2 3 2" xfId="29333" xr:uid="{00000000-0005-0000-0000-0000C4710000}"/>
    <cellStyle name="Input 30 3 2 2 4" xfId="29334" xr:uid="{00000000-0005-0000-0000-0000C5710000}"/>
    <cellStyle name="Input 30 3 2 2 5" xfId="29335" xr:uid="{00000000-0005-0000-0000-0000C6710000}"/>
    <cellStyle name="Input 30 3 2 2 6" xfId="29336" xr:uid="{00000000-0005-0000-0000-0000C7710000}"/>
    <cellStyle name="Input 30 3 2 3" xfId="29337" xr:uid="{00000000-0005-0000-0000-0000C8710000}"/>
    <cellStyle name="Input 30 3 2 3 2" xfId="29338" xr:uid="{00000000-0005-0000-0000-0000C9710000}"/>
    <cellStyle name="Input 30 3 2 4" xfId="29339" xr:uid="{00000000-0005-0000-0000-0000CA710000}"/>
    <cellStyle name="Input 30 3 2 4 2" xfId="29340" xr:uid="{00000000-0005-0000-0000-0000CB710000}"/>
    <cellStyle name="Input 30 3 2 5" xfId="29341" xr:uid="{00000000-0005-0000-0000-0000CC710000}"/>
    <cellStyle name="Input 30 3 2 6" xfId="29342" xr:uid="{00000000-0005-0000-0000-0000CD710000}"/>
    <cellStyle name="Input 30 3 2 7" xfId="29343" xr:uid="{00000000-0005-0000-0000-0000CE710000}"/>
    <cellStyle name="Input 30 3 3" xfId="29344" xr:uid="{00000000-0005-0000-0000-0000CF710000}"/>
    <cellStyle name="Input 30 3 3 2" xfId="29345" xr:uid="{00000000-0005-0000-0000-0000D0710000}"/>
    <cellStyle name="Input 30 3 3 2 2" xfId="29346" xr:uid="{00000000-0005-0000-0000-0000D1710000}"/>
    <cellStyle name="Input 30 3 3 3" xfId="29347" xr:uid="{00000000-0005-0000-0000-0000D2710000}"/>
    <cellStyle name="Input 30 3 3 3 2" xfId="29348" xr:uid="{00000000-0005-0000-0000-0000D3710000}"/>
    <cellStyle name="Input 30 3 3 4" xfId="29349" xr:uid="{00000000-0005-0000-0000-0000D4710000}"/>
    <cellStyle name="Input 30 3 3 5" xfId="29350" xr:uid="{00000000-0005-0000-0000-0000D5710000}"/>
    <cellStyle name="Input 30 3 3 6" xfId="29351" xr:uid="{00000000-0005-0000-0000-0000D6710000}"/>
    <cellStyle name="Input 30 3 4" xfId="29352" xr:uid="{00000000-0005-0000-0000-0000D7710000}"/>
    <cellStyle name="Input 30 3 4 2" xfId="29353" xr:uid="{00000000-0005-0000-0000-0000D8710000}"/>
    <cellStyle name="Input 30 3 5" xfId="29354" xr:uid="{00000000-0005-0000-0000-0000D9710000}"/>
    <cellStyle name="Input 30 3 5 2" xfId="29355" xr:uid="{00000000-0005-0000-0000-0000DA710000}"/>
    <cellStyle name="Input 30 3 6" xfId="29356" xr:uid="{00000000-0005-0000-0000-0000DB710000}"/>
    <cellStyle name="Input 30 3 7" xfId="29357" xr:uid="{00000000-0005-0000-0000-0000DC710000}"/>
    <cellStyle name="Input 30 3 8" xfId="29358" xr:uid="{00000000-0005-0000-0000-0000DD710000}"/>
    <cellStyle name="Input 30 4" xfId="29359" xr:uid="{00000000-0005-0000-0000-0000DE710000}"/>
    <cellStyle name="Input 30 4 2" xfId="29360" xr:uid="{00000000-0005-0000-0000-0000DF710000}"/>
    <cellStyle name="Input 30 4 2 2" xfId="29361" xr:uid="{00000000-0005-0000-0000-0000E0710000}"/>
    <cellStyle name="Input 30 4 2 2 2" xfId="29362" xr:uid="{00000000-0005-0000-0000-0000E1710000}"/>
    <cellStyle name="Input 30 4 2 2 2 2" xfId="29363" xr:uid="{00000000-0005-0000-0000-0000E2710000}"/>
    <cellStyle name="Input 30 4 2 2 3" xfId="29364" xr:uid="{00000000-0005-0000-0000-0000E3710000}"/>
    <cellStyle name="Input 30 4 2 2 3 2" xfId="29365" xr:uid="{00000000-0005-0000-0000-0000E4710000}"/>
    <cellStyle name="Input 30 4 2 2 4" xfId="29366" xr:uid="{00000000-0005-0000-0000-0000E5710000}"/>
    <cellStyle name="Input 30 4 2 2 5" xfId="29367" xr:uid="{00000000-0005-0000-0000-0000E6710000}"/>
    <cellStyle name="Input 30 4 2 2 6" xfId="29368" xr:uid="{00000000-0005-0000-0000-0000E7710000}"/>
    <cellStyle name="Input 30 4 2 3" xfId="29369" xr:uid="{00000000-0005-0000-0000-0000E8710000}"/>
    <cellStyle name="Input 30 4 2 3 2" xfId="29370" xr:uid="{00000000-0005-0000-0000-0000E9710000}"/>
    <cellStyle name="Input 30 4 2 4" xfId="29371" xr:uid="{00000000-0005-0000-0000-0000EA710000}"/>
    <cellStyle name="Input 30 4 2 4 2" xfId="29372" xr:uid="{00000000-0005-0000-0000-0000EB710000}"/>
    <cellStyle name="Input 30 4 2 5" xfId="29373" xr:uid="{00000000-0005-0000-0000-0000EC710000}"/>
    <cellStyle name="Input 30 4 2 6" xfId="29374" xr:uid="{00000000-0005-0000-0000-0000ED710000}"/>
    <cellStyle name="Input 30 4 2 7" xfId="29375" xr:uid="{00000000-0005-0000-0000-0000EE710000}"/>
    <cellStyle name="Input 30 4 3" xfId="29376" xr:uid="{00000000-0005-0000-0000-0000EF710000}"/>
    <cellStyle name="Input 30 4 3 2" xfId="29377" xr:uid="{00000000-0005-0000-0000-0000F0710000}"/>
    <cellStyle name="Input 30 4 3 2 2" xfId="29378" xr:uid="{00000000-0005-0000-0000-0000F1710000}"/>
    <cellStyle name="Input 30 4 3 3" xfId="29379" xr:uid="{00000000-0005-0000-0000-0000F2710000}"/>
    <cellStyle name="Input 30 4 3 3 2" xfId="29380" xr:uid="{00000000-0005-0000-0000-0000F3710000}"/>
    <cellStyle name="Input 30 4 3 4" xfId="29381" xr:uid="{00000000-0005-0000-0000-0000F4710000}"/>
    <cellStyle name="Input 30 4 3 5" xfId="29382" xr:uid="{00000000-0005-0000-0000-0000F5710000}"/>
    <cellStyle name="Input 30 4 3 6" xfId="29383" xr:uid="{00000000-0005-0000-0000-0000F6710000}"/>
    <cellStyle name="Input 30 4 4" xfId="29384" xr:uid="{00000000-0005-0000-0000-0000F7710000}"/>
    <cellStyle name="Input 30 4 4 2" xfId="29385" xr:uid="{00000000-0005-0000-0000-0000F8710000}"/>
    <cellStyle name="Input 30 4 5" xfId="29386" xr:uid="{00000000-0005-0000-0000-0000F9710000}"/>
    <cellStyle name="Input 30 4 5 2" xfId="29387" xr:uid="{00000000-0005-0000-0000-0000FA710000}"/>
    <cellStyle name="Input 30 4 6" xfId="29388" xr:uid="{00000000-0005-0000-0000-0000FB710000}"/>
    <cellStyle name="Input 30 4 7" xfId="29389" xr:uid="{00000000-0005-0000-0000-0000FC710000}"/>
    <cellStyle name="Input 30 4 8" xfId="29390" xr:uid="{00000000-0005-0000-0000-0000FD710000}"/>
    <cellStyle name="Input 30 5" xfId="29391" xr:uid="{00000000-0005-0000-0000-0000FE710000}"/>
    <cellStyle name="Input 30 5 2" xfId="29392" xr:uid="{00000000-0005-0000-0000-0000FF710000}"/>
    <cellStyle name="Input 30 5 2 2" xfId="29393" xr:uid="{00000000-0005-0000-0000-000000720000}"/>
    <cellStyle name="Input 30 5 2 2 2" xfId="29394" xr:uid="{00000000-0005-0000-0000-000001720000}"/>
    <cellStyle name="Input 30 5 2 3" xfId="29395" xr:uid="{00000000-0005-0000-0000-000002720000}"/>
    <cellStyle name="Input 30 5 2 3 2" xfId="29396" xr:uid="{00000000-0005-0000-0000-000003720000}"/>
    <cellStyle name="Input 30 5 2 4" xfId="29397" xr:uid="{00000000-0005-0000-0000-000004720000}"/>
    <cellStyle name="Input 30 5 2 5" xfId="29398" xr:uid="{00000000-0005-0000-0000-000005720000}"/>
    <cellStyle name="Input 30 5 2 6" xfId="29399" xr:uid="{00000000-0005-0000-0000-000006720000}"/>
    <cellStyle name="Input 30 5 3" xfId="29400" xr:uid="{00000000-0005-0000-0000-000007720000}"/>
    <cellStyle name="Input 30 5 3 2" xfId="29401" xr:uid="{00000000-0005-0000-0000-000008720000}"/>
    <cellStyle name="Input 30 5 4" xfId="29402" xr:uid="{00000000-0005-0000-0000-000009720000}"/>
    <cellStyle name="Input 30 5 4 2" xfId="29403" xr:uid="{00000000-0005-0000-0000-00000A720000}"/>
    <cellStyle name="Input 30 5 5" xfId="29404" xr:uid="{00000000-0005-0000-0000-00000B720000}"/>
    <cellStyle name="Input 30 5 6" xfId="29405" xr:uid="{00000000-0005-0000-0000-00000C720000}"/>
    <cellStyle name="Input 30 5 7" xfId="29406" xr:uid="{00000000-0005-0000-0000-00000D720000}"/>
    <cellStyle name="Input 30 6" xfId="29407" xr:uid="{00000000-0005-0000-0000-00000E720000}"/>
    <cellStyle name="Input 30 6 2" xfId="29408" xr:uid="{00000000-0005-0000-0000-00000F720000}"/>
    <cellStyle name="Input 30 6 2 2" xfId="29409" xr:uid="{00000000-0005-0000-0000-000010720000}"/>
    <cellStyle name="Input 30 6 3" xfId="29410" xr:uid="{00000000-0005-0000-0000-000011720000}"/>
    <cellStyle name="Input 30 6 3 2" xfId="29411" xr:uid="{00000000-0005-0000-0000-000012720000}"/>
    <cellStyle name="Input 30 6 4" xfId="29412" xr:uid="{00000000-0005-0000-0000-000013720000}"/>
    <cellStyle name="Input 30 6 5" xfId="29413" xr:uid="{00000000-0005-0000-0000-000014720000}"/>
    <cellStyle name="Input 30 6 6" xfId="29414" xr:uid="{00000000-0005-0000-0000-000015720000}"/>
    <cellStyle name="Input 30 7" xfId="29415" xr:uid="{00000000-0005-0000-0000-000016720000}"/>
    <cellStyle name="Input 30 7 2" xfId="29416" xr:uid="{00000000-0005-0000-0000-000017720000}"/>
    <cellStyle name="Input 30 8" xfId="29417" xr:uid="{00000000-0005-0000-0000-000018720000}"/>
    <cellStyle name="Input 30 8 2" xfId="29418" xr:uid="{00000000-0005-0000-0000-000019720000}"/>
    <cellStyle name="Input 30 9" xfId="29419" xr:uid="{00000000-0005-0000-0000-00001A720000}"/>
    <cellStyle name="Input 31" xfId="29420" xr:uid="{00000000-0005-0000-0000-00001B720000}"/>
    <cellStyle name="Input 31 10" xfId="29421" xr:uid="{00000000-0005-0000-0000-00001C720000}"/>
    <cellStyle name="Input 31 11" xfId="29422" xr:uid="{00000000-0005-0000-0000-00001D720000}"/>
    <cellStyle name="Input 31 2" xfId="29423" xr:uid="{00000000-0005-0000-0000-00001E720000}"/>
    <cellStyle name="Input 31 2 10" xfId="29424" xr:uid="{00000000-0005-0000-0000-00001F720000}"/>
    <cellStyle name="Input 31 2 2" xfId="29425" xr:uid="{00000000-0005-0000-0000-000020720000}"/>
    <cellStyle name="Input 31 2 2 2" xfId="29426" xr:uid="{00000000-0005-0000-0000-000021720000}"/>
    <cellStyle name="Input 31 2 2 2 2" xfId="29427" xr:uid="{00000000-0005-0000-0000-000022720000}"/>
    <cellStyle name="Input 31 2 2 2 2 2" xfId="29428" xr:uid="{00000000-0005-0000-0000-000023720000}"/>
    <cellStyle name="Input 31 2 2 2 2 2 2" xfId="29429" xr:uid="{00000000-0005-0000-0000-000024720000}"/>
    <cellStyle name="Input 31 2 2 2 2 3" xfId="29430" xr:uid="{00000000-0005-0000-0000-000025720000}"/>
    <cellStyle name="Input 31 2 2 2 2 3 2" xfId="29431" xr:uid="{00000000-0005-0000-0000-000026720000}"/>
    <cellStyle name="Input 31 2 2 2 2 4" xfId="29432" xr:uid="{00000000-0005-0000-0000-000027720000}"/>
    <cellStyle name="Input 31 2 2 2 2 5" xfId="29433" xr:uid="{00000000-0005-0000-0000-000028720000}"/>
    <cellStyle name="Input 31 2 2 2 2 6" xfId="29434" xr:uid="{00000000-0005-0000-0000-000029720000}"/>
    <cellStyle name="Input 31 2 2 2 3" xfId="29435" xr:uid="{00000000-0005-0000-0000-00002A720000}"/>
    <cellStyle name="Input 31 2 2 2 3 2" xfId="29436" xr:uid="{00000000-0005-0000-0000-00002B720000}"/>
    <cellStyle name="Input 31 2 2 2 4" xfId="29437" xr:uid="{00000000-0005-0000-0000-00002C720000}"/>
    <cellStyle name="Input 31 2 2 2 4 2" xfId="29438" xr:uid="{00000000-0005-0000-0000-00002D720000}"/>
    <cellStyle name="Input 31 2 2 2 5" xfId="29439" xr:uid="{00000000-0005-0000-0000-00002E720000}"/>
    <cellStyle name="Input 31 2 2 2 6" xfId="29440" xr:uid="{00000000-0005-0000-0000-00002F720000}"/>
    <cellStyle name="Input 31 2 2 2 7" xfId="29441" xr:uid="{00000000-0005-0000-0000-000030720000}"/>
    <cellStyle name="Input 31 2 2 3" xfId="29442" xr:uid="{00000000-0005-0000-0000-000031720000}"/>
    <cellStyle name="Input 31 2 2 3 2" xfId="29443" xr:uid="{00000000-0005-0000-0000-000032720000}"/>
    <cellStyle name="Input 31 2 2 3 2 2" xfId="29444" xr:uid="{00000000-0005-0000-0000-000033720000}"/>
    <cellStyle name="Input 31 2 2 3 3" xfId="29445" xr:uid="{00000000-0005-0000-0000-000034720000}"/>
    <cellStyle name="Input 31 2 2 3 3 2" xfId="29446" xr:uid="{00000000-0005-0000-0000-000035720000}"/>
    <cellStyle name="Input 31 2 2 3 4" xfId="29447" xr:uid="{00000000-0005-0000-0000-000036720000}"/>
    <cellStyle name="Input 31 2 2 3 5" xfId="29448" xr:uid="{00000000-0005-0000-0000-000037720000}"/>
    <cellStyle name="Input 31 2 2 3 6" xfId="29449" xr:uid="{00000000-0005-0000-0000-000038720000}"/>
    <cellStyle name="Input 31 2 2 4" xfId="29450" xr:uid="{00000000-0005-0000-0000-000039720000}"/>
    <cellStyle name="Input 31 2 2 4 2" xfId="29451" xr:uid="{00000000-0005-0000-0000-00003A720000}"/>
    <cellStyle name="Input 31 2 2 5" xfId="29452" xr:uid="{00000000-0005-0000-0000-00003B720000}"/>
    <cellStyle name="Input 31 2 2 5 2" xfId="29453" xr:uid="{00000000-0005-0000-0000-00003C720000}"/>
    <cellStyle name="Input 31 2 2 6" xfId="29454" xr:uid="{00000000-0005-0000-0000-00003D720000}"/>
    <cellStyle name="Input 31 2 2 7" xfId="29455" xr:uid="{00000000-0005-0000-0000-00003E720000}"/>
    <cellStyle name="Input 31 2 2 8" xfId="29456" xr:uid="{00000000-0005-0000-0000-00003F720000}"/>
    <cellStyle name="Input 31 2 3" xfId="29457" xr:uid="{00000000-0005-0000-0000-000040720000}"/>
    <cellStyle name="Input 31 2 3 2" xfId="29458" xr:uid="{00000000-0005-0000-0000-000041720000}"/>
    <cellStyle name="Input 31 2 3 2 2" xfId="29459" xr:uid="{00000000-0005-0000-0000-000042720000}"/>
    <cellStyle name="Input 31 2 3 2 2 2" xfId="29460" xr:uid="{00000000-0005-0000-0000-000043720000}"/>
    <cellStyle name="Input 31 2 3 2 2 2 2" xfId="29461" xr:uid="{00000000-0005-0000-0000-000044720000}"/>
    <cellStyle name="Input 31 2 3 2 2 3" xfId="29462" xr:uid="{00000000-0005-0000-0000-000045720000}"/>
    <cellStyle name="Input 31 2 3 2 2 3 2" xfId="29463" xr:uid="{00000000-0005-0000-0000-000046720000}"/>
    <cellStyle name="Input 31 2 3 2 2 4" xfId="29464" xr:uid="{00000000-0005-0000-0000-000047720000}"/>
    <cellStyle name="Input 31 2 3 2 2 5" xfId="29465" xr:uid="{00000000-0005-0000-0000-000048720000}"/>
    <cellStyle name="Input 31 2 3 2 2 6" xfId="29466" xr:uid="{00000000-0005-0000-0000-000049720000}"/>
    <cellStyle name="Input 31 2 3 2 3" xfId="29467" xr:uid="{00000000-0005-0000-0000-00004A720000}"/>
    <cellStyle name="Input 31 2 3 2 3 2" xfId="29468" xr:uid="{00000000-0005-0000-0000-00004B720000}"/>
    <cellStyle name="Input 31 2 3 2 4" xfId="29469" xr:uid="{00000000-0005-0000-0000-00004C720000}"/>
    <cellStyle name="Input 31 2 3 2 4 2" xfId="29470" xr:uid="{00000000-0005-0000-0000-00004D720000}"/>
    <cellStyle name="Input 31 2 3 2 5" xfId="29471" xr:uid="{00000000-0005-0000-0000-00004E720000}"/>
    <cellStyle name="Input 31 2 3 2 6" xfId="29472" xr:uid="{00000000-0005-0000-0000-00004F720000}"/>
    <cellStyle name="Input 31 2 3 2 7" xfId="29473" xr:uid="{00000000-0005-0000-0000-000050720000}"/>
    <cellStyle name="Input 31 2 3 3" xfId="29474" xr:uid="{00000000-0005-0000-0000-000051720000}"/>
    <cellStyle name="Input 31 2 3 3 2" xfId="29475" xr:uid="{00000000-0005-0000-0000-000052720000}"/>
    <cellStyle name="Input 31 2 3 3 2 2" xfId="29476" xr:uid="{00000000-0005-0000-0000-000053720000}"/>
    <cellStyle name="Input 31 2 3 3 3" xfId="29477" xr:uid="{00000000-0005-0000-0000-000054720000}"/>
    <cellStyle name="Input 31 2 3 3 3 2" xfId="29478" xr:uid="{00000000-0005-0000-0000-000055720000}"/>
    <cellStyle name="Input 31 2 3 3 4" xfId="29479" xr:uid="{00000000-0005-0000-0000-000056720000}"/>
    <cellStyle name="Input 31 2 3 3 5" xfId="29480" xr:uid="{00000000-0005-0000-0000-000057720000}"/>
    <cellStyle name="Input 31 2 3 3 6" xfId="29481" xr:uid="{00000000-0005-0000-0000-000058720000}"/>
    <cellStyle name="Input 31 2 3 4" xfId="29482" xr:uid="{00000000-0005-0000-0000-000059720000}"/>
    <cellStyle name="Input 31 2 3 4 2" xfId="29483" xr:uid="{00000000-0005-0000-0000-00005A720000}"/>
    <cellStyle name="Input 31 2 3 5" xfId="29484" xr:uid="{00000000-0005-0000-0000-00005B720000}"/>
    <cellStyle name="Input 31 2 3 5 2" xfId="29485" xr:uid="{00000000-0005-0000-0000-00005C720000}"/>
    <cellStyle name="Input 31 2 3 6" xfId="29486" xr:uid="{00000000-0005-0000-0000-00005D720000}"/>
    <cellStyle name="Input 31 2 3 7" xfId="29487" xr:uid="{00000000-0005-0000-0000-00005E720000}"/>
    <cellStyle name="Input 31 2 3 8" xfId="29488" xr:uid="{00000000-0005-0000-0000-00005F720000}"/>
    <cellStyle name="Input 31 2 4" xfId="29489" xr:uid="{00000000-0005-0000-0000-000060720000}"/>
    <cellStyle name="Input 31 2 4 2" xfId="29490" xr:uid="{00000000-0005-0000-0000-000061720000}"/>
    <cellStyle name="Input 31 2 4 2 2" xfId="29491" xr:uid="{00000000-0005-0000-0000-000062720000}"/>
    <cellStyle name="Input 31 2 4 2 2 2" xfId="29492" xr:uid="{00000000-0005-0000-0000-000063720000}"/>
    <cellStyle name="Input 31 2 4 2 3" xfId="29493" xr:uid="{00000000-0005-0000-0000-000064720000}"/>
    <cellStyle name="Input 31 2 4 2 3 2" xfId="29494" xr:uid="{00000000-0005-0000-0000-000065720000}"/>
    <cellStyle name="Input 31 2 4 2 4" xfId="29495" xr:uid="{00000000-0005-0000-0000-000066720000}"/>
    <cellStyle name="Input 31 2 4 2 5" xfId="29496" xr:uid="{00000000-0005-0000-0000-000067720000}"/>
    <cellStyle name="Input 31 2 4 2 6" xfId="29497" xr:uid="{00000000-0005-0000-0000-000068720000}"/>
    <cellStyle name="Input 31 2 4 3" xfId="29498" xr:uid="{00000000-0005-0000-0000-000069720000}"/>
    <cellStyle name="Input 31 2 4 3 2" xfId="29499" xr:uid="{00000000-0005-0000-0000-00006A720000}"/>
    <cellStyle name="Input 31 2 4 4" xfId="29500" xr:uid="{00000000-0005-0000-0000-00006B720000}"/>
    <cellStyle name="Input 31 2 4 4 2" xfId="29501" xr:uid="{00000000-0005-0000-0000-00006C720000}"/>
    <cellStyle name="Input 31 2 4 5" xfId="29502" xr:uid="{00000000-0005-0000-0000-00006D720000}"/>
    <cellStyle name="Input 31 2 4 6" xfId="29503" xr:uid="{00000000-0005-0000-0000-00006E720000}"/>
    <cellStyle name="Input 31 2 4 7" xfId="29504" xr:uid="{00000000-0005-0000-0000-00006F720000}"/>
    <cellStyle name="Input 31 2 5" xfId="29505" xr:uid="{00000000-0005-0000-0000-000070720000}"/>
    <cellStyle name="Input 31 2 5 2" xfId="29506" xr:uid="{00000000-0005-0000-0000-000071720000}"/>
    <cellStyle name="Input 31 2 5 2 2" xfId="29507" xr:uid="{00000000-0005-0000-0000-000072720000}"/>
    <cellStyle name="Input 31 2 5 3" xfId="29508" xr:uid="{00000000-0005-0000-0000-000073720000}"/>
    <cellStyle name="Input 31 2 5 3 2" xfId="29509" xr:uid="{00000000-0005-0000-0000-000074720000}"/>
    <cellStyle name="Input 31 2 5 4" xfId="29510" xr:uid="{00000000-0005-0000-0000-000075720000}"/>
    <cellStyle name="Input 31 2 5 5" xfId="29511" xr:uid="{00000000-0005-0000-0000-000076720000}"/>
    <cellStyle name="Input 31 2 5 6" xfId="29512" xr:uid="{00000000-0005-0000-0000-000077720000}"/>
    <cellStyle name="Input 31 2 6" xfId="29513" xr:uid="{00000000-0005-0000-0000-000078720000}"/>
    <cellStyle name="Input 31 2 6 2" xfId="29514" xr:uid="{00000000-0005-0000-0000-000079720000}"/>
    <cellStyle name="Input 31 2 7" xfId="29515" xr:uid="{00000000-0005-0000-0000-00007A720000}"/>
    <cellStyle name="Input 31 2 7 2" xfId="29516" xr:uid="{00000000-0005-0000-0000-00007B720000}"/>
    <cellStyle name="Input 31 2 8" xfId="29517" xr:uid="{00000000-0005-0000-0000-00007C720000}"/>
    <cellStyle name="Input 31 2 9" xfId="29518" xr:uid="{00000000-0005-0000-0000-00007D720000}"/>
    <cellStyle name="Input 31 3" xfId="29519" xr:uid="{00000000-0005-0000-0000-00007E720000}"/>
    <cellStyle name="Input 31 3 2" xfId="29520" xr:uid="{00000000-0005-0000-0000-00007F720000}"/>
    <cellStyle name="Input 31 3 2 2" xfId="29521" xr:uid="{00000000-0005-0000-0000-000080720000}"/>
    <cellStyle name="Input 31 3 2 2 2" xfId="29522" xr:uid="{00000000-0005-0000-0000-000081720000}"/>
    <cellStyle name="Input 31 3 2 2 2 2" xfId="29523" xr:uid="{00000000-0005-0000-0000-000082720000}"/>
    <cellStyle name="Input 31 3 2 2 3" xfId="29524" xr:uid="{00000000-0005-0000-0000-000083720000}"/>
    <cellStyle name="Input 31 3 2 2 3 2" xfId="29525" xr:uid="{00000000-0005-0000-0000-000084720000}"/>
    <cellStyle name="Input 31 3 2 2 4" xfId="29526" xr:uid="{00000000-0005-0000-0000-000085720000}"/>
    <cellStyle name="Input 31 3 2 2 5" xfId="29527" xr:uid="{00000000-0005-0000-0000-000086720000}"/>
    <cellStyle name="Input 31 3 2 2 6" xfId="29528" xr:uid="{00000000-0005-0000-0000-000087720000}"/>
    <cellStyle name="Input 31 3 2 3" xfId="29529" xr:uid="{00000000-0005-0000-0000-000088720000}"/>
    <cellStyle name="Input 31 3 2 3 2" xfId="29530" xr:uid="{00000000-0005-0000-0000-000089720000}"/>
    <cellStyle name="Input 31 3 2 4" xfId="29531" xr:uid="{00000000-0005-0000-0000-00008A720000}"/>
    <cellStyle name="Input 31 3 2 4 2" xfId="29532" xr:uid="{00000000-0005-0000-0000-00008B720000}"/>
    <cellStyle name="Input 31 3 2 5" xfId="29533" xr:uid="{00000000-0005-0000-0000-00008C720000}"/>
    <cellStyle name="Input 31 3 2 6" xfId="29534" xr:uid="{00000000-0005-0000-0000-00008D720000}"/>
    <cellStyle name="Input 31 3 2 7" xfId="29535" xr:uid="{00000000-0005-0000-0000-00008E720000}"/>
    <cellStyle name="Input 31 3 3" xfId="29536" xr:uid="{00000000-0005-0000-0000-00008F720000}"/>
    <cellStyle name="Input 31 3 3 2" xfId="29537" xr:uid="{00000000-0005-0000-0000-000090720000}"/>
    <cellStyle name="Input 31 3 3 2 2" xfId="29538" xr:uid="{00000000-0005-0000-0000-000091720000}"/>
    <cellStyle name="Input 31 3 3 3" xfId="29539" xr:uid="{00000000-0005-0000-0000-000092720000}"/>
    <cellStyle name="Input 31 3 3 3 2" xfId="29540" xr:uid="{00000000-0005-0000-0000-000093720000}"/>
    <cellStyle name="Input 31 3 3 4" xfId="29541" xr:uid="{00000000-0005-0000-0000-000094720000}"/>
    <cellStyle name="Input 31 3 3 5" xfId="29542" xr:uid="{00000000-0005-0000-0000-000095720000}"/>
    <cellStyle name="Input 31 3 3 6" xfId="29543" xr:uid="{00000000-0005-0000-0000-000096720000}"/>
    <cellStyle name="Input 31 3 4" xfId="29544" xr:uid="{00000000-0005-0000-0000-000097720000}"/>
    <cellStyle name="Input 31 3 4 2" xfId="29545" xr:uid="{00000000-0005-0000-0000-000098720000}"/>
    <cellStyle name="Input 31 3 5" xfId="29546" xr:uid="{00000000-0005-0000-0000-000099720000}"/>
    <cellStyle name="Input 31 3 5 2" xfId="29547" xr:uid="{00000000-0005-0000-0000-00009A720000}"/>
    <cellStyle name="Input 31 3 6" xfId="29548" xr:uid="{00000000-0005-0000-0000-00009B720000}"/>
    <cellStyle name="Input 31 3 7" xfId="29549" xr:uid="{00000000-0005-0000-0000-00009C720000}"/>
    <cellStyle name="Input 31 3 8" xfId="29550" xr:uid="{00000000-0005-0000-0000-00009D720000}"/>
    <cellStyle name="Input 31 4" xfId="29551" xr:uid="{00000000-0005-0000-0000-00009E720000}"/>
    <cellStyle name="Input 31 4 2" xfId="29552" xr:uid="{00000000-0005-0000-0000-00009F720000}"/>
    <cellStyle name="Input 31 4 2 2" xfId="29553" xr:uid="{00000000-0005-0000-0000-0000A0720000}"/>
    <cellStyle name="Input 31 4 2 2 2" xfId="29554" xr:uid="{00000000-0005-0000-0000-0000A1720000}"/>
    <cellStyle name="Input 31 4 2 2 2 2" xfId="29555" xr:uid="{00000000-0005-0000-0000-0000A2720000}"/>
    <cellStyle name="Input 31 4 2 2 3" xfId="29556" xr:uid="{00000000-0005-0000-0000-0000A3720000}"/>
    <cellStyle name="Input 31 4 2 2 3 2" xfId="29557" xr:uid="{00000000-0005-0000-0000-0000A4720000}"/>
    <cellStyle name="Input 31 4 2 2 4" xfId="29558" xr:uid="{00000000-0005-0000-0000-0000A5720000}"/>
    <cellStyle name="Input 31 4 2 2 5" xfId="29559" xr:uid="{00000000-0005-0000-0000-0000A6720000}"/>
    <cellStyle name="Input 31 4 2 2 6" xfId="29560" xr:uid="{00000000-0005-0000-0000-0000A7720000}"/>
    <cellStyle name="Input 31 4 2 3" xfId="29561" xr:uid="{00000000-0005-0000-0000-0000A8720000}"/>
    <cellStyle name="Input 31 4 2 3 2" xfId="29562" xr:uid="{00000000-0005-0000-0000-0000A9720000}"/>
    <cellStyle name="Input 31 4 2 4" xfId="29563" xr:uid="{00000000-0005-0000-0000-0000AA720000}"/>
    <cellStyle name="Input 31 4 2 4 2" xfId="29564" xr:uid="{00000000-0005-0000-0000-0000AB720000}"/>
    <cellStyle name="Input 31 4 2 5" xfId="29565" xr:uid="{00000000-0005-0000-0000-0000AC720000}"/>
    <cellStyle name="Input 31 4 2 6" xfId="29566" xr:uid="{00000000-0005-0000-0000-0000AD720000}"/>
    <cellStyle name="Input 31 4 2 7" xfId="29567" xr:uid="{00000000-0005-0000-0000-0000AE720000}"/>
    <cellStyle name="Input 31 4 3" xfId="29568" xr:uid="{00000000-0005-0000-0000-0000AF720000}"/>
    <cellStyle name="Input 31 4 3 2" xfId="29569" xr:uid="{00000000-0005-0000-0000-0000B0720000}"/>
    <cellStyle name="Input 31 4 3 2 2" xfId="29570" xr:uid="{00000000-0005-0000-0000-0000B1720000}"/>
    <cellStyle name="Input 31 4 3 3" xfId="29571" xr:uid="{00000000-0005-0000-0000-0000B2720000}"/>
    <cellStyle name="Input 31 4 3 3 2" xfId="29572" xr:uid="{00000000-0005-0000-0000-0000B3720000}"/>
    <cellStyle name="Input 31 4 3 4" xfId="29573" xr:uid="{00000000-0005-0000-0000-0000B4720000}"/>
    <cellStyle name="Input 31 4 3 5" xfId="29574" xr:uid="{00000000-0005-0000-0000-0000B5720000}"/>
    <cellStyle name="Input 31 4 3 6" xfId="29575" xr:uid="{00000000-0005-0000-0000-0000B6720000}"/>
    <cellStyle name="Input 31 4 4" xfId="29576" xr:uid="{00000000-0005-0000-0000-0000B7720000}"/>
    <cellStyle name="Input 31 4 4 2" xfId="29577" xr:uid="{00000000-0005-0000-0000-0000B8720000}"/>
    <cellStyle name="Input 31 4 5" xfId="29578" xr:uid="{00000000-0005-0000-0000-0000B9720000}"/>
    <cellStyle name="Input 31 4 5 2" xfId="29579" xr:uid="{00000000-0005-0000-0000-0000BA720000}"/>
    <cellStyle name="Input 31 4 6" xfId="29580" xr:uid="{00000000-0005-0000-0000-0000BB720000}"/>
    <cellStyle name="Input 31 4 7" xfId="29581" xr:uid="{00000000-0005-0000-0000-0000BC720000}"/>
    <cellStyle name="Input 31 4 8" xfId="29582" xr:uid="{00000000-0005-0000-0000-0000BD720000}"/>
    <cellStyle name="Input 31 5" xfId="29583" xr:uid="{00000000-0005-0000-0000-0000BE720000}"/>
    <cellStyle name="Input 31 5 2" xfId="29584" xr:uid="{00000000-0005-0000-0000-0000BF720000}"/>
    <cellStyle name="Input 31 5 2 2" xfId="29585" xr:uid="{00000000-0005-0000-0000-0000C0720000}"/>
    <cellStyle name="Input 31 5 2 2 2" xfId="29586" xr:uid="{00000000-0005-0000-0000-0000C1720000}"/>
    <cellStyle name="Input 31 5 2 3" xfId="29587" xr:uid="{00000000-0005-0000-0000-0000C2720000}"/>
    <cellStyle name="Input 31 5 2 3 2" xfId="29588" xr:uid="{00000000-0005-0000-0000-0000C3720000}"/>
    <cellStyle name="Input 31 5 2 4" xfId="29589" xr:uid="{00000000-0005-0000-0000-0000C4720000}"/>
    <cellStyle name="Input 31 5 2 5" xfId="29590" xr:uid="{00000000-0005-0000-0000-0000C5720000}"/>
    <cellStyle name="Input 31 5 2 6" xfId="29591" xr:uid="{00000000-0005-0000-0000-0000C6720000}"/>
    <cellStyle name="Input 31 5 3" xfId="29592" xr:uid="{00000000-0005-0000-0000-0000C7720000}"/>
    <cellStyle name="Input 31 5 3 2" xfId="29593" xr:uid="{00000000-0005-0000-0000-0000C8720000}"/>
    <cellStyle name="Input 31 5 4" xfId="29594" xr:uid="{00000000-0005-0000-0000-0000C9720000}"/>
    <cellStyle name="Input 31 5 4 2" xfId="29595" xr:uid="{00000000-0005-0000-0000-0000CA720000}"/>
    <cellStyle name="Input 31 5 5" xfId="29596" xr:uid="{00000000-0005-0000-0000-0000CB720000}"/>
    <cellStyle name="Input 31 5 6" xfId="29597" xr:uid="{00000000-0005-0000-0000-0000CC720000}"/>
    <cellStyle name="Input 31 5 7" xfId="29598" xr:uid="{00000000-0005-0000-0000-0000CD720000}"/>
    <cellStyle name="Input 31 6" xfId="29599" xr:uid="{00000000-0005-0000-0000-0000CE720000}"/>
    <cellStyle name="Input 31 6 2" xfId="29600" xr:uid="{00000000-0005-0000-0000-0000CF720000}"/>
    <cellStyle name="Input 31 6 2 2" xfId="29601" xr:uid="{00000000-0005-0000-0000-0000D0720000}"/>
    <cellStyle name="Input 31 6 3" xfId="29602" xr:uid="{00000000-0005-0000-0000-0000D1720000}"/>
    <cellStyle name="Input 31 6 3 2" xfId="29603" xr:uid="{00000000-0005-0000-0000-0000D2720000}"/>
    <cellStyle name="Input 31 6 4" xfId="29604" xr:uid="{00000000-0005-0000-0000-0000D3720000}"/>
    <cellStyle name="Input 31 6 5" xfId="29605" xr:uid="{00000000-0005-0000-0000-0000D4720000}"/>
    <cellStyle name="Input 31 6 6" xfId="29606" xr:uid="{00000000-0005-0000-0000-0000D5720000}"/>
    <cellStyle name="Input 31 7" xfId="29607" xr:uid="{00000000-0005-0000-0000-0000D6720000}"/>
    <cellStyle name="Input 31 7 2" xfId="29608" xr:uid="{00000000-0005-0000-0000-0000D7720000}"/>
    <cellStyle name="Input 31 8" xfId="29609" xr:uid="{00000000-0005-0000-0000-0000D8720000}"/>
    <cellStyle name="Input 31 8 2" xfId="29610" xr:uid="{00000000-0005-0000-0000-0000D9720000}"/>
    <cellStyle name="Input 31 9" xfId="29611" xr:uid="{00000000-0005-0000-0000-0000DA720000}"/>
    <cellStyle name="Input 32" xfId="29612" xr:uid="{00000000-0005-0000-0000-0000DB720000}"/>
    <cellStyle name="Input 32 10" xfId="29613" xr:uid="{00000000-0005-0000-0000-0000DC720000}"/>
    <cellStyle name="Input 32 2" xfId="29614" xr:uid="{00000000-0005-0000-0000-0000DD720000}"/>
    <cellStyle name="Input 32 2 10" xfId="29615" xr:uid="{00000000-0005-0000-0000-0000DE720000}"/>
    <cellStyle name="Input 32 2 2" xfId="29616" xr:uid="{00000000-0005-0000-0000-0000DF720000}"/>
    <cellStyle name="Input 32 2 2 2" xfId="29617" xr:uid="{00000000-0005-0000-0000-0000E0720000}"/>
    <cellStyle name="Input 32 2 2 2 2" xfId="29618" xr:uid="{00000000-0005-0000-0000-0000E1720000}"/>
    <cellStyle name="Input 32 2 2 2 2 2" xfId="29619" xr:uid="{00000000-0005-0000-0000-0000E2720000}"/>
    <cellStyle name="Input 32 2 2 2 2 2 2" xfId="29620" xr:uid="{00000000-0005-0000-0000-0000E3720000}"/>
    <cellStyle name="Input 32 2 2 2 2 3" xfId="29621" xr:uid="{00000000-0005-0000-0000-0000E4720000}"/>
    <cellStyle name="Input 32 2 2 2 2 3 2" xfId="29622" xr:uid="{00000000-0005-0000-0000-0000E5720000}"/>
    <cellStyle name="Input 32 2 2 2 2 4" xfId="29623" xr:uid="{00000000-0005-0000-0000-0000E6720000}"/>
    <cellStyle name="Input 32 2 2 2 2 5" xfId="29624" xr:uid="{00000000-0005-0000-0000-0000E7720000}"/>
    <cellStyle name="Input 32 2 2 2 2 6" xfId="29625" xr:uid="{00000000-0005-0000-0000-0000E8720000}"/>
    <cellStyle name="Input 32 2 2 2 3" xfId="29626" xr:uid="{00000000-0005-0000-0000-0000E9720000}"/>
    <cellStyle name="Input 32 2 2 2 3 2" xfId="29627" xr:uid="{00000000-0005-0000-0000-0000EA720000}"/>
    <cellStyle name="Input 32 2 2 2 4" xfId="29628" xr:uid="{00000000-0005-0000-0000-0000EB720000}"/>
    <cellStyle name="Input 32 2 2 2 4 2" xfId="29629" xr:uid="{00000000-0005-0000-0000-0000EC720000}"/>
    <cellStyle name="Input 32 2 2 2 5" xfId="29630" xr:uid="{00000000-0005-0000-0000-0000ED720000}"/>
    <cellStyle name="Input 32 2 2 2 6" xfId="29631" xr:uid="{00000000-0005-0000-0000-0000EE720000}"/>
    <cellStyle name="Input 32 2 2 2 7" xfId="29632" xr:uid="{00000000-0005-0000-0000-0000EF720000}"/>
    <cellStyle name="Input 32 2 2 3" xfId="29633" xr:uid="{00000000-0005-0000-0000-0000F0720000}"/>
    <cellStyle name="Input 32 2 2 3 2" xfId="29634" xr:uid="{00000000-0005-0000-0000-0000F1720000}"/>
    <cellStyle name="Input 32 2 2 3 2 2" xfId="29635" xr:uid="{00000000-0005-0000-0000-0000F2720000}"/>
    <cellStyle name="Input 32 2 2 3 3" xfId="29636" xr:uid="{00000000-0005-0000-0000-0000F3720000}"/>
    <cellStyle name="Input 32 2 2 3 3 2" xfId="29637" xr:uid="{00000000-0005-0000-0000-0000F4720000}"/>
    <cellStyle name="Input 32 2 2 3 4" xfId="29638" xr:uid="{00000000-0005-0000-0000-0000F5720000}"/>
    <cellStyle name="Input 32 2 2 3 5" xfId="29639" xr:uid="{00000000-0005-0000-0000-0000F6720000}"/>
    <cellStyle name="Input 32 2 2 3 6" xfId="29640" xr:uid="{00000000-0005-0000-0000-0000F7720000}"/>
    <cellStyle name="Input 32 2 2 4" xfId="29641" xr:uid="{00000000-0005-0000-0000-0000F8720000}"/>
    <cellStyle name="Input 32 2 2 4 2" xfId="29642" xr:uid="{00000000-0005-0000-0000-0000F9720000}"/>
    <cellStyle name="Input 32 2 2 5" xfId="29643" xr:uid="{00000000-0005-0000-0000-0000FA720000}"/>
    <cellStyle name="Input 32 2 2 5 2" xfId="29644" xr:uid="{00000000-0005-0000-0000-0000FB720000}"/>
    <cellStyle name="Input 32 2 2 6" xfId="29645" xr:uid="{00000000-0005-0000-0000-0000FC720000}"/>
    <cellStyle name="Input 32 2 2 7" xfId="29646" xr:uid="{00000000-0005-0000-0000-0000FD720000}"/>
    <cellStyle name="Input 32 2 2 8" xfId="29647" xr:uid="{00000000-0005-0000-0000-0000FE720000}"/>
    <cellStyle name="Input 32 2 3" xfId="29648" xr:uid="{00000000-0005-0000-0000-0000FF720000}"/>
    <cellStyle name="Input 32 2 3 2" xfId="29649" xr:uid="{00000000-0005-0000-0000-000000730000}"/>
    <cellStyle name="Input 32 2 3 2 2" xfId="29650" xr:uid="{00000000-0005-0000-0000-000001730000}"/>
    <cellStyle name="Input 32 2 3 2 2 2" xfId="29651" xr:uid="{00000000-0005-0000-0000-000002730000}"/>
    <cellStyle name="Input 32 2 3 2 2 2 2" xfId="29652" xr:uid="{00000000-0005-0000-0000-000003730000}"/>
    <cellStyle name="Input 32 2 3 2 2 3" xfId="29653" xr:uid="{00000000-0005-0000-0000-000004730000}"/>
    <cellStyle name="Input 32 2 3 2 2 3 2" xfId="29654" xr:uid="{00000000-0005-0000-0000-000005730000}"/>
    <cellStyle name="Input 32 2 3 2 2 4" xfId="29655" xr:uid="{00000000-0005-0000-0000-000006730000}"/>
    <cellStyle name="Input 32 2 3 2 2 5" xfId="29656" xr:uid="{00000000-0005-0000-0000-000007730000}"/>
    <cellStyle name="Input 32 2 3 2 2 6" xfId="29657" xr:uid="{00000000-0005-0000-0000-000008730000}"/>
    <cellStyle name="Input 32 2 3 2 3" xfId="29658" xr:uid="{00000000-0005-0000-0000-000009730000}"/>
    <cellStyle name="Input 32 2 3 2 3 2" xfId="29659" xr:uid="{00000000-0005-0000-0000-00000A730000}"/>
    <cellStyle name="Input 32 2 3 2 4" xfId="29660" xr:uid="{00000000-0005-0000-0000-00000B730000}"/>
    <cellStyle name="Input 32 2 3 2 4 2" xfId="29661" xr:uid="{00000000-0005-0000-0000-00000C730000}"/>
    <cellStyle name="Input 32 2 3 2 5" xfId="29662" xr:uid="{00000000-0005-0000-0000-00000D730000}"/>
    <cellStyle name="Input 32 2 3 2 6" xfId="29663" xr:uid="{00000000-0005-0000-0000-00000E730000}"/>
    <cellStyle name="Input 32 2 3 2 7" xfId="29664" xr:uid="{00000000-0005-0000-0000-00000F730000}"/>
    <cellStyle name="Input 32 2 3 3" xfId="29665" xr:uid="{00000000-0005-0000-0000-000010730000}"/>
    <cellStyle name="Input 32 2 3 3 2" xfId="29666" xr:uid="{00000000-0005-0000-0000-000011730000}"/>
    <cellStyle name="Input 32 2 3 3 2 2" xfId="29667" xr:uid="{00000000-0005-0000-0000-000012730000}"/>
    <cellStyle name="Input 32 2 3 3 3" xfId="29668" xr:uid="{00000000-0005-0000-0000-000013730000}"/>
    <cellStyle name="Input 32 2 3 3 3 2" xfId="29669" xr:uid="{00000000-0005-0000-0000-000014730000}"/>
    <cellStyle name="Input 32 2 3 3 4" xfId="29670" xr:uid="{00000000-0005-0000-0000-000015730000}"/>
    <cellStyle name="Input 32 2 3 3 5" xfId="29671" xr:uid="{00000000-0005-0000-0000-000016730000}"/>
    <cellStyle name="Input 32 2 3 3 6" xfId="29672" xr:uid="{00000000-0005-0000-0000-000017730000}"/>
    <cellStyle name="Input 32 2 3 4" xfId="29673" xr:uid="{00000000-0005-0000-0000-000018730000}"/>
    <cellStyle name="Input 32 2 3 4 2" xfId="29674" xr:uid="{00000000-0005-0000-0000-000019730000}"/>
    <cellStyle name="Input 32 2 3 5" xfId="29675" xr:uid="{00000000-0005-0000-0000-00001A730000}"/>
    <cellStyle name="Input 32 2 3 5 2" xfId="29676" xr:uid="{00000000-0005-0000-0000-00001B730000}"/>
    <cellStyle name="Input 32 2 3 6" xfId="29677" xr:uid="{00000000-0005-0000-0000-00001C730000}"/>
    <cellStyle name="Input 32 2 3 7" xfId="29678" xr:uid="{00000000-0005-0000-0000-00001D730000}"/>
    <cellStyle name="Input 32 2 3 8" xfId="29679" xr:uid="{00000000-0005-0000-0000-00001E730000}"/>
    <cellStyle name="Input 32 2 4" xfId="29680" xr:uid="{00000000-0005-0000-0000-00001F730000}"/>
    <cellStyle name="Input 32 2 4 2" xfId="29681" xr:uid="{00000000-0005-0000-0000-000020730000}"/>
    <cellStyle name="Input 32 2 4 2 2" xfId="29682" xr:uid="{00000000-0005-0000-0000-000021730000}"/>
    <cellStyle name="Input 32 2 4 2 2 2" xfId="29683" xr:uid="{00000000-0005-0000-0000-000022730000}"/>
    <cellStyle name="Input 32 2 4 2 3" xfId="29684" xr:uid="{00000000-0005-0000-0000-000023730000}"/>
    <cellStyle name="Input 32 2 4 2 3 2" xfId="29685" xr:uid="{00000000-0005-0000-0000-000024730000}"/>
    <cellStyle name="Input 32 2 4 2 4" xfId="29686" xr:uid="{00000000-0005-0000-0000-000025730000}"/>
    <cellStyle name="Input 32 2 4 2 5" xfId="29687" xr:uid="{00000000-0005-0000-0000-000026730000}"/>
    <cellStyle name="Input 32 2 4 2 6" xfId="29688" xr:uid="{00000000-0005-0000-0000-000027730000}"/>
    <cellStyle name="Input 32 2 4 3" xfId="29689" xr:uid="{00000000-0005-0000-0000-000028730000}"/>
    <cellStyle name="Input 32 2 4 3 2" xfId="29690" xr:uid="{00000000-0005-0000-0000-000029730000}"/>
    <cellStyle name="Input 32 2 4 4" xfId="29691" xr:uid="{00000000-0005-0000-0000-00002A730000}"/>
    <cellStyle name="Input 32 2 4 4 2" xfId="29692" xr:uid="{00000000-0005-0000-0000-00002B730000}"/>
    <cellStyle name="Input 32 2 4 5" xfId="29693" xr:uid="{00000000-0005-0000-0000-00002C730000}"/>
    <cellStyle name="Input 32 2 4 6" xfId="29694" xr:uid="{00000000-0005-0000-0000-00002D730000}"/>
    <cellStyle name="Input 32 2 4 7" xfId="29695" xr:uid="{00000000-0005-0000-0000-00002E730000}"/>
    <cellStyle name="Input 32 2 5" xfId="29696" xr:uid="{00000000-0005-0000-0000-00002F730000}"/>
    <cellStyle name="Input 32 2 5 2" xfId="29697" xr:uid="{00000000-0005-0000-0000-000030730000}"/>
    <cellStyle name="Input 32 2 5 2 2" xfId="29698" xr:uid="{00000000-0005-0000-0000-000031730000}"/>
    <cellStyle name="Input 32 2 5 3" xfId="29699" xr:uid="{00000000-0005-0000-0000-000032730000}"/>
    <cellStyle name="Input 32 2 5 3 2" xfId="29700" xr:uid="{00000000-0005-0000-0000-000033730000}"/>
    <cellStyle name="Input 32 2 5 4" xfId="29701" xr:uid="{00000000-0005-0000-0000-000034730000}"/>
    <cellStyle name="Input 32 2 5 5" xfId="29702" xr:uid="{00000000-0005-0000-0000-000035730000}"/>
    <cellStyle name="Input 32 2 5 6" xfId="29703" xr:uid="{00000000-0005-0000-0000-000036730000}"/>
    <cellStyle name="Input 32 2 6" xfId="29704" xr:uid="{00000000-0005-0000-0000-000037730000}"/>
    <cellStyle name="Input 32 2 6 2" xfId="29705" xr:uid="{00000000-0005-0000-0000-000038730000}"/>
    <cellStyle name="Input 32 2 7" xfId="29706" xr:uid="{00000000-0005-0000-0000-000039730000}"/>
    <cellStyle name="Input 32 2 7 2" xfId="29707" xr:uid="{00000000-0005-0000-0000-00003A730000}"/>
    <cellStyle name="Input 32 2 8" xfId="29708" xr:uid="{00000000-0005-0000-0000-00003B730000}"/>
    <cellStyle name="Input 32 2 9" xfId="29709" xr:uid="{00000000-0005-0000-0000-00003C730000}"/>
    <cellStyle name="Input 32 3" xfId="29710" xr:uid="{00000000-0005-0000-0000-00003D730000}"/>
    <cellStyle name="Input 32 3 2" xfId="29711" xr:uid="{00000000-0005-0000-0000-00003E730000}"/>
    <cellStyle name="Input 32 3 2 2" xfId="29712" xr:uid="{00000000-0005-0000-0000-00003F730000}"/>
    <cellStyle name="Input 32 3 2 2 2" xfId="29713" xr:uid="{00000000-0005-0000-0000-000040730000}"/>
    <cellStyle name="Input 32 3 2 2 2 2" xfId="29714" xr:uid="{00000000-0005-0000-0000-000041730000}"/>
    <cellStyle name="Input 32 3 2 2 3" xfId="29715" xr:uid="{00000000-0005-0000-0000-000042730000}"/>
    <cellStyle name="Input 32 3 2 2 3 2" xfId="29716" xr:uid="{00000000-0005-0000-0000-000043730000}"/>
    <cellStyle name="Input 32 3 2 2 4" xfId="29717" xr:uid="{00000000-0005-0000-0000-000044730000}"/>
    <cellStyle name="Input 32 3 2 2 5" xfId="29718" xr:uid="{00000000-0005-0000-0000-000045730000}"/>
    <cellStyle name="Input 32 3 2 2 6" xfId="29719" xr:uid="{00000000-0005-0000-0000-000046730000}"/>
    <cellStyle name="Input 32 3 2 3" xfId="29720" xr:uid="{00000000-0005-0000-0000-000047730000}"/>
    <cellStyle name="Input 32 3 2 3 2" xfId="29721" xr:uid="{00000000-0005-0000-0000-000048730000}"/>
    <cellStyle name="Input 32 3 2 4" xfId="29722" xr:uid="{00000000-0005-0000-0000-000049730000}"/>
    <cellStyle name="Input 32 3 2 4 2" xfId="29723" xr:uid="{00000000-0005-0000-0000-00004A730000}"/>
    <cellStyle name="Input 32 3 2 5" xfId="29724" xr:uid="{00000000-0005-0000-0000-00004B730000}"/>
    <cellStyle name="Input 32 3 2 6" xfId="29725" xr:uid="{00000000-0005-0000-0000-00004C730000}"/>
    <cellStyle name="Input 32 3 2 7" xfId="29726" xr:uid="{00000000-0005-0000-0000-00004D730000}"/>
    <cellStyle name="Input 32 3 3" xfId="29727" xr:uid="{00000000-0005-0000-0000-00004E730000}"/>
    <cellStyle name="Input 32 3 3 2" xfId="29728" xr:uid="{00000000-0005-0000-0000-00004F730000}"/>
    <cellStyle name="Input 32 3 3 2 2" xfId="29729" xr:uid="{00000000-0005-0000-0000-000050730000}"/>
    <cellStyle name="Input 32 3 3 3" xfId="29730" xr:uid="{00000000-0005-0000-0000-000051730000}"/>
    <cellStyle name="Input 32 3 3 3 2" xfId="29731" xr:uid="{00000000-0005-0000-0000-000052730000}"/>
    <cellStyle name="Input 32 3 3 4" xfId="29732" xr:uid="{00000000-0005-0000-0000-000053730000}"/>
    <cellStyle name="Input 32 3 3 5" xfId="29733" xr:uid="{00000000-0005-0000-0000-000054730000}"/>
    <cellStyle name="Input 32 3 3 6" xfId="29734" xr:uid="{00000000-0005-0000-0000-000055730000}"/>
    <cellStyle name="Input 32 3 4" xfId="29735" xr:uid="{00000000-0005-0000-0000-000056730000}"/>
    <cellStyle name="Input 32 3 4 2" xfId="29736" xr:uid="{00000000-0005-0000-0000-000057730000}"/>
    <cellStyle name="Input 32 3 5" xfId="29737" xr:uid="{00000000-0005-0000-0000-000058730000}"/>
    <cellStyle name="Input 32 3 5 2" xfId="29738" xr:uid="{00000000-0005-0000-0000-000059730000}"/>
    <cellStyle name="Input 32 3 6" xfId="29739" xr:uid="{00000000-0005-0000-0000-00005A730000}"/>
    <cellStyle name="Input 32 3 7" xfId="29740" xr:uid="{00000000-0005-0000-0000-00005B730000}"/>
    <cellStyle name="Input 32 3 8" xfId="29741" xr:uid="{00000000-0005-0000-0000-00005C730000}"/>
    <cellStyle name="Input 32 4" xfId="29742" xr:uid="{00000000-0005-0000-0000-00005D730000}"/>
    <cellStyle name="Input 32 4 2" xfId="29743" xr:uid="{00000000-0005-0000-0000-00005E730000}"/>
    <cellStyle name="Input 32 4 2 2" xfId="29744" xr:uid="{00000000-0005-0000-0000-00005F730000}"/>
    <cellStyle name="Input 32 4 2 2 2" xfId="29745" xr:uid="{00000000-0005-0000-0000-000060730000}"/>
    <cellStyle name="Input 32 4 2 3" xfId="29746" xr:uid="{00000000-0005-0000-0000-000061730000}"/>
    <cellStyle name="Input 32 4 2 3 2" xfId="29747" xr:uid="{00000000-0005-0000-0000-000062730000}"/>
    <cellStyle name="Input 32 4 2 4" xfId="29748" xr:uid="{00000000-0005-0000-0000-000063730000}"/>
    <cellStyle name="Input 32 4 2 5" xfId="29749" xr:uid="{00000000-0005-0000-0000-000064730000}"/>
    <cellStyle name="Input 32 4 2 6" xfId="29750" xr:uid="{00000000-0005-0000-0000-000065730000}"/>
    <cellStyle name="Input 32 4 3" xfId="29751" xr:uid="{00000000-0005-0000-0000-000066730000}"/>
    <cellStyle name="Input 32 4 3 2" xfId="29752" xr:uid="{00000000-0005-0000-0000-000067730000}"/>
    <cellStyle name="Input 32 4 4" xfId="29753" xr:uid="{00000000-0005-0000-0000-000068730000}"/>
    <cellStyle name="Input 32 4 4 2" xfId="29754" xr:uid="{00000000-0005-0000-0000-000069730000}"/>
    <cellStyle name="Input 32 4 5" xfId="29755" xr:uid="{00000000-0005-0000-0000-00006A730000}"/>
    <cellStyle name="Input 32 4 6" xfId="29756" xr:uid="{00000000-0005-0000-0000-00006B730000}"/>
    <cellStyle name="Input 32 4 7" xfId="29757" xr:uid="{00000000-0005-0000-0000-00006C730000}"/>
    <cellStyle name="Input 32 5" xfId="29758" xr:uid="{00000000-0005-0000-0000-00006D730000}"/>
    <cellStyle name="Input 32 5 2" xfId="29759" xr:uid="{00000000-0005-0000-0000-00006E730000}"/>
    <cellStyle name="Input 32 5 2 2" xfId="29760" xr:uid="{00000000-0005-0000-0000-00006F730000}"/>
    <cellStyle name="Input 32 5 3" xfId="29761" xr:uid="{00000000-0005-0000-0000-000070730000}"/>
    <cellStyle name="Input 32 5 3 2" xfId="29762" xr:uid="{00000000-0005-0000-0000-000071730000}"/>
    <cellStyle name="Input 32 5 4" xfId="29763" xr:uid="{00000000-0005-0000-0000-000072730000}"/>
    <cellStyle name="Input 32 5 5" xfId="29764" xr:uid="{00000000-0005-0000-0000-000073730000}"/>
    <cellStyle name="Input 32 5 6" xfId="29765" xr:uid="{00000000-0005-0000-0000-000074730000}"/>
    <cellStyle name="Input 32 6" xfId="29766" xr:uid="{00000000-0005-0000-0000-000075730000}"/>
    <cellStyle name="Input 32 6 2" xfId="29767" xr:uid="{00000000-0005-0000-0000-000076730000}"/>
    <cellStyle name="Input 32 7" xfId="29768" xr:uid="{00000000-0005-0000-0000-000077730000}"/>
    <cellStyle name="Input 32 7 2" xfId="29769" xr:uid="{00000000-0005-0000-0000-000078730000}"/>
    <cellStyle name="Input 32 8" xfId="29770" xr:uid="{00000000-0005-0000-0000-000079730000}"/>
    <cellStyle name="Input 32 9" xfId="29771" xr:uid="{00000000-0005-0000-0000-00007A730000}"/>
    <cellStyle name="Input 33" xfId="29772" xr:uid="{00000000-0005-0000-0000-00007B730000}"/>
    <cellStyle name="Input 33 10" xfId="29773" xr:uid="{00000000-0005-0000-0000-00007C730000}"/>
    <cellStyle name="Input 33 2" xfId="29774" xr:uid="{00000000-0005-0000-0000-00007D730000}"/>
    <cellStyle name="Input 33 2 2" xfId="29775" xr:uid="{00000000-0005-0000-0000-00007E730000}"/>
    <cellStyle name="Input 33 2 2 2" xfId="29776" xr:uid="{00000000-0005-0000-0000-00007F730000}"/>
    <cellStyle name="Input 33 2 2 2 2" xfId="29777" xr:uid="{00000000-0005-0000-0000-000080730000}"/>
    <cellStyle name="Input 33 2 2 2 2 2" xfId="29778" xr:uid="{00000000-0005-0000-0000-000081730000}"/>
    <cellStyle name="Input 33 2 2 2 3" xfId="29779" xr:uid="{00000000-0005-0000-0000-000082730000}"/>
    <cellStyle name="Input 33 2 2 2 3 2" xfId="29780" xr:uid="{00000000-0005-0000-0000-000083730000}"/>
    <cellStyle name="Input 33 2 2 2 4" xfId="29781" xr:uid="{00000000-0005-0000-0000-000084730000}"/>
    <cellStyle name="Input 33 2 2 2 5" xfId="29782" xr:uid="{00000000-0005-0000-0000-000085730000}"/>
    <cellStyle name="Input 33 2 2 2 6" xfId="29783" xr:uid="{00000000-0005-0000-0000-000086730000}"/>
    <cellStyle name="Input 33 2 2 3" xfId="29784" xr:uid="{00000000-0005-0000-0000-000087730000}"/>
    <cellStyle name="Input 33 2 2 3 2" xfId="29785" xr:uid="{00000000-0005-0000-0000-000088730000}"/>
    <cellStyle name="Input 33 2 2 4" xfId="29786" xr:uid="{00000000-0005-0000-0000-000089730000}"/>
    <cellStyle name="Input 33 2 2 4 2" xfId="29787" xr:uid="{00000000-0005-0000-0000-00008A730000}"/>
    <cellStyle name="Input 33 2 2 5" xfId="29788" xr:uid="{00000000-0005-0000-0000-00008B730000}"/>
    <cellStyle name="Input 33 2 2 6" xfId="29789" xr:uid="{00000000-0005-0000-0000-00008C730000}"/>
    <cellStyle name="Input 33 2 2 7" xfId="29790" xr:uid="{00000000-0005-0000-0000-00008D730000}"/>
    <cellStyle name="Input 33 2 3" xfId="29791" xr:uid="{00000000-0005-0000-0000-00008E730000}"/>
    <cellStyle name="Input 33 2 3 2" xfId="29792" xr:uid="{00000000-0005-0000-0000-00008F730000}"/>
    <cellStyle name="Input 33 2 3 2 2" xfId="29793" xr:uid="{00000000-0005-0000-0000-000090730000}"/>
    <cellStyle name="Input 33 2 3 3" xfId="29794" xr:uid="{00000000-0005-0000-0000-000091730000}"/>
    <cellStyle name="Input 33 2 3 3 2" xfId="29795" xr:uid="{00000000-0005-0000-0000-000092730000}"/>
    <cellStyle name="Input 33 2 3 4" xfId="29796" xr:uid="{00000000-0005-0000-0000-000093730000}"/>
    <cellStyle name="Input 33 2 3 5" xfId="29797" xr:uid="{00000000-0005-0000-0000-000094730000}"/>
    <cellStyle name="Input 33 2 3 6" xfId="29798" xr:uid="{00000000-0005-0000-0000-000095730000}"/>
    <cellStyle name="Input 33 2 4" xfId="29799" xr:uid="{00000000-0005-0000-0000-000096730000}"/>
    <cellStyle name="Input 33 2 4 2" xfId="29800" xr:uid="{00000000-0005-0000-0000-000097730000}"/>
    <cellStyle name="Input 33 2 5" xfId="29801" xr:uid="{00000000-0005-0000-0000-000098730000}"/>
    <cellStyle name="Input 33 2 5 2" xfId="29802" xr:uid="{00000000-0005-0000-0000-000099730000}"/>
    <cellStyle name="Input 33 2 6" xfId="29803" xr:uid="{00000000-0005-0000-0000-00009A730000}"/>
    <cellStyle name="Input 33 2 7" xfId="29804" xr:uid="{00000000-0005-0000-0000-00009B730000}"/>
    <cellStyle name="Input 33 2 8" xfId="29805" xr:uid="{00000000-0005-0000-0000-00009C730000}"/>
    <cellStyle name="Input 33 3" xfId="29806" xr:uid="{00000000-0005-0000-0000-00009D730000}"/>
    <cellStyle name="Input 33 3 2" xfId="29807" xr:uid="{00000000-0005-0000-0000-00009E730000}"/>
    <cellStyle name="Input 33 3 2 2" xfId="29808" xr:uid="{00000000-0005-0000-0000-00009F730000}"/>
    <cellStyle name="Input 33 3 2 2 2" xfId="29809" xr:uid="{00000000-0005-0000-0000-0000A0730000}"/>
    <cellStyle name="Input 33 3 2 2 2 2" xfId="29810" xr:uid="{00000000-0005-0000-0000-0000A1730000}"/>
    <cellStyle name="Input 33 3 2 2 3" xfId="29811" xr:uid="{00000000-0005-0000-0000-0000A2730000}"/>
    <cellStyle name="Input 33 3 2 2 3 2" xfId="29812" xr:uid="{00000000-0005-0000-0000-0000A3730000}"/>
    <cellStyle name="Input 33 3 2 2 4" xfId="29813" xr:uid="{00000000-0005-0000-0000-0000A4730000}"/>
    <cellStyle name="Input 33 3 2 2 5" xfId="29814" xr:uid="{00000000-0005-0000-0000-0000A5730000}"/>
    <cellStyle name="Input 33 3 2 2 6" xfId="29815" xr:uid="{00000000-0005-0000-0000-0000A6730000}"/>
    <cellStyle name="Input 33 3 2 3" xfId="29816" xr:uid="{00000000-0005-0000-0000-0000A7730000}"/>
    <cellStyle name="Input 33 3 2 3 2" xfId="29817" xr:uid="{00000000-0005-0000-0000-0000A8730000}"/>
    <cellStyle name="Input 33 3 2 4" xfId="29818" xr:uid="{00000000-0005-0000-0000-0000A9730000}"/>
    <cellStyle name="Input 33 3 2 4 2" xfId="29819" xr:uid="{00000000-0005-0000-0000-0000AA730000}"/>
    <cellStyle name="Input 33 3 2 5" xfId="29820" xr:uid="{00000000-0005-0000-0000-0000AB730000}"/>
    <cellStyle name="Input 33 3 2 6" xfId="29821" xr:uid="{00000000-0005-0000-0000-0000AC730000}"/>
    <cellStyle name="Input 33 3 2 7" xfId="29822" xr:uid="{00000000-0005-0000-0000-0000AD730000}"/>
    <cellStyle name="Input 33 3 3" xfId="29823" xr:uid="{00000000-0005-0000-0000-0000AE730000}"/>
    <cellStyle name="Input 33 3 3 2" xfId="29824" xr:uid="{00000000-0005-0000-0000-0000AF730000}"/>
    <cellStyle name="Input 33 3 3 2 2" xfId="29825" xr:uid="{00000000-0005-0000-0000-0000B0730000}"/>
    <cellStyle name="Input 33 3 3 3" xfId="29826" xr:uid="{00000000-0005-0000-0000-0000B1730000}"/>
    <cellStyle name="Input 33 3 3 3 2" xfId="29827" xr:uid="{00000000-0005-0000-0000-0000B2730000}"/>
    <cellStyle name="Input 33 3 3 4" xfId="29828" xr:uid="{00000000-0005-0000-0000-0000B3730000}"/>
    <cellStyle name="Input 33 3 3 5" xfId="29829" xr:uid="{00000000-0005-0000-0000-0000B4730000}"/>
    <cellStyle name="Input 33 3 3 6" xfId="29830" xr:uid="{00000000-0005-0000-0000-0000B5730000}"/>
    <cellStyle name="Input 33 3 4" xfId="29831" xr:uid="{00000000-0005-0000-0000-0000B6730000}"/>
    <cellStyle name="Input 33 3 4 2" xfId="29832" xr:uid="{00000000-0005-0000-0000-0000B7730000}"/>
    <cellStyle name="Input 33 3 5" xfId="29833" xr:uid="{00000000-0005-0000-0000-0000B8730000}"/>
    <cellStyle name="Input 33 3 5 2" xfId="29834" xr:uid="{00000000-0005-0000-0000-0000B9730000}"/>
    <cellStyle name="Input 33 3 6" xfId="29835" xr:uid="{00000000-0005-0000-0000-0000BA730000}"/>
    <cellStyle name="Input 33 3 7" xfId="29836" xr:uid="{00000000-0005-0000-0000-0000BB730000}"/>
    <cellStyle name="Input 33 3 8" xfId="29837" xr:uid="{00000000-0005-0000-0000-0000BC730000}"/>
    <cellStyle name="Input 33 4" xfId="29838" xr:uid="{00000000-0005-0000-0000-0000BD730000}"/>
    <cellStyle name="Input 33 4 2" xfId="29839" xr:uid="{00000000-0005-0000-0000-0000BE730000}"/>
    <cellStyle name="Input 33 4 2 2" xfId="29840" xr:uid="{00000000-0005-0000-0000-0000BF730000}"/>
    <cellStyle name="Input 33 4 2 2 2" xfId="29841" xr:uid="{00000000-0005-0000-0000-0000C0730000}"/>
    <cellStyle name="Input 33 4 2 3" xfId="29842" xr:uid="{00000000-0005-0000-0000-0000C1730000}"/>
    <cellStyle name="Input 33 4 2 3 2" xfId="29843" xr:uid="{00000000-0005-0000-0000-0000C2730000}"/>
    <cellStyle name="Input 33 4 2 4" xfId="29844" xr:uid="{00000000-0005-0000-0000-0000C3730000}"/>
    <cellStyle name="Input 33 4 2 5" xfId="29845" xr:uid="{00000000-0005-0000-0000-0000C4730000}"/>
    <cellStyle name="Input 33 4 2 6" xfId="29846" xr:uid="{00000000-0005-0000-0000-0000C5730000}"/>
    <cellStyle name="Input 33 4 3" xfId="29847" xr:uid="{00000000-0005-0000-0000-0000C6730000}"/>
    <cellStyle name="Input 33 4 3 2" xfId="29848" xr:uid="{00000000-0005-0000-0000-0000C7730000}"/>
    <cellStyle name="Input 33 4 4" xfId="29849" xr:uid="{00000000-0005-0000-0000-0000C8730000}"/>
    <cellStyle name="Input 33 4 4 2" xfId="29850" xr:uid="{00000000-0005-0000-0000-0000C9730000}"/>
    <cellStyle name="Input 33 4 5" xfId="29851" xr:uid="{00000000-0005-0000-0000-0000CA730000}"/>
    <cellStyle name="Input 33 4 6" xfId="29852" xr:uid="{00000000-0005-0000-0000-0000CB730000}"/>
    <cellStyle name="Input 33 4 7" xfId="29853" xr:uid="{00000000-0005-0000-0000-0000CC730000}"/>
    <cellStyle name="Input 33 5" xfId="29854" xr:uid="{00000000-0005-0000-0000-0000CD730000}"/>
    <cellStyle name="Input 33 5 2" xfId="29855" xr:uid="{00000000-0005-0000-0000-0000CE730000}"/>
    <cellStyle name="Input 33 5 2 2" xfId="29856" xr:uid="{00000000-0005-0000-0000-0000CF730000}"/>
    <cellStyle name="Input 33 5 3" xfId="29857" xr:uid="{00000000-0005-0000-0000-0000D0730000}"/>
    <cellStyle name="Input 33 5 3 2" xfId="29858" xr:uid="{00000000-0005-0000-0000-0000D1730000}"/>
    <cellStyle name="Input 33 5 4" xfId="29859" xr:uid="{00000000-0005-0000-0000-0000D2730000}"/>
    <cellStyle name="Input 33 5 5" xfId="29860" xr:uid="{00000000-0005-0000-0000-0000D3730000}"/>
    <cellStyle name="Input 33 5 6" xfId="29861" xr:uid="{00000000-0005-0000-0000-0000D4730000}"/>
    <cellStyle name="Input 33 6" xfId="29862" xr:uid="{00000000-0005-0000-0000-0000D5730000}"/>
    <cellStyle name="Input 33 6 2" xfId="29863" xr:uid="{00000000-0005-0000-0000-0000D6730000}"/>
    <cellStyle name="Input 33 7" xfId="29864" xr:uid="{00000000-0005-0000-0000-0000D7730000}"/>
    <cellStyle name="Input 33 7 2" xfId="29865" xr:uid="{00000000-0005-0000-0000-0000D8730000}"/>
    <cellStyle name="Input 33 8" xfId="29866" xr:uid="{00000000-0005-0000-0000-0000D9730000}"/>
    <cellStyle name="Input 33 9" xfId="29867" xr:uid="{00000000-0005-0000-0000-0000DA730000}"/>
    <cellStyle name="Input 34" xfId="29868" xr:uid="{00000000-0005-0000-0000-0000DB730000}"/>
    <cellStyle name="Input 34 10" xfId="29869" xr:uid="{00000000-0005-0000-0000-0000DC730000}"/>
    <cellStyle name="Input 34 2" xfId="29870" xr:uid="{00000000-0005-0000-0000-0000DD730000}"/>
    <cellStyle name="Input 34 2 10" xfId="29871" xr:uid="{00000000-0005-0000-0000-0000DE730000}"/>
    <cellStyle name="Input 34 2 2" xfId="29872" xr:uid="{00000000-0005-0000-0000-0000DF730000}"/>
    <cellStyle name="Input 34 2 2 2" xfId="29873" xr:uid="{00000000-0005-0000-0000-0000E0730000}"/>
    <cellStyle name="Input 34 2 2 2 2" xfId="29874" xr:uid="{00000000-0005-0000-0000-0000E1730000}"/>
    <cellStyle name="Input 34 2 2 2 2 2" xfId="29875" xr:uid="{00000000-0005-0000-0000-0000E2730000}"/>
    <cellStyle name="Input 34 2 2 2 2 2 2" xfId="29876" xr:uid="{00000000-0005-0000-0000-0000E3730000}"/>
    <cellStyle name="Input 34 2 2 2 2 3" xfId="29877" xr:uid="{00000000-0005-0000-0000-0000E4730000}"/>
    <cellStyle name="Input 34 2 2 2 2 3 2" xfId="29878" xr:uid="{00000000-0005-0000-0000-0000E5730000}"/>
    <cellStyle name="Input 34 2 2 2 2 4" xfId="29879" xr:uid="{00000000-0005-0000-0000-0000E6730000}"/>
    <cellStyle name="Input 34 2 2 2 2 5" xfId="29880" xr:uid="{00000000-0005-0000-0000-0000E7730000}"/>
    <cellStyle name="Input 34 2 2 2 2 6" xfId="29881" xr:uid="{00000000-0005-0000-0000-0000E8730000}"/>
    <cellStyle name="Input 34 2 2 2 3" xfId="29882" xr:uid="{00000000-0005-0000-0000-0000E9730000}"/>
    <cellStyle name="Input 34 2 2 2 3 2" xfId="29883" xr:uid="{00000000-0005-0000-0000-0000EA730000}"/>
    <cellStyle name="Input 34 2 2 2 4" xfId="29884" xr:uid="{00000000-0005-0000-0000-0000EB730000}"/>
    <cellStyle name="Input 34 2 2 2 4 2" xfId="29885" xr:uid="{00000000-0005-0000-0000-0000EC730000}"/>
    <cellStyle name="Input 34 2 2 2 5" xfId="29886" xr:uid="{00000000-0005-0000-0000-0000ED730000}"/>
    <cellStyle name="Input 34 2 2 2 6" xfId="29887" xr:uid="{00000000-0005-0000-0000-0000EE730000}"/>
    <cellStyle name="Input 34 2 2 2 7" xfId="29888" xr:uid="{00000000-0005-0000-0000-0000EF730000}"/>
    <cellStyle name="Input 34 2 2 3" xfId="29889" xr:uid="{00000000-0005-0000-0000-0000F0730000}"/>
    <cellStyle name="Input 34 2 2 3 2" xfId="29890" xr:uid="{00000000-0005-0000-0000-0000F1730000}"/>
    <cellStyle name="Input 34 2 2 3 2 2" xfId="29891" xr:uid="{00000000-0005-0000-0000-0000F2730000}"/>
    <cellStyle name="Input 34 2 2 3 3" xfId="29892" xr:uid="{00000000-0005-0000-0000-0000F3730000}"/>
    <cellStyle name="Input 34 2 2 3 3 2" xfId="29893" xr:uid="{00000000-0005-0000-0000-0000F4730000}"/>
    <cellStyle name="Input 34 2 2 3 4" xfId="29894" xr:uid="{00000000-0005-0000-0000-0000F5730000}"/>
    <cellStyle name="Input 34 2 2 3 5" xfId="29895" xr:uid="{00000000-0005-0000-0000-0000F6730000}"/>
    <cellStyle name="Input 34 2 2 3 6" xfId="29896" xr:uid="{00000000-0005-0000-0000-0000F7730000}"/>
    <cellStyle name="Input 34 2 2 4" xfId="29897" xr:uid="{00000000-0005-0000-0000-0000F8730000}"/>
    <cellStyle name="Input 34 2 2 4 2" xfId="29898" xr:uid="{00000000-0005-0000-0000-0000F9730000}"/>
    <cellStyle name="Input 34 2 2 5" xfId="29899" xr:uid="{00000000-0005-0000-0000-0000FA730000}"/>
    <cellStyle name="Input 34 2 2 5 2" xfId="29900" xr:uid="{00000000-0005-0000-0000-0000FB730000}"/>
    <cellStyle name="Input 34 2 2 6" xfId="29901" xr:uid="{00000000-0005-0000-0000-0000FC730000}"/>
    <cellStyle name="Input 34 2 2 7" xfId="29902" xr:uid="{00000000-0005-0000-0000-0000FD730000}"/>
    <cellStyle name="Input 34 2 2 8" xfId="29903" xr:uid="{00000000-0005-0000-0000-0000FE730000}"/>
    <cellStyle name="Input 34 2 3" xfId="29904" xr:uid="{00000000-0005-0000-0000-0000FF730000}"/>
    <cellStyle name="Input 34 2 3 2" xfId="29905" xr:uid="{00000000-0005-0000-0000-000000740000}"/>
    <cellStyle name="Input 34 2 3 2 2" xfId="29906" xr:uid="{00000000-0005-0000-0000-000001740000}"/>
    <cellStyle name="Input 34 2 3 2 2 2" xfId="29907" xr:uid="{00000000-0005-0000-0000-000002740000}"/>
    <cellStyle name="Input 34 2 3 2 2 2 2" xfId="29908" xr:uid="{00000000-0005-0000-0000-000003740000}"/>
    <cellStyle name="Input 34 2 3 2 2 3" xfId="29909" xr:uid="{00000000-0005-0000-0000-000004740000}"/>
    <cellStyle name="Input 34 2 3 2 2 3 2" xfId="29910" xr:uid="{00000000-0005-0000-0000-000005740000}"/>
    <cellStyle name="Input 34 2 3 2 2 4" xfId="29911" xr:uid="{00000000-0005-0000-0000-000006740000}"/>
    <cellStyle name="Input 34 2 3 2 2 5" xfId="29912" xr:uid="{00000000-0005-0000-0000-000007740000}"/>
    <cellStyle name="Input 34 2 3 2 2 6" xfId="29913" xr:uid="{00000000-0005-0000-0000-000008740000}"/>
    <cellStyle name="Input 34 2 3 2 3" xfId="29914" xr:uid="{00000000-0005-0000-0000-000009740000}"/>
    <cellStyle name="Input 34 2 3 2 3 2" xfId="29915" xr:uid="{00000000-0005-0000-0000-00000A740000}"/>
    <cellStyle name="Input 34 2 3 2 4" xfId="29916" xr:uid="{00000000-0005-0000-0000-00000B740000}"/>
    <cellStyle name="Input 34 2 3 2 4 2" xfId="29917" xr:uid="{00000000-0005-0000-0000-00000C740000}"/>
    <cellStyle name="Input 34 2 3 2 5" xfId="29918" xr:uid="{00000000-0005-0000-0000-00000D740000}"/>
    <cellStyle name="Input 34 2 3 2 6" xfId="29919" xr:uid="{00000000-0005-0000-0000-00000E740000}"/>
    <cellStyle name="Input 34 2 3 2 7" xfId="29920" xr:uid="{00000000-0005-0000-0000-00000F740000}"/>
    <cellStyle name="Input 34 2 3 3" xfId="29921" xr:uid="{00000000-0005-0000-0000-000010740000}"/>
    <cellStyle name="Input 34 2 3 3 2" xfId="29922" xr:uid="{00000000-0005-0000-0000-000011740000}"/>
    <cellStyle name="Input 34 2 3 3 2 2" xfId="29923" xr:uid="{00000000-0005-0000-0000-000012740000}"/>
    <cellStyle name="Input 34 2 3 3 3" xfId="29924" xr:uid="{00000000-0005-0000-0000-000013740000}"/>
    <cellStyle name="Input 34 2 3 3 3 2" xfId="29925" xr:uid="{00000000-0005-0000-0000-000014740000}"/>
    <cellStyle name="Input 34 2 3 3 4" xfId="29926" xr:uid="{00000000-0005-0000-0000-000015740000}"/>
    <cellStyle name="Input 34 2 3 3 5" xfId="29927" xr:uid="{00000000-0005-0000-0000-000016740000}"/>
    <cellStyle name="Input 34 2 3 3 6" xfId="29928" xr:uid="{00000000-0005-0000-0000-000017740000}"/>
    <cellStyle name="Input 34 2 3 4" xfId="29929" xr:uid="{00000000-0005-0000-0000-000018740000}"/>
    <cellStyle name="Input 34 2 3 4 2" xfId="29930" xr:uid="{00000000-0005-0000-0000-000019740000}"/>
    <cellStyle name="Input 34 2 3 5" xfId="29931" xr:uid="{00000000-0005-0000-0000-00001A740000}"/>
    <cellStyle name="Input 34 2 3 5 2" xfId="29932" xr:uid="{00000000-0005-0000-0000-00001B740000}"/>
    <cellStyle name="Input 34 2 3 6" xfId="29933" xr:uid="{00000000-0005-0000-0000-00001C740000}"/>
    <cellStyle name="Input 34 2 3 7" xfId="29934" xr:uid="{00000000-0005-0000-0000-00001D740000}"/>
    <cellStyle name="Input 34 2 3 8" xfId="29935" xr:uid="{00000000-0005-0000-0000-00001E740000}"/>
    <cellStyle name="Input 34 2 4" xfId="29936" xr:uid="{00000000-0005-0000-0000-00001F740000}"/>
    <cellStyle name="Input 34 2 4 2" xfId="29937" xr:uid="{00000000-0005-0000-0000-000020740000}"/>
    <cellStyle name="Input 34 2 4 2 2" xfId="29938" xr:uid="{00000000-0005-0000-0000-000021740000}"/>
    <cellStyle name="Input 34 2 4 2 2 2" xfId="29939" xr:uid="{00000000-0005-0000-0000-000022740000}"/>
    <cellStyle name="Input 34 2 4 2 3" xfId="29940" xr:uid="{00000000-0005-0000-0000-000023740000}"/>
    <cellStyle name="Input 34 2 4 2 3 2" xfId="29941" xr:uid="{00000000-0005-0000-0000-000024740000}"/>
    <cellStyle name="Input 34 2 4 2 4" xfId="29942" xr:uid="{00000000-0005-0000-0000-000025740000}"/>
    <cellStyle name="Input 34 2 4 2 5" xfId="29943" xr:uid="{00000000-0005-0000-0000-000026740000}"/>
    <cellStyle name="Input 34 2 4 2 6" xfId="29944" xr:uid="{00000000-0005-0000-0000-000027740000}"/>
    <cellStyle name="Input 34 2 4 3" xfId="29945" xr:uid="{00000000-0005-0000-0000-000028740000}"/>
    <cellStyle name="Input 34 2 4 3 2" xfId="29946" xr:uid="{00000000-0005-0000-0000-000029740000}"/>
    <cellStyle name="Input 34 2 4 4" xfId="29947" xr:uid="{00000000-0005-0000-0000-00002A740000}"/>
    <cellStyle name="Input 34 2 4 4 2" xfId="29948" xr:uid="{00000000-0005-0000-0000-00002B740000}"/>
    <cellStyle name="Input 34 2 4 5" xfId="29949" xr:uid="{00000000-0005-0000-0000-00002C740000}"/>
    <cellStyle name="Input 34 2 4 6" xfId="29950" xr:uid="{00000000-0005-0000-0000-00002D740000}"/>
    <cellStyle name="Input 34 2 4 7" xfId="29951" xr:uid="{00000000-0005-0000-0000-00002E740000}"/>
    <cellStyle name="Input 34 2 5" xfId="29952" xr:uid="{00000000-0005-0000-0000-00002F740000}"/>
    <cellStyle name="Input 34 2 5 2" xfId="29953" xr:uid="{00000000-0005-0000-0000-000030740000}"/>
    <cellStyle name="Input 34 2 5 2 2" xfId="29954" xr:uid="{00000000-0005-0000-0000-000031740000}"/>
    <cellStyle name="Input 34 2 5 3" xfId="29955" xr:uid="{00000000-0005-0000-0000-000032740000}"/>
    <cellStyle name="Input 34 2 5 3 2" xfId="29956" xr:uid="{00000000-0005-0000-0000-000033740000}"/>
    <cellStyle name="Input 34 2 5 4" xfId="29957" xr:uid="{00000000-0005-0000-0000-000034740000}"/>
    <cellStyle name="Input 34 2 5 5" xfId="29958" xr:uid="{00000000-0005-0000-0000-000035740000}"/>
    <cellStyle name="Input 34 2 5 6" xfId="29959" xr:uid="{00000000-0005-0000-0000-000036740000}"/>
    <cellStyle name="Input 34 2 6" xfId="29960" xr:uid="{00000000-0005-0000-0000-000037740000}"/>
    <cellStyle name="Input 34 2 6 2" xfId="29961" xr:uid="{00000000-0005-0000-0000-000038740000}"/>
    <cellStyle name="Input 34 2 7" xfId="29962" xr:uid="{00000000-0005-0000-0000-000039740000}"/>
    <cellStyle name="Input 34 2 7 2" xfId="29963" xr:uid="{00000000-0005-0000-0000-00003A740000}"/>
    <cellStyle name="Input 34 2 8" xfId="29964" xr:uid="{00000000-0005-0000-0000-00003B740000}"/>
    <cellStyle name="Input 34 2 9" xfId="29965" xr:uid="{00000000-0005-0000-0000-00003C740000}"/>
    <cellStyle name="Input 34 3" xfId="29966" xr:uid="{00000000-0005-0000-0000-00003D740000}"/>
    <cellStyle name="Input 34 3 2" xfId="29967" xr:uid="{00000000-0005-0000-0000-00003E740000}"/>
    <cellStyle name="Input 34 3 2 2" xfId="29968" xr:uid="{00000000-0005-0000-0000-00003F740000}"/>
    <cellStyle name="Input 34 3 2 2 2" xfId="29969" xr:uid="{00000000-0005-0000-0000-000040740000}"/>
    <cellStyle name="Input 34 3 2 2 2 2" xfId="29970" xr:uid="{00000000-0005-0000-0000-000041740000}"/>
    <cellStyle name="Input 34 3 2 2 3" xfId="29971" xr:uid="{00000000-0005-0000-0000-000042740000}"/>
    <cellStyle name="Input 34 3 2 2 3 2" xfId="29972" xr:uid="{00000000-0005-0000-0000-000043740000}"/>
    <cellStyle name="Input 34 3 2 2 4" xfId="29973" xr:uid="{00000000-0005-0000-0000-000044740000}"/>
    <cellStyle name="Input 34 3 2 2 5" xfId="29974" xr:uid="{00000000-0005-0000-0000-000045740000}"/>
    <cellStyle name="Input 34 3 2 2 6" xfId="29975" xr:uid="{00000000-0005-0000-0000-000046740000}"/>
    <cellStyle name="Input 34 3 2 3" xfId="29976" xr:uid="{00000000-0005-0000-0000-000047740000}"/>
    <cellStyle name="Input 34 3 2 3 2" xfId="29977" xr:uid="{00000000-0005-0000-0000-000048740000}"/>
    <cellStyle name="Input 34 3 2 4" xfId="29978" xr:uid="{00000000-0005-0000-0000-000049740000}"/>
    <cellStyle name="Input 34 3 2 4 2" xfId="29979" xr:uid="{00000000-0005-0000-0000-00004A740000}"/>
    <cellStyle name="Input 34 3 2 5" xfId="29980" xr:uid="{00000000-0005-0000-0000-00004B740000}"/>
    <cellStyle name="Input 34 3 2 6" xfId="29981" xr:uid="{00000000-0005-0000-0000-00004C740000}"/>
    <cellStyle name="Input 34 3 2 7" xfId="29982" xr:uid="{00000000-0005-0000-0000-00004D740000}"/>
    <cellStyle name="Input 34 3 3" xfId="29983" xr:uid="{00000000-0005-0000-0000-00004E740000}"/>
    <cellStyle name="Input 34 3 3 2" xfId="29984" xr:uid="{00000000-0005-0000-0000-00004F740000}"/>
    <cellStyle name="Input 34 3 3 2 2" xfId="29985" xr:uid="{00000000-0005-0000-0000-000050740000}"/>
    <cellStyle name="Input 34 3 3 3" xfId="29986" xr:uid="{00000000-0005-0000-0000-000051740000}"/>
    <cellStyle name="Input 34 3 3 3 2" xfId="29987" xr:uid="{00000000-0005-0000-0000-000052740000}"/>
    <cellStyle name="Input 34 3 3 4" xfId="29988" xr:uid="{00000000-0005-0000-0000-000053740000}"/>
    <cellStyle name="Input 34 3 3 5" xfId="29989" xr:uid="{00000000-0005-0000-0000-000054740000}"/>
    <cellStyle name="Input 34 3 3 6" xfId="29990" xr:uid="{00000000-0005-0000-0000-000055740000}"/>
    <cellStyle name="Input 34 3 4" xfId="29991" xr:uid="{00000000-0005-0000-0000-000056740000}"/>
    <cellStyle name="Input 34 3 4 2" xfId="29992" xr:uid="{00000000-0005-0000-0000-000057740000}"/>
    <cellStyle name="Input 34 3 5" xfId="29993" xr:uid="{00000000-0005-0000-0000-000058740000}"/>
    <cellStyle name="Input 34 3 5 2" xfId="29994" xr:uid="{00000000-0005-0000-0000-000059740000}"/>
    <cellStyle name="Input 34 3 6" xfId="29995" xr:uid="{00000000-0005-0000-0000-00005A740000}"/>
    <cellStyle name="Input 34 3 7" xfId="29996" xr:uid="{00000000-0005-0000-0000-00005B740000}"/>
    <cellStyle name="Input 34 3 8" xfId="29997" xr:uid="{00000000-0005-0000-0000-00005C740000}"/>
    <cellStyle name="Input 34 4" xfId="29998" xr:uid="{00000000-0005-0000-0000-00005D740000}"/>
    <cellStyle name="Input 34 4 2" xfId="29999" xr:uid="{00000000-0005-0000-0000-00005E740000}"/>
    <cellStyle name="Input 34 4 2 2" xfId="30000" xr:uid="{00000000-0005-0000-0000-00005F740000}"/>
    <cellStyle name="Input 34 4 2 2 2" xfId="30001" xr:uid="{00000000-0005-0000-0000-000060740000}"/>
    <cellStyle name="Input 34 4 2 3" xfId="30002" xr:uid="{00000000-0005-0000-0000-000061740000}"/>
    <cellStyle name="Input 34 4 2 3 2" xfId="30003" xr:uid="{00000000-0005-0000-0000-000062740000}"/>
    <cellStyle name="Input 34 4 2 4" xfId="30004" xr:uid="{00000000-0005-0000-0000-000063740000}"/>
    <cellStyle name="Input 34 4 2 5" xfId="30005" xr:uid="{00000000-0005-0000-0000-000064740000}"/>
    <cellStyle name="Input 34 4 2 6" xfId="30006" xr:uid="{00000000-0005-0000-0000-000065740000}"/>
    <cellStyle name="Input 34 4 3" xfId="30007" xr:uid="{00000000-0005-0000-0000-000066740000}"/>
    <cellStyle name="Input 34 4 3 2" xfId="30008" xr:uid="{00000000-0005-0000-0000-000067740000}"/>
    <cellStyle name="Input 34 4 4" xfId="30009" xr:uid="{00000000-0005-0000-0000-000068740000}"/>
    <cellStyle name="Input 34 4 4 2" xfId="30010" xr:uid="{00000000-0005-0000-0000-000069740000}"/>
    <cellStyle name="Input 34 4 5" xfId="30011" xr:uid="{00000000-0005-0000-0000-00006A740000}"/>
    <cellStyle name="Input 34 4 6" xfId="30012" xr:uid="{00000000-0005-0000-0000-00006B740000}"/>
    <cellStyle name="Input 34 4 7" xfId="30013" xr:uid="{00000000-0005-0000-0000-00006C740000}"/>
    <cellStyle name="Input 34 5" xfId="30014" xr:uid="{00000000-0005-0000-0000-00006D740000}"/>
    <cellStyle name="Input 34 5 2" xfId="30015" xr:uid="{00000000-0005-0000-0000-00006E740000}"/>
    <cellStyle name="Input 34 5 2 2" xfId="30016" xr:uid="{00000000-0005-0000-0000-00006F740000}"/>
    <cellStyle name="Input 34 5 3" xfId="30017" xr:uid="{00000000-0005-0000-0000-000070740000}"/>
    <cellStyle name="Input 34 5 3 2" xfId="30018" xr:uid="{00000000-0005-0000-0000-000071740000}"/>
    <cellStyle name="Input 34 5 4" xfId="30019" xr:uid="{00000000-0005-0000-0000-000072740000}"/>
    <cellStyle name="Input 34 5 5" xfId="30020" xr:uid="{00000000-0005-0000-0000-000073740000}"/>
    <cellStyle name="Input 34 5 6" xfId="30021" xr:uid="{00000000-0005-0000-0000-000074740000}"/>
    <cellStyle name="Input 34 6" xfId="30022" xr:uid="{00000000-0005-0000-0000-000075740000}"/>
    <cellStyle name="Input 34 6 2" xfId="30023" xr:uid="{00000000-0005-0000-0000-000076740000}"/>
    <cellStyle name="Input 34 7" xfId="30024" xr:uid="{00000000-0005-0000-0000-000077740000}"/>
    <cellStyle name="Input 34 7 2" xfId="30025" xr:uid="{00000000-0005-0000-0000-000078740000}"/>
    <cellStyle name="Input 34 8" xfId="30026" xr:uid="{00000000-0005-0000-0000-000079740000}"/>
    <cellStyle name="Input 34 9" xfId="30027" xr:uid="{00000000-0005-0000-0000-00007A740000}"/>
    <cellStyle name="Input 35" xfId="30028" xr:uid="{00000000-0005-0000-0000-00007B740000}"/>
    <cellStyle name="Input 35 10" xfId="30029" xr:uid="{00000000-0005-0000-0000-00007C740000}"/>
    <cellStyle name="Input 35 2" xfId="30030" xr:uid="{00000000-0005-0000-0000-00007D740000}"/>
    <cellStyle name="Input 35 2 2" xfId="30031" xr:uid="{00000000-0005-0000-0000-00007E740000}"/>
    <cellStyle name="Input 35 2 2 2" xfId="30032" xr:uid="{00000000-0005-0000-0000-00007F740000}"/>
    <cellStyle name="Input 35 2 2 2 2" xfId="30033" xr:uid="{00000000-0005-0000-0000-000080740000}"/>
    <cellStyle name="Input 35 2 2 2 2 2" xfId="30034" xr:uid="{00000000-0005-0000-0000-000081740000}"/>
    <cellStyle name="Input 35 2 2 2 3" xfId="30035" xr:uid="{00000000-0005-0000-0000-000082740000}"/>
    <cellStyle name="Input 35 2 2 2 3 2" xfId="30036" xr:uid="{00000000-0005-0000-0000-000083740000}"/>
    <cellStyle name="Input 35 2 2 2 4" xfId="30037" xr:uid="{00000000-0005-0000-0000-000084740000}"/>
    <cellStyle name="Input 35 2 2 2 5" xfId="30038" xr:uid="{00000000-0005-0000-0000-000085740000}"/>
    <cellStyle name="Input 35 2 2 2 6" xfId="30039" xr:uid="{00000000-0005-0000-0000-000086740000}"/>
    <cellStyle name="Input 35 2 2 3" xfId="30040" xr:uid="{00000000-0005-0000-0000-000087740000}"/>
    <cellStyle name="Input 35 2 2 3 2" xfId="30041" xr:uid="{00000000-0005-0000-0000-000088740000}"/>
    <cellStyle name="Input 35 2 2 4" xfId="30042" xr:uid="{00000000-0005-0000-0000-000089740000}"/>
    <cellStyle name="Input 35 2 2 4 2" xfId="30043" xr:uid="{00000000-0005-0000-0000-00008A740000}"/>
    <cellStyle name="Input 35 2 2 5" xfId="30044" xr:uid="{00000000-0005-0000-0000-00008B740000}"/>
    <cellStyle name="Input 35 2 2 6" xfId="30045" xr:uid="{00000000-0005-0000-0000-00008C740000}"/>
    <cellStyle name="Input 35 2 2 7" xfId="30046" xr:uid="{00000000-0005-0000-0000-00008D740000}"/>
    <cellStyle name="Input 35 2 3" xfId="30047" xr:uid="{00000000-0005-0000-0000-00008E740000}"/>
    <cellStyle name="Input 35 2 3 2" xfId="30048" xr:uid="{00000000-0005-0000-0000-00008F740000}"/>
    <cellStyle name="Input 35 2 3 2 2" xfId="30049" xr:uid="{00000000-0005-0000-0000-000090740000}"/>
    <cellStyle name="Input 35 2 3 3" xfId="30050" xr:uid="{00000000-0005-0000-0000-000091740000}"/>
    <cellStyle name="Input 35 2 3 3 2" xfId="30051" xr:uid="{00000000-0005-0000-0000-000092740000}"/>
    <cellStyle name="Input 35 2 3 4" xfId="30052" xr:uid="{00000000-0005-0000-0000-000093740000}"/>
    <cellStyle name="Input 35 2 3 5" xfId="30053" xr:uid="{00000000-0005-0000-0000-000094740000}"/>
    <cellStyle name="Input 35 2 3 6" xfId="30054" xr:uid="{00000000-0005-0000-0000-000095740000}"/>
    <cellStyle name="Input 35 2 4" xfId="30055" xr:uid="{00000000-0005-0000-0000-000096740000}"/>
    <cellStyle name="Input 35 2 4 2" xfId="30056" xr:uid="{00000000-0005-0000-0000-000097740000}"/>
    <cellStyle name="Input 35 2 5" xfId="30057" xr:uid="{00000000-0005-0000-0000-000098740000}"/>
    <cellStyle name="Input 35 2 5 2" xfId="30058" xr:uid="{00000000-0005-0000-0000-000099740000}"/>
    <cellStyle name="Input 35 2 6" xfId="30059" xr:uid="{00000000-0005-0000-0000-00009A740000}"/>
    <cellStyle name="Input 35 2 7" xfId="30060" xr:uid="{00000000-0005-0000-0000-00009B740000}"/>
    <cellStyle name="Input 35 2 8" xfId="30061" xr:uid="{00000000-0005-0000-0000-00009C740000}"/>
    <cellStyle name="Input 35 3" xfId="30062" xr:uid="{00000000-0005-0000-0000-00009D740000}"/>
    <cellStyle name="Input 35 3 2" xfId="30063" xr:uid="{00000000-0005-0000-0000-00009E740000}"/>
    <cellStyle name="Input 35 3 2 2" xfId="30064" xr:uid="{00000000-0005-0000-0000-00009F740000}"/>
    <cellStyle name="Input 35 3 2 2 2" xfId="30065" xr:uid="{00000000-0005-0000-0000-0000A0740000}"/>
    <cellStyle name="Input 35 3 2 2 2 2" xfId="30066" xr:uid="{00000000-0005-0000-0000-0000A1740000}"/>
    <cellStyle name="Input 35 3 2 2 3" xfId="30067" xr:uid="{00000000-0005-0000-0000-0000A2740000}"/>
    <cellStyle name="Input 35 3 2 2 3 2" xfId="30068" xr:uid="{00000000-0005-0000-0000-0000A3740000}"/>
    <cellStyle name="Input 35 3 2 2 4" xfId="30069" xr:uid="{00000000-0005-0000-0000-0000A4740000}"/>
    <cellStyle name="Input 35 3 2 2 5" xfId="30070" xr:uid="{00000000-0005-0000-0000-0000A5740000}"/>
    <cellStyle name="Input 35 3 2 2 6" xfId="30071" xr:uid="{00000000-0005-0000-0000-0000A6740000}"/>
    <cellStyle name="Input 35 3 2 3" xfId="30072" xr:uid="{00000000-0005-0000-0000-0000A7740000}"/>
    <cellStyle name="Input 35 3 2 3 2" xfId="30073" xr:uid="{00000000-0005-0000-0000-0000A8740000}"/>
    <cellStyle name="Input 35 3 2 4" xfId="30074" xr:uid="{00000000-0005-0000-0000-0000A9740000}"/>
    <cellStyle name="Input 35 3 2 4 2" xfId="30075" xr:uid="{00000000-0005-0000-0000-0000AA740000}"/>
    <cellStyle name="Input 35 3 2 5" xfId="30076" xr:uid="{00000000-0005-0000-0000-0000AB740000}"/>
    <cellStyle name="Input 35 3 2 6" xfId="30077" xr:uid="{00000000-0005-0000-0000-0000AC740000}"/>
    <cellStyle name="Input 35 3 2 7" xfId="30078" xr:uid="{00000000-0005-0000-0000-0000AD740000}"/>
    <cellStyle name="Input 35 3 3" xfId="30079" xr:uid="{00000000-0005-0000-0000-0000AE740000}"/>
    <cellStyle name="Input 35 3 3 2" xfId="30080" xr:uid="{00000000-0005-0000-0000-0000AF740000}"/>
    <cellStyle name="Input 35 3 3 2 2" xfId="30081" xr:uid="{00000000-0005-0000-0000-0000B0740000}"/>
    <cellStyle name="Input 35 3 3 3" xfId="30082" xr:uid="{00000000-0005-0000-0000-0000B1740000}"/>
    <cellStyle name="Input 35 3 3 3 2" xfId="30083" xr:uid="{00000000-0005-0000-0000-0000B2740000}"/>
    <cellStyle name="Input 35 3 3 4" xfId="30084" xr:uid="{00000000-0005-0000-0000-0000B3740000}"/>
    <cellStyle name="Input 35 3 3 5" xfId="30085" xr:uid="{00000000-0005-0000-0000-0000B4740000}"/>
    <cellStyle name="Input 35 3 3 6" xfId="30086" xr:uid="{00000000-0005-0000-0000-0000B5740000}"/>
    <cellStyle name="Input 35 3 4" xfId="30087" xr:uid="{00000000-0005-0000-0000-0000B6740000}"/>
    <cellStyle name="Input 35 3 4 2" xfId="30088" xr:uid="{00000000-0005-0000-0000-0000B7740000}"/>
    <cellStyle name="Input 35 3 5" xfId="30089" xr:uid="{00000000-0005-0000-0000-0000B8740000}"/>
    <cellStyle name="Input 35 3 5 2" xfId="30090" xr:uid="{00000000-0005-0000-0000-0000B9740000}"/>
    <cellStyle name="Input 35 3 6" xfId="30091" xr:uid="{00000000-0005-0000-0000-0000BA740000}"/>
    <cellStyle name="Input 35 3 7" xfId="30092" xr:uid="{00000000-0005-0000-0000-0000BB740000}"/>
    <cellStyle name="Input 35 3 8" xfId="30093" xr:uid="{00000000-0005-0000-0000-0000BC740000}"/>
    <cellStyle name="Input 35 4" xfId="30094" xr:uid="{00000000-0005-0000-0000-0000BD740000}"/>
    <cellStyle name="Input 35 4 2" xfId="30095" xr:uid="{00000000-0005-0000-0000-0000BE740000}"/>
    <cellStyle name="Input 35 4 2 2" xfId="30096" xr:uid="{00000000-0005-0000-0000-0000BF740000}"/>
    <cellStyle name="Input 35 4 2 2 2" xfId="30097" xr:uid="{00000000-0005-0000-0000-0000C0740000}"/>
    <cellStyle name="Input 35 4 2 3" xfId="30098" xr:uid="{00000000-0005-0000-0000-0000C1740000}"/>
    <cellStyle name="Input 35 4 2 3 2" xfId="30099" xr:uid="{00000000-0005-0000-0000-0000C2740000}"/>
    <cellStyle name="Input 35 4 2 4" xfId="30100" xr:uid="{00000000-0005-0000-0000-0000C3740000}"/>
    <cellStyle name="Input 35 4 2 5" xfId="30101" xr:uid="{00000000-0005-0000-0000-0000C4740000}"/>
    <cellStyle name="Input 35 4 2 6" xfId="30102" xr:uid="{00000000-0005-0000-0000-0000C5740000}"/>
    <cellStyle name="Input 35 4 3" xfId="30103" xr:uid="{00000000-0005-0000-0000-0000C6740000}"/>
    <cellStyle name="Input 35 4 3 2" xfId="30104" xr:uid="{00000000-0005-0000-0000-0000C7740000}"/>
    <cellStyle name="Input 35 4 4" xfId="30105" xr:uid="{00000000-0005-0000-0000-0000C8740000}"/>
    <cellStyle name="Input 35 4 4 2" xfId="30106" xr:uid="{00000000-0005-0000-0000-0000C9740000}"/>
    <cellStyle name="Input 35 4 5" xfId="30107" xr:uid="{00000000-0005-0000-0000-0000CA740000}"/>
    <cellStyle name="Input 35 4 6" xfId="30108" xr:uid="{00000000-0005-0000-0000-0000CB740000}"/>
    <cellStyle name="Input 35 4 7" xfId="30109" xr:uid="{00000000-0005-0000-0000-0000CC740000}"/>
    <cellStyle name="Input 35 5" xfId="30110" xr:uid="{00000000-0005-0000-0000-0000CD740000}"/>
    <cellStyle name="Input 35 5 2" xfId="30111" xr:uid="{00000000-0005-0000-0000-0000CE740000}"/>
    <cellStyle name="Input 35 5 2 2" xfId="30112" xr:uid="{00000000-0005-0000-0000-0000CF740000}"/>
    <cellStyle name="Input 35 5 3" xfId="30113" xr:uid="{00000000-0005-0000-0000-0000D0740000}"/>
    <cellStyle name="Input 35 5 3 2" xfId="30114" xr:uid="{00000000-0005-0000-0000-0000D1740000}"/>
    <cellStyle name="Input 35 5 4" xfId="30115" xr:uid="{00000000-0005-0000-0000-0000D2740000}"/>
    <cellStyle name="Input 35 5 5" xfId="30116" xr:uid="{00000000-0005-0000-0000-0000D3740000}"/>
    <cellStyle name="Input 35 5 6" xfId="30117" xr:uid="{00000000-0005-0000-0000-0000D4740000}"/>
    <cellStyle name="Input 35 6" xfId="30118" xr:uid="{00000000-0005-0000-0000-0000D5740000}"/>
    <cellStyle name="Input 35 6 2" xfId="30119" xr:uid="{00000000-0005-0000-0000-0000D6740000}"/>
    <cellStyle name="Input 35 7" xfId="30120" xr:uid="{00000000-0005-0000-0000-0000D7740000}"/>
    <cellStyle name="Input 35 7 2" xfId="30121" xr:uid="{00000000-0005-0000-0000-0000D8740000}"/>
    <cellStyle name="Input 35 8" xfId="30122" xr:uid="{00000000-0005-0000-0000-0000D9740000}"/>
    <cellStyle name="Input 35 9" xfId="30123" xr:uid="{00000000-0005-0000-0000-0000DA740000}"/>
    <cellStyle name="Input 36" xfId="30124" xr:uid="{00000000-0005-0000-0000-0000DB740000}"/>
    <cellStyle name="Input 36 10" xfId="30125" xr:uid="{00000000-0005-0000-0000-0000DC740000}"/>
    <cellStyle name="Input 36 2" xfId="30126" xr:uid="{00000000-0005-0000-0000-0000DD740000}"/>
    <cellStyle name="Input 36 2 2" xfId="30127" xr:uid="{00000000-0005-0000-0000-0000DE740000}"/>
    <cellStyle name="Input 36 2 2 2" xfId="30128" xr:uid="{00000000-0005-0000-0000-0000DF740000}"/>
    <cellStyle name="Input 36 2 2 2 2" xfId="30129" xr:uid="{00000000-0005-0000-0000-0000E0740000}"/>
    <cellStyle name="Input 36 2 2 2 2 2" xfId="30130" xr:uid="{00000000-0005-0000-0000-0000E1740000}"/>
    <cellStyle name="Input 36 2 2 2 3" xfId="30131" xr:uid="{00000000-0005-0000-0000-0000E2740000}"/>
    <cellStyle name="Input 36 2 2 2 3 2" xfId="30132" xr:uid="{00000000-0005-0000-0000-0000E3740000}"/>
    <cellStyle name="Input 36 2 2 2 4" xfId="30133" xr:uid="{00000000-0005-0000-0000-0000E4740000}"/>
    <cellStyle name="Input 36 2 2 2 5" xfId="30134" xr:uid="{00000000-0005-0000-0000-0000E5740000}"/>
    <cellStyle name="Input 36 2 2 2 6" xfId="30135" xr:uid="{00000000-0005-0000-0000-0000E6740000}"/>
    <cellStyle name="Input 36 2 2 3" xfId="30136" xr:uid="{00000000-0005-0000-0000-0000E7740000}"/>
    <cellStyle name="Input 36 2 2 3 2" xfId="30137" xr:uid="{00000000-0005-0000-0000-0000E8740000}"/>
    <cellStyle name="Input 36 2 2 4" xfId="30138" xr:uid="{00000000-0005-0000-0000-0000E9740000}"/>
    <cellStyle name="Input 36 2 2 4 2" xfId="30139" xr:uid="{00000000-0005-0000-0000-0000EA740000}"/>
    <cellStyle name="Input 36 2 2 5" xfId="30140" xr:uid="{00000000-0005-0000-0000-0000EB740000}"/>
    <cellStyle name="Input 36 2 2 6" xfId="30141" xr:uid="{00000000-0005-0000-0000-0000EC740000}"/>
    <cellStyle name="Input 36 2 2 7" xfId="30142" xr:uid="{00000000-0005-0000-0000-0000ED740000}"/>
    <cellStyle name="Input 36 2 3" xfId="30143" xr:uid="{00000000-0005-0000-0000-0000EE740000}"/>
    <cellStyle name="Input 36 2 3 2" xfId="30144" xr:uid="{00000000-0005-0000-0000-0000EF740000}"/>
    <cellStyle name="Input 36 2 3 2 2" xfId="30145" xr:uid="{00000000-0005-0000-0000-0000F0740000}"/>
    <cellStyle name="Input 36 2 3 3" xfId="30146" xr:uid="{00000000-0005-0000-0000-0000F1740000}"/>
    <cellStyle name="Input 36 2 3 3 2" xfId="30147" xr:uid="{00000000-0005-0000-0000-0000F2740000}"/>
    <cellStyle name="Input 36 2 3 4" xfId="30148" xr:uid="{00000000-0005-0000-0000-0000F3740000}"/>
    <cellStyle name="Input 36 2 3 5" xfId="30149" xr:uid="{00000000-0005-0000-0000-0000F4740000}"/>
    <cellStyle name="Input 36 2 3 6" xfId="30150" xr:uid="{00000000-0005-0000-0000-0000F5740000}"/>
    <cellStyle name="Input 36 2 4" xfId="30151" xr:uid="{00000000-0005-0000-0000-0000F6740000}"/>
    <cellStyle name="Input 36 2 4 2" xfId="30152" xr:uid="{00000000-0005-0000-0000-0000F7740000}"/>
    <cellStyle name="Input 36 2 5" xfId="30153" xr:uid="{00000000-0005-0000-0000-0000F8740000}"/>
    <cellStyle name="Input 36 2 5 2" xfId="30154" xr:uid="{00000000-0005-0000-0000-0000F9740000}"/>
    <cellStyle name="Input 36 2 6" xfId="30155" xr:uid="{00000000-0005-0000-0000-0000FA740000}"/>
    <cellStyle name="Input 36 2 7" xfId="30156" xr:uid="{00000000-0005-0000-0000-0000FB740000}"/>
    <cellStyle name="Input 36 2 8" xfId="30157" xr:uid="{00000000-0005-0000-0000-0000FC740000}"/>
    <cellStyle name="Input 36 3" xfId="30158" xr:uid="{00000000-0005-0000-0000-0000FD740000}"/>
    <cellStyle name="Input 36 3 2" xfId="30159" xr:uid="{00000000-0005-0000-0000-0000FE740000}"/>
    <cellStyle name="Input 36 3 2 2" xfId="30160" xr:uid="{00000000-0005-0000-0000-0000FF740000}"/>
    <cellStyle name="Input 36 3 2 2 2" xfId="30161" xr:uid="{00000000-0005-0000-0000-000000750000}"/>
    <cellStyle name="Input 36 3 2 2 2 2" xfId="30162" xr:uid="{00000000-0005-0000-0000-000001750000}"/>
    <cellStyle name="Input 36 3 2 2 3" xfId="30163" xr:uid="{00000000-0005-0000-0000-000002750000}"/>
    <cellStyle name="Input 36 3 2 2 3 2" xfId="30164" xr:uid="{00000000-0005-0000-0000-000003750000}"/>
    <cellStyle name="Input 36 3 2 2 4" xfId="30165" xr:uid="{00000000-0005-0000-0000-000004750000}"/>
    <cellStyle name="Input 36 3 2 2 5" xfId="30166" xr:uid="{00000000-0005-0000-0000-000005750000}"/>
    <cellStyle name="Input 36 3 2 2 6" xfId="30167" xr:uid="{00000000-0005-0000-0000-000006750000}"/>
    <cellStyle name="Input 36 3 2 3" xfId="30168" xr:uid="{00000000-0005-0000-0000-000007750000}"/>
    <cellStyle name="Input 36 3 2 3 2" xfId="30169" xr:uid="{00000000-0005-0000-0000-000008750000}"/>
    <cellStyle name="Input 36 3 2 4" xfId="30170" xr:uid="{00000000-0005-0000-0000-000009750000}"/>
    <cellStyle name="Input 36 3 2 4 2" xfId="30171" xr:uid="{00000000-0005-0000-0000-00000A750000}"/>
    <cellStyle name="Input 36 3 2 5" xfId="30172" xr:uid="{00000000-0005-0000-0000-00000B750000}"/>
    <cellStyle name="Input 36 3 2 6" xfId="30173" xr:uid="{00000000-0005-0000-0000-00000C750000}"/>
    <cellStyle name="Input 36 3 2 7" xfId="30174" xr:uid="{00000000-0005-0000-0000-00000D750000}"/>
    <cellStyle name="Input 36 3 3" xfId="30175" xr:uid="{00000000-0005-0000-0000-00000E750000}"/>
    <cellStyle name="Input 36 3 3 2" xfId="30176" xr:uid="{00000000-0005-0000-0000-00000F750000}"/>
    <cellStyle name="Input 36 3 3 2 2" xfId="30177" xr:uid="{00000000-0005-0000-0000-000010750000}"/>
    <cellStyle name="Input 36 3 3 3" xfId="30178" xr:uid="{00000000-0005-0000-0000-000011750000}"/>
    <cellStyle name="Input 36 3 3 3 2" xfId="30179" xr:uid="{00000000-0005-0000-0000-000012750000}"/>
    <cellStyle name="Input 36 3 3 4" xfId="30180" xr:uid="{00000000-0005-0000-0000-000013750000}"/>
    <cellStyle name="Input 36 3 3 5" xfId="30181" xr:uid="{00000000-0005-0000-0000-000014750000}"/>
    <cellStyle name="Input 36 3 3 6" xfId="30182" xr:uid="{00000000-0005-0000-0000-000015750000}"/>
    <cellStyle name="Input 36 3 4" xfId="30183" xr:uid="{00000000-0005-0000-0000-000016750000}"/>
    <cellStyle name="Input 36 3 4 2" xfId="30184" xr:uid="{00000000-0005-0000-0000-000017750000}"/>
    <cellStyle name="Input 36 3 5" xfId="30185" xr:uid="{00000000-0005-0000-0000-000018750000}"/>
    <cellStyle name="Input 36 3 5 2" xfId="30186" xr:uid="{00000000-0005-0000-0000-000019750000}"/>
    <cellStyle name="Input 36 3 6" xfId="30187" xr:uid="{00000000-0005-0000-0000-00001A750000}"/>
    <cellStyle name="Input 36 3 7" xfId="30188" xr:uid="{00000000-0005-0000-0000-00001B750000}"/>
    <cellStyle name="Input 36 3 8" xfId="30189" xr:uid="{00000000-0005-0000-0000-00001C750000}"/>
    <cellStyle name="Input 36 4" xfId="30190" xr:uid="{00000000-0005-0000-0000-00001D750000}"/>
    <cellStyle name="Input 36 4 2" xfId="30191" xr:uid="{00000000-0005-0000-0000-00001E750000}"/>
    <cellStyle name="Input 36 4 2 2" xfId="30192" xr:uid="{00000000-0005-0000-0000-00001F750000}"/>
    <cellStyle name="Input 36 4 2 2 2" xfId="30193" xr:uid="{00000000-0005-0000-0000-000020750000}"/>
    <cellStyle name="Input 36 4 2 3" xfId="30194" xr:uid="{00000000-0005-0000-0000-000021750000}"/>
    <cellStyle name="Input 36 4 2 3 2" xfId="30195" xr:uid="{00000000-0005-0000-0000-000022750000}"/>
    <cellStyle name="Input 36 4 2 4" xfId="30196" xr:uid="{00000000-0005-0000-0000-000023750000}"/>
    <cellStyle name="Input 36 4 2 5" xfId="30197" xr:uid="{00000000-0005-0000-0000-000024750000}"/>
    <cellStyle name="Input 36 4 2 6" xfId="30198" xr:uid="{00000000-0005-0000-0000-000025750000}"/>
    <cellStyle name="Input 36 4 3" xfId="30199" xr:uid="{00000000-0005-0000-0000-000026750000}"/>
    <cellStyle name="Input 36 4 3 2" xfId="30200" xr:uid="{00000000-0005-0000-0000-000027750000}"/>
    <cellStyle name="Input 36 4 4" xfId="30201" xr:uid="{00000000-0005-0000-0000-000028750000}"/>
    <cellStyle name="Input 36 4 4 2" xfId="30202" xr:uid="{00000000-0005-0000-0000-000029750000}"/>
    <cellStyle name="Input 36 4 5" xfId="30203" xr:uid="{00000000-0005-0000-0000-00002A750000}"/>
    <cellStyle name="Input 36 4 6" xfId="30204" xr:uid="{00000000-0005-0000-0000-00002B750000}"/>
    <cellStyle name="Input 36 4 7" xfId="30205" xr:uid="{00000000-0005-0000-0000-00002C750000}"/>
    <cellStyle name="Input 36 5" xfId="30206" xr:uid="{00000000-0005-0000-0000-00002D750000}"/>
    <cellStyle name="Input 36 5 2" xfId="30207" xr:uid="{00000000-0005-0000-0000-00002E750000}"/>
    <cellStyle name="Input 36 5 2 2" xfId="30208" xr:uid="{00000000-0005-0000-0000-00002F750000}"/>
    <cellStyle name="Input 36 5 3" xfId="30209" xr:uid="{00000000-0005-0000-0000-000030750000}"/>
    <cellStyle name="Input 36 5 3 2" xfId="30210" xr:uid="{00000000-0005-0000-0000-000031750000}"/>
    <cellStyle name="Input 36 5 4" xfId="30211" xr:uid="{00000000-0005-0000-0000-000032750000}"/>
    <cellStyle name="Input 36 5 5" xfId="30212" xr:uid="{00000000-0005-0000-0000-000033750000}"/>
    <cellStyle name="Input 36 5 6" xfId="30213" xr:uid="{00000000-0005-0000-0000-000034750000}"/>
    <cellStyle name="Input 36 6" xfId="30214" xr:uid="{00000000-0005-0000-0000-000035750000}"/>
    <cellStyle name="Input 36 6 2" xfId="30215" xr:uid="{00000000-0005-0000-0000-000036750000}"/>
    <cellStyle name="Input 36 7" xfId="30216" xr:uid="{00000000-0005-0000-0000-000037750000}"/>
    <cellStyle name="Input 36 7 2" xfId="30217" xr:uid="{00000000-0005-0000-0000-000038750000}"/>
    <cellStyle name="Input 36 8" xfId="30218" xr:uid="{00000000-0005-0000-0000-000039750000}"/>
    <cellStyle name="Input 36 9" xfId="30219" xr:uid="{00000000-0005-0000-0000-00003A750000}"/>
    <cellStyle name="Input 37" xfId="30220" xr:uid="{00000000-0005-0000-0000-00003B750000}"/>
    <cellStyle name="Input 37 10" xfId="30221" xr:uid="{00000000-0005-0000-0000-00003C750000}"/>
    <cellStyle name="Input 37 2" xfId="30222" xr:uid="{00000000-0005-0000-0000-00003D750000}"/>
    <cellStyle name="Input 37 2 2" xfId="30223" xr:uid="{00000000-0005-0000-0000-00003E750000}"/>
    <cellStyle name="Input 37 2 2 2" xfId="30224" xr:uid="{00000000-0005-0000-0000-00003F750000}"/>
    <cellStyle name="Input 37 2 2 2 2" xfId="30225" xr:uid="{00000000-0005-0000-0000-000040750000}"/>
    <cellStyle name="Input 37 2 2 2 2 2" xfId="30226" xr:uid="{00000000-0005-0000-0000-000041750000}"/>
    <cellStyle name="Input 37 2 2 2 3" xfId="30227" xr:uid="{00000000-0005-0000-0000-000042750000}"/>
    <cellStyle name="Input 37 2 2 2 3 2" xfId="30228" xr:uid="{00000000-0005-0000-0000-000043750000}"/>
    <cellStyle name="Input 37 2 2 2 4" xfId="30229" xr:uid="{00000000-0005-0000-0000-000044750000}"/>
    <cellStyle name="Input 37 2 2 2 5" xfId="30230" xr:uid="{00000000-0005-0000-0000-000045750000}"/>
    <cellStyle name="Input 37 2 2 2 6" xfId="30231" xr:uid="{00000000-0005-0000-0000-000046750000}"/>
    <cellStyle name="Input 37 2 2 3" xfId="30232" xr:uid="{00000000-0005-0000-0000-000047750000}"/>
    <cellStyle name="Input 37 2 2 3 2" xfId="30233" xr:uid="{00000000-0005-0000-0000-000048750000}"/>
    <cellStyle name="Input 37 2 2 4" xfId="30234" xr:uid="{00000000-0005-0000-0000-000049750000}"/>
    <cellStyle name="Input 37 2 2 4 2" xfId="30235" xr:uid="{00000000-0005-0000-0000-00004A750000}"/>
    <cellStyle name="Input 37 2 2 5" xfId="30236" xr:uid="{00000000-0005-0000-0000-00004B750000}"/>
    <cellStyle name="Input 37 2 2 6" xfId="30237" xr:uid="{00000000-0005-0000-0000-00004C750000}"/>
    <cellStyle name="Input 37 2 2 7" xfId="30238" xr:uid="{00000000-0005-0000-0000-00004D750000}"/>
    <cellStyle name="Input 37 2 3" xfId="30239" xr:uid="{00000000-0005-0000-0000-00004E750000}"/>
    <cellStyle name="Input 37 2 3 2" xfId="30240" xr:uid="{00000000-0005-0000-0000-00004F750000}"/>
    <cellStyle name="Input 37 2 3 2 2" xfId="30241" xr:uid="{00000000-0005-0000-0000-000050750000}"/>
    <cellStyle name="Input 37 2 3 3" xfId="30242" xr:uid="{00000000-0005-0000-0000-000051750000}"/>
    <cellStyle name="Input 37 2 3 3 2" xfId="30243" xr:uid="{00000000-0005-0000-0000-000052750000}"/>
    <cellStyle name="Input 37 2 3 4" xfId="30244" xr:uid="{00000000-0005-0000-0000-000053750000}"/>
    <cellStyle name="Input 37 2 3 5" xfId="30245" xr:uid="{00000000-0005-0000-0000-000054750000}"/>
    <cellStyle name="Input 37 2 3 6" xfId="30246" xr:uid="{00000000-0005-0000-0000-000055750000}"/>
    <cellStyle name="Input 37 2 4" xfId="30247" xr:uid="{00000000-0005-0000-0000-000056750000}"/>
    <cellStyle name="Input 37 2 4 2" xfId="30248" xr:uid="{00000000-0005-0000-0000-000057750000}"/>
    <cellStyle name="Input 37 2 5" xfId="30249" xr:uid="{00000000-0005-0000-0000-000058750000}"/>
    <cellStyle name="Input 37 2 5 2" xfId="30250" xr:uid="{00000000-0005-0000-0000-000059750000}"/>
    <cellStyle name="Input 37 2 6" xfId="30251" xr:uid="{00000000-0005-0000-0000-00005A750000}"/>
    <cellStyle name="Input 37 2 7" xfId="30252" xr:uid="{00000000-0005-0000-0000-00005B750000}"/>
    <cellStyle name="Input 37 2 8" xfId="30253" xr:uid="{00000000-0005-0000-0000-00005C750000}"/>
    <cellStyle name="Input 37 3" xfId="30254" xr:uid="{00000000-0005-0000-0000-00005D750000}"/>
    <cellStyle name="Input 37 3 2" xfId="30255" xr:uid="{00000000-0005-0000-0000-00005E750000}"/>
    <cellStyle name="Input 37 3 2 2" xfId="30256" xr:uid="{00000000-0005-0000-0000-00005F750000}"/>
    <cellStyle name="Input 37 3 2 2 2" xfId="30257" xr:uid="{00000000-0005-0000-0000-000060750000}"/>
    <cellStyle name="Input 37 3 2 2 2 2" xfId="30258" xr:uid="{00000000-0005-0000-0000-000061750000}"/>
    <cellStyle name="Input 37 3 2 2 3" xfId="30259" xr:uid="{00000000-0005-0000-0000-000062750000}"/>
    <cellStyle name="Input 37 3 2 2 3 2" xfId="30260" xr:uid="{00000000-0005-0000-0000-000063750000}"/>
    <cellStyle name="Input 37 3 2 2 4" xfId="30261" xr:uid="{00000000-0005-0000-0000-000064750000}"/>
    <cellStyle name="Input 37 3 2 2 5" xfId="30262" xr:uid="{00000000-0005-0000-0000-000065750000}"/>
    <cellStyle name="Input 37 3 2 2 6" xfId="30263" xr:uid="{00000000-0005-0000-0000-000066750000}"/>
    <cellStyle name="Input 37 3 2 3" xfId="30264" xr:uid="{00000000-0005-0000-0000-000067750000}"/>
    <cellStyle name="Input 37 3 2 3 2" xfId="30265" xr:uid="{00000000-0005-0000-0000-000068750000}"/>
    <cellStyle name="Input 37 3 2 4" xfId="30266" xr:uid="{00000000-0005-0000-0000-000069750000}"/>
    <cellStyle name="Input 37 3 2 4 2" xfId="30267" xr:uid="{00000000-0005-0000-0000-00006A750000}"/>
    <cellStyle name="Input 37 3 2 5" xfId="30268" xr:uid="{00000000-0005-0000-0000-00006B750000}"/>
    <cellStyle name="Input 37 3 2 6" xfId="30269" xr:uid="{00000000-0005-0000-0000-00006C750000}"/>
    <cellStyle name="Input 37 3 2 7" xfId="30270" xr:uid="{00000000-0005-0000-0000-00006D750000}"/>
    <cellStyle name="Input 37 3 3" xfId="30271" xr:uid="{00000000-0005-0000-0000-00006E750000}"/>
    <cellStyle name="Input 37 3 3 2" xfId="30272" xr:uid="{00000000-0005-0000-0000-00006F750000}"/>
    <cellStyle name="Input 37 3 3 2 2" xfId="30273" xr:uid="{00000000-0005-0000-0000-000070750000}"/>
    <cellStyle name="Input 37 3 3 3" xfId="30274" xr:uid="{00000000-0005-0000-0000-000071750000}"/>
    <cellStyle name="Input 37 3 3 3 2" xfId="30275" xr:uid="{00000000-0005-0000-0000-000072750000}"/>
    <cellStyle name="Input 37 3 3 4" xfId="30276" xr:uid="{00000000-0005-0000-0000-000073750000}"/>
    <cellStyle name="Input 37 3 3 5" xfId="30277" xr:uid="{00000000-0005-0000-0000-000074750000}"/>
    <cellStyle name="Input 37 3 3 6" xfId="30278" xr:uid="{00000000-0005-0000-0000-000075750000}"/>
    <cellStyle name="Input 37 3 4" xfId="30279" xr:uid="{00000000-0005-0000-0000-000076750000}"/>
    <cellStyle name="Input 37 3 4 2" xfId="30280" xr:uid="{00000000-0005-0000-0000-000077750000}"/>
    <cellStyle name="Input 37 3 5" xfId="30281" xr:uid="{00000000-0005-0000-0000-000078750000}"/>
    <cellStyle name="Input 37 3 5 2" xfId="30282" xr:uid="{00000000-0005-0000-0000-000079750000}"/>
    <cellStyle name="Input 37 3 6" xfId="30283" xr:uid="{00000000-0005-0000-0000-00007A750000}"/>
    <cellStyle name="Input 37 3 7" xfId="30284" xr:uid="{00000000-0005-0000-0000-00007B750000}"/>
    <cellStyle name="Input 37 3 8" xfId="30285" xr:uid="{00000000-0005-0000-0000-00007C750000}"/>
    <cellStyle name="Input 37 4" xfId="30286" xr:uid="{00000000-0005-0000-0000-00007D750000}"/>
    <cellStyle name="Input 37 4 2" xfId="30287" xr:uid="{00000000-0005-0000-0000-00007E750000}"/>
    <cellStyle name="Input 37 4 2 2" xfId="30288" xr:uid="{00000000-0005-0000-0000-00007F750000}"/>
    <cellStyle name="Input 37 4 2 2 2" xfId="30289" xr:uid="{00000000-0005-0000-0000-000080750000}"/>
    <cellStyle name="Input 37 4 2 3" xfId="30290" xr:uid="{00000000-0005-0000-0000-000081750000}"/>
    <cellStyle name="Input 37 4 2 3 2" xfId="30291" xr:uid="{00000000-0005-0000-0000-000082750000}"/>
    <cellStyle name="Input 37 4 2 4" xfId="30292" xr:uid="{00000000-0005-0000-0000-000083750000}"/>
    <cellStyle name="Input 37 4 2 5" xfId="30293" xr:uid="{00000000-0005-0000-0000-000084750000}"/>
    <cellStyle name="Input 37 4 2 6" xfId="30294" xr:uid="{00000000-0005-0000-0000-000085750000}"/>
    <cellStyle name="Input 37 4 3" xfId="30295" xr:uid="{00000000-0005-0000-0000-000086750000}"/>
    <cellStyle name="Input 37 4 3 2" xfId="30296" xr:uid="{00000000-0005-0000-0000-000087750000}"/>
    <cellStyle name="Input 37 4 4" xfId="30297" xr:uid="{00000000-0005-0000-0000-000088750000}"/>
    <cellStyle name="Input 37 4 4 2" xfId="30298" xr:uid="{00000000-0005-0000-0000-000089750000}"/>
    <cellStyle name="Input 37 4 5" xfId="30299" xr:uid="{00000000-0005-0000-0000-00008A750000}"/>
    <cellStyle name="Input 37 4 6" xfId="30300" xr:uid="{00000000-0005-0000-0000-00008B750000}"/>
    <cellStyle name="Input 37 4 7" xfId="30301" xr:uid="{00000000-0005-0000-0000-00008C750000}"/>
    <cellStyle name="Input 37 5" xfId="30302" xr:uid="{00000000-0005-0000-0000-00008D750000}"/>
    <cellStyle name="Input 37 5 2" xfId="30303" xr:uid="{00000000-0005-0000-0000-00008E750000}"/>
    <cellStyle name="Input 37 5 2 2" xfId="30304" xr:uid="{00000000-0005-0000-0000-00008F750000}"/>
    <cellStyle name="Input 37 5 3" xfId="30305" xr:uid="{00000000-0005-0000-0000-000090750000}"/>
    <cellStyle name="Input 37 5 3 2" xfId="30306" xr:uid="{00000000-0005-0000-0000-000091750000}"/>
    <cellStyle name="Input 37 5 4" xfId="30307" xr:uid="{00000000-0005-0000-0000-000092750000}"/>
    <cellStyle name="Input 37 5 5" xfId="30308" xr:uid="{00000000-0005-0000-0000-000093750000}"/>
    <cellStyle name="Input 37 5 6" xfId="30309" xr:uid="{00000000-0005-0000-0000-000094750000}"/>
    <cellStyle name="Input 37 6" xfId="30310" xr:uid="{00000000-0005-0000-0000-000095750000}"/>
    <cellStyle name="Input 37 6 2" xfId="30311" xr:uid="{00000000-0005-0000-0000-000096750000}"/>
    <cellStyle name="Input 37 7" xfId="30312" xr:uid="{00000000-0005-0000-0000-000097750000}"/>
    <cellStyle name="Input 37 7 2" xfId="30313" xr:uid="{00000000-0005-0000-0000-000098750000}"/>
    <cellStyle name="Input 37 8" xfId="30314" xr:uid="{00000000-0005-0000-0000-000099750000}"/>
    <cellStyle name="Input 37 9" xfId="30315" xr:uid="{00000000-0005-0000-0000-00009A750000}"/>
    <cellStyle name="Input 38" xfId="30316" xr:uid="{00000000-0005-0000-0000-00009B750000}"/>
    <cellStyle name="Input 38 10" xfId="30317" xr:uid="{00000000-0005-0000-0000-00009C750000}"/>
    <cellStyle name="Input 38 2" xfId="30318" xr:uid="{00000000-0005-0000-0000-00009D750000}"/>
    <cellStyle name="Input 38 2 2" xfId="30319" xr:uid="{00000000-0005-0000-0000-00009E750000}"/>
    <cellStyle name="Input 38 2 2 2" xfId="30320" xr:uid="{00000000-0005-0000-0000-00009F750000}"/>
    <cellStyle name="Input 38 2 2 2 2" xfId="30321" xr:uid="{00000000-0005-0000-0000-0000A0750000}"/>
    <cellStyle name="Input 38 2 2 2 2 2" xfId="30322" xr:uid="{00000000-0005-0000-0000-0000A1750000}"/>
    <cellStyle name="Input 38 2 2 2 3" xfId="30323" xr:uid="{00000000-0005-0000-0000-0000A2750000}"/>
    <cellStyle name="Input 38 2 2 2 3 2" xfId="30324" xr:uid="{00000000-0005-0000-0000-0000A3750000}"/>
    <cellStyle name="Input 38 2 2 2 4" xfId="30325" xr:uid="{00000000-0005-0000-0000-0000A4750000}"/>
    <cellStyle name="Input 38 2 2 2 5" xfId="30326" xr:uid="{00000000-0005-0000-0000-0000A5750000}"/>
    <cellStyle name="Input 38 2 2 2 6" xfId="30327" xr:uid="{00000000-0005-0000-0000-0000A6750000}"/>
    <cellStyle name="Input 38 2 2 3" xfId="30328" xr:uid="{00000000-0005-0000-0000-0000A7750000}"/>
    <cellStyle name="Input 38 2 2 3 2" xfId="30329" xr:uid="{00000000-0005-0000-0000-0000A8750000}"/>
    <cellStyle name="Input 38 2 2 4" xfId="30330" xr:uid="{00000000-0005-0000-0000-0000A9750000}"/>
    <cellStyle name="Input 38 2 2 4 2" xfId="30331" xr:uid="{00000000-0005-0000-0000-0000AA750000}"/>
    <cellStyle name="Input 38 2 2 5" xfId="30332" xr:uid="{00000000-0005-0000-0000-0000AB750000}"/>
    <cellStyle name="Input 38 2 2 6" xfId="30333" xr:uid="{00000000-0005-0000-0000-0000AC750000}"/>
    <cellStyle name="Input 38 2 2 7" xfId="30334" xr:uid="{00000000-0005-0000-0000-0000AD750000}"/>
    <cellStyle name="Input 38 2 3" xfId="30335" xr:uid="{00000000-0005-0000-0000-0000AE750000}"/>
    <cellStyle name="Input 38 2 3 2" xfId="30336" xr:uid="{00000000-0005-0000-0000-0000AF750000}"/>
    <cellStyle name="Input 38 2 3 2 2" xfId="30337" xr:uid="{00000000-0005-0000-0000-0000B0750000}"/>
    <cellStyle name="Input 38 2 3 3" xfId="30338" xr:uid="{00000000-0005-0000-0000-0000B1750000}"/>
    <cellStyle name="Input 38 2 3 3 2" xfId="30339" xr:uid="{00000000-0005-0000-0000-0000B2750000}"/>
    <cellStyle name="Input 38 2 3 4" xfId="30340" xr:uid="{00000000-0005-0000-0000-0000B3750000}"/>
    <cellStyle name="Input 38 2 3 5" xfId="30341" xr:uid="{00000000-0005-0000-0000-0000B4750000}"/>
    <cellStyle name="Input 38 2 3 6" xfId="30342" xr:uid="{00000000-0005-0000-0000-0000B5750000}"/>
    <cellStyle name="Input 38 2 4" xfId="30343" xr:uid="{00000000-0005-0000-0000-0000B6750000}"/>
    <cellStyle name="Input 38 2 4 2" xfId="30344" xr:uid="{00000000-0005-0000-0000-0000B7750000}"/>
    <cellStyle name="Input 38 2 5" xfId="30345" xr:uid="{00000000-0005-0000-0000-0000B8750000}"/>
    <cellStyle name="Input 38 2 5 2" xfId="30346" xr:uid="{00000000-0005-0000-0000-0000B9750000}"/>
    <cellStyle name="Input 38 2 6" xfId="30347" xr:uid="{00000000-0005-0000-0000-0000BA750000}"/>
    <cellStyle name="Input 38 2 7" xfId="30348" xr:uid="{00000000-0005-0000-0000-0000BB750000}"/>
    <cellStyle name="Input 38 2 8" xfId="30349" xr:uid="{00000000-0005-0000-0000-0000BC750000}"/>
    <cellStyle name="Input 38 3" xfId="30350" xr:uid="{00000000-0005-0000-0000-0000BD750000}"/>
    <cellStyle name="Input 38 3 2" xfId="30351" xr:uid="{00000000-0005-0000-0000-0000BE750000}"/>
    <cellStyle name="Input 38 3 2 2" xfId="30352" xr:uid="{00000000-0005-0000-0000-0000BF750000}"/>
    <cellStyle name="Input 38 3 2 2 2" xfId="30353" xr:uid="{00000000-0005-0000-0000-0000C0750000}"/>
    <cellStyle name="Input 38 3 2 2 2 2" xfId="30354" xr:uid="{00000000-0005-0000-0000-0000C1750000}"/>
    <cellStyle name="Input 38 3 2 2 3" xfId="30355" xr:uid="{00000000-0005-0000-0000-0000C2750000}"/>
    <cellStyle name="Input 38 3 2 2 3 2" xfId="30356" xr:uid="{00000000-0005-0000-0000-0000C3750000}"/>
    <cellStyle name="Input 38 3 2 2 4" xfId="30357" xr:uid="{00000000-0005-0000-0000-0000C4750000}"/>
    <cellStyle name="Input 38 3 2 2 5" xfId="30358" xr:uid="{00000000-0005-0000-0000-0000C5750000}"/>
    <cellStyle name="Input 38 3 2 2 6" xfId="30359" xr:uid="{00000000-0005-0000-0000-0000C6750000}"/>
    <cellStyle name="Input 38 3 2 3" xfId="30360" xr:uid="{00000000-0005-0000-0000-0000C7750000}"/>
    <cellStyle name="Input 38 3 2 3 2" xfId="30361" xr:uid="{00000000-0005-0000-0000-0000C8750000}"/>
    <cellStyle name="Input 38 3 2 4" xfId="30362" xr:uid="{00000000-0005-0000-0000-0000C9750000}"/>
    <cellStyle name="Input 38 3 2 4 2" xfId="30363" xr:uid="{00000000-0005-0000-0000-0000CA750000}"/>
    <cellStyle name="Input 38 3 2 5" xfId="30364" xr:uid="{00000000-0005-0000-0000-0000CB750000}"/>
    <cellStyle name="Input 38 3 2 6" xfId="30365" xr:uid="{00000000-0005-0000-0000-0000CC750000}"/>
    <cellStyle name="Input 38 3 2 7" xfId="30366" xr:uid="{00000000-0005-0000-0000-0000CD750000}"/>
    <cellStyle name="Input 38 3 3" xfId="30367" xr:uid="{00000000-0005-0000-0000-0000CE750000}"/>
    <cellStyle name="Input 38 3 3 2" xfId="30368" xr:uid="{00000000-0005-0000-0000-0000CF750000}"/>
    <cellStyle name="Input 38 3 3 2 2" xfId="30369" xr:uid="{00000000-0005-0000-0000-0000D0750000}"/>
    <cellStyle name="Input 38 3 3 3" xfId="30370" xr:uid="{00000000-0005-0000-0000-0000D1750000}"/>
    <cellStyle name="Input 38 3 3 3 2" xfId="30371" xr:uid="{00000000-0005-0000-0000-0000D2750000}"/>
    <cellStyle name="Input 38 3 3 4" xfId="30372" xr:uid="{00000000-0005-0000-0000-0000D3750000}"/>
    <cellStyle name="Input 38 3 3 5" xfId="30373" xr:uid="{00000000-0005-0000-0000-0000D4750000}"/>
    <cellStyle name="Input 38 3 3 6" xfId="30374" xr:uid="{00000000-0005-0000-0000-0000D5750000}"/>
    <cellStyle name="Input 38 3 4" xfId="30375" xr:uid="{00000000-0005-0000-0000-0000D6750000}"/>
    <cellStyle name="Input 38 3 4 2" xfId="30376" xr:uid="{00000000-0005-0000-0000-0000D7750000}"/>
    <cellStyle name="Input 38 3 5" xfId="30377" xr:uid="{00000000-0005-0000-0000-0000D8750000}"/>
    <cellStyle name="Input 38 3 5 2" xfId="30378" xr:uid="{00000000-0005-0000-0000-0000D9750000}"/>
    <cellStyle name="Input 38 3 6" xfId="30379" xr:uid="{00000000-0005-0000-0000-0000DA750000}"/>
    <cellStyle name="Input 38 3 7" xfId="30380" xr:uid="{00000000-0005-0000-0000-0000DB750000}"/>
    <cellStyle name="Input 38 3 8" xfId="30381" xr:uid="{00000000-0005-0000-0000-0000DC750000}"/>
    <cellStyle name="Input 38 4" xfId="30382" xr:uid="{00000000-0005-0000-0000-0000DD750000}"/>
    <cellStyle name="Input 38 4 2" xfId="30383" xr:uid="{00000000-0005-0000-0000-0000DE750000}"/>
    <cellStyle name="Input 38 4 2 2" xfId="30384" xr:uid="{00000000-0005-0000-0000-0000DF750000}"/>
    <cellStyle name="Input 38 4 2 2 2" xfId="30385" xr:uid="{00000000-0005-0000-0000-0000E0750000}"/>
    <cellStyle name="Input 38 4 2 3" xfId="30386" xr:uid="{00000000-0005-0000-0000-0000E1750000}"/>
    <cellStyle name="Input 38 4 2 3 2" xfId="30387" xr:uid="{00000000-0005-0000-0000-0000E2750000}"/>
    <cellStyle name="Input 38 4 2 4" xfId="30388" xr:uid="{00000000-0005-0000-0000-0000E3750000}"/>
    <cellStyle name="Input 38 4 2 5" xfId="30389" xr:uid="{00000000-0005-0000-0000-0000E4750000}"/>
    <cellStyle name="Input 38 4 2 6" xfId="30390" xr:uid="{00000000-0005-0000-0000-0000E5750000}"/>
    <cellStyle name="Input 38 4 3" xfId="30391" xr:uid="{00000000-0005-0000-0000-0000E6750000}"/>
    <cellStyle name="Input 38 4 3 2" xfId="30392" xr:uid="{00000000-0005-0000-0000-0000E7750000}"/>
    <cellStyle name="Input 38 4 4" xfId="30393" xr:uid="{00000000-0005-0000-0000-0000E8750000}"/>
    <cellStyle name="Input 38 4 4 2" xfId="30394" xr:uid="{00000000-0005-0000-0000-0000E9750000}"/>
    <cellStyle name="Input 38 4 5" xfId="30395" xr:uid="{00000000-0005-0000-0000-0000EA750000}"/>
    <cellStyle name="Input 38 4 6" xfId="30396" xr:uid="{00000000-0005-0000-0000-0000EB750000}"/>
    <cellStyle name="Input 38 4 7" xfId="30397" xr:uid="{00000000-0005-0000-0000-0000EC750000}"/>
    <cellStyle name="Input 38 5" xfId="30398" xr:uid="{00000000-0005-0000-0000-0000ED750000}"/>
    <cellStyle name="Input 38 5 2" xfId="30399" xr:uid="{00000000-0005-0000-0000-0000EE750000}"/>
    <cellStyle name="Input 38 5 2 2" xfId="30400" xr:uid="{00000000-0005-0000-0000-0000EF750000}"/>
    <cellStyle name="Input 38 5 3" xfId="30401" xr:uid="{00000000-0005-0000-0000-0000F0750000}"/>
    <cellStyle name="Input 38 5 3 2" xfId="30402" xr:uid="{00000000-0005-0000-0000-0000F1750000}"/>
    <cellStyle name="Input 38 5 4" xfId="30403" xr:uid="{00000000-0005-0000-0000-0000F2750000}"/>
    <cellStyle name="Input 38 5 5" xfId="30404" xr:uid="{00000000-0005-0000-0000-0000F3750000}"/>
    <cellStyle name="Input 38 5 6" xfId="30405" xr:uid="{00000000-0005-0000-0000-0000F4750000}"/>
    <cellStyle name="Input 38 6" xfId="30406" xr:uid="{00000000-0005-0000-0000-0000F5750000}"/>
    <cellStyle name="Input 38 6 2" xfId="30407" xr:uid="{00000000-0005-0000-0000-0000F6750000}"/>
    <cellStyle name="Input 38 7" xfId="30408" xr:uid="{00000000-0005-0000-0000-0000F7750000}"/>
    <cellStyle name="Input 38 7 2" xfId="30409" xr:uid="{00000000-0005-0000-0000-0000F8750000}"/>
    <cellStyle name="Input 38 8" xfId="30410" xr:uid="{00000000-0005-0000-0000-0000F9750000}"/>
    <cellStyle name="Input 38 9" xfId="30411" xr:uid="{00000000-0005-0000-0000-0000FA750000}"/>
    <cellStyle name="Input 39" xfId="30412" xr:uid="{00000000-0005-0000-0000-0000FB750000}"/>
    <cellStyle name="Input 39 2" xfId="30413" xr:uid="{00000000-0005-0000-0000-0000FC750000}"/>
    <cellStyle name="Input 39 2 2" xfId="30414" xr:uid="{00000000-0005-0000-0000-0000FD750000}"/>
    <cellStyle name="Input 39 2 2 2" xfId="30415" xr:uid="{00000000-0005-0000-0000-0000FE750000}"/>
    <cellStyle name="Input 39 2 2 2 2" xfId="30416" xr:uid="{00000000-0005-0000-0000-0000FF750000}"/>
    <cellStyle name="Input 39 2 2 3" xfId="30417" xr:uid="{00000000-0005-0000-0000-000000760000}"/>
    <cellStyle name="Input 39 2 2 3 2" xfId="30418" xr:uid="{00000000-0005-0000-0000-000001760000}"/>
    <cellStyle name="Input 39 2 2 4" xfId="30419" xr:uid="{00000000-0005-0000-0000-000002760000}"/>
    <cellStyle name="Input 39 2 2 5" xfId="30420" xr:uid="{00000000-0005-0000-0000-000003760000}"/>
    <cellStyle name="Input 39 2 2 6" xfId="30421" xr:uid="{00000000-0005-0000-0000-000004760000}"/>
    <cellStyle name="Input 39 2 3" xfId="30422" xr:uid="{00000000-0005-0000-0000-000005760000}"/>
    <cellStyle name="Input 39 2 3 2" xfId="30423" xr:uid="{00000000-0005-0000-0000-000006760000}"/>
    <cellStyle name="Input 39 2 4" xfId="30424" xr:uid="{00000000-0005-0000-0000-000007760000}"/>
    <cellStyle name="Input 39 2 4 2" xfId="30425" xr:uid="{00000000-0005-0000-0000-000008760000}"/>
    <cellStyle name="Input 39 2 5" xfId="30426" xr:uid="{00000000-0005-0000-0000-000009760000}"/>
    <cellStyle name="Input 39 2 6" xfId="30427" xr:uid="{00000000-0005-0000-0000-00000A760000}"/>
    <cellStyle name="Input 39 2 7" xfId="30428" xr:uid="{00000000-0005-0000-0000-00000B760000}"/>
    <cellStyle name="Input 39 3" xfId="30429" xr:uid="{00000000-0005-0000-0000-00000C760000}"/>
    <cellStyle name="Input 39 3 2" xfId="30430" xr:uid="{00000000-0005-0000-0000-00000D760000}"/>
    <cellStyle name="Input 39 3 2 2" xfId="30431" xr:uid="{00000000-0005-0000-0000-00000E760000}"/>
    <cellStyle name="Input 39 3 3" xfId="30432" xr:uid="{00000000-0005-0000-0000-00000F760000}"/>
    <cellStyle name="Input 39 3 3 2" xfId="30433" xr:uid="{00000000-0005-0000-0000-000010760000}"/>
    <cellStyle name="Input 39 3 4" xfId="30434" xr:uid="{00000000-0005-0000-0000-000011760000}"/>
    <cellStyle name="Input 39 3 5" xfId="30435" xr:uid="{00000000-0005-0000-0000-000012760000}"/>
    <cellStyle name="Input 39 3 6" xfId="30436" xr:uid="{00000000-0005-0000-0000-000013760000}"/>
    <cellStyle name="Input 39 4" xfId="30437" xr:uid="{00000000-0005-0000-0000-000014760000}"/>
    <cellStyle name="Input 39 4 2" xfId="30438" xr:uid="{00000000-0005-0000-0000-000015760000}"/>
    <cellStyle name="Input 39 5" xfId="30439" xr:uid="{00000000-0005-0000-0000-000016760000}"/>
    <cellStyle name="Input 39 5 2" xfId="30440" xr:uid="{00000000-0005-0000-0000-000017760000}"/>
    <cellStyle name="Input 39 6" xfId="30441" xr:uid="{00000000-0005-0000-0000-000018760000}"/>
    <cellStyle name="Input 39 7" xfId="30442" xr:uid="{00000000-0005-0000-0000-000019760000}"/>
    <cellStyle name="Input 39 8" xfId="30443" xr:uid="{00000000-0005-0000-0000-00001A760000}"/>
    <cellStyle name="Input 4" xfId="30444" xr:uid="{00000000-0005-0000-0000-00001B760000}"/>
    <cellStyle name="Input 4 10" xfId="30445" xr:uid="{00000000-0005-0000-0000-00001C760000}"/>
    <cellStyle name="Input 4 11" xfId="30446" xr:uid="{00000000-0005-0000-0000-00001D760000}"/>
    <cellStyle name="Input 4 2" xfId="30447" xr:uid="{00000000-0005-0000-0000-00001E760000}"/>
    <cellStyle name="Input 4 2 10" xfId="30448" xr:uid="{00000000-0005-0000-0000-00001F760000}"/>
    <cellStyle name="Input 4 2 11" xfId="30449" xr:uid="{00000000-0005-0000-0000-000020760000}"/>
    <cellStyle name="Input 4 2 12" xfId="30450" xr:uid="{00000000-0005-0000-0000-000021760000}"/>
    <cellStyle name="Input 4 2 2" xfId="30451" xr:uid="{00000000-0005-0000-0000-000022760000}"/>
    <cellStyle name="Input 4 2 2 10" xfId="30452" xr:uid="{00000000-0005-0000-0000-000023760000}"/>
    <cellStyle name="Input 4 2 2 11" xfId="30453" xr:uid="{00000000-0005-0000-0000-000024760000}"/>
    <cellStyle name="Input 4 2 2 12" xfId="30454" xr:uid="{00000000-0005-0000-0000-000025760000}"/>
    <cellStyle name="Input 4 2 2 2" xfId="30455" xr:uid="{00000000-0005-0000-0000-000026760000}"/>
    <cellStyle name="Input 4 2 2 2 10" xfId="30456" xr:uid="{00000000-0005-0000-0000-000027760000}"/>
    <cellStyle name="Input 4 2 2 2 11" xfId="30457" xr:uid="{00000000-0005-0000-0000-000028760000}"/>
    <cellStyle name="Input 4 2 2 2 2" xfId="30458" xr:uid="{00000000-0005-0000-0000-000029760000}"/>
    <cellStyle name="Input 4 2 2 2 2 10" xfId="30459" xr:uid="{00000000-0005-0000-0000-00002A760000}"/>
    <cellStyle name="Input 4 2 2 2 2 2" xfId="30460" xr:uid="{00000000-0005-0000-0000-00002B760000}"/>
    <cellStyle name="Input 4 2 2 2 2 2 2" xfId="30461" xr:uid="{00000000-0005-0000-0000-00002C760000}"/>
    <cellStyle name="Input 4 2 2 2 2 2 2 2" xfId="30462" xr:uid="{00000000-0005-0000-0000-00002D760000}"/>
    <cellStyle name="Input 4 2 2 2 2 2 2 2 2" xfId="30463" xr:uid="{00000000-0005-0000-0000-00002E760000}"/>
    <cellStyle name="Input 4 2 2 2 2 2 2 2 2 2" xfId="30464" xr:uid="{00000000-0005-0000-0000-00002F760000}"/>
    <cellStyle name="Input 4 2 2 2 2 2 2 2 3" xfId="30465" xr:uid="{00000000-0005-0000-0000-000030760000}"/>
    <cellStyle name="Input 4 2 2 2 2 2 2 2 3 2" xfId="30466" xr:uid="{00000000-0005-0000-0000-000031760000}"/>
    <cellStyle name="Input 4 2 2 2 2 2 2 2 4" xfId="30467" xr:uid="{00000000-0005-0000-0000-000032760000}"/>
    <cellStyle name="Input 4 2 2 2 2 2 2 2 5" xfId="30468" xr:uid="{00000000-0005-0000-0000-000033760000}"/>
    <cellStyle name="Input 4 2 2 2 2 2 2 2 6" xfId="30469" xr:uid="{00000000-0005-0000-0000-000034760000}"/>
    <cellStyle name="Input 4 2 2 2 2 2 2 3" xfId="30470" xr:uid="{00000000-0005-0000-0000-000035760000}"/>
    <cellStyle name="Input 4 2 2 2 2 2 2 3 2" xfId="30471" xr:uid="{00000000-0005-0000-0000-000036760000}"/>
    <cellStyle name="Input 4 2 2 2 2 2 2 4" xfId="30472" xr:uid="{00000000-0005-0000-0000-000037760000}"/>
    <cellStyle name="Input 4 2 2 2 2 2 2 4 2" xfId="30473" xr:uid="{00000000-0005-0000-0000-000038760000}"/>
    <cellStyle name="Input 4 2 2 2 2 2 2 5" xfId="30474" xr:uid="{00000000-0005-0000-0000-000039760000}"/>
    <cellStyle name="Input 4 2 2 2 2 2 2 6" xfId="30475" xr:uid="{00000000-0005-0000-0000-00003A760000}"/>
    <cellStyle name="Input 4 2 2 2 2 2 2 7" xfId="30476" xr:uid="{00000000-0005-0000-0000-00003B760000}"/>
    <cellStyle name="Input 4 2 2 2 2 2 3" xfId="30477" xr:uid="{00000000-0005-0000-0000-00003C760000}"/>
    <cellStyle name="Input 4 2 2 2 2 2 3 2" xfId="30478" xr:uid="{00000000-0005-0000-0000-00003D760000}"/>
    <cellStyle name="Input 4 2 2 2 2 2 3 2 2" xfId="30479" xr:uid="{00000000-0005-0000-0000-00003E760000}"/>
    <cellStyle name="Input 4 2 2 2 2 2 3 3" xfId="30480" xr:uid="{00000000-0005-0000-0000-00003F760000}"/>
    <cellStyle name="Input 4 2 2 2 2 2 3 3 2" xfId="30481" xr:uid="{00000000-0005-0000-0000-000040760000}"/>
    <cellStyle name="Input 4 2 2 2 2 2 3 4" xfId="30482" xr:uid="{00000000-0005-0000-0000-000041760000}"/>
    <cellStyle name="Input 4 2 2 2 2 2 3 5" xfId="30483" xr:uid="{00000000-0005-0000-0000-000042760000}"/>
    <cellStyle name="Input 4 2 2 2 2 2 3 6" xfId="30484" xr:uid="{00000000-0005-0000-0000-000043760000}"/>
    <cellStyle name="Input 4 2 2 2 2 2 4" xfId="30485" xr:uid="{00000000-0005-0000-0000-000044760000}"/>
    <cellStyle name="Input 4 2 2 2 2 2 4 2" xfId="30486" xr:uid="{00000000-0005-0000-0000-000045760000}"/>
    <cellStyle name="Input 4 2 2 2 2 2 5" xfId="30487" xr:uid="{00000000-0005-0000-0000-000046760000}"/>
    <cellStyle name="Input 4 2 2 2 2 2 5 2" xfId="30488" xr:uid="{00000000-0005-0000-0000-000047760000}"/>
    <cellStyle name="Input 4 2 2 2 2 2 6" xfId="30489" xr:uid="{00000000-0005-0000-0000-000048760000}"/>
    <cellStyle name="Input 4 2 2 2 2 2 7" xfId="30490" xr:uid="{00000000-0005-0000-0000-000049760000}"/>
    <cellStyle name="Input 4 2 2 2 2 2 8" xfId="30491" xr:uid="{00000000-0005-0000-0000-00004A760000}"/>
    <cellStyle name="Input 4 2 2 2 2 3" xfId="30492" xr:uid="{00000000-0005-0000-0000-00004B760000}"/>
    <cellStyle name="Input 4 2 2 2 2 3 2" xfId="30493" xr:uid="{00000000-0005-0000-0000-00004C760000}"/>
    <cellStyle name="Input 4 2 2 2 2 3 2 2" xfId="30494" xr:uid="{00000000-0005-0000-0000-00004D760000}"/>
    <cellStyle name="Input 4 2 2 2 2 3 2 2 2" xfId="30495" xr:uid="{00000000-0005-0000-0000-00004E760000}"/>
    <cellStyle name="Input 4 2 2 2 2 3 2 2 2 2" xfId="30496" xr:uid="{00000000-0005-0000-0000-00004F760000}"/>
    <cellStyle name="Input 4 2 2 2 2 3 2 2 3" xfId="30497" xr:uid="{00000000-0005-0000-0000-000050760000}"/>
    <cellStyle name="Input 4 2 2 2 2 3 2 2 3 2" xfId="30498" xr:uid="{00000000-0005-0000-0000-000051760000}"/>
    <cellStyle name="Input 4 2 2 2 2 3 2 2 4" xfId="30499" xr:uid="{00000000-0005-0000-0000-000052760000}"/>
    <cellStyle name="Input 4 2 2 2 2 3 2 2 5" xfId="30500" xr:uid="{00000000-0005-0000-0000-000053760000}"/>
    <cellStyle name="Input 4 2 2 2 2 3 2 2 6" xfId="30501" xr:uid="{00000000-0005-0000-0000-000054760000}"/>
    <cellStyle name="Input 4 2 2 2 2 3 2 3" xfId="30502" xr:uid="{00000000-0005-0000-0000-000055760000}"/>
    <cellStyle name="Input 4 2 2 2 2 3 2 3 2" xfId="30503" xr:uid="{00000000-0005-0000-0000-000056760000}"/>
    <cellStyle name="Input 4 2 2 2 2 3 2 4" xfId="30504" xr:uid="{00000000-0005-0000-0000-000057760000}"/>
    <cellStyle name="Input 4 2 2 2 2 3 2 4 2" xfId="30505" xr:uid="{00000000-0005-0000-0000-000058760000}"/>
    <cellStyle name="Input 4 2 2 2 2 3 2 5" xfId="30506" xr:uid="{00000000-0005-0000-0000-000059760000}"/>
    <cellStyle name="Input 4 2 2 2 2 3 2 6" xfId="30507" xr:uid="{00000000-0005-0000-0000-00005A760000}"/>
    <cellStyle name="Input 4 2 2 2 2 3 2 7" xfId="30508" xr:uid="{00000000-0005-0000-0000-00005B760000}"/>
    <cellStyle name="Input 4 2 2 2 2 3 3" xfId="30509" xr:uid="{00000000-0005-0000-0000-00005C760000}"/>
    <cellStyle name="Input 4 2 2 2 2 3 3 2" xfId="30510" xr:uid="{00000000-0005-0000-0000-00005D760000}"/>
    <cellStyle name="Input 4 2 2 2 2 3 3 2 2" xfId="30511" xr:uid="{00000000-0005-0000-0000-00005E760000}"/>
    <cellStyle name="Input 4 2 2 2 2 3 3 3" xfId="30512" xr:uid="{00000000-0005-0000-0000-00005F760000}"/>
    <cellStyle name="Input 4 2 2 2 2 3 3 3 2" xfId="30513" xr:uid="{00000000-0005-0000-0000-000060760000}"/>
    <cellStyle name="Input 4 2 2 2 2 3 3 4" xfId="30514" xr:uid="{00000000-0005-0000-0000-000061760000}"/>
    <cellStyle name="Input 4 2 2 2 2 3 3 5" xfId="30515" xr:uid="{00000000-0005-0000-0000-000062760000}"/>
    <cellStyle name="Input 4 2 2 2 2 3 3 6" xfId="30516" xr:uid="{00000000-0005-0000-0000-000063760000}"/>
    <cellStyle name="Input 4 2 2 2 2 3 4" xfId="30517" xr:uid="{00000000-0005-0000-0000-000064760000}"/>
    <cellStyle name="Input 4 2 2 2 2 3 4 2" xfId="30518" xr:uid="{00000000-0005-0000-0000-000065760000}"/>
    <cellStyle name="Input 4 2 2 2 2 3 5" xfId="30519" xr:uid="{00000000-0005-0000-0000-000066760000}"/>
    <cellStyle name="Input 4 2 2 2 2 3 5 2" xfId="30520" xr:uid="{00000000-0005-0000-0000-000067760000}"/>
    <cellStyle name="Input 4 2 2 2 2 3 6" xfId="30521" xr:uid="{00000000-0005-0000-0000-000068760000}"/>
    <cellStyle name="Input 4 2 2 2 2 3 7" xfId="30522" xr:uid="{00000000-0005-0000-0000-000069760000}"/>
    <cellStyle name="Input 4 2 2 2 2 3 8" xfId="30523" xr:uid="{00000000-0005-0000-0000-00006A760000}"/>
    <cellStyle name="Input 4 2 2 2 2 4" xfId="30524" xr:uid="{00000000-0005-0000-0000-00006B760000}"/>
    <cellStyle name="Input 4 2 2 2 2 4 2" xfId="30525" xr:uid="{00000000-0005-0000-0000-00006C760000}"/>
    <cellStyle name="Input 4 2 2 2 2 4 2 2" xfId="30526" xr:uid="{00000000-0005-0000-0000-00006D760000}"/>
    <cellStyle name="Input 4 2 2 2 2 4 2 2 2" xfId="30527" xr:uid="{00000000-0005-0000-0000-00006E760000}"/>
    <cellStyle name="Input 4 2 2 2 2 4 2 3" xfId="30528" xr:uid="{00000000-0005-0000-0000-00006F760000}"/>
    <cellStyle name="Input 4 2 2 2 2 4 2 3 2" xfId="30529" xr:uid="{00000000-0005-0000-0000-000070760000}"/>
    <cellStyle name="Input 4 2 2 2 2 4 2 4" xfId="30530" xr:uid="{00000000-0005-0000-0000-000071760000}"/>
    <cellStyle name="Input 4 2 2 2 2 4 2 5" xfId="30531" xr:uid="{00000000-0005-0000-0000-000072760000}"/>
    <cellStyle name="Input 4 2 2 2 2 4 2 6" xfId="30532" xr:uid="{00000000-0005-0000-0000-000073760000}"/>
    <cellStyle name="Input 4 2 2 2 2 4 3" xfId="30533" xr:uid="{00000000-0005-0000-0000-000074760000}"/>
    <cellStyle name="Input 4 2 2 2 2 4 3 2" xfId="30534" xr:uid="{00000000-0005-0000-0000-000075760000}"/>
    <cellStyle name="Input 4 2 2 2 2 4 4" xfId="30535" xr:uid="{00000000-0005-0000-0000-000076760000}"/>
    <cellStyle name="Input 4 2 2 2 2 4 4 2" xfId="30536" xr:uid="{00000000-0005-0000-0000-000077760000}"/>
    <cellStyle name="Input 4 2 2 2 2 4 5" xfId="30537" xr:uid="{00000000-0005-0000-0000-000078760000}"/>
    <cellStyle name="Input 4 2 2 2 2 4 6" xfId="30538" xr:uid="{00000000-0005-0000-0000-000079760000}"/>
    <cellStyle name="Input 4 2 2 2 2 4 7" xfId="30539" xr:uid="{00000000-0005-0000-0000-00007A760000}"/>
    <cellStyle name="Input 4 2 2 2 2 5" xfId="30540" xr:uid="{00000000-0005-0000-0000-00007B760000}"/>
    <cellStyle name="Input 4 2 2 2 2 5 2" xfId="30541" xr:uid="{00000000-0005-0000-0000-00007C760000}"/>
    <cellStyle name="Input 4 2 2 2 2 5 2 2" xfId="30542" xr:uid="{00000000-0005-0000-0000-00007D760000}"/>
    <cellStyle name="Input 4 2 2 2 2 5 3" xfId="30543" xr:uid="{00000000-0005-0000-0000-00007E760000}"/>
    <cellStyle name="Input 4 2 2 2 2 5 3 2" xfId="30544" xr:uid="{00000000-0005-0000-0000-00007F760000}"/>
    <cellStyle name="Input 4 2 2 2 2 5 4" xfId="30545" xr:uid="{00000000-0005-0000-0000-000080760000}"/>
    <cellStyle name="Input 4 2 2 2 2 5 5" xfId="30546" xr:uid="{00000000-0005-0000-0000-000081760000}"/>
    <cellStyle name="Input 4 2 2 2 2 5 6" xfId="30547" xr:uid="{00000000-0005-0000-0000-000082760000}"/>
    <cellStyle name="Input 4 2 2 2 2 6" xfId="30548" xr:uid="{00000000-0005-0000-0000-000083760000}"/>
    <cellStyle name="Input 4 2 2 2 2 6 2" xfId="30549" xr:uid="{00000000-0005-0000-0000-000084760000}"/>
    <cellStyle name="Input 4 2 2 2 2 7" xfId="30550" xr:uid="{00000000-0005-0000-0000-000085760000}"/>
    <cellStyle name="Input 4 2 2 2 2 7 2" xfId="30551" xr:uid="{00000000-0005-0000-0000-000086760000}"/>
    <cellStyle name="Input 4 2 2 2 2 8" xfId="30552" xr:uid="{00000000-0005-0000-0000-000087760000}"/>
    <cellStyle name="Input 4 2 2 2 2 9" xfId="30553" xr:uid="{00000000-0005-0000-0000-000088760000}"/>
    <cellStyle name="Input 4 2 2 2 3" xfId="30554" xr:uid="{00000000-0005-0000-0000-000089760000}"/>
    <cellStyle name="Input 4 2 2 2 3 2" xfId="30555" xr:uid="{00000000-0005-0000-0000-00008A760000}"/>
    <cellStyle name="Input 4 2 2 2 3 2 2" xfId="30556" xr:uid="{00000000-0005-0000-0000-00008B760000}"/>
    <cellStyle name="Input 4 2 2 2 3 2 2 2" xfId="30557" xr:uid="{00000000-0005-0000-0000-00008C760000}"/>
    <cellStyle name="Input 4 2 2 2 3 2 2 2 2" xfId="30558" xr:uid="{00000000-0005-0000-0000-00008D760000}"/>
    <cellStyle name="Input 4 2 2 2 3 2 2 3" xfId="30559" xr:uid="{00000000-0005-0000-0000-00008E760000}"/>
    <cellStyle name="Input 4 2 2 2 3 2 2 3 2" xfId="30560" xr:uid="{00000000-0005-0000-0000-00008F760000}"/>
    <cellStyle name="Input 4 2 2 2 3 2 2 4" xfId="30561" xr:uid="{00000000-0005-0000-0000-000090760000}"/>
    <cellStyle name="Input 4 2 2 2 3 2 2 5" xfId="30562" xr:uid="{00000000-0005-0000-0000-000091760000}"/>
    <cellStyle name="Input 4 2 2 2 3 2 2 6" xfId="30563" xr:uid="{00000000-0005-0000-0000-000092760000}"/>
    <cellStyle name="Input 4 2 2 2 3 2 3" xfId="30564" xr:uid="{00000000-0005-0000-0000-000093760000}"/>
    <cellStyle name="Input 4 2 2 2 3 2 3 2" xfId="30565" xr:uid="{00000000-0005-0000-0000-000094760000}"/>
    <cellStyle name="Input 4 2 2 2 3 2 4" xfId="30566" xr:uid="{00000000-0005-0000-0000-000095760000}"/>
    <cellStyle name="Input 4 2 2 2 3 2 4 2" xfId="30567" xr:uid="{00000000-0005-0000-0000-000096760000}"/>
    <cellStyle name="Input 4 2 2 2 3 2 5" xfId="30568" xr:uid="{00000000-0005-0000-0000-000097760000}"/>
    <cellStyle name="Input 4 2 2 2 3 2 6" xfId="30569" xr:uid="{00000000-0005-0000-0000-000098760000}"/>
    <cellStyle name="Input 4 2 2 2 3 2 7" xfId="30570" xr:uid="{00000000-0005-0000-0000-000099760000}"/>
    <cellStyle name="Input 4 2 2 2 3 3" xfId="30571" xr:uid="{00000000-0005-0000-0000-00009A760000}"/>
    <cellStyle name="Input 4 2 2 2 3 3 2" xfId="30572" xr:uid="{00000000-0005-0000-0000-00009B760000}"/>
    <cellStyle name="Input 4 2 2 2 3 3 2 2" xfId="30573" xr:uid="{00000000-0005-0000-0000-00009C760000}"/>
    <cellStyle name="Input 4 2 2 2 3 3 3" xfId="30574" xr:uid="{00000000-0005-0000-0000-00009D760000}"/>
    <cellStyle name="Input 4 2 2 2 3 3 3 2" xfId="30575" xr:uid="{00000000-0005-0000-0000-00009E760000}"/>
    <cellStyle name="Input 4 2 2 2 3 3 4" xfId="30576" xr:uid="{00000000-0005-0000-0000-00009F760000}"/>
    <cellStyle name="Input 4 2 2 2 3 3 5" xfId="30577" xr:uid="{00000000-0005-0000-0000-0000A0760000}"/>
    <cellStyle name="Input 4 2 2 2 3 3 6" xfId="30578" xr:uid="{00000000-0005-0000-0000-0000A1760000}"/>
    <cellStyle name="Input 4 2 2 2 3 4" xfId="30579" xr:uid="{00000000-0005-0000-0000-0000A2760000}"/>
    <cellStyle name="Input 4 2 2 2 3 4 2" xfId="30580" xr:uid="{00000000-0005-0000-0000-0000A3760000}"/>
    <cellStyle name="Input 4 2 2 2 3 5" xfId="30581" xr:uid="{00000000-0005-0000-0000-0000A4760000}"/>
    <cellStyle name="Input 4 2 2 2 3 5 2" xfId="30582" xr:uid="{00000000-0005-0000-0000-0000A5760000}"/>
    <cellStyle name="Input 4 2 2 2 3 6" xfId="30583" xr:uid="{00000000-0005-0000-0000-0000A6760000}"/>
    <cellStyle name="Input 4 2 2 2 3 7" xfId="30584" xr:uid="{00000000-0005-0000-0000-0000A7760000}"/>
    <cellStyle name="Input 4 2 2 2 3 8" xfId="30585" xr:uid="{00000000-0005-0000-0000-0000A8760000}"/>
    <cellStyle name="Input 4 2 2 2 4" xfId="30586" xr:uid="{00000000-0005-0000-0000-0000A9760000}"/>
    <cellStyle name="Input 4 2 2 2 4 2" xfId="30587" xr:uid="{00000000-0005-0000-0000-0000AA760000}"/>
    <cellStyle name="Input 4 2 2 2 4 2 2" xfId="30588" xr:uid="{00000000-0005-0000-0000-0000AB760000}"/>
    <cellStyle name="Input 4 2 2 2 4 2 2 2" xfId="30589" xr:uid="{00000000-0005-0000-0000-0000AC760000}"/>
    <cellStyle name="Input 4 2 2 2 4 2 2 2 2" xfId="30590" xr:uid="{00000000-0005-0000-0000-0000AD760000}"/>
    <cellStyle name="Input 4 2 2 2 4 2 2 3" xfId="30591" xr:uid="{00000000-0005-0000-0000-0000AE760000}"/>
    <cellStyle name="Input 4 2 2 2 4 2 2 3 2" xfId="30592" xr:uid="{00000000-0005-0000-0000-0000AF760000}"/>
    <cellStyle name="Input 4 2 2 2 4 2 2 4" xfId="30593" xr:uid="{00000000-0005-0000-0000-0000B0760000}"/>
    <cellStyle name="Input 4 2 2 2 4 2 2 5" xfId="30594" xr:uid="{00000000-0005-0000-0000-0000B1760000}"/>
    <cellStyle name="Input 4 2 2 2 4 2 2 6" xfId="30595" xr:uid="{00000000-0005-0000-0000-0000B2760000}"/>
    <cellStyle name="Input 4 2 2 2 4 2 3" xfId="30596" xr:uid="{00000000-0005-0000-0000-0000B3760000}"/>
    <cellStyle name="Input 4 2 2 2 4 2 3 2" xfId="30597" xr:uid="{00000000-0005-0000-0000-0000B4760000}"/>
    <cellStyle name="Input 4 2 2 2 4 2 4" xfId="30598" xr:uid="{00000000-0005-0000-0000-0000B5760000}"/>
    <cellStyle name="Input 4 2 2 2 4 2 4 2" xfId="30599" xr:uid="{00000000-0005-0000-0000-0000B6760000}"/>
    <cellStyle name="Input 4 2 2 2 4 2 5" xfId="30600" xr:uid="{00000000-0005-0000-0000-0000B7760000}"/>
    <cellStyle name="Input 4 2 2 2 4 2 6" xfId="30601" xr:uid="{00000000-0005-0000-0000-0000B8760000}"/>
    <cellStyle name="Input 4 2 2 2 4 2 7" xfId="30602" xr:uid="{00000000-0005-0000-0000-0000B9760000}"/>
    <cellStyle name="Input 4 2 2 2 4 3" xfId="30603" xr:uid="{00000000-0005-0000-0000-0000BA760000}"/>
    <cellStyle name="Input 4 2 2 2 4 3 2" xfId="30604" xr:uid="{00000000-0005-0000-0000-0000BB760000}"/>
    <cellStyle name="Input 4 2 2 2 4 3 2 2" xfId="30605" xr:uid="{00000000-0005-0000-0000-0000BC760000}"/>
    <cellStyle name="Input 4 2 2 2 4 3 3" xfId="30606" xr:uid="{00000000-0005-0000-0000-0000BD760000}"/>
    <cellStyle name="Input 4 2 2 2 4 3 3 2" xfId="30607" xr:uid="{00000000-0005-0000-0000-0000BE760000}"/>
    <cellStyle name="Input 4 2 2 2 4 3 4" xfId="30608" xr:uid="{00000000-0005-0000-0000-0000BF760000}"/>
    <cellStyle name="Input 4 2 2 2 4 3 5" xfId="30609" xr:uid="{00000000-0005-0000-0000-0000C0760000}"/>
    <cellStyle name="Input 4 2 2 2 4 3 6" xfId="30610" xr:uid="{00000000-0005-0000-0000-0000C1760000}"/>
    <cellStyle name="Input 4 2 2 2 4 4" xfId="30611" xr:uid="{00000000-0005-0000-0000-0000C2760000}"/>
    <cellStyle name="Input 4 2 2 2 4 4 2" xfId="30612" xr:uid="{00000000-0005-0000-0000-0000C3760000}"/>
    <cellStyle name="Input 4 2 2 2 4 5" xfId="30613" xr:uid="{00000000-0005-0000-0000-0000C4760000}"/>
    <cellStyle name="Input 4 2 2 2 4 5 2" xfId="30614" xr:uid="{00000000-0005-0000-0000-0000C5760000}"/>
    <cellStyle name="Input 4 2 2 2 4 6" xfId="30615" xr:uid="{00000000-0005-0000-0000-0000C6760000}"/>
    <cellStyle name="Input 4 2 2 2 4 7" xfId="30616" xr:uid="{00000000-0005-0000-0000-0000C7760000}"/>
    <cellStyle name="Input 4 2 2 2 4 8" xfId="30617" xr:uid="{00000000-0005-0000-0000-0000C8760000}"/>
    <cellStyle name="Input 4 2 2 2 5" xfId="30618" xr:uid="{00000000-0005-0000-0000-0000C9760000}"/>
    <cellStyle name="Input 4 2 2 2 5 2" xfId="30619" xr:uid="{00000000-0005-0000-0000-0000CA760000}"/>
    <cellStyle name="Input 4 2 2 2 5 2 2" xfId="30620" xr:uid="{00000000-0005-0000-0000-0000CB760000}"/>
    <cellStyle name="Input 4 2 2 2 5 2 2 2" xfId="30621" xr:uid="{00000000-0005-0000-0000-0000CC760000}"/>
    <cellStyle name="Input 4 2 2 2 5 2 3" xfId="30622" xr:uid="{00000000-0005-0000-0000-0000CD760000}"/>
    <cellStyle name="Input 4 2 2 2 5 2 3 2" xfId="30623" xr:uid="{00000000-0005-0000-0000-0000CE760000}"/>
    <cellStyle name="Input 4 2 2 2 5 2 4" xfId="30624" xr:uid="{00000000-0005-0000-0000-0000CF760000}"/>
    <cellStyle name="Input 4 2 2 2 5 2 5" xfId="30625" xr:uid="{00000000-0005-0000-0000-0000D0760000}"/>
    <cellStyle name="Input 4 2 2 2 5 2 6" xfId="30626" xr:uid="{00000000-0005-0000-0000-0000D1760000}"/>
    <cellStyle name="Input 4 2 2 2 5 3" xfId="30627" xr:uid="{00000000-0005-0000-0000-0000D2760000}"/>
    <cellStyle name="Input 4 2 2 2 5 3 2" xfId="30628" xr:uid="{00000000-0005-0000-0000-0000D3760000}"/>
    <cellStyle name="Input 4 2 2 2 5 4" xfId="30629" xr:uid="{00000000-0005-0000-0000-0000D4760000}"/>
    <cellStyle name="Input 4 2 2 2 5 4 2" xfId="30630" xr:uid="{00000000-0005-0000-0000-0000D5760000}"/>
    <cellStyle name="Input 4 2 2 2 5 5" xfId="30631" xr:uid="{00000000-0005-0000-0000-0000D6760000}"/>
    <cellStyle name="Input 4 2 2 2 5 6" xfId="30632" xr:uid="{00000000-0005-0000-0000-0000D7760000}"/>
    <cellStyle name="Input 4 2 2 2 5 7" xfId="30633" xr:uid="{00000000-0005-0000-0000-0000D8760000}"/>
    <cellStyle name="Input 4 2 2 2 6" xfId="30634" xr:uid="{00000000-0005-0000-0000-0000D9760000}"/>
    <cellStyle name="Input 4 2 2 2 6 2" xfId="30635" xr:uid="{00000000-0005-0000-0000-0000DA760000}"/>
    <cellStyle name="Input 4 2 2 2 6 2 2" xfId="30636" xr:uid="{00000000-0005-0000-0000-0000DB760000}"/>
    <cellStyle name="Input 4 2 2 2 6 3" xfId="30637" xr:uid="{00000000-0005-0000-0000-0000DC760000}"/>
    <cellStyle name="Input 4 2 2 2 6 3 2" xfId="30638" xr:uid="{00000000-0005-0000-0000-0000DD760000}"/>
    <cellStyle name="Input 4 2 2 2 6 4" xfId="30639" xr:uid="{00000000-0005-0000-0000-0000DE760000}"/>
    <cellStyle name="Input 4 2 2 2 6 5" xfId="30640" xr:uid="{00000000-0005-0000-0000-0000DF760000}"/>
    <cellStyle name="Input 4 2 2 2 6 6" xfId="30641" xr:uid="{00000000-0005-0000-0000-0000E0760000}"/>
    <cellStyle name="Input 4 2 2 2 7" xfId="30642" xr:uid="{00000000-0005-0000-0000-0000E1760000}"/>
    <cellStyle name="Input 4 2 2 2 7 2" xfId="30643" xr:uid="{00000000-0005-0000-0000-0000E2760000}"/>
    <cellStyle name="Input 4 2 2 2 8" xfId="30644" xr:uid="{00000000-0005-0000-0000-0000E3760000}"/>
    <cellStyle name="Input 4 2 2 2 8 2" xfId="30645" xr:uid="{00000000-0005-0000-0000-0000E4760000}"/>
    <cellStyle name="Input 4 2 2 2 9" xfId="30646" xr:uid="{00000000-0005-0000-0000-0000E5760000}"/>
    <cellStyle name="Input 4 2 2 3" xfId="30647" xr:uid="{00000000-0005-0000-0000-0000E6760000}"/>
    <cellStyle name="Input 4 2 2 3 10" xfId="30648" xr:uid="{00000000-0005-0000-0000-0000E7760000}"/>
    <cellStyle name="Input 4 2 2 3 2" xfId="30649" xr:uid="{00000000-0005-0000-0000-0000E8760000}"/>
    <cellStyle name="Input 4 2 2 3 2 10" xfId="30650" xr:uid="{00000000-0005-0000-0000-0000E9760000}"/>
    <cellStyle name="Input 4 2 2 3 2 2" xfId="30651" xr:uid="{00000000-0005-0000-0000-0000EA760000}"/>
    <cellStyle name="Input 4 2 2 3 2 2 2" xfId="30652" xr:uid="{00000000-0005-0000-0000-0000EB760000}"/>
    <cellStyle name="Input 4 2 2 3 2 2 2 2" xfId="30653" xr:uid="{00000000-0005-0000-0000-0000EC760000}"/>
    <cellStyle name="Input 4 2 2 3 2 2 2 2 2" xfId="30654" xr:uid="{00000000-0005-0000-0000-0000ED760000}"/>
    <cellStyle name="Input 4 2 2 3 2 2 2 2 2 2" xfId="30655" xr:uid="{00000000-0005-0000-0000-0000EE760000}"/>
    <cellStyle name="Input 4 2 2 3 2 2 2 2 3" xfId="30656" xr:uid="{00000000-0005-0000-0000-0000EF760000}"/>
    <cellStyle name="Input 4 2 2 3 2 2 2 2 3 2" xfId="30657" xr:uid="{00000000-0005-0000-0000-0000F0760000}"/>
    <cellStyle name="Input 4 2 2 3 2 2 2 2 4" xfId="30658" xr:uid="{00000000-0005-0000-0000-0000F1760000}"/>
    <cellStyle name="Input 4 2 2 3 2 2 2 2 5" xfId="30659" xr:uid="{00000000-0005-0000-0000-0000F2760000}"/>
    <cellStyle name="Input 4 2 2 3 2 2 2 2 6" xfId="30660" xr:uid="{00000000-0005-0000-0000-0000F3760000}"/>
    <cellStyle name="Input 4 2 2 3 2 2 2 3" xfId="30661" xr:uid="{00000000-0005-0000-0000-0000F4760000}"/>
    <cellStyle name="Input 4 2 2 3 2 2 2 3 2" xfId="30662" xr:uid="{00000000-0005-0000-0000-0000F5760000}"/>
    <cellStyle name="Input 4 2 2 3 2 2 2 4" xfId="30663" xr:uid="{00000000-0005-0000-0000-0000F6760000}"/>
    <cellStyle name="Input 4 2 2 3 2 2 2 4 2" xfId="30664" xr:uid="{00000000-0005-0000-0000-0000F7760000}"/>
    <cellStyle name="Input 4 2 2 3 2 2 2 5" xfId="30665" xr:uid="{00000000-0005-0000-0000-0000F8760000}"/>
    <cellStyle name="Input 4 2 2 3 2 2 2 6" xfId="30666" xr:uid="{00000000-0005-0000-0000-0000F9760000}"/>
    <cellStyle name="Input 4 2 2 3 2 2 2 7" xfId="30667" xr:uid="{00000000-0005-0000-0000-0000FA760000}"/>
    <cellStyle name="Input 4 2 2 3 2 2 3" xfId="30668" xr:uid="{00000000-0005-0000-0000-0000FB760000}"/>
    <cellStyle name="Input 4 2 2 3 2 2 3 2" xfId="30669" xr:uid="{00000000-0005-0000-0000-0000FC760000}"/>
    <cellStyle name="Input 4 2 2 3 2 2 3 2 2" xfId="30670" xr:uid="{00000000-0005-0000-0000-0000FD760000}"/>
    <cellStyle name="Input 4 2 2 3 2 2 3 3" xfId="30671" xr:uid="{00000000-0005-0000-0000-0000FE760000}"/>
    <cellStyle name="Input 4 2 2 3 2 2 3 3 2" xfId="30672" xr:uid="{00000000-0005-0000-0000-0000FF760000}"/>
    <cellStyle name="Input 4 2 2 3 2 2 3 4" xfId="30673" xr:uid="{00000000-0005-0000-0000-000000770000}"/>
    <cellStyle name="Input 4 2 2 3 2 2 3 5" xfId="30674" xr:uid="{00000000-0005-0000-0000-000001770000}"/>
    <cellStyle name="Input 4 2 2 3 2 2 3 6" xfId="30675" xr:uid="{00000000-0005-0000-0000-000002770000}"/>
    <cellStyle name="Input 4 2 2 3 2 2 4" xfId="30676" xr:uid="{00000000-0005-0000-0000-000003770000}"/>
    <cellStyle name="Input 4 2 2 3 2 2 4 2" xfId="30677" xr:uid="{00000000-0005-0000-0000-000004770000}"/>
    <cellStyle name="Input 4 2 2 3 2 2 5" xfId="30678" xr:uid="{00000000-0005-0000-0000-000005770000}"/>
    <cellStyle name="Input 4 2 2 3 2 2 5 2" xfId="30679" xr:uid="{00000000-0005-0000-0000-000006770000}"/>
    <cellStyle name="Input 4 2 2 3 2 2 6" xfId="30680" xr:uid="{00000000-0005-0000-0000-000007770000}"/>
    <cellStyle name="Input 4 2 2 3 2 2 7" xfId="30681" xr:uid="{00000000-0005-0000-0000-000008770000}"/>
    <cellStyle name="Input 4 2 2 3 2 2 8" xfId="30682" xr:uid="{00000000-0005-0000-0000-000009770000}"/>
    <cellStyle name="Input 4 2 2 3 2 3" xfId="30683" xr:uid="{00000000-0005-0000-0000-00000A770000}"/>
    <cellStyle name="Input 4 2 2 3 2 3 2" xfId="30684" xr:uid="{00000000-0005-0000-0000-00000B770000}"/>
    <cellStyle name="Input 4 2 2 3 2 3 2 2" xfId="30685" xr:uid="{00000000-0005-0000-0000-00000C770000}"/>
    <cellStyle name="Input 4 2 2 3 2 3 2 2 2" xfId="30686" xr:uid="{00000000-0005-0000-0000-00000D770000}"/>
    <cellStyle name="Input 4 2 2 3 2 3 2 2 2 2" xfId="30687" xr:uid="{00000000-0005-0000-0000-00000E770000}"/>
    <cellStyle name="Input 4 2 2 3 2 3 2 2 3" xfId="30688" xr:uid="{00000000-0005-0000-0000-00000F770000}"/>
    <cellStyle name="Input 4 2 2 3 2 3 2 2 3 2" xfId="30689" xr:uid="{00000000-0005-0000-0000-000010770000}"/>
    <cellStyle name="Input 4 2 2 3 2 3 2 2 4" xfId="30690" xr:uid="{00000000-0005-0000-0000-000011770000}"/>
    <cellStyle name="Input 4 2 2 3 2 3 2 2 5" xfId="30691" xr:uid="{00000000-0005-0000-0000-000012770000}"/>
    <cellStyle name="Input 4 2 2 3 2 3 2 2 6" xfId="30692" xr:uid="{00000000-0005-0000-0000-000013770000}"/>
    <cellStyle name="Input 4 2 2 3 2 3 2 3" xfId="30693" xr:uid="{00000000-0005-0000-0000-000014770000}"/>
    <cellStyle name="Input 4 2 2 3 2 3 2 3 2" xfId="30694" xr:uid="{00000000-0005-0000-0000-000015770000}"/>
    <cellStyle name="Input 4 2 2 3 2 3 2 4" xfId="30695" xr:uid="{00000000-0005-0000-0000-000016770000}"/>
    <cellStyle name="Input 4 2 2 3 2 3 2 4 2" xfId="30696" xr:uid="{00000000-0005-0000-0000-000017770000}"/>
    <cellStyle name="Input 4 2 2 3 2 3 2 5" xfId="30697" xr:uid="{00000000-0005-0000-0000-000018770000}"/>
    <cellStyle name="Input 4 2 2 3 2 3 2 6" xfId="30698" xr:uid="{00000000-0005-0000-0000-000019770000}"/>
    <cellStyle name="Input 4 2 2 3 2 3 2 7" xfId="30699" xr:uid="{00000000-0005-0000-0000-00001A770000}"/>
    <cellStyle name="Input 4 2 2 3 2 3 3" xfId="30700" xr:uid="{00000000-0005-0000-0000-00001B770000}"/>
    <cellStyle name="Input 4 2 2 3 2 3 3 2" xfId="30701" xr:uid="{00000000-0005-0000-0000-00001C770000}"/>
    <cellStyle name="Input 4 2 2 3 2 3 3 2 2" xfId="30702" xr:uid="{00000000-0005-0000-0000-00001D770000}"/>
    <cellStyle name="Input 4 2 2 3 2 3 3 3" xfId="30703" xr:uid="{00000000-0005-0000-0000-00001E770000}"/>
    <cellStyle name="Input 4 2 2 3 2 3 3 3 2" xfId="30704" xr:uid="{00000000-0005-0000-0000-00001F770000}"/>
    <cellStyle name="Input 4 2 2 3 2 3 3 4" xfId="30705" xr:uid="{00000000-0005-0000-0000-000020770000}"/>
    <cellStyle name="Input 4 2 2 3 2 3 3 5" xfId="30706" xr:uid="{00000000-0005-0000-0000-000021770000}"/>
    <cellStyle name="Input 4 2 2 3 2 3 3 6" xfId="30707" xr:uid="{00000000-0005-0000-0000-000022770000}"/>
    <cellStyle name="Input 4 2 2 3 2 3 4" xfId="30708" xr:uid="{00000000-0005-0000-0000-000023770000}"/>
    <cellStyle name="Input 4 2 2 3 2 3 4 2" xfId="30709" xr:uid="{00000000-0005-0000-0000-000024770000}"/>
    <cellStyle name="Input 4 2 2 3 2 3 5" xfId="30710" xr:uid="{00000000-0005-0000-0000-000025770000}"/>
    <cellStyle name="Input 4 2 2 3 2 3 5 2" xfId="30711" xr:uid="{00000000-0005-0000-0000-000026770000}"/>
    <cellStyle name="Input 4 2 2 3 2 3 6" xfId="30712" xr:uid="{00000000-0005-0000-0000-000027770000}"/>
    <cellStyle name="Input 4 2 2 3 2 3 7" xfId="30713" xr:uid="{00000000-0005-0000-0000-000028770000}"/>
    <cellStyle name="Input 4 2 2 3 2 3 8" xfId="30714" xr:uid="{00000000-0005-0000-0000-000029770000}"/>
    <cellStyle name="Input 4 2 2 3 2 4" xfId="30715" xr:uid="{00000000-0005-0000-0000-00002A770000}"/>
    <cellStyle name="Input 4 2 2 3 2 4 2" xfId="30716" xr:uid="{00000000-0005-0000-0000-00002B770000}"/>
    <cellStyle name="Input 4 2 2 3 2 4 2 2" xfId="30717" xr:uid="{00000000-0005-0000-0000-00002C770000}"/>
    <cellStyle name="Input 4 2 2 3 2 4 2 2 2" xfId="30718" xr:uid="{00000000-0005-0000-0000-00002D770000}"/>
    <cellStyle name="Input 4 2 2 3 2 4 2 3" xfId="30719" xr:uid="{00000000-0005-0000-0000-00002E770000}"/>
    <cellStyle name="Input 4 2 2 3 2 4 2 3 2" xfId="30720" xr:uid="{00000000-0005-0000-0000-00002F770000}"/>
    <cellStyle name="Input 4 2 2 3 2 4 2 4" xfId="30721" xr:uid="{00000000-0005-0000-0000-000030770000}"/>
    <cellStyle name="Input 4 2 2 3 2 4 2 5" xfId="30722" xr:uid="{00000000-0005-0000-0000-000031770000}"/>
    <cellStyle name="Input 4 2 2 3 2 4 2 6" xfId="30723" xr:uid="{00000000-0005-0000-0000-000032770000}"/>
    <cellStyle name="Input 4 2 2 3 2 4 3" xfId="30724" xr:uid="{00000000-0005-0000-0000-000033770000}"/>
    <cellStyle name="Input 4 2 2 3 2 4 3 2" xfId="30725" xr:uid="{00000000-0005-0000-0000-000034770000}"/>
    <cellStyle name="Input 4 2 2 3 2 4 4" xfId="30726" xr:uid="{00000000-0005-0000-0000-000035770000}"/>
    <cellStyle name="Input 4 2 2 3 2 4 4 2" xfId="30727" xr:uid="{00000000-0005-0000-0000-000036770000}"/>
    <cellStyle name="Input 4 2 2 3 2 4 5" xfId="30728" xr:uid="{00000000-0005-0000-0000-000037770000}"/>
    <cellStyle name="Input 4 2 2 3 2 4 6" xfId="30729" xr:uid="{00000000-0005-0000-0000-000038770000}"/>
    <cellStyle name="Input 4 2 2 3 2 4 7" xfId="30730" xr:uid="{00000000-0005-0000-0000-000039770000}"/>
    <cellStyle name="Input 4 2 2 3 2 5" xfId="30731" xr:uid="{00000000-0005-0000-0000-00003A770000}"/>
    <cellStyle name="Input 4 2 2 3 2 5 2" xfId="30732" xr:uid="{00000000-0005-0000-0000-00003B770000}"/>
    <cellStyle name="Input 4 2 2 3 2 5 2 2" xfId="30733" xr:uid="{00000000-0005-0000-0000-00003C770000}"/>
    <cellStyle name="Input 4 2 2 3 2 5 3" xfId="30734" xr:uid="{00000000-0005-0000-0000-00003D770000}"/>
    <cellStyle name="Input 4 2 2 3 2 5 3 2" xfId="30735" xr:uid="{00000000-0005-0000-0000-00003E770000}"/>
    <cellStyle name="Input 4 2 2 3 2 5 4" xfId="30736" xr:uid="{00000000-0005-0000-0000-00003F770000}"/>
    <cellStyle name="Input 4 2 2 3 2 5 5" xfId="30737" xr:uid="{00000000-0005-0000-0000-000040770000}"/>
    <cellStyle name="Input 4 2 2 3 2 5 6" xfId="30738" xr:uid="{00000000-0005-0000-0000-000041770000}"/>
    <cellStyle name="Input 4 2 2 3 2 6" xfId="30739" xr:uid="{00000000-0005-0000-0000-000042770000}"/>
    <cellStyle name="Input 4 2 2 3 2 6 2" xfId="30740" xr:uid="{00000000-0005-0000-0000-000043770000}"/>
    <cellStyle name="Input 4 2 2 3 2 7" xfId="30741" xr:uid="{00000000-0005-0000-0000-000044770000}"/>
    <cellStyle name="Input 4 2 2 3 2 7 2" xfId="30742" xr:uid="{00000000-0005-0000-0000-000045770000}"/>
    <cellStyle name="Input 4 2 2 3 2 8" xfId="30743" xr:uid="{00000000-0005-0000-0000-000046770000}"/>
    <cellStyle name="Input 4 2 2 3 2 9" xfId="30744" xr:uid="{00000000-0005-0000-0000-000047770000}"/>
    <cellStyle name="Input 4 2 2 3 3" xfId="30745" xr:uid="{00000000-0005-0000-0000-000048770000}"/>
    <cellStyle name="Input 4 2 2 3 3 2" xfId="30746" xr:uid="{00000000-0005-0000-0000-000049770000}"/>
    <cellStyle name="Input 4 2 2 3 3 2 2" xfId="30747" xr:uid="{00000000-0005-0000-0000-00004A770000}"/>
    <cellStyle name="Input 4 2 2 3 3 2 2 2" xfId="30748" xr:uid="{00000000-0005-0000-0000-00004B770000}"/>
    <cellStyle name="Input 4 2 2 3 3 2 2 2 2" xfId="30749" xr:uid="{00000000-0005-0000-0000-00004C770000}"/>
    <cellStyle name="Input 4 2 2 3 3 2 2 3" xfId="30750" xr:uid="{00000000-0005-0000-0000-00004D770000}"/>
    <cellStyle name="Input 4 2 2 3 3 2 2 3 2" xfId="30751" xr:uid="{00000000-0005-0000-0000-00004E770000}"/>
    <cellStyle name="Input 4 2 2 3 3 2 2 4" xfId="30752" xr:uid="{00000000-0005-0000-0000-00004F770000}"/>
    <cellStyle name="Input 4 2 2 3 3 2 2 5" xfId="30753" xr:uid="{00000000-0005-0000-0000-000050770000}"/>
    <cellStyle name="Input 4 2 2 3 3 2 2 6" xfId="30754" xr:uid="{00000000-0005-0000-0000-000051770000}"/>
    <cellStyle name="Input 4 2 2 3 3 2 3" xfId="30755" xr:uid="{00000000-0005-0000-0000-000052770000}"/>
    <cellStyle name="Input 4 2 2 3 3 2 3 2" xfId="30756" xr:uid="{00000000-0005-0000-0000-000053770000}"/>
    <cellStyle name="Input 4 2 2 3 3 2 4" xfId="30757" xr:uid="{00000000-0005-0000-0000-000054770000}"/>
    <cellStyle name="Input 4 2 2 3 3 2 4 2" xfId="30758" xr:uid="{00000000-0005-0000-0000-000055770000}"/>
    <cellStyle name="Input 4 2 2 3 3 2 5" xfId="30759" xr:uid="{00000000-0005-0000-0000-000056770000}"/>
    <cellStyle name="Input 4 2 2 3 3 2 6" xfId="30760" xr:uid="{00000000-0005-0000-0000-000057770000}"/>
    <cellStyle name="Input 4 2 2 3 3 2 7" xfId="30761" xr:uid="{00000000-0005-0000-0000-000058770000}"/>
    <cellStyle name="Input 4 2 2 3 3 3" xfId="30762" xr:uid="{00000000-0005-0000-0000-000059770000}"/>
    <cellStyle name="Input 4 2 2 3 3 3 2" xfId="30763" xr:uid="{00000000-0005-0000-0000-00005A770000}"/>
    <cellStyle name="Input 4 2 2 3 3 3 2 2" xfId="30764" xr:uid="{00000000-0005-0000-0000-00005B770000}"/>
    <cellStyle name="Input 4 2 2 3 3 3 3" xfId="30765" xr:uid="{00000000-0005-0000-0000-00005C770000}"/>
    <cellStyle name="Input 4 2 2 3 3 3 3 2" xfId="30766" xr:uid="{00000000-0005-0000-0000-00005D770000}"/>
    <cellStyle name="Input 4 2 2 3 3 3 4" xfId="30767" xr:uid="{00000000-0005-0000-0000-00005E770000}"/>
    <cellStyle name="Input 4 2 2 3 3 3 5" xfId="30768" xr:uid="{00000000-0005-0000-0000-00005F770000}"/>
    <cellStyle name="Input 4 2 2 3 3 3 6" xfId="30769" xr:uid="{00000000-0005-0000-0000-000060770000}"/>
    <cellStyle name="Input 4 2 2 3 3 4" xfId="30770" xr:uid="{00000000-0005-0000-0000-000061770000}"/>
    <cellStyle name="Input 4 2 2 3 3 4 2" xfId="30771" xr:uid="{00000000-0005-0000-0000-000062770000}"/>
    <cellStyle name="Input 4 2 2 3 3 5" xfId="30772" xr:uid="{00000000-0005-0000-0000-000063770000}"/>
    <cellStyle name="Input 4 2 2 3 3 5 2" xfId="30773" xr:uid="{00000000-0005-0000-0000-000064770000}"/>
    <cellStyle name="Input 4 2 2 3 3 6" xfId="30774" xr:uid="{00000000-0005-0000-0000-000065770000}"/>
    <cellStyle name="Input 4 2 2 3 3 7" xfId="30775" xr:uid="{00000000-0005-0000-0000-000066770000}"/>
    <cellStyle name="Input 4 2 2 3 3 8" xfId="30776" xr:uid="{00000000-0005-0000-0000-000067770000}"/>
    <cellStyle name="Input 4 2 2 3 4" xfId="30777" xr:uid="{00000000-0005-0000-0000-000068770000}"/>
    <cellStyle name="Input 4 2 2 3 4 2" xfId="30778" xr:uid="{00000000-0005-0000-0000-000069770000}"/>
    <cellStyle name="Input 4 2 2 3 4 2 2" xfId="30779" xr:uid="{00000000-0005-0000-0000-00006A770000}"/>
    <cellStyle name="Input 4 2 2 3 4 2 2 2" xfId="30780" xr:uid="{00000000-0005-0000-0000-00006B770000}"/>
    <cellStyle name="Input 4 2 2 3 4 2 3" xfId="30781" xr:uid="{00000000-0005-0000-0000-00006C770000}"/>
    <cellStyle name="Input 4 2 2 3 4 2 3 2" xfId="30782" xr:uid="{00000000-0005-0000-0000-00006D770000}"/>
    <cellStyle name="Input 4 2 2 3 4 2 4" xfId="30783" xr:uid="{00000000-0005-0000-0000-00006E770000}"/>
    <cellStyle name="Input 4 2 2 3 4 2 5" xfId="30784" xr:uid="{00000000-0005-0000-0000-00006F770000}"/>
    <cellStyle name="Input 4 2 2 3 4 2 6" xfId="30785" xr:uid="{00000000-0005-0000-0000-000070770000}"/>
    <cellStyle name="Input 4 2 2 3 4 3" xfId="30786" xr:uid="{00000000-0005-0000-0000-000071770000}"/>
    <cellStyle name="Input 4 2 2 3 4 3 2" xfId="30787" xr:uid="{00000000-0005-0000-0000-000072770000}"/>
    <cellStyle name="Input 4 2 2 3 4 4" xfId="30788" xr:uid="{00000000-0005-0000-0000-000073770000}"/>
    <cellStyle name="Input 4 2 2 3 4 4 2" xfId="30789" xr:uid="{00000000-0005-0000-0000-000074770000}"/>
    <cellStyle name="Input 4 2 2 3 4 5" xfId="30790" xr:uid="{00000000-0005-0000-0000-000075770000}"/>
    <cellStyle name="Input 4 2 2 3 4 6" xfId="30791" xr:uid="{00000000-0005-0000-0000-000076770000}"/>
    <cellStyle name="Input 4 2 2 3 4 7" xfId="30792" xr:uid="{00000000-0005-0000-0000-000077770000}"/>
    <cellStyle name="Input 4 2 2 3 5" xfId="30793" xr:uid="{00000000-0005-0000-0000-000078770000}"/>
    <cellStyle name="Input 4 2 2 3 5 2" xfId="30794" xr:uid="{00000000-0005-0000-0000-000079770000}"/>
    <cellStyle name="Input 4 2 2 3 5 2 2" xfId="30795" xr:uid="{00000000-0005-0000-0000-00007A770000}"/>
    <cellStyle name="Input 4 2 2 3 5 3" xfId="30796" xr:uid="{00000000-0005-0000-0000-00007B770000}"/>
    <cellStyle name="Input 4 2 2 3 5 3 2" xfId="30797" xr:uid="{00000000-0005-0000-0000-00007C770000}"/>
    <cellStyle name="Input 4 2 2 3 5 4" xfId="30798" xr:uid="{00000000-0005-0000-0000-00007D770000}"/>
    <cellStyle name="Input 4 2 2 3 5 5" xfId="30799" xr:uid="{00000000-0005-0000-0000-00007E770000}"/>
    <cellStyle name="Input 4 2 2 3 5 6" xfId="30800" xr:uid="{00000000-0005-0000-0000-00007F770000}"/>
    <cellStyle name="Input 4 2 2 3 6" xfId="30801" xr:uid="{00000000-0005-0000-0000-000080770000}"/>
    <cellStyle name="Input 4 2 2 3 6 2" xfId="30802" xr:uid="{00000000-0005-0000-0000-000081770000}"/>
    <cellStyle name="Input 4 2 2 3 7" xfId="30803" xr:uid="{00000000-0005-0000-0000-000082770000}"/>
    <cellStyle name="Input 4 2 2 3 7 2" xfId="30804" xr:uid="{00000000-0005-0000-0000-000083770000}"/>
    <cellStyle name="Input 4 2 2 3 8" xfId="30805" xr:uid="{00000000-0005-0000-0000-000084770000}"/>
    <cellStyle name="Input 4 2 2 3 9" xfId="30806" xr:uid="{00000000-0005-0000-0000-000085770000}"/>
    <cellStyle name="Input 4 2 2 4" xfId="30807" xr:uid="{00000000-0005-0000-0000-000086770000}"/>
    <cellStyle name="Input 4 2 2 4 10" xfId="30808" xr:uid="{00000000-0005-0000-0000-000087770000}"/>
    <cellStyle name="Input 4 2 2 4 2" xfId="30809" xr:uid="{00000000-0005-0000-0000-000088770000}"/>
    <cellStyle name="Input 4 2 2 4 2 2" xfId="30810" xr:uid="{00000000-0005-0000-0000-000089770000}"/>
    <cellStyle name="Input 4 2 2 4 2 2 2" xfId="30811" xr:uid="{00000000-0005-0000-0000-00008A770000}"/>
    <cellStyle name="Input 4 2 2 4 2 2 2 2" xfId="30812" xr:uid="{00000000-0005-0000-0000-00008B770000}"/>
    <cellStyle name="Input 4 2 2 4 2 2 2 2 2" xfId="30813" xr:uid="{00000000-0005-0000-0000-00008C770000}"/>
    <cellStyle name="Input 4 2 2 4 2 2 2 3" xfId="30814" xr:uid="{00000000-0005-0000-0000-00008D770000}"/>
    <cellStyle name="Input 4 2 2 4 2 2 2 3 2" xfId="30815" xr:uid="{00000000-0005-0000-0000-00008E770000}"/>
    <cellStyle name="Input 4 2 2 4 2 2 2 4" xfId="30816" xr:uid="{00000000-0005-0000-0000-00008F770000}"/>
    <cellStyle name="Input 4 2 2 4 2 2 2 5" xfId="30817" xr:uid="{00000000-0005-0000-0000-000090770000}"/>
    <cellStyle name="Input 4 2 2 4 2 2 2 6" xfId="30818" xr:uid="{00000000-0005-0000-0000-000091770000}"/>
    <cellStyle name="Input 4 2 2 4 2 2 3" xfId="30819" xr:uid="{00000000-0005-0000-0000-000092770000}"/>
    <cellStyle name="Input 4 2 2 4 2 2 3 2" xfId="30820" xr:uid="{00000000-0005-0000-0000-000093770000}"/>
    <cellStyle name="Input 4 2 2 4 2 2 4" xfId="30821" xr:uid="{00000000-0005-0000-0000-000094770000}"/>
    <cellStyle name="Input 4 2 2 4 2 2 4 2" xfId="30822" xr:uid="{00000000-0005-0000-0000-000095770000}"/>
    <cellStyle name="Input 4 2 2 4 2 2 5" xfId="30823" xr:uid="{00000000-0005-0000-0000-000096770000}"/>
    <cellStyle name="Input 4 2 2 4 2 2 6" xfId="30824" xr:uid="{00000000-0005-0000-0000-000097770000}"/>
    <cellStyle name="Input 4 2 2 4 2 2 7" xfId="30825" xr:uid="{00000000-0005-0000-0000-000098770000}"/>
    <cellStyle name="Input 4 2 2 4 2 3" xfId="30826" xr:uid="{00000000-0005-0000-0000-000099770000}"/>
    <cellStyle name="Input 4 2 2 4 2 3 2" xfId="30827" xr:uid="{00000000-0005-0000-0000-00009A770000}"/>
    <cellStyle name="Input 4 2 2 4 2 3 2 2" xfId="30828" xr:uid="{00000000-0005-0000-0000-00009B770000}"/>
    <cellStyle name="Input 4 2 2 4 2 3 3" xfId="30829" xr:uid="{00000000-0005-0000-0000-00009C770000}"/>
    <cellStyle name="Input 4 2 2 4 2 3 3 2" xfId="30830" xr:uid="{00000000-0005-0000-0000-00009D770000}"/>
    <cellStyle name="Input 4 2 2 4 2 3 4" xfId="30831" xr:uid="{00000000-0005-0000-0000-00009E770000}"/>
    <cellStyle name="Input 4 2 2 4 2 3 5" xfId="30832" xr:uid="{00000000-0005-0000-0000-00009F770000}"/>
    <cellStyle name="Input 4 2 2 4 2 3 6" xfId="30833" xr:uid="{00000000-0005-0000-0000-0000A0770000}"/>
    <cellStyle name="Input 4 2 2 4 2 4" xfId="30834" xr:uid="{00000000-0005-0000-0000-0000A1770000}"/>
    <cellStyle name="Input 4 2 2 4 2 4 2" xfId="30835" xr:uid="{00000000-0005-0000-0000-0000A2770000}"/>
    <cellStyle name="Input 4 2 2 4 2 5" xfId="30836" xr:uid="{00000000-0005-0000-0000-0000A3770000}"/>
    <cellStyle name="Input 4 2 2 4 2 5 2" xfId="30837" xr:uid="{00000000-0005-0000-0000-0000A4770000}"/>
    <cellStyle name="Input 4 2 2 4 2 6" xfId="30838" xr:uid="{00000000-0005-0000-0000-0000A5770000}"/>
    <cellStyle name="Input 4 2 2 4 2 7" xfId="30839" xr:uid="{00000000-0005-0000-0000-0000A6770000}"/>
    <cellStyle name="Input 4 2 2 4 2 8" xfId="30840" xr:uid="{00000000-0005-0000-0000-0000A7770000}"/>
    <cellStyle name="Input 4 2 2 4 3" xfId="30841" xr:uid="{00000000-0005-0000-0000-0000A8770000}"/>
    <cellStyle name="Input 4 2 2 4 3 2" xfId="30842" xr:uid="{00000000-0005-0000-0000-0000A9770000}"/>
    <cellStyle name="Input 4 2 2 4 3 2 2" xfId="30843" xr:uid="{00000000-0005-0000-0000-0000AA770000}"/>
    <cellStyle name="Input 4 2 2 4 3 2 2 2" xfId="30844" xr:uid="{00000000-0005-0000-0000-0000AB770000}"/>
    <cellStyle name="Input 4 2 2 4 3 2 2 2 2" xfId="30845" xr:uid="{00000000-0005-0000-0000-0000AC770000}"/>
    <cellStyle name="Input 4 2 2 4 3 2 2 3" xfId="30846" xr:uid="{00000000-0005-0000-0000-0000AD770000}"/>
    <cellStyle name="Input 4 2 2 4 3 2 2 3 2" xfId="30847" xr:uid="{00000000-0005-0000-0000-0000AE770000}"/>
    <cellStyle name="Input 4 2 2 4 3 2 2 4" xfId="30848" xr:uid="{00000000-0005-0000-0000-0000AF770000}"/>
    <cellStyle name="Input 4 2 2 4 3 2 2 5" xfId="30849" xr:uid="{00000000-0005-0000-0000-0000B0770000}"/>
    <cellStyle name="Input 4 2 2 4 3 2 2 6" xfId="30850" xr:uid="{00000000-0005-0000-0000-0000B1770000}"/>
    <cellStyle name="Input 4 2 2 4 3 2 3" xfId="30851" xr:uid="{00000000-0005-0000-0000-0000B2770000}"/>
    <cellStyle name="Input 4 2 2 4 3 2 3 2" xfId="30852" xr:uid="{00000000-0005-0000-0000-0000B3770000}"/>
    <cellStyle name="Input 4 2 2 4 3 2 4" xfId="30853" xr:uid="{00000000-0005-0000-0000-0000B4770000}"/>
    <cellStyle name="Input 4 2 2 4 3 2 4 2" xfId="30854" xr:uid="{00000000-0005-0000-0000-0000B5770000}"/>
    <cellStyle name="Input 4 2 2 4 3 2 5" xfId="30855" xr:uid="{00000000-0005-0000-0000-0000B6770000}"/>
    <cellStyle name="Input 4 2 2 4 3 2 6" xfId="30856" xr:uid="{00000000-0005-0000-0000-0000B7770000}"/>
    <cellStyle name="Input 4 2 2 4 3 2 7" xfId="30857" xr:uid="{00000000-0005-0000-0000-0000B8770000}"/>
    <cellStyle name="Input 4 2 2 4 3 3" xfId="30858" xr:uid="{00000000-0005-0000-0000-0000B9770000}"/>
    <cellStyle name="Input 4 2 2 4 3 3 2" xfId="30859" xr:uid="{00000000-0005-0000-0000-0000BA770000}"/>
    <cellStyle name="Input 4 2 2 4 3 3 2 2" xfId="30860" xr:uid="{00000000-0005-0000-0000-0000BB770000}"/>
    <cellStyle name="Input 4 2 2 4 3 3 3" xfId="30861" xr:uid="{00000000-0005-0000-0000-0000BC770000}"/>
    <cellStyle name="Input 4 2 2 4 3 3 3 2" xfId="30862" xr:uid="{00000000-0005-0000-0000-0000BD770000}"/>
    <cellStyle name="Input 4 2 2 4 3 3 4" xfId="30863" xr:uid="{00000000-0005-0000-0000-0000BE770000}"/>
    <cellStyle name="Input 4 2 2 4 3 3 5" xfId="30864" xr:uid="{00000000-0005-0000-0000-0000BF770000}"/>
    <cellStyle name="Input 4 2 2 4 3 3 6" xfId="30865" xr:uid="{00000000-0005-0000-0000-0000C0770000}"/>
    <cellStyle name="Input 4 2 2 4 3 4" xfId="30866" xr:uid="{00000000-0005-0000-0000-0000C1770000}"/>
    <cellStyle name="Input 4 2 2 4 3 4 2" xfId="30867" xr:uid="{00000000-0005-0000-0000-0000C2770000}"/>
    <cellStyle name="Input 4 2 2 4 3 5" xfId="30868" xr:uid="{00000000-0005-0000-0000-0000C3770000}"/>
    <cellStyle name="Input 4 2 2 4 3 5 2" xfId="30869" xr:uid="{00000000-0005-0000-0000-0000C4770000}"/>
    <cellStyle name="Input 4 2 2 4 3 6" xfId="30870" xr:uid="{00000000-0005-0000-0000-0000C5770000}"/>
    <cellStyle name="Input 4 2 2 4 3 7" xfId="30871" xr:uid="{00000000-0005-0000-0000-0000C6770000}"/>
    <cellStyle name="Input 4 2 2 4 3 8" xfId="30872" xr:uid="{00000000-0005-0000-0000-0000C7770000}"/>
    <cellStyle name="Input 4 2 2 4 4" xfId="30873" xr:uid="{00000000-0005-0000-0000-0000C8770000}"/>
    <cellStyle name="Input 4 2 2 4 4 2" xfId="30874" xr:uid="{00000000-0005-0000-0000-0000C9770000}"/>
    <cellStyle name="Input 4 2 2 4 4 2 2" xfId="30875" xr:uid="{00000000-0005-0000-0000-0000CA770000}"/>
    <cellStyle name="Input 4 2 2 4 4 2 2 2" xfId="30876" xr:uid="{00000000-0005-0000-0000-0000CB770000}"/>
    <cellStyle name="Input 4 2 2 4 4 2 3" xfId="30877" xr:uid="{00000000-0005-0000-0000-0000CC770000}"/>
    <cellStyle name="Input 4 2 2 4 4 2 3 2" xfId="30878" xr:uid="{00000000-0005-0000-0000-0000CD770000}"/>
    <cellStyle name="Input 4 2 2 4 4 2 4" xfId="30879" xr:uid="{00000000-0005-0000-0000-0000CE770000}"/>
    <cellStyle name="Input 4 2 2 4 4 2 5" xfId="30880" xr:uid="{00000000-0005-0000-0000-0000CF770000}"/>
    <cellStyle name="Input 4 2 2 4 4 2 6" xfId="30881" xr:uid="{00000000-0005-0000-0000-0000D0770000}"/>
    <cellStyle name="Input 4 2 2 4 4 3" xfId="30882" xr:uid="{00000000-0005-0000-0000-0000D1770000}"/>
    <cellStyle name="Input 4 2 2 4 4 3 2" xfId="30883" xr:uid="{00000000-0005-0000-0000-0000D2770000}"/>
    <cellStyle name="Input 4 2 2 4 4 4" xfId="30884" xr:uid="{00000000-0005-0000-0000-0000D3770000}"/>
    <cellStyle name="Input 4 2 2 4 4 4 2" xfId="30885" xr:uid="{00000000-0005-0000-0000-0000D4770000}"/>
    <cellStyle name="Input 4 2 2 4 4 5" xfId="30886" xr:uid="{00000000-0005-0000-0000-0000D5770000}"/>
    <cellStyle name="Input 4 2 2 4 4 6" xfId="30887" xr:uid="{00000000-0005-0000-0000-0000D6770000}"/>
    <cellStyle name="Input 4 2 2 4 4 7" xfId="30888" xr:uid="{00000000-0005-0000-0000-0000D7770000}"/>
    <cellStyle name="Input 4 2 2 4 5" xfId="30889" xr:uid="{00000000-0005-0000-0000-0000D8770000}"/>
    <cellStyle name="Input 4 2 2 4 5 2" xfId="30890" xr:uid="{00000000-0005-0000-0000-0000D9770000}"/>
    <cellStyle name="Input 4 2 2 4 5 2 2" xfId="30891" xr:uid="{00000000-0005-0000-0000-0000DA770000}"/>
    <cellStyle name="Input 4 2 2 4 5 3" xfId="30892" xr:uid="{00000000-0005-0000-0000-0000DB770000}"/>
    <cellStyle name="Input 4 2 2 4 5 3 2" xfId="30893" xr:uid="{00000000-0005-0000-0000-0000DC770000}"/>
    <cellStyle name="Input 4 2 2 4 5 4" xfId="30894" xr:uid="{00000000-0005-0000-0000-0000DD770000}"/>
    <cellStyle name="Input 4 2 2 4 5 5" xfId="30895" xr:uid="{00000000-0005-0000-0000-0000DE770000}"/>
    <cellStyle name="Input 4 2 2 4 5 6" xfId="30896" xr:uid="{00000000-0005-0000-0000-0000DF770000}"/>
    <cellStyle name="Input 4 2 2 4 6" xfId="30897" xr:uid="{00000000-0005-0000-0000-0000E0770000}"/>
    <cellStyle name="Input 4 2 2 4 6 2" xfId="30898" xr:uid="{00000000-0005-0000-0000-0000E1770000}"/>
    <cellStyle name="Input 4 2 2 4 7" xfId="30899" xr:uid="{00000000-0005-0000-0000-0000E2770000}"/>
    <cellStyle name="Input 4 2 2 4 7 2" xfId="30900" xr:uid="{00000000-0005-0000-0000-0000E3770000}"/>
    <cellStyle name="Input 4 2 2 4 8" xfId="30901" xr:uid="{00000000-0005-0000-0000-0000E4770000}"/>
    <cellStyle name="Input 4 2 2 4 9" xfId="30902" xr:uid="{00000000-0005-0000-0000-0000E5770000}"/>
    <cellStyle name="Input 4 2 2 5" xfId="30903" xr:uid="{00000000-0005-0000-0000-0000E6770000}"/>
    <cellStyle name="Input 4 2 2 5 2" xfId="30904" xr:uid="{00000000-0005-0000-0000-0000E7770000}"/>
    <cellStyle name="Input 4 2 2 5 2 2" xfId="30905" xr:uid="{00000000-0005-0000-0000-0000E8770000}"/>
    <cellStyle name="Input 4 2 2 5 2 2 2" xfId="30906" xr:uid="{00000000-0005-0000-0000-0000E9770000}"/>
    <cellStyle name="Input 4 2 2 5 2 2 2 2" xfId="30907" xr:uid="{00000000-0005-0000-0000-0000EA770000}"/>
    <cellStyle name="Input 4 2 2 5 2 2 3" xfId="30908" xr:uid="{00000000-0005-0000-0000-0000EB770000}"/>
    <cellStyle name="Input 4 2 2 5 2 2 3 2" xfId="30909" xr:uid="{00000000-0005-0000-0000-0000EC770000}"/>
    <cellStyle name="Input 4 2 2 5 2 2 4" xfId="30910" xr:uid="{00000000-0005-0000-0000-0000ED770000}"/>
    <cellStyle name="Input 4 2 2 5 2 2 5" xfId="30911" xr:uid="{00000000-0005-0000-0000-0000EE770000}"/>
    <cellStyle name="Input 4 2 2 5 2 2 6" xfId="30912" xr:uid="{00000000-0005-0000-0000-0000EF770000}"/>
    <cellStyle name="Input 4 2 2 5 2 3" xfId="30913" xr:uid="{00000000-0005-0000-0000-0000F0770000}"/>
    <cellStyle name="Input 4 2 2 5 2 3 2" xfId="30914" xr:uid="{00000000-0005-0000-0000-0000F1770000}"/>
    <cellStyle name="Input 4 2 2 5 2 4" xfId="30915" xr:uid="{00000000-0005-0000-0000-0000F2770000}"/>
    <cellStyle name="Input 4 2 2 5 2 4 2" xfId="30916" xr:uid="{00000000-0005-0000-0000-0000F3770000}"/>
    <cellStyle name="Input 4 2 2 5 2 5" xfId="30917" xr:uid="{00000000-0005-0000-0000-0000F4770000}"/>
    <cellStyle name="Input 4 2 2 5 2 6" xfId="30918" xr:uid="{00000000-0005-0000-0000-0000F5770000}"/>
    <cellStyle name="Input 4 2 2 5 2 7" xfId="30919" xr:uid="{00000000-0005-0000-0000-0000F6770000}"/>
    <cellStyle name="Input 4 2 2 5 3" xfId="30920" xr:uid="{00000000-0005-0000-0000-0000F7770000}"/>
    <cellStyle name="Input 4 2 2 5 3 2" xfId="30921" xr:uid="{00000000-0005-0000-0000-0000F8770000}"/>
    <cellStyle name="Input 4 2 2 5 3 2 2" xfId="30922" xr:uid="{00000000-0005-0000-0000-0000F9770000}"/>
    <cellStyle name="Input 4 2 2 5 3 3" xfId="30923" xr:uid="{00000000-0005-0000-0000-0000FA770000}"/>
    <cellStyle name="Input 4 2 2 5 3 3 2" xfId="30924" xr:uid="{00000000-0005-0000-0000-0000FB770000}"/>
    <cellStyle name="Input 4 2 2 5 3 4" xfId="30925" xr:uid="{00000000-0005-0000-0000-0000FC770000}"/>
    <cellStyle name="Input 4 2 2 5 3 5" xfId="30926" xr:uid="{00000000-0005-0000-0000-0000FD770000}"/>
    <cellStyle name="Input 4 2 2 5 3 6" xfId="30927" xr:uid="{00000000-0005-0000-0000-0000FE770000}"/>
    <cellStyle name="Input 4 2 2 5 4" xfId="30928" xr:uid="{00000000-0005-0000-0000-0000FF770000}"/>
    <cellStyle name="Input 4 2 2 5 4 2" xfId="30929" xr:uid="{00000000-0005-0000-0000-000000780000}"/>
    <cellStyle name="Input 4 2 2 5 5" xfId="30930" xr:uid="{00000000-0005-0000-0000-000001780000}"/>
    <cellStyle name="Input 4 2 2 5 5 2" xfId="30931" xr:uid="{00000000-0005-0000-0000-000002780000}"/>
    <cellStyle name="Input 4 2 2 5 6" xfId="30932" xr:uid="{00000000-0005-0000-0000-000003780000}"/>
    <cellStyle name="Input 4 2 2 5 7" xfId="30933" xr:uid="{00000000-0005-0000-0000-000004780000}"/>
    <cellStyle name="Input 4 2 2 5 8" xfId="30934" xr:uid="{00000000-0005-0000-0000-000005780000}"/>
    <cellStyle name="Input 4 2 2 6" xfId="30935" xr:uid="{00000000-0005-0000-0000-000006780000}"/>
    <cellStyle name="Input 4 2 2 6 2" xfId="30936" xr:uid="{00000000-0005-0000-0000-000007780000}"/>
    <cellStyle name="Input 4 2 2 6 2 2" xfId="30937" xr:uid="{00000000-0005-0000-0000-000008780000}"/>
    <cellStyle name="Input 4 2 2 6 2 2 2" xfId="30938" xr:uid="{00000000-0005-0000-0000-000009780000}"/>
    <cellStyle name="Input 4 2 2 6 2 3" xfId="30939" xr:uid="{00000000-0005-0000-0000-00000A780000}"/>
    <cellStyle name="Input 4 2 2 6 2 3 2" xfId="30940" xr:uid="{00000000-0005-0000-0000-00000B780000}"/>
    <cellStyle name="Input 4 2 2 6 2 4" xfId="30941" xr:uid="{00000000-0005-0000-0000-00000C780000}"/>
    <cellStyle name="Input 4 2 2 6 2 5" xfId="30942" xr:uid="{00000000-0005-0000-0000-00000D780000}"/>
    <cellStyle name="Input 4 2 2 6 2 6" xfId="30943" xr:uid="{00000000-0005-0000-0000-00000E780000}"/>
    <cellStyle name="Input 4 2 2 6 3" xfId="30944" xr:uid="{00000000-0005-0000-0000-00000F780000}"/>
    <cellStyle name="Input 4 2 2 6 3 2" xfId="30945" xr:uid="{00000000-0005-0000-0000-000010780000}"/>
    <cellStyle name="Input 4 2 2 6 4" xfId="30946" xr:uid="{00000000-0005-0000-0000-000011780000}"/>
    <cellStyle name="Input 4 2 2 6 4 2" xfId="30947" xr:uid="{00000000-0005-0000-0000-000012780000}"/>
    <cellStyle name="Input 4 2 2 6 5" xfId="30948" xr:uid="{00000000-0005-0000-0000-000013780000}"/>
    <cellStyle name="Input 4 2 2 6 6" xfId="30949" xr:uid="{00000000-0005-0000-0000-000014780000}"/>
    <cellStyle name="Input 4 2 2 6 7" xfId="30950" xr:uid="{00000000-0005-0000-0000-000015780000}"/>
    <cellStyle name="Input 4 2 2 7" xfId="30951" xr:uid="{00000000-0005-0000-0000-000016780000}"/>
    <cellStyle name="Input 4 2 2 7 2" xfId="30952" xr:uid="{00000000-0005-0000-0000-000017780000}"/>
    <cellStyle name="Input 4 2 2 7 2 2" xfId="30953" xr:uid="{00000000-0005-0000-0000-000018780000}"/>
    <cellStyle name="Input 4 2 2 7 3" xfId="30954" xr:uid="{00000000-0005-0000-0000-000019780000}"/>
    <cellStyle name="Input 4 2 2 7 3 2" xfId="30955" xr:uid="{00000000-0005-0000-0000-00001A780000}"/>
    <cellStyle name="Input 4 2 2 7 4" xfId="30956" xr:uid="{00000000-0005-0000-0000-00001B780000}"/>
    <cellStyle name="Input 4 2 2 7 5" xfId="30957" xr:uid="{00000000-0005-0000-0000-00001C780000}"/>
    <cellStyle name="Input 4 2 2 7 6" xfId="30958" xr:uid="{00000000-0005-0000-0000-00001D780000}"/>
    <cellStyle name="Input 4 2 2 8" xfId="30959" xr:uid="{00000000-0005-0000-0000-00001E780000}"/>
    <cellStyle name="Input 4 2 2 8 2" xfId="30960" xr:uid="{00000000-0005-0000-0000-00001F780000}"/>
    <cellStyle name="Input 4 2 2 9" xfId="30961" xr:uid="{00000000-0005-0000-0000-000020780000}"/>
    <cellStyle name="Input 4 2 2 9 2" xfId="30962" xr:uid="{00000000-0005-0000-0000-000021780000}"/>
    <cellStyle name="Input 4 2 3" xfId="30963" xr:uid="{00000000-0005-0000-0000-000022780000}"/>
    <cellStyle name="Input 4 2 3 10" xfId="30964" xr:uid="{00000000-0005-0000-0000-000023780000}"/>
    <cellStyle name="Input 4 2 3 11" xfId="30965" xr:uid="{00000000-0005-0000-0000-000024780000}"/>
    <cellStyle name="Input 4 2 3 12" xfId="30966" xr:uid="{00000000-0005-0000-0000-000025780000}"/>
    <cellStyle name="Input 4 2 3 2" xfId="30967" xr:uid="{00000000-0005-0000-0000-000026780000}"/>
    <cellStyle name="Input 4 2 3 2 10" xfId="30968" xr:uid="{00000000-0005-0000-0000-000027780000}"/>
    <cellStyle name="Input 4 2 3 2 11" xfId="30969" xr:uid="{00000000-0005-0000-0000-000028780000}"/>
    <cellStyle name="Input 4 2 3 2 2" xfId="30970" xr:uid="{00000000-0005-0000-0000-000029780000}"/>
    <cellStyle name="Input 4 2 3 2 2 10" xfId="30971" xr:uid="{00000000-0005-0000-0000-00002A780000}"/>
    <cellStyle name="Input 4 2 3 2 2 2" xfId="30972" xr:uid="{00000000-0005-0000-0000-00002B780000}"/>
    <cellStyle name="Input 4 2 3 2 2 2 2" xfId="30973" xr:uid="{00000000-0005-0000-0000-00002C780000}"/>
    <cellStyle name="Input 4 2 3 2 2 2 2 2" xfId="30974" xr:uid="{00000000-0005-0000-0000-00002D780000}"/>
    <cellStyle name="Input 4 2 3 2 2 2 2 2 2" xfId="30975" xr:uid="{00000000-0005-0000-0000-00002E780000}"/>
    <cellStyle name="Input 4 2 3 2 2 2 2 2 2 2" xfId="30976" xr:uid="{00000000-0005-0000-0000-00002F780000}"/>
    <cellStyle name="Input 4 2 3 2 2 2 2 2 3" xfId="30977" xr:uid="{00000000-0005-0000-0000-000030780000}"/>
    <cellStyle name="Input 4 2 3 2 2 2 2 2 3 2" xfId="30978" xr:uid="{00000000-0005-0000-0000-000031780000}"/>
    <cellStyle name="Input 4 2 3 2 2 2 2 2 4" xfId="30979" xr:uid="{00000000-0005-0000-0000-000032780000}"/>
    <cellStyle name="Input 4 2 3 2 2 2 2 2 5" xfId="30980" xr:uid="{00000000-0005-0000-0000-000033780000}"/>
    <cellStyle name="Input 4 2 3 2 2 2 2 2 6" xfId="30981" xr:uid="{00000000-0005-0000-0000-000034780000}"/>
    <cellStyle name="Input 4 2 3 2 2 2 2 3" xfId="30982" xr:uid="{00000000-0005-0000-0000-000035780000}"/>
    <cellStyle name="Input 4 2 3 2 2 2 2 3 2" xfId="30983" xr:uid="{00000000-0005-0000-0000-000036780000}"/>
    <cellStyle name="Input 4 2 3 2 2 2 2 4" xfId="30984" xr:uid="{00000000-0005-0000-0000-000037780000}"/>
    <cellStyle name="Input 4 2 3 2 2 2 2 4 2" xfId="30985" xr:uid="{00000000-0005-0000-0000-000038780000}"/>
    <cellStyle name="Input 4 2 3 2 2 2 2 5" xfId="30986" xr:uid="{00000000-0005-0000-0000-000039780000}"/>
    <cellStyle name="Input 4 2 3 2 2 2 2 6" xfId="30987" xr:uid="{00000000-0005-0000-0000-00003A780000}"/>
    <cellStyle name="Input 4 2 3 2 2 2 2 7" xfId="30988" xr:uid="{00000000-0005-0000-0000-00003B780000}"/>
    <cellStyle name="Input 4 2 3 2 2 2 3" xfId="30989" xr:uid="{00000000-0005-0000-0000-00003C780000}"/>
    <cellStyle name="Input 4 2 3 2 2 2 3 2" xfId="30990" xr:uid="{00000000-0005-0000-0000-00003D780000}"/>
    <cellStyle name="Input 4 2 3 2 2 2 3 2 2" xfId="30991" xr:uid="{00000000-0005-0000-0000-00003E780000}"/>
    <cellStyle name="Input 4 2 3 2 2 2 3 3" xfId="30992" xr:uid="{00000000-0005-0000-0000-00003F780000}"/>
    <cellStyle name="Input 4 2 3 2 2 2 3 3 2" xfId="30993" xr:uid="{00000000-0005-0000-0000-000040780000}"/>
    <cellStyle name="Input 4 2 3 2 2 2 3 4" xfId="30994" xr:uid="{00000000-0005-0000-0000-000041780000}"/>
    <cellStyle name="Input 4 2 3 2 2 2 3 5" xfId="30995" xr:uid="{00000000-0005-0000-0000-000042780000}"/>
    <cellStyle name="Input 4 2 3 2 2 2 3 6" xfId="30996" xr:uid="{00000000-0005-0000-0000-000043780000}"/>
    <cellStyle name="Input 4 2 3 2 2 2 4" xfId="30997" xr:uid="{00000000-0005-0000-0000-000044780000}"/>
    <cellStyle name="Input 4 2 3 2 2 2 4 2" xfId="30998" xr:uid="{00000000-0005-0000-0000-000045780000}"/>
    <cellStyle name="Input 4 2 3 2 2 2 5" xfId="30999" xr:uid="{00000000-0005-0000-0000-000046780000}"/>
    <cellStyle name="Input 4 2 3 2 2 2 5 2" xfId="31000" xr:uid="{00000000-0005-0000-0000-000047780000}"/>
    <cellStyle name="Input 4 2 3 2 2 2 6" xfId="31001" xr:uid="{00000000-0005-0000-0000-000048780000}"/>
    <cellStyle name="Input 4 2 3 2 2 2 7" xfId="31002" xr:uid="{00000000-0005-0000-0000-000049780000}"/>
    <cellStyle name="Input 4 2 3 2 2 2 8" xfId="31003" xr:uid="{00000000-0005-0000-0000-00004A780000}"/>
    <cellStyle name="Input 4 2 3 2 2 3" xfId="31004" xr:uid="{00000000-0005-0000-0000-00004B780000}"/>
    <cellStyle name="Input 4 2 3 2 2 3 2" xfId="31005" xr:uid="{00000000-0005-0000-0000-00004C780000}"/>
    <cellStyle name="Input 4 2 3 2 2 3 2 2" xfId="31006" xr:uid="{00000000-0005-0000-0000-00004D780000}"/>
    <cellStyle name="Input 4 2 3 2 2 3 2 2 2" xfId="31007" xr:uid="{00000000-0005-0000-0000-00004E780000}"/>
    <cellStyle name="Input 4 2 3 2 2 3 2 2 2 2" xfId="31008" xr:uid="{00000000-0005-0000-0000-00004F780000}"/>
    <cellStyle name="Input 4 2 3 2 2 3 2 2 3" xfId="31009" xr:uid="{00000000-0005-0000-0000-000050780000}"/>
    <cellStyle name="Input 4 2 3 2 2 3 2 2 3 2" xfId="31010" xr:uid="{00000000-0005-0000-0000-000051780000}"/>
    <cellStyle name="Input 4 2 3 2 2 3 2 2 4" xfId="31011" xr:uid="{00000000-0005-0000-0000-000052780000}"/>
    <cellStyle name="Input 4 2 3 2 2 3 2 2 5" xfId="31012" xr:uid="{00000000-0005-0000-0000-000053780000}"/>
    <cellStyle name="Input 4 2 3 2 2 3 2 2 6" xfId="31013" xr:uid="{00000000-0005-0000-0000-000054780000}"/>
    <cellStyle name="Input 4 2 3 2 2 3 2 3" xfId="31014" xr:uid="{00000000-0005-0000-0000-000055780000}"/>
    <cellStyle name="Input 4 2 3 2 2 3 2 3 2" xfId="31015" xr:uid="{00000000-0005-0000-0000-000056780000}"/>
    <cellStyle name="Input 4 2 3 2 2 3 2 4" xfId="31016" xr:uid="{00000000-0005-0000-0000-000057780000}"/>
    <cellStyle name="Input 4 2 3 2 2 3 2 4 2" xfId="31017" xr:uid="{00000000-0005-0000-0000-000058780000}"/>
    <cellStyle name="Input 4 2 3 2 2 3 2 5" xfId="31018" xr:uid="{00000000-0005-0000-0000-000059780000}"/>
    <cellStyle name="Input 4 2 3 2 2 3 2 6" xfId="31019" xr:uid="{00000000-0005-0000-0000-00005A780000}"/>
    <cellStyle name="Input 4 2 3 2 2 3 2 7" xfId="31020" xr:uid="{00000000-0005-0000-0000-00005B780000}"/>
    <cellStyle name="Input 4 2 3 2 2 3 3" xfId="31021" xr:uid="{00000000-0005-0000-0000-00005C780000}"/>
    <cellStyle name="Input 4 2 3 2 2 3 3 2" xfId="31022" xr:uid="{00000000-0005-0000-0000-00005D780000}"/>
    <cellStyle name="Input 4 2 3 2 2 3 3 2 2" xfId="31023" xr:uid="{00000000-0005-0000-0000-00005E780000}"/>
    <cellStyle name="Input 4 2 3 2 2 3 3 3" xfId="31024" xr:uid="{00000000-0005-0000-0000-00005F780000}"/>
    <cellStyle name="Input 4 2 3 2 2 3 3 3 2" xfId="31025" xr:uid="{00000000-0005-0000-0000-000060780000}"/>
    <cellStyle name="Input 4 2 3 2 2 3 3 4" xfId="31026" xr:uid="{00000000-0005-0000-0000-000061780000}"/>
    <cellStyle name="Input 4 2 3 2 2 3 3 5" xfId="31027" xr:uid="{00000000-0005-0000-0000-000062780000}"/>
    <cellStyle name="Input 4 2 3 2 2 3 3 6" xfId="31028" xr:uid="{00000000-0005-0000-0000-000063780000}"/>
    <cellStyle name="Input 4 2 3 2 2 3 4" xfId="31029" xr:uid="{00000000-0005-0000-0000-000064780000}"/>
    <cellStyle name="Input 4 2 3 2 2 3 4 2" xfId="31030" xr:uid="{00000000-0005-0000-0000-000065780000}"/>
    <cellStyle name="Input 4 2 3 2 2 3 5" xfId="31031" xr:uid="{00000000-0005-0000-0000-000066780000}"/>
    <cellStyle name="Input 4 2 3 2 2 3 5 2" xfId="31032" xr:uid="{00000000-0005-0000-0000-000067780000}"/>
    <cellStyle name="Input 4 2 3 2 2 3 6" xfId="31033" xr:uid="{00000000-0005-0000-0000-000068780000}"/>
    <cellStyle name="Input 4 2 3 2 2 3 7" xfId="31034" xr:uid="{00000000-0005-0000-0000-000069780000}"/>
    <cellStyle name="Input 4 2 3 2 2 3 8" xfId="31035" xr:uid="{00000000-0005-0000-0000-00006A780000}"/>
    <cellStyle name="Input 4 2 3 2 2 4" xfId="31036" xr:uid="{00000000-0005-0000-0000-00006B780000}"/>
    <cellStyle name="Input 4 2 3 2 2 4 2" xfId="31037" xr:uid="{00000000-0005-0000-0000-00006C780000}"/>
    <cellStyle name="Input 4 2 3 2 2 4 2 2" xfId="31038" xr:uid="{00000000-0005-0000-0000-00006D780000}"/>
    <cellStyle name="Input 4 2 3 2 2 4 2 2 2" xfId="31039" xr:uid="{00000000-0005-0000-0000-00006E780000}"/>
    <cellStyle name="Input 4 2 3 2 2 4 2 3" xfId="31040" xr:uid="{00000000-0005-0000-0000-00006F780000}"/>
    <cellStyle name="Input 4 2 3 2 2 4 2 3 2" xfId="31041" xr:uid="{00000000-0005-0000-0000-000070780000}"/>
    <cellStyle name="Input 4 2 3 2 2 4 2 4" xfId="31042" xr:uid="{00000000-0005-0000-0000-000071780000}"/>
    <cellStyle name="Input 4 2 3 2 2 4 2 5" xfId="31043" xr:uid="{00000000-0005-0000-0000-000072780000}"/>
    <cellStyle name="Input 4 2 3 2 2 4 2 6" xfId="31044" xr:uid="{00000000-0005-0000-0000-000073780000}"/>
    <cellStyle name="Input 4 2 3 2 2 4 3" xfId="31045" xr:uid="{00000000-0005-0000-0000-000074780000}"/>
    <cellStyle name="Input 4 2 3 2 2 4 3 2" xfId="31046" xr:uid="{00000000-0005-0000-0000-000075780000}"/>
    <cellStyle name="Input 4 2 3 2 2 4 4" xfId="31047" xr:uid="{00000000-0005-0000-0000-000076780000}"/>
    <cellStyle name="Input 4 2 3 2 2 4 4 2" xfId="31048" xr:uid="{00000000-0005-0000-0000-000077780000}"/>
    <cellStyle name="Input 4 2 3 2 2 4 5" xfId="31049" xr:uid="{00000000-0005-0000-0000-000078780000}"/>
    <cellStyle name="Input 4 2 3 2 2 4 6" xfId="31050" xr:uid="{00000000-0005-0000-0000-000079780000}"/>
    <cellStyle name="Input 4 2 3 2 2 4 7" xfId="31051" xr:uid="{00000000-0005-0000-0000-00007A780000}"/>
    <cellStyle name="Input 4 2 3 2 2 5" xfId="31052" xr:uid="{00000000-0005-0000-0000-00007B780000}"/>
    <cellStyle name="Input 4 2 3 2 2 5 2" xfId="31053" xr:uid="{00000000-0005-0000-0000-00007C780000}"/>
    <cellStyle name="Input 4 2 3 2 2 5 2 2" xfId="31054" xr:uid="{00000000-0005-0000-0000-00007D780000}"/>
    <cellStyle name="Input 4 2 3 2 2 5 3" xfId="31055" xr:uid="{00000000-0005-0000-0000-00007E780000}"/>
    <cellStyle name="Input 4 2 3 2 2 5 3 2" xfId="31056" xr:uid="{00000000-0005-0000-0000-00007F780000}"/>
    <cellStyle name="Input 4 2 3 2 2 5 4" xfId="31057" xr:uid="{00000000-0005-0000-0000-000080780000}"/>
    <cellStyle name="Input 4 2 3 2 2 5 5" xfId="31058" xr:uid="{00000000-0005-0000-0000-000081780000}"/>
    <cellStyle name="Input 4 2 3 2 2 5 6" xfId="31059" xr:uid="{00000000-0005-0000-0000-000082780000}"/>
    <cellStyle name="Input 4 2 3 2 2 6" xfId="31060" xr:uid="{00000000-0005-0000-0000-000083780000}"/>
    <cellStyle name="Input 4 2 3 2 2 6 2" xfId="31061" xr:uid="{00000000-0005-0000-0000-000084780000}"/>
    <cellStyle name="Input 4 2 3 2 2 7" xfId="31062" xr:uid="{00000000-0005-0000-0000-000085780000}"/>
    <cellStyle name="Input 4 2 3 2 2 7 2" xfId="31063" xr:uid="{00000000-0005-0000-0000-000086780000}"/>
    <cellStyle name="Input 4 2 3 2 2 8" xfId="31064" xr:uid="{00000000-0005-0000-0000-000087780000}"/>
    <cellStyle name="Input 4 2 3 2 2 9" xfId="31065" xr:uid="{00000000-0005-0000-0000-000088780000}"/>
    <cellStyle name="Input 4 2 3 2 3" xfId="31066" xr:uid="{00000000-0005-0000-0000-000089780000}"/>
    <cellStyle name="Input 4 2 3 2 3 2" xfId="31067" xr:uid="{00000000-0005-0000-0000-00008A780000}"/>
    <cellStyle name="Input 4 2 3 2 3 2 2" xfId="31068" xr:uid="{00000000-0005-0000-0000-00008B780000}"/>
    <cellStyle name="Input 4 2 3 2 3 2 2 2" xfId="31069" xr:uid="{00000000-0005-0000-0000-00008C780000}"/>
    <cellStyle name="Input 4 2 3 2 3 2 2 2 2" xfId="31070" xr:uid="{00000000-0005-0000-0000-00008D780000}"/>
    <cellStyle name="Input 4 2 3 2 3 2 2 3" xfId="31071" xr:uid="{00000000-0005-0000-0000-00008E780000}"/>
    <cellStyle name="Input 4 2 3 2 3 2 2 3 2" xfId="31072" xr:uid="{00000000-0005-0000-0000-00008F780000}"/>
    <cellStyle name="Input 4 2 3 2 3 2 2 4" xfId="31073" xr:uid="{00000000-0005-0000-0000-000090780000}"/>
    <cellStyle name="Input 4 2 3 2 3 2 2 5" xfId="31074" xr:uid="{00000000-0005-0000-0000-000091780000}"/>
    <cellStyle name="Input 4 2 3 2 3 2 2 6" xfId="31075" xr:uid="{00000000-0005-0000-0000-000092780000}"/>
    <cellStyle name="Input 4 2 3 2 3 2 3" xfId="31076" xr:uid="{00000000-0005-0000-0000-000093780000}"/>
    <cellStyle name="Input 4 2 3 2 3 2 3 2" xfId="31077" xr:uid="{00000000-0005-0000-0000-000094780000}"/>
    <cellStyle name="Input 4 2 3 2 3 2 4" xfId="31078" xr:uid="{00000000-0005-0000-0000-000095780000}"/>
    <cellStyle name="Input 4 2 3 2 3 2 4 2" xfId="31079" xr:uid="{00000000-0005-0000-0000-000096780000}"/>
    <cellStyle name="Input 4 2 3 2 3 2 5" xfId="31080" xr:uid="{00000000-0005-0000-0000-000097780000}"/>
    <cellStyle name="Input 4 2 3 2 3 2 6" xfId="31081" xr:uid="{00000000-0005-0000-0000-000098780000}"/>
    <cellStyle name="Input 4 2 3 2 3 2 7" xfId="31082" xr:uid="{00000000-0005-0000-0000-000099780000}"/>
    <cellStyle name="Input 4 2 3 2 3 3" xfId="31083" xr:uid="{00000000-0005-0000-0000-00009A780000}"/>
    <cellStyle name="Input 4 2 3 2 3 3 2" xfId="31084" xr:uid="{00000000-0005-0000-0000-00009B780000}"/>
    <cellStyle name="Input 4 2 3 2 3 3 2 2" xfId="31085" xr:uid="{00000000-0005-0000-0000-00009C780000}"/>
    <cellStyle name="Input 4 2 3 2 3 3 3" xfId="31086" xr:uid="{00000000-0005-0000-0000-00009D780000}"/>
    <cellStyle name="Input 4 2 3 2 3 3 3 2" xfId="31087" xr:uid="{00000000-0005-0000-0000-00009E780000}"/>
    <cellStyle name="Input 4 2 3 2 3 3 4" xfId="31088" xr:uid="{00000000-0005-0000-0000-00009F780000}"/>
    <cellStyle name="Input 4 2 3 2 3 3 5" xfId="31089" xr:uid="{00000000-0005-0000-0000-0000A0780000}"/>
    <cellStyle name="Input 4 2 3 2 3 3 6" xfId="31090" xr:uid="{00000000-0005-0000-0000-0000A1780000}"/>
    <cellStyle name="Input 4 2 3 2 3 4" xfId="31091" xr:uid="{00000000-0005-0000-0000-0000A2780000}"/>
    <cellStyle name="Input 4 2 3 2 3 4 2" xfId="31092" xr:uid="{00000000-0005-0000-0000-0000A3780000}"/>
    <cellStyle name="Input 4 2 3 2 3 5" xfId="31093" xr:uid="{00000000-0005-0000-0000-0000A4780000}"/>
    <cellStyle name="Input 4 2 3 2 3 5 2" xfId="31094" xr:uid="{00000000-0005-0000-0000-0000A5780000}"/>
    <cellStyle name="Input 4 2 3 2 3 6" xfId="31095" xr:uid="{00000000-0005-0000-0000-0000A6780000}"/>
    <cellStyle name="Input 4 2 3 2 3 7" xfId="31096" xr:uid="{00000000-0005-0000-0000-0000A7780000}"/>
    <cellStyle name="Input 4 2 3 2 3 8" xfId="31097" xr:uid="{00000000-0005-0000-0000-0000A8780000}"/>
    <cellStyle name="Input 4 2 3 2 4" xfId="31098" xr:uid="{00000000-0005-0000-0000-0000A9780000}"/>
    <cellStyle name="Input 4 2 3 2 4 2" xfId="31099" xr:uid="{00000000-0005-0000-0000-0000AA780000}"/>
    <cellStyle name="Input 4 2 3 2 4 2 2" xfId="31100" xr:uid="{00000000-0005-0000-0000-0000AB780000}"/>
    <cellStyle name="Input 4 2 3 2 4 2 2 2" xfId="31101" xr:uid="{00000000-0005-0000-0000-0000AC780000}"/>
    <cellStyle name="Input 4 2 3 2 4 2 2 2 2" xfId="31102" xr:uid="{00000000-0005-0000-0000-0000AD780000}"/>
    <cellStyle name="Input 4 2 3 2 4 2 2 3" xfId="31103" xr:uid="{00000000-0005-0000-0000-0000AE780000}"/>
    <cellStyle name="Input 4 2 3 2 4 2 2 3 2" xfId="31104" xr:uid="{00000000-0005-0000-0000-0000AF780000}"/>
    <cellStyle name="Input 4 2 3 2 4 2 2 4" xfId="31105" xr:uid="{00000000-0005-0000-0000-0000B0780000}"/>
    <cellStyle name="Input 4 2 3 2 4 2 2 5" xfId="31106" xr:uid="{00000000-0005-0000-0000-0000B1780000}"/>
    <cellStyle name="Input 4 2 3 2 4 2 2 6" xfId="31107" xr:uid="{00000000-0005-0000-0000-0000B2780000}"/>
    <cellStyle name="Input 4 2 3 2 4 2 3" xfId="31108" xr:uid="{00000000-0005-0000-0000-0000B3780000}"/>
    <cellStyle name="Input 4 2 3 2 4 2 3 2" xfId="31109" xr:uid="{00000000-0005-0000-0000-0000B4780000}"/>
    <cellStyle name="Input 4 2 3 2 4 2 4" xfId="31110" xr:uid="{00000000-0005-0000-0000-0000B5780000}"/>
    <cellStyle name="Input 4 2 3 2 4 2 4 2" xfId="31111" xr:uid="{00000000-0005-0000-0000-0000B6780000}"/>
    <cellStyle name="Input 4 2 3 2 4 2 5" xfId="31112" xr:uid="{00000000-0005-0000-0000-0000B7780000}"/>
    <cellStyle name="Input 4 2 3 2 4 2 6" xfId="31113" xr:uid="{00000000-0005-0000-0000-0000B8780000}"/>
    <cellStyle name="Input 4 2 3 2 4 2 7" xfId="31114" xr:uid="{00000000-0005-0000-0000-0000B9780000}"/>
    <cellStyle name="Input 4 2 3 2 4 3" xfId="31115" xr:uid="{00000000-0005-0000-0000-0000BA780000}"/>
    <cellStyle name="Input 4 2 3 2 4 3 2" xfId="31116" xr:uid="{00000000-0005-0000-0000-0000BB780000}"/>
    <cellStyle name="Input 4 2 3 2 4 3 2 2" xfId="31117" xr:uid="{00000000-0005-0000-0000-0000BC780000}"/>
    <cellStyle name="Input 4 2 3 2 4 3 3" xfId="31118" xr:uid="{00000000-0005-0000-0000-0000BD780000}"/>
    <cellStyle name="Input 4 2 3 2 4 3 3 2" xfId="31119" xr:uid="{00000000-0005-0000-0000-0000BE780000}"/>
    <cellStyle name="Input 4 2 3 2 4 3 4" xfId="31120" xr:uid="{00000000-0005-0000-0000-0000BF780000}"/>
    <cellStyle name="Input 4 2 3 2 4 3 5" xfId="31121" xr:uid="{00000000-0005-0000-0000-0000C0780000}"/>
    <cellStyle name="Input 4 2 3 2 4 3 6" xfId="31122" xr:uid="{00000000-0005-0000-0000-0000C1780000}"/>
    <cellStyle name="Input 4 2 3 2 4 4" xfId="31123" xr:uid="{00000000-0005-0000-0000-0000C2780000}"/>
    <cellStyle name="Input 4 2 3 2 4 4 2" xfId="31124" xr:uid="{00000000-0005-0000-0000-0000C3780000}"/>
    <cellStyle name="Input 4 2 3 2 4 5" xfId="31125" xr:uid="{00000000-0005-0000-0000-0000C4780000}"/>
    <cellStyle name="Input 4 2 3 2 4 5 2" xfId="31126" xr:uid="{00000000-0005-0000-0000-0000C5780000}"/>
    <cellStyle name="Input 4 2 3 2 4 6" xfId="31127" xr:uid="{00000000-0005-0000-0000-0000C6780000}"/>
    <cellStyle name="Input 4 2 3 2 4 7" xfId="31128" xr:uid="{00000000-0005-0000-0000-0000C7780000}"/>
    <cellStyle name="Input 4 2 3 2 4 8" xfId="31129" xr:uid="{00000000-0005-0000-0000-0000C8780000}"/>
    <cellStyle name="Input 4 2 3 2 5" xfId="31130" xr:uid="{00000000-0005-0000-0000-0000C9780000}"/>
    <cellStyle name="Input 4 2 3 2 5 2" xfId="31131" xr:uid="{00000000-0005-0000-0000-0000CA780000}"/>
    <cellStyle name="Input 4 2 3 2 5 2 2" xfId="31132" xr:uid="{00000000-0005-0000-0000-0000CB780000}"/>
    <cellStyle name="Input 4 2 3 2 5 2 2 2" xfId="31133" xr:uid="{00000000-0005-0000-0000-0000CC780000}"/>
    <cellStyle name="Input 4 2 3 2 5 2 3" xfId="31134" xr:uid="{00000000-0005-0000-0000-0000CD780000}"/>
    <cellStyle name="Input 4 2 3 2 5 2 3 2" xfId="31135" xr:uid="{00000000-0005-0000-0000-0000CE780000}"/>
    <cellStyle name="Input 4 2 3 2 5 2 4" xfId="31136" xr:uid="{00000000-0005-0000-0000-0000CF780000}"/>
    <cellStyle name="Input 4 2 3 2 5 2 5" xfId="31137" xr:uid="{00000000-0005-0000-0000-0000D0780000}"/>
    <cellStyle name="Input 4 2 3 2 5 2 6" xfId="31138" xr:uid="{00000000-0005-0000-0000-0000D1780000}"/>
    <cellStyle name="Input 4 2 3 2 5 3" xfId="31139" xr:uid="{00000000-0005-0000-0000-0000D2780000}"/>
    <cellStyle name="Input 4 2 3 2 5 3 2" xfId="31140" xr:uid="{00000000-0005-0000-0000-0000D3780000}"/>
    <cellStyle name="Input 4 2 3 2 5 4" xfId="31141" xr:uid="{00000000-0005-0000-0000-0000D4780000}"/>
    <cellStyle name="Input 4 2 3 2 5 4 2" xfId="31142" xr:uid="{00000000-0005-0000-0000-0000D5780000}"/>
    <cellStyle name="Input 4 2 3 2 5 5" xfId="31143" xr:uid="{00000000-0005-0000-0000-0000D6780000}"/>
    <cellStyle name="Input 4 2 3 2 5 6" xfId="31144" xr:uid="{00000000-0005-0000-0000-0000D7780000}"/>
    <cellStyle name="Input 4 2 3 2 5 7" xfId="31145" xr:uid="{00000000-0005-0000-0000-0000D8780000}"/>
    <cellStyle name="Input 4 2 3 2 6" xfId="31146" xr:uid="{00000000-0005-0000-0000-0000D9780000}"/>
    <cellStyle name="Input 4 2 3 2 6 2" xfId="31147" xr:uid="{00000000-0005-0000-0000-0000DA780000}"/>
    <cellStyle name="Input 4 2 3 2 6 2 2" xfId="31148" xr:uid="{00000000-0005-0000-0000-0000DB780000}"/>
    <cellStyle name="Input 4 2 3 2 6 3" xfId="31149" xr:uid="{00000000-0005-0000-0000-0000DC780000}"/>
    <cellStyle name="Input 4 2 3 2 6 3 2" xfId="31150" xr:uid="{00000000-0005-0000-0000-0000DD780000}"/>
    <cellStyle name="Input 4 2 3 2 6 4" xfId="31151" xr:uid="{00000000-0005-0000-0000-0000DE780000}"/>
    <cellStyle name="Input 4 2 3 2 6 5" xfId="31152" xr:uid="{00000000-0005-0000-0000-0000DF780000}"/>
    <cellStyle name="Input 4 2 3 2 6 6" xfId="31153" xr:uid="{00000000-0005-0000-0000-0000E0780000}"/>
    <cellStyle name="Input 4 2 3 2 7" xfId="31154" xr:uid="{00000000-0005-0000-0000-0000E1780000}"/>
    <cellStyle name="Input 4 2 3 2 7 2" xfId="31155" xr:uid="{00000000-0005-0000-0000-0000E2780000}"/>
    <cellStyle name="Input 4 2 3 2 8" xfId="31156" xr:uid="{00000000-0005-0000-0000-0000E3780000}"/>
    <cellStyle name="Input 4 2 3 2 8 2" xfId="31157" xr:uid="{00000000-0005-0000-0000-0000E4780000}"/>
    <cellStyle name="Input 4 2 3 2 9" xfId="31158" xr:uid="{00000000-0005-0000-0000-0000E5780000}"/>
    <cellStyle name="Input 4 2 3 3" xfId="31159" xr:uid="{00000000-0005-0000-0000-0000E6780000}"/>
    <cellStyle name="Input 4 2 3 3 10" xfId="31160" xr:uid="{00000000-0005-0000-0000-0000E7780000}"/>
    <cellStyle name="Input 4 2 3 3 2" xfId="31161" xr:uid="{00000000-0005-0000-0000-0000E8780000}"/>
    <cellStyle name="Input 4 2 3 3 2 10" xfId="31162" xr:uid="{00000000-0005-0000-0000-0000E9780000}"/>
    <cellStyle name="Input 4 2 3 3 2 2" xfId="31163" xr:uid="{00000000-0005-0000-0000-0000EA780000}"/>
    <cellStyle name="Input 4 2 3 3 2 2 2" xfId="31164" xr:uid="{00000000-0005-0000-0000-0000EB780000}"/>
    <cellStyle name="Input 4 2 3 3 2 2 2 2" xfId="31165" xr:uid="{00000000-0005-0000-0000-0000EC780000}"/>
    <cellStyle name="Input 4 2 3 3 2 2 2 2 2" xfId="31166" xr:uid="{00000000-0005-0000-0000-0000ED780000}"/>
    <cellStyle name="Input 4 2 3 3 2 2 2 2 2 2" xfId="31167" xr:uid="{00000000-0005-0000-0000-0000EE780000}"/>
    <cellStyle name="Input 4 2 3 3 2 2 2 2 3" xfId="31168" xr:uid="{00000000-0005-0000-0000-0000EF780000}"/>
    <cellStyle name="Input 4 2 3 3 2 2 2 2 3 2" xfId="31169" xr:uid="{00000000-0005-0000-0000-0000F0780000}"/>
    <cellStyle name="Input 4 2 3 3 2 2 2 2 4" xfId="31170" xr:uid="{00000000-0005-0000-0000-0000F1780000}"/>
    <cellStyle name="Input 4 2 3 3 2 2 2 2 5" xfId="31171" xr:uid="{00000000-0005-0000-0000-0000F2780000}"/>
    <cellStyle name="Input 4 2 3 3 2 2 2 2 6" xfId="31172" xr:uid="{00000000-0005-0000-0000-0000F3780000}"/>
    <cellStyle name="Input 4 2 3 3 2 2 2 3" xfId="31173" xr:uid="{00000000-0005-0000-0000-0000F4780000}"/>
    <cellStyle name="Input 4 2 3 3 2 2 2 3 2" xfId="31174" xr:uid="{00000000-0005-0000-0000-0000F5780000}"/>
    <cellStyle name="Input 4 2 3 3 2 2 2 4" xfId="31175" xr:uid="{00000000-0005-0000-0000-0000F6780000}"/>
    <cellStyle name="Input 4 2 3 3 2 2 2 4 2" xfId="31176" xr:uid="{00000000-0005-0000-0000-0000F7780000}"/>
    <cellStyle name="Input 4 2 3 3 2 2 2 5" xfId="31177" xr:uid="{00000000-0005-0000-0000-0000F8780000}"/>
    <cellStyle name="Input 4 2 3 3 2 2 2 6" xfId="31178" xr:uid="{00000000-0005-0000-0000-0000F9780000}"/>
    <cellStyle name="Input 4 2 3 3 2 2 2 7" xfId="31179" xr:uid="{00000000-0005-0000-0000-0000FA780000}"/>
    <cellStyle name="Input 4 2 3 3 2 2 3" xfId="31180" xr:uid="{00000000-0005-0000-0000-0000FB780000}"/>
    <cellStyle name="Input 4 2 3 3 2 2 3 2" xfId="31181" xr:uid="{00000000-0005-0000-0000-0000FC780000}"/>
    <cellStyle name="Input 4 2 3 3 2 2 3 2 2" xfId="31182" xr:uid="{00000000-0005-0000-0000-0000FD780000}"/>
    <cellStyle name="Input 4 2 3 3 2 2 3 3" xfId="31183" xr:uid="{00000000-0005-0000-0000-0000FE780000}"/>
    <cellStyle name="Input 4 2 3 3 2 2 3 3 2" xfId="31184" xr:uid="{00000000-0005-0000-0000-0000FF780000}"/>
    <cellStyle name="Input 4 2 3 3 2 2 3 4" xfId="31185" xr:uid="{00000000-0005-0000-0000-000000790000}"/>
    <cellStyle name="Input 4 2 3 3 2 2 3 5" xfId="31186" xr:uid="{00000000-0005-0000-0000-000001790000}"/>
    <cellStyle name="Input 4 2 3 3 2 2 3 6" xfId="31187" xr:uid="{00000000-0005-0000-0000-000002790000}"/>
    <cellStyle name="Input 4 2 3 3 2 2 4" xfId="31188" xr:uid="{00000000-0005-0000-0000-000003790000}"/>
    <cellStyle name="Input 4 2 3 3 2 2 4 2" xfId="31189" xr:uid="{00000000-0005-0000-0000-000004790000}"/>
    <cellStyle name="Input 4 2 3 3 2 2 5" xfId="31190" xr:uid="{00000000-0005-0000-0000-000005790000}"/>
    <cellStyle name="Input 4 2 3 3 2 2 5 2" xfId="31191" xr:uid="{00000000-0005-0000-0000-000006790000}"/>
    <cellStyle name="Input 4 2 3 3 2 2 6" xfId="31192" xr:uid="{00000000-0005-0000-0000-000007790000}"/>
    <cellStyle name="Input 4 2 3 3 2 2 7" xfId="31193" xr:uid="{00000000-0005-0000-0000-000008790000}"/>
    <cellStyle name="Input 4 2 3 3 2 2 8" xfId="31194" xr:uid="{00000000-0005-0000-0000-000009790000}"/>
    <cellStyle name="Input 4 2 3 3 2 3" xfId="31195" xr:uid="{00000000-0005-0000-0000-00000A790000}"/>
    <cellStyle name="Input 4 2 3 3 2 3 2" xfId="31196" xr:uid="{00000000-0005-0000-0000-00000B790000}"/>
    <cellStyle name="Input 4 2 3 3 2 3 2 2" xfId="31197" xr:uid="{00000000-0005-0000-0000-00000C790000}"/>
    <cellStyle name="Input 4 2 3 3 2 3 2 2 2" xfId="31198" xr:uid="{00000000-0005-0000-0000-00000D790000}"/>
    <cellStyle name="Input 4 2 3 3 2 3 2 2 2 2" xfId="31199" xr:uid="{00000000-0005-0000-0000-00000E790000}"/>
    <cellStyle name="Input 4 2 3 3 2 3 2 2 3" xfId="31200" xr:uid="{00000000-0005-0000-0000-00000F790000}"/>
    <cellStyle name="Input 4 2 3 3 2 3 2 2 3 2" xfId="31201" xr:uid="{00000000-0005-0000-0000-000010790000}"/>
    <cellStyle name="Input 4 2 3 3 2 3 2 2 4" xfId="31202" xr:uid="{00000000-0005-0000-0000-000011790000}"/>
    <cellStyle name="Input 4 2 3 3 2 3 2 2 5" xfId="31203" xr:uid="{00000000-0005-0000-0000-000012790000}"/>
    <cellStyle name="Input 4 2 3 3 2 3 2 2 6" xfId="31204" xr:uid="{00000000-0005-0000-0000-000013790000}"/>
    <cellStyle name="Input 4 2 3 3 2 3 2 3" xfId="31205" xr:uid="{00000000-0005-0000-0000-000014790000}"/>
    <cellStyle name="Input 4 2 3 3 2 3 2 3 2" xfId="31206" xr:uid="{00000000-0005-0000-0000-000015790000}"/>
    <cellStyle name="Input 4 2 3 3 2 3 2 4" xfId="31207" xr:uid="{00000000-0005-0000-0000-000016790000}"/>
    <cellStyle name="Input 4 2 3 3 2 3 2 4 2" xfId="31208" xr:uid="{00000000-0005-0000-0000-000017790000}"/>
    <cellStyle name="Input 4 2 3 3 2 3 2 5" xfId="31209" xr:uid="{00000000-0005-0000-0000-000018790000}"/>
    <cellStyle name="Input 4 2 3 3 2 3 2 6" xfId="31210" xr:uid="{00000000-0005-0000-0000-000019790000}"/>
    <cellStyle name="Input 4 2 3 3 2 3 2 7" xfId="31211" xr:uid="{00000000-0005-0000-0000-00001A790000}"/>
    <cellStyle name="Input 4 2 3 3 2 3 3" xfId="31212" xr:uid="{00000000-0005-0000-0000-00001B790000}"/>
    <cellStyle name="Input 4 2 3 3 2 3 3 2" xfId="31213" xr:uid="{00000000-0005-0000-0000-00001C790000}"/>
    <cellStyle name="Input 4 2 3 3 2 3 3 2 2" xfId="31214" xr:uid="{00000000-0005-0000-0000-00001D790000}"/>
    <cellStyle name="Input 4 2 3 3 2 3 3 3" xfId="31215" xr:uid="{00000000-0005-0000-0000-00001E790000}"/>
    <cellStyle name="Input 4 2 3 3 2 3 3 3 2" xfId="31216" xr:uid="{00000000-0005-0000-0000-00001F790000}"/>
    <cellStyle name="Input 4 2 3 3 2 3 3 4" xfId="31217" xr:uid="{00000000-0005-0000-0000-000020790000}"/>
    <cellStyle name="Input 4 2 3 3 2 3 3 5" xfId="31218" xr:uid="{00000000-0005-0000-0000-000021790000}"/>
    <cellStyle name="Input 4 2 3 3 2 3 3 6" xfId="31219" xr:uid="{00000000-0005-0000-0000-000022790000}"/>
    <cellStyle name="Input 4 2 3 3 2 3 4" xfId="31220" xr:uid="{00000000-0005-0000-0000-000023790000}"/>
    <cellStyle name="Input 4 2 3 3 2 3 4 2" xfId="31221" xr:uid="{00000000-0005-0000-0000-000024790000}"/>
    <cellStyle name="Input 4 2 3 3 2 3 5" xfId="31222" xr:uid="{00000000-0005-0000-0000-000025790000}"/>
    <cellStyle name="Input 4 2 3 3 2 3 5 2" xfId="31223" xr:uid="{00000000-0005-0000-0000-000026790000}"/>
    <cellStyle name="Input 4 2 3 3 2 3 6" xfId="31224" xr:uid="{00000000-0005-0000-0000-000027790000}"/>
    <cellStyle name="Input 4 2 3 3 2 3 7" xfId="31225" xr:uid="{00000000-0005-0000-0000-000028790000}"/>
    <cellStyle name="Input 4 2 3 3 2 3 8" xfId="31226" xr:uid="{00000000-0005-0000-0000-000029790000}"/>
    <cellStyle name="Input 4 2 3 3 2 4" xfId="31227" xr:uid="{00000000-0005-0000-0000-00002A790000}"/>
    <cellStyle name="Input 4 2 3 3 2 4 2" xfId="31228" xr:uid="{00000000-0005-0000-0000-00002B790000}"/>
    <cellStyle name="Input 4 2 3 3 2 4 2 2" xfId="31229" xr:uid="{00000000-0005-0000-0000-00002C790000}"/>
    <cellStyle name="Input 4 2 3 3 2 4 2 2 2" xfId="31230" xr:uid="{00000000-0005-0000-0000-00002D790000}"/>
    <cellStyle name="Input 4 2 3 3 2 4 2 3" xfId="31231" xr:uid="{00000000-0005-0000-0000-00002E790000}"/>
    <cellStyle name="Input 4 2 3 3 2 4 2 3 2" xfId="31232" xr:uid="{00000000-0005-0000-0000-00002F790000}"/>
    <cellStyle name="Input 4 2 3 3 2 4 2 4" xfId="31233" xr:uid="{00000000-0005-0000-0000-000030790000}"/>
    <cellStyle name="Input 4 2 3 3 2 4 2 5" xfId="31234" xr:uid="{00000000-0005-0000-0000-000031790000}"/>
    <cellStyle name="Input 4 2 3 3 2 4 2 6" xfId="31235" xr:uid="{00000000-0005-0000-0000-000032790000}"/>
    <cellStyle name="Input 4 2 3 3 2 4 3" xfId="31236" xr:uid="{00000000-0005-0000-0000-000033790000}"/>
    <cellStyle name="Input 4 2 3 3 2 4 3 2" xfId="31237" xr:uid="{00000000-0005-0000-0000-000034790000}"/>
    <cellStyle name="Input 4 2 3 3 2 4 4" xfId="31238" xr:uid="{00000000-0005-0000-0000-000035790000}"/>
    <cellStyle name="Input 4 2 3 3 2 4 4 2" xfId="31239" xr:uid="{00000000-0005-0000-0000-000036790000}"/>
    <cellStyle name="Input 4 2 3 3 2 4 5" xfId="31240" xr:uid="{00000000-0005-0000-0000-000037790000}"/>
    <cellStyle name="Input 4 2 3 3 2 4 6" xfId="31241" xr:uid="{00000000-0005-0000-0000-000038790000}"/>
    <cellStyle name="Input 4 2 3 3 2 4 7" xfId="31242" xr:uid="{00000000-0005-0000-0000-000039790000}"/>
    <cellStyle name="Input 4 2 3 3 2 5" xfId="31243" xr:uid="{00000000-0005-0000-0000-00003A790000}"/>
    <cellStyle name="Input 4 2 3 3 2 5 2" xfId="31244" xr:uid="{00000000-0005-0000-0000-00003B790000}"/>
    <cellStyle name="Input 4 2 3 3 2 5 2 2" xfId="31245" xr:uid="{00000000-0005-0000-0000-00003C790000}"/>
    <cellStyle name="Input 4 2 3 3 2 5 3" xfId="31246" xr:uid="{00000000-0005-0000-0000-00003D790000}"/>
    <cellStyle name="Input 4 2 3 3 2 5 3 2" xfId="31247" xr:uid="{00000000-0005-0000-0000-00003E790000}"/>
    <cellStyle name="Input 4 2 3 3 2 5 4" xfId="31248" xr:uid="{00000000-0005-0000-0000-00003F790000}"/>
    <cellStyle name="Input 4 2 3 3 2 5 5" xfId="31249" xr:uid="{00000000-0005-0000-0000-000040790000}"/>
    <cellStyle name="Input 4 2 3 3 2 5 6" xfId="31250" xr:uid="{00000000-0005-0000-0000-000041790000}"/>
    <cellStyle name="Input 4 2 3 3 2 6" xfId="31251" xr:uid="{00000000-0005-0000-0000-000042790000}"/>
    <cellStyle name="Input 4 2 3 3 2 6 2" xfId="31252" xr:uid="{00000000-0005-0000-0000-000043790000}"/>
    <cellStyle name="Input 4 2 3 3 2 7" xfId="31253" xr:uid="{00000000-0005-0000-0000-000044790000}"/>
    <cellStyle name="Input 4 2 3 3 2 7 2" xfId="31254" xr:uid="{00000000-0005-0000-0000-000045790000}"/>
    <cellStyle name="Input 4 2 3 3 2 8" xfId="31255" xr:uid="{00000000-0005-0000-0000-000046790000}"/>
    <cellStyle name="Input 4 2 3 3 2 9" xfId="31256" xr:uid="{00000000-0005-0000-0000-000047790000}"/>
    <cellStyle name="Input 4 2 3 3 3" xfId="31257" xr:uid="{00000000-0005-0000-0000-000048790000}"/>
    <cellStyle name="Input 4 2 3 3 3 2" xfId="31258" xr:uid="{00000000-0005-0000-0000-000049790000}"/>
    <cellStyle name="Input 4 2 3 3 3 2 2" xfId="31259" xr:uid="{00000000-0005-0000-0000-00004A790000}"/>
    <cellStyle name="Input 4 2 3 3 3 2 2 2" xfId="31260" xr:uid="{00000000-0005-0000-0000-00004B790000}"/>
    <cellStyle name="Input 4 2 3 3 3 2 2 2 2" xfId="31261" xr:uid="{00000000-0005-0000-0000-00004C790000}"/>
    <cellStyle name="Input 4 2 3 3 3 2 2 3" xfId="31262" xr:uid="{00000000-0005-0000-0000-00004D790000}"/>
    <cellStyle name="Input 4 2 3 3 3 2 2 3 2" xfId="31263" xr:uid="{00000000-0005-0000-0000-00004E790000}"/>
    <cellStyle name="Input 4 2 3 3 3 2 2 4" xfId="31264" xr:uid="{00000000-0005-0000-0000-00004F790000}"/>
    <cellStyle name="Input 4 2 3 3 3 2 2 5" xfId="31265" xr:uid="{00000000-0005-0000-0000-000050790000}"/>
    <cellStyle name="Input 4 2 3 3 3 2 2 6" xfId="31266" xr:uid="{00000000-0005-0000-0000-000051790000}"/>
    <cellStyle name="Input 4 2 3 3 3 2 3" xfId="31267" xr:uid="{00000000-0005-0000-0000-000052790000}"/>
    <cellStyle name="Input 4 2 3 3 3 2 3 2" xfId="31268" xr:uid="{00000000-0005-0000-0000-000053790000}"/>
    <cellStyle name="Input 4 2 3 3 3 2 4" xfId="31269" xr:uid="{00000000-0005-0000-0000-000054790000}"/>
    <cellStyle name="Input 4 2 3 3 3 2 4 2" xfId="31270" xr:uid="{00000000-0005-0000-0000-000055790000}"/>
    <cellStyle name="Input 4 2 3 3 3 2 5" xfId="31271" xr:uid="{00000000-0005-0000-0000-000056790000}"/>
    <cellStyle name="Input 4 2 3 3 3 2 6" xfId="31272" xr:uid="{00000000-0005-0000-0000-000057790000}"/>
    <cellStyle name="Input 4 2 3 3 3 2 7" xfId="31273" xr:uid="{00000000-0005-0000-0000-000058790000}"/>
    <cellStyle name="Input 4 2 3 3 3 3" xfId="31274" xr:uid="{00000000-0005-0000-0000-000059790000}"/>
    <cellStyle name="Input 4 2 3 3 3 3 2" xfId="31275" xr:uid="{00000000-0005-0000-0000-00005A790000}"/>
    <cellStyle name="Input 4 2 3 3 3 3 2 2" xfId="31276" xr:uid="{00000000-0005-0000-0000-00005B790000}"/>
    <cellStyle name="Input 4 2 3 3 3 3 3" xfId="31277" xr:uid="{00000000-0005-0000-0000-00005C790000}"/>
    <cellStyle name="Input 4 2 3 3 3 3 3 2" xfId="31278" xr:uid="{00000000-0005-0000-0000-00005D790000}"/>
    <cellStyle name="Input 4 2 3 3 3 3 4" xfId="31279" xr:uid="{00000000-0005-0000-0000-00005E790000}"/>
    <cellStyle name="Input 4 2 3 3 3 3 5" xfId="31280" xr:uid="{00000000-0005-0000-0000-00005F790000}"/>
    <cellStyle name="Input 4 2 3 3 3 3 6" xfId="31281" xr:uid="{00000000-0005-0000-0000-000060790000}"/>
    <cellStyle name="Input 4 2 3 3 3 4" xfId="31282" xr:uid="{00000000-0005-0000-0000-000061790000}"/>
    <cellStyle name="Input 4 2 3 3 3 4 2" xfId="31283" xr:uid="{00000000-0005-0000-0000-000062790000}"/>
    <cellStyle name="Input 4 2 3 3 3 5" xfId="31284" xr:uid="{00000000-0005-0000-0000-000063790000}"/>
    <cellStyle name="Input 4 2 3 3 3 5 2" xfId="31285" xr:uid="{00000000-0005-0000-0000-000064790000}"/>
    <cellStyle name="Input 4 2 3 3 3 6" xfId="31286" xr:uid="{00000000-0005-0000-0000-000065790000}"/>
    <cellStyle name="Input 4 2 3 3 3 7" xfId="31287" xr:uid="{00000000-0005-0000-0000-000066790000}"/>
    <cellStyle name="Input 4 2 3 3 3 8" xfId="31288" xr:uid="{00000000-0005-0000-0000-000067790000}"/>
    <cellStyle name="Input 4 2 3 3 4" xfId="31289" xr:uid="{00000000-0005-0000-0000-000068790000}"/>
    <cellStyle name="Input 4 2 3 3 4 2" xfId="31290" xr:uid="{00000000-0005-0000-0000-000069790000}"/>
    <cellStyle name="Input 4 2 3 3 4 2 2" xfId="31291" xr:uid="{00000000-0005-0000-0000-00006A790000}"/>
    <cellStyle name="Input 4 2 3 3 4 2 2 2" xfId="31292" xr:uid="{00000000-0005-0000-0000-00006B790000}"/>
    <cellStyle name="Input 4 2 3 3 4 2 3" xfId="31293" xr:uid="{00000000-0005-0000-0000-00006C790000}"/>
    <cellStyle name="Input 4 2 3 3 4 2 3 2" xfId="31294" xr:uid="{00000000-0005-0000-0000-00006D790000}"/>
    <cellStyle name="Input 4 2 3 3 4 2 4" xfId="31295" xr:uid="{00000000-0005-0000-0000-00006E790000}"/>
    <cellStyle name="Input 4 2 3 3 4 2 5" xfId="31296" xr:uid="{00000000-0005-0000-0000-00006F790000}"/>
    <cellStyle name="Input 4 2 3 3 4 2 6" xfId="31297" xr:uid="{00000000-0005-0000-0000-000070790000}"/>
    <cellStyle name="Input 4 2 3 3 4 3" xfId="31298" xr:uid="{00000000-0005-0000-0000-000071790000}"/>
    <cellStyle name="Input 4 2 3 3 4 3 2" xfId="31299" xr:uid="{00000000-0005-0000-0000-000072790000}"/>
    <cellStyle name="Input 4 2 3 3 4 4" xfId="31300" xr:uid="{00000000-0005-0000-0000-000073790000}"/>
    <cellStyle name="Input 4 2 3 3 4 4 2" xfId="31301" xr:uid="{00000000-0005-0000-0000-000074790000}"/>
    <cellStyle name="Input 4 2 3 3 4 5" xfId="31302" xr:uid="{00000000-0005-0000-0000-000075790000}"/>
    <cellStyle name="Input 4 2 3 3 4 6" xfId="31303" xr:uid="{00000000-0005-0000-0000-000076790000}"/>
    <cellStyle name="Input 4 2 3 3 4 7" xfId="31304" xr:uid="{00000000-0005-0000-0000-000077790000}"/>
    <cellStyle name="Input 4 2 3 3 5" xfId="31305" xr:uid="{00000000-0005-0000-0000-000078790000}"/>
    <cellStyle name="Input 4 2 3 3 5 2" xfId="31306" xr:uid="{00000000-0005-0000-0000-000079790000}"/>
    <cellStyle name="Input 4 2 3 3 5 2 2" xfId="31307" xr:uid="{00000000-0005-0000-0000-00007A790000}"/>
    <cellStyle name="Input 4 2 3 3 5 3" xfId="31308" xr:uid="{00000000-0005-0000-0000-00007B790000}"/>
    <cellStyle name="Input 4 2 3 3 5 3 2" xfId="31309" xr:uid="{00000000-0005-0000-0000-00007C790000}"/>
    <cellStyle name="Input 4 2 3 3 5 4" xfId="31310" xr:uid="{00000000-0005-0000-0000-00007D790000}"/>
    <cellStyle name="Input 4 2 3 3 5 5" xfId="31311" xr:uid="{00000000-0005-0000-0000-00007E790000}"/>
    <cellStyle name="Input 4 2 3 3 5 6" xfId="31312" xr:uid="{00000000-0005-0000-0000-00007F790000}"/>
    <cellStyle name="Input 4 2 3 3 6" xfId="31313" xr:uid="{00000000-0005-0000-0000-000080790000}"/>
    <cellStyle name="Input 4 2 3 3 6 2" xfId="31314" xr:uid="{00000000-0005-0000-0000-000081790000}"/>
    <cellStyle name="Input 4 2 3 3 7" xfId="31315" xr:uid="{00000000-0005-0000-0000-000082790000}"/>
    <cellStyle name="Input 4 2 3 3 7 2" xfId="31316" xr:uid="{00000000-0005-0000-0000-000083790000}"/>
    <cellStyle name="Input 4 2 3 3 8" xfId="31317" xr:uid="{00000000-0005-0000-0000-000084790000}"/>
    <cellStyle name="Input 4 2 3 3 9" xfId="31318" xr:uid="{00000000-0005-0000-0000-000085790000}"/>
    <cellStyle name="Input 4 2 3 4" xfId="31319" xr:uid="{00000000-0005-0000-0000-000086790000}"/>
    <cellStyle name="Input 4 2 3 4 10" xfId="31320" xr:uid="{00000000-0005-0000-0000-000087790000}"/>
    <cellStyle name="Input 4 2 3 4 2" xfId="31321" xr:uid="{00000000-0005-0000-0000-000088790000}"/>
    <cellStyle name="Input 4 2 3 4 2 2" xfId="31322" xr:uid="{00000000-0005-0000-0000-000089790000}"/>
    <cellStyle name="Input 4 2 3 4 2 2 2" xfId="31323" xr:uid="{00000000-0005-0000-0000-00008A790000}"/>
    <cellStyle name="Input 4 2 3 4 2 2 2 2" xfId="31324" xr:uid="{00000000-0005-0000-0000-00008B790000}"/>
    <cellStyle name="Input 4 2 3 4 2 2 2 2 2" xfId="31325" xr:uid="{00000000-0005-0000-0000-00008C790000}"/>
    <cellStyle name="Input 4 2 3 4 2 2 2 3" xfId="31326" xr:uid="{00000000-0005-0000-0000-00008D790000}"/>
    <cellStyle name="Input 4 2 3 4 2 2 2 3 2" xfId="31327" xr:uid="{00000000-0005-0000-0000-00008E790000}"/>
    <cellStyle name="Input 4 2 3 4 2 2 2 4" xfId="31328" xr:uid="{00000000-0005-0000-0000-00008F790000}"/>
    <cellStyle name="Input 4 2 3 4 2 2 2 5" xfId="31329" xr:uid="{00000000-0005-0000-0000-000090790000}"/>
    <cellStyle name="Input 4 2 3 4 2 2 2 6" xfId="31330" xr:uid="{00000000-0005-0000-0000-000091790000}"/>
    <cellStyle name="Input 4 2 3 4 2 2 3" xfId="31331" xr:uid="{00000000-0005-0000-0000-000092790000}"/>
    <cellStyle name="Input 4 2 3 4 2 2 3 2" xfId="31332" xr:uid="{00000000-0005-0000-0000-000093790000}"/>
    <cellStyle name="Input 4 2 3 4 2 2 4" xfId="31333" xr:uid="{00000000-0005-0000-0000-000094790000}"/>
    <cellStyle name="Input 4 2 3 4 2 2 4 2" xfId="31334" xr:uid="{00000000-0005-0000-0000-000095790000}"/>
    <cellStyle name="Input 4 2 3 4 2 2 5" xfId="31335" xr:uid="{00000000-0005-0000-0000-000096790000}"/>
    <cellStyle name="Input 4 2 3 4 2 2 6" xfId="31336" xr:uid="{00000000-0005-0000-0000-000097790000}"/>
    <cellStyle name="Input 4 2 3 4 2 2 7" xfId="31337" xr:uid="{00000000-0005-0000-0000-000098790000}"/>
    <cellStyle name="Input 4 2 3 4 2 3" xfId="31338" xr:uid="{00000000-0005-0000-0000-000099790000}"/>
    <cellStyle name="Input 4 2 3 4 2 3 2" xfId="31339" xr:uid="{00000000-0005-0000-0000-00009A790000}"/>
    <cellStyle name="Input 4 2 3 4 2 3 2 2" xfId="31340" xr:uid="{00000000-0005-0000-0000-00009B790000}"/>
    <cellStyle name="Input 4 2 3 4 2 3 3" xfId="31341" xr:uid="{00000000-0005-0000-0000-00009C790000}"/>
    <cellStyle name="Input 4 2 3 4 2 3 3 2" xfId="31342" xr:uid="{00000000-0005-0000-0000-00009D790000}"/>
    <cellStyle name="Input 4 2 3 4 2 3 4" xfId="31343" xr:uid="{00000000-0005-0000-0000-00009E790000}"/>
    <cellStyle name="Input 4 2 3 4 2 3 5" xfId="31344" xr:uid="{00000000-0005-0000-0000-00009F790000}"/>
    <cellStyle name="Input 4 2 3 4 2 3 6" xfId="31345" xr:uid="{00000000-0005-0000-0000-0000A0790000}"/>
    <cellStyle name="Input 4 2 3 4 2 4" xfId="31346" xr:uid="{00000000-0005-0000-0000-0000A1790000}"/>
    <cellStyle name="Input 4 2 3 4 2 4 2" xfId="31347" xr:uid="{00000000-0005-0000-0000-0000A2790000}"/>
    <cellStyle name="Input 4 2 3 4 2 5" xfId="31348" xr:uid="{00000000-0005-0000-0000-0000A3790000}"/>
    <cellStyle name="Input 4 2 3 4 2 5 2" xfId="31349" xr:uid="{00000000-0005-0000-0000-0000A4790000}"/>
    <cellStyle name="Input 4 2 3 4 2 6" xfId="31350" xr:uid="{00000000-0005-0000-0000-0000A5790000}"/>
    <cellStyle name="Input 4 2 3 4 2 7" xfId="31351" xr:uid="{00000000-0005-0000-0000-0000A6790000}"/>
    <cellStyle name="Input 4 2 3 4 2 8" xfId="31352" xr:uid="{00000000-0005-0000-0000-0000A7790000}"/>
    <cellStyle name="Input 4 2 3 4 3" xfId="31353" xr:uid="{00000000-0005-0000-0000-0000A8790000}"/>
    <cellStyle name="Input 4 2 3 4 3 2" xfId="31354" xr:uid="{00000000-0005-0000-0000-0000A9790000}"/>
    <cellStyle name="Input 4 2 3 4 3 2 2" xfId="31355" xr:uid="{00000000-0005-0000-0000-0000AA790000}"/>
    <cellStyle name="Input 4 2 3 4 3 2 2 2" xfId="31356" xr:uid="{00000000-0005-0000-0000-0000AB790000}"/>
    <cellStyle name="Input 4 2 3 4 3 2 2 2 2" xfId="31357" xr:uid="{00000000-0005-0000-0000-0000AC790000}"/>
    <cellStyle name="Input 4 2 3 4 3 2 2 3" xfId="31358" xr:uid="{00000000-0005-0000-0000-0000AD790000}"/>
    <cellStyle name="Input 4 2 3 4 3 2 2 3 2" xfId="31359" xr:uid="{00000000-0005-0000-0000-0000AE790000}"/>
    <cellStyle name="Input 4 2 3 4 3 2 2 4" xfId="31360" xr:uid="{00000000-0005-0000-0000-0000AF790000}"/>
    <cellStyle name="Input 4 2 3 4 3 2 2 5" xfId="31361" xr:uid="{00000000-0005-0000-0000-0000B0790000}"/>
    <cellStyle name="Input 4 2 3 4 3 2 2 6" xfId="31362" xr:uid="{00000000-0005-0000-0000-0000B1790000}"/>
    <cellStyle name="Input 4 2 3 4 3 2 3" xfId="31363" xr:uid="{00000000-0005-0000-0000-0000B2790000}"/>
    <cellStyle name="Input 4 2 3 4 3 2 3 2" xfId="31364" xr:uid="{00000000-0005-0000-0000-0000B3790000}"/>
    <cellStyle name="Input 4 2 3 4 3 2 4" xfId="31365" xr:uid="{00000000-0005-0000-0000-0000B4790000}"/>
    <cellStyle name="Input 4 2 3 4 3 2 4 2" xfId="31366" xr:uid="{00000000-0005-0000-0000-0000B5790000}"/>
    <cellStyle name="Input 4 2 3 4 3 2 5" xfId="31367" xr:uid="{00000000-0005-0000-0000-0000B6790000}"/>
    <cellStyle name="Input 4 2 3 4 3 2 6" xfId="31368" xr:uid="{00000000-0005-0000-0000-0000B7790000}"/>
    <cellStyle name="Input 4 2 3 4 3 2 7" xfId="31369" xr:uid="{00000000-0005-0000-0000-0000B8790000}"/>
    <cellStyle name="Input 4 2 3 4 3 3" xfId="31370" xr:uid="{00000000-0005-0000-0000-0000B9790000}"/>
    <cellStyle name="Input 4 2 3 4 3 3 2" xfId="31371" xr:uid="{00000000-0005-0000-0000-0000BA790000}"/>
    <cellStyle name="Input 4 2 3 4 3 3 2 2" xfId="31372" xr:uid="{00000000-0005-0000-0000-0000BB790000}"/>
    <cellStyle name="Input 4 2 3 4 3 3 3" xfId="31373" xr:uid="{00000000-0005-0000-0000-0000BC790000}"/>
    <cellStyle name="Input 4 2 3 4 3 3 3 2" xfId="31374" xr:uid="{00000000-0005-0000-0000-0000BD790000}"/>
    <cellStyle name="Input 4 2 3 4 3 3 4" xfId="31375" xr:uid="{00000000-0005-0000-0000-0000BE790000}"/>
    <cellStyle name="Input 4 2 3 4 3 3 5" xfId="31376" xr:uid="{00000000-0005-0000-0000-0000BF790000}"/>
    <cellStyle name="Input 4 2 3 4 3 3 6" xfId="31377" xr:uid="{00000000-0005-0000-0000-0000C0790000}"/>
    <cellStyle name="Input 4 2 3 4 3 4" xfId="31378" xr:uid="{00000000-0005-0000-0000-0000C1790000}"/>
    <cellStyle name="Input 4 2 3 4 3 4 2" xfId="31379" xr:uid="{00000000-0005-0000-0000-0000C2790000}"/>
    <cellStyle name="Input 4 2 3 4 3 5" xfId="31380" xr:uid="{00000000-0005-0000-0000-0000C3790000}"/>
    <cellStyle name="Input 4 2 3 4 3 5 2" xfId="31381" xr:uid="{00000000-0005-0000-0000-0000C4790000}"/>
    <cellStyle name="Input 4 2 3 4 3 6" xfId="31382" xr:uid="{00000000-0005-0000-0000-0000C5790000}"/>
    <cellStyle name="Input 4 2 3 4 3 7" xfId="31383" xr:uid="{00000000-0005-0000-0000-0000C6790000}"/>
    <cellStyle name="Input 4 2 3 4 3 8" xfId="31384" xr:uid="{00000000-0005-0000-0000-0000C7790000}"/>
    <cellStyle name="Input 4 2 3 4 4" xfId="31385" xr:uid="{00000000-0005-0000-0000-0000C8790000}"/>
    <cellStyle name="Input 4 2 3 4 4 2" xfId="31386" xr:uid="{00000000-0005-0000-0000-0000C9790000}"/>
    <cellStyle name="Input 4 2 3 4 4 2 2" xfId="31387" xr:uid="{00000000-0005-0000-0000-0000CA790000}"/>
    <cellStyle name="Input 4 2 3 4 4 2 2 2" xfId="31388" xr:uid="{00000000-0005-0000-0000-0000CB790000}"/>
    <cellStyle name="Input 4 2 3 4 4 2 3" xfId="31389" xr:uid="{00000000-0005-0000-0000-0000CC790000}"/>
    <cellStyle name="Input 4 2 3 4 4 2 3 2" xfId="31390" xr:uid="{00000000-0005-0000-0000-0000CD790000}"/>
    <cellStyle name="Input 4 2 3 4 4 2 4" xfId="31391" xr:uid="{00000000-0005-0000-0000-0000CE790000}"/>
    <cellStyle name="Input 4 2 3 4 4 2 5" xfId="31392" xr:uid="{00000000-0005-0000-0000-0000CF790000}"/>
    <cellStyle name="Input 4 2 3 4 4 2 6" xfId="31393" xr:uid="{00000000-0005-0000-0000-0000D0790000}"/>
    <cellStyle name="Input 4 2 3 4 4 3" xfId="31394" xr:uid="{00000000-0005-0000-0000-0000D1790000}"/>
    <cellStyle name="Input 4 2 3 4 4 3 2" xfId="31395" xr:uid="{00000000-0005-0000-0000-0000D2790000}"/>
    <cellStyle name="Input 4 2 3 4 4 4" xfId="31396" xr:uid="{00000000-0005-0000-0000-0000D3790000}"/>
    <cellStyle name="Input 4 2 3 4 4 4 2" xfId="31397" xr:uid="{00000000-0005-0000-0000-0000D4790000}"/>
    <cellStyle name="Input 4 2 3 4 4 5" xfId="31398" xr:uid="{00000000-0005-0000-0000-0000D5790000}"/>
    <cellStyle name="Input 4 2 3 4 4 6" xfId="31399" xr:uid="{00000000-0005-0000-0000-0000D6790000}"/>
    <cellStyle name="Input 4 2 3 4 4 7" xfId="31400" xr:uid="{00000000-0005-0000-0000-0000D7790000}"/>
    <cellStyle name="Input 4 2 3 4 5" xfId="31401" xr:uid="{00000000-0005-0000-0000-0000D8790000}"/>
    <cellStyle name="Input 4 2 3 4 5 2" xfId="31402" xr:uid="{00000000-0005-0000-0000-0000D9790000}"/>
    <cellStyle name="Input 4 2 3 4 5 2 2" xfId="31403" xr:uid="{00000000-0005-0000-0000-0000DA790000}"/>
    <cellStyle name="Input 4 2 3 4 5 3" xfId="31404" xr:uid="{00000000-0005-0000-0000-0000DB790000}"/>
    <cellStyle name="Input 4 2 3 4 5 3 2" xfId="31405" xr:uid="{00000000-0005-0000-0000-0000DC790000}"/>
    <cellStyle name="Input 4 2 3 4 5 4" xfId="31406" xr:uid="{00000000-0005-0000-0000-0000DD790000}"/>
    <cellStyle name="Input 4 2 3 4 5 5" xfId="31407" xr:uid="{00000000-0005-0000-0000-0000DE790000}"/>
    <cellStyle name="Input 4 2 3 4 5 6" xfId="31408" xr:uid="{00000000-0005-0000-0000-0000DF790000}"/>
    <cellStyle name="Input 4 2 3 4 6" xfId="31409" xr:uid="{00000000-0005-0000-0000-0000E0790000}"/>
    <cellStyle name="Input 4 2 3 4 6 2" xfId="31410" xr:uid="{00000000-0005-0000-0000-0000E1790000}"/>
    <cellStyle name="Input 4 2 3 4 7" xfId="31411" xr:uid="{00000000-0005-0000-0000-0000E2790000}"/>
    <cellStyle name="Input 4 2 3 4 7 2" xfId="31412" xr:uid="{00000000-0005-0000-0000-0000E3790000}"/>
    <cellStyle name="Input 4 2 3 4 8" xfId="31413" xr:uid="{00000000-0005-0000-0000-0000E4790000}"/>
    <cellStyle name="Input 4 2 3 4 9" xfId="31414" xr:uid="{00000000-0005-0000-0000-0000E5790000}"/>
    <cellStyle name="Input 4 2 3 5" xfId="31415" xr:uid="{00000000-0005-0000-0000-0000E6790000}"/>
    <cellStyle name="Input 4 2 3 5 2" xfId="31416" xr:uid="{00000000-0005-0000-0000-0000E7790000}"/>
    <cellStyle name="Input 4 2 3 5 2 2" xfId="31417" xr:uid="{00000000-0005-0000-0000-0000E8790000}"/>
    <cellStyle name="Input 4 2 3 5 2 2 2" xfId="31418" xr:uid="{00000000-0005-0000-0000-0000E9790000}"/>
    <cellStyle name="Input 4 2 3 5 2 2 2 2" xfId="31419" xr:uid="{00000000-0005-0000-0000-0000EA790000}"/>
    <cellStyle name="Input 4 2 3 5 2 2 3" xfId="31420" xr:uid="{00000000-0005-0000-0000-0000EB790000}"/>
    <cellStyle name="Input 4 2 3 5 2 2 3 2" xfId="31421" xr:uid="{00000000-0005-0000-0000-0000EC790000}"/>
    <cellStyle name="Input 4 2 3 5 2 2 4" xfId="31422" xr:uid="{00000000-0005-0000-0000-0000ED790000}"/>
    <cellStyle name="Input 4 2 3 5 2 2 5" xfId="31423" xr:uid="{00000000-0005-0000-0000-0000EE790000}"/>
    <cellStyle name="Input 4 2 3 5 2 2 6" xfId="31424" xr:uid="{00000000-0005-0000-0000-0000EF790000}"/>
    <cellStyle name="Input 4 2 3 5 2 3" xfId="31425" xr:uid="{00000000-0005-0000-0000-0000F0790000}"/>
    <cellStyle name="Input 4 2 3 5 2 3 2" xfId="31426" xr:uid="{00000000-0005-0000-0000-0000F1790000}"/>
    <cellStyle name="Input 4 2 3 5 2 4" xfId="31427" xr:uid="{00000000-0005-0000-0000-0000F2790000}"/>
    <cellStyle name="Input 4 2 3 5 2 4 2" xfId="31428" xr:uid="{00000000-0005-0000-0000-0000F3790000}"/>
    <cellStyle name="Input 4 2 3 5 2 5" xfId="31429" xr:uid="{00000000-0005-0000-0000-0000F4790000}"/>
    <cellStyle name="Input 4 2 3 5 2 6" xfId="31430" xr:uid="{00000000-0005-0000-0000-0000F5790000}"/>
    <cellStyle name="Input 4 2 3 5 2 7" xfId="31431" xr:uid="{00000000-0005-0000-0000-0000F6790000}"/>
    <cellStyle name="Input 4 2 3 5 3" xfId="31432" xr:uid="{00000000-0005-0000-0000-0000F7790000}"/>
    <cellStyle name="Input 4 2 3 5 3 2" xfId="31433" xr:uid="{00000000-0005-0000-0000-0000F8790000}"/>
    <cellStyle name="Input 4 2 3 5 3 2 2" xfId="31434" xr:uid="{00000000-0005-0000-0000-0000F9790000}"/>
    <cellStyle name="Input 4 2 3 5 3 3" xfId="31435" xr:uid="{00000000-0005-0000-0000-0000FA790000}"/>
    <cellStyle name="Input 4 2 3 5 3 3 2" xfId="31436" xr:uid="{00000000-0005-0000-0000-0000FB790000}"/>
    <cellStyle name="Input 4 2 3 5 3 4" xfId="31437" xr:uid="{00000000-0005-0000-0000-0000FC790000}"/>
    <cellStyle name="Input 4 2 3 5 3 5" xfId="31438" xr:uid="{00000000-0005-0000-0000-0000FD790000}"/>
    <cellStyle name="Input 4 2 3 5 3 6" xfId="31439" xr:uid="{00000000-0005-0000-0000-0000FE790000}"/>
    <cellStyle name="Input 4 2 3 5 4" xfId="31440" xr:uid="{00000000-0005-0000-0000-0000FF790000}"/>
    <cellStyle name="Input 4 2 3 5 4 2" xfId="31441" xr:uid="{00000000-0005-0000-0000-0000007A0000}"/>
    <cellStyle name="Input 4 2 3 5 5" xfId="31442" xr:uid="{00000000-0005-0000-0000-0000017A0000}"/>
    <cellStyle name="Input 4 2 3 5 5 2" xfId="31443" xr:uid="{00000000-0005-0000-0000-0000027A0000}"/>
    <cellStyle name="Input 4 2 3 5 6" xfId="31444" xr:uid="{00000000-0005-0000-0000-0000037A0000}"/>
    <cellStyle name="Input 4 2 3 5 7" xfId="31445" xr:uid="{00000000-0005-0000-0000-0000047A0000}"/>
    <cellStyle name="Input 4 2 3 5 8" xfId="31446" xr:uid="{00000000-0005-0000-0000-0000057A0000}"/>
    <cellStyle name="Input 4 2 3 6" xfId="31447" xr:uid="{00000000-0005-0000-0000-0000067A0000}"/>
    <cellStyle name="Input 4 2 3 6 2" xfId="31448" xr:uid="{00000000-0005-0000-0000-0000077A0000}"/>
    <cellStyle name="Input 4 2 3 6 2 2" xfId="31449" xr:uid="{00000000-0005-0000-0000-0000087A0000}"/>
    <cellStyle name="Input 4 2 3 6 2 2 2" xfId="31450" xr:uid="{00000000-0005-0000-0000-0000097A0000}"/>
    <cellStyle name="Input 4 2 3 6 2 3" xfId="31451" xr:uid="{00000000-0005-0000-0000-00000A7A0000}"/>
    <cellStyle name="Input 4 2 3 6 2 3 2" xfId="31452" xr:uid="{00000000-0005-0000-0000-00000B7A0000}"/>
    <cellStyle name="Input 4 2 3 6 2 4" xfId="31453" xr:uid="{00000000-0005-0000-0000-00000C7A0000}"/>
    <cellStyle name="Input 4 2 3 6 2 5" xfId="31454" xr:uid="{00000000-0005-0000-0000-00000D7A0000}"/>
    <cellStyle name="Input 4 2 3 6 2 6" xfId="31455" xr:uid="{00000000-0005-0000-0000-00000E7A0000}"/>
    <cellStyle name="Input 4 2 3 6 3" xfId="31456" xr:uid="{00000000-0005-0000-0000-00000F7A0000}"/>
    <cellStyle name="Input 4 2 3 6 3 2" xfId="31457" xr:uid="{00000000-0005-0000-0000-0000107A0000}"/>
    <cellStyle name="Input 4 2 3 6 4" xfId="31458" xr:uid="{00000000-0005-0000-0000-0000117A0000}"/>
    <cellStyle name="Input 4 2 3 6 4 2" xfId="31459" xr:uid="{00000000-0005-0000-0000-0000127A0000}"/>
    <cellStyle name="Input 4 2 3 6 5" xfId="31460" xr:uid="{00000000-0005-0000-0000-0000137A0000}"/>
    <cellStyle name="Input 4 2 3 6 6" xfId="31461" xr:uid="{00000000-0005-0000-0000-0000147A0000}"/>
    <cellStyle name="Input 4 2 3 6 7" xfId="31462" xr:uid="{00000000-0005-0000-0000-0000157A0000}"/>
    <cellStyle name="Input 4 2 3 7" xfId="31463" xr:uid="{00000000-0005-0000-0000-0000167A0000}"/>
    <cellStyle name="Input 4 2 3 7 2" xfId="31464" xr:uid="{00000000-0005-0000-0000-0000177A0000}"/>
    <cellStyle name="Input 4 2 3 7 2 2" xfId="31465" xr:uid="{00000000-0005-0000-0000-0000187A0000}"/>
    <cellStyle name="Input 4 2 3 7 3" xfId="31466" xr:uid="{00000000-0005-0000-0000-0000197A0000}"/>
    <cellStyle name="Input 4 2 3 7 3 2" xfId="31467" xr:uid="{00000000-0005-0000-0000-00001A7A0000}"/>
    <cellStyle name="Input 4 2 3 7 4" xfId="31468" xr:uid="{00000000-0005-0000-0000-00001B7A0000}"/>
    <cellStyle name="Input 4 2 3 7 5" xfId="31469" xr:uid="{00000000-0005-0000-0000-00001C7A0000}"/>
    <cellStyle name="Input 4 2 3 7 6" xfId="31470" xr:uid="{00000000-0005-0000-0000-00001D7A0000}"/>
    <cellStyle name="Input 4 2 3 8" xfId="31471" xr:uid="{00000000-0005-0000-0000-00001E7A0000}"/>
    <cellStyle name="Input 4 2 3 8 2" xfId="31472" xr:uid="{00000000-0005-0000-0000-00001F7A0000}"/>
    <cellStyle name="Input 4 2 3 9" xfId="31473" xr:uid="{00000000-0005-0000-0000-0000207A0000}"/>
    <cellStyle name="Input 4 2 3 9 2" xfId="31474" xr:uid="{00000000-0005-0000-0000-0000217A0000}"/>
    <cellStyle name="Input 4 2 4" xfId="31475" xr:uid="{00000000-0005-0000-0000-0000227A0000}"/>
    <cellStyle name="Input 4 2 4 10" xfId="31476" xr:uid="{00000000-0005-0000-0000-0000237A0000}"/>
    <cellStyle name="Input 4 2 4 11" xfId="31477" xr:uid="{00000000-0005-0000-0000-0000247A0000}"/>
    <cellStyle name="Input 4 2 4 2" xfId="31478" xr:uid="{00000000-0005-0000-0000-0000257A0000}"/>
    <cellStyle name="Input 4 2 4 2 10" xfId="31479" xr:uid="{00000000-0005-0000-0000-0000267A0000}"/>
    <cellStyle name="Input 4 2 4 2 2" xfId="31480" xr:uid="{00000000-0005-0000-0000-0000277A0000}"/>
    <cellStyle name="Input 4 2 4 2 2 10" xfId="31481" xr:uid="{00000000-0005-0000-0000-0000287A0000}"/>
    <cellStyle name="Input 4 2 4 2 2 2" xfId="31482" xr:uid="{00000000-0005-0000-0000-0000297A0000}"/>
    <cellStyle name="Input 4 2 4 2 2 2 2" xfId="31483" xr:uid="{00000000-0005-0000-0000-00002A7A0000}"/>
    <cellStyle name="Input 4 2 4 2 2 2 2 2" xfId="31484" xr:uid="{00000000-0005-0000-0000-00002B7A0000}"/>
    <cellStyle name="Input 4 2 4 2 2 2 2 2 2" xfId="31485" xr:uid="{00000000-0005-0000-0000-00002C7A0000}"/>
    <cellStyle name="Input 4 2 4 2 2 2 2 2 2 2" xfId="31486" xr:uid="{00000000-0005-0000-0000-00002D7A0000}"/>
    <cellStyle name="Input 4 2 4 2 2 2 2 2 3" xfId="31487" xr:uid="{00000000-0005-0000-0000-00002E7A0000}"/>
    <cellStyle name="Input 4 2 4 2 2 2 2 2 3 2" xfId="31488" xr:uid="{00000000-0005-0000-0000-00002F7A0000}"/>
    <cellStyle name="Input 4 2 4 2 2 2 2 2 4" xfId="31489" xr:uid="{00000000-0005-0000-0000-0000307A0000}"/>
    <cellStyle name="Input 4 2 4 2 2 2 2 2 5" xfId="31490" xr:uid="{00000000-0005-0000-0000-0000317A0000}"/>
    <cellStyle name="Input 4 2 4 2 2 2 2 2 6" xfId="31491" xr:uid="{00000000-0005-0000-0000-0000327A0000}"/>
    <cellStyle name="Input 4 2 4 2 2 2 2 3" xfId="31492" xr:uid="{00000000-0005-0000-0000-0000337A0000}"/>
    <cellStyle name="Input 4 2 4 2 2 2 2 3 2" xfId="31493" xr:uid="{00000000-0005-0000-0000-0000347A0000}"/>
    <cellStyle name="Input 4 2 4 2 2 2 2 4" xfId="31494" xr:uid="{00000000-0005-0000-0000-0000357A0000}"/>
    <cellStyle name="Input 4 2 4 2 2 2 2 4 2" xfId="31495" xr:uid="{00000000-0005-0000-0000-0000367A0000}"/>
    <cellStyle name="Input 4 2 4 2 2 2 2 5" xfId="31496" xr:uid="{00000000-0005-0000-0000-0000377A0000}"/>
    <cellStyle name="Input 4 2 4 2 2 2 2 6" xfId="31497" xr:uid="{00000000-0005-0000-0000-0000387A0000}"/>
    <cellStyle name="Input 4 2 4 2 2 2 2 7" xfId="31498" xr:uid="{00000000-0005-0000-0000-0000397A0000}"/>
    <cellStyle name="Input 4 2 4 2 2 2 3" xfId="31499" xr:uid="{00000000-0005-0000-0000-00003A7A0000}"/>
    <cellStyle name="Input 4 2 4 2 2 2 3 2" xfId="31500" xr:uid="{00000000-0005-0000-0000-00003B7A0000}"/>
    <cellStyle name="Input 4 2 4 2 2 2 3 2 2" xfId="31501" xr:uid="{00000000-0005-0000-0000-00003C7A0000}"/>
    <cellStyle name="Input 4 2 4 2 2 2 3 3" xfId="31502" xr:uid="{00000000-0005-0000-0000-00003D7A0000}"/>
    <cellStyle name="Input 4 2 4 2 2 2 3 3 2" xfId="31503" xr:uid="{00000000-0005-0000-0000-00003E7A0000}"/>
    <cellStyle name="Input 4 2 4 2 2 2 3 4" xfId="31504" xr:uid="{00000000-0005-0000-0000-00003F7A0000}"/>
    <cellStyle name="Input 4 2 4 2 2 2 3 5" xfId="31505" xr:uid="{00000000-0005-0000-0000-0000407A0000}"/>
    <cellStyle name="Input 4 2 4 2 2 2 3 6" xfId="31506" xr:uid="{00000000-0005-0000-0000-0000417A0000}"/>
    <cellStyle name="Input 4 2 4 2 2 2 4" xfId="31507" xr:uid="{00000000-0005-0000-0000-0000427A0000}"/>
    <cellStyle name="Input 4 2 4 2 2 2 4 2" xfId="31508" xr:uid="{00000000-0005-0000-0000-0000437A0000}"/>
    <cellStyle name="Input 4 2 4 2 2 2 5" xfId="31509" xr:uid="{00000000-0005-0000-0000-0000447A0000}"/>
    <cellStyle name="Input 4 2 4 2 2 2 5 2" xfId="31510" xr:uid="{00000000-0005-0000-0000-0000457A0000}"/>
    <cellStyle name="Input 4 2 4 2 2 2 6" xfId="31511" xr:uid="{00000000-0005-0000-0000-0000467A0000}"/>
    <cellStyle name="Input 4 2 4 2 2 2 7" xfId="31512" xr:uid="{00000000-0005-0000-0000-0000477A0000}"/>
    <cellStyle name="Input 4 2 4 2 2 2 8" xfId="31513" xr:uid="{00000000-0005-0000-0000-0000487A0000}"/>
    <cellStyle name="Input 4 2 4 2 2 3" xfId="31514" xr:uid="{00000000-0005-0000-0000-0000497A0000}"/>
    <cellStyle name="Input 4 2 4 2 2 3 2" xfId="31515" xr:uid="{00000000-0005-0000-0000-00004A7A0000}"/>
    <cellStyle name="Input 4 2 4 2 2 3 2 2" xfId="31516" xr:uid="{00000000-0005-0000-0000-00004B7A0000}"/>
    <cellStyle name="Input 4 2 4 2 2 3 2 2 2" xfId="31517" xr:uid="{00000000-0005-0000-0000-00004C7A0000}"/>
    <cellStyle name="Input 4 2 4 2 2 3 2 2 2 2" xfId="31518" xr:uid="{00000000-0005-0000-0000-00004D7A0000}"/>
    <cellStyle name="Input 4 2 4 2 2 3 2 2 3" xfId="31519" xr:uid="{00000000-0005-0000-0000-00004E7A0000}"/>
    <cellStyle name="Input 4 2 4 2 2 3 2 2 3 2" xfId="31520" xr:uid="{00000000-0005-0000-0000-00004F7A0000}"/>
    <cellStyle name="Input 4 2 4 2 2 3 2 2 4" xfId="31521" xr:uid="{00000000-0005-0000-0000-0000507A0000}"/>
    <cellStyle name="Input 4 2 4 2 2 3 2 2 5" xfId="31522" xr:uid="{00000000-0005-0000-0000-0000517A0000}"/>
    <cellStyle name="Input 4 2 4 2 2 3 2 2 6" xfId="31523" xr:uid="{00000000-0005-0000-0000-0000527A0000}"/>
    <cellStyle name="Input 4 2 4 2 2 3 2 3" xfId="31524" xr:uid="{00000000-0005-0000-0000-0000537A0000}"/>
    <cellStyle name="Input 4 2 4 2 2 3 2 3 2" xfId="31525" xr:uid="{00000000-0005-0000-0000-0000547A0000}"/>
    <cellStyle name="Input 4 2 4 2 2 3 2 4" xfId="31526" xr:uid="{00000000-0005-0000-0000-0000557A0000}"/>
    <cellStyle name="Input 4 2 4 2 2 3 2 4 2" xfId="31527" xr:uid="{00000000-0005-0000-0000-0000567A0000}"/>
    <cellStyle name="Input 4 2 4 2 2 3 2 5" xfId="31528" xr:uid="{00000000-0005-0000-0000-0000577A0000}"/>
    <cellStyle name="Input 4 2 4 2 2 3 2 6" xfId="31529" xr:uid="{00000000-0005-0000-0000-0000587A0000}"/>
    <cellStyle name="Input 4 2 4 2 2 3 2 7" xfId="31530" xr:uid="{00000000-0005-0000-0000-0000597A0000}"/>
    <cellStyle name="Input 4 2 4 2 2 3 3" xfId="31531" xr:uid="{00000000-0005-0000-0000-00005A7A0000}"/>
    <cellStyle name="Input 4 2 4 2 2 3 3 2" xfId="31532" xr:uid="{00000000-0005-0000-0000-00005B7A0000}"/>
    <cellStyle name="Input 4 2 4 2 2 3 3 2 2" xfId="31533" xr:uid="{00000000-0005-0000-0000-00005C7A0000}"/>
    <cellStyle name="Input 4 2 4 2 2 3 3 3" xfId="31534" xr:uid="{00000000-0005-0000-0000-00005D7A0000}"/>
    <cellStyle name="Input 4 2 4 2 2 3 3 3 2" xfId="31535" xr:uid="{00000000-0005-0000-0000-00005E7A0000}"/>
    <cellStyle name="Input 4 2 4 2 2 3 3 4" xfId="31536" xr:uid="{00000000-0005-0000-0000-00005F7A0000}"/>
    <cellStyle name="Input 4 2 4 2 2 3 3 5" xfId="31537" xr:uid="{00000000-0005-0000-0000-0000607A0000}"/>
    <cellStyle name="Input 4 2 4 2 2 3 3 6" xfId="31538" xr:uid="{00000000-0005-0000-0000-0000617A0000}"/>
    <cellStyle name="Input 4 2 4 2 2 3 4" xfId="31539" xr:uid="{00000000-0005-0000-0000-0000627A0000}"/>
    <cellStyle name="Input 4 2 4 2 2 3 4 2" xfId="31540" xr:uid="{00000000-0005-0000-0000-0000637A0000}"/>
    <cellStyle name="Input 4 2 4 2 2 3 5" xfId="31541" xr:uid="{00000000-0005-0000-0000-0000647A0000}"/>
    <cellStyle name="Input 4 2 4 2 2 3 5 2" xfId="31542" xr:uid="{00000000-0005-0000-0000-0000657A0000}"/>
    <cellStyle name="Input 4 2 4 2 2 3 6" xfId="31543" xr:uid="{00000000-0005-0000-0000-0000667A0000}"/>
    <cellStyle name="Input 4 2 4 2 2 3 7" xfId="31544" xr:uid="{00000000-0005-0000-0000-0000677A0000}"/>
    <cellStyle name="Input 4 2 4 2 2 3 8" xfId="31545" xr:uid="{00000000-0005-0000-0000-0000687A0000}"/>
    <cellStyle name="Input 4 2 4 2 2 4" xfId="31546" xr:uid="{00000000-0005-0000-0000-0000697A0000}"/>
    <cellStyle name="Input 4 2 4 2 2 4 2" xfId="31547" xr:uid="{00000000-0005-0000-0000-00006A7A0000}"/>
    <cellStyle name="Input 4 2 4 2 2 4 2 2" xfId="31548" xr:uid="{00000000-0005-0000-0000-00006B7A0000}"/>
    <cellStyle name="Input 4 2 4 2 2 4 2 2 2" xfId="31549" xr:uid="{00000000-0005-0000-0000-00006C7A0000}"/>
    <cellStyle name="Input 4 2 4 2 2 4 2 3" xfId="31550" xr:uid="{00000000-0005-0000-0000-00006D7A0000}"/>
    <cellStyle name="Input 4 2 4 2 2 4 2 3 2" xfId="31551" xr:uid="{00000000-0005-0000-0000-00006E7A0000}"/>
    <cellStyle name="Input 4 2 4 2 2 4 2 4" xfId="31552" xr:uid="{00000000-0005-0000-0000-00006F7A0000}"/>
    <cellStyle name="Input 4 2 4 2 2 4 2 5" xfId="31553" xr:uid="{00000000-0005-0000-0000-0000707A0000}"/>
    <cellStyle name="Input 4 2 4 2 2 4 2 6" xfId="31554" xr:uid="{00000000-0005-0000-0000-0000717A0000}"/>
    <cellStyle name="Input 4 2 4 2 2 4 3" xfId="31555" xr:uid="{00000000-0005-0000-0000-0000727A0000}"/>
    <cellStyle name="Input 4 2 4 2 2 4 3 2" xfId="31556" xr:uid="{00000000-0005-0000-0000-0000737A0000}"/>
    <cellStyle name="Input 4 2 4 2 2 4 4" xfId="31557" xr:uid="{00000000-0005-0000-0000-0000747A0000}"/>
    <cellStyle name="Input 4 2 4 2 2 4 4 2" xfId="31558" xr:uid="{00000000-0005-0000-0000-0000757A0000}"/>
    <cellStyle name="Input 4 2 4 2 2 4 5" xfId="31559" xr:uid="{00000000-0005-0000-0000-0000767A0000}"/>
    <cellStyle name="Input 4 2 4 2 2 4 6" xfId="31560" xr:uid="{00000000-0005-0000-0000-0000777A0000}"/>
    <cellStyle name="Input 4 2 4 2 2 4 7" xfId="31561" xr:uid="{00000000-0005-0000-0000-0000787A0000}"/>
    <cellStyle name="Input 4 2 4 2 2 5" xfId="31562" xr:uid="{00000000-0005-0000-0000-0000797A0000}"/>
    <cellStyle name="Input 4 2 4 2 2 5 2" xfId="31563" xr:uid="{00000000-0005-0000-0000-00007A7A0000}"/>
    <cellStyle name="Input 4 2 4 2 2 5 2 2" xfId="31564" xr:uid="{00000000-0005-0000-0000-00007B7A0000}"/>
    <cellStyle name="Input 4 2 4 2 2 5 3" xfId="31565" xr:uid="{00000000-0005-0000-0000-00007C7A0000}"/>
    <cellStyle name="Input 4 2 4 2 2 5 3 2" xfId="31566" xr:uid="{00000000-0005-0000-0000-00007D7A0000}"/>
    <cellStyle name="Input 4 2 4 2 2 5 4" xfId="31567" xr:uid="{00000000-0005-0000-0000-00007E7A0000}"/>
    <cellStyle name="Input 4 2 4 2 2 5 5" xfId="31568" xr:uid="{00000000-0005-0000-0000-00007F7A0000}"/>
    <cellStyle name="Input 4 2 4 2 2 5 6" xfId="31569" xr:uid="{00000000-0005-0000-0000-0000807A0000}"/>
    <cellStyle name="Input 4 2 4 2 2 6" xfId="31570" xr:uid="{00000000-0005-0000-0000-0000817A0000}"/>
    <cellStyle name="Input 4 2 4 2 2 6 2" xfId="31571" xr:uid="{00000000-0005-0000-0000-0000827A0000}"/>
    <cellStyle name="Input 4 2 4 2 2 7" xfId="31572" xr:uid="{00000000-0005-0000-0000-0000837A0000}"/>
    <cellStyle name="Input 4 2 4 2 2 7 2" xfId="31573" xr:uid="{00000000-0005-0000-0000-0000847A0000}"/>
    <cellStyle name="Input 4 2 4 2 2 8" xfId="31574" xr:uid="{00000000-0005-0000-0000-0000857A0000}"/>
    <cellStyle name="Input 4 2 4 2 2 9" xfId="31575" xr:uid="{00000000-0005-0000-0000-0000867A0000}"/>
    <cellStyle name="Input 4 2 4 2 3" xfId="31576" xr:uid="{00000000-0005-0000-0000-0000877A0000}"/>
    <cellStyle name="Input 4 2 4 2 3 2" xfId="31577" xr:uid="{00000000-0005-0000-0000-0000887A0000}"/>
    <cellStyle name="Input 4 2 4 2 3 2 2" xfId="31578" xr:uid="{00000000-0005-0000-0000-0000897A0000}"/>
    <cellStyle name="Input 4 2 4 2 3 2 2 2" xfId="31579" xr:uid="{00000000-0005-0000-0000-00008A7A0000}"/>
    <cellStyle name="Input 4 2 4 2 3 2 2 2 2" xfId="31580" xr:uid="{00000000-0005-0000-0000-00008B7A0000}"/>
    <cellStyle name="Input 4 2 4 2 3 2 2 3" xfId="31581" xr:uid="{00000000-0005-0000-0000-00008C7A0000}"/>
    <cellStyle name="Input 4 2 4 2 3 2 2 3 2" xfId="31582" xr:uid="{00000000-0005-0000-0000-00008D7A0000}"/>
    <cellStyle name="Input 4 2 4 2 3 2 2 4" xfId="31583" xr:uid="{00000000-0005-0000-0000-00008E7A0000}"/>
    <cellStyle name="Input 4 2 4 2 3 2 2 5" xfId="31584" xr:uid="{00000000-0005-0000-0000-00008F7A0000}"/>
    <cellStyle name="Input 4 2 4 2 3 2 2 6" xfId="31585" xr:uid="{00000000-0005-0000-0000-0000907A0000}"/>
    <cellStyle name="Input 4 2 4 2 3 2 3" xfId="31586" xr:uid="{00000000-0005-0000-0000-0000917A0000}"/>
    <cellStyle name="Input 4 2 4 2 3 2 3 2" xfId="31587" xr:uid="{00000000-0005-0000-0000-0000927A0000}"/>
    <cellStyle name="Input 4 2 4 2 3 2 4" xfId="31588" xr:uid="{00000000-0005-0000-0000-0000937A0000}"/>
    <cellStyle name="Input 4 2 4 2 3 2 4 2" xfId="31589" xr:uid="{00000000-0005-0000-0000-0000947A0000}"/>
    <cellStyle name="Input 4 2 4 2 3 2 5" xfId="31590" xr:uid="{00000000-0005-0000-0000-0000957A0000}"/>
    <cellStyle name="Input 4 2 4 2 3 2 6" xfId="31591" xr:uid="{00000000-0005-0000-0000-0000967A0000}"/>
    <cellStyle name="Input 4 2 4 2 3 2 7" xfId="31592" xr:uid="{00000000-0005-0000-0000-0000977A0000}"/>
    <cellStyle name="Input 4 2 4 2 3 3" xfId="31593" xr:uid="{00000000-0005-0000-0000-0000987A0000}"/>
    <cellStyle name="Input 4 2 4 2 3 3 2" xfId="31594" xr:uid="{00000000-0005-0000-0000-0000997A0000}"/>
    <cellStyle name="Input 4 2 4 2 3 3 2 2" xfId="31595" xr:uid="{00000000-0005-0000-0000-00009A7A0000}"/>
    <cellStyle name="Input 4 2 4 2 3 3 3" xfId="31596" xr:uid="{00000000-0005-0000-0000-00009B7A0000}"/>
    <cellStyle name="Input 4 2 4 2 3 3 3 2" xfId="31597" xr:uid="{00000000-0005-0000-0000-00009C7A0000}"/>
    <cellStyle name="Input 4 2 4 2 3 3 4" xfId="31598" xr:uid="{00000000-0005-0000-0000-00009D7A0000}"/>
    <cellStyle name="Input 4 2 4 2 3 3 5" xfId="31599" xr:uid="{00000000-0005-0000-0000-00009E7A0000}"/>
    <cellStyle name="Input 4 2 4 2 3 3 6" xfId="31600" xr:uid="{00000000-0005-0000-0000-00009F7A0000}"/>
    <cellStyle name="Input 4 2 4 2 3 4" xfId="31601" xr:uid="{00000000-0005-0000-0000-0000A07A0000}"/>
    <cellStyle name="Input 4 2 4 2 3 4 2" xfId="31602" xr:uid="{00000000-0005-0000-0000-0000A17A0000}"/>
    <cellStyle name="Input 4 2 4 2 3 5" xfId="31603" xr:uid="{00000000-0005-0000-0000-0000A27A0000}"/>
    <cellStyle name="Input 4 2 4 2 3 5 2" xfId="31604" xr:uid="{00000000-0005-0000-0000-0000A37A0000}"/>
    <cellStyle name="Input 4 2 4 2 3 6" xfId="31605" xr:uid="{00000000-0005-0000-0000-0000A47A0000}"/>
    <cellStyle name="Input 4 2 4 2 3 7" xfId="31606" xr:uid="{00000000-0005-0000-0000-0000A57A0000}"/>
    <cellStyle name="Input 4 2 4 2 3 8" xfId="31607" xr:uid="{00000000-0005-0000-0000-0000A67A0000}"/>
    <cellStyle name="Input 4 2 4 2 4" xfId="31608" xr:uid="{00000000-0005-0000-0000-0000A77A0000}"/>
    <cellStyle name="Input 4 2 4 2 4 2" xfId="31609" xr:uid="{00000000-0005-0000-0000-0000A87A0000}"/>
    <cellStyle name="Input 4 2 4 2 4 2 2" xfId="31610" xr:uid="{00000000-0005-0000-0000-0000A97A0000}"/>
    <cellStyle name="Input 4 2 4 2 4 2 2 2" xfId="31611" xr:uid="{00000000-0005-0000-0000-0000AA7A0000}"/>
    <cellStyle name="Input 4 2 4 2 4 2 3" xfId="31612" xr:uid="{00000000-0005-0000-0000-0000AB7A0000}"/>
    <cellStyle name="Input 4 2 4 2 4 2 3 2" xfId="31613" xr:uid="{00000000-0005-0000-0000-0000AC7A0000}"/>
    <cellStyle name="Input 4 2 4 2 4 2 4" xfId="31614" xr:uid="{00000000-0005-0000-0000-0000AD7A0000}"/>
    <cellStyle name="Input 4 2 4 2 4 2 5" xfId="31615" xr:uid="{00000000-0005-0000-0000-0000AE7A0000}"/>
    <cellStyle name="Input 4 2 4 2 4 2 6" xfId="31616" xr:uid="{00000000-0005-0000-0000-0000AF7A0000}"/>
    <cellStyle name="Input 4 2 4 2 4 3" xfId="31617" xr:uid="{00000000-0005-0000-0000-0000B07A0000}"/>
    <cellStyle name="Input 4 2 4 2 4 3 2" xfId="31618" xr:uid="{00000000-0005-0000-0000-0000B17A0000}"/>
    <cellStyle name="Input 4 2 4 2 4 4" xfId="31619" xr:uid="{00000000-0005-0000-0000-0000B27A0000}"/>
    <cellStyle name="Input 4 2 4 2 4 4 2" xfId="31620" xr:uid="{00000000-0005-0000-0000-0000B37A0000}"/>
    <cellStyle name="Input 4 2 4 2 4 5" xfId="31621" xr:uid="{00000000-0005-0000-0000-0000B47A0000}"/>
    <cellStyle name="Input 4 2 4 2 4 6" xfId="31622" xr:uid="{00000000-0005-0000-0000-0000B57A0000}"/>
    <cellStyle name="Input 4 2 4 2 4 7" xfId="31623" xr:uid="{00000000-0005-0000-0000-0000B67A0000}"/>
    <cellStyle name="Input 4 2 4 2 5" xfId="31624" xr:uid="{00000000-0005-0000-0000-0000B77A0000}"/>
    <cellStyle name="Input 4 2 4 2 5 2" xfId="31625" xr:uid="{00000000-0005-0000-0000-0000B87A0000}"/>
    <cellStyle name="Input 4 2 4 2 5 2 2" xfId="31626" xr:uid="{00000000-0005-0000-0000-0000B97A0000}"/>
    <cellStyle name="Input 4 2 4 2 5 3" xfId="31627" xr:uid="{00000000-0005-0000-0000-0000BA7A0000}"/>
    <cellStyle name="Input 4 2 4 2 5 3 2" xfId="31628" xr:uid="{00000000-0005-0000-0000-0000BB7A0000}"/>
    <cellStyle name="Input 4 2 4 2 5 4" xfId="31629" xr:uid="{00000000-0005-0000-0000-0000BC7A0000}"/>
    <cellStyle name="Input 4 2 4 2 5 5" xfId="31630" xr:uid="{00000000-0005-0000-0000-0000BD7A0000}"/>
    <cellStyle name="Input 4 2 4 2 5 6" xfId="31631" xr:uid="{00000000-0005-0000-0000-0000BE7A0000}"/>
    <cellStyle name="Input 4 2 4 2 6" xfId="31632" xr:uid="{00000000-0005-0000-0000-0000BF7A0000}"/>
    <cellStyle name="Input 4 2 4 2 6 2" xfId="31633" xr:uid="{00000000-0005-0000-0000-0000C07A0000}"/>
    <cellStyle name="Input 4 2 4 2 7" xfId="31634" xr:uid="{00000000-0005-0000-0000-0000C17A0000}"/>
    <cellStyle name="Input 4 2 4 2 7 2" xfId="31635" xr:uid="{00000000-0005-0000-0000-0000C27A0000}"/>
    <cellStyle name="Input 4 2 4 2 8" xfId="31636" xr:uid="{00000000-0005-0000-0000-0000C37A0000}"/>
    <cellStyle name="Input 4 2 4 2 9" xfId="31637" xr:uid="{00000000-0005-0000-0000-0000C47A0000}"/>
    <cellStyle name="Input 4 2 4 3" xfId="31638" xr:uid="{00000000-0005-0000-0000-0000C57A0000}"/>
    <cellStyle name="Input 4 2 4 3 10" xfId="31639" xr:uid="{00000000-0005-0000-0000-0000C67A0000}"/>
    <cellStyle name="Input 4 2 4 3 2" xfId="31640" xr:uid="{00000000-0005-0000-0000-0000C77A0000}"/>
    <cellStyle name="Input 4 2 4 3 2 2" xfId="31641" xr:uid="{00000000-0005-0000-0000-0000C87A0000}"/>
    <cellStyle name="Input 4 2 4 3 2 2 2" xfId="31642" xr:uid="{00000000-0005-0000-0000-0000C97A0000}"/>
    <cellStyle name="Input 4 2 4 3 2 2 2 2" xfId="31643" xr:uid="{00000000-0005-0000-0000-0000CA7A0000}"/>
    <cellStyle name="Input 4 2 4 3 2 2 2 2 2" xfId="31644" xr:uid="{00000000-0005-0000-0000-0000CB7A0000}"/>
    <cellStyle name="Input 4 2 4 3 2 2 2 3" xfId="31645" xr:uid="{00000000-0005-0000-0000-0000CC7A0000}"/>
    <cellStyle name="Input 4 2 4 3 2 2 2 3 2" xfId="31646" xr:uid="{00000000-0005-0000-0000-0000CD7A0000}"/>
    <cellStyle name="Input 4 2 4 3 2 2 2 4" xfId="31647" xr:uid="{00000000-0005-0000-0000-0000CE7A0000}"/>
    <cellStyle name="Input 4 2 4 3 2 2 2 5" xfId="31648" xr:uid="{00000000-0005-0000-0000-0000CF7A0000}"/>
    <cellStyle name="Input 4 2 4 3 2 2 2 6" xfId="31649" xr:uid="{00000000-0005-0000-0000-0000D07A0000}"/>
    <cellStyle name="Input 4 2 4 3 2 2 3" xfId="31650" xr:uid="{00000000-0005-0000-0000-0000D17A0000}"/>
    <cellStyle name="Input 4 2 4 3 2 2 3 2" xfId="31651" xr:uid="{00000000-0005-0000-0000-0000D27A0000}"/>
    <cellStyle name="Input 4 2 4 3 2 2 4" xfId="31652" xr:uid="{00000000-0005-0000-0000-0000D37A0000}"/>
    <cellStyle name="Input 4 2 4 3 2 2 4 2" xfId="31653" xr:uid="{00000000-0005-0000-0000-0000D47A0000}"/>
    <cellStyle name="Input 4 2 4 3 2 2 5" xfId="31654" xr:uid="{00000000-0005-0000-0000-0000D57A0000}"/>
    <cellStyle name="Input 4 2 4 3 2 2 6" xfId="31655" xr:uid="{00000000-0005-0000-0000-0000D67A0000}"/>
    <cellStyle name="Input 4 2 4 3 2 2 7" xfId="31656" xr:uid="{00000000-0005-0000-0000-0000D77A0000}"/>
    <cellStyle name="Input 4 2 4 3 2 3" xfId="31657" xr:uid="{00000000-0005-0000-0000-0000D87A0000}"/>
    <cellStyle name="Input 4 2 4 3 2 3 2" xfId="31658" xr:uid="{00000000-0005-0000-0000-0000D97A0000}"/>
    <cellStyle name="Input 4 2 4 3 2 3 2 2" xfId="31659" xr:uid="{00000000-0005-0000-0000-0000DA7A0000}"/>
    <cellStyle name="Input 4 2 4 3 2 3 3" xfId="31660" xr:uid="{00000000-0005-0000-0000-0000DB7A0000}"/>
    <cellStyle name="Input 4 2 4 3 2 3 3 2" xfId="31661" xr:uid="{00000000-0005-0000-0000-0000DC7A0000}"/>
    <cellStyle name="Input 4 2 4 3 2 3 4" xfId="31662" xr:uid="{00000000-0005-0000-0000-0000DD7A0000}"/>
    <cellStyle name="Input 4 2 4 3 2 3 5" xfId="31663" xr:uid="{00000000-0005-0000-0000-0000DE7A0000}"/>
    <cellStyle name="Input 4 2 4 3 2 3 6" xfId="31664" xr:uid="{00000000-0005-0000-0000-0000DF7A0000}"/>
    <cellStyle name="Input 4 2 4 3 2 4" xfId="31665" xr:uid="{00000000-0005-0000-0000-0000E07A0000}"/>
    <cellStyle name="Input 4 2 4 3 2 4 2" xfId="31666" xr:uid="{00000000-0005-0000-0000-0000E17A0000}"/>
    <cellStyle name="Input 4 2 4 3 2 5" xfId="31667" xr:uid="{00000000-0005-0000-0000-0000E27A0000}"/>
    <cellStyle name="Input 4 2 4 3 2 5 2" xfId="31668" xr:uid="{00000000-0005-0000-0000-0000E37A0000}"/>
    <cellStyle name="Input 4 2 4 3 2 6" xfId="31669" xr:uid="{00000000-0005-0000-0000-0000E47A0000}"/>
    <cellStyle name="Input 4 2 4 3 2 7" xfId="31670" xr:uid="{00000000-0005-0000-0000-0000E57A0000}"/>
    <cellStyle name="Input 4 2 4 3 2 8" xfId="31671" xr:uid="{00000000-0005-0000-0000-0000E67A0000}"/>
    <cellStyle name="Input 4 2 4 3 3" xfId="31672" xr:uid="{00000000-0005-0000-0000-0000E77A0000}"/>
    <cellStyle name="Input 4 2 4 3 3 2" xfId="31673" xr:uid="{00000000-0005-0000-0000-0000E87A0000}"/>
    <cellStyle name="Input 4 2 4 3 3 2 2" xfId="31674" xr:uid="{00000000-0005-0000-0000-0000E97A0000}"/>
    <cellStyle name="Input 4 2 4 3 3 2 2 2" xfId="31675" xr:uid="{00000000-0005-0000-0000-0000EA7A0000}"/>
    <cellStyle name="Input 4 2 4 3 3 2 2 2 2" xfId="31676" xr:uid="{00000000-0005-0000-0000-0000EB7A0000}"/>
    <cellStyle name="Input 4 2 4 3 3 2 2 3" xfId="31677" xr:uid="{00000000-0005-0000-0000-0000EC7A0000}"/>
    <cellStyle name="Input 4 2 4 3 3 2 2 3 2" xfId="31678" xr:uid="{00000000-0005-0000-0000-0000ED7A0000}"/>
    <cellStyle name="Input 4 2 4 3 3 2 2 4" xfId="31679" xr:uid="{00000000-0005-0000-0000-0000EE7A0000}"/>
    <cellStyle name="Input 4 2 4 3 3 2 2 5" xfId="31680" xr:uid="{00000000-0005-0000-0000-0000EF7A0000}"/>
    <cellStyle name="Input 4 2 4 3 3 2 2 6" xfId="31681" xr:uid="{00000000-0005-0000-0000-0000F07A0000}"/>
    <cellStyle name="Input 4 2 4 3 3 2 3" xfId="31682" xr:uid="{00000000-0005-0000-0000-0000F17A0000}"/>
    <cellStyle name="Input 4 2 4 3 3 2 3 2" xfId="31683" xr:uid="{00000000-0005-0000-0000-0000F27A0000}"/>
    <cellStyle name="Input 4 2 4 3 3 2 4" xfId="31684" xr:uid="{00000000-0005-0000-0000-0000F37A0000}"/>
    <cellStyle name="Input 4 2 4 3 3 2 4 2" xfId="31685" xr:uid="{00000000-0005-0000-0000-0000F47A0000}"/>
    <cellStyle name="Input 4 2 4 3 3 2 5" xfId="31686" xr:uid="{00000000-0005-0000-0000-0000F57A0000}"/>
    <cellStyle name="Input 4 2 4 3 3 2 6" xfId="31687" xr:uid="{00000000-0005-0000-0000-0000F67A0000}"/>
    <cellStyle name="Input 4 2 4 3 3 2 7" xfId="31688" xr:uid="{00000000-0005-0000-0000-0000F77A0000}"/>
    <cellStyle name="Input 4 2 4 3 3 3" xfId="31689" xr:uid="{00000000-0005-0000-0000-0000F87A0000}"/>
    <cellStyle name="Input 4 2 4 3 3 3 2" xfId="31690" xr:uid="{00000000-0005-0000-0000-0000F97A0000}"/>
    <cellStyle name="Input 4 2 4 3 3 3 2 2" xfId="31691" xr:uid="{00000000-0005-0000-0000-0000FA7A0000}"/>
    <cellStyle name="Input 4 2 4 3 3 3 3" xfId="31692" xr:uid="{00000000-0005-0000-0000-0000FB7A0000}"/>
    <cellStyle name="Input 4 2 4 3 3 3 3 2" xfId="31693" xr:uid="{00000000-0005-0000-0000-0000FC7A0000}"/>
    <cellStyle name="Input 4 2 4 3 3 3 4" xfId="31694" xr:uid="{00000000-0005-0000-0000-0000FD7A0000}"/>
    <cellStyle name="Input 4 2 4 3 3 3 5" xfId="31695" xr:uid="{00000000-0005-0000-0000-0000FE7A0000}"/>
    <cellStyle name="Input 4 2 4 3 3 3 6" xfId="31696" xr:uid="{00000000-0005-0000-0000-0000FF7A0000}"/>
    <cellStyle name="Input 4 2 4 3 3 4" xfId="31697" xr:uid="{00000000-0005-0000-0000-0000007B0000}"/>
    <cellStyle name="Input 4 2 4 3 3 4 2" xfId="31698" xr:uid="{00000000-0005-0000-0000-0000017B0000}"/>
    <cellStyle name="Input 4 2 4 3 3 5" xfId="31699" xr:uid="{00000000-0005-0000-0000-0000027B0000}"/>
    <cellStyle name="Input 4 2 4 3 3 5 2" xfId="31700" xr:uid="{00000000-0005-0000-0000-0000037B0000}"/>
    <cellStyle name="Input 4 2 4 3 3 6" xfId="31701" xr:uid="{00000000-0005-0000-0000-0000047B0000}"/>
    <cellStyle name="Input 4 2 4 3 3 7" xfId="31702" xr:uid="{00000000-0005-0000-0000-0000057B0000}"/>
    <cellStyle name="Input 4 2 4 3 3 8" xfId="31703" xr:uid="{00000000-0005-0000-0000-0000067B0000}"/>
    <cellStyle name="Input 4 2 4 3 4" xfId="31704" xr:uid="{00000000-0005-0000-0000-0000077B0000}"/>
    <cellStyle name="Input 4 2 4 3 4 2" xfId="31705" xr:uid="{00000000-0005-0000-0000-0000087B0000}"/>
    <cellStyle name="Input 4 2 4 3 4 2 2" xfId="31706" xr:uid="{00000000-0005-0000-0000-0000097B0000}"/>
    <cellStyle name="Input 4 2 4 3 4 2 2 2" xfId="31707" xr:uid="{00000000-0005-0000-0000-00000A7B0000}"/>
    <cellStyle name="Input 4 2 4 3 4 2 3" xfId="31708" xr:uid="{00000000-0005-0000-0000-00000B7B0000}"/>
    <cellStyle name="Input 4 2 4 3 4 2 3 2" xfId="31709" xr:uid="{00000000-0005-0000-0000-00000C7B0000}"/>
    <cellStyle name="Input 4 2 4 3 4 2 4" xfId="31710" xr:uid="{00000000-0005-0000-0000-00000D7B0000}"/>
    <cellStyle name="Input 4 2 4 3 4 2 5" xfId="31711" xr:uid="{00000000-0005-0000-0000-00000E7B0000}"/>
    <cellStyle name="Input 4 2 4 3 4 2 6" xfId="31712" xr:uid="{00000000-0005-0000-0000-00000F7B0000}"/>
    <cellStyle name="Input 4 2 4 3 4 3" xfId="31713" xr:uid="{00000000-0005-0000-0000-0000107B0000}"/>
    <cellStyle name="Input 4 2 4 3 4 3 2" xfId="31714" xr:uid="{00000000-0005-0000-0000-0000117B0000}"/>
    <cellStyle name="Input 4 2 4 3 4 4" xfId="31715" xr:uid="{00000000-0005-0000-0000-0000127B0000}"/>
    <cellStyle name="Input 4 2 4 3 4 4 2" xfId="31716" xr:uid="{00000000-0005-0000-0000-0000137B0000}"/>
    <cellStyle name="Input 4 2 4 3 4 5" xfId="31717" xr:uid="{00000000-0005-0000-0000-0000147B0000}"/>
    <cellStyle name="Input 4 2 4 3 4 6" xfId="31718" xr:uid="{00000000-0005-0000-0000-0000157B0000}"/>
    <cellStyle name="Input 4 2 4 3 4 7" xfId="31719" xr:uid="{00000000-0005-0000-0000-0000167B0000}"/>
    <cellStyle name="Input 4 2 4 3 5" xfId="31720" xr:uid="{00000000-0005-0000-0000-0000177B0000}"/>
    <cellStyle name="Input 4 2 4 3 5 2" xfId="31721" xr:uid="{00000000-0005-0000-0000-0000187B0000}"/>
    <cellStyle name="Input 4 2 4 3 5 2 2" xfId="31722" xr:uid="{00000000-0005-0000-0000-0000197B0000}"/>
    <cellStyle name="Input 4 2 4 3 5 3" xfId="31723" xr:uid="{00000000-0005-0000-0000-00001A7B0000}"/>
    <cellStyle name="Input 4 2 4 3 5 3 2" xfId="31724" xr:uid="{00000000-0005-0000-0000-00001B7B0000}"/>
    <cellStyle name="Input 4 2 4 3 5 4" xfId="31725" xr:uid="{00000000-0005-0000-0000-00001C7B0000}"/>
    <cellStyle name="Input 4 2 4 3 5 5" xfId="31726" xr:uid="{00000000-0005-0000-0000-00001D7B0000}"/>
    <cellStyle name="Input 4 2 4 3 5 6" xfId="31727" xr:uid="{00000000-0005-0000-0000-00001E7B0000}"/>
    <cellStyle name="Input 4 2 4 3 6" xfId="31728" xr:uid="{00000000-0005-0000-0000-00001F7B0000}"/>
    <cellStyle name="Input 4 2 4 3 6 2" xfId="31729" xr:uid="{00000000-0005-0000-0000-0000207B0000}"/>
    <cellStyle name="Input 4 2 4 3 7" xfId="31730" xr:uid="{00000000-0005-0000-0000-0000217B0000}"/>
    <cellStyle name="Input 4 2 4 3 7 2" xfId="31731" xr:uid="{00000000-0005-0000-0000-0000227B0000}"/>
    <cellStyle name="Input 4 2 4 3 8" xfId="31732" xr:uid="{00000000-0005-0000-0000-0000237B0000}"/>
    <cellStyle name="Input 4 2 4 3 9" xfId="31733" xr:uid="{00000000-0005-0000-0000-0000247B0000}"/>
    <cellStyle name="Input 4 2 4 4" xfId="31734" xr:uid="{00000000-0005-0000-0000-0000257B0000}"/>
    <cellStyle name="Input 4 2 4 4 2" xfId="31735" xr:uid="{00000000-0005-0000-0000-0000267B0000}"/>
    <cellStyle name="Input 4 2 4 4 2 2" xfId="31736" xr:uid="{00000000-0005-0000-0000-0000277B0000}"/>
    <cellStyle name="Input 4 2 4 4 2 2 2" xfId="31737" xr:uid="{00000000-0005-0000-0000-0000287B0000}"/>
    <cellStyle name="Input 4 2 4 4 2 2 2 2" xfId="31738" xr:uid="{00000000-0005-0000-0000-0000297B0000}"/>
    <cellStyle name="Input 4 2 4 4 2 2 3" xfId="31739" xr:uid="{00000000-0005-0000-0000-00002A7B0000}"/>
    <cellStyle name="Input 4 2 4 4 2 2 3 2" xfId="31740" xr:uid="{00000000-0005-0000-0000-00002B7B0000}"/>
    <cellStyle name="Input 4 2 4 4 2 2 4" xfId="31741" xr:uid="{00000000-0005-0000-0000-00002C7B0000}"/>
    <cellStyle name="Input 4 2 4 4 2 2 5" xfId="31742" xr:uid="{00000000-0005-0000-0000-00002D7B0000}"/>
    <cellStyle name="Input 4 2 4 4 2 2 6" xfId="31743" xr:uid="{00000000-0005-0000-0000-00002E7B0000}"/>
    <cellStyle name="Input 4 2 4 4 2 3" xfId="31744" xr:uid="{00000000-0005-0000-0000-00002F7B0000}"/>
    <cellStyle name="Input 4 2 4 4 2 3 2" xfId="31745" xr:uid="{00000000-0005-0000-0000-0000307B0000}"/>
    <cellStyle name="Input 4 2 4 4 2 4" xfId="31746" xr:uid="{00000000-0005-0000-0000-0000317B0000}"/>
    <cellStyle name="Input 4 2 4 4 2 4 2" xfId="31747" xr:uid="{00000000-0005-0000-0000-0000327B0000}"/>
    <cellStyle name="Input 4 2 4 4 2 5" xfId="31748" xr:uid="{00000000-0005-0000-0000-0000337B0000}"/>
    <cellStyle name="Input 4 2 4 4 2 6" xfId="31749" xr:uid="{00000000-0005-0000-0000-0000347B0000}"/>
    <cellStyle name="Input 4 2 4 4 2 7" xfId="31750" xr:uid="{00000000-0005-0000-0000-0000357B0000}"/>
    <cellStyle name="Input 4 2 4 4 3" xfId="31751" xr:uid="{00000000-0005-0000-0000-0000367B0000}"/>
    <cellStyle name="Input 4 2 4 4 3 2" xfId="31752" xr:uid="{00000000-0005-0000-0000-0000377B0000}"/>
    <cellStyle name="Input 4 2 4 4 3 2 2" xfId="31753" xr:uid="{00000000-0005-0000-0000-0000387B0000}"/>
    <cellStyle name="Input 4 2 4 4 3 3" xfId="31754" xr:uid="{00000000-0005-0000-0000-0000397B0000}"/>
    <cellStyle name="Input 4 2 4 4 3 3 2" xfId="31755" xr:uid="{00000000-0005-0000-0000-00003A7B0000}"/>
    <cellStyle name="Input 4 2 4 4 3 4" xfId="31756" xr:uid="{00000000-0005-0000-0000-00003B7B0000}"/>
    <cellStyle name="Input 4 2 4 4 3 5" xfId="31757" xr:uid="{00000000-0005-0000-0000-00003C7B0000}"/>
    <cellStyle name="Input 4 2 4 4 3 6" xfId="31758" xr:uid="{00000000-0005-0000-0000-00003D7B0000}"/>
    <cellStyle name="Input 4 2 4 4 4" xfId="31759" xr:uid="{00000000-0005-0000-0000-00003E7B0000}"/>
    <cellStyle name="Input 4 2 4 4 4 2" xfId="31760" xr:uid="{00000000-0005-0000-0000-00003F7B0000}"/>
    <cellStyle name="Input 4 2 4 4 5" xfId="31761" xr:uid="{00000000-0005-0000-0000-0000407B0000}"/>
    <cellStyle name="Input 4 2 4 4 5 2" xfId="31762" xr:uid="{00000000-0005-0000-0000-0000417B0000}"/>
    <cellStyle name="Input 4 2 4 4 6" xfId="31763" xr:uid="{00000000-0005-0000-0000-0000427B0000}"/>
    <cellStyle name="Input 4 2 4 4 7" xfId="31764" xr:uid="{00000000-0005-0000-0000-0000437B0000}"/>
    <cellStyle name="Input 4 2 4 4 8" xfId="31765" xr:uid="{00000000-0005-0000-0000-0000447B0000}"/>
    <cellStyle name="Input 4 2 4 5" xfId="31766" xr:uid="{00000000-0005-0000-0000-0000457B0000}"/>
    <cellStyle name="Input 4 2 4 5 2" xfId="31767" xr:uid="{00000000-0005-0000-0000-0000467B0000}"/>
    <cellStyle name="Input 4 2 4 5 2 2" xfId="31768" xr:uid="{00000000-0005-0000-0000-0000477B0000}"/>
    <cellStyle name="Input 4 2 4 5 2 2 2" xfId="31769" xr:uid="{00000000-0005-0000-0000-0000487B0000}"/>
    <cellStyle name="Input 4 2 4 5 2 3" xfId="31770" xr:uid="{00000000-0005-0000-0000-0000497B0000}"/>
    <cellStyle name="Input 4 2 4 5 2 3 2" xfId="31771" xr:uid="{00000000-0005-0000-0000-00004A7B0000}"/>
    <cellStyle name="Input 4 2 4 5 2 4" xfId="31772" xr:uid="{00000000-0005-0000-0000-00004B7B0000}"/>
    <cellStyle name="Input 4 2 4 5 2 5" xfId="31773" xr:uid="{00000000-0005-0000-0000-00004C7B0000}"/>
    <cellStyle name="Input 4 2 4 5 2 6" xfId="31774" xr:uid="{00000000-0005-0000-0000-00004D7B0000}"/>
    <cellStyle name="Input 4 2 4 5 3" xfId="31775" xr:uid="{00000000-0005-0000-0000-00004E7B0000}"/>
    <cellStyle name="Input 4 2 4 5 3 2" xfId="31776" xr:uid="{00000000-0005-0000-0000-00004F7B0000}"/>
    <cellStyle name="Input 4 2 4 5 4" xfId="31777" xr:uid="{00000000-0005-0000-0000-0000507B0000}"/>
    <cellStyle name="Input 4 2 4 5 4 2" xfId="31778" xr:uid="{00000000-0005-0000-0000-0000517B0000}"/>
    <cellStyle name="Input 4 2 4 5 5" xfId="31779" xr:uid="{00000000-0005-0000-0000-0000527B0000}"/>
    <cellStyle name="Input 4 2 4 5 6" xfId="31780" xr:uid="{00000000-0005-0000-0000-0000537B0000}"/>
    <cellStyle name="Input 4 2 4 5 7" xfId="31781" xr:uid="{00000000-0005-0000-0000-0000547B0000}"/>
    <cellStyle name="Input 4 2 4 6" xfId="31782" xr:uid="{00000000-0005-0000-0000-0000557B0000}"/>
    <cellStyle name="Input 4 2 4 6 2" xfId="31783" xr:uid="{00000000-0005-0000-0000-0000567B0000}"/>
    <cellStyle name="Input 4 2 4 6 2 2" xfId="31784" xr:uid="{00000000-0005-0000-0000-0000577B0000}"/>
    <cellStyle name="Input 4 2 4 6 3" xfId="31785" xr:uid="{00000000-0005-0000-0000-0000587B0000}"/>
    <cellStyle name="Input 4 2 4 6 3 2" xfId="31786" xr:uid="{00000000-0005-0000-0000-0000597B0000}"/>
    <cellStyle name="Input 4 2 4 6 4" xfId="31787" xr:uid="{00000000-0005-0000-0000-00005A7B0000}"/>
    <cellStyle name="Input 4 2 4 6 5" xfId="31788" xr:uid="{00000000-0005-0000-0000-00005B7B0000}"/>
    <cellStyle name="Input 4 2 4 6 6" xfId="31789" xr:uid="{00000000-0005-0000-0000-00005C7B0000}"/>
    <cellStyle name="Input 4 2 4 7" xfId="31790" xr:uid="{00000000-0005-0000-0000-00005D7B0000}"/>
    <cellStyle name="Input 4 2 4 7 2" xfId="31791" xr:uid="{00000000-0005-0000-0000-00005E7B0000}"/>
    <cellStyle name="Input 4 2 4 8" xfId="31792" xr:uid="{00000000-0005-0000-0000-00005F7B0000}"/>
    <cellStyle name="Input 4 2 4 8 2" xfId="31793" xr:uid="{00000000-0005-0000-0000-0000607B0000}"/>
    <cellStyle name="Input 4 2 4 9" xfId="31794" xr:uid="{00000000-0005-0000-0000-0000617B0000}"/>
    <cellStyle name="Input 4 2 5" xfId="31795" xr:uid="{00000000-0005-0000-0000-0000627B0000}"/>
    <cellStyle name="Input 4 2 5 10" xfId="31796" xr:uid="{00000000-0005-0000-0000-0000637B0000}"/>
    <cellStyle name="Input 4 2 5 2" xfId="31797" xr:uid="{00000000-0005-0000-0000-0000647B0000}"/>
    <cellStyle name="Input 4 2 5 2 2" xfId="31798" xr:uid="{00000000-0005-0000-0000-0000657B0000}"/>
    <cellStyle name="Input 4 2 5 2 2 2" xfId="31799" xr:uid="{00000000-0005-0000-0000-0000667B0000}"/>
    <cellStyle name="Input 4 2 5 2 2 2 2" xfId="31800" xr:uid="{00000000-0005-0000-0000-0000677B0000}"/>
    <cellStyle name="Input 4 2 5 2 2 2 2 2" xfId="31801" xr:uid="{00000000-0005-0000-0000-0000687B0000}"/>
    <cellStyle name="Input 4 2 5 2 2 2 3" xfId="31802" xr:uid="{00000000-0005-0000-0000-0000697B0000}"/>
    <cellStyle name="Input 4 2 5 2 2 2 3 2" xfId="31803" xr:uid="{00000000-0005-0000-0000-00006A7B0000}"/>
    <cellStyle name="Input 4 2 5 2 2 2 4" xfId="31804" xr:uid="{00000000-0005-0000-0000-00006B7B0000}"/>
    <cellStyle name="Input 4 2 5 2 2 2 5" xfId="31805" xr:uid="{00000000-0005-0000-0000-00006C7B0000}"/>
    <cellStyle name="Input 4 2 5 2 2 2 6" xfId="31806" xr:uid="{00000000-0005-0000-0000-00006D7B0000}"/>
    <cellStyle name="Input 4 2 5 2 2 3" xfId="31807" xr:uid="{00000000-0005-0000-0000-00006E7B0000}"/>
    <cellStyle name="Input 4 2 5 2 2 3 2" xfId="31808" xr:uid="{00000000-0005-0000-0000-00006F7B0000}"/>
    <cellStyle name="Input 4 2 5 2 2 4" xfId="31809" xr:uid="{00000000-0005-0000-0000-0000707B0000}"/>
    <cellStyle name="Input 4 2 5 2 2 4 2" xfId="31810" xr:uid="{00000000-0005-0000-0000-0000717B0000}"/>
    <cellStyle name="Input 4 2 5 2 2 5" xfId="31811" xr:uid="{00000000-0005-0000-0000-0000727B0000}"/>
    <cellStyle name="Input 4 2 5 2 2 6" xfId="31812" xr:uid="{00000000-0005-0000-0000-0000737B0000}"/>
    <cellStyle name="Input 4 2 5 2 2 7" xfId="31813" xr:uid="{00000000-0005-0000-0000-0000747B0000}"/>
    <cellStyle name="Input 4 2 5 2 3" xfId="31814" xr:uid="{00000000-0005-0000-0000-0000757B0000}"/>
    <cellStyle name="Input 4 2 5 2 3 2" xfId="31815" xr:uid="{00000000-0005-0000-0000-0000767B0000}"/>
    <cellStyle name="Input 4 2 5 2 3 2 2" xfId="31816" xr:uid="{00000000-0005-0000-0000-0000777B0000}"/>
    <cellStyle name="Input 4 2 5 2 3 3" xfId="31817" xr:uid="{00000000-0005-0000-0000-0000787B0000}"/>
    <cellStyle name="Input 4 2 5 2 3 3 2" xfId="31818" xr:uid="{00000000-0005-0000-0000-0000797B0000}"/>
    <cellStyle name="Input 4 2 5 2 3 4" xfId="31819" xr:uid="{00000000-0005-0000-0000-00007A7B0000}"/>
    <cellStyle name="Input 4 2 5 2 3 5" xfId="31820" xr:uid="{00000000-0005-0000-0000-00007B7B0000}"/>
    <cellStyle name="Input 4 2 5 2 3 6" xfId="31821" xr:uid="{00000000-0005-0000-0000-00007C7B0000}"/>
    <cellStyle name="Input 4 2 5 2 4" xfId="31822" xr:uid="{00000000-0005-0000-0000-00007D7B0000}"/>
    <cellStyle name="Input 4 2 5 2 4 2" xfId="31823" xr:uid="{00000000-0005-0000-0000-00007E7B0000}"/>
    <cellStyle name="Input 4 2 5 2 5" xfId="31824" xr:uid="{00000000-0005-0000-0000-00007F7B0000}"/>
    <cellStyle name="Input 4 2 5 2 5 2" xfId="31825" xr:uid="{00000000-0005-0000-0000-0000807B0000}"/>
    <cellStyle name="Input 4 2 5 2 6" xfId="31826" xr:uid="{00000000-0005-0000-0000-0000817B0000}"/>
    <cellStyle name="Input 4 2 5 2 7" xfId="31827" xr:uid="{00000000-0005-0000-0000-0000827B0000}"/>
    <cellStyle name="Input 4 2 5 2 8" xfId="31828" xr:uid="{00000000-0005-0000-0000-0000837B0000}"/>
    <cellStyle name="Input 4 2 5 3" xfId="31829" xr:uid="{00000000-0005-0000-0000-0000847B0000}"/>
    <cellStyle name="Input 4 2 5 3 2" xfId="31830" xr:uid="{00000000-0005-0000-0000-0000857B0000}"/>
    <cellStyle name="Input 4 2 5 3 2 2" xfId="31831" xr:uid="{00000000-0005-0000-0000-0000867B0000}"/>
    <cellStyle name="Input 4 2 5 3 2 2 2" xfId="31832" xr:uid="{00000000-0005-0000-0000-0000877B0000}"/>
    <cellStyle name="Input 4 2 5 3 2 2 2 2" xfId="31833" xr:uid="{00000000-0005-0000-0000-0000887B0000}"/>
    <cellStyle name="Input 4 2 5 3 2 2 3" xfId="31834" xr:uid="{00000000-0005-0000-0000-0000897B0000}"/>
    <cellStyle name="Input 4 2 5 3 2 2 3 2" xfId="31835" xr:uid="{00000000-0005-0000-0000-00008A7B0000}"/>
    <cellStyle name="Input 4 2 5 3 2 2 4" xfId="31836" xr:uid="{00000000-0005-0000-0000-00008B7B0000}"/>
    <cellStyle name="Input 4 2 5 3 2 2 5" xfId="31837" xr:uid="{00000000-0005-0000-0000-00008C7B0000}"/>
    <cellStyle name="Input 4 2 5 3 2 2 6" xfId="31838" xr:uid="{00000000-0005-0000-0000-00008D7B0000}"/>
    <cellStyle name="Input 4 2 5 3 2 3" xfId="31839" xr:uid="{00000000-0005-0000-0000-00008E7B0000}"/>
    <cellStyle name="Input 4 2 5 3 2 3 2" xfId="31840" xr:uid="{00000000-0005-0000-0000-00008F7B0000}"/>
    <cellStyle name="Input 4 2 5 3 2 4" xfId="31841" xr:uid="{00000000-0005-0000-0000-0000907B0000}"/>
    <cellStyle name="Input 4 2 5 3 2 4 2" xfId="31842" xr:uid="{00000000-0005-0000-0000-0000917B0000}"/>
    <cellStyle name="Input 4 2 5 3 2 5" xfId="31843" xr:uid="{00000000-0005-0000-0000-0000927B0000}"/>
    <cellStyle name="Input 4 2 5 3 2 6" xfId="31844" xr:uid="{00000000-0005-0000-0000-0000937B0000}"/>
    <cellStyle name="Input 4 2 5 3 2 7" xfId="31845" xr:uid="{00000000-0005-0000-0000-0000947B0000}"/>
    <cellStyle name="Input 4 2 5 3 3" xfId="31846" xr:uid="{00000000-0005-0000-0000-0000957B0000}"/>
    <cellStyle name="Input 4 2 5 3 3 2" xfId="31847" xr:uid="{00000000-0005-0000-0000-0000967B0000}"/>
    <cellStyle name="Input 4 2 5 3 3 2 2" xfId="31848" xr:uid="{00000000-0005-0000-0000-0000977B0000}"/>
    <cellStyle name="Input 4 2 5 3 3 3" xfId="31849" xr:uid="{00000000-0005-0000-0000-0000987B0000}"/>
    <cellStyle name="Input 4 2 5 3 3 3 2" xfId="31850" xr:uid="{00000000-0005-0000-0000-0000997B0000}"/>
    <cellStyle name="Input 4 2 5 3 3 4" xfId="31851" xr:uid="{00000000-0005-0000-0000-00009A7B0000}"/>
    <cellStyle name="Input 4 2 5 3 3 5" xfId="31852" xr:uid="{00000000-0005-0000-0000-00009B7B0000}"/>
    <cellStyle name="Input 4 2 5 3 3 6" xfId="31853" xr:uid="{00000000-0005-0000-0000-00009C7B0000}"/>
    <cellStyle name="Input 4 2 5 3 4" xfId="31854" xr:uid="{00000000-0005-0000-0000-00009D7B0000}"/>
    <cellStyle name="Input 4 2 5 3 4 2" xfId="31855" xr:uid="{00000000-0005-0000-0000-00009E7B0000}"/>
    <cellStyle name="Input 4 2 5 3 5" xfId="31856" xr:uid="{00000000-0005-0000-0000-00009F7B0000}"/>
    <cellStyle name="Input 4 2 5 3 5 2" xfId="31857" xr:uid="{00000000-0005-0000-0000-0000A07B0000}"/>
    <cellStyle name="Input 4 2 5 3 6" xfId="31858" xr:uid="{00000000-0005-0000-0000-0000A17B0000}"/>
    <cellStyle name="Input 4 2 5 3 7" xfId="31859" xr:uid="{00000000-0005-0000-0000-0000A27B0000}"/>
    <cellStyle name="Input 4 2 5 3 8" xfId="31860" xr:uid="{00000000-0005-0000-0000-0000A37B0000}"/>
    <cellStyle name="Input 4 2 5 4" xfId="31861" xr:uid="{00000000-0005-0000-0000-0000A47B0000}"/>
    <cellStyle name="Input 4 2 5 4 2" xfId="31862" xr:uid="{00000000-0005-0000-0000-0000A57B0000}"/>
    <cellStyle name="Input 4 2 5 4 2 2" xfId="31863" xr:uid="{00000000-0005-0000-0000-0000A67B0000}"/>
    <cellStyle name="Input 4 2 5 4 2 2 2" xfId="31864" xr:uid="{00000000-0005-0000-0000-0000A77B0000}"/>
    <cellStyle name="Input 4 2 5 4 2 3" xfId="31865" xr:uid="{00000000-0005-0000-0000-0000A87B0000}"/>
    <cellStyle name="Input 4 2 5 4 2 3 2" xfId="31866" xr:uid="{00000000-0005-0000-0000-0000A97B0000}"/>
    <cellStyle name="Input 4 2 5 4 2 4" xfId="31867" xr:uid="{00000000-0005-0000-0000-0000AA7B0000}"/>
    <cellStyle name="Input 4 2 5 4 2 5" xfId="31868" xr:uid="{00000000-0005-0000-0000-0000AB7B0000}"/>
    <cellStyle name="Input 4 2 5 4 2 6" xfId="31869" xr:uid="{00000000-0005-0000-0000-0000AC7B0000}"/>
    <cellStyle name="Input 4 2 5 4 3" xfId="31870" xr:uid="{00000000-0005-0000-0000-0000AD7B0000}"/>
    <cellStyle name="Input 4 2 5 4 3 2" xfId="31871" xr:uid="{00000000-0005-0000-0000-0000AE7B0000}"/>
    <cellStyle name="Input 4 2 5 4 4" xfId="31872" xr:uid="{00000000-0005-0000-0000-0000AF7B0000}"/>
    <cellStyle name="Input 4 2 5 4 4 2" xfId="31873" xr:uid="{00000000-0005-0000-0000-0000B07B0000}"/>
    <cellStyle name="Input 4 2 5 4 5" xfId="31874" xr:uid="{00000000-0005-0000-0000-0000B17B0000}"/>
    <cellStyle name="Input 4 2 5 4 6" xfId="31875" xr:uid="{00000000-0005-0000-0000-0000B27B0000}"/>
    <cellStyle name="Input 4 2 5 4 7" xfId="31876" xr:uid="{00000000-0005-0000-0000-0000B37B0000}"/>
    <cellStyle name="Input 4 2 5 5" xfId="31877" xr:uid="{00000000-0005-0000-0000-0000B47B0000}"/>
    <cellStyle name="Input 4 2 5 5 2" xfId="31878" xr:uid="{00000000-0005-0000-0000-0000B57B0000}"/>
    <cellStyle name="Input 4 2 5 5 2 2" xfId="31879" xr:uid="{00000000-0005-0000-0000-0000B67B0000}"/>
    <cellStyle name="Input 4 2 5 5 3" xfId="31880" xr:uid="{00000000-0005-0000-0000-0000B77B0000}"/>
    <cellStyle name="Input 4 2 5 5 3 2" xfId="31881" xr:uid="{00000000-0005-0000-0000-0000B87B0000}"/>
    <cellStyle name="Input 4 2 5 5 4" xfId="31882" xr:uid="{00000000-0005-0000-0000-0000B97B0000}"/>
    <cellStyle name="Input 4 2 5 5 5" xfId="31883" xr:uid="{00000000-0005-0000-0000-0000BA7B0000}"/>
    <cellStyle name="Input 4 2 5 5 6" xfId="31884" xr:uid="{00000000-0005-0000-0000-0000BB7B0000}"/>
    <cellStyle name="Input 4 2 5 6" xfId="31885" xr:uid="{00000000-0005-0000-0000-0000BC7B0000}"/>
    <cellStyle name="Input 4 2 5 6 2" xfId="31886" xr:uid="{00000000-0005-0000-0000-0000BD7B0000}"/>
    <cellStyle name="Input 4 2 5 7" xfId="31887" xr:uid="{00000000-0005-0000-0000-0000BE7B0000}"/>
    <cellStyle name="Input 4 2 5 7 2" xfId="31888" xr:uid="{00000000-0005-0000-0000-0000BF7B0000}"/>
    <cellStyle name="Input 4 2 5 8" xfId="31889" xr:uid="{00000000-0005-0000-0000-0000C07B0000}"/>
    <cellStyle name="Input 4 2 5 9" xfId="31890" xr:uid="{00000000-0005-0000-0000-0000C17B0000}"/>
    <cellStyle name="Input 4 2 6" xfId="31891" xr:uid="{00000000-0005-0000-0000-0000C27B0000}"/>
    <cellStyle name="Input 4 2 6 2" xfId="31892" xr:uid="{00000000-0005-0000-0000-0000C37B0000}"/>
    <cellStyle name="Input 4 2 6 2 2" xfId="31893" xr:uid="{00000000-0005-0000-0000-0000C47B0000}"/>
    <cellStyle name="Input 4 2 6 2 2 2" xfId="31894" xr:uid="{00000000-0005-0000-0000-0000C57B0000}"/>
    <cellStyle name="Input 4 2 6 2 2 2 2" xfId="31895" xr:uid="{00000000-0005-0000-0000-0000C67B0000}"/>
    <cellStyle name="Input 4 2 6 2 2 3" xfId="31896" xr:uid="{00000000-0005-0000-0000-0000C77B0000}"/>
    <cellStyle name="Input 4 2 6 2 2 3 2" xfId="31897" xr:uid="{00000000-0005-0000-0000-0000C87B0000}"/>
    <cellStyle name="Input 4 2 6 2 2 4" xfId="31898" xr:uid="{00000000-0005-0000-0000-0000C97B0000}"/>
    <cellStyle name="Input 4 2 6 2 2 5" xfId="31899" xr:uid="{00000000-0005-0000-0000-0000CA7B0000}"/>
    <cellStyle name="Input 4 2 6 2 2 6" xfId="31900" xr:uid="{00000000-0005-0000-0000-0000CB7B0000}"/>
    <cellStyle name="Input 4 2 6 2 3" xfId="31901" xr:uid="{00000000-0005-0000-0000-0000CC7B0000}"/>
    <cellStyle name="Input 4 2 6 2 3 2" xfId="31902" xr:uid="{00000000-0005-0000-0000-0000CD7B0000}"/>
    <cellStyle name="Input 4 2 6 2 4" xfId="31903" xr:uid="{00000000-0005-0000-0000-0000CE7B0000}"/>
    <cellStyle name="Input 4 2 6 2 4 2" xfId="31904" xr:uid="{00000000-0005-0000-0000-0000CF7B0000}"/>
    <cellStyle name="Input 4 2 6 2 5" xfId="31905" xr:uid="{00000000-0005-0000-0000-0000D07B0000}"/>
    <cellStyle name="Input 4 2 6 2 6" xfId="31906" xr:uid="{00000000-0005-0000-0000-0000D17B0000}"/>
    <cellStyle name="Input 4 2 6 2 7" xfId="31907" xr:uid="{00000000-0005-0000-0000-0000D27B0000}"/>
    <cellStyle name="Input 4 2 6 3" xfId="31908" xr:uid="{00000000-0005-0000-0000-0000D37B0000}"/>
    <cellStyle name="Input 4 2 6 3 2" xfId="31909" xr:uid="{00000000-0005-0000-0000-0000D47B0000}"/>
    <cellStyle name="Input 4 2 6 3 2 2" xfId="31910" xr:uid="{00000000-0005-0000-0000-0000D57B0000}"/>
    <cellStyle name="Input 4 2 6 3 3" xfId="31911" xr:uid="{00000000-0005-0000-0000-0000D67B0000}"/>
    <cellStyle name="Input 4 2 6 3 3 2" xfId="31912" xr:uid="{00000000-0005-0000-0000-0000D77B0000}"/>
    <cellStyle name="Input 4 2 6 3 4" xfId="31913" xr:uid="{00000000-0005-0000-0000-0000D87B0000}"/>
    <cellStyle name="Input 4 2 6 3 5" xfId="31914" xr:uid="{00000000-0005-0000-0000-0000D97B0000}"/>
    <cellStyle name="Input 4 2 6 3 6" xfId="31915" xr:uid="{00000000-0005-0000-0000-0000DA7B0000}"/>
    <cellStyle name="Input 4 2 6 4" xfId="31916" xr:uid="{00000000-0005-0000-0000-0000DB7B0000}"/>
    <cellStyle name="Input 4 2 6 4 2" xfId="31917" xr:uid="{00000000-0005-0000-0000-0000DC7B0000}"/>
    <cellStyle name="Input 4 2 6 5" xfId="31918" xr:uid="{00000000-0005-0000-0000-0000DD7B0000}"/>
    <cellStyle name="Input 4 2 6 5 2" xfId="31919" xr:uid="{00000000-0005-0000-0000-0000DE7B0000}"/>
    <cellStyle name="Input 4 2 6 6" xfId="31920" xr:uid="{00000000-0005-0000-0000-0000DF7B0000}"/>
    <cellStyle name="Input 4 2 6 7" xfId="31921" xr:uid="{00000000-0005-0000-0000-0000E07B0000}"/>
    <cellStyle name="Input 4 2 6 8" xfId="31922" xr:uid="{00000000-0005-0000-0000-0000E17B0000}"/>
    <cellStyle name="Input 4 2 7" xfId="31923" xr:uid="{00000000-0005-0000-0000-0000E27B0000}"/>
    <cellStyle name="Input 4 2 7 2" xfId="31924" xr:uid="{00000000-0005-0000-0000-0000E37B0000}"/>
    <cellStyle name="Input 4 2 7 2 2" xfId="31925" xr:uid="{00000000-0005-0000-0000-0000E47B0000}"/>
    <cellStyle name="Input 4 2 7 2 2 2" xfId="31926" xr:uid="{00000000-0005-0000-0000-0000E57B0000}"/>
    <cellStyle name="Input 4 2 7 2 3" xfId="31927" xr:uid="{00000000-0005-0000-0000-0000E67B0000}"/>
    <cellStyle name="Input 4 2 7 2 3 2" xfId="31928" xr:uid="{00000000-0005-0000-0000-0000E77B0000}"/>
    <cellStyle name="Input 4 2 7 2 4" xfId="31929" xr:uid="{00000000-0005-0000-0000-0000E87B0000}"/>
    <cellStyle name="Input 4 2 7 2 5" xfId="31930" xr:uid="{00000000-0005-0000-0000-0000E97B0000}"/>
    <cellStyle name="Input 4 2 7 2 6" xfId="31931" xr:uid="{00000000-0005-0000-0000-0000EA7B0000}"/>
    <cellStyle name="Input 4 2 7 3" xfId="31932" xr:uid="{00000000-0005-0000-0000-0000EB7B0000}"/>
    <cellStyle name="Input 4 2 7 3 2" xfId="31933" xr:uid="{00000000-0005-0000-0000-0000EC7B0000}"/>
    <cellStyle name="Input 4 2 7 4" xfId="31934" xr:uid="{00000000-0005-0000-0000-0000ED7B0000}"/>
    <cellStyle name="Input 4 2 7 4 2" xfId="31935" xr:uid="{00000000-0005-0000-0000-0000EE7B0000}"/>
    <cellStyle name="Input 4 2 7 5" xfId="31936" xr:uid="{00000000-0005-0000-0000-0000EF7B0000}"/>
    <cellStyle name="Input 4 2 7 6" xfId="31937" xr:uid="{00000000-0005-0000-0000-0000F07B0000}"/>
    <cellStyle name="Input 4 2 7 7" xfId="31938" xr:uid="{00000000-0005-0000-0000-0000F17B0000}"/>
    <cellStyle name="Input 4 2 8" xfId="31939" xr:uid="{00000000-0005-0000-0000-0000F27B0000}"/>
    <cellStyle name="Input 4 2 8 2" xfId="31940" xr:uid="{00000000-0005-0000-0000-0000F37B0000}"/>
    <cellStyle name="Input 4 2 9" xfId="31941" xr:uid="{00000000-0005-0000-0000-0000F47B0000}"/>
    <cellStyle name="Input 4 2 9 2" xfId="31942" xr:uid="{00000000-0005-0000-0000-0000F57B0000}"/>
    <cellStyle name="Input 4 3" xfId="31943" xr:uid="{00000000-0005-0000-0000-0000F67B0000}"/>
    <cellStyle name="Input 4 3 10" xfId="31944" xr:uid="{00000000-0005-0000-0000-0000F77B0000}"/>
    <cellStyle name="Input 4 3 11" xfId="31945" xr:uid="{00000000-0005-0000-0000-0000F87B0000}"/>
    <cellStyle name="Input 4 3 12" xfId="31946" xr:uid="{00000000-0005-0000-0000-0000F97B0000}"/>
    <cellStyle name="Input 4 3 2" xfId="31947" xr:uid="{00000000-0005-0000-0000-0000FA7B0000}"/>
    <cellStyle name="Input 4 3 2 10" xfId="31948" xr:uid="{00000000-0005-0000-0000-0000FB7B0000}"/>
    <cellStyle name="Input 4 3 2 11" xfId="31949" xr:uid="{00000000-0005-0000-0000-0000FC7B0000}"/>
    <cellStyle name="Input 4 3 2 2" xfId="31950" xr:uid="{00000000-0005-0000-0000-0000FD7B0000}"/>
    <cellStyle name="Input 4 3 2 2 10" xfId="31951" xr:uid="{00000000-0005-0000-0000-0000FE7B0000}"/>
    <cellStyle name="Input 4 3 2 2 2" xfId="31952" xr:uid="{00000000-0005-0000-0000-0000FF7B0000}"/>
    <cellStyle name="Input 4 3 2 2 2 2" xfId="31953" xr:uid="{00000000-0005-0000-0000-0000007C0000}"/>
    <cellStyle name="Input 4 3 2 2 2 2 2" xfId="31954" xr:uid="{00000000-0005-0000-0000-0000017C0000}"/>
    <cellStyle name="Input 4 3 2 2 2 2 2 2" xfId="31955" xr:uid="{00000000-0005-0000-0000-0000027C0000}"/>
    <cellStyle name="Input 4 3 2 2 2 2 2 2 2" xfId="31956" xr:uid="{00000000-0005-0000-0000-0000037C0000}"/>
    <cellStyle name="Input 4 3 2 2 2 2 2 3" xfId="31957" xr:uid="{00000000-0005-0000-0000-0000047C0000}"/>
    <cellStyle name="Input 4 3 2 2 2 2 2 3 2" xfId="31958" xr:uid="{00000000-0005-0000-0000-0000057C0000}"/>
    <cellStyle name="Input 4 3 2 2 2 2 2 4" xfId="31959" xr:uid="{00000000-0005-0000-0000-0000067C0000}"/>
    <cellStyle name="Input 4 3 2 2 2 2 2 5" xfId="31960" xr:uid="{00000000-0005-0000-0000-0000077C0000}"/>
    <cellStyle name="Input 4 3 2 2 2 2 2 6" xfId="31961" xr:uid="{00000000-0005-0000-0000-0000087C0000}"/>
    <cellStyle name="Input 4 3 2 2 2 2 3" xfId="31962" xr:uid="{00000000-0005-0000-0000-0000097C0000}"/>
    <cellStyle name="Input 4 3 2 2 2 2 3 2" xfId="31963" xr:uid="{00000000-0005-0000-0000-00000A7C0000}"/>
    <cellStyle name="Input 4 3 2 2 2 2 4" xfId="31964" xr:uid="{00000000-0005-0000-0000-00000B7C0000}"/>
    <cellStyle name="Input 4 3 2 2 2 2 4 2" xfId="31965" xr:uid="{00000000-0005-0000-0000-00000C7C0000}"/>
    <cellStyle name="Input 4 3 2 2 2 2 5" xfId="31966" xr:uid="{00000000-0005-0000-0000-00000D7C0000}"/>
    <cellStyle name="Input 4 3 2 2 2 2 6" xfId="31967" xr:uid="{00000000-0005-0000-0000-00000E7C0000}"/>
    <cellStyle name="Input 4 3 2 2 2 2 7" xfId="31968" xr:uid="{00000000-0005-0000-0000-00000F7C0000}"/>
    <cellStyle name="Input 4 3 2 2 2 3" xfId="31969" xr:uid="{00000000-0005-0000-0000-0000107C0000}"/>
    <cellStyle name="Input 4 3 2 2 2 3 2" xfId="31970" xr:uid="{00000000-0005-0000-0000-0000117C0000}"/>
    <cellStyle name="Input 4 3 2 2 2 3 2 2" xfId="31971" xr:uid="{00000000-0005-0000-0000-0000127C0000}"/>
    <cellStyle name="Input 4 3 2 2 2 3 3" xfId="31972" xr:uid="{00000000-0005-0000-0000-0000137C0000}"/>
    <cellStyle name="Input 4 3 2 2 2 3 3 2" xfId="31973" xr:uid="{00000000-0005-0000-0000-0000147C0000}"/>
    <cellStyle name="Input 4 3 2 2 2 3 4" xfId="31974" xr:uid="{00000000-0005-0000-0000-0000157C0000}"/>
    <cellStyle name="Input 4 3 2 2 2 3 5" xfId="31975" xr:uid="{00000000-0005-0000-0000-0000167C0000}"/>
    <cellStyle name="Input 4 3 2 2 2 3 6" xfId="31976" xr:uid="{00000000-0005-0000-0000-0000177C0000}"/>
    <cellStyle name="Input 4 3 2 2 2 4" xfId="31977" xr:uid="{00000000-0005-0000-0000-0000187C0000}"/>
    <cellStyle name="Input 4 3 2 2 2 4 2" xfId="31978" xr:uid="{00000000-0005-0000-0000-0000197C0000}"/>
    <cellStyle name="Input 4 3 2 2 2 5" xfId="31979" xr:uid="{00000000-0005-0000-0000-00001A7C0000}"/>
    <cellStyle name="Input 4 3 2 2 2 5 2" xfId="31980" xr:uid="{00000000-0005-0000-0000-00001B7C0000}"/>
    <cellStyle name="Input 4 3 2 2 2 6" xfId="31981" xr:uid="{00000000-0005-0000-0000-00001C7C0000}"/>
    <cellStyle name="Input 4 3 2 2 2 7" xfId="31982" xr:uid="{00000000-0005-0000-0000-00001D7C0000}"/>
    <cellStyle name="Input 4 3 2 2 2 8" xfId="31983" xr:uid="{00000000-0005-0000-0000-00001E7C0000}"/>
    <cellStyle name="Input 4 3 2 2 3" xfId="31984" xr:uid="{00000000-0005-0000-0000-00001F7C0000}"/>
    <cellStyle name="Input 4 3 2 2 3 2" xfId="31985" xr:uid="{00000000-0005-0000-0000-0000207C0000}"/>
    <cellStyle name="Input 4 3 2 2 3 2 2" xfId="31986" xr:uid="{00000000-0005-0000-0000-0000217C0000}"/>
    <cellStyle name="Input 4 3 2 2 3 2 2 2" xfId="31987" xr:uid="{00000000-0005-0000-0000-0000227C0000}"/>
    <cellStyle name="Input 4 3 2 2 3 2 2 2 2" xfId="31988" xr:uid="{00000000-0005-0000-0000-0000237C0000}"/>
    <cellStyle name="Input 4 3 2 2 3 2 2 3" xfId="31989" xr:uid="{00000000-0005-0000-0000-0000247C0000}"/>
    <cellStyle name="Input 4 3 2 2 3 2 2 3 2" xfId="31990" xr:uid="{00000000-0005-0000-0000-0000257C0000}"/>
    <cellStyle name="Input 4 3 2 2 3 2 2 4" xfId="31991" xr:uid="{00000000-0005-0000-0000-0000267C0000}"/>
    <cellStyle name="Input 4 3 2 2 3 2 2 5" xfId="31992" xr:uid="{00000000-0005-0000-0000-0000277C0000}"/>
    <cellStyle name="Input 4 3 2 2 3 2 2 6" xfId="31993" xr:uid="{00000000-0005-0000-0000-0000287C0000}"/>
    <cellStyle name="Input 4 3 2 2 3 2 3" xfId="31994" xr:uid="{00000000-0005-0000-0000-0000297C0000}"/>
    <cellStyle name="Input 4 3 2 2 3 2 3 2" xfId="31995" xr:uid="{00000000-0005-0000-0000-00002A7C0000}"/>
    <cellStyle name="Input 4 3 2 2 3 2 4" xfId="31996" xr:uid="{00000000-0005-0000-0000-00002B7C0000}"/>
    <cellStyle name="Input 4 3 2 2 3 2 4 2" xfId="31997" xr:uid="{00000000-0005-0000-0000-00002C7C0000}"/>
    <cellStyle name="Input 4 3 2 2 3 2 5" xfId="31998" xr:uid="{00000000-0005-0000-0000-00002D7C0000}"/>
    <cellStyle name="Input 4 3 2 2 3 2 6" xfId="31999" xr:uid="{00000000-0005-0000-0000-00002E7C0000}"/>
    <cellStyle name="Input 4 3 2 2 3 2 7" xfId="32000" xr:uid="{00000000-0005-0000-0000-00002F7C0000}"/>
    <cellStyle name="Input 4 3 2 2 3 3" xfId="32001" xr:uid="{00000000-0005-0000-0000-0000307C0000}"/>
    <cellStyle name="Input 4 3 2 2 3 3 2" xfId="32002" xr:uid="{00000000-0005-0000-0000-0000317C0000}"/>
    <cellStyle name="Input 4 3 2 2 3 3 2 2" xfId="32003" xr:uid="{00000000-0005-0000-0000-0000327C0000}"/>
    <cellStyle name="Input 4 3 2 2 3 3 3" xfId="32004" xr:uid="{00000000-0005-0000-0000-0000337C0000}"/>
    <cellStyle name="Input 4 3 2 2 3 3 3 2" xfId="32005" xr:uid="{00000000-0005-0000-0000-0000347C0000}"/>
    <cellStyle name="Input 4 3 2 2 3 3 4" xfId="32006" xr:uid="{00000000-0005-0000-0000-0000357C0000}"/>
    <cellStyle name="Input 4 3 2 2 3 3 5" xfId="32007" xr:uid="{00000000-0005-0000-0000-0000367C0000}"/>
    <cellStyle name="Input 4 3 2 2 3 3 6" xfId="32008" xr:uid="{00000000-0005-0000-0000-0000377C0000}"/>
    <cellStyle name="Input 4 3 2 2 3 4" xfId="32009" xr:uid="{00000000-0005-0000-0000-0000387C0000}"/>
    <cellStyle name="Input 4 3 2 2 3 4 2" xfId="32010" xr:uid="{00000000-0005-0000-0000-0000397C0000}"/>
    <cellStyle name="Input 4 3 2 2 3 5" xfId="32011" xr:uid="{00000000-0005-0000-0000-00003A7C0000}"/>
    <cellStyle name="Input 4 3 2 2 3 5 2" xfId="32012" xr:uid="{00000000-0005-0000-0000-00003B7C0000}"/>
    <cellStyle name="Input 4 3 2 2 3 6" xfId="32013" xr:uid="{00000000-0005-0000-0000-00003C7C0000}"/>
    <cellStyle name="Input 4 3 2 2 3 7" xfId="32014" xr:uid="{00000000-0005-0000-0000-00003D7C0000}"/>
    <cellStyle name="Input 4 3 2 2 3 8" xfId="32015" xr:uid="{00000000-0005-0000-0000-00003E7C0000}"/>
    <cellStyle name="Input 4 3 2 2 4" xfId="32016" xr:uid="{00000000-0005-0000-0000-00003F7C0000}"/>
    <cellStyle name="Input 4 3 2 2 4 2" xfId="32017" xr:uid="{00000000-0005-0000-0000-0000407C0000}"/>
    <cellStyle name="Input 4 3 2 2 4 2 2" xfId="32018" xr:uid="{00000000-0005-0000-0000-0000417C0000}"/>
    <cellStyle name="Input 4 3 2 2 4 2 2 2" xfId="32019" xr:uid="{00000000-0005-0000-0000-0000427C0000}"/>
    <cellStyle name="Input 4 3 2 2 4 2 3" xfId="32020" xr:uid="{00000000-0005-0000-0000-0000437C0000}"/>
    <cellStyle name="Input 4 3 2 2 4 2 3 2" xfId="32021" xr:uid="{00000000-0005-0000-0000-0000447C0000}"/>
    <cellStyle name="Input 4 3 2 2 4 2 4" xfId="32022" xr:uid="{00000000-0005-0000-0000-0000457C0000}"/>
    <cellStyle name="Input 4 3 2 2 4 2 5" xfId="32023" xr:uid="{00000000-0005-0000-0000-0000467C0000}"/>
    <cellStyle name="Input 4 3 2 2 4 2 6" xfId="32024" xr:uid="{00000000-0005-0000-0000-0000477C0000}"/>
    <cellStyle name="Input 4 3 2 2 4 3" xfId="32025" xr:uid="{00000000-0005-0000-0000-0000487C0000}"/>
    <cellStyle name="Input 4 3 2 2 4 3 2" xfId="32026" xr:uid="{00000000-0005-0000-0000-0000497C0000}"/>
    <cellStyle name="Input 4 3 2 2 4 4" xfId="32027" xr:uid="{00000000-0005-0000-0000-00004A7C0000}"/>
    <cellStyle name="Input 4 3 2 2 4 4 2" xfId="32028" xr:uid="{00000000-0005-0000-0000-00004B7C0000}"/>
    <cellStyle name="Input 4 3 2 2 4 5" xfId="32029" xr:uid="{00000000-0005-0000-0000-00004C7C0000}"/>
    <cellStyle name="Input 4 3 2 2 4 6" xfId="32030" xr:uid="{00000000-0005-0000-0000-00004D7C0000}"/>
    <cellStyle name="Input 4 3 2 2 4 7" xfId="32031" xr:uid="{00000000-0005-0000-0000-00004E7C0000}"/>
    <cellStyle name="Input 4 3 2 2 5" xfId="32032" xr:uid="{00000000-0005-0000-0000-00004F7C0000}"/>
    <cellStyle name="Input 4 3 2 2 5 2" xfId="32033" xr:uid="{00000000-0005-0000-0000-0000507C0000}"/>
    <cellStyle name="Input 4 3 2 2 5 2 2" xfId="32034" xr:uid="{00000000-0005-0000-0000-0000517C0000}"/>
    <cellStyle name="Input 4 3 2 2 5 3" xfId="32035" xr:uid="{00000000-0005-0000-0000-0000527C0000}"/>
    <cellStyle name="Input 4 3 2 2 5 3 2" xfId="32036" xr:uid="{00000000-0005-0000-0000-0000537C0000}"/>
    <cellStyle name="Input 4 3 2 2 5 4" xfId="32037" xr:uid="{00000000-0005-0000-0000-0000547C0000}"/>
    <cellStyle name="Input 4 3 2 2 5 5" xfId="32038" xr:uid="{00000000-0005-0000-0000-0000557C0000}"/>
    <cellStyle name="Input 4 3 2 2 5 6" xfId="32039" xr:uid="{00000000-0005-0000-0000-0000567C0000}"/>
    <cellStyle name="Input 4 3 2 2 6" xfId="32040" xr:uid="{00000000-0005-0000-0000-0000577C0000}"/>
    <cellStyle name="Input 4 3 2 2 6 2" xfId="32041" xr:uid="{00000000-0005-0000-0000-0000587C0000}"/>
    <cellStyle name="Input 4 3 2 2 7" xfId="32042" xr:uid="{00000000-0005-0000-0000-0000597C0000}"/>
    <cellStyle name="Input 4 3 2 2 7 2" xfId="32043" xr:uid="{00000000-0005-0000-0000-00005A7C0000}"/>
    <cellStyle name="Input 4 3 2 2 8" xfId="32044" xr:uid="{00000000-0005-0000-0000-00005B7C0000}"/>
    <cellStyle name="Input 4 3 2 2 9" xfId="32045" xr:uid="{00000000-0005-0000-0000-00005C7C0000}"/>
    <cellStyle name="Input 4 3 2 3" xfId="32046" xr:uid="{00000000-0005-0000-0000-00005D7C0000}"/>
    <cellStyle name="Input 4 3 2 3 2" xfId="32047" xr:uid="{00000000-0005-0000-0000-00005E7C0000}"/>
    <cellStyle name="Input 4 3 2 3 2 2" xfId="32048" xr:uid="{00000000-0005-0000-0000-00005F7C0000}"/>
    <cellStyle name="Input 4 3 2 3 2 2 2" xfId="32049" xr:uid="{00000000-0005-0000-0000-0000607C0000}"/>
    <cellStyle name="Input 4 3 2 3 2 2 2 2" xfId="32050" xr:uid="{00000000-0005-0000-0000-0000617C0000}"/>
    <cellStyle name="Input 4 3 2 3 2 2 3" xfId="32051" xr:uid="{00000000-0005-0000-0000-0000627C0000}"/>
    <cellStyle name="Input 4 3 2 3 2 2 3 2" xfId="32052" xr:uid="{00000000-0005-0000-0000-0000637C0000}"/>
    <cellStyle name="Input 4 3 2 3 2 2 4" xfId="32053" xr:uid="{00000000-0005-0000-0000-0000647C0000}"/>
    <cellStyle name="Input 4 3 2 3 2 2 5" xfId="32054" xr:uid="{00000000-0005-0000-0000-0000657C0000}"/>
    <cellStyle name="Input 4 3 2 3 2 2 6" xfId="32055" xr:uid="{00000000-0005-0000-0000-0000667C0000}"/>
    <cellStyle name="Input 4 3 2 3 2 3" xfId="32056" xr:uid="{00000000-0005-0000-0000-0000677C0000}"/>
    <cellStyle name="Input 4 3 2 3 2 3 2" xfId="32057" xr:uid="{00000000-0005-0000-0000-0000687C0000}"/>
    <cellStyle name="Input 4 3 2 3 2 4" xfId="32058" xr:uid="{00000000-0005-0000-0000-0000697C0000}"/>
    <cellStyle name="Input 4 3 2 3 2 4 2" xfId="32059" xr:uid="{00000000-0005-0000-0000-00006A7C0000}"/>
    <cellStyle name="Input 4 3 2 3 2 5" xfId="32060" xr:uid="{00000000-0005-0000-0000-00006B7C0000}"/>
    <cellStyle name="Input 4 3 2 3 2 6" xfId="32061" xr:uid="{00000000-0005-0000-0000-00006C7C0000}"/>
    <cellStyle name="Input 4 3 2 3 2 7" xfId="32062" xr:uid="{00000000-0005-0000-0000-00006D7C0000}"/>
    <cellStyle name="Input 4 3 2 3 3" xfId="32063" xr:uid="{00000000-0005-0000-0000-00006E7C0000}"/>
    <cellStyle name="Input 4 3 2 3 3 2" xfId="32064" xr:uid="{00000000-0005-0000-0000-00006F7C0000}"/>
    <cellStyle name="Input 4 3 2 3 3 2 2" xfId="32065" xr:uid="{00000000-0005-0000-0000-0000707C0000}"/>
    <cellStyle name="Input 4 3 2 3 3 3" xfId="32066" xr:uid="{00000000-0005-0000-0000-0000717C0000}"/>
    <cellStyle name="Input 4 3 2 3 3 3 2" xfId="32067" xr:uid="{00000000-0005-0000-0000-0000727C0000}"/>
    <cellStyle name="Input 4 3 2 3 3 4" xfId="32068" xr:uid="{00000000-0005-0000-0000-0000737C0000}"/>
    <cellStyle name="Input 4 3 2 3 3 5" xfId="32069" xr:uid="{00000000-0005-0000-0000-0000747C0000}"/>
    <cellStyle name="Input 4 3 2 3 3 6" xfId="32070" xr:uid="{00000000-0005-0000-0000-0000757C0000}"/>
    <cellStyle name="Input 4 3 2 3 4" xfId="32071" xr:uid="{00000000-0005-0000-0000-0000767C0000}"/>
    <cellStyle name="Input 4 3 2 3 4 2" xfId="32072" xr:uid="{00000000-0005-0000-0000-0000777C0000}"/>
    <cellStyle name="Input 4 3 2 3 5" xfId="32073" xr:uid="{00000000-0005-0000-0000-0000787C0000}"/>
    <cellStyle name="Input 4 3 2 3 5 2" xfId="32074" xr:uid="{00000000-0005-0000-0000-0000797C0000}"/>
    <cellStyle name="Input 4 3 2 3 6" xfId="32075" xr:uid="{00000000-0005-0000-0000-00007A7C0000}"/>
    <cellStyle name="Input 4 3 2 3 7" xfId="32076" xr:uid="{00000000-0005-0000-0000-00007B7C0000}"/>
    <cellStyle name="Input 4 3 2 3 8" xfId="32077" xr:uid="{00000000-0005-0000-0000-00007C7C0000}"/>
    <cellStyle name="Input 4 3 2 4" xfId="32078" xr:uid="{00000000-0005-0000-0000-00007D7C0000}"/>
    <cellStyle name="Input 4 3 2 4 2" xfId="32079" xr:uid="{00000000-0005-0000-0000-00007E7C0000}"/>
    <cellStyle name="Input 4 3 2 4 2 2" xfId="32080" xr:uid="{00000000-0005-0000-0000-00007F7C0000}"/>
    <cellStyle name="Input 4 3 2 4 2 2 2" xfId="32081" xr:uid="{00000000-0005-0000-0000-0000807C0000}"/>
    <cellStyle name="Input 4 3 2 4 2 2 2 2" xfId="32082" xr:uid="{00000000-0005-0000-0000-0000817C0000}"/>
    <cellStyle name="Input 4 3 2 4 2 2 3" xfId="32083" xr:uid="{00000000-0005-0000-0000-0000827C0000}"/>
    <cellStyle name="Input 4 3 2 4 2 2 3 2" xfId="32084" xr:uid="{00000000-0005-0000-0000-0000837C0000}"/>
    <cellStyle name="Input 4 3 2 4 2 2 4" xfId="32085" xr:uid="{00000000-0005-0000-0000-0000847C0000}"/>
    <cellStyle name="Input 4 3 2 4 2 2 5" xfId="32086" xr:uid="{00000000-0005-0000-0000-0000857C0000}"/>
    <cellStyle name="Input 4 3 2 4 2 2 6" xfId="32087" xr:uid="{00000000-0005-0000-0000-0000867C0000}"/>
    <cellStyle name="Input 4 3 2 4 2 3" xfId="32088" xr:uid="{00000000-0005-0000-0000-0000877C0000}"/>
    <cellStyle name="Input 4 3 2 4 2 3 2" xfId="32089" xr:uid="{00000000-0005-0000-0000-0000887C0000}"/>
    <cellStyle name="Input 4 3 2 4 2 4" xfId="32090" xr:uid="{00000000-0005-0000-0000-0000897C0000}"/>
    <cellStyle name="Input 4 3 2 4 2 4 2" xfId="32091" xr:uid="{00000000-0005-0000-0000-00008A7C0000}"/>
    <cellStyle name="Input 4 3 2 4 2 5" xfId="32092" xr:uid="{00000000-0005-0000-0000-00008B7C0000}"/>
    <cellStyle name="Input 4 3 2 4 2 6" xfId="32093" xr:uid="{00000000-0005-0000-0000-00008C7C0000}"/>
    <cellStyle name="Input 4 3 2 4 2 7" xfId="32094" xr:uid="{00000000-0005-0000-0000-00008D7C0000}"/>
    <cellStyle name="Input 4 3 2 4 3" xfId="32095" xr:uid="{00000000-0005-0000-0000-00008E7C0000}"/>
    <cellStyle name="Input 4 3 2 4 3 2" xfId="32096" xr:uid="{00000000-0005-0000-0000-00008F7C0000}"/>
    <cellStyle name="Input 4 3 2 4 3 2 2" xfId="32097" xr:uid="{00000000-0005-0000-0000-0000907C0000}"/>
    <cellStyle name="Input 4 3 2 4 3 3" xfId="32098" xr:uid="{00000000-0005-0000-0000-0000917C0000}"/>
    <cellStyle name="Input 4 3 2 4 3 3 2" xfId="32099" xr:uid="{00000000-0005-0000-0000-0000927C0000}"/>
    <cellStyle name="Input 4 3 2 4 3 4" xfId="32100" xr:uid="{00000000-0005-0000-0000-0000937C0000}"/>
    <cellStyle name="Input 4 3 2 4 3 5" xfId="32101" xr:uid="{00000000-0005-0000-0000-0000947C0000}"/>
    <cellStyle name="Input 4 3 2 4 3 6" xfId="32102" xr:uid="{00000000-0005-0000-0000-0000957C0000}"/>
    <cellStyle name="Input 4 3 2 4 4" xfId="32103" xr:uid="{00000000-0005-0000-0000-0000967C0000}"/>
    <cellStyle name="Input 4 3 2 4 4 2" xfId="32104" xr:uid="{00000000-0005-0000-0000-0000977C0000}"/>
    <cellStyle name="Input 4 3 2 4 5" xfId="32105" xr:uid="{00000000-0005-0000-0000-0000987C0000}"/>
    <cellStyle name="Input 4 3 2 4 5 2" xfId="32106" xr:uid="{00000000-0005-0000-0000-0000997C0000}"/>
    <cellStyle name="Input 4 3 2 4 6" xfId="32107" xr:uid="{00000000-0005-0000-0000-00009A7C0000}"/>
    <cellStyle name="Input 4 3 2 4 7" xfId="32108" xr:uid="{00000000-0005-0000-0000-00009B7C0000}"/>
    <cellStyle name="Input 4 3 2 4 8" xfId="32109" xr:uid="{00000000-0005-0000-0000-00009C7C0000}"/>
    <cellStyle name="Input 4 3 2 5" xfId="32110" xr:uid="{00000000-0005-0000-0000-00009D7C0000}"/>
    <cellStyle name="Input 4 3 2 5 2" xfId="32111" xr:uid="{00000000-0005-0000-0000-00009E7C0000}"/>
    <cellStyle name="Input 4 3 2 5 2 2" xfId="32112" xr:uid="{00000000-0005-0000-0000-00009F7C0000}"/>
    <cellStyle name="Input 4 3 2 5 2 2 2" xfId="32113" xr:uid="{00000000-0005-0000-0000-0000A07C0000}"/>
    <cellStyle name="Input 4 3 2 5 2 3" xfId="32114" xr:uid="{00000000-0005-0000-0000-0000A17C0000}"/>
    <cellStyle name="Input 4 3 2 5 2 3 2" xfId="32115" xr:uid="{00000000-0005-0000-0000-0000A27C0000}"/>
    <cellStyle name="Input 4 3 2 5 2 4" xfId="32116" xr:uid="{00000000-0005-0000-0000-0000A37C0000}"/>
    <cellStyle name="Input 4 3 2 5 2 5" xfId="32117" xr:uid="{00000000-0005-0000-0000-0000A47C0000}"/>
    <cellStyle name="Input 4 3 2 5 2 6" xfId="32118" xr:uid="{00000000-0005-0000-0000-0000A57C0000}"/>
    <cellStyle name="Input 4 3 2 5 3" xfId="32119" xr:uid="{00000000-0005-0000-0000-0000A67C0000}"/>
    <cellStyle name="Input 4 3 2 5 3 2" xfId="32120" xr:uid="{00000000-0005-0000-0000-0000A77C0000}"/>
    <cellStyle name="Input 4 3 2 5 4" xfId="32121" xr:uid="{00000000-0005-0000-0000-0000A87C0000}"/>
    <cellStyle name="Input 4 3 2 5 4 2" xfId="32122" xr:uid="{00000000-0005-0000-0000-0000A97C0000}"/>
    <cellStyle name="Input 4 3 2 5 5" xfId="32123" xr:uid="{00000000-0005-0000-0000-0000AA7C0000}"/>
    <cellStyle name="Input 4 3 2 5 6" xfId="32124" xr:uid="{00000000-0005-0000-0000-0000AB7C0000}"/>
    <cellStyle name="Input 4 3 2 5 7" xfId="32125" xr:uid="{00000000-0005-0000-0000-0000AC7C0000}"/>
    <cellStyle name="Input 4 3 2 6" xfId="32126" xr:uid="{00000000-0005-0000-0000-0000AD7C0000}"/>
    <cellStyle name="Input 4 3 2 6 2" xfId="32127" xr:uid="{00000000-0005-0000-0000-0000AE7C0000}"/>
    <cellStyle name="Input 4 3 2 6 2 2" xfId="32128" xr:uid="{00000000-0005-0000-0000-0000AF7C0000}"/>
    <cellStyle name="Input 4 3 2 6 3" xfId="32129" xr:uid="{00000000-0005-0000-0000-0000B07C0000}"/>
    <cellStyle name="Input 4 3 2 6 3 2" xfId="32130" xr:uid="{00000000-0005-0000-0000-0000B17C0000}"/>
    <cellStyle name="Input 4 3 2 6 4" xfId="32131" xr:uid="{00000000-0005-0000-0000-0000B27C0000}"/>
    <cellStyle name="Input 4 3 2 6 5" xfId="32132" xr:uid="{00000000-0005-0000-0000-0000B37C0000}"/>
    <cellStyle name="Input 4 3 2 6 6" xfId="32133" xr:uid="{00000000-0005-0000-0000-0000B47C0000}"/>
    <cellStyle name="Input 4 3 2 7" xfId="32134" xr:uid="{00000000-0005-0000-0000-0000B57C0000}"/>
    <cellStyle name="Input 4 3 2 7 2" xfId="32135" xr:uid="{00000000-0005-0000-0000-0000B67C0000}"/>
    <cellStyle name="Input 4 3 2 8" xfId="32136" xr:uid="{00000000-0005-0000-0000-0000B77C0000}"/>
    <cellStyle name="Input 4 3 2 8 2" xfId="32137" xr:uid="{00000000-0005-0000-0000-0000B87C0000}"/>
    <cellStyle name="Input 4 3 2 9" xfId="32138" xr:uid="{00000000-0005-0000-0000-0000B97C0000}"/>
    <cellStyle name="Input 4 3 3" xfId="32139" xr:uid="{00000000-0005-0000-0000-0000BA7C0000}"/>
    <cellStyle name="Input 4 3 3 10" xfId="32140" xr:uid="{00000000-0005-0000-0000-0000BB7C0000}"/>
    <cellStyle name="Input 4 3 3 2" xfId="32141" xr:uid="{00000000-0005-0000-0000-0000BC7C0000}"/>
    <cellStyle name="Input 4 3 3 2 10" xfId="32142" xr:uid="{00000000-0005-0000-0000-0000BD7C0000}"/>
    <cellStyle name="Input 4 3 3 2 2" xfId="32143" xr:uid="{00000000-0005-0000-0000-0000BE7C0000}"/>
    <cellStyle name="Input 4 3 3 2 2 2" xfId="32144" xr:uid="{00000000-0005-0000-0000-0000BF7C0000}"/>
    <cellStyle name="Input 4 3 3 2 2 2 2" xfId="32145" xr:uid="{00000000-0005-0000-0000-0000C07C0000}"/>
    <cellStyle name="Input 4 3 3 2 2 2 2 2" xfId="32146" xr:uid="{00000000-0005-0000-0000-0000C17C0000}"/>
    <cellStyle name="Input 4 3 3 2 2 2 2 2 2" xfId="32147" xr:uid="{00000000-0005-0000-0000-0000C27C0000}"/>
    <cellStyle name="Input 4 3 3 2 2 2 2 3" xfId="32148" xr:uid="{00000000-0005-0000-0000-0000C37C0000}"/>
    <cellStyle name="Input 4 3 3 2 2 2 2 3 2" xfId="32149" xr:uid="{00000000-0005-0000-0000-0000C47C0000}"/>
    <cellStyle name="Input 4 3 3 2 2 2 2 4" xfId="32150" xr:uid="{00000000-0005-0000-0000-0000C57C0000}"/>
    <cellStyle name="Input 4 3 3 2 2 2 2 5" xfId="32151" xr:uid="{00000000-0005-0000-0000-0000C67C0000}"/>
    <cellStyle name="Input 4 3 3 2 2 2 2 6" xfId="32152" xr:uid="{00000000-0005-0000-0000-0000C77C0000}"/>
    <cellStyle name="Input 4 3 3 2 2 2 3" xfId="32153" xr:uid="{00000000-0005-0000-0000-0000C87C0000}"/>
    <cellStyle name="Input 4 3 3 2 2 2 3 2" xfId="32154" xr:uid="{00000000-0005-0000-0000-0000C97C0000}"/>
    <cellStyle name="Input 4 3 3 2 2 2 4" xfId="32155" xr:uid="{00000000-0005-0000-0000-0000CA7C0000}"/>
    <cellStyle name="Input 4 3 3 2 2 2 4 2" xfId="32156" xr:uid="{00000000-0005-0000-0000-0000CB7C0000}"/>
    <cellStyle name="Input 4 3 3 2 2 2 5" xfId="32157" xr:uid="{00000000-0005-0000-0000-0000CC7C0000}"/>
    <cellStyle name="Input 4 3 3 2 2 2 6" xfId="32158" xr:uid="{00000000-0005-0000-0000-0000CD7C0000}"/>
    <cellStyle name="Input 4 3 3 2 2 2 7" xfId="32159" xr:uid="{00000000-0005-0000-0000-0000CE7C0000}"/>
    <cellStyle name="Input 4 3 3 2 2 3" xfId="32160" xr:uid="{00000000-0005-0000-0000-0000CF7C0000}"/>
    <cellStyle name="Input 4 3 3 2 2 3 2" xfId="32161" xr:uid="{00000000-0005-0000-0000-0000D07C0000}"/>
    <cellStyle name="Input 4 3 3 2 2 3 2 2" xfId="32162" xr:uid="{00000000-0005-0000-0000-0000D17C0000}"/>
    <cellStyle name="Input 4 3 3 2 2 3 3" xfId="32163" xr:uid="{00000000-0005-0000-0000-0000D27C0000}"/>
    <cellStyle name="Input 4 3 3 2 2 3 3 2" xfId="32164" xr:uid="{00000000-0005-0000-0000-0000D37C0000}"/>
    <cellStyle name="Input 4 3 3 2 2 3 4" xfId="32165" xr:uid="{00000000-0005-0000-0000-0000D47C0000}"/>
    <cellStyle name="Input 4 3 3 2 2 3 5" xfId="32166" xr:uid="{00000000-0005-0000-0000-0000D57C0000}"/>
    <cellStyle name="Input 4 3 3 2 2 3 6" xfId="32167" xr:uid="{00000000-0005-0000-0000-0000D67C0000}"/>
    <cellStyle name="Input 4 3 3 2 2 4" xfId="32168" xr:uid="{00000000-0005-0000-0000-0000D77C0000}"/>
    <cellStyle name="Input 4 3 3 2 2 4 2" xfId="32169" xr:uid="{00000000-0005-0000-0000-0000D87C0000}"/>
    <cellStyle name="Input 4 3 3 2 2 5" xfId="32170" xr:uid="{00000000-0005-0000-0000-0000D97C0000}"/>
    <cellStyle name="Input 4 3 3 2 2 5 2" xfId="32171" xr:uid="{00000000-0005-0000-0000-0000DA7C0000}"/>
    <cellStyle name="Input 4 3 3 2 2 6" xfId="32172" xr:uid="{00000000-0005-0000-0000-0000DB7C0000}"/>
    <cellStyle name="Input 4 3 3 2 2 7" xfId="32173" xr:uid="{00000000-0005-0000-0000-0000DC7C0000}"/>
    <cellStyle name="Input 4 3 3 2 2 8" xfId="32174" xr:uid="{00000000-0005-0000-0000-0000DD7C0000}"/>
    <cellStyle name="Input 4 3 3 2 3" xfId="32175" xr:uid="{00000000-0005-0000-0000-0000DE7C0000}"/>
    <cellStyle name="Input 4 3 3 2 3 2" xfId="32176" xr:uid="{00000000-0005-0000-0000-0000DF7C0000}"/>
    <cellStyle name="Input 4 3 3 2 3 2 2" xfId="32177" xr:uid="{00000000-0005-0000-0000-0000E07C0000}"/>
    <cellStyle name="Input 4 3 3 2 3 2 2 2" xfId="32178" xr:uid="{00000000-0005-0000-0000-0000E17C0000}"/>
    <cellStyle name="Input 4 3 3 2 3 2 2 2 2" xfId="32179" xr:uid="{00000000-0005-0000-0000-0000E27C0000}"/>
    <cellStyle name="Input 4 3 3 2 3 2 2 3" xfId="32180" xr:uid="{00000000-0005-0000-0000-0000E37C0000}"/>
    <cellStyle name="Input 4 3 3 2 3 2 2 3 2" xfId="32181" xr:uid="{00000000-0005-0000-0000-0000E47C0000}"/>
    <cellStyle name="Input 4 3 3 2 3 2 2 4" xfId="32182" xr:uid="{00000000-0005-0000-0000-0000E57C0000}"/>
    <cellStyle name="Input 4 3 3 2 3 2 2 5" xfId="32183" xr:uid="{00000000-0005-0000-0000-0000E67C0000}"/>
    <cellStyle name="Input 4 3 3 2 3 2 2 6" xfId="32184" xr:uid="{00000000-0005-0000-0000-0000E77C0000}"/>
    <cellStyle name="Input 4 3 3 2 3 2 3" xfId="32185" xr:uid="{00000000-0005-0000-0000-0000E87C0000}"/>
    <cellStyle name="Input 4 3 3 2 3 2 3 2" xfId="32186" xr:uid="{00000000-0005-0000-0000-0000E97C0000}"/>
    <cellStyle name="Input 4 3 3 2 3 2 4" xfId="32187" xr:uid="{00000000-0005-0000-0000-0000EA7C0000}"/>
    <cellStyle name="Input 4 3 3 2 3 2 4 2" xfId="32188" xr:uid="{00000000-0005-0000-0000-0000EB7C0000}"/>
    <cellStyle name="Input 4 3 3 2 3 2 5" xfId="32189" xr:uid="{00000000-0005-0000-0000-0000EC7C0000}"/>
    <cellStyle name="Input 4 3 3 2 3 2 6" xfId="32190" xr:uid="{00000000-0005-0000-0000-0000ED7C0000}"/>
    <cellStyle name="Input 4 3 3 2 3 2 7" xfId="32191" xr:uid="{00000000-0005-0000-0000-0000EE7C0000}"/>
    <cellStyle name="Input 4 3 3 2 3 3" xfId="32192" xr:uid="{00000000-0005-0000-0000-0000EF7C0000}"/>
    <cellStyle name="Input 4 3 3 2 3 3 2" xfId="32193" xr:uid="{00000000-0005-0000-0000-0000F07C0000}"/>
    <cellStyle name="Input 4 3 3 2 3 3 2 2" xfId="32194" xr:uid="{00000000-0005-0000-0000-0000F17C0000}"/>
    <cellStyle name="Input 4 3 3 2 3 3 3" xfId="32195" xr:uid="{00000000-0005-0000-0000-0000F27C0000}"/>
    <cellStyle name="Input 4 3 3 2 3 3 3 2" xfId="32196" xr:uid="{00000000-0005-0000-0000-0000F37C0000}"/>
    <cellStyle name="Input 4 3 3 2 3 3 4" xfId="32197" xr:uid="{00000000-0005-0000-0000-0000F47C0000}"/>
    <cellStyle name="Input 4 3 3 2 3 3 5" xfId="32198" xr:uid="{00000000-0005-0000-0000-0000F57C0000}"/>
    <cellStyle name="Input 4 3 3 2 3 3 6" xfId="32199" xr:uid="{00000000-0005-0000-0000-0000F67C0000}"/>
    <cellStyle name="Input 4 3 3 2 3 4" xfId="32200" xr:uid="{00000000-0005-0000-0000-0000F77C0000}"/>
    <cellStyle name="Input 4 3 3 2 3 4 2" xfId="32201" xr:uid="{00000000-0005-0000-0000-0000F87C0000}"/>
    <cellStyle name="Input 4 3 3 2 3 5" xfId="32202" xr:uid="{00000000-0005-0000-0000-0000F97C0000}"/>
    <cellStyle name="Input 4 3 3 2 3 5 2" xfId="32203" xr:uid="{00000000-0005-0000-0000-0000FA7C0000}"/>
    <cellStyle name="Input 4 3 3 2 3 6" xfId="32204" xr:uid="{00000000-0005-0000-0000-0000FB7C0000}"/>
    <cellStyle name="Input 4 3 3 2 3 7" xfId="32205" xr:uid="{00000000-0005-0000-0000-0000FC7C0000}"/>
    <cellStyle name="Input 4 3 3 2 3 8" xfId="32206" xr:uid="{00000000-0005-0000-0000-0000FD7C0000}"/>
    <cellStyle name="Input 4 3 3 2 4" xfId="32207" xr:uid="{00000000-0005-0000-0000-0000FE7C0000}"/>
    <cellStyle name="Input 4 3 3 2 4 2" xfId="32208" xr:uid="{00000000-0005-0000-0000-0000FF7C0000}"/>
    <cellStyle name="Input 4 3 3 2 4 2 2" xfId="32209" xr:uid="{00000000-0005-0000-0000-0000007D0000}"/>
    <cellStyle name="Input 4 3 3 2 4 2 2 2" xfId="32210" xr:uid="{00000000-0005-0000-0000-0000017D0000}"/>
    <cellStyle name="Input 4 3 3 2 4 2 3" xfId="32211" xr:uid="{00000000-0005-0000-0000-0000027D0000}"/>
    <cellStyle name="Input 4 3 3 2 4 2 3 2" xfId="32212" xr:uid="{00000000-0005-0000-0000-0000037D0000}"/>
    <cellStyle name="Input 4 3 3 2 4 2 4" xfId="32213" xr:uid="{00000000-0005-0000-0000-0000047D0000}"/>
    <cellStyle name="Input 4 3 3 2 4 2 5" xfId="32214" xr:uid="{00000000-0005-0000-0000-0000057D0000}"/>
    <cellStyle name="Input 4 3 3 2 4 2 6" xfId="32215" xr:uid="{00000000-0005-0000-0000-0000067D0000}"/>
    <cellStyle name="Input 4 3 3 2 4 3" xfId="32216" xr:uid="{00000000-0005-0000-0000-0000077D0000}"/>
    <cellStyle name="Input 4 3 3 2 4 3 2" xfId="32217" xr:uid="{00000000-0005-0000-0000-0000087D0000}"/>
    <cellStyle name="Input 4 3 3 2 4 4" xfId="32218" xr:uid="{00000000-0005-0000-0000-0000097D0000}"/>
    <cellStyle name="Input 4 3 3 2 4 4 2" xfId="32219" xr:uid="{00000000-0005-0000-0000-00000A7D0000}"/>
    <cellStyle name="Input 4 3 3 2 4 5" xfId="32220" xr:uid="{00000000-0005-0000-0000-00000B7D0000}"/>
    <cellStyle name="Input 4 3 3 2 4 6" xfId="32221" xr:uid="{00000000-0005-0000-0000-00000C7D0000}"/>
    <cellStyle name="Input 4 3 3 2 4 7" xfId="32222" xr:uid="{00000000-0005-0000-0000-00000D7D0000}"/>
    <cellStyle name="Input 4 3 3 2 5" xfId="32223" xr:uid="{00000000-0005-0000-0000-00000E7D0000}"/>
    <cellStyle name="Input 4 3 3 2 5 2" xfId="32224" xr:uid="{00000000-0005-0000-0000-00000F7D0000}"/>
    <cellStyle name="Input 4 3 3 2 5 2 2" xfId="32225" xr:uid="{00000000-0005-0000-0000-0000107D0000}"/>
    <cellStyle name="Input 4 3 3 2 5 3" xfId="32226" xr:uid="{00000000-0005-0000-0000-0000117D0000}"/>
    <cellStyle name="Input 4 3 3 2 5 3 2" xfId="32227" xr:uid="{00000000-0005-0000-0000-0000127D0000}"/>
    <cellStyle name="Input 4 3 3 2 5 4" xfId="32228" xr:uid="{00000000-0005-0000-0000-0000137D0000}"/>
    <cellStyle name="Input 4 3 3 2 5 5" xfId="32229" xr:uid="{00000000-0005-0000-0000-0000147D0000}"/>
    <cellStyle name="Input 4 3 3 2 5 6" xfId="32230" xr:uid="{00000000-0005-0000-0000-0000157D0000}"/>
    <cellStyle name="Input 4 3 3 2 6" xfId="32231" xr:uid="{00000000-0005-0000-0000-0000167D0000}"/>
    <cellStyle name="Input 4 3 3 2 6 2" xfId="32232" xr:uid="{00000000-0005-0000-0000-0000177D0000}"/>
    <cellStyle name="Input 4 3 3 2 7" xfId="32233" xr:uid="{00000000-0005-0000-0000-0000187D0000}"/>
    <cellStyle name="Input 4 3 3 2 7 2" xfId="32234" xr:uid="{00000000-0005-0000-0000-0000197D0000}"/>
    <cellStyle name="Input 4 3 3 2 8" xfId="32235" xr:uid="{00000000-0005-0000-0000-00001A7D0000}"/>
    <cellStyle name="Input 4 3 3 2 9" xfId="32236" xr:uid="{00000000-0005-0000-0000-00001B7D0000}"/>
    <cellStyle name="Input 4 3 3 3" xfId="32237" xr:uid="{00000000-0005-0000-0000-00001C7D0000}"/>
    <cellStyle name="Input 4 3 3 3 2" xfId="32238" xr:uid="{00000000-0005-0000-0000-00001D7D0000}"/>
    <cellStyle name="Input 4 3 3 3 2 2" xfId="32239" xr:uid="{00000000-0005-0000-0000-00001E7D0000}"/>
    <cellStyle name="Input 4 3 3 3 2 2 2" xfId="32240" xr:uid="{00000000-0005-0000-0000-00001F7D0000}"/>
    <cellStyle name="Input 4 3 3 3 2 2 2 2" xfId="32241" xr:uid="{00000000-0005-0000-0000-0000207D0000}"/>
    <cellStyle name="Input 4 3 3 3 2 2 3" xfId="32242" xr:uid="{00000000-0005-0000-0000-0000217D0000}"/>
    <cellStyle name="Input 4 3 3 3 2 2 3 2" xfId="32243" xr:uid="{00000000-0005-0000-0000-0000227D0000}"/>
    <cellStyle name="Input 4 3 3 3 2 2 4" xfId="32244" xr:uid="{00000000-0005-0000-0000-0000237D0000}"/>
    <cellStyle name="Input 4 3 3 3 2 2 5" xfId="32245" xr:uid="{00000000-0005-0000-0000-0000247D0000}"/>
    <cellStyle name="Input 4 3 3 3 2 2 6" xfId="32246" xr:uid="{00000000-0005-0000-0000-0000257D0000}"/>
    <cellStyle name="Input 4 3 3 3 2 3" xfId="32247" xr:uid="{00000000-0005-0000-0000-0000267D0000}"/>
    <cellStyle name="Input 4 3 3 3 2 3 2" xfId="32248" xr:uid="{00000000-0005-0000-0000-0000277D0000}"/>
    <cellStyle name="Input 4 3 3 3 2 4" xfId="32249" xr:uid="{00000000-0005-0000-0000-0000287D0000}"/>
    <cellStyle name="Input 4 3 3 3 2 4 2" xfId="32250" xr:uid="{00000000-0005-0000-0000-0000297D0000}"/>
    <cellStyle name="Input 4 3 3 3 2 5" xfId="32251" xr:uid="{00000000-0005-0000-0000-00002A7D0000}"/>
    <cellStyle name="Input 4 3 3 3 2 6" xfId="32252" xr:uid="{00000000-0005-0000-0000-00002B7D0000}"/>
    <cellStyle name="Input 4 3 3 3 2 7" xfId="32253" xr:uid="{00000000-0005-0000-0000-00002C7D0000}"/>
    <cellStyle name="Input 4 3 3 3 3" xfId="32254" xr:uid="{00000000-0005-0000-0000-00002D7D0000}"/>
    <cellStyle name="Input 4 3 3 3 3 2" xfId="32255" xr:uid="{00000000-0005-0000-0000-00002E7D0000}"/>
    <cellStyle name="Input 4 3 3 3 3 2 2" xfId="32256" xr:uid="{00000000-0005-0000-0000-00002F7D0000}"/>
    <cellStyle name="Input 4 3 3 3 3 3" xfId="32257" xr:uid="{00000000-0005-0000-0000-0000307D0000}"/>
    <cellStyle name="Input 4 3 3 3 3 3 2" xfId="32258" xr:uid="{00000000-0005-0000-0000-0000317D0000}"/>
    <cellStyle name="Input 4 3 3 3 3 4" xfId="32259" xr:uid="{00000000-0005-0000-0000-0000327D0000}"/>
    <cellStyle name="Input 4 3 3 3 3 5" xfId="32260" xr:uid="{00000000-0005-0000-0000-0000337D0000}"/>
    <cellStyle name="Input 4 3 3 3 3 6" xfId="32261" xr:uid="{00000000-0005-0000-0000-0000347D0000}"/>
    <cellStyle name="Input 4 3 3 3 4" xfId="32262" xr:uid="{00000000-0005-0000-0000-0000357D0000}"/>
    <cellStyle name="Input 4 3 3 3 4 2" xfId="32263" xr:uid="{00000000-0005-0000-0000-0000367D0000}"/>
    <cellStyle name="Input 4 3 3 3 5" xfId="32264" xr:uid="{00000000-0005-0000-0000-0000377D0000}"/>
    <cellStyle name="Input 4 3 3 3 5 2" xfId="32265" xr:uid="{00000000-0005-0000-0000-0000387D0000}"/>
    <cellStyle name="Input 4 3 3 3 6" xfId="32266" xr:uid="{00000000-0005-0000-0000-0000397D0000}"/>
    <cellStyle name="Input 4 3 3 3 7" xfId="32267" xr:uid="{00000000-0005-0000-0000-00003A7D0000}"/>
    <cellStyle name="Input 4 3 3 3 8" xfId="32268" xr:uid="{00000000-0005-0000-0000-00003B7D0000}"/>
    <cellStyle name="Input 4 3 3 4" xfId="32269" xr:uid="{00000000-0005-0000-0000-00003C7D0000}"/>
    <cellStyle name="Input 4 3 3 4 2" xfId="32270" xr:uid="{00000000-0005-0000-0000-00003D7D0000}"/>
    <cellStyle name="Input 4 3 3 4 2 2" xfId="32271" xr:uid="{00000000-0005-0000-0000-00003E7D0000}"/>
    <cellStyle name="Input 4 3 3 4 2 2 2" xfId="32272" xr:uid="{00000000-0005-0000-0000-00003F7D0000}"/>
    <cellStyle name="Input 4 3 3 4 2 3" xfId="32273" xr:uid="{00000000-0005-0000-0000-0000407D0000}"/>
    <cellStyle name="Input 4 3 3 4 2 3 2" xfId="32274" xr:uid="{00000000-0005-0000-0000-0000417D0000}"/>
    <cellStyle name="Input 4 3 3 4 2 4" xfId="32275" xr:uid="{00000000-0005-0000-0000-0000427D0000}"/>
    <cellStyle name="Input 4 3 3 4 2 5" xfId="32276" xr:uid="{00000000-0005-0000-0000-0000437D0000}"/>
    <cellStyle name="Input 4 3 3 4 2 6" xfId="32277" xr:uid="{00000000-0005-0000-0000-0000447D0000}"/>
    <cellStyle name="Input 4 3 3 4 3" xfId="32278" xr:uid="{00000000-0005-0000-0000-0000457D0000}"/>
    <cellStyle name="Input 4 3 3 4 3 2" xfId="32279" xr:uid="{00000000-0005-0000-0000-0000467D0000}"/>
    <cellStyle name="Input 4 3 3 4 4" xfId="32280" xr:uid="{00000000-0005-0000-0000-0000477D0000}"/>
    <cellStyle name="Input 4 3 3 4 4 2" xfId="32281" xr:uid="{00000000-0005-0000-0000-0000487D0000}"/>
    <cellStyle name="Input 4 3 3 4 5" xfId="32282" xr:uid="{00000000-0005-0000-0000-0000497D0000}"/>
    <cellStyle name="Input 4 3 3 4 6" xfId="32283" xr:uid="{00000000-0005-0000-0000-00004A7D0000}"/>
    <cellStyle name="Input 4 3 3 4 7" xfId="32284" xr:uid="{00000000-0005-0000-0000-00004B7D0000}"/>
    <cellStyle name="Input 4 3 3 5" xfId="32285" xr:uid="{00000000-0005-0000-0000-00004C7D0000}"/>
    <cellStyle name="Input 4 3 3 5 2" xfId="32286" xr:uid="{00000000-0005-0000-0000-00004D7D0000}"/>
    <cellStyle name="Input 4 3 3 5 2 2" xfId="32287" xr:uid="{00000000-0005-0000-0000-00004E7D0000}"/>
    <cellStyle name="Input 4 3 3 5 3" xfId="32288" xr:uid="{00000000-0005-0000-0000-00004F7D0000}"/>
    <cellStyle name="Input 4 3 3 5 3 2" xfId="32289" xr:uid="{00000000-0005-0000-0000-0000507D0000}"/>
    <cellStyle name="Input 4 3 3 5 4" xfId="32290" xr:uid="{00000000-0005-0000-0000-0000517D0000}"/>
    <cellStyle name="Input 4 3 3 5 5" xfId="32291" xr:uid="{00000000-0005-0000-0000-0000527D0000}"/>
    <cellStyle name="Input 4 3 3 5 6" xfId="32292" xr:uid="{00000000-0005-0000-0000-0000537D0000}"/>
    <cellStyle name="Input 4 3 3 6" xfId="32293" xr:uid="{00000000-0005-0000-0000-0000547D0000}"/>
    <cellStyle name="Input 4 3 3 6 2" xfId="32294" xr:uid="{00000000-0005-0000-0000-0000557D0000}"/>
    <cellStyle name="Input 4 3 3 7" xfId="32295" xr:uid="{00000000-0005-0000-0000-0000567D0000}"/>
    <cellStyle name="Input 4 3 3 7 2" xfId="32296" xr:uid="{00000000-0005-0000-0000-0000577D0000}"/>
    <cellStyle name="Input 4 3 3 8" xfId="32297" xr:uid="{00000000-0005-0000-0000-0000587D0000}"/>
    <cellStyle name="Input 4 3 3 9" xfId="32298" xr:uid="{00000000-0005-0000-0000-0000597D0000}"/>
    <cellStyle name="Input 4 3 4" xfId="32299" xr:uid="{00000000-0005-0000-0000-00005A7D0000}"/>
    <cellStyle name="Input 4 3 4 10" xfId="32300" xr:uid="{00000000-0005-0000-0000-00005B7D0000}"/>
    <cellStyle name="Input 4 3 4 2" xfId="32301" xr:uid="{00000000-0005-0000-0000-00005C7D0000}"/>
    <cellStyle name="Input 4 3 4 2 2" xfId="32302" xr:uid="{00000000-0005-0000-0000-00005D7D0000}"/>
    <cellStyle name="Input 4 3 4 2 2 2" xfId="32303" xr:uid="{00000000-0005-0000-0000-00005E7D0000}"/>
    <cellStyle name="Input 4 3 4 2 2 2 2" xfId="32304" xr:uid="{00000000-0005-0000-0000-00005F7D0000}"/>
    <cellStyle name="Input 4 3 4 2 2 2 2 2" xfId="32305" xr:uid="{00000000-0005-0000-0000-0000607D0000}"/>
    <cellStyle name="Input 4 3 4 2 2 2 3" xfId="32306" xr:uid="{00000000-0005-0000-0000-0000617D0000}"/>
    <cellStyle name="Input 4 3 4 2 2 2 3 2" xfId="32307" xr:uid="{00000000-0005-0000-0000-0000627D0000}"/>
    <cellStyle name="Input 4 3 4 2 2 2 4" xfId="32308" xr:uid="{00000000-0005-0000-0000-0000637D0000}"/>
    <cellStyle name="Input 4 3 4 2 2 2 5" xfId="32309" xr:uid="{00000000-0005-0000-0000-0000647D0000}"/>
    <cellStyle name="Input 4 3 4 2 2 2 6" xfId="32310" xr:uid="{00000000-0005-0000-0000-0000657D0000}"/>
    <cellStyle name="Input 4 3 4 2 2 3" xfId="32311" xr:uid="{00000000-0005-0000-0000-0000667D0000}"/>
    <cellStyle name="Input 4 3 4 2 2 3 2" xfId="32312" xr:uid="{00000000-0005-0000-0000-0000677D0000}"/>
    <cellStyle name="Input 4 3 4 2 2 4" xfId="32313" xr:uid="{00000000-0005-0000-0000-0000687D0000}"/>
    <cellStyle name="Input 4 3 4 2 2 4 2" xfId="32314" xr:uid="{00000000-0005-0000-0000-0000697D0000}"/>
    <cellStyle name="Input 4 3 4 2 2 5" xfId="32315" xr:uid="{00000000-0005-0000-0000-00006A7D0000}"/>
    <cellStyle name="Input 4 3 4 2 2 6" xfId="32316" xr:uid="{00000000-0005-0000-0000-00006B7D0000}"/>
    <cellStyle name="Input 4 3 4 2 2 7" xfId="32317" xr:uid="{00000000-0005-0000-0000-00006C7D0000}"/>
    <cellStyle name="Input 4 3 4 2 3" xfId="32318" xr:uid="{00000000-0005-0000-0000-00006D7D0000}"/>
    <cellStyle name="Input 4 3 4 2 3 2" xfId="32319" xr:uid="{00000000-0005-0000-0000-00006E7D0000}"/>
    <cellStyle name="Input 4 3 4 2 3 2 2" xfId="32320" xr:uid="{00000000-0005-0000-0000-00006F7D0000}"/>
    <cellStyle name="Input 4 3 4 2 3 3" xfId="32321" xr:uid="{00000000-0005-0000-0000-0000707D0000}"/>
    <cellStyle name="Input 4 3 4 2 3 3 2" xfId="32322" xr:uid="{00000000-0005-0000-0000-0000717D0000}"/>
    <cellStyle name="Input 4 3 4 2 3 4" xfId="32323" xr:uid="{00000000-0005-0000-0000-0000727D0000}"/>
    <cellStyle name="Input 4 3 4 2 3 5" xfId="32324" xr:uid="{00000000-0005-0000-0000-0000737D0000}"/>
    <cellStyle name="Input 4 3 4 2 3 6" xfId="32325" xr:uid="{00000000-0005-0000-0000-0000747D0000}"/>
    <cellStyle name="Input 4 3 4 2 4" xfId="32326" xr:uid="{00000000-0005-0000-0000-0000757D0000}"/>
    <cellStyle name="Input 4 3 4 2 4 2" xfId="32327" xr:uid="{00000000-0005-0000-0000-0000767D0000}"/>
    <cellStyle name="Input 4 3 4 2 5" xfId="32328" xr:uid="{00000000-0005-0000-0000-0000777D0000}"/>
    <cellStyle name="Input 4 3 4 2 5 2" xfId="32329" xr:uid="{00000000-0005-0000-0000-0000787D0000}"/>
    <cellStyle name="Input 4 3 4 2 6" xfId="32330" xr:uid="{00000000-0005-0000-0000-0000797D0000}"/>
    <cellStyle name="Input 4 3 4 2 7" xfId="32331" xr:uid="{00000000-0005-0000-0000-00007A7D0000}"/>
    <cellStyle name="Input 4 3 4 2 8" xfId="32332" xr:uid="{00000000-0005-0000-0000-00007B7D0000}"/>
    <cellStyle name="Input 4 3 4 3" xfId="32333" xr:uid="{00000000-0005-0000-0000-00007C7D0000}"/>
    <cellStyle name="Input 4 3 4 3 2" xfId="32334" xr:uid="{00000000-0005-0000-0000-00007D7D0000}"/>
    <cellStyle name="Input 4 3 4 3 2 2" xfId="32335" xr:uid="{00000000-0005-0000-0000-00007E7D0000}"/>
    <cellStyle name="Input 4 3 4 3 2 2 2" xfId="32336" xr:uid="{00000000-0005-0000-0000-00007F7D0000}"/>
    <cellStyle name="Input 4 3 4 3 2 2 2 2" xfId="32337" xr:uid="{00000000-0005-0000-0000-0000807D0000}"/>
    <cellStyle name="Input 4 3 4 3 2 2 3" xfId="32338" xr:uid="{00000000-0005-0000-0000-0000817D0000}"/>
    <cellStyle name="Input 4 3 4 3 2 2 3 2" xfId="32339" xr:uid="{00000000-0005-0000-0000-0000827D0000}"/>
    <cellStyle name="Input 4 3 4 3 2 2 4" xfId="32340" xr:uid="{00000000-0005-0000-0000-0000837D0000}"/>
    <cellStyle name="Input 4 3 4 3 2 2 5" xfId="32341" xr:uid="{00000000-0005-0000-0000-0000847D0000}"/>
    <cellStyle name="Input 4 3 4 3 2 2 6" xfId="32342" xr:uid="{00000000-0005-0000-0000-0000857D0000}"/>
    <cellStyle name="Input 4 3 4 3 2 3" xfId="32343" xr:uid="{00000000-0005-0000-0000-0000867D0000}"/>
    <cellStyle name="Input 4 3 4 3 2 3 2" xfId="32344" xr:uid="{00000000-0005-0000-0000-0000877D0000}"/>
    <cellStyle name="Input 4 3 4 3 2 4" xfId="32345" xr:uid="{00000000-0005-0000-0000-0000887D0000}"/>
    <cellStyle name="Input 4 3 4 3 2 4 2" xfId="32346" xr:uid="{00000000-0005-0000-0000-0000897D0000}"/>
    <cellStyle name="Input 4 3 4 3 2 5" xfId="32347" xr:uid="{00000000-0005-0000-0000-00008A7D0000}"/>
    <cellStyle name="Input 4 3 4 3 2 6" xfId="32348" xr:uid="{00000000-0005-0000-0000-00008B7D0000}"/>
    <cellStyle name="Input 4 3 4 3 2 7" xfId="32349" xr:uid="{00000000-0005-0000-0000-00008C7D0000}"/>
    <cellStyle name="Input 4 3 4 3 3" xfId="32350" xr:uid="{00000000-0005-0000-0000-00008D7D0000}"/>
    <cellStyle name="Input 4 3 4 3 3 2" xfId="32351" xr:uid="{00000000-0005-0000-0000-00008E7D0000}"/>
    <cellStyle name="Input 4 3 4 3 3 2 2" xfId="32352" xr:uid="{00000000-0005-0000-0000-00008F7D0000}"/>
    <cellStyle name="Input 4 3 4 3 3 3" xfId="32353" xr:uid="{00000000-0005-0000-0000-0000907D0000}"/>
    <cellStyle name="Input 4 3 4 3 3 3 2" xfId="32354" xr:uid="{00000000-0005-0000-0000-0000917D0000}"/>
    <cellStyle name="Input 4 3 4 3 3 4" xfId="32355" xr:uid="{00000000-0005-0000-0000-0000927D0000}"/>
    <cellStyle name="Input 4 3 4 3 3 5" xfId="32356" xr:uid="{00000000-0005-0000-0000-0000937D0000}"/>
    <cellStyle name="Input 4 3 4 3 3 6" xfId="32357" xr:uid="{00000000-0005-0000-0000-0000947D0000}"/>
    <cellStyle name="Input 4 3 4 3 4" xfId="32358" xr:uid="{00000000-0005-0000-0000-0000957D0000}"/>
    <cellStyle name="Input 4 3 4 3 4 2" xfId="32359" xr:uid="{00000000-0005-0000-0000-0000967D0000}"/>
    <cellStyle name="Input 4 3 4 3 5" xfId="32360" xr:uid="{00000000-0005-0000-0000-0000977D0000}"/>
    <cellStyle name="Input 4 3 4 3 5 2" xfId="32361" xr:uid="{00000000-0005-0000-0000-0000987D0000}"/>
    <cellStyle name="Input 4 3 4 3 6" xfId="32362" xr:uid="{00000000-0005-0000-0000-0000997D0000}"/>
    <cellStyle name="Input 4 3 4 3 7" xfId="32363" xr:uid="{00000000-0005-0000-0000-00009A7D0000}"/>
    <cellStyle name="Input 4 3 4 3 8" xfId="32364" xr:uid="{00000000-0005-0000-0000-00009B7D0000}"/>
    <cellStyle name="Input 4 3 4 4" xfId="32365" xr:uid="{00000000-0005-0000-0000-00009C7D0000}"/>
    <cellStyle name="Input 4 3 4 4 2" xfId="32366" xr:uid="{00000000-0005-0000-0000-00009D7D0000}"/>
    <cellStyle name="Input 4 3 4 4 2 2" xfId="32367" xr:uid="{00000000-0005-0000-0000-00009E7D0000}"/>
    <cellStyle name="Input 4 3 4 4 2 2 2" xfId="32368" xr:uid="{00000000-0005-0000-0000-00009F7D0000}"/>
    <cellStyle name="Input 4 3 4 4 2 3" xfId="32369" xr:uid="{00000000-0005-0000-0000-0000A07D0000}"/>
    <cellStyle name="Input 4 3 4 4 2 3 2" xfId="32370" xr:uid="{00000000-0005-0000-0000-0000A17D0000}"/>
    <cellStyle name="Input 4 3 4 4 2 4" xfId="32371" xr:uid="{00000000-0005-0000-0000-0000A27D0000}"/>
    <cellStyle name="Input 4 3 4 4 2 5" xfId="32372" xr:uid="{00000000-0005-0000-0000-0000A37D0000}"/>
    <cellStyle name="Input 4 3 4 4 2 6" xfId="32373" xr:uid="{00000000-0005-0000-0000-0000A47D0000}"/>
    <cellStyle name="Input 4 3 4 4 3" xfId="32374" xr:uid="{00000000-0005-0000-0000-0000A57D0000}"/>
    <cellStyle name="Input 4 3 4 4 3 2" xfId="32375" xr:uid="{00000000-0005-0000-0000-0000A67D0000}"/>
    <cellStyle name="Input 4 3 4 4 4" xfId="32376" xr:uid="{00000000-0005-0000-0000-0000A77D0000}"/>
    <cellStyle name="Input 4 3 4 4 4 2" xfId="32377" xr:uid="{00000000-0005-0000-0000-0000A87D0000}"/>
    <cellStyle name="Input 4 3 4 4 5" xfId="32378" xr:uid="{00000000-0005-0000-0000-0000A97D0000}"/>
    <cellStyle name="Input 4 3 4 4 6" xfId="32379" xr:uid="{00000000-0005-0000-0000-0000AA7D0000}"/>
    <cellStyle name="Input 4 3 4 4 7" xfId="32380" xr:uid="{00000000-0005-0000-0000-0000AB7D0000}"/>
    <cellStyle name="Input 4 3 4 5" xfId="32381" xr:uid="{00000000-0005-0000-0000-0000AC7D0000}"/>
    <cellStyle name="Input 4 3 4 5 2" xfId="32382" xr:uid="{00000000-0005-0000-0000-0000AD7D0000}"/>
    <cellStyle name="Input 4 3 4 5 2 2" xfId="32383" xr:uid="{00000000-0005-0000-0000-0000AE7D0000}"/>
    <cellStyle name="Input 4 3 4 5 3" xfId="32384" xr:uid="{00000000-0005-0000-0000-0000AF7D0000}"/>
    <cellStyle name="Input 4 3 4 5 3 2" xfId="32385" xr:uid="{00000000-0005-0000-0000-0000B07D0000}"/>
    <cellStyle name="Input 4 3 4 5 4" xfId="32386" xr:uid="{00000000-0005-0000-0000-0000B17D0000}"/>
    <cellStyle name="Input 4 3 4 5 5" xfId="32387" xr:uid="{00000000-0005-0000-0000-0000B27D0000}"/>
    <cellStyle name="Input 4 3 4 5 6" xfId="32388" xr:uid="{00000000-0005-0000-0000-0000B37D0000}"/>
    <cellStyle name="Input 4 3 4 6" xfId="32389" xr:uid="{00000000-0005-0000-0000-0000B47D0000}"/>
    <cellStyle name="Input 4 3 4 6 2" xfId="32390" xr:uid="{00000000-0005-0000-0000-0000B57D0000}"/>
    <cellStyle name="Input 4 3 4 7" xfId="32391" xr:uid="{00000000-0005-0000-0000-0000B67D0000}"/>
    <cellStyle name="Input 4 3 4 7 2" xfId="32392" xr:uid="{00000000-0005-0000-0000-0000B77D0000}"/>
    <cellStyle name="Input 4 3 4 8" xfId="32393" xr:uid="{00000000-0005-0000-0000-0000B87D0000}"/>
    <cellStyle name="Input 4 3 4 9" xfId="32394" xr:uid="{00000000-0005-0000-0000-0000B97D0000}"/>
    <cellStyle name="Input 4 3 5" xfId="32395" xr:uid="{00000000-0005-0000-0000-0000BA7D0000}"/>
    <cellStyle name="Input 4 3 5 2" xfId="32396" xr:uid="{00000000-0005-0000-0000-0000BB7D0000}"/>
    <cellStyle name="Input 4 3 5 2 2" xfId="32397" xr:uid="{00000000-0005-0000-0000-0000BC7D0000}"/>
    <cellStyle name="Input 4 3 5 2 2 2" xfId="32398" xr:uid="{00000000-0005-0000-0000-0000BD7D0000}"/>
    <cellStyle name="Input 4 3 5 2 2 2 2" xfId="32399" xr:uid="{00000000-0005-0000-0000-0000BE7D0000}"/>
    <cellStyle name="Input 4 3 5 2 2 3" xfId="32400" xr:uid="{00000000-0005-0000-0000-0000BF7D0000}"/>
    <cellStyle name="Input 4 3 5 2 2 3 2" xfId="32401" xr:uid="{00000000-0005-0000-0000-0000C07D0000}"/>
    <cellStyle name="Input 4 3 5 2 2 4" xfId="32402" xr:uid="{00000000-0005-0000-0000-0000C17D0000}"/>
    <cellStyle name="Input 4 3 5 2 2 5" xfId="32403" xr:uid="{00000000-0005-0000-0000-0000C27D0000}"/>
    <cellStyle name="Input 4 3 5 2 2 6" xfId="32404" xr:uid="{00000000-0005-0000-0000-0000C37D0000}"/>
    <cellStyle name="Input 4 3 5 2 3" xfId="32405" xr:uid="{00000000-0005-0000-0000-0000C47D0000}"/>
    <cellStyle name="Input 4 3 5 2 3 2" xfId="32406" xr:uid="{00000000-0005-0000-0000-0000C57D0000}"/>
    <cellStyle name="Input 4 3 5 2 4" xfId="32407" xr:uid="{00000000-0005-0000-0000-0000C67D0000}"/>
    <cellStyle name="Input 4 3 5 2 4 2" xfId="32408" xr:uid="{00000000-0005-0000-0000-0000C77D0000}"/>
    <cellStyle name="Input 4 3 5 2 5" xfId="32409" xr:uid="{00000000-0005-0000-0000-0000C87D0000}"/>
    <cellStyle name="Input 4 3 5 2 6" xfId="32410" xr:uid="{00000000-0005-0000-0000-0000C97D0000}"/>
    <cellStyle name="Input 4 3 5 2 7" xfId="32411" xr:uid="{00000000-0005-0000-0000-0000CA7D0000}"/>
    <cellStyle name="Input 4 3 5 3" xfId="32412" xr:uid="{00000000-0005-0000-0000-0000CB7D0000}"/>
    <cellStyle name="Input 4 3 5 3 2" xfId="32413" xr:uid="{00000000-0005-0000-0000-0000CC7D0000}"/>
    <cellStyle name="Input 4 3 5 3 2 2" xfId="32414" xr:uid="{00000000-0005-0000-0000-0000CD7D0000}"/>
    <cellStyle name="Input 4 3 5 3 3" xfId="32415" xr:uid="{00000000-0005-0000-0000-0000CE7D0000}"/>
    <cellStyle name="Input 4 3 5 3 3 2" xfId="32416" xr:uid="{00000000-0005-0000-0000-0000CF7D0000}"/>
    <cellStyle name="Input 4 3 5 3 4" xfId="32417" xr:uid="{00000000-0005-0000-0000-0000D07D0000}"/>
    <cellStyle name="Input 4 3 5 3 5" xfId="32418" xr:uid="{00000000-0005-0000-0000-0000D17D0000}"/>
    <cellStyle name="Input 4 3 5 3 6" xfId="32419" xr:uid="{00000000-0005-0000-0000-0000D27D0000}"/>
    <cellStyle name="Input 4 3 5 4" xfId="32420" xr:uid="{00000000-0005-0000-0000-0000D37D0000}"/>
    <cellStyle name="Input 4 3 5 4 2" xfId="32421" xr:uid="{00000000-0005-0000-0000-0000D47D0000}"/>
    <cellStyle name="Input 4 3 5 5" xfId="32422" xr:uid="{00000000-0005-0000-0000-0000D57D0000}"/>
    <cellStyle name="Input 4 3 5 5 2" xfId="32423" xr:uid="{00000000-0005-0000-0000-0000D67D0000}"/>
    <cellStyle name="Input 4 3 5 6" xfId="32424" xr:uid="{00000000-0005-0000-0000-0000D77D0000}"/>
    <cellStyle name="Input 4 3 5 7" xfId="32425" xr:uid="{00000000-0005-0000-0000-0000D87D0000}"/>
    <cellStyle name="Input 4 3 5 8" xfId="32426" xr:uid="{00000000-0005-0000-0000-0000D97D0000}"/>
    <cellStyle name="Input 4 3 6" xfId="32427" xr:uid="{00000000-0005-0000-0000-0000DA7D0000}"/>
    <cellStyle name="Input 4 3 6 2" xfId="32428" xr:uid="{00000000-0005-0000-0000-0000DB7D0000}"/>
    <cellStyle name="Input 4 3 6 2 2" xfId="32429" xr:uid="{00000000-0005-0000-0000-0000DC7D0000}"/>
    <cellStyle name="Input 4 3 6 2 2 2" xfId="32430" xr:uid="{00000000-0005-0000-0000-0000DD7D0000}"/>
    <cellStyle name="Input 4 3 6 2 3" xfId="32431" xr:uid="{00000000-0005-0000-0000-0000DE7D0000}"/>
    <cellStyle name="Input 4 3 6 2 3 2" xfId="32432" xr:uid="{00000000-0005-0000-0000-0000DF7D0000}"/>
    <cellStyle name="Input 4 3 6 2 4" xfId="32433" xr:uid="{00000000-0005-0000-0000-0000E07D0000}"/>
    <cellStyle name="Input 4 3 6 2 5" xfId="32434" xr:uid="{00000000-0005-0000-0000-0000E17D0000}"/>
    <cellStyle name="Input 4 3 6 2 6" xfId="32435" xr:uid="{00000000-0005-0000-0000-0000E27D0000}"/>
    <cellStyle name="Input 4 3 6 3" xfId="32436" xr:uid="{00000000-0005-0000-0000-0000E37D0000}"/>
    <cellStyle name="Input 4 3 6 3 2" xfId="32437" xr:uid="{00000000-0005-0000-0000-0000E47D0000}"/>
    <cellStyle name="Input 4 3 6 4" xfId="32438" xr:uid="{00000000-0005-0000-0000-0000E57D0000}"/>
    <cellStyle name="Input 4 3 6 4 2" xfId="32439" xr:uid="{00000000-0005-0000-0000-0000E67D0000}"/>
    <cellStyle name="Input 4 3 6 5" xfId="32440" xr:uid="{00000000-0005-0000-0000-0000E77D0000}"/>
    <cellStyle name="Input 4 3 6 6" xfId="32441" xr:uid="{00000000-0005-0000-0000-0000E87D0000}"/>
    <cellStyle name="Input 4 3 6 7" xfId="32442" xr:uid="{00000000-0005-0000-0000-0000E97D0000}"/>
    <cellStyle name="Input 4 3 7" xfId="32443" xr:uid="{00000000-0005-0000-0000-0000EA7D0000}"/>
    <cellStyle name="Input 4 3 7 2" xfId="32444" xr:uid="{00000000-0005-0000-0000-0000EB7D0000}"/>
    <cellStyle name="Input 4 3 7 2 2" xfId="32445" xr:uid="{00000000-0005-0000-0000-0000EC7D0000}"/>
    <cellStyle name="Input 4 3 7 3" xfId="32446" xr:uid="{00000000-0005-0000-0000-0000ED7D0000}"/>
    <cellStyle name="Input 4 3 7 3 2" xfId="32447" xr:uid="{00000000-0005-0000-0000-0000EE7D0000}"/>
    <cellStyle name="Input 4 3 7 4" xfId="32448" xr:uid="{00000000-0005-0000-0000-0000EF7D0000}"/>
    <cellStyle name="Input 4 3 7 5" xfId="32449" xr:uid="{00000000-0005-0000-0000-0000F07D0000}"/>
    <cellStyle name="Input 4 3 7 6" xfId="32450" xr:uid="{00000000-0005-0000-0000-0000F17D0000}"/>
    <cellStyle name="Input 4 3 8" xfId="32451" xr:uid="{00000000-0005-0000-0000-0000F27D0000}"/>
    <cellStyle name="Input 4 3 8 2" xfId="32452" xr:uid="{00000000-0005-0000-0000-0000F37D0000}"/>
    <cellStyle name="Input 4 3 9" xfId="32453" xr:uid="{00000000-0005-0000-0000-0000F47D0000}"/>
    <cellStyle name="Input 4 3 9 2" xfId="32454" xr:uid="{00000000-0005-0000-0000-0000F57D0000}"/>
    <cellStyle name="Input 4 4" xfId="32455" xr:uid="{00000000-0005-0000-0000-0000F67D0000}"/>
    <cellStyle name="Input 4 4 10" xfId="32456" xr:uid="{00000000-0005-0000-0000-0000F77D0000}"/>
    <cellStyle name="Input 4 4 11" xfId="32457" xr:uid="{00000000-0005-0000-0000-0000F87D0000}"/>
    <cellStyle name="Input 4 4 2" xfId="32458" xr:uid="{00000000-0005-0000-0000-0000F97D0000}"/>
    <cellStyle name="Input 4 4 2 10" xfId="32459" xr:uid="{00000000-0005-0000-0000-0000FA7D0000}"/>
    <cellStyle name="Input 4 4 2 2" xfId="32460" xr:uid="{00000000-0005-0000-0000-0000FB7D0000}"/>
    <cellStyle name="Input 4 4 2 2 10" xfId="32461" xr:uid="{00000000-0005-0000-0000-0000FC7D0000}"/>
    <cellStyle name="Input 4 4 2 2 2" xfId="32462" xr:uid="{00000000-0005-0000-0000-0000FD7D0000}"/>
    <cellStyle name="Input 4 4 2 2 2 2" xfId="32463" xr:uid="{00000000-0005-0000-0000-0000FE7D0000}"/>
    <cellStyle name="Input 4 4 2 2 2 2 2" xfId="32464" xr:uid="{00000000-0005-0000-0000-0000FF7D0000}"/>
    <cellStyle name="Input 4 4 2 2 2 2 2 2" xfId="32465" xr:uid="{00000000-0005-0000-0000-0000007E0000}"/>
    <cellStyle name="Input 4 4 2 2 2 2 2 2 2" xfId="32466" xr:uid="{00000000-0005-0000-0000-0000017E0000}"/>
    <cellStyle name="Input 4 4 2 2 2 2 2 3" xfId="32467" xr:uid="{00000000-0005-0000-0000-0000027E0000}"/>
    <cellStyle name="Input 4 4 2 2 2 2 2 3 2" xfId="32468" xr:uid="{00000000-0005-0000-0000-0000037E0000}"/>
    <cellStyle name="Input 4 4 2 2 2 2 2 4" xfId="32469" xr:uid="{00000000-0005-0000-0000-0000047E0000}"/>
    <cellStyle name="Input 4 4 2 2 2 2 2 5" xfId="32470" xr:uid="{00000000-0005-0000-0000-0000057E0000}"/>
    <cellStyle name="Input 4 4 2 2 2 2 2 6" xfId="32471" xr:uid="{00000000-0005-0000-0000-0000067E0000}"/>
    <cellStyle name="Input 4 4 2 2 2 2 3" xfId="32472" xr:uid="{00000000-0005-0000-0000-0000077E0000}"/>
    <cellStyle name="Input 4 4 2 2 2 2 3 2" xfId="32473" xr:uid="{00000000-0005-0000-0000-0000087E0000}"/>
    <cellStyle name="Input 4 4 2 2 2 2 4" xfId="32474" xr:uid="{00000000-0005-0000-0000-0000097E0000}"/>
    <cellStyle name="Input 4 4 2 2 2 2 4 2" xfId="32475" xr:uid="{00000000-0005-0000-0000-00000A7E0000}"/>
    <cellStyle name="Input 4 4 2 2 2 2 5" xfId="32476" xr:uid="{00000000-0005-0000-0000-00000B7E0000}"/>
    <cellStyle name="Input 4 4 2 2 2 2 6" xfId="32477" xr:uid="{00000000-0005-0000-0000-00000C7E0000}"/>
    <cellStyle name="Input 4 4 2 2 2 2 7" xfId="32478" xr:uid="{00000000-0005-0000-0000-00000D7E0000}"/>
    <cellStyle name="Input 4 4 2 2 2 3" xfId="32479" xr:uid="{00000000-0005-0000-0000-00000E7E0000}"/>
    <cellStyle name="Input 4 4 2 2 2 3 2" xfId="32480" xr:uid="{00000000-0005-0000-0000-00000F7E0000}"/>
    <cellStyle name="Input 4 4 2 2 2 3 2 2" xfId="32481" xr:uid="{00000000-0005-0000-0000-0000107E0000}"/>
    <cellStyle name="Input 4 4 2 2 2 3 3" xfId="32482" xr:uid="{00000000-0005-0000-0000-0000117E0000}"/>
    <cellStyle name="Input 4 4 2 2 2 3 3 2" xfId="32483" xr:uid="{00000000-0005-0000-0000-0000127E0000}"/>
    <cellStyle name="Input 4 4 2 2 2 3 4" xfId="32484" xr:uid="{00000000-0005-0000-0000-0000137E0000}"/>
    <cellStyle name="Input 4 4 2 2 2 3 5" xfId="32485" xr:uid="{00000000-0005-0000-0000-0000147E0000}"/>
    <cellStyle name="Input 4 4 2 2 2 3 6" xfId="32486" xr:uid="{00000000-0005-0000-0000-0000157E0000}"/>
    <cellStyle name="Input 4 4 2 2 2 4" xfId="32487" xr:uid="{00000000-0005-0000-0000-0000167E0000}"/>
    <cellStyle name="Input 4 4 2 2 2 4 2" xfId="32488" xr:uid="{00000000-0005-0000-0000-0000177E0000}"/>
    <cellStyle name="Input 4 4 2 2 2 5" xfId="32489" xr:uid="{00000000-0005-0000-0000-0000187E0000}"/>
    <cellStyle name="Input 4 4 2 2 2 5 2" xfId="32490" xr:uid="{00000000-0005-0000-0000-0000197E0000}"/>
    <cellStyle name="Input 4 4 2 2 2 6" xfId="32491" xr:uid="{00000000-0005-0000-0000-00001A7E0000}"/>
    <cellStyle name="Input 4 4 2 2 2 7" xfId="32492" xr:uid="{00000000-0005-0000-0000-00001B7E0000}"/>
    <cellStyle name="Input 4 4 2 2 2 8" xfId="32493" xr:uid="{00000000-0005-0000-0000-00001C7E0000}"/>
    <cellStyle name="Input 4 4 2 2 3" xfId="32494" xr:uid="{00000000-0005-0000-0000-00001D7E0000}"/>
    <cellStyle name="Input 4 4 2 2 3 2" xfId="32495" xr:uid="{00000000-0005-0000-0000-00001E7E0000}"/>
    <cellStyle name="Input 4 4 2 2 3 2 2" xfId="32496" xr:uid="{00000000-0005-0000-0000-00001F7E0000}"/>
    <cellStyle name="Input 4 4 2 2 3 2 2 2" xfId="32497" xr:uid="{00000000-0005-0000-0000-0000207E0000}"/>
    <cellStyle name="Input 4 4 2 2 3 2 2 2 2" xfId="32498" xr:uid="{00000000-0005-0000-0000-0000217E0000}"/>
    <cellStyle name="Input 4 4 2 2 3 2 2 3" xfId="32499" xr:uid="{00000000-0005-0000-0000-0000227E0000}"/>
    <cellStyle name="Input 4 4 2 2 3 2 2 3 2" xfId="32500" xr:uid="{00000000-0005-0000-0000-0000237E0000}"/>
    <cellStyle name="Input 4 4 2 2 3 2 2 4" xfId="32501" xr:uid="{00000000-0005-0000-0000-0000247E0000}"/>
    <cellStyle name="Input 4 4 2 2 3 2 2 5" xfId="32502" xr:uid="{00000000-0005-0000-0000-0000257E0000}"/>
    <cellStyle name="Input 4 4 2 2 3 2 2 6" xfId="32503" xr:uid="{00000000-0005-0000-0000-0000267E0000}"/>
    <cellStyle name="Input 4 4 2 2 3 2 3" xfId="32504" xr:uid="{00000000-0005-0000-0000-0000277E0000}"/>
    <cellStyle name="Input 4 4 2 2 3 2 3 2" xfId="32505" xr:uid="{00000000-0005-0000-0000-0000287E0000}"/>
    <cellStyle name="Input 4 4 2 2 3 2 4" xfId="32506" xr:uid="{00000000-0005-0000-0000-0000297E0000}"/>
    <cellStyle name="Input 4 4 2 2 3 2 4 2" xfId="32507" xr:uid="{00000000-0005-0000-0000-00002A7E0000}"/>
    <cellStyle name="Input 4 4 2 2 3 2 5" xfId="32508" xr:uid="{00000000-0005-0000-0000-00002B7E0000}"/>
    <cellStyle name="Input 4 4 2 2 3 2 6" xfId="32509" xr:uid="{00000000-0005-0000-0000-00002C7E0000}"/>
    <cellStyle name="Input 4 4 2 2 3 2 7" xfId="32510" xr:uid="{00000000-0005-0000-0000-00002D7E0000}"/>
    <cellStyle name="Input 4 4 2 2 3 3" xfId="32511" xr:uid="{00000000-0005-0000-0000-00002E7E0000}"/>
    <cellStyle name="Input 4 4 2 2 3 3 2" xfId="32512" xr:uid="{00000000-0005-0000-0000-00002F7E0000}"/>
    <cellStyle name="Input 4 4 2 2 3 3 2 2" xfId="32513" xr:uid="{00000000-0005-0000-0000-0000307E0000}"/>
    <cellStyle name="Input 4 4 2 2 3 3 3" xfId="32514" xr:uid="{00000000-0005-0000-0000-0000317E0000}"/>
    <cellStyle name="Input 4 4 2 2 3 3 3 2" xfId="32515" xr:uid="{00000000-0005-0000-0000-0000327E0000}"/>
    <cellStyle name="Input 4 4 2 2 3 3 4" xfId="32516" xr:uid="{00000000-0005-0000-0000-0000337E0000}"/>
    <cellStyle name="Input 4 4 2 2 3 3 5" xfId="32517" xr:uid="{00000000-0005-0000-0000-0000347E0000}"/>
    <cellStyle name="Input 4 4 2 2 3 3 6" xfId="32518" xr:uid="{00000000-0005-0000-0000-0000357E0000}"/>
    <cellStyle name="Input 4 4 2 2 3 4" xfId="32519" xr:uid="{00000000-0005-0000-0000-0000367E0000}"/>
    <cellStyle name="Input 4 4 2 2 3 4 2" xfId="32520" xr:uid="{00000000-0005-0000-0000-0000377E0000}"/>
    <cellStyle name="Input 4 4 2 2 3 5" xfId="32521" xr:uid="{00000000-0005-0000-0000-0000387E0000}"/>
    <cellStyle name="Input 4 4 2 2 3 5 2" xfId="32522" xr:uid="{00000000-0005-0000-0000-0000397E0000}"/>
    <cellStyle name="Input 4 4 2 2 3 6" xfId="32523" xr:uid="{00000000-0005-0000-0000-00003A7E0000}"/>
    <cellStyle name="Input 4 4 2 2 3 7" xfId="32524" xr:uid="{00000000-0005-0000-0000-00003B7E0000}"/>
    <cellStyle name="Input 4 4 2 2 3 8" xfId="32525" xr:uid="{00000000-0005-0000-0000-00003C7E0000}"/>
    <cellStyle name="Input 4 4 2 2 4" xfId="32526" xr:uid="{00000000-0005-0000-0000-00003D7E0000}"/>
    <cellStyle name="Input 4 4 2 2 4 2" xfId="32527" xr:uid="{00000000-0005-0000-0000-00003E7E0000}"/>
    <cellStyle name="Input 4 4 2 2 4 2 2" xfId="32528" xr:uid="{00000000-0005-0000-0000-00003F7E0000}"/>
    <cellStyle name="Input 4 4 2 2 4 2 2 2" xfId="32529" xr:uid="{00000000-0005-0000-0000-0000407E0000}"/>
    <cellStyle name="Input 4 4 2 2 4 2 3" xfId="32530" xr:uid="{00000000-0005-0000-0000-0000417E0000}"/>
    <cellStyle name="Input 4 4 2 2 4 2 3 2" xfId="32531" xr:uid="{00000000-0005-0000-0000-0000427E0000}"/>
    <cellStyle name="Input 4 4 2 2 4 2 4" xfId="32532" xr:uid="{00000000-0005-0000-0000-0000437E0000}"/>
    <cellStyle name="Input 4 4 2 2 4 2 5" xfId="32533" xr:uid="{00000000-0005-0000-0000-0000447E0000}"/>
    <cellStyle name="Input 4 4 2 2 4 2 6" xfId="32534" xr:uid="{00000000-0005-0000-0000-0000457E0000}"/>
    <cellStyle name="Input 4 4 2 2 4 3" xfId="32535" xr:uid="{00000000-0005-0000-0000-0000467E0000}"/>
    <cellStyle name="Input 4 4 2 2 4 3 2" xfId="32536" xr:uid="{00000000-0005-0000-0000-0000477E0000}"/>
    <cellStyle name="Input 4 4 2 2 4 4" xfId="32537" xr:uid="{00000000-0005-0000-0000-0000487E0000}"/>
    <cellStyle name="Input 4 4 2 2 4 4 2" xfId="32538" xr:uid="{00000000-0005-0000-0000-0000497E0000}"/>
    <cellStyle name="Input 4 4 2 2 4 5" xfId="32539" xr:uid="{00000000-0005-0000-0000-00004A7E0000}"/>
    <cellStyle name="Input 4 4 2 2 4 6" xfId="32540" xr:uid="{00000000-0005-0000-0000-00004B7E0000}"/>
    <cellStyle name="Input 4 4 2 2 4 7" xfId="32541" xr:uid="{00000000-0005-0000-0000-00004C7E0000}"/>
    <cellStyle name="Input 4 4 2 2 5" xfId="32542" xr:uid="{00000000-0005-0000-0000-00004D7E0000}"/>
    <cellStyle name="Input 4 4 2 2 5 2" xfId="32543" xr:uid="{00000000-0005-0000-0000-00004E7E0000}"/>
    <cellStyle name="Input 4 4 2 2 5 2 2" xfId="32544" xr:uid="{00000000-0005-0000-0000-00004F7E0000}"/>
    <cellStyle name="Input 4 4 2 2 5 3" xfId="32545" xr:uid="{00000000-0005-0000-0000-0000507E0000}"/>
    <cellStyle name="Input 4 4 2 2 5 3 2" xfId="32546" xr:uid="{00000000-0005-0000-0000-0000517E0000}"/>
    <cellStyle name="Input 4 4 2 2 5 4" xfId="32547" xr:uid="{00000000-0005-0000-0000-0000527E0000}"/>
    <cellStyle name="Input 4 4 2 2 5 5" xfId="32548" xr:uid="{00000000-0005-0000-0000-0000537E0000}"/>
    <cellStyle name="Input 4 4 2 2 5 6" xfId="32549" xr:uid="{00000000-0005-0000-0000-0000547E0000}"/>
    <cellStyle name="Input 4 4 2 2 6" xfId="32550" xr:uid="{00000000-0005-0000-0000-0000557E0000}"/>
    <cellStyle name="Input 4 4 2 2 6 2" xfId="32551" xr:uid="{00000000-0005-0000-0000-0000567E0000}"/>
    <cellStyle name="Input 4 4 2 2 7" xfId="32552" xr:uid="{00000000-0005-0000-0000-0000577E0000}"/>
    <cellStyle name="Input 4 4 2 2 7 2" xfId="32553" xr:uid="{00000000-0005-0000-0000-0000587E0000}"/>
    <cellStyle name="Input 4 4 2 2 8" xfId="32554" xr:uid="{00000000-0005-0000-0000-0000597E0000}"/>
    <cellStyle name="Input 4 4 2 2 9" xfId="32555" xr:uid="{00000000-0005-0000-0000-00005A7E0000}"/>
    <cellStyle name="Input 4 4 2 3" xfId="32556" xr:uid="{00000000-0005-0000-0000-00005B7E0000}"/>
    <cellStyle name="Input 4 4 2 3 2" xfId="32557" xr:uid="{00000000-0005-0000-0000-00005C7E0000}"/>
    <cellStyle name="Input 4 4 2 3 2 2" xfId="32558" xr:uid="{00000000-0005-0000-0000-00005D7E0000}"/>
    <cellStyle name="Input 4 4 2 3 2 2 2" xfId="32559" xr:uid="{00000000-0005-0000-0000-00005E7E0000}"/>
    <cellStyle name="Input 4 4 2 3 2 2 2 2" xfId="32560" xr:uid="{00000000-0005-0000-0000-00005F7E0000}"/>
    <cellStyle name="Input 4 4 2 3 2 2 3" xfId="32561" xr:uid="{00000000-0005-0000-0000-0000607E0000}"/>
    <cellStyle name="Input 4 4 2 3 2 2 3 2" xfId="32562" xr:uid="{00000000-0005-0000-0000-0000617E0000}"/>
    <cellStyle name="Input 4 4 2 3 2 2 4" xfId="32563" xr:uid="{00000000-0005-0000-0000-0000627E0000}"/>
    <cellStyle name="Input 4 4 2 3 2 2 5" xfId="32564" xr:uid="{00000000-0005-0000-0000-0000637E0000}"/>
    <cellStyle name="Input 4 4 2 3 2 2 6" xfId="32565" xr:uid="{00000000-0005-0000-0000-0000647E0000}"/>
    <cellStyle name="Input 4 4 2 3 2 3" xfId="32566" xr:uid="{00000000-0005-0000-0000-0000657E0000}"/>
    <cellStyle name="Input 4 4 2 3 2 3 2" xfId="32567" xr:uid="{00000000-0005-0000-0000-0000667E0000}"/>
    <cellStyle name="Input 4 4 2 3 2 4" xfId="32568" xr:uid="{00000000-0005-0000-0000-0000677E0000}"/>
    <cellStyle name="Input 4 4 2 3 2 4 2" xfId="32569" xr:uid="{00000000-0005-0000-0000-0000687E0000}"/>
    <cellStyle name="Input 4 4 2 3 2 5" xfId="32570" xr:uid="{00000000-0005-0000-0000-0000697E0000}"/>
    <cellStyle name="Input 4 4 2 3 2 6" xfId="32571" xr:uid="{00000000-0005-0000-0000-00006A7E0000}"/>
    <cellStyle name="Input 4 4 2 3 2 7" xfId="32572" xr:uid="{00000000-0005-0000-0000-00006B7E0000}"/>
    <cellStyle name="Input 4 4 2 3 3" xfId="32573" xr:uid="{00000000-0005-0000-0000-00006C7E0000}"/>
    <cellStyle name="Input 4 4 2 3 3 2" xfId="32574" xr:uid="{00000000-0005-0000-0000-00006D7E0000}"/>
    <cellStyle name="Input 4 4 2 3 3 2 2" xfId="32575" xr:uid="{00000000-0005-0000-0000-00006E7E0000}"/>
    <cellStyle name="Input 4 4 2 3 3 3" xfId="32576" xr:uid="{00000000-0005-0000-0000-00006F7E0000}"/>
    <cellStyle name="Input 4 4 2 3 3 3 2" xfId="32577" xr:uid="{00000000-0005-0000-0000-0000707E0000}"/>
    <cellStyle name="Input 4 4 2 3 3 4" xfId="32578" xr:uid="{00000000-0005-0000-0000-0000717E0000}"/>
    <cellStyle name="Input 4 4 2 3 3 5" xfId="32579" xr:uid="{00000000-0005-0000-0000-0000727E0000}"/>
    <cellStyle name="Input 4 4 2 3 3 6" xfId="32580" xr:uid="{00000000-0005-0000-0000-0000737E0000}"/>
    <cellStyle name="Input 4 4 2 3 4" xfId="32581" xr:uid="{00000000-0005-0000-0000-0000747E0000}"/>
    <cellStyle name="Input 4 4 2 3 4 2" xfId="32582" xr:uid="{00000000-0005-0000-0000-0000757E0000}"/>
    <cellStyle name="Input 4 4 2 3 5" xfId="32583" xr:uid="{00000000-0005-0000-0000-0000767E0000}"/>
    <cellStyle name="Input 4 4 2 3 5 2" xfId="32584" xr:uid="{00000000-0005-0000-0000-0000777E0000}"/>
    <cellStyle name="Input 4 4 2 3 6" xfId="32585" xr:uid="{00000000-0005-0000-0000-0000787E0000}"/>
    <cellStyle name="Input 4 4 2 3 7" xfId="32586" xr:uid="{00000000-0005-0000-0000-0000797E0000}"/>
    <cellStyle name="Input 4 4 2 3 8" xfId="32587" xr:uid="{00000000-0005-0000-0000-00007A7E0000}"/>
    <cellStyle name="Input 4 4 2 4" xfId="32588" xr:uid="{00000000-0005-0000-0000-00007B7E0000}"/>
    <cellStyle name="Input 4 4 2 4 2" xfId="32589" xr:uid="{00000000-0005-0000-0000-00007C7E0000}"/>
    <cellStyle name="Input 4 4 2 4 2 2" xfId="32590" xr:uid="{00000000-0005-0000-0000-00007D7E0000}"/>
    <cellStyle name="Input 4 4 2 4 2 2 2" xfId="32591" xr:uid="{00000000-0005-0000-0000-00007E7E0000}"/>
    <cellStyle name="Input 4 4 2 4 2 3" xfId="32592" xr:uid="{00000000-0005-0000-0000-00007F7E0000}"/>
    <cellStyle name="Input 4 4 2 4 2 3 2" xfId="32593" xr:uid="{00000000-0005-0000-0000-0000807E0000}"/>
    <cellStyle name="Input 4 4 2 4 2 4" xfId="32594" xr:uid="{00000000-0005-0000-0000-0000817E0000}"/>
    <cellStyle name="Input 4 4 2 4 2 5" xfId="32595" xr:uid="{00000000-0005-0000-0000-0000827E0000}"/>
    <cellStyle name="Input 4 4 2 4 2 6" xfId="32596" xr:uid="{00000000-0005-0000-0000-0000837E0000}"/>
    <cellStyle name="Input 4 4 2 4 3" xfId="32597" xr:uid="{00000000-0005-0000-0000-0000847E0000}"/>
    <cellStyle name="Input 4 4 2 4 3 2" xfId="32598" xr:uid="{00000000-0005-0000-0000-0000857E0000}"/>
    <cellStyle name="Input 4 4 2 4 4" xfId="32599" xr:uid="{00000000-0005-0000-0000-0000867E0000}"/>
    <cellStyle name="Input 4 4 2 4 4 2" xfId="32600" xr:uid="{00000000-0005-0000-0000-0000877E0000}"/>
    <cellStyle name="Input 4 4 2 4 5" xfId="32601" xr:uid="{00000000-0005-0000-0000-0000887E0000}"/>
    <cellStyle name="Input 4 4 2 4 6" xfId="32602" xr:uid="{00000000-0005-0000-0000-0000897E0000}"/>
    <cellStyle name="Input 4 4 2 4 7" xfId="32603" xr:uid="{00000000-0005-0000-0000-00008A7E0000}"/>
    <cellStyle name="Input 4 4 2 5" xfId="32604" xr:uid="{00000000-0005-0000-0000-00008B7E0000}"/>
    <cellStyle name="Input 4 4 2 5 2" xfId="32605" xr:uid="{00000000-0005-0000-0000-00008C7E0000}"/>
    <cellStyle name="Input 4 4 2 5 2 2" xfId="32606" xr:uid="{00000000-0005-0000-0000-00008D7E0000}"/>
    <cellStyle name="Input 4 4 2 5 3" xfId="32607" xr:uid="{00000000-0005-0000-0000-00008E7E0000}"/>
    <cellStyle name="Input 4 4 2 5 3 2" xfId="32608" xr:uid="{00000000-0005-0000-0000-00008F7E0000}"/>
    <cellStyle name="Input 4 4 2 5 4" xfId="32609" xr:uid="{00000000-0005-0000-0000-0000907E0000}"/>
    <cellStyle name="Input 4 4 2 5 5" xfId="32610" xr:uid="{00000000-0005-0000-0000-0000917E0000}"/>
    <cellStyle name="Input 4 4 2 5 6" xfId="32611" xr:uid="{00000000-0005-0000-0000-0000927E0000}"/>
    <cellStyle name="Input 4 4 2 6" xfId="32612" xr:uid="{00000000-0005-0000-0000-0000937E0000}"/>
    <cellStyle name="Input 4 4 2 6 2" xfId="32613" xr:uid="{00000000-0005-0000-0000-0000947E0000}"/>
    <cellStyle name="Input 4 4 2 7" xfId="32614" xr:uid="{00000000-0005-0000-0000-0000957E0000}"/>
    <cellStyle name="Input 4 4 2 7 2" xfId="32615" xr:uid="{00000000-0005-0000-0000-0000967E0000}"/>
    <cellStyle name="Input 4 4 2 8" xfId="32616" xr:uid="{00000000-0005-0000-0000-0000977E0000}"/>
    <cellStyle name="Input 4 4 2 9" xfId="32617" xr:uid="{00000000-0005-0000-0000-0000987E0000}"/>
    <cellStyle name="Input 4 4 3" xfId="32618" xr:uid="{00000000-0005-0000-0000-0000997E0000}"/>
    <cellStyle name="Input 4 4 3 10" xfId="32619" xr:uid="{00000000-0005-0000-0000-00009A7E0000}"/>
    <cellStyle name="Input 4 4 3 2" xfId="32620" xr:uid="{00000000-0005-0000-0000-00009B7E0000}"/>
    <cellStyle name="Input 4 4 3 2 2" xfId="32621" xr:uid="{00000000-0005-0000-0000-00009C7E0000}"/>
    <cellStyle name="Input 4 4 3 2 2 2" xfId="32622" xr:uid="{00000000-0005-0000-0000-00009D7E0000}"/>
    <cellStyle name="Input 4 4 3 2 2 2 2" xfId="32623" xr:uid="{00000000-0005-0000-0000-00009E7E0000}"/>
    <cellStyle name="Input 4 4 3 2 2 2 2 2" xfId="32624" xr:uid="{00000000-0005-0000-0000-00009F7E0000}"/>
    <cellStyle name="Input 4 4 3 2 2 2 3" xfId="32625" xr:uid="{00000000-0005-0000-0000-0000A07E0000}"/>
    <cellStyle name="Input 4 4 3 2 2 2 3 2" xfId="32626" xr:uid="{00000000-0005-0000-0000-0000A17E0000}"/>
    <cellStyle name="Input 4 4 3 2 2 2 4" xfId="32627" xr:uid="{00000000-0005-0000-0000-0000A27E0000}"/>
    <cellStyle name="Input 4 4 3 2 2 2 5" xfId="32628" xr:uid="{00000000-0005-0000-0000-0000A37E0000}"/>
    <cellStyle name="Input 4 4 3 2 2 2 6" xfId="32629" xr:uid="{00000000-0005-0000-0000-0000A47E0000}"/>
    <cellStyle name="Input 4 4 3 2 2 3" xfId="32630" xr:uid="{00000000-0005-0000-0000-0000A57E0000}"/>
    <cellStyle name="Input 4 4 3 2 2 3 2" xfId="32631" xr:uid="{00000000-0005-0000-0000-0000A67E0000}"/>
    <cellStyle name="Input 4 4 3 2 2 4" xfId="32632" xr:uid="{00000000-0005-0000-0000-0000A77E0000}"/>
    <cellStyle name="Input 4 4 3 2 2 4 2" xfId="32633" xr:uid="{00000000-0005-0000-0000-0000A87E0000}"/>
    <cellStyle name="Input 4 4 3 2 2 5" xfId="32634" xr:uid="{00000000-0005-0000-0000-0000A97E0000}"/>
    <cellStyle name="Input 4 4 3 2 2 6" xfId="32635" xr:uid="{00000000-0005-0000-0000-0000AA7E0000}"/>
    <cellStyle name="Input 4 4 3 2 2 7" xfId="32636" xr:uid="{00000000-0005-0000-0000-0000AB7E0000}"/>
    <cellStyle name="Input 4 4 3 2 3" xfId="32637" xr:uid="{00000000-0005-0000-0000-0000AC7E0000}"/>
    <cellStyle name="Input 4 4 3 2 3 2" xfId="32638" xr:uid="{00000000-0005-0000-0000-0000AD7E0000}"/>
    <cellStyle name="Input 4 4 3 2 3 2 2" xfId="32639" xr:uid="{00000000-0005-0000-0000-0000AE7E0000}"/>
    <cellStyle name="Input 4 4 3 2 3 3" xfId="32640" xr:uid="{00000000-0005-0000-0000-0000AF7E0000}"/>
    <cellStyle name="Input 4 4 3 2 3 3 2" xfId="32641" xr:uid="{00000000-0005-0000-0000-0000B07E0000}"/>
    <cellStyle name="Input 4 4 3 2 3 4" xfId="32642" xr:uid="{00000000-0005-0000-0000-0000B17E0000}"/>
    <cellStyle name="Input 4 4 3 2 3 5" xfId="32643" xr:uid="{00000000-0005-0000-0000-0000B27E0000}"/>
    <cellStyle name="Input 4 4 3 2 3 6" xfId="32644" xr:uid="{00000000-0005-0000-0000-0000B37E0000}"/>
    <cellStyle name="Input 4 4 3 2 4" xfId="32645" xr:uid="{00000000-0005-0000-0000-0000B47E0000}"/>
    <cellStyle name="Input 4 4 3 2 4 2" xfId="32646" xr:uid="{00000000-0005-0000-0000-0000B57E0000}"/>
    <cellStyle name="Input 4 4 3 2 5" xfId="32647" xr:uid="{00000000-0005-0000-0000-0000B67E0000}"/>
    <cellStyle name="Input 4 4 3 2 5 2" xfId="32648" xr:uid="{00000000-0005-0000-0000-0000B77E0000}"/>
    <cellStyle name="Input 4 4 3 2 6" xfId="32649" xr:uid="{00000000-0005-0000-0000-0000B87E0000}"/>
    <cellStyle name="Input 4 4 3 2 7" xfId="32650" xr:uid="{00000000-0005-0000-0000-0000B97E0000}"/>
    <cellStyle name="Input 4 4 3 2 8" xfId="32651" xr:uid="{00000000-0005-0000-0000-0000BA7E0000}"/>
    <cellStyle name="Input 4 4 3 3" xfId="32652" xr:uid="{00000000-0005-0000-0000-0000BB7E0000}"/>
    <cellStyle name="Input 4 4 3 3 2" xfId="32653" xr:uid="{00000000-0005-0000-0000-0000BC7E0000}"/>
    <cellStyle name="Input 4 4 3 3 2 2" xfId="32654" xr:uid="{00000000-0005-0000-0000-0000BD7E0000}"/>
    <cellStyle name="Input 4 4 3 3 2 2 2" xfId="32655" xr:uid="{00000000-0005-0000-0000-0000BE7E0000}"/>
    <cellStyle name="Input 4 4 3 3 2 2 2 2" xfId="32656" xr:uid="{00000000-0005-0000-0000-0000BF7E0000}"/>
    <cellStyle name="Input 4 4 3 3 2 2 3" xfId="32657" xr:uid="{00000000-0005-0000-0000-0000C07E0000}"/>
    <cellStyle name="Input 4 4 3 3 2 2 3 2" xfId="32658" xr:uid="{00000000-0005-0000-0000-0000C17E0000}"/>
    <cellStyle name="Input 4 4 3 3 2 2 4" xfId="32659" xr:uid="{00000000-0005-0000-0000-0000C27E0000}"/>
    <cellStyle name="Input 4 4 3 3 2 2 5" xfId="32660" xr:uid="{00000000-0005-0000-0000-0000C37E0000}"/>
    <cellStyle name="Input 4 4 3 3 2 2 6" xfId="32661" xr:uid="{00000000-0005-0000-0000-0000C47E0000}"/>
    <cellStyle name="Input 4 4 3 3 2 3" xfId="32662" xr:uid="{00000000-0005-0000-0000-0000C57E0000}"/>
    <cellStyle name="Input 4 4 3 3 2 3 2" xfId="32663" xr:uid="{00000000-0005-0000-0000-0000C67E0000}"/>
    <cellStyle name="Input 4 4 3 3 2 4" xfId="32664" xr:uid="{00000000-0005-0000-0000-0000C77E0000}"/>
    <cellStyle name="Input 4 4 3 3 2 4 2" xfId="32665" xr:uid="{00000000-0005-0000-0000-0000C87E0000}"/>
    <cellStyle name="Input 4 4 3 3 2 5" xfId="32666" xr:uid="{00000000-0005-0000-0000-0000C97E0000}"/>
    <cellStyle name="Input 4 4 3 3 2 6" xfId="32667" xr:uid="{00000000-0005-0000-0000-0000CA7E0000}"/>
    <cellStyle name="Input 4 4 3 3 2 7" xfId="32668" xr:uid="{00000000-0005-0000-0000-0000CB7E0000}"/>
    <cellStyle name="Input 4 4 3 3 3" xfId="32669" xr:uid="{00000000-0005-0000-0000-0000CC7E0000}"/>
    <cellStyle name="Input 4 4 3 3 3 2" xfId="32670" xr:uid="{00000000-0005-0000-0000-0000CD7E0000}"/>
    <cellStyle name="Input 4 4 3 3 3 2 2" xfId="32671" xr:uid="{00000000-0005-0000-0000-0000CE7E0000}"/>
    <cellStyle name="Input 4 4 3 3 3 3" xfId="32672" xr:uid="{00000000-0005-0000-0000-0000CF7E0000}"/>
    <cellStyle name="Input 4 4 3 3 3 3 2" xfId="32673" xr:uid="{00000000-0005-0000-0000-0000D07E0000}"/>
    <cellStyle name="Input 4 4 3 3 3 4" xfId="32674" xr:uid="{00000000-0005-0000-0000-0000D17E0000}"/>
    <cellStyle name="Input 4 4 3 3 3 5" xfId="32675" xr:uid="{00000000-0005-0000-0000-0000D27E0000}"/>
    <cellStyle name="Input 4 4 3 3 3 6" xfId="32676" xr:uid="{00000000-0005-0000-0000-0000D37E0000}"/>
    <cellStyle name="Input 4 4 3 3 4" xfId="32677" xr:uid="{00000000-0005-0000-0000-0000D47E0000}"/>
    <cellStyle name="Input 4 4 3 3 4 2" xfId="32678" xr:uid="{00000000-0005-0000-0000-0000D57E0000}"/>
    <cellStyle name="Input 4 4 3 3 5" xfId="32679" xr:uid="{00000000-0005-0000-0000-0000D67E0000}"/>
    <cellStyle name="Input 4 4 3 3 5 2" xfId="32680" xr:uid="{00000000-0005-0000-0000-0000D77E0000}"/>
    <cellStyle name="Input 4 4 3 3 6" xfId="32681" xr:uid="{00000000-0005-0000-0000-0000D87E0000}"/>
    <cellStyle name="Input 4 4 3 3 7" xfId="32682" xr:uid="{00000000-0005-0000-0000-0000D97E0000}"/>
    <cellStyle name="Input 4 4 3 3 8" xfId="32683" xr:uid="{00000000-0005-0000-0000-0000DA7E0000}"/>
    <cellStyle name="Input 4 4 3 4" xfId="32684" xr:uid="{00000000-0005-0000-0000-0000DB7E0000}"/>
    <cellStyle name="Input 4 4 3 4 2" xfId="32685" xr:uid="{00000000-0005-0000-0000-0000DC7E0000}"/>
    <cellStyle name="Input 4 4 3 4 2 2" xfId="32686" xr:uid="{00000000-0005-0000-0000-0000DD7E0000}"/>
    <cellStyle name="Input 4 4 3 4 2 2 2" xfId="32687" xr:uid="{00000000-0005-0000-0000-0000DE7E0000}"/>
    <cellStyle name="Input 4 4 3 4 2 3" xfId="32688" xr:uid="{00000000-0005-0000-0000-0000DF7E0000}"/>
    <cellStyle name="Input 4 4 3 4 2 3 2" xfId="32689" xr:uid="{00000000-0005-0000-0000-0000E07E0000}"/>
    <cellStyle name="Input 4 4 3 4 2 4" xfId="32690" xr:uid="{00000000-0005-0000-0000-0000E17E0000}"/>
    <cellStyle name="Input 4 4 3 4 2 5" xfId="32691" xr:uid="{00000000-0005-0000-0000-0000E27E0000}"/>
    <cellStyle name="Input 4 4 3 4 2 6" xfId="32692" xr:uid="{00000000-0005-0000-0000-0000E37E0000}"/>
    <cellStyle name="Input 4 4 3 4 3" xfId="32693" xr:uid="{00000000-0005-0000-0000-0000E47E0000}"/>
    <cellStyle name="Input 4 4 3 4 3 2" xfId="32694" xr:uid="{00000000-0005-0000-0000-0000E57E0000}"/>
    <cellStyle name="Input 4 4 3 4 4" xfId="32695" xr:uid="{00000000-0005-0000-0000-0000E67E0000}"/>
    <cellStyle name="Input 4 4 3 4 4 2" xfId="32696" xr:uid="{00000000-0005-0000-0000-0000E77E0000}"/>
    <cellStyle name="Input 4 4 3 4 5" xfId="32697" xr:uid="{00000000-0005-0000-0000-0000E87E0000}"/>
    <cellStyle name="Input 4 4 3 4 6" xfId="32698" xr:uid="{00000000-0005-0000-0000-0000E97E0000}"/>
    <cellStyle name="Input 4 4 3 4 7" xfId="32699" xr:uid="{00000000-0005-0000-0000-0000EA7E0000}"/>
    <cellStyle name="Input 4 4 3 5" xfId="32700" xr:uid="{00000000-0005-0000-0000-0000EB7E0000}"/>
    <cellStyle name="Input 4 4 3 5 2" xfId="32701" xr:uid="{00000000-0005-0000-0000-0000EC7E0000}"/>
    <cellStyle name="Input 4 4 3 5 2 2" xfId="32702" xr:uid="{00000000-0005-0000-0000-0000ED7E0000}"/>
    <cellStyle name="Input 4 4 3 5 3" xfId="32703" xr:uid="{00000000-0005-0000-0000-0000EE7E0000}"/>
    <cellStyle name="Input 4 4 3 5 3 2" xfId="32704" xr:uid="{00000000-0005-0000-0000-0000EF7E0000}"/>
    <cellStyle name="Input 4 4 3 5 4" xfId="32705" xr:uid="{00000000-0005-0000-0000-0000F07E0000}"/>
    <cellStyle name="Input 4 4 3 5 5" xfId="32706" xr:uid="{00000000-0005-0000-0000-0000F17E0000}"/>
    <cellStyle name="Input 4 4 3 5 6" xfId="32707" xr:uid="{00000000-0005-0000-0000-0000F27E0000}"/>
    <cellStyle name="Input 4 4 3 6" xfId="32708" xr:uid="{00000000-0005-0000-0000-0000F37E0000}"/>
    <cellStyle name="Input 4 4 3 6 2" xfId="32709" xr:uid="{00000000-0005-0000-0000-0000F47E0000}"/>
    <cellStyle name="Input 4 4 3 7" xfId="32710" xr:uid="{00000000-0005-0000-0000-0000F57E0000}"/>
    <cellStyle name="Input 4 4 3 7 2" xfId="32711" xr:uid="{00000000-0005-0000-0000-0000F67E0000}"/>
    <cellStyle name="Input 4 4 3 8" xfId="32712" xr:uid="{00000000-0005-0000-0000-0000F77E0000}"/>
    <cellStyle name="Input 4 4 3 9" xfId="32713" xr:uid="{00000000-0005-0000-0000-0000F87E0000}"/>
    <cellStyle name="Input 4 4 4" xfId="32714" xr:uid="{00000000-0005-0000-0000-0000F97E0000}"/>
    <cellStyle name="Input 4 4 4 2" xfId="32715" xr:uid="{00000000-0005-0000-0000-0000FA7E0000}"/>
    <cellStyle name="Input 4 4 4 2 2" xfId="32716" xr:uid="{00000000-0005-0000-0000-0000FB7E0000}"/>
    <cellStyle name="Input 4 4 4 2 2 2" xfId="32717" xr:uid="{00000000-0005-0000-0000-0000FC7E0000}"/>
    <cellStyle name="Input 4 4 4 2 2 2 2" xfId="32718" xr:uid="{00000000-0005-0000-0000-0000FD7E0000}"/>
    <cellStyle name="Input 4 4 4 2 2 3" xfId="32719" xr:uid="{00000000-0005-0000-0000-0000FE7E0000}"/>
    <cellStyle name="Input 4 4 4 2 2 3 2" xfId="32720" xr:uid="{00000000-0005-0000-0000-0000FF7E0000}"/>
    <cellStyle name="Input 4 4 4 2 2 4" xfId="32721" xr:uid="{00000000-0005-0000-0000-0000007F0000}"/>
    <cellStyle name="Input 4 4 4 2 2 5" xfId="32722" xr:uid="{00000000-0005-0000-0000-0000017F0000}"/>
    <cellStyle name="Input 4 4 4 2 2 6" xfId="32723" xr:uid="{00000000-0005-0000-0000-0000027F0000}"/>
    <cellStyle name="Input 4 4 4 2 3" xfId="32724" xr:uid="{00000000-0005-0000-0000-0000037F0000}"/>
    <cellStyle name="Input 4 4 4 2 3 2" xfId="32725" xr:uid="{00000000-0005-0000-0000-0000047F0000}"/>
    <cellStyle name="Input 4 4 4 2 4" xfId="32726" xr:uid="{00000000-0005-0000-0000-0000057F0000}"/>
    <cellStyle name="Input 4 4 4 2 4 2" xfId="32727" xr:uid="{00000000-0005-0000-0000-0000067F0000}"/>
    <cellStyle name="Input 4 4 4 2 5" xfId="32728" xr:uid="{00000000-0005-0000-0000-0000077F0000}"/>
    <cellStyle name="Input 4 4 4 2 6" xfId="32729" xr:uid="{00000000-0005-0000-0000-0000087F0000}"/>
    <cellStyle name="Input 4 4 4 2 7" xfId="32730" xr:uid="{00000000-0005-0000-0000-0000097F0000}"/>
    <cellStyle name="Input 4 4 4 3" xfId="32731" xr:uid="{00000000-0005-0000-0000-00000A7F0000}"/>
    <cellStyle name="Input 4 4 4 3 2" xfId="32732" xr:uid="{00000000-0005-0000-0000-00000B7F0000}"/>
    <cellStyle name="Input 4 4 4 3 2 2" xfId="32733" xr:uid="{00000000-0005-0000-0000-00000C7F0000}"/>
    <cellStyle name="Input 4 4 4 3 3" xfId="32734" xr:uid="{00000000-0005-0000-0000-00000D7F0000}"/>
    <cellStyle name="Input 4 4 4 3 3 2" xfId="32735" xr:uid="{00000000-0005-0000-0000-00000E7F0000}"/>
    <cellStyle name="Input 4 4 4 3 4" xfId="32736" xr:uid="{00000000-0005-0000-0000-00000F7F0000}"/>
    <cellStyle name="Input 4 4 4 3 5" xfId="32737" xr:uid="{00000000-0005-0000-0000-0000107F0000}"/>
    <cellStyle name="Input 4 4 4 3 6" xfId="32738" xr:uid="{00000000-0005-0000-0000-0000117F0000}"/>
    <cellStyle name="Input 4 4 4 4" xfId="32739" xr:uid="{00000000-0005-0000-0000-0000127F0000}"/>
    <cellStyle name="Input 4 4 4 4 2" xfId="32740" xr:uid="{00000000-0005-0000-0000-0000137F0000}"/>
    <cellStyle name="Input 4 4 4 5" xfId="32741" xr:uid="{00000000-0005-0000-0000-0000147F0000}"/>
    <cellStyle name="Input 4 4 4 5 2" xfId="32742" xr:uid="{00000000-0005-0000-0000-0000157F0000}"/>
    <cellStyle name="Input 4 4 4 6" xfId="32743" xr:uid="{00000000-0005-0000-0000-0000167F0000}"/>
    <cellStyle name="Input 4 4 4 7" xfId="32744" xr:uid="{00000000-0005-0000-0000-0000177F0000}"/>
    <cellStyle name="Input 4 4 4 8" xfId="32745" xr:uid="{00000000-0005-0000-0000-0000187F0000}"/>
    <cellStyle name="Input 4 4 5" xfId="32746" xr:uid="{00000000-0005-0000-0000-0000197F0000}"/>
    <cellStyle name="Input 4 4 5 2" xfId="32747" xr:uid="{00000000-0005-0000-0000-00001A7F0000}"/>
    <cellStyle name="Input 4 4 5 2 2" xfId="32748" xr:uid="{00000000-0005-0000-0000-00001B7F0000}"/>
    <cellStyle name="Input 4 4 5 2 2 2" xfId="32749" xr:uid="{00000000-0005-0000-0000-00001C7F0000}"/>
    <cellStyle name="Input 4 4 5 2 3" xfId="32750" xr:uid="{00000000-0005-0000-0000-00001D7F0000}"/>
    <cellStyle name="Input 4 4 5 2 3 2" xfId="32751" xr:uid="{00000000-0005-0000-0000-00001E7F0000}"/>
    <cellStyle name="Input 4 4 5 2 4" xfId="32752" xr:uid="{00000000-0005-0000-0000-00001F7F0000}"/>
    <cellStyle name="Input 4 4 5 2 5" xfId="32753" xr:uid="{00000000-0005-0000-0000-0000207F0000}"/>
    <cellStyle name="Input 4 4 5 2 6" xfId="32754" xr:uid="{00000000-0005-0000-0000-0000217F0000}"/>
    <cellStyle name="Input 4 4 5 3" xfId="32755" xr:uid="{00000000-0005-0000-0000-0000227F0000}"/>
    <cellStyle name="Input 4 4 5 3 2" xfId="32756" xr:uid="{00000000-0005-0000-0000-0000237F0000}"/>
    <cellStyle name="Input 4 4 5 4" xfId="32757" xr:uid="{00000000-0005-0000-0000-0000247F0000}"/>
    <cellStyle name="Input 4 4 5 4 2" xfId="32758" xr:uid="{00000000-0005-0000-0000-0000257F0000}"/>
    <cellStyle name="Input 4 4 5 5" xfId="32759" xr:uid="{00000000-0005-0000-0000-0000267F0000}"/>
    <cellStyle name="Input 4 4 5 6" xfId="32760" xr:uid="{00000000-0005-0000-0000-0000277F0000}"/>
    <cellStyle name="Input 4 4 5 7" xfId="32761" xr:uid="{00000000-0005-0000-0000-0000287F0000}"/>
    <cellStyle name="Input 4 4 6" xfId="32762" xr:uid="{00000000-0005-0000-0000-0000297F0000}"/>
    <cellStyle name="Input 4 4 6 2" xfId="32763" xr:uid="{00000000-0005-0000-0000-00002A7F0000}"/>
    <cellStyle name="Input 4 4 6 2 2" xfId="32764" xr:uid="{00000000-0005-0000-0000-00002B7F0000}"/>
    <cellStyle name="Input 4 4 6 3" xfId="32765" xr:uid="{00000000-0005-0000-0000-00002C7F0000}"/>
    <cellStyle name="Input 4 4 6 3 2" xfId="32766" xr:uid="{00000000-0005-0000-0000-00002D7F0000}"/>
    <cellStyle name="Input 4 4 6 4" xfId="32767" xr:uid="{00000000-0005-0000-0000-00002E7F0000}"/>
    <cellStyle name="Input 4 4 6 5" xfId="32768" xr:uid="{00000000-0005-0000-0000-00002F7F0000}"/>
    <cellStyle name="Input 4 4 6 6" xfId="32769" xr:uid="{00000000-0005-0000-0000-0000307F0000}"/>
    <cellStyle name="Input 4 4 7" xfId="32770" xr:uid="{00000000-0005-0000-0000-0000317F0000}"/>
    <cellStyle name="Input 4 4 7 2" xfId="32771" xr:uid="{00000000-0005-0000-0000-0000327F0000}"/>
    <cellStyle name="Input 4 4 8" xfId="32772" xr:uid="{00000000-0005-0000-0000-0000337F0000}"/>
    <cellStyle name="Input 4 4 8 2" xfId="32773" xr:uid="{00000000-0005-0000-0000-0000347F0000}"/>
    <cellStyle name="Input 4 4 9" xfId="32774" xr:uid="{00000000-0005-0000-0000-0000357F0000}"/>
    <cellStyle name="Input 4 5" xfId="32775" xr:uid="{00000000-0005-0000-0000-0000367F0000}"/>
    <cellStyle name="Input 4 5 10" xfId="32776" xr:uid="{00000000-0005-0000-0000-0000377F0000}"/>
    <cellStyle name="Input 4 5 11" xfId="32777" xr:uid="{00000000-0005-0000-0000-0000387F0000}"/>
    <cellStyle name="Input 4 5 2" xfId="32778" xr:uid="{00000000-0005-0000-0000-0000397F0000}"/>
    <cellStyle name="Input 4 5 2 10" xfId="32779" xr:uid="{00000000-0005-0000-0000-00003A7F0000}"/>
    <cellStyle name="Input 4 5 2 2" xfId="32780" xr:uid="{00000000-0005-0000-0000-00003B7F0000}"/>
    <cellStyle name="Input 4 5 2 2 2" xfId="32781" xr:uid="{00000000-0005-0000-0000-00003C7F0000}"/>
    <cellStyle name="Input 4 5 2 2 2 2" xfId="32782" xr:uid="{00000000-0005-0000-0000-00003D7F0000}"/>
    <cellStyle name="Input 4 5 2 2 2 2 2" xfId="32783" xr:uid="{00000000-0005-0000-0000-00003E7F0000}"/>
    <cellStyle name="Input 4 5 2 2 2 2 2 2" xfId="32784" xr:uid="{00000000-0005-0000-0000-00003F7F0000}"/>
    <cellStyle name="Input 4 5 2 2 2 2 3" xfId="32785" xr:uid="{00000000-0005-0000-0000-0000407F0000}"/>
    <cellStyle name="Input 4 5 2 2 2 2 3 2" xfId="32786" xr:uid="{00000000-0005-0000-0000-0000417F0000}"/>
    <cellStyle name="Input 4 5 2 2 2 2 4" xfId="32787" xr:uid="{00000000-0005-0000-0000-0000427F0000}"/>
    <cellStyle name="Input 4 5 2 2 2 2 5" xfId="32788" xr:uid="{00000000-0005-0000-0000-0000437F0000}"/>
    <cellStyle name="Input 4 5 2 2 2 2 6" xfId="32789" xr:uid="{00000000-0005-0000-0000-0000447F0000}"/>
    <cellStyle name="Input 4 5 2 2 2 3" xfId="32790" xr:uid="{00000000-0005-0000-0000-0000457F0000}"/>
    <cellStyle name="Input 4 5 2 2 2 3 2" xfId="32791" xr:uid="{00000000-0005-0000-0000-0000467F0000}"/>
    <cellStyle name="Input 4 5 2 2 2 4" xfId="32792" xr:uid="{00000000-0005-0000-0000-0000477F0000}"/>
    <cellStyle name="Input 4 5 2 2 2 4 2" xfId="32793" xr:uid="{00000000-0005-0000-0000-0000487F0000}"/>
    <cellStyle name="Input 4 5 2 2 2 5" xfId="32794" xr:uid="{00000000-0005-0000-0000-0000497F0000}"/>
    <cellStyle name="Input 4 5 2 2 2 6" xfId="32795" xr:uid="{00000000-0005-0000-0000-00004A7F0000}"/>
    <cellStyle name="Input 4 5 2 2 2 7" xfId="32796" xr:uid="{00000000-0005-0000-0000-00004B7F0000}"/>
    <cellStyle name="Input 4 5 2 2 3" xfId="32797" xr:uid="{00000000-0005-0000-0000-00004C7F0000}"/>
    <cellStyle name="Input 4 5 2 2 3 2" xfId="32798" xr:uid="{00000000-0005-0000-0000-00004D7F0000}"/>
    <cellStyle name="Input 4 5 2 2 3 2 2" xfId="32799" xr:uid="{00000000-0005-0000-0000-00004E7F0000}"/>
    <cellStyle name="Input 4 5 2 2 3 3" xfId="32800" xr:uid="{00000000-0005-0000-0000-00004F7F0000}"/>
    <cellStyle name="Input 4 5 2 2 3 3 2" xfId="32801" xr:uid="{00000000-0005-0000-0000-0000507F0000}"/>
    <cellStyle name="Input 4 5 2 2 3 4" xfId="32802" xr:uid="{00000000-0005-0000-0000-0000517F0000}"/>
    <cellStyle name="Input 4 5 2 2 3 5" xfId="32803" xr:uid="{00000000-0005-0000-0000-0000527F0000}"/>
    <cellStyle name="Input 4 5 2 2 3 6" xfId="32804" xr:uid="{00000000-0005-0000-0000-0000537F0000}"/>
    <cellStyle name="Input 4 5 2 2 4" xfId="32805" xr:uid="{00000000-0005-0000-0000-0000547F0000}"/>
    <cellStyle name="Input 4 5 2 2 4 2" xfId="32806" xr:uid="{00000000-0005-0000-0000-0000557F0000}"/>
    <cellStyle name="Input 4 5 2 2 5" xfId="32807" xr:uid="{00000000-0005-0000-0000-0000567F0000}"/>
    <cellStyle name="Input 4 5 2 2 5 2" xfId="32808" xr:uid="{00000000-0005-0000-0000-0000577F0000}"/>
    <cellStyle name="Input 4 5 2 2 6" xfId="32809" xr:uid="{00000000-0005-0000-0000-0000587F0000}"/>
    <cellStyle name="Input 4 5 2 2 7" xfId="32810" xr:uid="{00000000-0005-0000-0000-0000597F0000}"/>
    <cellStyle name="Input 4 5 2 2 8" xfId="32811" xr:uid="{00000000-0005-0000-0000-00005A7F0000}"/>
    <cellStyle name="Input 4 5 2 3" xfId="32812" xr:uid="{00000000-0005-0000-0000-00005B7F0000}"/>
    <cellStyle name="Input 4 5 2 3 2" xfId="32813" xr:uid="{00000000-0005-0000-0000-00005C7F0000}"/>
    <cellStyle name="Input 4 5 2 3 2 2" xfId="32814" xr:uid="{00000000-0005-0000-0000-00005D7F0000}"/>
    <cellStyle name="Input 4 5 2 3 2 2 2" xfId="32815" xr:uid="{00000000-0005-0000-0000-00005E7F0000}"/>
    <cellStyle name="Input 4 5 2 3 2 2 2 2" xfId="32816" xr:uid="{00000000-0005-0000-0000-00005F7F0000}"/>
    <cellStyle name="Input 4 5 2 3 2 2 3" xfId="32817" xr:uid="{00000000-0005-0000-0000-0000607F0000}"/>
    <cellStyle name="Input 4 5 2 3 2 2 3 2" xfId="32818" xr:uid="{00000000-0005-0000-0000-0000617F0000}"/>
    <cellStyle name="Input 4 5 2 3 2 2 4" xfId="32819" xr:uid="{00000000-0005-0000-0000-0000627F0000}"/>
    <cellStyle name="Input 4 5 2 3 2 2 5" xfId="32820" xr:uid="{00000000-0005-0000-0000-0000637F0000}"/>
    <cellStyle name="Input 4 5 2 3 2 2 6" xfId="32821" xr:uid="{00000000-0005-0000-0000-0000647F0000}"/>
    <cellStyle name="Input 4 5 2 3 2 3" xfId="32822" xr:uid="{00000000-0005-0000-0000-0000657F0000}"/>
    <cellStyle name="Input 4 5 2 3 2 3 2" xfId="32823" xr:uid="{00000000-0005-0000-0000-0000667F0000}"/>
    <cellStyle name="Input 4 5 2 3 2 4" xfId="32824" xr:uid="{00000000-0005-0000-0000-0000677F0000}"/>
    <cellStyle name="Input 4 5 2 3 2 4 2" xfId="32825" xr:uid="{00000000-0005-0000-0000-0000687F0000}"/>
    <cellStyle name="Input 4 5 2 3 2 5" xfId="32826" xr:uid="{00000000-0005-0000-0000-0000697F0000}"/>
    <cellStyle name="Input 4 5 2 3 2 6" xfId="32827" xr:uid="{00000000-0005-0000-0000-00006A7F0000}"/>
    <cellStyle name="Input 4 5 2 3 2 7" xfId="32828" xr:uid="{00000000-0005-0000-0000-00006B7F0000}"/>
    <cellStyle name="Input 4 5 2 3 3" xfId="32829" xr:uid="{00000000-0005-0000-0000-00006C7F0000}"/>
    <cellStyle name="Input 4 5 2 3 3 2" xfId="32830" xr:uid="{00000000-0005-0000-0000-00006D7F0000}"/>
    <cellStyle name="Input 4 5 2 3 3 2 2" xfId="32831" xr:uid="{00000000-0005-0000-0000-00006E7F0000}"/>
    <cellStyle name="Input 4 5 2 3 3 3" xfId="32832" xr:uid="{00000000-0005-0000-0000-00006F7F0000}"/>
    <cellStyle name="Input 4 5 2 3 3 3 2" xfId="32833" xr:uid="{00000000-0005-0000-0000-0000707F0000}"/>
    <cellStyle name="Input 4 5 2 3 3 4" xfId="32834" xr:uid="{00000000-0005-0000-0000-0000717F0000}"/>
    <cellStyle name="Input 4 5 2 3 3 5" xfId="32835" xr:uid="{00000000-0005-0000-0000-0000727F0000}"/>
    <cellStyle name="Input 4 5 2 3 3 6" xfId="32836" xr:uid="{00000000-0005-0000-0000-0000737F0000}"/>
    <cellStyle name="Input 4 5 2 3 4" xfId="32837" xr:uid="{00000000-0005-0000-0000-0000747F0000}"/>
    <cellStyle name="Input 4 5 2 3 4 2" xfId="32838" xr:uid="{00000000-0005-0000-0000-0000757F0000}"/>
    <cellStyle name="Input 4 5 2 3 5" xfId="32839" xr:uid="{00000000-0005-0000-0000-0000767F0000}"/>
    <cellStyle name="Input 4 5 2 3 5 2" xfId="32840" xr:uid="{00000000-0005-0000-0000-0000777F0000}"/>
    <cellStyle name="Input 4 5 2 3 6" xfId="32841" xr:uid="{00000000-0005-0000-0000-0000787F0000}"/>
    <cellStyle name="Input 4 5 2 3 7" xfId="32842" xr:uid="{00000000-0005-0000-0000-0000797F0000}"/>
    <cellStyle name="Input 4 5 2 3 8" xfId="32843" xr:uid="{00000000-0005-0000-0000-00007A7F0000}"/>
    <cellStyle name="Input 4 5 2 4" xfId="32844" xr:uid="{00000000-0005-0000-0000-00007B7F0000}"/>
    <cellStyle name="Input 4 5 2 4 2" xfId="32845" xr:uid="{00000000-0005-0000-0000-00007C7F0000}"/>
    <cellStyle name="Input 4 5 2 4 2 2" xfId="32846" xr:uid="{00000000-0005-0000-0000-00007D7F0000}"/>
    <cellStyle name="Input 4 5 2 4 2 2 2" xfId="32847" xr:uid="{00000000-0005-0000-0000-00007E7F0000}"/>
    <cellStyle name="Input 4 5 2 4 2 3" xfId="32848" xr:uid="{00000000-0005-0000-0000-00007F7F0000}"/>
    <cellStyle name="Input 4 5 2 4 2 3 2" xfId="32849" xr:uid="{00000000-0005-0000-0000-0000807F0000}"/>
    <cellStyle name="Input 4 5 2 4 2 4" xfId="32850" xr:uid="{00000000-0005-0000-0000-0000817F0000}"/>
    <cellStyle name="Input 4 5 2 4 2 5" xfId="32851" xr:uid="{00000000-0005-0000-0000-0000827F0000}"/>
    <cellStyle name="Input 4 5 2 4 2 6" xfId="32852" xr:uid="{00000000-0005-0000-0000-0000837F0000}"/>
    <cellStyle name="Input 4 5 2 4 3" xfId="32853" xr:uid="{00000000-0005-0000-0000-0000847F0000}"/>
    <cellStyle name="Input 4 5 2 4 3 2" xfId="32854" xr:uid="{00000000-0005-0000-0000-0000857F0000}"/>
    <cellStyle name="Input 4 5 2 4 4" xfId="32855" xr:uid="{00000000-0005-0000-0000-0000867F0000}"/>
    <cellStyle name="Input 4 5 2 4 4 2" xfId="32856" xr:uid="{00000000-0005-0000-0000-0000877F0000}"/>
    <cellStyle name="Input 4 5 2 4 5" xfId="32857" xr:uid="{00000000-0005-0000-0000-0000887F0000}"/>
    <cellStyle name="Input 4 5 2 4 6" xfId="32858" xr:uid="{00000000-0005-0000-0000-0000897F0000}"/>
    <cellStyle name="Input 4 5 2 4 7" xfId="32859" xr:uid="{00000000-0005-0000-0000-00008A7F0000}"/>
    <cellStyle name="Input 4 5 2 5" xfId="32860" xr:uid="{00000000-0005-0000-0000-00008B7F0000}"/>
    <cellStyle name="Input 4 5 2 5 2" xfId="32861" xr:uid="{00000000-0005-0000-0000-00008C7F0000}"/>
    <cellStyle name="Input 4 5 2 5 2 2" xfId="32862" xr:uid="{00000000-0005-0000-0000-00008D7F0000}"/>
    <cellStyle name="Input 4 5 2 5 3" xfId="32863" xr:uid="{00000000-0005-0000-0000-00008E7F0000}"/>
    <cellStyle name="Input 4 5 2 5 3 2" xfId="32864" xr:uid="{00000000-0005-0000-0000-00008F7F0000}"/>
    <cellStyle name="Input 4 5 2 5 4" xfId="32865" xr:uid="{00000000-0005-0000-0000-0000907F0000}"/>
    <cellStyle name="Input 4 5 2 5 5" xfId="32866" xr:uid="{00000000-0005-0000-0000-0000917F0000}"/>
    <cellStyle name="Input 4 5 2 5 6" xfId="32867" xr:uid="{00000000-0005-0000-0000-0000927F0000}"/>
    <cellStyle name="Input 4 5 2 6" xfId="32868" xr:uid="{00000000-0005-0000-0000-0000937F0000}"/>
    <cellStyle name="Input 4 5 2 6 2" xfId="32869" xr:uid="{00000000-0005-0000-0000-0000947F0000}"/>
    <cellStyle name="Input 4 5 2 7" xfId="32870" xr:uid="{00000000-0005-0000-0000-0000957F0000}"/>
    <cellStyle name="Input 4 5 2 7 2" xfId="32871" xr:uid="{00000000-0005-0000-0000-0000967F0000}"/>
    <cellStyle name="Input 4 5 2 8" xfId="32872" xr:uid="{00000000-0005-0000-0000-0000977F0000}"/>
    <cellStyle name="Input 4 5 2 9" xfId="32873" xr:uid="{00000000-0005-0000-0000-0000987F0000}"/>
    <cellStyle name="Input 4 5 3" xfId="32874" xr:uid="{00000000-0005-0000-0000-0000997F0000}"/>
    <cellStyle name="Input 4 5 3 2" xfId="32875" xr:uid="{00000000-0005-0000-0000-00009A7F0000}"/>
    <cellStyle name="Input 4 5 3 2 2" xfId="32876" xr:uid="{00000000-0005-0000-0000-00009B7F0000}"/>
    <cellStyle name="Input 4 5 3 2 2 2" xfId="32877" xr:uid="{00000000-0005-0000-0000-00009C7F0000}"/>
    <cellStyle name="Input 4 5 3 2 2 2 2" xfId="32878" xr:uid="{00000000-0005-0000-0000-00009D7F0000}"/>
    <cellStyle name="Input 4 5 3 2 2 3" xfId="32879" xr:uid="{00000000-0005-0000-0000-00009E7F0000}"/>
    <cellStyle name="Input 4 5 3 2 2 3 2" xfId="32880" xr:uid="{00000000-0005-0000-0000-00009F7F0000}"/>
    <cellStyle name="Input 4 5 3 2 2 4" xfId="32881" xr:uid="{00000000-0005-0000-0000-0000A07F0000}"/>
    <cellStyle name="Input 4 5 3 2 2 5" xfId="32882" xr:uid="{00000000-0005-0000-0000-0000A17F0000}"/>
    <cellStyle name="Input 4 5 3 2 2 6" xfId="32883" xr:uid="{00000000-0005-0000-0000-0000A27F0000}"/>
    <cellStyle name="Input 4 5 3 2 3" xfId="32884" xr:uid="{00000000-0005-0000-0000-0000A37F0000}"/>
    <cellStyle name="Input 4 5 3 2 3 2" xfId="32885" xr:uid="{00000000-0005-0000-0000-0000A47F0000}"/>
    <cellStyle name="Input 4 5 3 2 4" xfId="32886" xr:uid="{00000000-0005-0000-0000-0000A57F0000}"/>
    <cellStyle name="Input 4 5 3 2 4 2" xfId="32887" xr:uid="{00000000-0005-0000-0000-0000A67F0000}"/>
    <cellStyle name="Input 4 5 3 2 5" xfId="32888" xr:uid="{00000000-0005-0000-0000-0000A77F0000}"/>
    <cellStyle name="Input 4 5 3 2 6" xfId="32889" xr:uid="{00000000-0005-0000-0000-0000A87F0000}"/>
    <cellStyle name="Input 4 5 3 2 7" xfId="32890" xr:uid="{00000000-0005-0000-0000-0000A97F0000}"/>
    <cellStyle name="Input 4 5 3 3" xfId="32891" xr:uid="{00000000-0005-0000-0000-0000AA7F0000}"/>
    <cellStyle name="Input 4 5 3 3 2" xfId="32892" xr:uid="{00000000-0005-0000-0000-0000AB7F0000}"/>
    <cellStyle name="Input 4 5 3 3 2 2" xfId="32893" xr:uid="{00000000-0005-0000-0000-0000AC7F0000}"/>
    <cellStyle name="Input 4 5 3 3 3" xfId="32894" xr:uid="{00000000-0005-0000-0000-0000AD7F0000}"/>
    <cellStyle name="Input 4 5 3 3 3 2" xfId="32895" xr:uid="{00000000-0005-0000-0000-0000AE7F0000}"/>
    <cellStyle name="Input 4 5 3 3 4" xfId="32896" xr:uid="{00000000-0005-0000-0000-0000AF7F0000}"/>
    <cellStyle name="Input 4 5 3 3 5" xfId="32897" xr:uid="{00000000-0005-0000-0000-0000B07F0000}"/>
    <cellStyle name="Input 4 5 3 3 6" xfId="32898" xr:uid="{00000000-0005-0000-0000-0000B17F0000}"/>
    <cellStyle name="Input 4 5 3 4" xfId="32899" xr:uid="{00000000-0005-0000-0000-0000B27F0000}"/>
    <cellStyle name="Input 4 5 3 4 2" xfId="32900" xr:uid="{00000000-0005-0000-0000-0000B37F0000}"/>
    <cellStyle name="Input 4 5 3 5" xfId="32901" xr:uid="{00000000-0005-0000-0000-0000B47F0000}"/>
    <cellStyle name="Input 4 5 3 5 2" xfId="32902" xr:uid="{00000000-0005-0000-0000-0000B57F0000}"/>
    <cellStyle name="Input 4 5 3 6" xfId="32903" xr:uid="{00000000-0005-0000-0000-0000B67F0000}"/>
    <cellStyle name="Input 4 5 3 7" xfId="32904" xr:uid="{00000000-0005-0000-0000-0000B77F0000}"/>
    <cellStyle name="Input 4 5 3 8" xfId="32905" xr:uid="{00000000-0005-0000-0000-0000B87F0000}"/>
    <cellStyle name="Input 4 5 4" xfId="32906" xr:uid="{00000000-0005-0000-0000-0000B97F0000}"/>
    <cellStyle name="Input 4 5 4 2" xfId="32907" xr:uid="{00000000-0005-0000-0000-0000BA7F0000}"/>
    <cellStyle name="Input 4 5 4 2 2" xfId="32908" xr:uid="{00000000-0005-0000-0000-0000BB7F0000}"/>
    <cellStyle name="Input 4 5 4 2 2 2" xfId="32909" xr:uid="{00000000-0005-0000-0000-0000BC7F0000}"/>
    <cellStyle name="Input 4 5 4 2 2 2 2" xfId="32910" xr:uid="{00000000-0005-0000-0000-0000BD7F0000}"/>
    <cellStyle name="Input 4 5 4 2 2 3" xfId="32911" xr:uid="{00000000-0005-0000-0000-0000BE7F0000}"/>
    <cellStyle name="Input 4 5 4 2 2 3 2" xfId="32912" xr:uid="{00000000-0005-0000-0000-0000BF7F0000}"/>
    <cellStyle name="Input 4 5 4 2 2 4" xfId="32913" xr:uid="{00000000-0005-0000-0000-0000C07F0000}"/>
    <cellStyle name="Input 4 5 4 2 2 5" xfId="32914" xr:uid="{00000000-0005-0000-0000-0000C17F0000}"/>
    <cellStyle name="Input 4 5 4 2 2 6" xfId="32915" xr:uid="{00000000-0005-0000-0000-0000C27F0000}"/>
    <cellStyle name="Input 4 5 4 2 3" xfId="32916" xr:uid="{00000000-0005-0000-0000-0000C37F0000}"/>
    <cellStyle name="Input 4 5 4 2 3 2" xfId="32917" xr:uid="{00000000-0005-0000-0000-0000C47F0000}"/>
    <cellStyle name="Input 4 5 4 2 4" xfId="32918" xr:uid="{00000000-0005-0000-0000-0000C57F0000}"/>
    <cellStyle name="Input 4 5 4 2 4 2" xfId="32919" xr:uid="{00000000-0005-0000-0000-0000C67F0000}"/>
    <cellStyle name="Input 4 5 4 2 5" xfId="32920" xr:uid="{00000000-0005-0000-0000-0000C77F0000}"/>
    <cellStyle name="Input 4 5 4 2 6" xfId="32921" xr:uid="{00000000-0005-0000-0000-0000C87F0000}"/>
    <cellStyle name="Input 4 5 4 2 7" xfId="32922" xr:uid="{00000000-0005-0000-0000-0000C97F0000}"/>
    <cellStyle name="Input 4 5 4 3" xfId="32923" xr:uid="{00000000-0005-0000-0000-0000CA7F0000}"/>
    <cellStyle name="Input 4 5 4 3 2" xfId="32924" xr:uid="{00000000-0005-0000-0000-0000CB7F0000}"/>
    <cellStyle name="Input 4 5 4 3 2 2" xfId="32925" xr:uid="{00000000-0005-0000-0000-0000CC7F0000}"/>
    <cellStyle name="Input 4 5 4 3 3" xfId="32926" xr:uid="{00000000-0005-0000-0000-0000CD7F0000}"/>
    <cellStyle name="Input 4 5 4 3 3 2" xfId="32927" xr:uid="{00000000-0005-0000-0000-0000CE7F0000}"/>
    <cellStyle name="Input 4 5 4 3 4" xfId="32928" xr:uid="{00000000-0005-0000-0000-0000CF7F0000}"/>
    <cellStyle name="Input 4 5 4 3 5" xfId="32929" xr:uid="{00000000-0005-0000-0000-0000D07F0000}"/>
    <cellStyle name="Input 4 5 4 3 6" xfId="32930" xr:uid="{00000000-0005-0000-0000-0000D17F0000}"/>
    <cellStyle name="Input 4 5 4 4" xfId="32931" xr:uid="{00000000-0005-0000-0000-0000D27F0000}"/>
    <cellStyle name="Input 4 5 4 4 2" xfId="32932" xr:uid="{00000000-0005-0000-0000-0000D37F0000}"/>
    <cellStyle name="Input 4 5 4 5" xfId="32933" xr:uid="{00000000-0005-0000-0000-0000D47F0000}"/>
    <cellStyle name="Input 4 5 4 5 2" xfId="32934" xr:uid="{00000000-0005-0000-0000-0000D57F0000}"/>
    <cellStyle name="Input 4 5 4 6" xfId="32935" xr:uid="{00000000-0005-0000-0000-0000D67F0000}"/>
    <cellStyle name="Input 4 5 4 7" xfId="32936" xr:uid="{00000000-0005-0000-0000-0000D77F0000}"/>
    <cellStyle name="Input 4 5 4 8" xfId="32937" xr:uid="{00000000-0005-0000-0000-0000D87F0000}"/>
    <cellStyle name="Input 4 5 5" xfId="32938" xr:uid="{00000000-0005-0000-0000-0000D97F0000}"/>
    <cellStyle name="Input 4 5 5 2" xfId="32939" xr:uid="{00000000-0005-0000-0000-0000DA7F0000}"/>
    <cellStyle name="Input 4 5 5 2 2" xfId="32940" xr:uid="{00000000-0005-0000-0000-0000DB7F0000}"/>
    <cellStyle name="Input 4 5 5 2 2 2" xfId="32941" xr:uid="{00000000-0005-0000-0000-0000DC7F0000}"/>
    <cellStyle name="Input 4 5 5 2 3" xfId="32942" xr:uid="{00000000-0005-0000-0000-0000DD7F0000}"/>
    <cellStyle name="Input 4 5 5 2 3 2" xfId="32943" xr:uid="{00000000-0005-0000-0000-0000DE7F0000}"/>
    <cellStyle name="Input 4 5 5 2 4" xfId="32944" xr:uid="{00000000-0005-0000-0000-0000DF7F0000}"/>
    <cellStyle name="Input 4 5 5 2 5" xfId="32945" xr:uid="{00000000-0005-0000-0000-0000E07F0000}"/>
    <cellStyle name="Input 4 5 5 2 6" xfId="32946" xr:uid="{00000000-0005-0000-0000-0000E17F0000}"/>
    <cellStyle name="Input 4 5 5 3" xfId="32947" xr:uid="{00000000-0005-0000-0000-0000E27F0000}"/>
    <cellStyle name="Input 4 5 5 3 2" xfId="32948" xr:uid="{00000000-0005-0000-0000-0000E37F0000}"/>
    <cellStyle name="Input 4 5 5 4" xfId="32949" xr:uid="{00000000-0005-0000-0000-0000E47F0000}"/>
    <cellStyle name="Input 4 5 5 4 2" xfId="32950" xr:uid="{00000000-0005-0000-0000-0000E57F0000}"/>
    <cellStyle name="Input 4 5 5 5" xfId="32951" xr:uid="{00000000-0005-0000-0000-0000E67F0000}"/>
    <cellStyle name="Input 4 5 5 6" xfId="32952" xr:uid="{00000000-0005-0000-0000-0000E77F0000}"/>
    <cellStyle name="Input 4 5 5 7" xfId="32953" xr:uid="{00000000-0005-0000-0000-0000E87F0000}"/>
    <cellStyle name="Input 4 5 6" xfId="32954" xr:uid="{00000000-0005-0000-0000-0000E97F0000}"/>
    <cellStyle name="Input 4 5 6 2" xfId="32955" xr:uid="{00000000-0005-0000-0000-0000EA7F0000}"/>
    <cellStyle name="Input 4 5 6 2 2" xfId="32956" xr:uid="{00000000-0005-0000-0000-0000EB7F0000}"/>
    <cellStyle name="Input 4 5 6 3" xfId="32957" xr:uid="{00000000-0005-0000-0000-0000EC7F0000}"/>
    <cellStyle name="Input 4 5 6 3 2" xfId="32958" xr:uid="{00000000-0005-0000-0000-0000ED7F0000}"/>
    <cellStyle name="Input 4 5 6 4" xfId="32959" xr:uid="{00000000-0005-0000-0000-0000EE7F0000}"/>
    <cellStyle name="Input 4 5 6 5" xfId="32960" xr:uid="{00000000-0005-0000-0000-0000EF7F0000}"/>
    <cellStyle name="Input 4 5 6 6" xfId="32961" xr:uid="{00000000-0005-0000-0000-0000F07F0000}"/>
    <cellStyle name="Input 4 5 7" xfId="32962" xr:uid="{00000000-0005-0000-0000-0000F17F0000}"/>
    <cellStyle name="Input 4 5 7 2" xfId="32963" xr:uid="{00000000-0005-0000-0000-0000F27F0000}"/>
    <cellStyle name="Input 4 5 8" xfId="32964" xr:uid="{00000000-0005-0000-0000-0000F37F0000}"/>
    <cellStyle name="Input 4 5 8 2" xfId="32965" xr:uid="{00000000-0005-0000-0000-0000F47F0000}"/>
    <cellStyle name="Input 4 5 9" xfId="32966" xr:uid="{00000000-0005-0000-0000-0000F57F0000}"/>
    <cellStyle name="Input 4 6" xfId="32967" xr:uid="{00000000-0005-0000-0000-0000F67F0000}"/>
    <cellStyle name="Input 4 6 2" xfId="32968" xr:uid="{00000000-0005-0000-0000-0000F77F0000}"/>
    <cellStyle name="Input 4 6 2 2" xfId="32969" xr:uid="{00000000-0005-0000-0000-0000F87F0000}"/>
    <cellStyle name="Input 4 6 2 2 2" xfId="32970" xr:uid="{00000000-0005-0000-0000-0000F97F0000}"/>
    <cellStyle name="Input 4 6 2 3" xfId="32971" xr:uid="{00000000-0005-0000-0000-0000FA7F0000}"/>
    <cellStyle name="Input 4 6 2 3 2" xfId="32972" xr:uid="{00000000-0005-0000-0000-0000FB7F0000}"/>
    <cellStyle name="Input 4 6 2 4" xfId="32973" xr:uid="{00000000-0005-0000-0000-0000FC7F0000}"/>
    <cellStyle name="Input 4 6 2 5" xfId="32974" xr:uid="{00000000-0005-0000-0000-0000FD7F0000}"/>
    <cellStyle name="Input 4 6 2 6" xfId="32975" xr:uid="{00000000-0005-0000-0000-0000FE7F0000}"/>
    <cellStyle name="Input 4 6 3" xfId="32976" xr:uid="{00000000-0005-0000-0000-0000FF7F0000}"/>
    <cellStyle name="Input 4 6 3 2" xfId="32977" xr:uid="{00000000-0005-0000-0000-000000800000}"/>
    <cellStyle name="Input 4 6 4" xfId="32978" xr:uid="{00000000-0005-0000-0000-000001800000}"/>
    <cellStyle name="Input 4 6 4 2" xfId="32979" xr:uid="{00000000-0005-0000-0000-000002800000}"/>
    <cellStyle name="Input 4 6 5" xfId="32980" xr:uid="{00000000-0005-0000-0000-000003800000}"/>
    <cellStyle name="Input 4 6 6" xfId="32981" xr:uid="{00000000-0005-0000-0000-000004800000}"/>
    <cellStyle name="Input 4 6 7" xfId="32982" xr:uid="{00000000-0005-0000-0000-000005800000}"/>
    <cellStyle name="Input 4 7" xfId="32983" xr:uid="{00000000-0005-0000-0000-000006800000}"/>
    <cellStyle name="Input 4 7 2" xfId="32984" xr:uid="{00000000-0005-0000-0000-000007800000}"/>
    <cellStyle name="Input 4 8" xfId="32985" xr:uid="{00000000-0005-0000-0000-000008800000}"/>
    <cellStyle name="Input 4 8 2" xfId="32986" xr:uid="{00000000-0005-0000-0000-000009800000}"/>
    <cellStyle name="Input 4 9" xfId="32987" xr:uid="{00000000-0005-0000-0000-00000A800000}"/>
    <cellStyle name="Input 40" xfId="32988" xr:uid="{00000000-0005-0000-0000-00000B800000}"/>
    <cellStyle name="Input 40 2" xfId="32989" xr:uid="{00000000-0005-0000-0000-00000C800000}"/>
    <cellStyle name="Input 40 2 2" xfId="32990" xr:uid="{00000000-0005-0000-0000-00000D800000}"/>
    <cellStyle name="Input 40 2 2 2" xfId="32991" xr:uid="{00000000-0005-0000-0000-00000E800000}"/>
    <cellStyle name="Input 40 2 2 2 2" xfId="32992" xr:uid="{00000000-0005-0000-0000-00000F800000}"/>
    <cellStyle name="Input 40 2 2 3" xfId="32993" xr:uid="{00000000-0005-0000-0000-000010800000}"/>
    <cellStyle name="Input 40 2 2 3 2" xfId="32994" xr:uid="{00000000-0005-0000-0000-000011800000}"/>
    <cellStyle name="Input 40 2 2 4" xfId="32995" xr:uid="{00000000-0005-0000-0000-000012800000}"/>
    <cellStyle name="Input 40 2 2 5" xfId="32996" xr:uid="{00000000-0005-0000-0000-000013800000}"/>
    <cellStyle name="Input 40 2 2 6" xfId="32997" xr:uid="{00000000-0005-0000-0000-000014800000}"/>
    <cellStyle name="Input 40 2 3" xfId="32998" xr:uid="{00000000-0005-0000-0000-000015800000}"/>
    <cellStyle name="Input 40 2 3 2" xfId="32999" xr:uid="{00000000-0005-0000-0000-000016800000}"/>
    <cellStyle name="Input 40 2 4" xfId="33000" xr:uid="{00000000-0005-0000-0000-000017800000}"/>
    <cellStyle name="Input 40 2 4 2" xfId="33001" xr:uid="{00000000-0005-0000-0000-000018800000}"/>
    <cellStyle name="Input 40 2 5" xfId="33002" xr:uid="{00000000-0005-0000-0000-000019800000}"/>
    <cellStyle name="Input 40 2 6" xfId="33003" xr:uid="{00000000-0005-0000-0000-00001A800000}"/>
    <cellStyle name="Input 40 2 7" xfId="33004" xr:uid="{00000000-0005-0000-0000-00001B800000}"/>
    <cellStyle name="Input 40 3" xfId="33005" xr:uid="{00000000-0005-0000-0000-00001C800000}"/>
    <cellStyle name="Input 40 3 2" xfId="33006" xr:uid="{00000000-0005-0000-0000-00001D800000}"/>
    <cellStyle name="Input 40 3 2 2" xfId="33007" xr:uid="{00000000-0005-0000-0000-00001E800000}"/>
    <cellStyle name="Input 40 3 3" xfId="33008" xr:uid="{00000000-0005-0000-0000-00001F800000}"/>
    <cellStyle name="Input 40 3 3 2" xfId="33009" xr:uid="{00000000-0005-0000-0000-000020800000}"/>
    <cellStyle name="Input 40 3 4" xfId="33010" xr:uid="{00000000-0005-0000-0000-000021800000}"/>
    <cellStyle name="Input 40 3 5" xfId="33011" xr:uid="{00000000-0005-0000-0000-000022800000}"/>
    <cellStyle name="Input 40 3 6" xfId="33012" xr:uid="{00000000-0005-0000-0000-000023800000}"/>
    <cellStyle name="Input 40 4" xfId="33013" xr:uid="{00000000-0005-0000-0000-000024800000}"/>
    <cellStyle name="Input 40 4 2" xfId="33014" xr:uid="{00000000-0005-0000-0000-000025800000}"/>
    <cellStyle name="Input 40 5" xfId="33015" xr:uid="{00000000-0005-0000-0000-000026800000}"/>
    <cellStyle name="Input 40 5 2" xfId="33016" xr:uid="{00000000-0005-0000-0000-000027800000}"/>
    <cellStyle name="Input 40 6" xfId="33017" xr:uid="{00000000-0005-0000-0000-000028800000}"/>
    <cellStyle name="Input 40 7" xfId="33018" xr:uid="{00000000-0005-0000-0000-000029800000}"/>
    <cellStyle name="Input 40 8" xfId="33019" xr:uid="{00000000-0005-0000-0000-00002A800000}"/>
    <cellStyle name="Input 41" xfId="33020" xr:uid="{00000000-0005-0000-0000-00002B800000}"/>
    <cellStyle name="Input 41 2" xfId="33021" xr:uid="{00000000-0005-0000-0000-00002C800000}"/>
    <cellStyle name="Input 41 2 2" xfId="33022" xr:uid="{00000000-0005-0000-0000-00002D800000}"/>
    <cellStyle name="Input 41 2 2 2" xfId="33023" xr:uid="{00000000-0005-0000-0000-00002E800000}"/>
    <cellStyle name="Input 41 2 2 2 2" xfId="33024" xr:uid="{00000000-0005-0000-0000-00002F800000}"/>
    <cellStyle name="Input 41 2 2 3" xfId="33025" xr:uid="{00000000-0005-0000-0000-000030800000}"/>
    <cellStyle name="Input 41 2 2 3 2" xfId="33026" xr:uid="{00000000-0005-0000-0000-000031800000}"/>
    <cellStyle name="Input 41 2 2 4" xfId="33027" xr:uid="{00000000-0005-0000-0000-000032800000}"/>
    <cellStyle name="Input 41 2 2 5" xfId="33028" xr:uid="{00000000-0005-0000-0000-000033800000}"/>
    <cellStyle name="Input 41 2 2 6" xfId="33029" xr:uid="{00000000-0005-0000-0000-000034800000}"/>
    <cellStyle name="Input 41 2 3" xfId="33030" xr:uid="{00000000-0005-0000-0000-000035800000}"/>
    <cellStyle name="Input 41 2 3 2" xfId="33031" xr:uid="{00000000-0005-0000-0000-000036800000}"/>
    <cellStyle name="Input 41 2 4" xfId="33032" xr:uid="{00000000-0005-0000-0000-000037800000}"/>
    <cellStyle name="Input 41 2 4 2" xfId="33033" xr:uid="{00000000-0005-0000-0000-000038800000}"/>
    <cellStyle name="Input 41 2 5" xfId="33034" xr:uid="{00000000-0005-0000-0000-000039800000}"/>
    <cellStyle name="Input 41 2 6" xfId="33035" xr:uid="{00000000-0005-0000-0000-00003A800000}"/>
    <cellStyle name="Input 41 2 7" xfId="33036" xr:uid="{00000000-0005-0000-0000-00003B800000}"/>
    <cellStyle name="Input 41 3" xfId="33037" xr:uid="{00000000-0005-0000-0000-00003C800000}"/>
    <cellStyle name="Input 41 3 2" xfId="33038" xr:uid="{00000000-0005-0000-0000-00003D800000}"/>
    <cellStyle name="Input 41 3 2 2" xfId="33039" xr:uid="{00000000-0005-0000-0000-00003E800000}"/>
    <cellStyle name="Input 41 3 3" xfId="33040" xr:uid="{00000000-0005-0000-0000-00003F800000}"/>
    <cellStyle name="Input 41 3 3 2" xfId="33041" xr:uid="{00000000-0005-0000-0000-000040800000}"/>
    <cellStyle name="Input 41 3 4" xfId="33042" xr:uid="{00000000-0005-0000-0000-000041800000}"/>
    <cellStyle name="Input 41 3 5" xfId="33043" xr:uid="{00000000-0005-0000-0000-000042800000}"/>
    <cellStyle name="Input 41 3 6" xfId="33044" xr:uid="{00000000-0005-0000-0000-000043800000}"/>
    <cellStyle name="Input 41 4" xfId="33045" xr:uid="{00000000-0005-0000-0000-000044800000}"/>
    <cellStyle name="Input 41 4 2" xfId="33046" xr:uid="{00000000-0005-0000-0000-000045800000}"/>
    <cellStyle name="Input 41 5" xfId="33047" xr:uid="{00000000-0005-0000-0000-000046800000}"/>
    <cellStyle name="Input 41 5 2" xfId="33048" xr:uid="{00000000-0005-0000-0000-000047800000}"/>
    <cellStyle name="Input 41 6" xfId="33049" xr:uid="{00000000-0005-0000-0000-000048800000}"/>
    <cellStyle name="Input 41 7" xfId="33050" xr:uid="{00000000-0005-0000-0000-000049800000}"/>
    <cellStyle name="Input 41 8" xfId="33051" xr:uid="{00000000-0005-0000-0000-00004A800000}"/>
    <cellStyle name="Input 42" xfId="33052" xr:uid="{00000000-0005-0000-0000-00004B800000}"/>
    <cellStyle name="Input 42 2" xfId="33053" xr:uid="{00000000-0005-0000-0000-00004C800000}"/>
    <cellStyle name="Input 42 2 2" xfId="33054" xr:uid="{00000000-0005-0000-0000-00004D800000}"/>
    <cellStyle name="Input 42 2 2 2" xfId="33055" xr:uid="{00000000-0005-0000-0000-00004E800000}"/>
    <cellStyle name="Input 42 2 2 2 2" xfId="33056" xr:uid="{00000000-0005-0000-0000-00004F800000}"/>
    <cellStyle name="Input 42 2 2 3" xfId="33057" xr:uid="{00000000-0005-0000-0000-000050800000}"/>
    <cellStyle name="Input 42 2 2 3 2" xfId="33058" xr:uid="{00000000-0005-0000-0000-000051800000}"/>
    <cellStyle name="Input 42 2 2 4" xfId="33059" xr:uid="{00000000-0005-0000-0000-000052800000}"/>
    <cellStyle name="Input 42 2 2 5" xfId="33060" xr:uid="{00000000-0005-0000-0000-000053800000}"/>
    <cellStyle name="Input 42 2 2 6" xfId="33061" xr:uid="{00000000-0005-0000-0000-000054800000}"/>
    <cellStyle name="Input 42 2 3" xfId="33062" xr:uid="{00000000-0005-0000-0000-000055800000}"/>
    <cellStyle name="Input 42 2 3 2" xfId="33063" xr:uid="{00000000-0005-0000-0000-000056800000}"/>
    <cellStyle name="Input 42 2 4" xfId="33064" xr:uid="{00000000-0005-0000-0000-000057800000}"/>
    <cellStyle name="Input 42 2 4 2" xfId="33065" xr:uid="{00000000-0005-0000-0000-000058800000}"/>
    <cellStyle name="Input 42 2 5" xfId="33066" xr:uid="{00000000-0005-0000-0000-000059800000}"/>
    <cellStyle name="Input 42 2 6" xfId="33067" xr:uid="{00000000-0005-0000-0000-00005A800000}"/>
    <cellStyle name="Input 42 2 7" xfId="33068" xr:uid="{00000000-0005-0000-0000-00005B800000}"/>
    <cellStyle name="Input 42 3" xfId="33069" xr:uid="{00000000-0005-0000-0000-00005C800000}"/>
    <cellStyle name="Input 42 3 2" xfId="33070" xr:uid="{00000000-0005-0000-0000-00005D800000}"/>
    <cellStyle name="Input 42 3 2 2" xfId="33071" xr:uid="{00000000-0005-0000-0000-00005E800000}"/>
    <cellStyle name="Input 42 3 3" xfId="33072" xr:uid="{00000000-0005-0000-0000-00005F800000}"/>
    <cellStyle name="Input 42 3 3 2" xfId="33073" xr:uid="{00000000-0005-0000-0000-000060800000}"/>
    <cellStyle name="Input 42 3 4" xfId="33074" xr:uid="{00000000-0005-0000-0000-000061800000}"/>
    <cellStyle name="Input 42 3 5" xfId="33075" xr:uid="{00000000-0005-0000-0000-000062800000}"/>
    <cellStyle name="Input 42 3 6" xfId="33076" xr:uid="{00000000-0005-0000-0000-000063800000}"/>
    <cellStyle name="Input 42 4" xfId="33077" xr:uid="{00000000-0005-0000-0000-000064800000}"/>
    <cellStyle name="Input 42 4 2" xfId="33078" xr:uid="{00000000-0005-0000-0000-000065800000}"/>
    <cellStyle name="Input 42 5" xfId="33079" xr:uid="{00000000-0005-0000-0000-000066800000}"/>
    <cellStyle name="Input 42 5 2" xfId="33080" xr:uid="{00000000-0005-0000-0000-000067800000}"/>
    <cellStyle name="Input 42 6" xfId="33081" xr:uid="{00000000-0005-0000-0000-000068800000}"/>
    <cellStyle name="Input 42 7" xfId="33082" xr:uid="{00000000-0005-0000-0000-000069800000}"/>
    <cellStyle name="Input 42 8" xfId="33083" xr:uid="{00000000-0005-0000-0000-00006A800000}"/>
    <cellStyle name="Input 43" xfId="33084" xr:uid="{00000000-0005-0000-0000-00006B800000}"/>
    <cellStyle name="Input 43 2" xfId="33085" xr:uid="{00000000-0005-0000-0000-00006C800000}"/>
    <cellStyle name="Input 43 2 2" xfId="33086" xr:uid="{00000000-0005-0000-0000-00006D800000}"/>
    <cellStyle name="Input 43 2 2 2" xfId="33087" xr:uid="{00000000-0005-0000-0000-00006E800000}"/>
    <cellStyle name="Input 43 2 2 2 2" xfId="33088" xr:uid="{00000000-0005-0000-0000-00006F800000}"/>
    <cellStyle name="Input 43 2 2 3" xfId="33089" xr:uid="{00000000-0005-0000-0000-000070800000}"/>
    <cellStyle name="Input 43 2 2 3 2" xfId="33090" xr:uid="{00000000-0005-0000-0000-000071800000}"/>
    <cellStyle name="Input 43 2 2 4" xfId="33091" xr:uid="{00000000-0005-0000-0000-000072800000}"/>
    <cellStyle name="Input 43 2 2 5" xfId="33092" xr:uid="{00000000-0005-0000-0000-000073800000}"/>
    <cellStyle name="Input 43 2 2 6" xfId="33093" xr:uid="{00000000-0005-0000-0000-000074800000}"/>
    <cellStyle name="Input 43 2 3" xfId="33094" xr:uid="{00000000-0005-0000-0000-000075800000}"/>
    <cellStyle name="Input 43 2 3 2" xfId="33095" xr:uid="{00000000-0005-0000-0000-000076800000}"/>
    <cellStyle name="Input 43 2 4" xfId="33096" xr:uid="{00000000-0005-0000-0000-000077800000}"/>
    <cellStyle name="Input 43 2 4 2" xfId="33097" xr:uid="{00000000-0005-0000-0000-000078800000}"/>
    <cellStyle name="Input 43 2 5" xfId="33098" xr:uid="{00000000-0005-0000-0000-000079800000}"/>
    <cellStyle name="Input 43 2 6" xfId="33099" xr:uid="{00000000-0005-0000-0000-00007A800000}"/>
    <cellStyle name="Input 43 2 7" xfId="33100" xr:uid="{00000000-0005-0000-0000-00007B800000}"/>
    <cellStyle name="Input 43 3" xfId="33101" xr:uid="{00000000-0005-0000-0000-00007C800000}"/>
    <cellStyle name="Input 43 3 2" xfId="33102" xr:uid="{00000000-0005-0000-0000-00007D800000}"/>
    <cellStyle name="Input 43 3 2 2" xfId="33103" xr:uid="{00000000-0005-0000-0000-00007E800000}"/>
    <cellStyle name="Input 43 3 3" xfId="33104" xr:uid="{00000000-0005-0000-0000-00007F800000}"/>
    <cellStyle name="Input 43 3 3 2" xfId="33105" xr:uid="{00000000-0005-0000-0000-000080800000}"/>
    <cellStyle name="Input 43 3 4" xfId="33106" xr:uid="{00000000-0005-0000-0000-000081800000}"/>
    <cellStyle name="Input 43 3 5" xfId="33107" xr:uid="{00000000-0005-0000-0000-000082800000}"/>
    <cellStyle name="Input 43 3 6" xfId="33108" xr:uid="{00000000-0005-0000-0000-000083800000}"/>
    <cellStyle name="Input 43 4" xfId="33109" xr:uid="{00000000-0005-0000-0000-000084800000}"/>
    <cellStyle name="Input 43 4 2" xfId="33110" xr:uid="{00000000-0005-0000-0000-000085800000}"/>
    <cellStyle name="Input 43 5" xfId="33111" xr:uid="{00000000-0005-0000-0000-000086800000}"/>
    <cellStyle name="Input 43 5 2" xfId="33112" xr:uid="{00000000-0005-0000-0000-000087800000}"/>
    <cellStyle name="Input 43 6" xfId="33113" xr:uid="{00000000-0005-0000-0000-000088800000}"/>
    <cellStyle name="Input 43 7" xfId="33114" xr:uid="{00000000-0005-0000-0000-000089800000}"/>
    <cellStyle name="Input 43 8" xfId="33115" xr:uid="{00000000-0005-0000-0000-00008A800000}"/>
    <cellStyle name="Input 44" xfId="33116" xr:uid="{00000000-0005-0000-0000-00008B800000}"/>
    <cellStyle name="Input 44 2" xfId="33117" xr:uid="{00000000-0005-0000-0000-00008C800000}"/>
    <cellStyle name="Input 44 2 2" xfId="33118" xr:uid="{00000000-0005-0000-0000-00008D800000}"/>
    <cellStyle name="Input 44 2 2 2" xfId="33119" xr:uid="{00000000-0005-0000-0000-00008E800000}"/>
    <cellStyle name="Input 44 2 2 2 2" xfId="33120" xr:uid="{00000000-0005-0000-0000-00008F800000}"/>
    <cellStyle name="Input 44 2 2 3" xfId="33121" xr:uid="{00000000-0005-0000-0000-000090800000}"/>
    <cellStyle name="Input 44 2 2 3 2" xfId="33122" xr:uid="{00000000-0005-0000-0000-000091800000}"/>
    <cellStyle name="Input 44 2 2 4" xfId="33123" xr:uid="{00000000-0005-0000-0000-000092800000}"/>
    <cellStyle name="Input 44 2 2 5" xfId="33124" xr:uid="{00000000-0005-0000-0000-000093800000}"/>
    <cellStyle name="Input 44 2 2 6" xfId="33125" xr:uid="{00000000-0005-0000-0000-000094800000}"/>
    <cellStyle name="Input 44 2 3" xfId="33126" xr:uid="{00000000-0005-0000-0000-000095800000}"/>
    <cellStyle name="Input 44 2 3 2" xfId="33127" xr:uid="{00000000-0005-0000-0000-000096800000}"/>
    <cellStyle name="Input 44 2 4" xfId="33128" xr:uid="{00000000-0005-0000-0000-000097800000}"/>
    <cellStyle name="Input 44 2 4 2" xfId="33129" xr:uid="{00000000-0005-0000-0000-000098800000}"/>
    <cellStyle name="Input 44 2 5" xfId="33130" xr:uid="{00000000-0005-0000-0000-000099800000}"/>
    <cellStyle name="Input 44 2 6" xfId="33131" xr:uid="{00000000-0005-0000-0000-00009A800000}"/>
    <cellStyle name="Input 44 2 7" xfId="33132" xr:uid="{00000000-0005-0000-0000-00009B800000}"/>
    <cellStyle name="Input 44 3" xfId="33133" xr:uid="{00000000-0005-0000-0000-00009C800000}"/>
    <cellStyle name="Input 44 3 2" xfId="33134" xr:uid="{00000000-0005-0000-0000-00009D800000}"/>
    <cellStyle name="Input 44 3 2 2" xfId="33135" xr:uid="{00000000-0005-0000-0000-00009E800000}"/>
    <cellStyle name="Input 44 3 3" xfId="33136" xr:uid="{00000000-0005-0000-0000-00009F800000}"/>
    <cellStyle name="Input 44 3 3 2" xfId="33137" xr:uid="{00000000-0005-0000-0000-0000A0800000}"/>
    <cellStyle name="Input 44 3 4" xfId="33138" xr:uid="{00000000-0005-0000-0000-0000A1800000}"/>
    <cellStyle name="Input 44 3 5" xfId="33139" xr:uid="{00000000-0005-0000-0000-0000A2800000}"/>
    <cellStyle name="Input 44 3 6" xfId="33140" xr:uid="{00000000-0005-0000-0000-0000A3800000}"/>
    <cellStyle name="Input 44 4" xfId="33141" xr:uid="{00000000-0005-0000-0000-0000A4800000}"/>
    <cellStyle name="Input 44 4 2" xfId="33142" xr:uid="{00000000-0005-0000-0000-0000A5800000}"/>
    <cellStyle name="Input 44 5" xfId="33143" xr:uid="{00000000-0005-0000-0000-0000A6800000}"/>
    <cellStyle name="Input 44 5 2" xfId="33144" xr:uid="{00000000-0005-0000-0000-0000A7800000}"/>
    <cellStyle name="Input 44 6" xfId="33145" xr:uid="{00000000-0005-0000-0000-0000A8800000}"/>
    <cellStyle name="Input 44 7" xfId="33146" xr:uid="{00000000-0005-0000-0000-0000A9800000}"/>
    <cellStyle name="Input 44 8" xfId="33147" xr:uid="{00000000-0005-0000-0000-0000AA800000}"/>
    <cellStyle name="Input 45" xfId="33148" xr:uid="{00000000-0005-0000-0000-0000AB800000}"/>
    <cellStyle name="Input 45 2" xfId="33149" xr:uid="{00000000-0005-0000-0000-0000AC800000}"/>
    <cellStyle name="Input 45 2 2" xfId="33150" xr:uid="{00000000-0005-0000-0000-0000AD800000}"/>
    <cellStyle name="Input 45 2 2 2" xfId="33151" xr:uid="{00000000-0005-0000-0000-0000AE800000}"/>
    <cellStyle name="Input 45 2 2 2 2" xfId="33152" xr:uid="{00000000-0005-0000-0000-0000AF800000}"/>
    <cellStyle name="Input 45 2 2 3" xfId="33153" xr:uid="{00000000-0005-0000-0000-0000B0800000}"/>
    <cellStyle name="Input 45 2 2 3 2" xfId="33154" xr:uid="{00000000-0005-0000-0000-0000B1800000}"/>
    <cellStyle name="Input 45 2 2 4" xfId="33155" xr:uid="{00000000-0005-0000-0000-0000B2800000}"/>
    <cellStyle name="Input 45 2 2 5" xfId="33156" xr:uid="{00000000-0005-0000-0000-0000B3800000}"/>
    <cellStyle name="Input 45 2 2 6" xfId="33157" xr:uid="{00000000-0005-0000-0000-0000B4800000}"/>
    <cellStyle name="Input 45 2 3" xfId="33158" xr:uid="{00000000-0005-0000-0000-0000B5800000}"/>
    <cellStyle name="Input 45 2 3 2" xfId="33159" xr:uid="{00000000-0005-0000-0000-0000B6800000}"/>
    <cellStyle name="Input 45 2 4" xfId="33160" xr:uid="{00000000-0005-0000-0000-0000B7800000}"/>
    <cellStyle name="Input 45 2 4 2" xfId="33161" xr:uid="{00000000-0005-0000-0000-0000B8800000}"/>
    <cellStyle name="Input 45 2 5" xfId="33162" xr:uid="{00000000-0005-0000-0000-0000B9800000}"/>
    <cellStyle name="Input 45 2 6" xfId="33163" xr:uid="{00000000-0005-0000-0000-0000BA800000}"/>
    <cellStyle name="Input 45 2 7" xfId="33164" xr:uid="{00000000-0005-0000-0000-0000BB800000}"/>
    <cellStyle name="Input 45 3" xfId="33165" xr:uid="{00000000-0005-0000-0000-0000BC800000}"/>
    <cellStyle name="Input 45 3 2" xfId="33166" xr:uid="{00000000-0005-0000-0000-0000BD800000}"/>
    <cellStyle name="Input 45 3 2 2" xfId="33167" xr:uid="{00000000-0005-0000-0000-0000BE800000}"/>
    <cellStyle name="Input 45 3 3" xfId="33168" xr:uid="{00000000-0005-0000-0000-0000BF800000}"/>
    <cellStyle name="Input 45 3 3 2" xfId="33169" xr:uid="{00000000-0005-0000-0000-0000C0800000}"/>
    <cellStyle name="Input 45 3 4" xfId="33170" xr:uid="{00000000-0005-0000-0000-0000C1800000}"/>
    <cellStyle name="Input 45 3 5" xfId="33171" xr:uid="{00000000-0005-0000-0000-0000C2800000}"/>
    <cellStyle name="Input 45 3 6" xfId="33172" xr:uid="{00000000-0005-0000-0000-0000C3800000}"/>
    <cellStyle name="Input 45 4" xfId="33173" xr:uid="{00000000-0005-0000-0000-0000C4800000}"/>
    <cellStyle name="Input 45 4 2" xfId="33174" xr:uid="{00000000-0005-0000-0000-0000C5800000}"/>
    <cellStyle name="Input 45 5" xfId="33175" xr:uid="{00000000-0005-0000-0000-0000C6800000}"/>
    <cellStyle name="Input 45 5 2" xfId="33176" xr:uid="{00000000-0005-0000-0000-0000C7800000}"/>
    <cellStyle name="Input 45 6" xfId="33177" xr:uid="{00000000-0005-0000-0000-0000C8800000}"/>
    <cellStyle name="Input 45 7" xfId="33178" xr:uid="{00000000-0005-0000-0000-0000C9800000}"/>
    <cellStyle name="Input 45 8" xfId="33179" xr:uid="{00000000-0005-0000-0000-0000CA800000}"/>
    <cellStyle name="Input 46" xfId="33180" xr:uid="{00000000-0005-0000-0000-0000CB800000}"/>
    <cellStyle name="Input 46 2" xfId="33181" xr:uid="{00000000-0005-0000-0000-0000CC800000}"/>
    <cellStyle name="Input 46 2 2" xfId="33182" xr:uid="{00000000-0005-0000-0000-0000CD800000}"/>
    <cellStyle name="Input 46 2 2 2" xfId="33183" xr:uid="{00000000-0005-0000-0000-0000CE800000}"/>
    <cellStyle name="Input 46 2 2 2 2" xfId="33184" xr:uid="{00000000-0005-0000-0000-0000CF800000}"/>
    <cellStyle name="Input 46 2 2 3" xfId="33185" xr:uid="{00000000-0005-0000-0000-0000D0800000}"/>
    <cellStyle name="Input 46 2 2 3 2" xfId="33186" xr:uid="{00000000-0005-0000-0000-0000D1800000}"/>
    <cellStyle name="Input 46 2 2 4" xfId="33187" xr:uid="{00000000-0005-0000-0000-0000D2800000}"/>
    <cellStyle name="Input 46 2 2 5" xfId="33188" xr:uid="{00000000-0005-0000-0000-0000D3800000}"/>
    <cellStyle name="Input 46 2 2 6" xfId="33189" xr:uid="{00000000-0005-0000-0000-0000D4800000}"/>
    <cellStyle name="Input 46 2 3" xfId="33190" xr:uid="{00000000-0005-0000-0000-0000D5800000}"/>
    <cellStyle name="Input 46 2 3 2" xfId="33191" xr:uid="{00000000-0005-0000-0000-0000D6800000}"/>
    <cellStyle name="Input 46 2 4" xfId="33192" xr:uid="{00000000-0005-0000-0000-0000D7800000}"/>
    <cellStyle name="Input 46 2 4 2" xfId="33193" xr:uid="{00000000-0005-0000-0000-0000D8800000}"/>
    <cellStyle name="Input 46 2 5" xfId="33194" xr:uid="{00000000-0005-0000-0000-0000D9800000}"/>
    <cellStyle name="Input 46 2 6" xfId="33195" xr:uid="{00000000-0005-0000-0000-0000DA800000}"/>
    <cellStyle name="Input 46 2 7" xfId="33196" xr:uid="{00000000-0005-0000-0000-0000DB800000}"/>
    <cellStyle name="Input 46 3" xfId="33197" xr:uid="{00000000-0005-0000-0000-0000DC800000}"/>
    <cellStyle name="Input 46 3 2" xfId="33198" xr:uid="{00000000-0005-0000-0000-0000DD800000}"/>
    <cellStyle name="Input 46 3 2 2" xfId="33199" xr:uid="{00000000-0005-0000-0000-0000DE800000}"/>
    <cellStyle name="Input 46 3 3" xfId="33200" xr:uid="{00000000-0005-0000-0000-0000DF800000}"/>
    <cellStyle name="Input 46 3 3 2" xfId="33201" xr:uid="{00000000-0005-0000-0000-0000E0800000}"/>
    <cellStyle name="Input 46 3 4" xfId="33202" xr:uid="{00000000-0005-0000-0000-0000E1800000}"/>
    <cellStyle name="Input 46 3 5" xfId="33203" xr:uid="{00000000-0005-0000-0000-0000E2800000}"/>
    <cellStyle name="Input 46 3 6" xfId="33204" xr:uid="{00000000-0005-0000-0000-0000E3800000}"/>
    <cellStyle name="Input 46 4" xfId="33205" xr:uid="{00000000-0005-0000-0000-0000E4800000}"/>
    <cellStyle name="Input 46 4 2" xfId="33206" xr:uid="{00000000-0005-0000-0000-0000E5800000}"/>
    <cellStyle name="Input 46 5" xfId="33207" xr:uid="{00000000-0005-0000-0000-0000E6800000}"/>
    <cellStyle name="Input 46 5 2" xfId="33208" xr:uid="{00000000-0005-0000-0000-0000E7800000}"/>
    <cellStyle name="Input 46 6" xfId="33209" xr:uid="{00000000-0005-0000-0000-0000E8800000}"/>
    <cellStyle name="Input 46 7" xfId="33210" xr:uid="{00000000-0005-0000-0000-0000E9800000}"/>
    <cellStyle name="Input 46 8" xfId="33211" xr:uid="{00000000-0005-0000-0000-0000EA800000}"/>
    <cellStyle name="Input 47" xfId="33212" xr:uid="{00000000-0005-0000-0000-0000EB800000}"/>
    <cellStyle name="Input 47 2" xfId="33213" xr:uid="{00000000-0005-0000-0000-0000EC800000}"/>
    <cellStyle name="Input 47 2 2" xfId="33214" xr:uid="{00000000-0005-0000-0000-0000ED800000}"/>
    <cellStyle name="Input 47 2 2 2" xfId="33215" xr:uid="{00000000-0005-0000-0000-0000EE800000}"/>
    <cellStyle name="Input 47 2 2 2 2" xfId="33216" xr:uid="{00000000-0005-0000-0000-0000EF800000}"/>
    <cellStyle name="Input 47 2 2 3" xfId="33217" xr:uid="{00000000-0005-0000-0000-0000F0800000}"/>
    <cellStyle name="Input 47 2 2 3 2" xfId="33218" xr:uid="{00000000-0005-0000-0000-0000F1800000}"/>
    <cellStyle name="Input 47 2 2 4" xfId="33219" xr:uid="{00000000-0005-0000-0000-0000F2800000}"/>
    <cellStyle name="Input 47 2 2 5" xfId="33220" xr:uid="{00000000-0005-0000-0000-0000F3800000}"/>
    <cellStyle name="Input 47 2 2 6" xfId="33221" xr:uid="{00000000-0005-0000-0000-0000F4800000}"/>
    <cellStyle name="Input 47 2 3" xfId="33222" xr:uid="{00000000-0005-0000-0000-0000F5800000}"/>
    <cellStyle name="Input 47 2 3 2" xfId="33223" xr:uid="{00000000-0005-0000-0000-0000F6800000}"/>
    <cellStyle name="Input 47 2 4" xfId="33224" xr:uid="{00000000-0005-0000-0000-0000F7800000}"/>
    <cellStyle name="Input 47 2 4 2" xfId="33225" xr:uid="{00000000-0005-0000-0000-0000F8800000}"/>
    <cellStyle name="Input 47 2 5" xfId="33226" xr:uid="{00000000-0005-0000-0000-0000F9800000}"/>
    <cellStyle name="Input 47 2 6" xfId="33227" xr:uid="{00000000-0005-0000-0000-0000FA800000}"/>
    <cellStyle name="Input 47 2 7" xfId="33228" xr:uid="{00000000-0005-0000-0000-0000FB800000}"/>
    <cellStyle name="Input 47 3" xfId="33229" xr:uid="{00000000-0005-0000-0000-0000FC800000}"/>
    <cellStyle name="Input 47 3 2" xfId="33230" xr:uid="{00000000-0005-0000-0000-0000FD800000}"/>
    <cellStyle name="Input 47 3 2 2" xfId="33231" xr:uid="{00000000-0005-0000-0000-0000FE800000}"/>
    <cellStyle name="Input 47 3 3" xfId="33232" xr:uid="{00000000-0005-0000-0000-0000FF800000}"/>
    <cellStyle name="Input 47 3 3 2" xfId="33233" xr:uid="{00000000-0005-0000-0000-000000810000}"/>
    <cellStyle name="Input 47 3 4" xfId="33234" xr:uid="{00000000-0005-0000-0000-000001810000}"/>
    <cellStyle name="Input 47 3 5" xfId="33235" xr:uid="{00000000-0005-0000-0000-000002810000}"/>
    <cellStyle name="Input 47 3 6" xfId="33236" xr:uid="{00000000-0005-0000-0000-000003810000}"/>
    <cellStyle name="Input 47 4" xfId="33237" xr:uid="{00000000-0005-0000-0000-000004810000}"/>
    <cellStyle name="Input 47 4 2" xfId="33238" xr:uid="{00000000-0005-0000-0000-000005810000}"/>
    <cellStyle name="Input 47 5" xfId="33239" xr:uid="{00000000-0005-0000-0000-000006810000}"/>
    <cellStyle name="Input 47 5 2" xfId="33240" xr:uid="{00000000-0005-0000-0000-000007810000}"/>
    <cellStyle name="Input 47 6" xfId="33241" xr:uid="{00000000-0005-0000-0000-000008810000}"/>
    <cellStyle name="Input 47 7" xfId="33242" xr:uid="{00000000-0005-0000-0000-000009810000}"/>
    <cellStyle name="Input 47 8" xfId="33243" xr:uid="{00000000-0005-0000-0000-00000A810000}"/>
    <cellStyle name="Input 48" xfId="33244" xr:uid="{00000000-0005-0000-0000-00000B810000}"/>
    <cellStyle name="Input 48 2" xfId="33245" xr:uid="{00000000-0005-0000-0000-00000C810000}"/>
    <cellStyle name="Input 48 2 2" xfId="33246" xr:uid="{00000000-0005-0000-0000-00000D810000}"/>
    <cellStyle name="Input 48 2 2 2" xfId="33247" xr:uid="{00000000-0005-0000-0000-00000E810000}"/>
    <cellStyle name="Input 48 2 3" xfId="33248" xr:uid="{00000000-0005-0000-0000-00000F810000}"/>
    <cellStyle name="Input 48 2 3 2" xfId="33249" xr:uid="{00000000-0005-0000-0000-000010810000}"/>
    <cellStyle name="Input 48 2 4" xfId="33250" xr:uid="{00000000-0005-0000-0000-000011810000}"/>
    <cellStyle name="Input 48 2 5" xfId="33251" xr:uid="{00000000-0005-0000-0000-000012810000}"/>
    <cellStyle name="Input 48 2 6" xfId="33252" xr:uid="{00000000-0005-0000-0000-000013810000}"/>
    <cellStyle name="Input 48 3" xfId="33253" xr:uid="{00000000-0005-0000-0000-000014810000}"/>
    <cellStyle name="Input 48 3 2" xfId="33254" xr:uid="{00000000-0005-0000-0000-000015810000}"/>
    <cellStyle name="Input 48 4" xfId="33255" xr:uid="{00000000-0005-0000-0000-000016810000}"/>
    <cellStyle name="Input 48 4 2" xfId="33256" xr:uid="{00000000-0005-0000-0000-000017810000}"/>
    <cellStyle name="Input 48 5" xfId="33257" xr:uid="{00000000-0005-0000-0000-000018810000}"/>
    <cellStyle name="Input 48 6" xfId="33258" xr:uid="{00000000-0005-0000-0000-000019810000}"/>
    <cellStyle name="Input 48 7" xfId="33259" xr:uid="{00000000-0005-0000-0000-00001A810000}"/>
    <cellStyle name="Input 49" xfId="33260" xr:uid="{00000000-0005-0000-0000-00001B810000}"/>
    <cellStyle name="Input 49 2" xfId="33261" xr:uid="{00000000-0005-0000-0000-00001C810000}"/>
    <cellStyle name="Input 49 2 2" xfId="33262" xr:uid="{00000000-0005-0000-0000-00001D810000}"/>
    <cellStyle name="Input 49 2 2 2" xfId="33263" xr:uid="{00000000-0005-0000-0000-00001E810000}"/>
    <cellStyle name="Input 49 2 3" xfId="33264" xr:uid="{00000000-0005-0000-0000-00001F810000}"/>
    <cellStyle name="Input 49 2 3 2" xfId="33265" xr:uid="{00000000-0005-0000-0000-000020810000}"/>
    <cellStyle name="Input 49 2 4" xfId="33266" xr:uid="{00000000-0005-0000-0000-000021810000}"/>
    <cellStyle name="Input 49 2 5" xfId="33267" xr:uid="{00000000-0005-0000-0000-000022810000}"/>
    <cellStyle name="Input 49 2 6" xfId="33268" xr:uid="{00000000-0005-0000-0000-000023810000}"/>
    <cellStyle name="Input 49 3" xfId="33269" xr:uid="{00000000-0005-0000-0000-000024810000}"/>
    <cellStyle name="Input 49 3 2" xfId="33270" xr:uid="{00000000-0005-0000-0000-000025810000}"/>
    <cellStyle name="Input 49 4" xfId="33271" xr:uid="{00000000-0005-0000-0000-000026810000}"/>
    <cellStyle name="Input 49 4 2" xfId="33272" xr:uid="{00000000-0005-0000-0000-000027810000}"/>
    <cellStyle name="Input 49 5" xfId="33273" xr:uid="{00000000-0005-0000-0000-000028810000}"/>
    <cellStyle name="Input 49 6" xfId="33274" xr:uid="{00000000-0005-0000-0000-000029810000}"/>
    <cellStyle name="Input 49 7" xfId="33275" xr:uid="{00000000-0005-0000-0000-00002A810000}"/>
    <cellStyle name="Input 5" xfId="33276" xr:uid="{00000000-0005-0000-0000-00002B810000}"/>
    <cellStyle name="Input 5 10" xfId="33277" xr:uid="{00000000-0005-0000-0000-00002C810000}"/>
    <cellStyle name="Input 5 11" xfId="33278" xr:uid="{00000000-0005-0000-0000-00002D810000}"/>
    <cellStyle name="Input 5 2" xfId="33279" xr:uid="{00000000-0005-0000-0000-00002E810000}"/>
    <cellStyle name="Input 5 2 10" xfId="33280" xr:uid="{00000000-0005-0000-0000-00002F810000}"/>
    <cellStyle name="Input 5 2 11" xfId="33281" xr:uid="{00000000-0005-0000-0000-000030810000}"/>
    <cellStyle name="Input 5 2 12" xfId="33282" xr:uid="{00000000-0005-0000-0000-000031810000}"/>
    <cellStyle name="Input 5 2 2" xfId="33283" xr:uid="{00000000-0005-0000-0000-000032810000}"/>
    <cellStyle name="Input 5 2 2 10" xfId="33284" xr:uid="{00000000-0005-0000-0000-000033810000}"/>
    <cellStyle name="Input 5 2 2 11" xfId="33285" xr:uid="{00000000-0005-0000-0000-000034810000}"/>
    <cellStyle name="Input 5 2 2 12" xfId="33286" xr:uid="{00000000-0005-0000-0000-000035810000}"/>
    <cellStyle name="Input 5 2 2 2" xfId="33287" xr:uid="{00000000-0005-0000-0000-000036810000}"/>
    <cellStyle name="Input 5 2 2 2 10" xfId="33288" xr:uid="{00000000-0005-0000-0000-000037810000}"/>
    <cellStyle name="Input 5 2 2 2 11" xfId="33289" xr:uid="{00000000-0005-0000-0000-000038810000}"/>
    <cellStyle name="Input 5 2 2 2 2" xfId="33290" xr:uid="{00000000-0005-0000-0000-000039810000}"/>
    <cellStyle name="Input 5 2 2 2 2 10" xfId="33291" xr:uid="{00000000-0005-0000-0000-00003A810000}"/>
    <cellStyle name="Input 5 2 2 2 2 2" xfId="33292" xr:uid="{00000000-0005-0000-0000-00003B810000}"/>
    <cellStyle name="Input 5 2 2 2 2 2 2" xfId="33293" xr:uid="{00000000-0005-0000-0000-00003C810000}"/>
    <cellStyle name="Input 5 2 2 2 2 2 2 2" xfId="33294" xr:uid="{00000000-0005-0000-0000-00003D810000}"/>
    <cellStyle name="Input 5 2 2 2 2 2 2 2 2" xfId="33295" xr:uid="{00000000-0005-0000-0000-00003E810000}"/>
    <cellStyle name="Input 5 2 2 2 2 2 2 2 2 2" xfId="33296" xr:uid="{00000000-0005-0000-0000-00003F810000}"/>
    <cellStyle name="Input 5 2 2 2 2 2 2 2 3" xfId="33297" xr:uid="{00000000-0005-0000-0000-000040810000}"/>
    <cellStyle name="Input 5 2 2 2 2 2 2 2 3 2" xfId="33298" xr:uid="{00000000-0005-0000-0000-000041810000}"/>
    <cellStyle name="Input 5 2 2 2 2 2 2 2 4" xfId="33299" xr:uid="{00000000-0005-0000-0000-000042810000}"/>
    <cellStyle name="Input 5 2 2 2 2 2 2 2 5" xfId="33300" xr:uid="{00000000-0005-0000-0000-000043810000}"/>
    <cellStyle name="Input 5 2 2 2 2 2 2 2 6" xfId="33301" xr:uid="{00000000-0005-0000-0000-000044810000}"/>
    <cellStyle name="Input 5 2 2 2 2 2 2 3" xfId="33302" xr:uid="{00000000-0005-0000-0000-000045810000}"/>
    <cellStyle name="Input 5 2 2 2 2 2 2 3 2" xfId="33303" xr:uid="{00000000-0005-0000-0000-000046810000}"/>
    <cellStyle name="Input 5 2 2 2 2 2 2 4" xfId="33304" xr:uid="{00000000-0005-0000-0000-000047810000}"/>
    <cellStyle name="Input 5 2 2 2 2 2 2 4 2" xfId="33305" xr:uid="{00000000-0005-0000-0000-000048810000}"/>
    <cellStyle name="Input 5 2 2 2 2 2 2 5" xfId="33306" xr:uid="{00000000-0005-0000-0000-000049810000}"/>
    <cellStyle name="Input 5 2 2 2 2 2 2 6" xfId="33307" xr:uid="{00000000-0005-0000-0000-00004A810000}"/>
    <cellStyle name="Input 5 2 2 2 2 2 2 7" xfId="33308" xr:uid="{00000000-0005-0000-0000-00004B810000}"/>
    <cellStyle name="Input 5 2 2 2 2 2 3" xfId="33309" xr:uid="{00000000-0005-0000-0000-00004C810000}"/>
    <cellStyle name="Input 5 2 2 2 2 2 3 2" xfId="33310" xr:uid="{00000000-0005-0000-0000-00004D810000}"/>
    <cellStyle name="Input 5 2 2 2 2 2 3 2 2" xfId="33311" xr:uid="{00000000-0005-0000-0000-00004E810000}"/>
    <cellStyle name="Input 5 2 2 2 2 2 3 3" xfId="33312" xr:uid="{00000000-0005-0000-0000-00004F810000}"/>
    <cellStyle name="Input 5 2 2 2 2 2 3 3 2" xfId="33313" xr:uid="{00000000-0005-0000-0000-000050810000}"/>
    <cellStyle name="Input 5 2 2 2 2 2 3 4" xfId="33314" xr:uid="{00000000-0005-0000-0000-000051810000}"/>
    <cellStyle name="Input 5 2 2 2 2 2 3 5" xfId="33315" xr:uid="{00000000-0005-0000-0000-000052810000}"/>
    <cellStyle name="Input 5 2 2 2 2 2 3 6" xfId="33316" xr:uid="{00000000-0005-0000-0000-000053810000}"/>
    <cellStyle name="Input 5 2 2 2 2 2 4" xfId="33317" xr:uid="{00000000-0005-0000-0000-000054810000}"/>
    <cellStyle name="Input 5 2 2 2 2 2 4 2" xfId="33318" xr:uid="{00000000-0005-0000-0000-000055810000}"/>
    <cellStyle name="Input 5 2 2 2 2 2 5" xfId="33319" xr:uid="{00000000-0005-0000-0000-000056810000}"/>
    <cellStyle name="Input 5 2 2 2 2 2 5 2" xfId="33320" xr:uid="{00000000-0005-0000-0000-000057810000}"/>
    <cellStyle name="Input 5 2 2 2 2 2 6" xfId="33321" xr:uid="{00000000-0005-0000-0000-000058810000}"/>
    <cellStyle name="Input 5 2 2 2 2 2 7" xfId="33322" xr:uid="{00000000-0005-0000-0000-000059810000}"/>
    <cellStyle name="Input 5 2 2 2 2 2 8" xfId="33323" xr:uid="{00000000-0005-0000-0000-00005A810000}"/>
    <cellStyle name="Input 5 2 2 2 2 3" xfId="33324" xr:uid="{00000000-0005-0000-0000-00005B810000}"/>
    <cellStyle name="Input 5 2 2 2 2 3 2" xfId="33325" xr:uid="{00000000-0005-0000-0000-00005C810000}"/>
    <cellStyle name="Input 5 2 2 2 2 3 2 2" xfId="33326" xr:uid="{00000000-0005-0000-0000-00005D810000}"/>
    <cellStyle name="Input 5 2 2 2 2 3 2 2 2" xfId="33327" xr:uid="{00000000-0005-0000-0000-00005E810000}"/>
    <cellStyle name="Input 5 2 2 2 2 3 2 2 2 2" xfId="33328" xr:uid="{00000000-0005-0000-0000-00005F810000}"/>
    <cellStyle name="Input 5 2 2 2 2 3 2 2 3" xfId="33329" xr:uid="{00000000-0005-0000-0000-000060810000}"/>
    <cellStyle name="Input 5 2 2 2 2 3 2 2 3 2" xfId="33330" xr:uid="{00000000-0005-0000-0000-000061810000}"/>
    <cellStyle name="Input 5 2 2 2 2 3 2 2 4" xfId="33331" xr:uid="{00000000-0005-0000-0000-000062810000}"/>
    <cellStyle name="Input 5 2 2 2 2 3 2 2 5" xfId="33332" xr:uid="{00000000-0005-0000-0000-000063810000}"/>
    <cellStyle name="Input 5 2 2 2 2 3 2 2 6" xfId="33333" xr:uid="{00000000-0005-0000-0000-000064810000}"/>
    <cellStyle name="Input 5 2 2 2 2 3 2 3" xfId="33334" xr:uid="{00000000-0005-0000-0000-000065810000}"/>
    <cellStyle name="Input 5 2 2 2 2 3 2 3 2" xfId="33335" xr:uid="{00000000-0005-0000-0000-000066810000}"/>
    <cellStyle name="Input 5 2 2 2 2 3 2 4" xfId="33336" xr:uid="{00000000-0005-0000-0000-000067810000}"/>
    <cellStyle name="Input 5 2 2 2 2 3 2 4 2" xfId="33337" xr:uid="{00000000-0005-0000-0000-000068810000}"/>
    <cellStyle name="Input 5 2 2 2 2 3 2 5" xfId="33338" xr:uid="{00000000-0005-0000-0000-000069810000}"/>
    <cellStyle name="Input 5 2 2 2 2 3 2 6" xfId="33339" xr:uid="{00000000-0005-0000-0000-00006A810000}"/>
    <cellStyle name="Input 5 2 2 2 2 3 2 7" xfId="33340" xr:uid="{00000000-0005-0000-0000-00006B810000}"/>
    <cellStyle name="Input 5 2 2 2 2 3 3" xfId="33341" xr:uid="{00000000-0005-0000-0000-00006C810000}"/>
    <cellStyle name="Input 5 2 2 2 2 3 3 2" xfId="33342" xr:uid="{00000000-0005-0000-0000-00006D810000}"/>
    <cellStyle name="Input 5 2 2 2 2 3 3 2 2" xfId="33343" xr:uid="{00000000-0005-0000-0000-00006E810000}"/>
    <cellStyle name="Input 5 2 2 2 2 3 3 3" xfId="33344" xr:uid="{00000000-0005-0000-0000-00006F810000}"/>
    <cellStyle name="Input 5 2 2 2 2 3 3 3 2" xfId="33345" xr:uid="{00000000-0005-0000-0000-000070810000}"/>
    <cellStyle name="Input 5 2 2 2 2 3 3 4" xfId="33346" xr:uid="{00000000-0005-0000-0000-000071810000}"/>
    <cellStyle name="Input 5 2 2 2 2 3 3 5" xfId="33347" xr:uid="{00000000-0005-0000-0000-000072810000}"/>
    <cellStyle name="Input 5 2 2 2 2 3 3 6" xfId="33348" xr:uid="{00000000-0005-0000-0000-000073810000}"/>
    <cellStyle name="Input 5 2 2 2 2 3 4" xfId="33349" xr:uid="{00000000-0005-0000-0000-000074810000}"/>
    <cellStyle name="Input 5 2 2 2 2 3 4 2" xfId="33350" xr:uid="{00000000-0005-0000-0000-000075810000}"/>
    <cellStyle name="Input 5 2 2 2 2 3 5" xfId="33351" xr:uid="{00000000-0005-0000-0000-000076810000}"/>
    <cellStyle name="Input 5 2 2 2 2 3 5 2" xfId="33352" xr:uid="{00000000-0005-0000-0000-000077810000}"/>
    <cellStyle name="Input 5 2 2 2 2 3 6" xfId="33353" xr:uid="{00000000-0005-0000-0000-000078810000}"/>
    <cellStyle name="Input 5 2 2 2 2 3 7" xfId="33354" xr:uid="{00000000-0005-0000-0000-000079810000}"/>
    <cellStyle name="Input 5 2 2 2 2 3 8" xfId="33355" xr:uid="{00000000-0005-0000-0000-00007A810000}"/>
    <cellStyle name="Input 5 2 2 2 2 4" xfId="33356" xr:uid="{00000000-0005-0000-0000-00007B810000}"/>
    <cellStyle name="Input 5 2 2 2 2 4 2" xfId="33357" xr:uid="{00000000-0005-0000-0000-00007C810000}"/>
    <cellStyle name="Input 5 2 2 2 2 4 2 2" xfId="33358" xr:uid="{00000000-0005-0000-0000-00007D810000}"/>
    <cellStyle name="Input 5 2 2 2 2 4 2 2 2" xfId="33359" xr:uid="{00000000-0005-0000-0000-00007E810000}"/>
    <cellStyle name="Input 5 2 2 2 2 4 2 3" xfId="33360" xr:uid="{00000000-0005-0000-0000-00007F810000}"/>
    <cellStyle name="Input 5 2 2 2 2 4 2 3 2" xfId="33361" xr:uid="{00000000-0005-0000-0000-000080810000}"/>
    <cellStyle name="Input 5 2 2 2 2 4 2 4" xfId="33362" xr:uid="{00000000-0005-0000-0000-000081810000}"/>
    <cellStyle name="Input 5 2 2 2 2 4 2 5" xfId="33363" xr:uid="{00000000-0005-0000-0000-000082810000}"/>
    <cellStyle name="Input 5 2 2 2 2 4 2 6" xfId="33364" xr:uid="{00000000-0005-0000-0000-000083810000}"/>
    <cellStyle name="Input 5 2 2 2 2 4 3" xfId="33365" xr:uid="{00000000-0005-0000-0000-000084810000}"/>
    <cellStyle name="Input 5 2 2 2 2 4 3 2" xfId="33366" xr:uid="{00000000-0005-0000-0000-000085810000}"/>
    <cellStyle name="Input 5 2 2 2 2 4 4" xfId="33367" xr:uid="{00000000-0005-0000-0000-000086810000}"/>
    <cellStyle name="Input 5 2 2 2 2 4 4 2" xfId="33368" xr:uid="{00000000-0005-0000-0000-000087810000}"/>
    <cellStyle name="Input 5 2 2 2 2 4 5" xfId="33369" xr:uid="{00000000-0005-0000-0000-000088810000}"/>
    <cellStyle name="Input 5 2 2 2 2 4 6" xfId="33370" xr:uid="{00000000-0005-0000-0000-000089810000}"/>
    <cellStyle name="Input 5 2 2 2 2 4 7" xfId="33371" xr:uid="{00000000-0005-0000-0000-00008A810000}"/>
    <cellStyle name="Input 5 2 2 2 2 5" xfId="33372" xr:uid="{00000000-0005-0000-0000-00008B810000}"/>
    <cellStyle name="Input 5 2 2 2 2 5 2" xfId="33373" xr:uid="{00000000-0005-0000-0000-00008C810000}"/>
    <cellStyle name="Input 5 2 2 2 2 5 2 2" xfId="33374" xr:uid="{00000000-0005-0000-0000-00008D810000}"/>
    <cellStyle name="Input 5 2 2 2 2 5 3" xfId="33375" xr:uid="{00000000-0005-0000-0000-00008E810000}"/>
    <cellStyle name="Input 5 2 2 2 2 5 3 2" xfId="33376" xr:uid="{00000000-0005-0000-0000-00008F810000}"/>
    <cellStyle name="Input 5 2 2 2 2 5 4" xfId="33377" xr:uid="{00000000-0005-0000-0000-000090810000}"/>
    <cellStyle name="Input 5 2 2 2 2 5 5" xfId="33378" xr:uid="{00000000-0005-0000-0000-000091810000}"/>
    <cellStyle name="Input 5 2 2 2 2 5 6" xfId="33379" xr:uid="{00000000-0005-0000-0000-000092810000}"/>
    <cellStyle name="Input 5 2 2 2 2 6" xfId="33380" xr:uid="{00000000-0005-0000-0000-000093810000}"/>
    <cellStyle name="Input 5 2 2 2 2 6 2" xfId="33381" xr:uid="{00000000-0005-0000-0000-000094810000}"/>
    <cellStyle name="Input 5 2 2 2 2 7" xfId="33382" xr:uid="{00000000-0005-0000-0000-000095810000}"/>
    <cellStyle name="Input 5 2 2 2 2 7 2" xfId="33383" xr:uid="{00000000-0005-0000-0000-000096810000}"/>
    <cellStyle name="Input 5 2 2 2 2 8" xfId="33384" xr:uid="{00000000-0005-0000-0000-000097810000}"/>
    <cellStyle name="Input 5 2 2 2 2 9" xfId="33385" xr:uid="{00000000-0005-0000-0000-000098810000}"/>
    <cellStyle name="Input 5 2 2 2 3" xfId="33386" xr:uid="{00000000-0005-0000-0000-000099810000}"/>
    <cellStyle name="Input 5 2 2 2 3 2" xfId="33387" xr:uid="{00000000-0005-0000-0000-00009A810000}"/>
    <cellStyle name="Input 5 2 2 2 3 2 2" xfId="33388" xr:uid="{00000000-0005-0000-0000-00009B810000}"/>
    <cellStyle name="Input 5 2 2 2 3 2 2 2" xfId="33389" xr:uid="{00000000-0005-0000-0000-00009C810000}"/>
    <cellStyle name="Input 5 2 2 2 3 2 2 2 2" xfId="33390" xr:uid="{00000000-0005-0000-0000-00009D810000}"/>
    <cellStyle name="Input 5 2 2 2 3 2 2 3" xfId="33391" xr:uid="{00000000-0005-0000-0000-00009E810000}"/>
    <cellStyle name="Input 5 2 2 2 3 2 2 3 2" xfId="33392" xr:uid="{00000000-0005-0000-0000-00009F810000}"/>
    <cellStyle name="Input 5 2 2 2 3 2 2 4" xfId="33393" xr:uid="{00000000-0005-0000-0000-0000A0810000}"/>
    <cellStyle name="Input 5 2 2 2 3 2 2 5" xfId="33394" xr:uid="{00000000-0005-0000-0000-0000A1810000}"/>
    <cellStyle name="Input 5 2 2 2 3 2 2 6" xfId="33395" xr:uid="{00000000-0005-0000-0000-0000A2810000}"/>
    <cellStyle name="Input 5 2 2 2 3 2 3" xfId="33396" xr:uid="{00000000-0005-0000-0000-0000A3810000}"/>
    <cellStyle name="Input 5 2 2 2 3 2 3 2" xfId="33397" xr:uid="{00000000-0005-0000-0000-0000A4810000}"/>
    <cellStyle name="Input 5 2 2 2 3 2 4" xfId="33398" xr:uid="{00000000-0005-0000-0000-0000A5810000}"/>
    <cellStyle name="Input 5 2 2 2 3 2 4 2" xfId="33399" xr:uid="{00000000-0005-0000-0000-0000A6810000}"/>
    <cellStyle name="Input 5 2 2 2 3 2 5" xfId="33400" xr:uid="{00000000-0005-0000-0000-0000A7810000}"/>
    <cellStyle name="Input 5 2 2 2 3 2 6" xfId="33401" xr:uid="{00000000-0005-0000-0000-0000A8810000}"/>
    <cellStyle name="Input 5 2 2 2 3 2 7" xfId="33402" xr:uid="{00000000-0005-0000-0000-0000A9810000}"/>
    <cellStyle name="Input 5 2 2 2 3 3" xfId="33403" xr:uid="{00000000-0005-0000-0000-0000AA810000}"/>
    <cellStyle name="Input 5 2 2 2 3 3 2" xfId="33404" xr:uid="{00000000-0005-0000-0000-0000AB810000}"/>
    <cellStyle name="Input 5 2 2 2 3 3 2 2" xfId="33405" xr:uid="{00000000-0005-0000-0000-0000AC810000}"/>
    <cellStyle name="Input 5 2 2 2 3 3 3" xfId="33406" xr:uid="{00000000-0005-0000-0000-0000AD810000}"/>
    <cellStyle name="Input 5 2 2 2 3 3 3 2" xfId="33407" xr:uid="{00000000-0005-0000-0000-0000AE810000}"/>
    <cellStyle name="Input 5 2 2 2 3 3 4" xfId="33408" xr:uid="{00000000-0005-0000-0000-0000AF810000}"/>
    <cellStyle name="Input 5 2 2 2 3 3 5" xfId="33409" xr:uid="{00000000-0005-0000-0000-0000B0810000}"/>
    <cellStyle name="Input 5 2 2 2 3 3 6" xfId="33410" xr:uid="{00000000-0005-0000-0000-0000B1810000}"/>
    <cellStyle name="Input 5 2 2 2 3 4" xfId="33411" xr:uid="{00000000-0005-0000-0000-0000B2810000}"/>
    <cellStyle name="Input 5 2 2 2 3 4 2" xfId="33412" xr:uid="{00000000-0005-0000-0000-0000B3810000}"/>
    <cellStyle name="Input 5 2 2 2 3 5" xfId="33413" xr:uid="{00000000-0005-0000-0000-0000B4810000}"/>
    <cellStyle name="Input 5 2 2 2 3 5 2" xfId="33414" xr:uid="{00000000-0005-0000-0000-0000B5810000}"/>
    <cellStyle name="Input 5 2 2 2 3 6" xfId="33415" xr:uid="{00000000-0005-0000-0000-0000B6810000}"/>
    <cellStyle name="Input 5 2 2 2 3 7" xfId="33416" xr:uid="{00000000-0005-0000-0000-0000B7810000}"/>
    <cellStyle name="Input 5 2 2 2 3 8" xfId="33417" xr:uid="{00000000-0005-0000-0000-0000B8810000}"/>
    <cellStyle name="Input 5 2 2 2 4" xfId="33418" xr:uid="{00000000-0005-0000-0000-0000B9810000}"/>
    <cellStyle name="Input 5 2 2 2 4 2" xfId="33419" xr:uid="{00000000-0005-0000-0000-0000BA810000}"/>
    <cellStyle name="Input 5 2 2 2 4 2 2" xfId="33420" xr:uid="{00000000-0005-0000-0000-0000BB810000}"/>
    <cellStyle name="Input 5 2 2 2 4 2 2 2" xfId="33421" xr:uid="{00000000-0005-0000-0000-0000BC810000}"/>
    <cellStyle name="Input 5 2 2 2 4 2 2 2 2" xfId="33422" xr:uid="{00000000-0005-0000-0000-0000BD810000}"/>
    <cellStyle name="Input 5 2 2 2 4 2 2 3" xfId="33423" xr:uid="{00000000-0005-0000-0000-0000BE810000}"/>
    <cellStyle name="Input 5 2 2 2 4 2 2 3 2" xfId="33424" xr:uid="{00000000-0005-0000-0000-0000BF810000}"/>
    <cellStyle name="Input 5 2 2 2 4 2 2 4" xfId="33425" xr:uid="{00000000-0005-0000-0000-0000C0810000}"/>
    <cellStyle name="Input 5 2 2 2 4 2 2 5" xfId="33426" xr:uid="{00000000-0005-0000-0000-0000C1810000}"/>
    <cellStyle name="Input 5 2 2 2 4 2 2 6" xfId="33427" xr:uid="{00000000-0005-0000-0000-0000C2810000}"/>
    <cellStyle name="Input 5 2 2 2 4 2 3" xfId="33428" xr:uid="{00000000-0005-0000-0000-0000C3810000}"/>
    <cellStyle name="Input 5 2 2 2 4 2 3 2" xfId="33429" xr:uid="{00000000-0005-0000-0000-0000C4810000}"/>
    <cellStyle name="Input 5 2 2 2 4 2 4" xfId="33430" xr:uid="{00000000-0005-0000-0000-0000C5810000}"/>
    <cellStyle name="Input 5 2 2 2 4 2 4 2" xfId="33431" xr:uid="{00000000-0005-0000-0000-0000C6810000}"/>
    <cellStyle name="Input 5 2 2 2 4 2 5" xfId="33432" xr:uid="{00000000-0005-0000-0000-0000C7810000}"/>
    <cellStyle name="Input 5 2 2 2 4 2 6" xfId="33433" xr:uid="{00000000-0005-0000-0000-0000C8810000}"/>
    <cellStyle name="Input 5 2 2 2 4 2 7" xfId="33434" xr:uid="{00000000-0005-0000-0000-0000C9810000}"/>
    <cellStyle name="Input 5 2 2 2 4 3" xfId="33435" xr:uid="{00000000-0005-0000-0000-0000CA810000}"/>
    <cellStyle name="Input 5 2 2 2 4 3 2" xfId="33436" xr:uid="{00000000-0005-0000-0000-0000CB810000}"/>
    <cellStyle name="Input 5 2 2 2 4 3 2 2" xfId="33437" xr:uid="{00000000-0005-0000-0000-0000CC810000}"/>
    <cellStyle name="Input 5 2 2 2 4 3 3" xfId="33438" xr:uid="{00000000-0005-0000-0000-0000CD810000}"/>
    <cellStyle name="Input 5 2 2 2 4 3 3 2" xfId="33439" xr:uid="{00000000-0005-0000-0000-0000CE810000}"/>
    <cellStyle name="Input 5 2 2 2 4 3 4" xfId="33440" xr:uid="{00000000-0005-0000-0000-0000CF810000}"/>
    <cellStyle name="Input 5 2 2 2 4 3 5" xfId="33441" xr:uid="{00000000-0005-0000-0000-0000D0810000}"/>
    <cellStyle name="Input 5 2 2 2 4 3 6" xfId="33442" xr:uid="{00000000-0005-0000-0000-0000D1810000}"/>
    <cellStyle name="Input 5 2 2 2 4 4" xfId="33443" xr:uid="{00000000-0005-0000-0000-0000D2810000}"/>
    <cellStyle name="Input 5 2 2 2 4 4 2" xfId="33444" xr:uid="{00000000-0005-0000-0000-0000D3810000}"/>
    <cellStyle name="Input 5 2 2 2 4 5" xfId="33445" xr:uid="{00000000-0005-0000-0000-0000D4810000}"/>
    <cellStyle name="Input 5 2 2 2 4 5 2" xfId="33446" xr:uid="{00000000-0005-0000-0000-0000D5810000}"/>
    <cellStyle name="Input 5 2 2 2 4 6" xfId="33447" xr:uid="{00000000-0005-0000-0000-0000D6810000}"/>
    <cellStyle name="Input 5 2 2 2 4 7" xfId="33448" xr:uid="{00000000-0005-0000-0000-0000D7810000}"/>
    <cellStyle name="Input 5 2 2 2 4 8" xfId="33449" xr:uid="{00000000-0005-0000-0000-0000D8810000}"/>
    <cellStyle name="Input 5 2 2 2 5" xfId="33450" xr:uid="{00000000-0005-0000-0000-0000D9810000}"/>
    <cellStyle name="Input 5 2 2 2 5 2" xfId="33451" xr:uid="{00000000-0005-0000-0000-0000DA810000}"/>
    <cellStyle name="Input 5 2 2 2 5 2 2" xfId="33452" xr:uid="{00000000-0005-0000-0000-0000DB810000}"/>
    <cellStyle name="Input 5 2 2 2 5 2 2 2" xfId="33453" xr:uid="{00000000-0005-0000-0000-0000DC810000}"/>
    <cellStyle name="Input 5 2 2 2 5 2 3" xfId="33454" xr:uid="{00000000-0005-0000-0000-0000DD810000}"/>
    <cellStyle name="Input 5 2 2 2 5 2 3 2" xfId="33455" xr:uid="{00000000-0005-0000-0000-0000DE810000}"/>
    <cellStyle name="Input 5 2 2 2 5 2 4" xfId="33456" xr:uid="{00000000-0005-0000-0000-0000DF810000}"/>
    <cellStyle name="Input 5 2 2 2 5 2 5" xfId="33457" xr:uid="{00000000-0005-0000-0000-0000E0810000}"/>
    <cellStyle name="Input 5 2 2 2 5 2 6" xfId="33458" xr:uid="{00000000-0005-0000-0000-0000E1810000}"/>
    <cellStyle name="Input 5 2 2 2 5 3" xfId="33459" xr:uid="{00000000-0005-0000-0000-0000E2810000}"/>
    <cellStyle name="Input 5 2 2 2 5 3 2" xfId="33460" xr:uid="{00000000-0005-0000-0000-0000E3810000}"/>
    <cellStyle name="Input 5 2 2 2 5 4" xfId="33461" xr:uid="{00000000-0005-0000-0000-0000E4810000}"/>
    <cellStyle name="Input 5 2 2 2 5 4 2" xfId="33462" xr:uid="{00000000-0005-0000-0000-0000E5810000}"/>
    <cellStyle name="Input 5 2 2 2 5 5" xfId="33463" xr:uid="{00000000-0005-0000-0000-0000E6810000}"/>
    <cellStyle name="Input 5 2 2 2 5 6" xfId="33464" xr:uid="{00000000-0005-0000-0000-0000E7810000}"/>
    <cellStyle name="Input 5 2 2 2 5 7" xfId="33465" xr:uid="{00000000-0005-0000-0000-0000E8810000}"/>
    <cellStyle name="Input 5 2 2 2 6" xfId="33466" xr:uid="{00000000-0005-0000-0000-0000E9810000}"/>
    <cellStyle name="Input 5 2 2 2 6 2" xfId="33467" xr:uid="{00000000-0005-0000-0000-0000EA810000}"/>
    <cellStyle name="Input 5 2 2 2 6 2 2" xfId="33468" xr:uid="{00000000-0005-0000-0000-0000EB810000}"/>
    <cellStyle name="Input 5 2 2 2 6 3" xfId="33469" xr:uid="{00000000-0005-0000-0000-0000EC810000}"/>
    <cellStyle name="Input 5 2 2 2 6 3 2" xfId="33470" xr:uid="{00000000-0005-0000-0000-0000ED810000}"/>
    <cellStyle name="Input 5 2 2 2 6 4" xfId="33471" xr:uid="{00000000-0005-0000-0000-0000EE810000}"/>
    <cellStyle name="Input 5 2 2 2 6 5" xfId="33472" xr:uid="{00000000-0005-0000-0000-0000EF810000}"/>
    <cellStyle name="Input 5 2 2 2 6 6" xfId="33473" xr:uid="{00000000-0005-0000-0000-0000F0810000}"/>
    <cellStyle name="Input 5 2 2 2 7" xfId="33474" xr:uid="{00000000-0005-0000-0000-0000F1810000}"/>
    <cellStyle name="Input 5 2 2 2 7 2" xfId="33475" xr:uid="{00000000-0005-0000-0000-0000F2810000}"/>
    <cellStyle name="Input 5 2 2 2 8" xfId="33476" xr:uid="{00000000-0005-0000-0000-0000F3810000}"/>
    <cellStyle name="Input 5 2 2 2 8 2" xfId="33477" xr:uid="{00000000-0005-0000-0000-0000F4810000}"/>
    <cellStyle name="Input 5 2 2 2 9" xfId="33478" xr:uid="{00000000-0005-0000-0000-0000F5810000}"/>
    <cellStyle name="Input 5 2 2 3" xfId="33479" xr:uid="{00000000-0005-0000-0000-0000F6810000}"/>
    <cellStyle name="Input 5 2 2 3 10" xfId="33480" xr:uid="{00000000-0005-0000-0000-0000F7810000}"/>
    <cellStyle name="Input 5 2 2 3 2" xfId="33481" xr:uid="{00000000-0005-0000-0000-0000F8810000}"/>
    <cellStyle name="Input 5 2 2 3 2 10" xfId="33482" xr:uid="{00000000-0005-0000-0000-0000F9810000}"/>
    <cellStyle name="Input 5 2 2 3 2 2" xfId="33483" xr:uid="{00000000-0005-0000-0000-0000FA810000}"/>
    <cellStyle name="Input 5 2 2 3 2 2 2" xfId="33484" xr:uid="{00000000-0005-0000-0000-0000FB810000}"/>
    <cellStyle name="Input 5 2 2 3 2 2 2 2" xfId="33485" xr:uid="{00000000-0005-0000-0000-0000FC810000}"/>
    <cellStyle name="Input 5 2 2 3 2 2 2 2 2" xfId="33486" xr:uid="{00000000-0005-0000-0000-0000FD810000}"/>
    <cellStyle name="Input 5 2 2 3 2 2 2 2 2 2" xfId="33487" xr:uid="{00000000-0005-0000-0000-0000FE810000}"/>
    <cellStyle name="Input 5 2 2 3 2 2 2 2 3" xfId="33488" xr:uid="{00000000-0005-0000-0000-0000FF810000}"/>
    <cellStyle name="Input 5 2 2 3 2 2 2 2 3 2" xfId="33489" xr:uid="{00000000-0005-0000-0000-000000820000}"/>
    <cellStyle name="Input 5 2 2 3 2 2 2 2 4" xfId="33490" xr:uid="{00000000-0005-0000-0000-000001820000}"/>
    <cellStyle name="Input 5 2 2 3 2 2 2 2 5" xfId="33491" xr:uid="{00000000-0005-0000-0000-000002820000}"/>
    <cellStyle name="Input 5 2 2 3 2 2 2 2 6" xfId="33492" xr:uid="{00000000-0005-0000-0000-000003820000}"/>
    <cellStyle name="Input 5 2 2 3 2 2 2 3" xfId="33493" xr:uid="{00000000-0005-0000-0000-000004820000}"/>
    <cellStyle name="Input 5 2 2 3 2 2 2 3 2" xfId="33494" xr:uid="{00000000-0005-0000-0000-000005820000}"/>
    <cellStyle name="Input 5 2 2 3 2 2 2 4" xfId="33495" xr:uid="{00000000-0005-0000-0000-000006820000}"/>
    <cellStyle name="Input 5 2 2 3 2 2 2 4 2" xfId="33496" xr:uid="{00000000-0005-0000-0000-000007820000}"/>
    <cellStyle name="Input 5 2 2 3 2 2 2 5" xfId="33497" xr:uid="{00000000-0005-0000-0000-000008820000}"/>
    <cellStyle name="Input 5 2 2 3 2 2 2 6" xfId="33498" xr:uid="{00000000-0005-0000-0000-000009820000}"/>
    <cellStyle name="Input 5 2 2 3 2 2 2 7" xfId="33499" xr:uid="{00000000-0005-0000-0000-00000A820000}"/>
    <cellStyle name="Input 5 2 2 3 2 2 3" xfId="33500" xr:uid="{00000000-0005-0000-0000-00000B820000}"/>
    <cellStyle name="Input 5 2 2 3 2 2 3 2" xfId="33501" xr:uid="{00000000-0005-0000-0000-00000C820000}"/>
    <cellStyle name="Input 5 2 2 3 2 2 3 2 2" xfId="33502" xr:uid="{00000000-0005-0000-0000-00000D820000}"/>
    <cellStyle name="Input 5 2 2 3 2 2 3 3" xfId="33503" xr:uid="{00000000-0005-0000-0000-00000E820000}"/>
    <cellStyle name="Input 5 2 2 3 2 2 3 3 2" xfId="33504" xr:uid="{00000000-0005-0000-0000-00000F820000}"/>
    <cellStyle name="Input 5 2 2 3 2 2 3 4" xfId="33505" xr:uid="{00000000-0005-0000-0000-000010820000}"/>
    <cellStyle name="Input 5 2 2 3 2 2 3 5" xfId="33506" xr:uid="{00000000-0005-0000-0000-000011820000}"/>
    <cellStyle name="Input 5 2 2 3 2 2 3 6" xfId="33507" xr:uid="{00000000-0005-0000-0000-000012820000}"/>
    <cellStyle name="Input 5 2 2 3 2 2 4" xfId="33508" xr:uid="{00000000-0005-0000-0000-000013820000}"/>
    <cellStyle name="Input 5 2 2 3 2 2 4 2" xfId="33509" xr:uid="{00000000-0005-0000-0000-000014820000}"/>
    <cellStyle name="Input 5 2 2 3 2 2 5" xfId="33510" xr:uid="{00000000-0005-0000-0000-000015820000}"/>
    <cellStyle name="Input 5 2 2 3 2 2 5 2" xfId="33511" xr:uid="{00000000-0005-0000-0000-000016820000}"/>
    <cellStyle name="Input 5 2 2 3 2 2 6" xfId="33512" xr:uid="{00000000-0005-0000-0000-000017820000}"/>
    <cellStyle name="Input 5 2 2 3 2 2 7" xfId="33513" xr:uid="{00000000-0005-0000-0000-000018820000}"/>
    <cellStyle name="Input 5 2 2 3 2 2 8" xfId="33514" xr:uid="{00000000-0005-0000-0000-000019820000}"/>
    <cellStyle name="Input 5 2 2 3 2 3" xfId="33515" xr:uid="{00000000-0005-0000-0000-00001A820000}"/>
    <cellStyle name="Input 5 2 2 3 2 3 2" xfId="33516" xr:uid="{00000000-0005-0000-0000-00001B820000}"/>
    <cellStyle name="Input 5 2 2 3 2 3 2 2" xfId="33517" xr:uid="{00000000-0005-0000-0000-00001C820000}"/>
    <cellStyle name="Input 5 2 2 3 2 3 2 2 2" xfId="33518" xr:uid="{00000000-0005-0000-0000-00001D820000}"/>
    <cellStyle name="Input 5 2 2 3 2 3 2 2 2 2" xfId="33519" xr:uid="{00000000-0005-0000-0000-00001E820000}"/>
    <cellStyle name="Input 5 2 2 3 2 3 2 2 3" xfId="33520" xr:uid="{00000000-0005-0000-0000-00001F820000}"/>
    <cellStyle name="Input 5 2 2 3 2 3 2 2 3 2" xfId="33521" xr:uid="{00000000-0005-0000-0000-000020820000}"/>
    <cellStyle name="Input 5 2 2 3 2 3 2 2 4" xfId="33522" xr:uid="{00000000-0005-0000-0000-000021820000}"/>
    <cellStyle name="Input 5 2 2 3 2 3 2 2 5" xfId="33523" xr:uid="{00000000-0005-0000-0000-000022820000}"/>
    <cellStyle name="Input 5 2 2 3 2 3 2 2 6" xfId="33524" xr:uid="{00000000-0005-0000-0000-000023820000}"/>
    <cellStyle name="Input 5 2 2 3 2 3 2 3" xfId="33525" xr:uid="{00000000-0005-0000-0000-000024820000}"/>
    <cellStyle name="Input 5 2 2 3 2 3 2 3 2" xfId="33526" xr:uid="{00000000-0005-0000-0000-000025820000}"/>
    <cellStyle name="Input 5 2 2 3 2 3 2 4" xfId="33527" xr:uid="{00000000-0005-0000-0000-000026820000}"/>
    <cellStyle name="Input 5 2 2 3 2 3 2 4 2" xfId="33528" xr:uid="{00000000-0005-0000-0000-000027820000}"/>
    <cellStyle name="Input 5 2 2 3 2 3 2 5" xfId="33529" xr:uid="{00000000-0005-0000-0000-000028820000}"/>
    <cellStyle name="Input 5 2 2 3 2 3 2 6" xfId="33530" xr:uid="{00000000-0005-0000-0000-000029820000}"/>
    <cellStyle name="Input 5 2 2 3 2 3 2 7" xfId="33531" xr:uid="{00000000-0005-0000-0000-00002A820000}"/>
    <cellStyle name="Input 5 2 2 3 2 3 3" xfId="33532" xr:uid="{00000000-0005-0000-0000-00002B820000}"/>
    <cellStyle name="Input 5 2 2 3 2 3 3 2" xfId="33533" xr:uid="{00000000-0005-0000-0000-00002C820000}"/>
    <cellStyle name="Input 5 2 2 3 2 3 3 2 2" xfId="33534" xr:uid="{00000000-0005-0000-0000-00002D820000}"/>
    <cellStyle name="Input 5 2 2 3 2 3 3 3" xfId="33535" xr:uid="{00000000-0005-0000-0000-00002E820000}"/>
    <cellStyle name="Input 5 2 2 3 2 3 3 3 2" xfId="33536" xr:uid="{00000000-0005-0000-0000-00002F820000}"/>
    <cellStyle name="Input 5 2 2 3 2 3 3 4" xfId="33537" xr:uid="{00000000-0005-0000-0000-000030820000}"/>
    <cellStyle name="Input 5 2 2 3 2 3 3 5" xfId="33538" xr:uid="{00000000-0005-0000-0000-000031820000}"/>
    <cellStyle name="Input 5 2 2 3 2 3 3 6" xfId="33539" xr:uid="{00000000-0005-0000-0000-000032820000}"/>
    <cellStyle name="Input 5 2 2 3 2 3 4" xfId="33540" xr:uid="{00000000-0005-0000-0000-000033820000}"/>
    <cellStyle name="Input 5 2 2 3 2 3 4 2" xfId="33541" xr:uid="{00000000-0005-0000-0000-000034820000}"/>
    <cellStyle name="Input 5 2 2 3 2 3 5" xfId="33542" xr:uid="{00000000-0005-0000-0000-000035820000}"/>
    <cellStyle name="Input 5 2 2 3 2 3 5 2" xfId="33543" xr:uid="{00000000-0005-0000-0000-000036820000}"/>
    <cellStyle name="Input 5 2 2 3 2 3 6" xfId="33544" xr:uid="{00000000-0005-0000-0000-000037820000}"/>
    <cellStyle name="Input 5 2 2 3 2 3 7" xfId="33545" xr:uid="{00000000-0005-0000-0000-000038820000}"/>
    <cellStyle name="Input 5 2 2 3 2 3 8" xfId="33546" xr:uid="{00000000-0005-0000-0000-000039820000}"/>
    <cellStyle name="Input 5 2 2 3 2 4" xfId="33547" xr:uid="{00000000-0005-0000-0000-00003A820000}"/>
    <cellStyle name="Input 5 2 2 3 2 4 2" xfId="33548" xr:uid="{00000000-0005-0000-0000-00003B820000}"/>
    <cellStyle name="Input 5 2 2 3 2 4 2 2" xfId="33549" xr:uid="{00000000-0005-0000-0000-00003C820000}"/>
    <cellStyle name="Input 5 2 2 3 2 4 2 2 2" xfId="33550" xr:uid="{00000000-0005-0000-0000-00003D820000}"/>
    <cellStyle name="Input 5 2 2 3 2 4 2 3" xfId="33551" xr:uid="{00000000-0005-0000-0000-00003E820000}"/>
    <cellStyle name="Input 5 2 2 3 2 4 2 3 2" xfId="33552" xr:uid="{00000000-0005-0000-0000-00003F820000}"/>
    <cellStyle name="Input 5 2 2 3 2 4 2 4" xfId="33553" xr:uid="{00000000-0005-0000-0000-000040820000}"/>
    <cellStyle name="Input 5 2 2 3 2 4 2 5" xfId="33554" xr:uid="{00000000-0005-0000-0000-000041820000}"/>
    <cellStyle name="Input 5 2 2 3 2 4 2 6" xfId="33555" xr:uid="{00000000-0005-0000-0000-000042820000}"/>
    <cellStyle name="Input 5 2 2 3 2 4 3" xfId="33556" xr:uid="{00000000-0005-0000-0000-000043820000}"/>
    <cellStyle name="Input 5 2 2 3 2 4 3 2" xfId="33557" xr:uid="{00000000-0005-0000-0000-000044820000}"/>
    <cellStyle name="Input 5 2 2 3 2 4 4" xfId="33558" xr:uid="{00000000-0005-0000-0000-000045820000}"/>
    <cellStyle name="Input 5 2 2 3 2 4 4 2" xfId="33559" xr:uid="{00000000-0005-0000-0000-000046820000}"/>
    <cellStyle name="Input 5 2 2 3 2 4 5" xfId="33560" xr:uid="{00000000-0005-0000-0000-000047820000}"/>
    <cellStyle name="Input 5 2 2 3 2 4 6" xfId="33561" xr:uid="{00000000-0005-0000-0000-000048820000}"/>
    <cellStyle name="Input 5 2 2 3 2 4 7" xfId="33562" xr:uid="{00000000-0005-0000-0000-000049820000}"/>
    <cellStyle name="Input 5 2 2 3 2 5" xfId="33563" xr:uid="{00000000-0005-0000-0000-00004A820000}"/>
    <cellStyle name="Input 5 2 2 3 2 5 2" xfId="33564" xr:uid="{00000000-0005-0000-0000-00004B820000}"/>
    <cellStyle name="Input 5 2 2 3 2 5 2 2" xfId="33565" xr:uid="{00000000-0005-0000-0000-00004C820000}"/>
    <cellStyle name="Input 5 2 2 3 2 5 3" xfId="33566" xr:uid="{00000000-0005-0000-0000-00004D820000}"/>
    <cellStyle name="Input 5 2 2 3 2 5 3 2" xfId="33567" xr:uid="{00000000-0005-0000-0000-00004E820000}"/>
    <cellStyle name="Input 5 2 2 3 2 5 4" xfId="33568" xr:uid="{00000000-0005-0000-0000-00004F820000}"/>
    <cellStyle name="Input 5 2 2 3 2 5 5" xfId="33569" xr:uid="{00000000-0005-0000-0000-000050820000}"/>
    <cellStyle name="Input 5 2 2 3 2 5 6" xfId="33570" xr:uid="{00000000-0005-0000-0000-000051820000}"/>
    <cellStyle name="Input 5 2 2 3 2 6" xfId="33571" xr:uid="{00000000-0005-0000-0000-000052820000}"/>
    <cellStyle name="Input 5 2 2 3 2 6 2" xfId="33572" xr:uid="{00000000-0005-0000-0000-000053820000}"/>
    <cellStyle name="Input 5 2 2 3 2 7" xfId="33573" xr:uid="{00000000-0005-0000-0000-000054820000}"/>
    <cellStyle name="Input 5 2 2 3 2 7 2" xfId="33574" xr:uid="{00000000-0005-0000-0000-000055820000}"/>
    <cellStyle name="Input 5 2 2 3 2 8" xfId="33575" xr:uid="{00000000-0005-0000-0000-000056820000}"/>
    <cellStyle name="Input 5 2 2 3 2 9" xfId="33576" xr:uid="{00000000-0005-0000-0000-000057820000}"/>
    <cellStyle name="Input 5 2 2 3 3" xfId="33577" xr:uid="{00000000-0005-0000-0000-000058820000}"/>
    <cellStyle name="Input 5 2 2 3 3 2" xfId="33578" xr:uid="{00000000-0005-0000-0000-000059820000}"/>
    <cellStyle name="Input 5 2 2 3 3 2 2" xfId="33579" xr:uid="{00000000-0005-0000-0000-00005A820000}"/>
    <cellStyle name="Input 5 2 2 3 3 2 2 2" xfId="33580" xr:uid="{00000000-0005-0000-0000-00005B820000}"/>
    <cellStyle name="Input 5 2 2 3 3 2 2 2 2" xfId="33581" xr:uid="{00000000-0005-0000-0000-00005C820000}"/>
    <cellStyle name="Input 5 2 2 3 3 2 2 3" xfId="33582" xr:uid="{00000000-0005-0000-0000-00005D820000}"/>
    <cellStyle name="Input 5 2 2 3 3 2 2 3 2" xfId="33583" xr:uid="{00000000-0005-0000-0000-00005E820000}"/>
    <cellStyle name="Input 5 2 2 3 3 2 2 4" xfId="33584" xr:uid="{00000000-0005-0000-0000-00005F820000}"/>
    <cellStyle name="Input 5 2 2 3 3 2 2 5" xfId="33585" xr:uid="{00000000-0005-0000-0000-000060820000}"/>
    <cellStyle name="Input 5 2 2 3 3 2 2 6" xfId="33586" xr:uid="{00000000-0005-0000-0000-000061820000}"/>
    <cellStyle name="Input 5 2 2 3 3 2 3" xfId="33587" xr:uid="{00000000-0005-0000-0000-000062820000}"/>
    <cellStyle name="Input 5 2 2 3 3 2 3 2" xfId="33588" xr:uid="{00000000-0005-0000-0000-000063820000}"/>
    <cellStyle name="Input 5 2 2 3 3 2 4" xfId="33589" xr:uid="{00000000-0005-0000-0000-000064820000}"/>
    <cellStyle name="Input 5 2 2 3 3 2 4 2" xfId="33590" xr:uid="{00000000-0005-0000-0000-000065820000}"/>
    <cellStyle name="Input 5 2 2 3 3 2 5" xfId="33591" xr:uid="{00000000-0005-0000-0000-000066820000}"/>
    <cellStyle name="Input 5 2 2 3 3 2 6" xfId="33592" xr:uid="{00000000-0005-0000-0000-000067820000}"/>
    <cellStyle name="Input 5 2 2 3 3 2 7" xfId="33593" xr:uid="{00000000-0005-0000-0000-000068820000}"/>
    <cellStyle name="Input 5 2 2 3 3 3" xfId="33594" xr:uid="{00000000-0005-0000-0000-000069820000}"/>
    <cellStyle name="Input 5 2 2 3 3 3 2" xfId="33595" xr:uid="{00000000-0005-0000-0000-00006A820000}"/>
    <cellStyle name="Input 5 2 2 3 3 3 2 2" xfId="33596" xr:uid="{00000000-0005-0000-0000-00006B820000}"/>
    <cellStyle name="Input 5 2 2 3 3 3 3" xfId="33597" xr:uid="{00000000-0005-0000-0000-00006C820000}"/>
    <cellStyle name="Input 5 2 2 3 3 3 3 2" xfId="33598" xr:uid="{00000000-0005-0000-0000-00006D820000}"/>
    <cellStyle name="Input 5 2 2 3 3 3 4" xfId="33599" xr:uid="{00000000-0005-0000-0000-00006E820000}"/>
    <cellStyle name="Input 5 2 2 3 3 3 5" xfId="33600" xr:uid="{00000000-0005-0000-0000-00006F820000}"/>
    <cellStyle name="Input 5 2 2 3 3 3 6" xfId="33601" xr:uid="{00000000-0005-0000-0000-000070820000}"/>
    <cellStyle name="Input 5 2 2 3 3 4" xfId="33602" xr:uid="{00000000-0005-0000-0000-000071820000}"/>
    <cellStyle name="Input 5 2 2 3 3 4 2" xfId="33603" xr:uid="{00000000-0005-0000-0000-000072820000}"/>
    <cellStyle name="Input 5 2 2 3 3 5" xfId="33604" xr:uid="{00000000-0005-0000-0000-000073820000}"/>
    <cellStyle name="Input 5 2 2 3 3 5 2" xfId="33605" xr:uid="{00000000-0005-0000-0000-000074820000}"/>
    <cellStyle name="Input 5 2 2 3 3 6" xfId="33606" xr:uid="{00000000-0005-0000-0000-000075820000}"/>
    <cellStyle name="Input 5 2 2 3 3 7" xfId="33607" xr:uid="{00000000-0005-0000-0000-000076820000}"/>
    <cellStyle name="Input 5 2 2 3 3 8" xfId="33608" xr:uid="{00000000-0005-0000-0000-000077820000}"/>
    <cellStyle name="Input 5 2 2 3 4" xfId="33609" xr:uid="{00000000-0005-0000-0000-000078820000}"/>
    <cellStyle name="Input 5 2 2 3 4 2" xfId="33610" xr:uid="{00000000-0005-0000-0000-000079820000}"/>
    <cellStyle name="Input 5 2 2 3 4 2 2" xfId="33611" xr:uid="{00000000-0005-0000-0000-00007A820000}"/>
    <cellStyle name="Input 5 2 2 3 4 2 2 2" xfId="33612" xr:uid="{00000000-0005-0000-0000-00007B820000}"/>
    <cellStyle name="Input 5 2 2 3 4 2 3" xfId="33613" xr:uid="{00000000-0005-0000-0000-00007C820000}"/>
    <cellStyle name="Input 5 2 2 3 4 2 3 2" xfId="33614" xr:uid="{00000000-0005-0000-0000-00007D820000}"/>
    <cellStyle name="Input 5 2 2 3 4 2 4" xfId="33615" xr:uid="{00000000-0005-0000-0000-00007E820000}"/>
    <cellStyle name="Input 5 2 2 3 4 2 5" xfId="33616" xr:uid="{00000000-0005-0000-0000-00007F820000}"/>
    <cellStyle name="Input 5 2 2 3 4 2 6" xfId="33617" xr:uid="{00000000-0005-0000-0000-000080820000}"/>
    <cellStyle name="Input 5 2 2 3 4 3" xfId="33618" xr:uid="{00000000-0005-0000-0000-000081820000}"/>
    <cellStyle name="Input 5 2 2 3 4 3 2" xfId="33619" xr:uid="{00000000-0005-0000-0000-000082820000}"/>
    <cellStyle name="Input 5 2 2 3 4 4" xfId="33620" xr:uid="{00000000-0005-0000-0000-000083820000}"/>
    <cellStyle name="Input 5 2 2 3 4 4 2" xfId="33621" xr:uid="{00000000-0005-0000-0000-000084820000}"/>
    <cellStyle name="Input 5 2 2 3 4 5" xfId="33622" xr:uid="{00000000-0005-0000-0000-000085820000}"/>
    <cellStyle name="Input 5 2 2 3 4 6" xfId="33623" xr:uid="{00000000-0005-0000-0000-000086820000}"/>
    <cellStyle name="Input 5 2 2 3 4 7" xfId="33624" xr:uid="{00000000-0005-0000-0000-000087820000}"/>
    <cellStyle name="Input 5 2 2 3 5" xfId="33625" xr:uid="{00000000-0005-0000-0000-000088820000}"/>
    <cellStyle name="Input 5 2 2 3 5 2" xfId="33626" xr:uid="{00000000-0005-0000-0000-000089820000}"/>
    <cellStyle name="Input 5 2 2 3 5 2 2" xfId="33627" xr:uid="{00000000-0005-0000-0000-00008A820000}"/>
    <cellStyle name="Input 5 2 2 3 5 3" xfId="33628" xr:uid="{00000000-0005-0000-0000-00008B820000}"/>
    <cellStyle name="Input 5 2 2 3 5 3 2" xfId="33629" xr:uid="{00000000-0005-0000-0000-00008C820000}"/>
    <cellStyle name="Input 5 2 2 3 5 4" xfId="33630" xr:uid="{00000000-0005-0000-0000-00008D820000}"/>
    <cellStyle name="Input 5 2 2 3 5 5" xfId="33631" xr:uid="{00000000-0005-0000-0000-00008E820000}"/>
    <cellStyle name="Input 5 2 2 3 5 6" xfId="33632" xr:uid="{00000000-0005-0000-0000-00008F820000}"/>
    <cellStyle name="Input 5 2 2 3 6" xfId="33633" xr:uid="{00000000-0005-0000-0000-000090820000}"/>
    <cellStyle name="Input 5 2 2 3 6 2" xfId="33634" xr:uid="{00000000-0005-0000-0000-000091820000}"/>
    <cellStyle name="Input 5 2 2 3 7" xfId="33635" xr:uid="{00000000-0005-0000-0000-000092820000}"/>
    <cellStyle name="Input 5 2 2 3 7 2" xfId="33636" xr:uid="{00000000-0005-0000-0000-000093820000}"/>
    <cellStyle name="Input 5 2 2 3 8" xfId="33637" xr:uid="{00000000-0005-0000-0000-000094820000}"/>
    <cellStyle name="Input 5 2 2 3 9" xfId="33638" xr:uid="{00000000-0005-0000-0000-000095820000}"/>
    <cellStyle name="Input 5 2 2 4" xfId="33639" xr:uid="{00000000-0005-0000-0000-000096820000}"/>
    <cellStyle name="Input 5 2 2 4 10" xfId="33640" xr:uid="{00000000-0005-0000-0000-000097820000}"/>
    <cellStyle name="Input 5 2 2 4 2" xfId="33641" xr:uid="{00000000-0005-0000-0000-000098820000}"/>
    <cellStyle name="Input 5 2 2 4 2 2" xfId="33642" xr:uid="{00000000-0005-0000-0000-000099820000}"/>
    <cellStyle name="Input 5 2 2 4 2 2 2" xfId="33643" xr:uid="{00000000-0005-0000-0000-00009A820000}"/>
    <cellStyle name="Input 5 2 2 4 2 2 2 2" xfId="33644" xr:uid="{00000000-0005-0000-0000-00009B820000}"/>
    <cellStyle name="Input 5 2 2 4 2 2 2 2 2" xfId="33645" xr:uid="{00000000-0005-0000-0000-00009C820000}"/>
    <cellStyle name="Input 5 2 2 4 2 2 2 3" xfId="33646" xr:uid="{00000000-0005-0000-0000-00009D820000}"/>
    <cellStyle name="Input 5 2 2 4 2 2 2 3 2" xfId="33647" xr:uid="{00000000-0005-0000-0000-00009E820000}"/>
    <cellStyle name="Input 5 2 2 4 2 2 2 4" xfId="33648" xr:uid="{00000000-0005-0000-0000-00009F820000}"/>
    <cellStyle name="Input 5 2 2 4 2 2 2 5" xfId="33649" xr:uid="{00000000-0005-0000-0000-0000A0820000}"/>
    <cellStyle name="Input 5 2 2 4 2 2 2 6" xfId="33650" xr:uid="{00000000-0005-0000-0000-0000A1820000}"/>
    <cellStyle name="Input 5 2 2 4 2 2 3" xfId="33651" xr:uid="{00000000-0005-0000-0000-0000A2820000}"/>
    <cellStyle name="Input 5 2 2 4 2 2 3 2" xfId="33652" xr:uid="{00000000-0005-0000-0000-0000A3820000}"/>
    <cellStyle name="Input 5 2 2 4 2 2 4" xfId="33653" xr:uid="{00000000-0005-0000-0000-0000A4820000}"/>
    <cellStyle name="Input 5 2 2 4 2 2 4 2" xfId="33654" xr:uid="{00000000-0005-0000-0000-0000A5820000}"/>
    <cellStyle name="Input 5 2 2 4 2 2 5" xfId="33655" xr:uid="{00000000-0005-0000-0000-0000A6820000}"/>
    <cellStyle name="Input 5 2 2 4 2 2 6" xfId="33656" xr:uid="{00000000-0005-0000-0000-0000A7820000}"/>
    <cellStyle name="Input 5 2 2 4 2 2 7" xfId="33657" xr:uid="{00000000-0005-0000-0000-0000A8820000}"/>
    <cellStyle name="Input 5 2 2 4 2 3" xfId="33658" xr:uid="{00000000-0005-0000-0000-0000A9820000}"/>
    <cellStyle name="Input 5 2 2 4 2 3 2" xfId="33659" xr:uid="{00000000-0005-0000-0000-0000AA820000}"/>
    <cellStyle name="Input 5 2 2 4 2 3 2 2" xfId="33660" xr:uid="{00000000-0005-0000-0000-0000AB820000}"/>
    <cellStyle name="Input 5 2 2 4 2 3 3" xfId="33661" xr:uid="{00000000-0005-0000-0000-0000AC820000}"/>
    <cellStyle name="Input 5 2 2 4 2 3 3 2" xfId="33662" xr:uid="{00000000-0005-0000-0000-0000AD820000}"/>
    <cellStyle name="Input 5 2 2 4 2 3 4" xfId="33663" xr:uid="{00000000-0005-0000-0000-0000AE820000}"/>
    <cellStyle name="Input 5 2 2 4 2 3 5" xfId="33664" xr:uid="{00000000-0005-0000-0000-0000AF820000}"/>
    <cellStyle name="Input 5 2 2 4 2 3 6" xfId="33665" xr:uid="{00000000-0005-0000-0000-0000B0820000}"/>
    <cellStyle name="Input 5 2 2 4 2 4" xfId="33666" xr:uid="{00000000-0005-0000-0000-0000B1820000}"/>
    <cellStyle name="Input 5 2 2 4 2 4 2" xfId="33667" xr:uid="{00000000-0005-0000-0000-0000B2820000}"/>
    <cellStyle name="Input 5 2 2 4 2 5" xfId="33668" xr:uid="{00000000-0005-0000-0000-0000B3820000}"/>
    <cellStyle name="Input 5 2 2 4 2 5 2" xfId="33669" xr:uid="{00000000-0005-0000-0000-0000B4820000}"/>
    <cellStyle name="Input 5 2 2 4 2 6" xfId="33670" xr:uid="{00000000-0005-0000-0000-0000B5820000}"/>
    <cellStyle name="Input 5 2 2 4 2 7" xfId="33671" xr:uid="{00000000-0005-0000-0000-0000B6820000}"/>
    <cellStyle name="Input 5 2 2 4 2 8" xfId="33672" xr:uid="{00000000-0005-0000-0000-0000B7820000}"/>
    <cellStyle name="Input 5 2 2 4 3" xfId="33673" xr:uid="{00000000-0005-0000-0000-0000B8820000}"/>
    <cellStyle name="Input 5 2 2 4 3 2" xfId="33674" xr:uid="{00000000-0005-0000-0000-0000B9820000}"/>
    <cellStyle name="Input 5 2 2 4 3 2 2" xfId="33675" xr:uid="{00000000-0005-0000-0000-0000BA820000}"/>
    <cellStyle name="Input 5 2 2 4 3 2 2 2" xfId="33676" xr:uid="{00000000-0005-0000-0000-0000BB820000}"/>
    <cellStyle name="Input 5 2 2 4 3 2 2 2 2" xfId="33677" xr:uid="{00000000-0005-0000-0000-0000BC820000}"/>
    <cellStyle name="Input 5 2 2 4 3 2 2 3" xfId="33678" xr:uid="{00000000-0005-0000-0000-0000BD820000}"/>
    <cellStyle name="Input 5 2 2 4 3 2 2 3 2" xfId="33679" xr:uid="{00000000-0005-0000-0000-0000BE820000}"/>
    <cellStyle name="Input 5 2 2 4 3 2 2 4" xfId="33680" xr:uid="{00000000-0005-0000-0000-0000BF820000}"/>
    <cellStyle name="Input 5 2 2 4 3 2 2 5" xfId="33681" xr:uid="{00000000-0005-0000-0000-0000C0820000}"/>
    <cellStyle name="Input 5 2 2 4 3 2 2 6" xfId="33682" xr:uid="{00000000-0005-0000-0000-0000C1820000}"/>
    <cellStyle name="Input 5 2 2 4 3 2 3" xfId="33683" xr:uid="{00000000-0005-0000-0000-0000C2820000}"/>
    <cellStyle name="Input 5 2 2 4 3 2 3 2" xfId="33684" xr:uid="{00000000-0005-0000-0000-0000C3820000}"/>
    <cellStyle name="Input 5 2 2 4 3 2 4" xfId="33685" xr:uid="{00000000-0005-0000-0000-0000C4820000}"/>
    <cellStyle name="Input 5 2 2 4 3 2 4 2" xfId="33686" xr:uid="{00000000-0005-0000-0000-0000C5820000}"/>
    <cellStyle name="Input 5 2 2 4 3 2 5" xfId="33687" xr:uid="{00000000-0005-0000-0000-0000C6820000}"/>
    <cellStyle name="Input 5 2 2 4 3 2 6" xfId="33688" xr:uid="{00000000-0005-0000-0000-0000C7820000}"/>
    <cellStyle name="Input 5 2 2 4 3 2 7" xfId="33689" xr:uid="{00000000-0005-0000-0000-0000C8820000}"/>
    <cellStyle name="Input 5 2 2 4 3 3" xfId="33690" xr:uid="{00000000-0005-0000-0000-0000C9820000}"/>
    <cellStyle name="Input 5 2 2 4 3 3 2" xfId="33691" xr:uid="{00000000-0005-0000-0000-0000CA820000}"/>
    <cellStyle name="Input 5 2 2 4 3 3 2 2" xfId="33692" xr:uid="{00000000-0005-0000-0000-0000CB820000}"/>
    <cellStyle name="Input 5 2 2 4 3 3 3" xfId="33693" xr:uid="{00000000-0005-0000-0000-0000CC820000}"/>
    <cellStyle name="Input 5 2 2 4 3 3 3 2" xfId="33694" xr:uid="{00000000-0005-0000-0000-0000CD820000}"/>
    <cellStyle name="Input 5 2 2 4 3 3 4" xfId="33695" xr:uid="{00000000-0005-0000-0000-0000CE820000}"/>
    <cellStyle name="Input 5 2 2 4 3 3 5" xfId="33696" xr:uid="{00000000-0005-0000-0000-0000CF820000}"/>
    <cellStyle name="Input 5 2 2 4 3 3 6" xfId="33697" xr:uid="{00000000-0005-0000-0000-0000D0820000}"/>
    <cellStyle name="Input 5 2 2 4 3 4" xfId="33698" xr:uid="{00000000-0005-0000-0000-0000D1820000}"/>
    <cellStyle name="Input 5 2 2 4 3 4 2" xfId="33699" xr:uid="{00000000-0005-0000-0000-0000D2820000}"/>
    <cellStyle name="Input 5 2 2 4 3 5" xfId="33700" xr:uid="{00000000-0005-0000-0000-0000D3820000}"/>
    <cellStyle name="Input 5 2 2 4 3 5 2" xfId="33701" xr:uid="{00000000-0005-0000-0000-0000D4820000}"/>
    <cellStyle name="Input 5 2 2 4 3 6" xfId="33702" xr:uid="{00000000-0005-0000-0000-0000D5820000}"/>
    <cellStyle name="Input 5 2 2 4 3 7" xfId="33703" xr:uid="{00000000-0005-0000-0000-0000D6820000}"/>
    <cellStyle name="Input 5 2 2 4 3 8" xfId="33704" xr:uid="{00000000-0005-0000-0000-0000D7820000}"/>
    <cellStyle name="Input 5 2 2 4 4" xfId="33705" xr:uid="{00000000-0005-0000-0000-0000D8820000}"/>
    <cellStyle name="Input 5 2 2 4 4 2" xfId="33706" xr:uid="{00000000-0005-0000-0000-0000D9820000}"/>
    <cellStyle name="Input 5 2 2 4 4 2 2" xfId="33707" xr:uid="{00000000-0005-0000-0000-0000DA820000}"/>
    <cellStyle name="Input 5 2 2 4 4 2 2 2" xfId="33708" xr:uid="{00000000-0005-0000-0000-0000DB820000}"/>
    <cellStyle name="Input 5 2 2 4 4 2 3" xfId="33709" xr:uid="{00000000-0005-0000-0000-0000DC820000}"/>
    <cellStyle name="Input 5 2 2 4 4 2 3 2" xfId="33710" xr:uid="{00000000-0005-0000-0000-0000DD820000}"/>
    <cellStyle name="Input 5 2 2 4 4 2 4" xfId="33711" xr:uid="{00000000-0005-0000-0000-0000DE820000}"/>
    <cellStyle name="Input 5 2 2 4 4 2 5" xfId="33712" xr:uid="{00000000-0005-0000-0000-0000DF820000}"/>
    <cellStyle name="Input 5 2 2 4 4 2 6" xfId="33713" xr:uid="{00000000-0005-0000-0000-0000E0820000}"/>
    <cellStyle name="Input 5 2 2 4 4 3" xfId="33714" xr:uid="{00000000-0005-0000-0000-0000E1820000}"/>
    <cellStyle name="Input 5 2 2 4 4 3 2" xfId="33715" xr:uid="{00000000-0005-0000-0000-0000E2820000}"/>
    <cellStyle name="Input 5 2 2 4 4 4" xfId="33716" xr:uid="{00000000-0005-0000-0000-0000E3820000}"/>
    <cellStyle name="Input 5 2 2 4 4 4 2" xfId="33717" xr:uid="{00000000-0005-0000-0000-0000E4820000}"/>
    <cellStyle name="Input 5 2 2 4 4 5" xfId="33718" xr:uid="{00000000-0005-0000-0000-0000E5820000}"/>
    <cellStyle name="Input 5 2 2 4 4 6" xfId="33719" xr:uid="{00000000-0005-0000-0000-0000E6820000}"/>
    <cellStyle name="Input 5 2 2 4 4 7" xfId="33720" xr:uid="{00000000-0005-0000-0000-0000E7820000}"/>
    <cellStyle name="Input 5 2 2 4 5" xfId="33721" xr:uid="{00000000-0005-0000-0000-0000E8820000}"/>
    <cellStyle name="Input 5 2 2 4 5 2" xfId="33722" xr:uid="{00000000-0005-0000-0000-0000E9820000}"/>
    <cellStyle name="Input 5 2 2 4 5 2 2" xfId="33723" xr:uid="{00000000-0005-0000-0000-0000EA820000}"/>
    <cellStyle name="Input 5 2 2 4 5 3" xfId="33724" xr:uid="{00000000-0005-0000-0000-0000EB820000}"/>
    <cellStyle name="Input 5 2 2 4 5 3 2" xfId="33725" xr:uid="{00000000-0005-0000-0000-0000EC820000}"/>
    <cellStyle name="Input 5 2 2 4 5 4" xfId="33726" xr:uid="{00000000-0005-0000-0000-0000ED820000}"/>
    <cellStyle name="Input 5 2 2 4 5 5" xfId="33727" xr:uid="{00000000-0005-0000-0000-0000EE820000}"/>
    <cellStyle name="Input 5 2 2 4 5 6" xfId="33728" xr:uid="{00000000-0005-0000-0000-0000EF820000}"/>
    <cellStyle name="Input 5 2 2 4 6" xfId="33729" xr:uid="{00000000-0005-0000-0000-0000F0820000}"/>
    <cellStyle name="Input 5 2 2 4 6 2" xfId="33730" xr:uid="{00000000-0005-0000-0000-0000F1820000}"/>
    <cellStyle name="Input 5 2 2 4 7" xfId="33731" xr:uid="{00000000-0005-0000-0000-0000F2820000}"/>
    <cellStyle name="Input 5 2 2 4 7 2" xfId="33732" xr:uid="{00000000-0005-0000-0000-0000F3820000}"/>
    <cellStyle name="Input 5 2 2 4 8" xfId="33733" xr:uid="{00000000-0005-0000-0000-0000F4820000}"/>
    <cellStyle name="Input 5 2 2 4 9" xfId="33734" xr:uid="{00000000-0005-0000-0000-0000F5820000}"/>
    <cellStyle name="Input 5 2 2 5" xfId="33735" xr:uid="{00000000-0005-0000-0000-0000F6820000}"/>
    <cellStyle name="Input 5 2 2 5 2" xfId="33736" xr:uid="{00000000-0005-0000-0000-0000F7820000}"/>
    <cellStyle name="Input 5 2 2 5 2 2" xfId="33737" xr:uid="{00000000-0005-0000-0000-0000F8820000}"/>
    <cellStyle name="Input 5 2 2 5 2 2 2" xfId="33738" xr:uid="{00000000-0005-0000-0000-0000F9820000}"/>
    <cellStyle name="Input 5 2 2 5 2 2 2 2" xfId="33739" xr:uid="{00000000-0005-0000-0000-0000FA820000}"/>
    <cellStyle name="Input 5 2 2 5 2 2 3" xfId="33740" xr:uid="{00000000-0005-0000-0000-0000FB820000}"/>
    <cellStyle name="Input 5 2 2 5 2 2 3 2" xfId="33741" xr:uid="{00000000-0005-0000-0000-0000FC820000}"/>
    <cellStyle name="Input 5 2 2 5 2 2 4" xfId="33742" xr:uid="{00000000-0005-0000-0000-0000FD820000}"/>
    <cellStyle name="Input 5 2 2 5 2 2 5" xfId="33743" xr:uid="{00000000-0005-0000-0000-0000FE820000}"/>
    <cellStyle name="Input 5 2 2 5 2 2 6" xfId="33744" xr:uid="{00000000-0005-0000-0000-0000FF820000}"/>
    <cellStyle name="Input 5 2 2 5 2 3" xfId="33745" xr:uid="{00000000-0005-0000-0000-000000830000}"/>
    <cellStyle name="Input 5 2 2 5 2 3 2" xfId="33746" xr:uid="{00000000-0005-0000-0000-000001830000}"/>
    <cellStyle name="Input 5 2 2 5 2 4" xfId="33747" xr:uid="{00000000-0005-0000-0000-000002830000}"/>
    <cellStyle name="Input 5 2 2 5 2 4 2" xfId="33748" xr:uid="{00000000-0005-0000-0000-000003830000}"/>
    <cellStyle name="Input 5 2 2 5 2 5" xfId="33749" xr:uid="{00000000-0005-0000-0000-000004830000}"/>
    <cellStyle name="Input 5 2 2 5 2 6" xfId="33750" xr:uid="{00000000-0005-0000-0000-000005830000}"/>
    <cellStyle name="Input 5 2 2 5 2 7" xfId="33751" xr:uid="{00000000-0005-0000-0000-000006830000}"/>
    <cellStyle name="Input 5 2 2 5 3" xfId="33752" xr:uid="{00000000-0005-0000-0000-000007830000}"/>
    <cellStyle name="Input 5 2 2 5 3 2" xfId="33753" xr:uid="{00000000-0005-0000-0000-000008830000}"/>
    <cellStyle name="Input 5 2 2 5 3 2 2" xfId="33754" xr:uid="{00000000-0005-0000-0000-000009830000}"/>
    <cellStyle name="Input 5 2 2 5 3 3" xfId="33755" xr:uid="{00000000-0005-0000-0000-00000A830000}"/>
    <cellStyle name="Input 5 2 2 5 3 3 2" xfId="33756" xr:uid="{00000000-0005-0000-0000-00000B830000}"/>
    <cellStyle name="Input 5 2 2 5 3 4" xfId="33757" xr:uid="{00000000-0005-0000-0000-00000C830000}"/>
    <cellStyle name="Input 5 2 2 5 3 5" xfId="33758" xr:uid="{00000000-0005-0000-0000-00000D830000}"/>
    <cellStyle name="Input 5 2 2 5 3 6" xfId="33759" xr:uid="{00000000-0005-0000-0000-00000E830000}"/>
    <cellStyle name="Input 5 2 2 5 4" xfId="33760" xr:uid="{00000000-0005-0000-0000-00000F830000}"/>
    <cellStyle name="Input 5 2 2 5 4 2" xfId="33761" xr:uid="{00000000-0005-0000-0000-000010830000}"/>
    <cellStyle name="Input 5 2 2 5 5" xfId="33762" xr:uid="{00000000-0005-0000-0000-000011830000}"/>
    <cellStyle name="Input 5 2 2 5 5 2" xfId="33763" xr:uid="{00000000-0005-0000-0000-000012830000}"/>
    <cellStyle name="Input 5 2 2 5 6" xfId="33764" xr:uid="{00000000-0005-0000-0000-000013830000}"/>
    <cellStyle name="Input 5 2 2 5 7" xfId="33765" xr:uid="{00000000-0005-0000-0000-000014830000}"/>
    <cellStyle name="Input 5 2 2 5 8" xfId="33766" xr:uid="{00000000-0005-0000-0000-000015830000}"/>
    <cellStyle name="Input 5 2 2 6" xfId="33767" xr:uid="{00000000-0005-0000-0000-000016830000}"/>
    <cellStyle name="Input 5 2 2 6 2" xfId="33768" xr:uid="{00000000-0005-0000-0000-000017830000}"/>
    <cellStyle name="Input 5 2 2 6 2 2" xfId="33769" xr:uid="{00000000-0005-0000-0000-000018830000}"/>
    <cellStyle name="Input 5 2 2 6 2 2 2" xfId="33770" xr:uid="{00000000-0005-0000-0000-000019830000}"/>
    <cellStyle name="Input 5 2 2 6 2 3" xfId="33771" xr:uid="{00000000-0005-0000-0000-00001A830000}"/>
    <cellStyle name="Input 5 2 2 6 2 3 2" xfId="33772" xr:uid="{00000000-0005-0000-0000-00001B830000}"/>
    <cellStyle name="Input 5 2 2 6 2 4" xfId="33773" xr:uid="{00000000-0005-0000-0000-00001C830000}"/>
    <cellStyle name="Input 5 2 2 6 2 5" xfId="33774" xr:uid="{00000000-0005-0000-0000-00001D830000}"/>
    <cellStyle name="Input 5 2 2 6 2 6" xfId="33775" xr:uid="{00000000-0005-0000-0000-00001E830000}"/>
    <cellStyle name="Input 5 2 2 6 3" xfId="33776" xr:uid="{00000000-0005-0000-0000-00001F830000}"/>
    <cellStyle name="Input 5 2 2 6 3 2" xfId="33777" xr:uid="{00000000-0005-0000-0000-000020830000}"/>
    <cellStyle name="Input 5 2 2 6 4" xfId="33778" xr:uid="{00000000-0005-0000-0000-000021830000}"/>
    <cellStyle name="Input 5 2 2 6 4 2" xfId="33779" xr:uid="{00000000-0005-0000-0000-000022830000}"/>
    <cellStyle name="Input 5 2 2 6 5" xfId="33780" xr:uid="{00000000-0005-0000-0000-000023830000}"/>
    <cellStyle name="Input 5 2 2 6 6" xfId="33781" xr:uid="{00000000-0005-0000-0000-000024830000}"/>
    <cellStyle name="Input 5 2 2 6 7" xfId="33782" xr:uid="{00000000-0005-0000-0000-000025830000}"/>
    <cellStyle name="Input 5 2 2 7" xfId="33783" xr:uid="{00000000-0005-0000-0000-000026830000}"/>
    <cellStyle name="Input 5 2 2 7 2" xfId="33784" xr:uid="{00000000-0005-0000-0000-000027830000}"/>
    <cellStyle name="Input 5 2 2 7 2 2" xfId="33785" xr:uid="{00000000-0005-0000-0000-000028830000}"/>
    <cellStyle name="Input 5 2 2 7 3" xfId="33786" xr:uid="{00000000-0005-0000-0000-000029830000}"/>
    <cellStyle name="Input 5 2 2 7 3 2" xfId="33787" xr:uid="{00000000-0005-0000-0000-00002A830000}"/>
    <cellStyle name="Input 5 2 2 7 4" xfId="33788" xr:uid="{00000000-0005-0000-0000-00002B830000}"/>
    <cellStyle name="Input 5 2 2 7 5" xfId="33789" xr:uid="{00000000-0005-0000-0000-00002C830000}"/>
    <cellStyle name="Input 5 2 2 7 6" xfId="33790" xr:uid="{00000000-0005-0000-0000-00002D830000}"/>
    <cellStyle name="Input 5 2 2 8" xfId="33791" xr:uid="{00000000-0005-0000-0000-00002E830000}"/>
    <cellStyle name="Input 5 2 2 8 2" xfId="33792" xr:uid="{00000000-0005-0000-0000-00002F830000}"/>
    <cellStyle name="Input 5 2 2 9" xfId="33793" xr:uid="{00000000-0005-0000-0000-000030830000}"/>
    <cellStyle name="Input 5 2 2 9 2" xfId="33794" xr:uid="{00000000-0005-0000-0000-000031830000}"/>
    <cellStyle name="Input 5 2 3" xfId="33795" xr:uid="{00000000-0005-0000-0000-000032830000}"/>
    <cellStyle name="Input 5 2 3 10" xfId="33796" xr:uid="{00000000-0005-0000-0000-000033830000}"/>
    <cellStyle name="Input 5 2 3 11" xfId="33797" xr:uid="{00000000-0005-0000-0000-000034830000}"/>
    <cellStyle name="Input 5 2 3 12" xfId="33798" xr:uid="{00000000-0005-0000-0000-000035830000}"/>
    <cellStyle name="Input 5 2 3 2" xfId="33799" xr:uid="{00000000-0005-0000-0000-000036830000}"/>
    <cellStyle name="Input 5 2 3 2 10" xfId="33800" xr:uid="{00000000-0005-0000-0000-000037830000}"/>
    <cellStyle name="Input 5 2 3 2 11" xfId="33801" xr:uid="{00000000-0005-0000-0000-000038830000}"/>
    <cellStyle name="Input 5 2 3 2 2" xfId="33802" xr:uid="{00000000-0005-0000-0000-000039830000}"/>
    <cellStyle name="Input 5 2 3 2 2 10" xfId="33803" xr:uid="{00000000-0005-0000-0000-00003A830000}"/>
    <cellStyle name="Input 5 2 3 2 2 2" xfId="33804" xr:uid="{00000000-0005-0000-0000-00003B830000}"/>
    <cellStyle name="Input 5 2 3 2 2 2 2" xfId="33805" xr:uid="{00000000-0005-0000-0000-00003C830000}"/>
    <cellStyle name="Input 5 2 3 2 2 2 2 2" xfId="33806" xr:uid="{00000000-0005-0000-0000-00003D830000}"/>
    <cellStyle name="Input 5 2 3 2 2 2 2 2 2" xfId="33807" xr:uid="{00000000-0005-0000-0000-00003E830000}"/>
    <cellStyle name="Input 5 2 3 2 2 2 2 2 2 2" xfId="33808" xr:uid="{00000000-0005-0000-0000-00003F830000}"/>
    <cellStyle name="Input 5 2 3 2 2 2 2 2 3" xfId="33809" xr:uid="{00000000-0005-0000-0000-000040830000}"/>
    <cellStyle name="Input 5 2 3 2 2 2 2 2 3 2" xfId="33810" xr:uid="{00000000-0005-0000-0000-000041830000}"/>
    <cellStyle name="Input 5 2 3 2 2 2 2 2 4" xfId="33811" xr:uid="{00000000-0005-0000-0000-000042830000}"/>
    <cellStyle name="Input 5 2 3 2 2 2 2 2 5" xfId="33812" xr:uid="{00000000-0005-0000-0000-000043830000}"/>
    <cellStyle name="Input 5 2 3 2 2 2 2 2 6" xfId="33813" xr:uid="{00000000-0005-0000-0000-000044830000}"/>
    <cellStyle name="Input 5 2 3 2 2 2 2 3" xfId="33814" xr:uid="{00000000-0005-0000-0000-000045830000}"/>
    <cellStyle name="Input 5 2 3 2 2 2 2 3 2" xfId="33815" xr:uid="{00000000-0005-0000-0000-000046830000}"/>
    <cellStyle name="Input 5 2 3 2 2 2 2 4" xfId="33816" xr:uid="{00000000-0005-0000-0000-000047830000}"/>
    <cellStyle name="Input 5 2 3 2 2 2 2 4 2" xfId="33817" xr:uid="{00000000-0005-0000-0000-000048830000}"/>
    <cellStyle name="Input 5 2 3 2 2 2 2 5" xfId="33818" xr:uid="{00000000-0005-0000-0000-000049830000}"/>
    <cellStyle name="Input 5 2 3 2 2 2 2 6" xfId="33819" xr:uid="{00000000-0005-0000-0000-00004A830000}"/>
    <cellStyle name="Input 5 2 3 2 2 2 2 7" xfId="33820" xr:uid="{00000000-0005-0000-0000-00004B830000}"/>
    <cellStyle name="Input 5 2 3 2 2 2 3" xfId="33821" xr:uid="{00000000-0005-0000-0000-00004C830000}"/>
    <cellStyle name="Input 5 2 3 2 2 2 3 2" xfId="33822" xr:uid="{00000000-0005-0000-0000-00004D830000}"/>
    <cellStyle name="Input 5 2 3 2 2 2 3 2 2" xfId="33823" xr:uid="{00000000-0005-0000-0000-00004E830000}"/>
    <cellStyle name="Input 5 2 3 2 2 2 3 3" xfId="33824" xr:uid="{00000000-0005-0000-0000-00004F830000}"/>
    <cellStyle name="Input 5 2 3 2 2 2 3 3 2" xfId="33825" xr:uid="{00000000-0005-0000-0000-000050830000}"/>
    <cellStyle name="Input 5 2 3 2 2 2 3 4" xfId="33826" xr:uid="{00000000-0005-0000-0000-000051830000}"/>
    <cellStyle name="Input 5 2 3 2 2 2 3 5" xfId="33827" xr:uid="{00000000-0005-0000-0000-000052830000}"/>
    <cellStyle name="Input 5 2 3 2 2 2 3 6" xfId="33828" xr:uid="{00000000-0005-0000-0000-000053830000}"/>
    <cellStyle name="Input 5 2 3 2 2 2 4" xfId="33829" xr:uid="{00000000-0005-0000-0000-000054830000}"/>
    <cellStyle name="Input 5 2 3 2 2 2 4 2" xfId="33830" xr:uid="{00000000-0005-0000-0000-000055830000}"/>
    <cellStyle name="Input 5 2 3 2 2 2 5" xfId="33831" xr:uid="{00000000-0005-0000-0000-000056830000}"/>
    <cellStyle name="Input 5 2 3 2 2 2 5 2" xfId="33832" xr:uid="{00000000-0005-0000-0000-000057830000}"/>
    <cellStyle name="Input 5 2 3 2 2 2 6" xfId="33833" xr:uid="{00000000-0005-0000-0000-000058830000}"/>
    <cellStyle name="Input 5 2 3 2 2 2 7" xfId="33834" xr:uid="{00000000-0005-0000-0000-000059830000}"/>
    <cellStyle name="Input 5 2 3 2 2 2 8" xfId="33835" xr:uid="{00000000-0005-0000-0000-00005A830000}"/>
    <cellStyle name="Input 5 2 3 2 2 3" xfId="33836" xr:uid="{00000000-0005-0000-0000-00005B830000}"/>
    <cellStyle name="Input 5 2 3 2 2 3 2" xfId="33837" xr:uid="{00000000-0005-0000-0000-00005C830000}"/>
    <cellStyle name="Input 5 2 3 2 2 3 2 2" xfId="33838" xr:uid="{00000000-0005-0000-0000-00005D830000}"/>
    <cellStyle name="Input 5 2 3 2 2 3 2 2 2" xfId="33839" xr:uid="{00000000-0005-0000-0000-00005E830000}"/>
    <cellStyle name="Input 5 2 3 2 2 3 2 2 2 2" xfId="33840" xr:uid="{00000000-0005-0000-0000-00005F830000}"/>
    <cellStyle name="Input 5 2 3 2 2 3 2 2 3" xfId="33841" xr:uid="{00000000-0005-0000-0000-000060830000}"/>
    <cellStyle name="Input 5 2 3 2 2 3 2 2 3 2" xfId="33842" xr:uid="{00000000-0005-0000-0000-000061830000}"/>
    <cellStyle name="Input 5 2 3 2 2 3 2 2 4" xfId="33843" xr:uid="{00000000-0005-0000-0000-000062830000}"/>
    <cellStyle name="Input 5 2 3 2 2 3 2 2 5" xfId="33844" xr:uid="{00000000-0005-0000-0000-000063830000}"/>
    <cellStyle name="Input 5 2 3 2 2 3 2 2 6" xfId="33845" xr:uid="{00000000-0005-0000-0000-000064830000}"/>
    <cellStyle name="Input 5 2 3 2 2 3 2 3" xfId="33846" xr:uid="{00000000-0005-0000-0000-000065830000}"/>
    <cellStyle name="Input 5 2 3 2 2 3 2 3 2" xfId="33847" xr:uid="{00000000-0005-0000-0000-000066830000}"/>
    <cellStyle name="Input 5 2 3 2 2 3 2 4" xfId="33848" xr:uid="{00000000-0005-0000-0000-000067830000}"/>
    <cellStyle name="Input 5 2 3 2 2 3 2 4 2" xfId="33849" xr:uid="{00000000-0005-0000-0000-000068830000}"/>
    <cellStyle name="Input 5 2 3 2 2 3 2 5" xfId="33850" xr:uid="{00000000-0005-0000-0000-000069830000}"/>
    <cellStyle name="Input 5 2 3 2 2 3 2 6" xfId="33851" xr:uid="{00000000-0005-0000-0000-00006A830000}"/>
    <cellStyle name="Input 5 2 3 2 2 3 2 7" xfId="33852" xr:uid="{00000000-0005-0000-0000-00006B830000}"/>
    <cellStyle name="Input 5 2 3 2 2 3 3" xfId="33853" xr:uid="{00000000-0005-0000-0000-00006C830000}"/>
    <cellStyle name="Input 5 2 3 2 2 3 3 2" xfId="33854" xr:uid="{00000000-0005-0000-0000-00006D830000}"/>
    <cellStyle name="Input 5 2 3 2 2 3 3 2 2" xfId="33855" xr:uid="{00000000-0005-0000-0000-00006E830000}"/>
    <cellStyle name="Input 5 2 3 2 2 3 3 3" xfId="33856" xr:uid="{00000000-0005-0000-0000-00006F830000}"/>
    <cellStyle name="Input 5 2 3 2 2 3 3 3 2" xfId="33857" xr:uid="{00000000-0005-0000-0000-000070830000}"/>
    <cellStyle name="Input 5 2 3 2 2 3 3 4" xfId="33858" xr:uid="{00000000-0005-0000-0000-000071830000}"/>
    <cellStyle name="Input 5 2 3 2 2 3 3 5" xfId="33859" xr:uid="{00000000-0005-0000-0000-000072830000}"/>
    <cellStyle name="Input 5 2 3 2 2 3 3 6" xfId="33860" xr:uid="{00000000-0005-0000-0000-000073830000}"/>
    <cellStyle name="Input 5 2 3 2 2 3 4" xfId="33861" xr:uid="{00000000-0005-0000-0000-000074830000}"/>
    <cellStyle name="Input 5 2 3 2 2 3 4 2" xfId="33862" xr:uid="{00000000-0005-0000-0000-000075830000}"/>
    <cellStyle name="Input 5 2 3 2 2 3 5" xfId="33863" xr:uid="{00000000-0005-0000-0000-000076830000}"/>
    <cellStyle name="Input 5 2 3 2 2 3 5 2" xfId="33864" xr:uid="{00000000-0005-0000-0000-000077830000}"/>
    <cellStyle name="Input 5 2 3 2 2 3 6" xfId="33865" xr:uid="{00000000-0005-0000-0000-000078830000}"/>
    <cellStyle name="Input 5 2 3 2 2 3 7" xfId="33866" xr:uid="{00000000-0005-0000-0000-000079830000}"/>
    <cellStyle name="Input 5 2 3 2 2 3 8" xfId="33867" xr:uid="{00000000-0005-0000-0000-00007A830000}"/>
    <cellStyle name="Input 5 2 3 2 2 4" xfId="33868" xr:uid="{00000000-0005-0000-0000-00007B830000}"/>
    <cellStyle name="Input 5 2 3 2 2 4 2" xfId="33869" xr:uid="{00000000-0005-0000-0000-00007C830000}"/>
    <cellStyle name="Input 5 2 3 2 2 4 2 2" xfId="33870" xr:uid="{00000000-0005-0000-0000-00007D830000}"/>
    <cellStyle name="Input 5 2 3 2 2 4 2 2 2" xfId="33871" xr:uid="{00000000-0005-0000-0000-00007E830000}"/>
    <cellStyle name="Input 5 2 3 2 2 4 2 3" xfId="33872" xr:uid="{00000000-0005-0000-0000-00007F830000}"/>
    <cellStyle name="Input 5 2 3 2 2 4 2 3 2" xfId="33873" xr:uid="{00000000-0005-0000-0000-000080830000}"/>
    <cellStyle name="Input 5 2 3 2 2 4 2 4" xfId="33874" xr:uid="{00000000-0005-0000-0000-000081830000}"/>
    <cellStyle name="Input 5 2 3 2 2 4 2 5" xfId="33875" xr:uid="{00000000-0005-0000-0000-000082830000}"/>
    <cellStyle name="Input 5 2 3 2 2 4 2 6" xfId="33876" xr:uid="{00000000-0005-0000-0000-000083830000}"/>
    <cellStyle name="Input 5 2 3 2 2 4 3" xfId="33877" xr:uid="{00000000-0005-0000-0000-000084830000}"/>
    <cellStyle name="Input 5 2 3 2 2 4 3 2" xfId="33878" xr:uid="{00000000-0005-0000-0000-000085830000}"/>
    <cellStyle name="Input 5 2 3 2 2 4 4" xfId="33879" xr:uid="{00000000-0005-0000-0000-000086830000}"/>
    <cellStyle name="Input 5 2 3 2 2 4 4 2" xfId="33880" xr:uid="{00000000-0005-0000-0000-000087830000}"/>
    <cellStyle name="Input 5 2 3 2 2 4 5" xfId="33881" xr:uid="{00000000-0005-0000-0000-000088830000}"/>
    <cellStyle name="Input 5 2 3 2 2 4 6" xfId="33882" xr:uid="{00000000-0005-0000-0000-000089830000}"/>
    <cellStyle name="Input 5 2 3 2 2 4 7" xfId="33883" xr:uid="{00000000-0005-0000-0000-00008A830000}"/>
    <cellStyle name="Input 5 2 3 2 2 5" xfId="33884" xr:uid="{00000000-0005-0000-0000-00008B830000}"/>
    <cellStyle name="Input 5 2 3 2 2 5 2" xfId="33885" xr:uid="{00000000-0005-0000-0000-00008C830000}"/>
    <cellStyle name="Input 5 2 3 2 2 5 2 2" xfId="33886" xr:uid="{00000000-0005-0000-0000-00008D830000}"/>
    <cellStyle name="Input 5 2 3 2 2 5 3" xfId="33887" xr:uid="{00000000-0005-0000-0000-00008E830000}"/>
    <cellStyle name="Input 5 2 3 2 2 5 3 2" xfId="33888" xr:uid="{00000000-0005-0000-0000-00008F830000}"/>
    <cellStyle name="Input 5 2 3 2 2 5 4" xfId="33889" xr:uid="{00000000-0005-0000-0000-000090830000}"/>
    <cellStyle name="Input 5 2 3 2 2 5 5" xfId="33890" xr:uid="{00000000-0005-0000-0000-000091830000}"/>
    <cellStyle name="Input 5 2 3 2 2 5 6" xfId="33891" xr:uid="{00000000-0005-0000-0000-000092830000}"/>
    <cellStyle name="Input 5 2 3 2 2 6" xfId="33892" xr:uid="{00000000-0005-0000-0000-000093830000}"/>
    <cellStyle name="Input 5 2 3 2 2 6 2" xfId="33893" xr:uid="{00000000-0005-0000-0000-000094830000}"/>
    <cellStyle name="Input 5 2 3 2 2 7" xfId="33894" xr:uid="{00000000-0005-0000-0000-000095830000}"/>
    <cellStyle name="Input 5 2 3 2 2 7 2" xfId="33895" xr:uid="{00000000-0005-0000-0000-000096830000}"/>
    <cellStyle name="Input 5 2 3 2 2 8" xfId="33896" xr:uid="{00000000-0005-0000-0000-000097830000}"/>
    <cellStyle name="Input 5 2 3 2 2 9" xfId="33897" xr:uid="{00000000-0005-0000-0000-000098830000}"/>
    <cellStyle name="Input 5 2 3 2 3" xfId="33898" xr:uid="{00000000-0005-0000-0000-000099830000}"/>
    <cellStyle name="Input 5 2 3 2 3 2" xfId="33899" xr:uid="{00000000-0005-0000-0000-00009A830000}"/>
    <cellStyle name="Input 5 2 3 2 3 2 2" xfId="33900" xr:uid="{00000000-0005-0000-0000-00009B830000}"/>
    <cellStyle name="Input 5 2 3 2 3 2 2 2" xfId="33901" xr:uid="{00000000-0005-0000-0000-00009C830000}"/>
    <cellStyle name="Input 5 2 3 2 3 2 2 2 2" xfId="33902" xr:uid="{00000000-0005-0000-0000-00009D830000}"/>
    <cellStyle name="Input 5 2 3 2 3 2 2 3" xfId="33903" xr:uid="{00000000-0005-0000-0000-00009E830000}"/>
    <cellStyle name="Input 5 2 3 2 3 2 2 3 2" xfId="33904" xr:uid="{00000000-0005-0000-0000-00009F830000}"/>
    <cellStyle name="Input 5 2 3 2 3 2 2 4" xfId="33905" xr:uid="{00000000-0005-0000-0000-0000A0830000}"/>
    <cellStyle name="Input 5 2 3 2 3 2 2 5" xfId="33906" xr:uid="{00000000-0005-0000-0000-0000A1830000}"/>
    <cellStyle name="Input 5 2 3 2 3 2 2 6" xfId="33907" xr:uid="{00000000-0005-0000-0000-0000A2830000}"/>
    <cellStyle name="Input 5 2 3 2 3 2 3" xfId="33908" xr:uid="{00000000-0005-0000-0000-0000A3830000}"/>
    <cellStyle name="Input 5 2 3 2 3 2 3 2" xfId="33909" xr:uid="{00000000-0005-0000-0000-0000A4830000}"/>
    <cellStyle name="Input 5 2 3 2 3 2 4" xfId="33910" xr:uid="{00000000-0005-0000-0000-0000A5830000}"/>
    <cellStyle name="Input 5 2 3 2 3 2 4 2" xfId="33911" xr:uid="{00000000-0005-0000-0000-0000A6830000}"/>
    <cellStyle name="Input 5 2 3 2 3 2 5" xfId="33912" xr:uid="{00000000-0005-0000-0000-0000A7830000}"/>
    <cellStyle name="Input 5 2 3 2 3 2 6" xfId="33913" xr:uid="{00000000-0005-0000-0000-0000A8830000}"/>
    <cellStyle name="Input 5 2 3 2 3 2 7" xfId="33914" xr:uid="{00000000-0005-0000-0000-0000A9830000}"/>
    <cellStyle name="Input 5 2 3 2 3 3" xfId="33915" xr:uid="{00000000-0005-0000-0000-0000AA830000}"/>
    <cellStyle name="Input 5 2 3 2 3 3 2" xfId="33916" xr:uid="{00000000-0005-0000-0000-0000AB830000}"/>
    <cellStyle name="Input 5 2 3 2 3 3 2 2" xfId="33917" xr:uid="{00000000-0005-0000-0000-0000AC830000}"/>
    <cellStyle name="Input 5 2 3 2 3 3 3" xfId="33918" xr:uid="{00000000-0005-0000-0000-0000AD830000}"/>
    <cellStyle name="Input 5 2 3 2 3 3 3 2" xfId="33919" xr:uid="{00000000-0005-0000-0000-0000AE830000}"/>
    <cellStyle name="Input 5 2 3 2 3 3 4" xfId="33920" xr:uid="{00000000-0005-0000-0000-0000AF830000}"/>
    <cellStyle name="Input 5 2 3 2 3 3 5" xfId="33921" xr:uid="{00000000-0005-0000-0000-0000B0830000}"/>
    <cellStyle name="Input 5 2 3 2 3 3 6" xfId="33922" xr:uid="{00000000-0005-0000-0000-0000B1830000}"/>
    <cellStyle name="Input 5 2 3 2 3 4" xfId="33923" xr:uid="{00000000-0005-0000-0000-0000B2830000}"/>
    <cellStyle name="Input 5 2 3 2 3 4 2" xfId="33924" xr:uid="{00000000-0005-0000-0000-0000B3830000}"/>
    <cellStyle name="Input 5 2 3 2 3 5" xfId="33925" xr:uid="{00000000-0005-0000-0000-0000B4830000}"/>
    <cellStyle name="Input 5 2 3 2 3 5 2" xfId="33926" xr:uid="{00000000-0005-0000-0000-0000B5830000}"/>
    <cellStyle name="Input 5 2 3 2 3 6" xfId="33927" xr:uid="{00000000-0005-0000-0000-0000B6830000}"/>
    <cellStyle name="Input 5 2 3 2 3 7" xfId="33928" xr:uid="{00000000-0005-0000-0000-0000B7830000}"/>
    <cellStyle name="Input 5 2 3 2 3 8" xfId="33929" xr:uid="{00000000-0005-0000-0000-0000B8830000}"/>
    <cellStyle name="Input 5 2 3 2 4" xfId="33930" xr:uid="{00000000-0005-0000-0000-0000B9830000}"/>
    <cellStyle name="Input 5 2 3 2 4 2" xfId="33931" xr:uid="{00000000-0005-0000-0000-0000BA830000}"/>
    <cellStyle name="Input 5 2 3 2 4 2 2" xfId="33932" xr:uid="{00000000-0005-0000-0000-0000BB830000}"/>
    <cellStyle name="Input 5 2 3 2 4 2 2 2" xfId="33933" xr:uid="{00000000-0005-0000-0000-0000BC830000}"/>
    <cellStyle name="Input 5 2 3 2 4 2 2 2 2" xfId="33934" xr:uid="{00000000-0005-0000-0000-0000BD830000}"/>
    <cellStyle name="Input 5 2 3 2 4 2 2 3" xfId="33935" xr:uid="{00000000-0005-0000-0000-0000BE830000}"/>
    <cellStyle name="Input 5 2 3 2 4 2 2 3 2" xfId="33936" xr:uid="{00000000-0005-0000-0000-0000BF830000}"/>
    <cellStyle name="Input 5 2 3 2 4 2 2 4" xfId="33937" xr:uid="{00000000-0005-0000-0000-0000C0830000}"/>
    <cellStyle name="Input 5 2 3 2 4 2 2 5" xfId="33938" xr:uid="{00000000-0005-0000-0000-0000C1830000}"/>
    <cellStyle name="Input 5 2 3 2 4 2 2 6" xfId="33939" xr:uid="{00000000-0005-0000-0000-0000C2830000}"/>
    <cellStyle name="Input 5 2 3 2 4 2 3" xfId="33940" xr:uid="{00000000-0005-0000-0000-0000C3830000}"/>
    <cellStyle name="Input 5 2 3 2 4 2 3 2" xfId="33941" xr:uid="{00000000-0005-0000-0000-0000C4830000}"/>
    <cellStyle name="Input 5 2 3 2 4 2 4" xfId="33942" xr:uid="{00000000-0005-0000-0000-0000C5830000}"/>
    <cellStyle name="Input 5 2 3 2 4 2 4 2" xfId="33943" xr:uid="{00000000-0005-0000-0000-0000C6830000}"/>
    <cellStyle name="Input 5 2 3 2 4 2 5" xfId="33944" xr:uid="{00000000-0005-0000-0000-0000C7830000}"/>
    <cellStyle name="Input 5 2 3 2 4 2 6" xfId="33945" xr:uid="{00000000-0005-0000-0000-0000C8830000}"/>
    <cellStyle name="Input 5 2 3 2 4 2 7" xfId="33946" xr:uid="{00000000-0005-0000-0000-0000C9830000}"/>
    <cellStyle name="Input 5 2 3 2 4 3" xfId="33947" xr:uid="{00000000-0005-0000-0000-0000CA830000}"/>
    <cellStyle name="Input 5 2 3 2 4 3 2" xfId="33948" xr:uid="{00000000-0005-0000-0000-0000CB830000}"/>
    <cellStyle name="Input 5 2 3 2 4 3 2 2" xfId="33949" xr:uid="{00000000-0005-0000-0000-0000CC830000}"/>
    <cellStyle name="Input 5 2 3 2 4 3 3" xfId="33950" xr:uid="{00000000-0005-0000-0000-0000CD830000}"/>
    <cellStyle name="Input 5 2 3 2 4 3 3 2" xfId="33951" xr:uid="{00000000-0005-0000-0000-0000CE830000}"/>
    <cellStyle name="Input 5 2 3 2 4 3 4" xfId="33952" xr:uid="{00000000-0005-0000-0000-0000CF830000}"/>
    <cellStyle name="Input 5 2 3 2 4 3 5" xfId="33953" xr:uid="{00000000-0005-0000-0000-0000D0830000}"/>
    <cellStyle name="Input 5 2 3 2 4 3 6" xfId="33954" xr:uid="{00000000-0005-0000-0000-0000D1830000}"/>
    <cellStyle name="Input 5 2 3 2 4 4" xfId="33955" xr:uid="{00000000-0005-0000-0000-0000D2830000}"/>
    <cellStyle name="Input 5 2 3 2 4 4 2" xfId="33956" xr:uid="{00000000-0005-0000-0000-0000D3830000}"/>
    <cellStyle name="Input 5 2 3 2 4 5" xfId="33957" xr:uid="{00000000-0005-0000-0000-0000D4830000}"/>
    <cellStyle name="Input 5 2 3 2 4 5 2" xfId="33958" xr:uid="{00000000-0005-0000-0000-0000D5830000}"/>
    <cellStyle name="Input 5 2 3 2 4 6" xfId="33959" xr:uid="{00000000-0005-0000-0000-0000D6830000}"/>
    <cellStyle name="Input 5 2 3 2 4 7" xfId="33960" xr:uid="{00000000-0005-0000-0000-0000D7830000}"/>
    <cellStyle name="Input 5 2 3 2 4 8" xfId="33961" xr:uid="{00000000-0005-0000-0000-0000D8830000}"/>
    <cellStyle name="Input 5 2 3 2 5" xfId="33962" xr:uid="{00000000-0005-0000-0000-0000D9830000}"/>
    <cellStyle name="Input 5 2 3 2 5 2" xfId="33963" xr:uid="{00000000-0005-0000-0000-0000DA830000}"/>
    <cellStyle name="Input 5 2 3 2 5 2 2" xfId="33964" xr:uid="{00000000-0005-0000-0000-0000DB830000}"/>
    <cellStyle name="Input 5 2 3 2 5 2 2 2" xfId="33965" xr:uid="{00000000-0005-0000-0000-0000DC830000}"/>
    <cellStyle name="Input 5 2 3 2 5 2 3" xfId="33966" xr:uid="{00000000-0005-0000-0000-0000DD830000}"/>
    <cellStyle name="Input 5 2 3 2 5 2 3 2" xfId="33967" xr:uid="{00000000-0005-0000-0000-0000DE830000}"/>
    <cellStyle name="Input 5 2 3 2 5 2 4" xfId="33968" xr:uid="{00000000-0005-0000-0000-0000DF830000}"/>
    <cellStyle name="Input 5 2 3 2 5 2 5" xfId="33969" xr:uid="{00000000-0005-0000-0000-0000E0830000}"/>
    <cellStyle name="Input 5 2 3 2 5 2 6" xfId="33970" xr:uid="{00000000-0005-0000-0000-0000E1830000}"/>
    <cellStyle name="Input 5 2 3 2 5 3" xfId="33971" xr:uid="{00000000-0005-0000-0000-0000E2830000}"/>
    <cellStyle name="Input 5 2 3 2 5 3 2" xfId="33972" xr:uid="{00000000-0005-0000-0000-0000E3830000}"/>
    <cellStyle name="Input 5 2 3 2 5 4" xfId="33973" xr:uid="{00000000-0005-0000-0000-0000E4830000}"/>
    <cellStyle name="Input 5 2 3 2 5 4 2" xfId="33974" xr:uid="{00000000-0005-0000-0000-0000E5830000}"/>
    <cellStyle name="Input 5 2 3 2 5 5" xfId="33975" xr:uid="{00000000-0005-0000-0000-0000E6830000}"/>
    <cellStyle name="Input 5 2 3 2 5 6" xfId="33976" xr:uid="{00000000-0005-0000-0000-0000E7830000}"/>
    <cellStyle name="Input 5 2 3 2 5 7" xfId="33977" xr:uid="{00000000-0005-0000-0000-0000E8830000}"/>
    <cellStyle name="Input 5 2 3 2 6" xfId="33978" xr:uid="{00000000-0005-0000-0000-0000E9830000}"/>
    <cellStyle name="Input 5 2 3 2 6 2" xfId="33979" xr:uid="{00000000-0005-0000-0000-0000EA830000}"/>
    <cellStyle name="Input 5 2 3 2 6 2 2" xfId="33980" xr:uid="{00000000-0005-0000-0000-0000EB830000}"/>
    <cellStyle name="Input 5 2 3 2 6 3" xfId="33981" xr:uid="{00000000-0005-0000-0000-0000EC830000}"/>
    <cellStyle name="Input 5 2 3 2 6 3 2" xfId="33982" xr:uid="{00000000-0005-0000-0000-0000ED830000}"/>
    <cellStyle name="Input 5 2 3 2 6 4" xfId="33983" xr:uid="{00000000-0005-0000-0000-0000EE830000}"/>
    <cellStyle name="Input 5 2 3 2 6 5" xfId="33984" xr:uid="{00000000-0005-0000-0000-0000EF830000}"/>
    <cellStyle name="Input 5 2 3 2 6 6" xfId="33985" xr:uid="{00000000-0005-0000-0000-0000F0830000}"/>
    <cellStyle name="Input 5 2 3 2 7" xfId="33986" xr:uid="{00000000-0005-0000-0000-0000F1830000}"/>
    <cellStyle name="Input 5 2 3 2 7 2" xfId="33987" xr:uid="{00000000-0005-0000-0000-0000F2830000}"/>
    <cellStyle name="Input 5 2 3 2 8" xfId="33988" xr:uid="{00000000-0005-0000-0000-0000F3830000}"/>
    <cellStyle name="Input 5 2 3 2 8 2" xfId="33989" xr:uid="{00000000-0005-0000-0000-0000F4830000}"/>
    <cellStyle name="Input 5 2 3 2 9" xfId="33990" xr:uid="{00000000-0005-0000-0000-0000F5830000}"/>
    <cellStyle name="Input 5 2 3 3" xfId="33991" xr:uid="{00000000-0005-0000-0000-0000F6830000}"/>
    <cellStyle name="Input 5 2 3 3 10" xfId="33992" xr:uid="{00000000-0005-0000-0000-0000F7830000}"/>
    <cellStyle name="Input 5 2 3 3 2" xfId="33993" xr:uid="{00000000-0005-0000-0000-0000F8830000}"/>
    <cellStyle name="Input 5 2 3 3 2 10" xfId="33994" xr:uid="{00000000-0005-0000-0000-0000F9830000}"/>
    <cellStyle name="Input 5 2 3 3 2 2" xfId="33995" xr:uid="{00000000-0005-0000-0000-0000FA830000}"/>
    <cellStyle name="Input 5 2 3 3 2 2 2" xfId="33996" xr:uid="{00000000-0005-0000-0000-0000FB830000}"/>
    <cellStyle name="Input 5 2 3 3 2 2 2 2" xfId="33997" xr:uid="{00000000-0005-0000-0000-0000FC830000}"/>
    <cellStyle name="Input 5 2 3 3 2 2 2 2 2" xfId="33998" xr:uid="{00000000-0005-0000-0000-0000FD830000}"/>
    <cellStyle name="Input 5 2 3 3 2 2 2 2 2 2" xfId="33999" xr:uid="{00000000-0005-0000-0000-0000FE830000}"/>
    <cellStyle name="Input 5 2 3 3 2 2 2 2 3" xfId="34000" xr:uid="{00000000-0005-0000-0000-0000FF830000}"/>
    <cellStyle name="Input 5 2 3 3 2 2 2 2 3 2" xfId="34001" xr:uid="{00000000-0005-0000-0000-000000840000}"/>
    <cellStyle name="Input 5 2 3 3 2 2 2 2 4" xfId="34002" xr:uid="{00000000-0005-0000-0000-000001840000}"/>
    <cellStyle name="Input 5 2 3 3 2 2 2 2 5" xfId="34003" xr:uid="{00000000-0005-0000-0000-000002840000}"/>
    <cellStyle name="Input 5 2 3 3 2 2 2 2 6" xfId="34004" xr:uid="{00000000-0005-0000-0000-000003840000}"/>
    <cellStyle name="Input 5 2 3 3 2 2 2 3" xfId="34005" xr:uid="{00000000-0005-0000-0000-000004840000}"/>
    <cellStyle name="Input 5 2 3 3 2 2 2 3 2" xfId="34006" xr:uid="{00000000-0005-0000-0000-000005840000}"/>
    <cellStyle name="Input 5 2 3 3 2 2 2 4" xfId="34007" xr:uid="{00000000-0005-0000-0000-000006840000}"/>
    <cellStyle name="Input 5 2 3 3 2 2 2 4 2" xfId="34008" xr:uid="{00000000-0005-0000-0000-000007840000}"/>
    <cellStyle name="Input 5 2 3 3 2 2 2 5" xfId="34009" xr:uid="{00000000-0005-0000-0000-000008840000}"/>
    <cellStyle name="Input 5 2 3 3 2 2 2 6" xfId="34010" xr:uid="{00000000-0005-0000-0000-000009840000}"/>
    <cellStyle name="Input 5 2 3 3 2 2 2 7" xfId="34011" xr:uid="{00000000-0005-0000-0000-00000A840000}"/>
    <cellStyle name="Input 5 2 3 3 2 2 3" xfId="34012" xr:uid="{00000000-0005-0000-0000-00000B840000}"/>
    <cellStyle name="Input 5 2 3 3 2 2 3 2" xfId="34013" xr:uid="{00000000-0005-0000-0000-00000C840000}"/>
    <cellStyle name="Input 5 2 3 3 2 2 3 2 2" xfId="34014" xr:uid="{00000000-0005-0000-0000-00000D840000}"/>
    <cellStyle name="Input 5 2 3 3 2 2 3 3" xfId="34015" xr:uid="{00000000-0005-0000-0000-00000E840000}"/>
    <cellStyle name="Input 5 2 3 3 2 2 3 3 2" xfId="34016" xr:uid="{00000000-0005-0000-0000-00000F840000}"/>
    <cellStyle name="Input 5 2 3 3 2 2 3 4" xfId="34017" xr:uid="{00000000-0005-0000-0000-000010840000}"/>
    <cellStyle name="Input 5 2 3 3 2 2 3 5" xfId="34018" xr:uid="{00000000-0005-0000-0000-000011840000}"/>
    <cellStyle name="Input 5 2 3 3 2 2 3 6" xfId="34019" xr:uid="{00000000-0005-0000-0000-000012840000}"/>
    <cellStyle name="Input 5 2 3 3 2 2 4" xfId="34020" xr:uid="{00000000-0005-0000-0000-000013840000}"/>
    <cellStyle name="Input 5 2 3 3 2 2 4 2" xfId="34021" xr:uid="{00000000-0005-0000-0000-000014840000}"/>
    <cellStyle name="Input 5 2 3 3 2 2 5" xfId="34022" xr:uid="{00000000-0005-0000-0000-000015840000}"/>
    <cellStyle name="Input 5 2 3 3 2 2 5 2" xfId="34023" xr:uid="{00000000-0005-0000-0000-000016840000}"/>
    <cellStyle name="Input 5 2 3 3 2 2 6" xfId="34024" xr:uid="{00000000-0005-0000-0000-000017840000}"/>
    <cellStyle name="Input 5 2 3 3 2 2 7" xfId="34025" xr:uid="{00000000-0005-0000-0000-000018840000}"/>
    <cellStyle name="Input 5 2 3 3 2 2 8" xfId="34026" xr:uid="{00000000-0005-0000-0000-000019840000}"/>
    <cellStyle name="Input 5 2 3 3 2 3" xfId="34027" xr:uid="{00000000-0005-0000-0000-00001A840000}"/>
    <cellStyle name="Input 5 2 3 3 2 3 2" xfId="34028" xr:uid="{00000000-0005-0000-0000-00001B840000}"/>
    <cellStyle name="Input 5 2 3 3 2 3 2 2" xfId="34029" xr:uid="{00000000-0005-0000-0000-00001C840000}"/>
    <cellStyle name="Input 5 2 3 3 2 3 2 2 2" xfId="34030" xr:uid="{00000000-0005-0000-0000-00001D840000}"/>
    <cellStyle name="Input 5 2 3 3 2 3 2 2 2 2" xfId="34031" xr:uid="{00000000-0005-0000-0000-00001E840000}"/>
    <cellStyle name="Input 5 2 3 3 2 3 2 2 3" xfId="34032" xr:uid="{00000000-0005-0000-0000-00001F840000}"/>
    <cellStyle name="Input 5 2 3 3 2 3 2 2 3 2" xfId="34033" xr:uid="{00000000-0005-0000-0000-000020840000}"/>
    <cellStyle name="Input 5 2 3 3 2 3 2 2 4" xfId="34034" xr:uid="{00000000-0005-0000-0000-000021840000}"/>
    <cellStyle name="Input 5 2 3 3 2 3 2 2 5" xfId="34035" xr:uid="{00000000-0005-0000-0000-000022840000}"/>
    <cellStyle name="Input 5 2 3 3 2 3 2 2 6" xfId="34036" xr:uid="{00000000-0005-0000-0000-000023840000}"/>
    <cellStyle name="Input 5 2 3 3 2 3 2 3" xfId="34037" xr:uid="{00000000-0005-0000-0000-000024840000}"/>
    <cellStyle name="Input 5 2 3 3 2 3 2 3 2" xfId="34038" xr:uid="{00000000-0005-0000-0000-000025840000}"/>
    <cellStyle name="Input 5 2 3 3 2 3 2 4" xfId="34039" xr:uid="{00000000-0005-0000-0000-000026840000}"/>
    <cellStyle name="Input 5 2 3 3 2 3 2 4 2" xfId="34040" xr:uid="{00000000-0005-0000-0000-000027840000}"/>
    <cellStyle name="Input 5 2 3 3 2 3 2 5" xfId="34041" xr:uid="{00000000-0005-0000-0000-000028840000}"/>
    <cellStyle name="Input 5 2 3 3 2 3 2 6" xfId="34042" xr:uid="{00000000-0005-0000-0000-000029840000}"/>
    <cellStyle name="Input 5 2 3 3 2 3 2 7" xfId="34043" xr:uid="{00000000-0005-0000-0000-00002A840000}"/>
    <cellStyle name="Input 5 2 3 3 2 3 3" xfId="34044" xr:uid="{00000000-0005-0000-0000-00002B840000}"/>
    <cellStyle name="Input 5 2 3 3 2 3 3 2" xfId="34045" xr:uid="{00000000-0005-0000-0000-00002C840000}"/>
    <cellStyle name="Input 5 2 3 3 2 3 3 2 2" xfId="34046" xr:uid="{00000000-0005-0000-0000-00002D840000}"/>
    <cellStyle name="Input 5 2 3 3 2 3 3 3" xfId="34047" xr:uid="{00000000-0005-0000-0000-00002E840000}"/>
    <cellStyle name="Input 5 2 3 3 2 3 3 3 2" xfId="34048" xr:uid="{00000000-0005-0000-0000-00002F840000}"/>
    <cellStyle name="Input 5 2 3 3 2 3 3 4" xfId="34049" xr:uid="{00000000-0005-0000-0000-000030840000}"/>
    <cellStyle name="Input 5 2 3 3 2 3 3 5" xfId="34050" xr:uid="{00000000-0005-0000-0000-000031840000}"/>
    <cellStyle name="Input 5 2 3 3 2 3 3 6" xfId="34051" xr:uid="{00000000-0005-0000-0000-000032840000}"/>
    <cellStyle name="Input 5 2 3 3 2 3 4" xfId="34052" xr:uid="{00000000-0005-0000-0000-000033840000}"/>
    <cellStyle name="Input 5 2 3 3 2 3 4 2" xfId="34053" xr:uid="{00000000-0005-0000-0000-000034840000}"/>
    <cellStyle name="Input 5 2 3 3 2 3 5" xfId="34054" xr:uid="{00000000-0005-0000-0000-000035840000}"/>
    <cellStyle name="Input 5 2 3 3 2 3 5 2" xfId="34055" xr:uid="{00000000-0005-0000-0000-000036840000}"/>
    <cellStyle name="Input 5 2 3 3 2 3 6" xfId="34056" xr:uid="{00000000-0005-0000-0000-000037840000}"/>
    <cellStyle name="Input 5 2 3 3 2 3 7" xfId="34057" xr:uid="{00000000-0005-0000-0000-000038840000}"/>
    <cellStyle name="Input 5 2 3 3 2 3 8" xfId="34058" xr:uid="{00000000-0005-0000-0000-000039840000}"/>
    <cellStyle name="Input 5 2 3 3 2 4" xfId="34059" xr:uid="{00000000-0005-0000-0000-00003A840000}"/>
    <cellStyle name="Input 5 2 3 3 2 4 2" xfId="34060" xr:uid="{00000000-0005-0000-0000-00003B840000}"/>
    <cellStyle name="Input 5 2 3 3 2 4 2 2" xfId="34061" xr:uid="{00000000-0005-0000-0000-00003C840000}"/>
    <cellStyle name="Input 5 2 3 3 2 4 2 2 2" xfId="34062" xr:uid="{00000000-0005-0000-0000-00003D840000}"/>
    <cellStyle name="Input 5 2 3 3 2 4 2 3" xfId="34063" xr:uid="{00000000-0005-0000-0000-00003E840000}"/>
    <cellStyle name="Input 5 2 3 3 2 4 2 3 2" xfId="34064" xr:uid="{00000000-0005-0000-0000-00003F840000}"/>
    <cellStyle name="Input 5 2 3 3 2 4 2 4" xfId="34065" xr:uid="{00000000-0005-0000-0000-000040840000}"/>
    <cellStyle name="Input 5 2 3 3 2 4 2 5" xfId="34066" xr:uid="{00000000-0005-0000-0000-000041840000}"/>
    <cellStyle name="Input 5 2 3 3 2 4 2 6" xfId="34067" xr:uid="{00000000-0005-0000-0000-000042840000}"/>
    <cellStyle name="Input 5 2 3 3 2 4 3" xfId="34068" xr:uid="{00000000-0005-0000-0000-000043840000}"/>
    <cellStyle name="Input 5 2 3 3 2 4 3 2" xfId="34069" xr:uid="{00000000-0005-0000-0000-000044840000}"/>
    <cellStyle name="Input 5 2 3 3 2 4 4" xfId="34070" xr:uid="{00000000-0005-0000-0000-000045840000}"/>
    <cellStyle name="Input 5 2 3 3 2 4 4 2" xfId="34071" xr:uid="{00000000-0005-0000-0000-000046840000}"/>
    <cellStyle name="Input 5 2 3 3 2 4 5" xfId="34072" xr:uid="{00000000-0005-0000-0000-000047840000}"/>
    <cellStyle name="Input 5 2 3 3 2 4 6" xfId="34073" xr:uid="{00000000-0005-0000-0000-000048840000}"/>
    <cellStyle name="Input 5 2 3 3 2 4 7" xfId="34074" xr:uid="{00000000-0005-0000-0000-000049840000}"/>
    <cellStyle name="Input 5 2 3 3 2 5" xfId="34075" xr:uid="{00000000-0005-0000-0000-00004A840000}"/>
    <cellStyle name="Input 5 2 3 3 2 5 2" xfId="34076" xr:uid="{00000000-0005-0000-0000-00004B840000}"/>
    <cellStyle name="Input 5 2 3 3 2 5 2 2" xfId="34077" xr:uid="{00000000-0005-0000-0000-00004C840000}"/>
    <cellStyle name="Input 5 2 3 3 2 5 3" xfId="34078" xr:uid="{00000000-0005-0000-0000-00004D840000}"/>
    <cellStyle name="Input 5 2 3 3 2 5 3 2" xfId="34079" xr:uid="{00000000-0005-0000-0000-00004E840000}"/>
    <cellStyle name="Input 5 2 3 3 2 5 4" xfId="34080" xr:uid="{00000000-0005-0000-0000-00004F840000}"/>
    <cellStyle name="Input 5 2 3 3 2 5 5" xfId="34081" xr:uid="{00000000-0005-0000-0000-000050840000}"/>
    <cellStyle name="Input 5 2 3 3 2 5 6" xfId="34082" xr:uid="{00000000-0005-0000-0000-000051840000}"/>
    <cellStyle name="Input 5 2 3 3 2 6" xfId="34083" xr:uid="{00000000-0005-0000-0000-000052840000}"/>
    <cellStyle name="Input 5 2 3 3 2 6 2" xfId="34084" xr:uid="{00000000-0005-0000-0000-000053840000}"/>
    <cellStyle name="Input 5 2 3 3 2 7" xfId="34085" xr:uid="{00000000-0005-0000-0000-000054840000}"/>
    <cellStyle name="Input 5 2 3 3 2 7 2" xfId="34086" xr:uid="{00000000-0005-0000-0000-000055840000}"/>
    <cellStyle name="Input 5 2 3 3 2 8" xfId="34087" xr:uid="{00000000-0005-0000-0000-000056840000}"/>
    <cellStyle name="Input 5 2 3 3 2 9" xfId="34088" xr:uid="{00000000-0005-0000-0000-000057840000}"/>
    <cellStyle name="Input 5 2 3 3 3" xfId="34089" xr:uid="{00000000-0005-0000-0000-000058840000}"/>
    <cellStyle name="Input 5 2 3 3 3 2" xfId="34090" xr:uid="{00000000-0005-0000-0000-000059840000}"/>
    <cellStyle name="Input 5 2 3 3 3 2 2" xfId="34091" xr:uid="{00000000-0005-0000-0000-00005A840000}"/>
    <cellStyle name="Input 5 2 3 3 3 2 2 2" xfId="34092" xr:uid="{00000000-0005-0000-0000-00005B840000}"/>
    <cellStyle name="Input 5 2 3 3 3 2 2 2 2" xfId="34093" xr:uid="{00000000-0005-0000-0000-00005C840000}"/>
    <cellStyle name="Input 5 2 3 3 3 2 2 3" xfId="34094" xr:uid="{00000000-0005-0000-0000-00005D840000}"/>
    <cellStyle name="Input 5 2 3 3 3 2 2 3 2" xfId="34095" xr:uid="{00000000-0005-0000-0000-00005E840000}"/>
    <cellStyle name="Input 5 2 3 3 3 2 2 4" xfId="34096" xr:uid="{00000000-0005-0000-0000-00005F840000}"/>
    <cellStyle name="Input 5 2 3 3 3 2 2 5" xfId="34097" xr:uid="{00000000-0005-0000-0000-000060840000}"/>
    <cellStyle name="Input 5 2 3 3 3 2 2 6" xfId="34098" xr:uid="{00000000-0005-0000-0000-000061840000}"/>
    <cellStyle name="Input 5 2 3 3 3 2 3" xfId="34099" xr:uid="{00000000-0005-0000-0000-000062840000}"/>
    <cellStyle name="Input 5 2 3 3 3 2 3 2" xfId="34100" xr:uid="{00000000-0005-0000-0000-000063840000}"/>
    <cellStyle name="Input 5 2 3 3 3 2 4" xfId="34101" xr:uid="{00000000-0005-0000-0000-000064840000}"/>
    <cellStyle name="Input 5 2 3 3 3 2 4 2" xfId="34102" xr:uid="{00000000-0005-0000-0000-000065840000}"/>
    <cellStyle name="Input 5 2 3 3 3 2 5" xfId="34103" xr:uid="{00000000-0005-0000-0000-000066840000}"/>
    <cellStyle name="Input 5 2 3 3 3 2 6" xfId="34104" xr:uid="{00000000-0005-0000-0000-000067840000}"/>
    <cellStyle name="Input 5 2 3 3 3 2 7" xfId="34105" xr:uid="{00000000-0005-0000-0000-000068840000}"/>
    <cellStyle name="Input 5 2 3 3 3 3" xfId="34106" xr:uid="{00000000-0005-0000-0000-000069840000}"/>
    <cellStyle name="Input 5 2 3 3 3 3 2" xfId="34107" xr:uid="{00000000-0005-0000-0000-00006A840000}"/>
    <cellStyle name="Input 5 2 3 3 3 3 2 2" xfId="34108" xr:uid="{00000000-0005-0000-0000-00006B840000}"/>
    <cellStyle name="Input 5 2 3 3 3 3 3" xfId="34109" xr:uid="{00000000-0005-0000-0000-00006C840000}"/>
    <cellStyle name="Input 5 2 3 3 3 3 3 2" xfId="34110" xr:uid="{00000000-0005-0000-0000-00006D840000}"/>
    <cellStyle name="Input 5 2 3 3 3 3 4" xfId="34111" xr:uid="{00000000-0005-0000-0000-00006E840000}"/>
    <cellStyle name="Input 5 2 3 3 3 3 5" xfId="34112" xr:uid="{00000000-0005-0000-0000-00006F840000}"/>
    <cellStyle name="Input 5 2 3 3 3 3 6" xfId="34113" xr:uid="{00000000-0005-0000-0000-000070840000}"/>
    <cellStyle name="Input 5 2 3 3 3 4" xfId="34114" xr:uid="{00000000-0005-0000-0000-000071840000}"/>
    <cellStyle name="Input 5 2 3 3 3 4 2" xfId="34115" xr:uid="{00000000-0005-0000-0000-000072840000}"/>
    <cellStyle name="Input 5 2 3 3 3 5" xfId="34116" xr:uid="{00000000-0005-0000-0000-000073840000}"/>
    <cellStyle name="Input 5 2 3 3 3 5 2" xfId="34117" xr:uid="{00000000-0005-0000-0000-000074840000}"/>
    <cellStyle name="Input 5 2 3 3 3 6" xfId="34118" xr:uid="{00000000-0005-0000-0000-000075840000}"/>
    <cellStyle name="Input 5 2 3 3 3 7" xfId="34119" xr:uid="{00000000-0005-0000-0000-000076840000}"/>
    <cellStyle name="Input 5 2 3 3 3 8" xfId="34120" xr:uid="{00000000-0005-0000-0000-000077840000}"/>
    <cellStyle name="Input 5 2 3 3 4" xfId="34121" xr:uid="{00000000-0005-0000-0000-000078840000}"/>
    <cellStyle name="Input 5 2 3 3 4 2" xfId="34122" xr:uid="{00000000-0005-0000-0000-000079840000}"/>
    <cellStyle name="Input 5 2 3 3 4 2 2" xfId="34123" xr:uid="{00000000-0005-0000-0000-00007A840000}"/>
    <cellStyle name="Input 5 2 3 3 4 2 2 2" xfId="34124" xr:uid="{00000000-0005-0000-0000-00007B840000}"/>
    <cellStyle name="Input 5 2 3 3 4 2 3" xfId="34125" xr:uid="{00000000-0005-0000-0000-00007C840000}"/>
    <cellStyle name="Input 5 2 3 3 4 2 3 2" xfId="34126" xr:uid="{00000000-0005-0000-0000-00007D840000}"/>
    <cellStyle name="Input 5 2 3 3 4 2 4" xfId="34127" xr:uid="{00000000-0005-0000-0000-00007E840000}"/>
    <cellStyle name="Input 5 2 3 3 4 2 5" xfId="34128" xr:uid="{00000000-0005-0000-0000-00007F840000}"/>
    <cellStyle name="Input 5 2 3 3 4 2 6" xfId="34129" xr:uid="{00000000-0005-0000-0000-000080840000}"/>
    <cellStyle name="Input 5 2 3 3 4 3" xfId="34130" xr:uid="{00000000-0005-0000-0000-000081840000}"/>
    <cellStyle name="Input 5 2 3 3 4 3 2" xfId="34131" xr:uid="{00000000-0005-0000-0000-000082840000}"/>
    <cellStyle name="Input 5 2 3 3 4 4" xfId="34132" xr:uid="{00000000-0005-0000-0000-000083840000}"/>
    <cellStyle name="Input 5 2 3 3 4 4 2" xfId="34133" xr:uid="{00000000-0005-0000-0000-000084840000}"/>
    <cellStyle name="Input 5 2 3 3 4 5" xfId="34134" xr:uid="{00000000-0005-0000-0000-000085840000}"/>
    <cellStyle name="Input 5 2 3 3 4 6" xfId="34135" xr:uid="{00000000-0005-0000-0000-000086840000}"/>
    <cellStyle name="Input 5 2 3 3 4 7" xfId="34136" xr:uid="{00000000-0005-0000-0000-000087840000}"/>
    <cellStyle name="Input 5 2 3 3 5" xfId="34137" xr:uid="{00000000-0005-0000-0000-000088840000}"/>
    <cellStyle name="Input 5 2 3 3 5 2" xfId="34138" xr:uid="{00000000-0005-0000-0000-000089840000}"/>
    <cellStyle name="Input 5 2 3 3 5 2 2" xfId="34139" xr:uid="{00000000-0005-0000-0000-00008A840000}"/>
    <cellStyle name="Input 5 2 3 3 5 3" xfId="34140" xr:uid="{00000000-0005-0000-0000-00008B840000}"/>
    <cellStyle name="Input 5 2 3 3 5 3 2" xfId="34141" xr:uid="{00000000-0005-0000-0000-00008C840000}"/>
    <cellStyle name="Input 5 2 3 3 5 4" xfId="34142" xr:uid="{00000000-0005-0000-0000-00008D840000}"/>
    <cellStyle name="Input 5 2 3 3 5 5" xfId="34143" xr:uid="{00000000-0005-0000-0000-00008E840000}"/>
    <cellStyle name="Input 5 2 3 3 5 6" xfId="34144" xr:uid="{00000000-0005-0000-0000-00008F840000}"/>
    <cellStyle name="Input 5 2 3 3 6" xfId="34145" xr:uid="{00000000-0005-0000-0000-000090840000}"/>
    <cellStyle name="Input 5 2 3 3 6 2" xfId="34146" xr:uid="{00000000-0005-0000-0000-000091840000}"/>
    <cellStyle name="Input 5 2 3 3 7" xfId="34147" xr:uid="{00000000-0005-0000-0000-000092840000}"/>
    <cellStyle name="Input 5 2 3 3 7 2" xfId="34148" xr:uid="{00000000-0005-0000-0000-000093840000}"/>
    <cellStyle name="Input 5 2 3 3 8" xfId="34149" xr:uid="{00000000-0005-0000-0000-000094840000}"/>
    <cellStyle name="Input 5 2 3 3 9" xfId="34150" xr:uid="{00000000-0005-0000-0000-000095840000}"/>
    <cellStyle name="Input 5 2 3 4" xfId="34151" xr:uid="{00000000-0005-0000-0000-000096840000}"/>
    <cellStyle name="Input 5 2 3 4 10" xfId="34152" xr:uid="{00000000-0005-0000-0000-000097840000}"/>
    <cellStyle name="Input 5 2 3 4 2" xfId="34153" xr:uid="{00000000-0005-0000-0000-000098840000}"/>
    <cellStyle name="Input 5 2 3 4 2 2" xfId="34154" xr:uid="{00000000-0005-0000-0000-000099840000}"/>
    <cellStyle name="Input 5 2 3 4 2 2 2" xfId="34155" xr:uid="{00000000-0005-0000-0000-00009A840000}"/>
    <cellStyle name="Input 5 2 3 4 2 2 2 2" xfId="34156" xr:uid="{00000000-0005-0000-0000-00009B840000}"/>
    <cellStyle name="Input 5 2 3 4 2 2 2 2 2" xfId="34157" xr:uid="{00000000-0005-0000-0000-00009C840000}"/>
    <cellStyle name="Input 5 2 3 4 2 2 2 3" xfId="34158" xr:uid="{00000000-0005-0000-0000-00009D840000}"/>
    <cellStyle name="Input 5 2 3 4 2 2 2 3 2" xfId="34159" xr:uid="{00000000-0005-0000-0000-00009E840000}"/>
    <cellStyle name="Input 5 2 3 4 2 2 2 4" xfId="34160" xr:uid="{00000000-0005-0000-0000-00009F840000}"/>
    <cellStyle name="Input 5 2 3 4 2 2 2 5" xfId="34161" xr:uid="{00000000-0005-0000-0000-0000A0840000}"/>
    <cellStyle name="Input 5 2 3 4 2 2 2 6" xfId="34162" xr:uid="{00000000-0005-0000-0000-0000A1840000}"/>
    <cellStyle name="Input 5 2 3 4 2 2 3" xfId="34163" xr:uid="{00000000-0005-0000-0000-0000A2840000}"/>
    <cellStyle name="Input 5 2 3 4 2 2 3 2" xfId="34164" xr:uid="{00000000-0005-0000-0000-0000A3840000}"/>
    <cellStyle name="Input 5 2 3 4 2 2 4" xfId="34165" xr:uid="{00000000-0005-0000-0000-0000A4840000}"/>
    <cellStyle name="Input 5 2 3 4 2 2 4 2" xfId="34166" xr:uid="{00000000-0005-0000-0000-0000A5840000}"/>
    <cellStyle name="Input 5 2 3 4 2 2 5" xfId="34167" xr:uid="{00000000-0005-0000-0000-0000A6840000}"/>
    <cellStyle name="Input 5 2 3 4 2 2 6" xfId="34168" xr:uid="{00000000-0005-0000-0000-0000A7840000}"/>
    <cellStyle name="Input 5 2 3 4 2 2 7" xfId="34169" xr:uid="{00000000-0005-0000-0000-0000A8840000}"/>
    <cellStyle name="Input 5 2 3 4 2 3" xfId="34170" xr:uid="{00000000-0005-0000-0000-0000A9840000}"/>
    <cellStyle name="Input 5 2 3 4 2 3 2" xfId="34171" xr:uid="{00000000-0005-0000-0000-0000AA840000}"/>
    <cellStyle name="Input 5 2 3 4 2 3 2 2" xfId="34172" xr:uid="{00000000-0005-0000-0000-0000AB840000}"/>
    <cellStyle name="Input 5 2 3 4 2 3 3" xfId="34173" xr:uid="{00000000-0005-0000-0000-0000AC840000}"/>
    <cellStyle name="Input 5 2 3 4 2 3 3 2" xfId="34174" xr:uid="{00000000-0005-0000-0000-0000AD840000}"/>
    <cellStyle name="Input 5 2 3 4 2 3 4" xfId="34175" xr:uid="{00000000-0005-0000-0000-0000AE840000}"/>
    <cellStyle name="Input 5 2 3 4 2 3 5" xfId="34176" xr:uid="{00000000-0005-0000-0000-0000AF840000}"/>
    <cellStyle name="Input 5 2 3 4 2 3 6" xfId="34177" xr:uid="{00000000-0005-0000-0000-0000B0840000}"/>
    <cellStyle name="Input 5 2 3 4 2 4" xfId="34178" xr:uid="{00000000-0005-0000-0000-0000B1840000}"/>
    <cellStyle name="Input 5 2 3 4 2 4 2" xfId="34179" xr:uid="{00000000-0005-0000-0000-0000B2840000}"/>
    <cellStyle name="Input 5 2 3 4 2 5" xfId="34180" xr:uid="{00000000-0005-0000-0000-0000B3840000}"/>
    <cellStyle name="Input 5 2 3 4 2 5 2" xfId="34181" xr:uid="{00000000-0005-0000-0000-0000B4840000}"/>
    <cellStyle name="Input 5 2 3 4 2 6" xfId="34182" xr:uid="{00000000-0005-0000-0000-0000B5840000}"/>
    <cellStyle name="Input 5 2 3 4 2 7" xfId="34183" xr:uid="{00000000-0005-0000-0000-0000B6840000}"/>
    <cellStyle name="Input 5 2 3 4 2 8" xfId="34184" xr:uid="{00000000-0005-0000-0000-0000B7840000}"/>
    <cellStyle name="Input 5 2 3 4 3" xfId="34185" xr:uid="{00000000-0005-0000-0000-0000B8840000}"/>
    <cellStyle name="Input 5 2 3 4 3 2" xfId="34186" xr:uid="{00000000-0005-0000-0000-0000B9840000}"/>
    <cellStyle name="Input 5 2 3 4 3 2 2" xfId="34187" xr:uid="{00000000-0005-0000-0000-0000BA840000}"/>
    <cellStyle name="Input 5 2 3 4 3 2 2 2" xfId="34188" xr:uid="{00000000-0005-0000-0000-0000BB840000}"/>
    <cellStyle name="Input 5 2 3 4 3 2 2 2 2" xfId="34189" xr:uid="{00000000-0005-0000-0000-0000BC840000}"/>
    <cellStyle name="Input 5 2 3 4 3 2 2 3" xfId="34190" xr:uid="{00000000-0005-0000-0000-0000BD840000}"/>
    <cellStyle name="Input 5 2 3 4 3 2 2 3 2" xfId="34191" xr:uid="{00000000-0005-0000-0000-0000BE840000}"/>
    <cellStyle name="Input 5 2 3 4 3 2 2 4" xfId="34192" xr:uid="{00000000-0005-0000-0000-0000BF840000}"/>
    <cellStyle name="Input 5 2 3 4 3 2 2 5" xfId="34193" xr:uid="{00000000-0005-0000-0000-0000C0840000}"/>
    <cellStyle name="Input 5 2 3 4 3 2 2 6" xfId="34194" xr:uid="{00000000-0005-0000-0000-0000C1840000}"/>
    <cellStyle name="Input 5 2 3 4 3 2 3" xfId="34195" xr:uid="{00000000-0005-0000-0000-0000C2840000}"/>
    <cellStyle name="Input 5 2 3 4 3 2 3 2" xfId="34196" xr:uid="{00000000-0005-0000-0000-0000C3840000}"/>
    <cellStyle name="Input 5 2 3 4 3 2 4" xfId="34197" xr:uid="{00000000-0005-0000-0000-0000C4840000}"/>
    <cellStyle name="Input 5 2 3 4 3 2 4 2" xfId="34198" xr:uid="{00000000-0005-0000-0000-0000C5840000}"/>
    <cellStyle name="Input 5 2 3 4 3 2 5" xfId="34199" xr:uid="{00000000-0005-0000-0000-0000C6840000}"/>
    <cellStyle name="Input 5 2 3 4 3 2 6" xfId="34200" xr:uid="{00000000-0005-0000-0000-0000C7840000}"/>
    <cellStyle name="Input 5 2 3 4 3 2 7" xfId="34201" xr:uid="{00000000-0005-0000-0000-0000C8840000}"/>
    <cellStyle name="Input 5 2 3 4 3 3" xfId="34202" xr:uid="{00000000-0005-0000-0000-0000C9840000}"/>
    <cellStyle name="Input 5 2 3 4 3 3 2" xfId="34203" xr:uid="{00000000-0005-0000-0000-0000CA840000}"/>
    <cellStyle name="Input 5 2 3 4 3 3 2 2" xfId="34204" xr:uid="{00000000-0005-0000-0000-0000CB840000}"/>
    <cellStyle name="Input 5 2 3 4 3 3 3" xfId="34205" xr:uid="{00000000-0005-0000-0000-0000CC840000}"/>
    <cellStyle name="Input 5 2 3 4 3 3 3 2" xfId="34206" xr:uid="{00000000-0005-0000-0000-0000CD840000}"/>
    <cellStyle name="Input 5 2 3 4 3 3 4" xfId="34207" xr:uid="{00000000-0005-0000-0000-0000CE840000}"/>
    <cellStyle name="Input 5 2 3 4 3 3 5" xfId="34208" xr:uid="{00000000-0005-0000-0000-0000CF840000}"/>
    <cellStyle name="Input 5 2 3 4 3 3 6" xfId="34209" xr:uid="{00000000-0005-0000-0000-0000D0840000}"/>
    <cellStyle name="Input 5 2 3 4 3 4" xfId="34210" xr:uid="{00000000-0005-0000-0000-0000D1840000}"/>
    <cellStyle name="Input 5 2 3 4 3 4 2" xfId="34211" xr:uid="{00000000-0005-0000-0000-0000D2840000}"/>
    <cellStyle name="Input 5 2 3 4 3 5" xfId="34212" xr:uid="{00000000-0005-0000-0000-0000D3840000}"/>
    <cellStyle name="Input 5 2 3 4 3 5 2" xfId="34213" xr:uid="{00000000-0005-0000-0000-0000D4840000}"/>
    <cellStyle name="Input 5 2 3 4 3 6" xfId="34214" xr:uid="{00000000-0005-0000-0000-0000D5840000}"/>
    <cellStyle name="Input 5 2 3 4 3 7" xfId="34215" xr:uid="{00000000-0005-0000-0000-0000D6840000}"/>
    <cellStyle name="Input 5 2 3 4 3 8" xfId="34216" xr:uid="{00000000-0005-0000-0000-0000D7840000}"/>
    <cellStyle name="Input 5 2 3 4 4" xfId="34217" xr:uid="{00000000-0005-0000-0000-0000D8840000}"/>
    <cellStyle name="Input 5 2 3 4 4 2" xfId="34218" xr:uid="{00000000-0005-0000-0000-0000D9840000}"/>
    <cellStyle name="Input 5 2 3 4 4 2 2" xfId="34219" xr:uid="{00000000-0005-0000-0000-0000DA840000}"/>
    <cellStyle name="Input 5 2 3 4 4 2 2 2" xfId="34220" xr:uid="{00000000-0005-0000-0000-0000DB840000}"/>
    <cellStyle name="Input 5 2 3 4 4 2 3" xfId="34221" xr:uid="{00000000-0005-0000-0000-0000DC840000}"/>
    <cellStyle name="Input 5 2 3 4 4 2 3 2" xfId="34222" xr:uid="{00000000-0005-0000-0000-0000DD840000}"/>
    <cellStyle name="Input 5 2 3 4 4 2 4" xfId="34223" xr:uid="{00000000-0005-0000-0000-0000DE840000}"/>
    <cellStyle name="Input 5 2 3 4 4 2 5" xfId="34224" xr:uid="{00000000-0005-0000-0000-0000DF840000}"/>
    <cellStyle name="Input 5 2 3 4 4 2 6" xfId="34225" xr:uid="{00000000-0005-0000-0000-0000E0840000}"/>
    <cellStyle name="Input 5 2 3 4 4 3" xfId="34226" xr:uid="{00000000-0005-0000-0000-0000E1840000}"/>
    <cellStyle name="Input 5 2 3 4 4 3 2" xfId="34227" xr:uid="{00000000-0005-0000-0000-0000E2840000}"/>
    <cellStyle name="Input 5 2 3 4 4 4" xfId="34228" xr:uid="{00000000-0005-0000-0000-0000E3840000}"/>
    <cellStyle name="Input 5 2 3 4 4 4 2" xfId="34229" xr:uid="{00000000-0005-0000-0000-0000E4840000}"/>
    <cellStyle name="Input 5 2 3 4 4 5" xfId="34230" xr:uid="{00000000-0005-0000-0000-0000E5840000}"/>
    <cellStyle name="Input 5 2 3 4 4 6" xfId="34231" xr:uid="{00000000-0005-0000-0000-0000E6840000}"/>
    <cellStyle name="Input 5 2 3 4 4 7" xfId="34232" xr:uid="{00000000-0005-0000-0000-0000E7840000}"/>
    <cellStyle name="Input 5 2 3 4 5" xfId="34233" xr:uid="{00000000-0005-0000-0000-0000E8840000}"/>
    <cellStyle name="Input 5 2 3 4 5 2" xfId="34234" xr:uid="{00000000-0005-0000-0000-0000E9840000}"/>
    <cellStyle name="Input 5 2 3 4 5 2 2" xfId="34235" xr:uid="{00000000-0005-0000-0000-0000EA840000}"/>
    <cellStyle name="Input 5 2 3 4 5 3" xfId="34236" xr:uid="{00000000-0005-0000-0000-0000EB840000}"/>
    <cellStyle name="Input 5 2 3 4 5 3 2" xfId="34237" xr:uid="{00000000-0005-0000-0000-0000EC840000}"/>
    <cellStyle name="Input 5 2 3 4 5 4" xfId="34238" xr:uid="{00000000-0005-0000-0000-0000ED840000}"/>
    <cellStyle name="Input 5 2 3 4 5 5" xfId="34239" xr:uid="{00000000-0005-0000-0000-0000EE840000}"/>
    <cellStyle name="Input 5 2 3 4 5 6" xfId="34240" xr:uid="{00000000-0005-0000-0000-0000EF840000}"/>
    <cellStyle name="Input 5 2 3 4 6" xfId="34241" xr:uid="{00000000-0005-0000-0000-0000F0840000}"/>
    <cellStyle name="Input 5 2 3 4 6 2" xfId="34242" xr:uid="{00000000-0005-0000-0000-0000F1840000}"/>
    <cellStyle name="Input 5 2 3 4 7" xfId="34243" xr:uid="{00000000-0005-0000-0000-0000F2840000}"/>
    <cellStyle name="Input 5 2 3 4 7 2" xfId="34244" xr:uid="{00000000-0005-0000-0000-0000F3840000}"/>
    <cellStyle name="Input 5 2 3 4 8" xfId="34245" xr:uid="{00000000-0005-0000-0000-0000F4840000}"/>
    <cellStyle name="Input 5 2 3 4 9" xfId="34246" xr:uid="{00000000-0005-0000-0000-0000F5840000}"/>
    <cellStyle name="Input 5 2 3 5" xfId="34247" xr:uid="{00000000-0005-0000-0000-0000F6840000}"/>
    <cellStyle name="Input 5 2 3 5 2" xfId="34248" xr:uid="{00000000-0005-0000-0000-0000F7840000}"/>
    <cellStyle name="Input 5 2 3 5 2 2" xfId="34249" xr:uid="{00000000-0005-0000-0000-0000F8840000}"/>
    <cellStyle name="Input 5 2 3 5 2 2 2" xfId="34250" xr:uid="{00000000-0005-0000-0000-0000F9840000}"/>
    <cellStyle name="Input 5 2 3 5 2 2 2 2" xfId="34251" xr:uid="{00000000-0005-0000-0000-0000FA840000}"/>
    <cellStyle name="Input 5 2 3 5 2 2 3" xfId="34252" xr:uid="{00000000-0005-0000-0000-0000FB840000}"/>
    <cellStyle name="Input 5 2 3 5 2 2 3 2" xfId="34253" xr:uid="{00000000-0005-0000-0000-0000FC840000}"/>
    <cellStyle name="Input 5 2 3 5 2 2 4" xfId="34254" xr:uid="{00000000-0005-0000-0000-0000FD840000}"/>
    <cellStyle name="Input 5 2 3 5 2 2 5" xfId="34255" xr:uid="{00000000-0005-0000-0000-0000FE840000}"/>
    <cellStyle name="Input 5 2 3 5 2 2 6" xfId="34256" xr:uid="{00000000-0005-0000-0000-0000FF840000}"/>
    <cellStyle name="Input 5 2 3 5 2 3" xfId="34257" xr:uid="{00000000-0005-0000-0000-000000850000}"/>
    <cellStyle name="Input 5 2 3 5 2 3 2" xfId="34258" xr:uid="{00000000-0005-0000-0000-000001850000}"/>
    <cellStyle name="Input 5 2 3 5 2 4" xfId="34259" xr:uid="{00000000-0005-0000-0000-000002850000}"/>
    <cellStyle name="Input 5 2 3 5 2 4 2" xfId="34260" xr:uid="{00000000-0005-0000-0000-000003850000}"/>
    <cellStyle name="Input 5 2 3 5 2 5" xfId="34261" xr:uid="{00000000-0005-0000-0000-000004850000}"/>
    <cellStyle name="Input 5 2 3 5 2 6" xfId="34262" xr:uid="{00000000-0005-0000-0000-000005850000}"/>
    <cellStyle name="Input 5 2 3 5 2 7" xfId="34263" xr:uid="{00000000-0005-0000-0000-000006850000}"/>
    <cellStyle name="Input 5 2 3 5 3" xfId="34264" xr:uid="{00000000-0005-0000-0000-000007850000}"/>
    <cellStyle name="Input 5 2 3 5 3 2" xfId="34265" xr:uid="{00000000-0005-0000-0000-000008850000}"/>
    <cellStyle name="Input 5 2 3 5 3 2 2" xfId="34266" xr:uid="{00000000-0005-0000-0000-000009850000}"/>
    <cellStyle name="Input 5 2 3 5 3 3" xfId="34267" xr:uid="{00000000-0005-0000-0000-00000A850000}"/>
    <cellStyle name="Input 5 2 3 5 3 3 2" xfId="34268" xr:uid="{00000000-0005-0000-0000-00000B850000}"/>
    <cellStyle name="Input 5 2 3 5 3 4" xfId="34269" xr:uid="{00000000-0005-0000-0000-00000C850000}"/>
    <cellStyle name="Input 5 2 3 5 3 5" xfId="34270" xr:uid="{00000000-0005-0000-0000-00000D850000}"/>
    <cellStyle name="Input 5 2 3 5 3 6" xfId="34271" xr:uid="{00000000-0005-0000-0000-00000E850000}"/>
    <cellStyle name="Input 5 2 3 5 4" xfId="34272" xr:uid="{00000000-0005-0000-0000-00000F850000}"/>
    <cellStyle name="Input 5 2 3 5 4 2" xfId="34273" xr:uid="{00000000-0005-0000-0000-000010850000}"/>
    <cellStyle name="Input 5 2 3 5 5" xfId="34274" xr:uid="{00000000-0005-0000-0000-000011850000}"/>
    <cellStyle name="Input 5 2 3 5 5 2" xfId="34275" xr:uid="{00000000-0005-0000-0000-000012850000}"/>
    <cellStyle name="Input 5 2 3 5 6" xfId="34276" xr:uid="{00000000-0005-0000-0000-000013850000}"/>
    <cellStyle name="Input 5 2 3 5 7" xfId="34277" xr:uid="{00000000-0005-0000-0000-000014850000}"/>
    <cellStyle name="Input 5 2 3 5 8" xfId="34278" xr:uid="{00000000-0005-0000-0000-000015850000}"/>
    <cellStyle name="Input 5 2 3 6" xfId="34279" xr:uid="{00000000-0005-0000-0000-000016850000}"/>
    <cellStyle name="Input 5 2 3 6 2" xfId="34280" xr:uid="{00000000-0005-0000-0000-000017850000}"/>
    <cellStyle name="Input 5 2 3 6 2 2" xfId="34281" xr:uid="{00000000-0005-0000-0000-000018850000}"/>
    <cellStyle name="Input 5 2 3 6 2 2 2" xfId="34282" xr:uid="{00000000-0005-0000-0000-000019850000}"/>
    <cellStyle name="Input 5 2 3 6 2 3" xfId="34283" xr:uid="{00000000-0005-0000-0000-00001A850000}"/>
    <cellStyle name="Input 5 2 3 6 2 3 2" xfId="34284" xr:uid="{00000000-0005-0000-0000-00001B850000}"/>
    <cellStyle name="Input 5 2 3 6 2 4" xfId="34285" xr:uid="{00000000-0005-0000-0000-00001C850000}"/>
    <cellStyle name="Input 5 2 3 6 2 5" xfId="34286" xr:uid="{00000000-0005-0000-0000-00001D850000}"/>
    <cellStyle name="Input 5 2 3 6 2 6" xfId="34287" xr:uid="{00000000-0005-0000-0000-00001E850000}"/>
    <cellStyle name="Input 5 2 3 6 3" xfId="34288" xr:uid="{00000000-0005-0000-0000-00001F850000}"/>
    <cellStyle name="Input 5 2 3 6 3 2" xfId="34289" xr:uid="{00000000-0005-0000-0000-000020850000}"/>
    <cellStyle name="Input 5 2 3 6 4" xfId="34290" xr:uid="{00000000-0005-0000-0000-000021850000}"/>
    <cellStyle name="Input 5 2 3 6 4 2" xfId="34291" xr:uid="{00000000-0005-0000-0000-000022850000}"/>
    <cellStyle name="Input 5 2 3 6 5" xfId="34292" xr:uid="{00000000-0005-0000-0000-000023850000}"/>
    <cellStyle name="Input 5 2 3 6 6" xfId="34293" xr:uid="{00000000-0005-0000-0000-000024850000}"/>
    <cellStyle name="Input 5 2 3 6 7" xfId="34294" xr:uid="{00000000-0005-0000-0000-000025850000}"/>
    <cellStyle name="Input 5 2 3 7" xfId="34295" xr:uid="{00000000-0005-0000-0000-000026850000}"/>
    <cellStyle name="Input 5 2 3 7 2" xfId="34296" xr:uid="{00000000-0005-0000-0000-000027850000}"/>
    <cellStyle name="Input 5 2 3 7 2 2" xfId="34297" xr:uid="{00000000-0005-0000-0000-000028850000}"/>
    <cellStyle name="Input 5 2 3 7 3" xfId="34298" xr:uid="{00000000-0005-0000-0000-000029850000}"/>
    <cellStyle name="Input 5 2 3 7 3 2" xfId="34299" xr:uid="{00000000-0005-0000-0000-00002A850000}"/>
    <cellStyle name="Input 5 2 3 7 4" xfId="34300" xr:uid="{00000000-0005-0000-0000-00002B850000}"/>
    <cellStyle name="Input 5 2 3 7 5" xfId="34301" xr:uid="{00000000-0005-0000-0000-00002C850000}"/>
    <cellStyle name="Input 5 2 3 7 6" xfId="34302" xr:uid="{00000000-0005-0000-0000-00002D850000}"/>
    <cellStyle name="Input 5 2 3 8" xfId="34303" xr:uid="{00000000-0005-0000-0000-00002E850000}"/>
    <cellStyle name="Input 5 2 3 8 2" xfId="34304" xr:uid="{00000000-0005-0000-0000-00002F850000}"/>
    <cellStyle name="Input 5 2 3 9" xfId="34305" xr:uid="{00000000-0005-0000-0000-000030850000}"/>
    <cellStyle name="Input 5 2 3 9 2" xfId="34306" xr:uid="{00000000-0005-0000-0000-000031850000}"/>
    <cellStyle name="Input 5 2 4" xfId="34307" xr:uid="{00000000-0005-0000-0000-000032850000}"/>
    <cellStyle name="Input 5 2 4 10" xfId="34308" xr:uid="{00000000-0005-0000-0000-000033850000}"/>
    <cellStyle name="Input 5 2 4 11" xfId="34309" xr:uid="{00000000-0005-0000-0000-000034850000}"/>
    <cellStyle name="Input 5 2 4 2" xfId="34310" xr:uid="{00000000-0005-0000-0000-000035850000}"/>
    <cellStyle name="Input 5 2 4 2 10" xfId="34311" xr:uid="{00000000-0005-0000-0000-000036850000}"/>
    <cellStyle name="Input 5 2 4 2 2" xfId="34312" xr:uid="{00000000-0005-0000-0000-000037850000}"/>
    <cellStyle name="Input 5 2 4 2 2 10" xfId="34313" xr:uid="{00000000-0005-0000-0000-000038850000}"/>
    <cellStyle name="Input 5 2 4 2 2 2" xfId="34314" xr:uid="{00000000-0005-0000-0000-000039850000}"/>
    <cellStyle name="Input 5 2 4 2 2 2 2" xfId="34315" xr:uid="{00000000-0005-0000-0000-00003A850000}"/>
    <cellStyle name="Input 5 2 4 2 2 2 2 2" xfId="34316" xr:uid="{00000000-0005-0000-0000-00003B850000}"/>
    <cellStyle name="Input 5 2 4 2 2 2 2 2 2" xfId="34317" xr:uid="{00000000-0005-0000-0000-00003C850000}"/>
    <cellStyle name="Input 5 2 4 2 2 2 2 2 2 2" xfId="34318" xr:uid="{00000000-0005-0000-0000-00003D850000}"/>
    <cellStyle name="Input 5 2 4 2 2 2 2 2 3" xfId="34319" xr:uid="{00000000-0005-0000-0000-00003E850000}"/>
    <cellStyle name="Input 5 2 4 2 2 2 2 2 3 2" xfId="34320" xr:uid="{00000000-0005-0000-0000-00003F850000}"/>
    <cellStyle name="Input 5 2 4 2 2 2 2 2 4" xfId="34321" xr:uid="{00000000-0005-0000-0000-000040850000}"/>
    <cellStyle name="Input 5 2 4 2 2 2 2 2 5" xfId="34322" xr:uid="{00000000-0005-0000-0000-000041850000}"/>
    <cellStyle name="Input 5 2 4 2 2 2 2 2 6" xfId="34323" xr:uid="{00000000-0005-0000-0000-000042850000}"/>
    <cellStyle name="Input 5 2 4 2 2 2 2 3" xfId="34324" xr:uid="{00000000-0005-0000-0000-000043850000}"/>
    <cellStyle name="Input 5 2 4 2 2 2 2 3 2" xfId="34325" xr:uid="{00000000-0005-0000-0000-000044850000}"/>
    <cellStyle name="Input 5 2 4 2 2 2 2 4" xfId="34326" xr:uid="{00000000-0005-0000-0000-000045850000}"/>
    <cellStyle name="Input 5 2 4 2 2 2 2 4 2" xfId="34327" xr:uid="{00000000-0005-0000-0000-000046850000}"/>
    <cellStyle name="Input 5 2 4 2 2 2 2 5" xfId="34328" xr:uid="{00000000-0005-0000-0000-000047850000}"/>
    <cellStyle name="Input 5 2 4 2 2 2 2 6" xfId="34329" xr:uid="{00000000-0005-0000-0000-000048850000}"/>
    <cellStyle name="Input 5 2 4 2 2 2 2 7" xfId="34330" xr:uid="{00000000-0005-0000-0000-000049850000}"/>
    <cellStyle name="Input 5 2 4 2 2 2 3" xfId="34331" xr:uid="{00000000-0005-0000-0000-00004A850000}"/>
    <cellStyle name="Input 5 2 4 2 2 2 3 2" xfId="34332" xr:uid="{00000000-0005-0000-0000-00004B850000}"/>
    <cellStyle name="Input 5 2 4 2 2 2 3 2 2" xfId="34333" xr:uid="{00000000-0005-0000-0000-00004C850000}"/>
    <cellStyle name="Input 5 2 4 2 2 2 3 3" xfId="34334" xr:uid="{00000000-0005-0000-0000-00004D850000}"/>
    <cellStyle name="Input 5 2 4 2 2 2 3 3 2" xfId="34335" xr:uid="{00000000-0005-0000-0000-00004E850000}"/>
    <cellStyle name="Input 5 2 4 2 2 2 3 4" xfId="34336" xr:uid="{00000000-0005-0000-0000-00004F850000}"/>
    <cellStyle name="Input 5 2 4 2 2 2 3 5" xfId="34337" xr:uid="{00000000-0005-0000-0000-000050850000}"/>
    <cellStyle name="Input 5 2 4 2 2 2 3 6" xfId="34338" xr:uid="{00000000-0005-0000-0000-000051850000}"/>
    <cellStyle name="Input 5 2 4 2 2 2 4" xfId="34339" xr:uid="{00000000-0005-0000-0000-000052850000}"/>
    <cellStyle name="Input 5 2 4 2 2 2 4 2" xfId="34340" xr:uid="{00000000-0005-0000-0000-000053850000}"/>
    <cellStyle name="Input 5 2 4 2 2 2 5" xfId="34341" xr:uid="{00000000-0005-0000-0000-000054850000}"/>
    <cellStyle name="Input 5 2 4 2 2 2 5 2" xfId="34342" xr:uid="{00000000-0005-0000-0000-000055850000}"/>
    <cellStyle name="Input 5 2 4 2 2 2 6" xfId="34343" xr:uid="{00000000-0005-0000-0000-000056850000}"/>
    <cellStyle name="Input 5 2 4 2 2 2 7" xfId="34344" xr:uid="{00000000-0005-0000-0000-000057850000}"/>
    <cellStyle name="Input 5 2 4 2 2 2 8" xfId="34345" xr:uid="{00000000-0005-0000-0000-000058850000}"/>
    <cellStyle name="Input 5 2 4 2 2 3" xfId="34346" xr:uid="{00000000-0005-0000-0000-000059850000}"/>
    <cellStyle name="Input 5 2 4 2 2 3 2" xfId="34347" xr:uid="{00000000-0005-0000-0000-00005A850000}"/>
    <cellStyle name="Input 5 2 4 2 2 3 2 2" xfId="34348" xr:uid="{00000000-0005-0000-0000-00005B850000}"/>
    <cellStyle name="Input 5 2 4 2 2 3 2 2 2" xfId="34349" xr:uid="{00000000-0005-0000-0000-00005C850000}"/>
    <cellStyle name="Input 5 2 4 2 2 3 2 2 2 2" xfId="34350" xr:uid="{00000000-0005-0000-0000-00005D850000}"/>
    <cellStyle name="Input 5 2 4 2 2 3 2 2 3" xfId="34351" xr:uid="{00000000-0005-0000-0000-00005E850000}"/>
    <cellStyle name="Input 5 2 4 2 2 3 2 2 3 2" xfId="34352" xr:uid="{00000000-0005-0000-0000-00005F850000}"/>
    <cellStyle name="Input 5 2 4 2 2 3 2 2 4" xfId="34353" xr:uid="{00000000-0005-0000-0000-000060850000}"/>
    <cellStyle name="Input 5 2 4 2 2 3 2 2 5" xfId="34354" xr:uid="{00000000-0005-0000-0000-000061850000}"/>
    <cellStyle name="Input 5 2 4 2 2 3 2 2 6" xfId="34355" xr:uid="{00000000-0005-0000-0000-000062850000}"/>
    <cellStyle name="Input 5 2 4 2 2 3 2 3" xfId="34356" xr:uid="{00000000-0005-0000-0000-000063850000}"/>
    <cellStyle name="Input 5 2 4 2 2 3 2 3 2" xfId="34357" xr:uid="{00000000-0005-0000-0000-000064850000}"/>
    <cellStyle name="Input 5 2 4 2 2 3 2 4" xfId="34358" xr:uid="{00000000-0005-0000-0000-000065850000}"/>
    <cellStyle name="Input 5 2 4 2 2 3 2 4 2" xfId="34359" xr:uid="{00000000-0005-0000-0000-000066850000}"/>
    <cellStyle name="Input 5 2 4 2 2 3 2 5" xfId="34360" xr:uid="{00000000-0005-0000-0000-000067850000}"/>
    <cellStyle name="Input 5 2 4 2 2 3 2 6" xfId="34361" xr:uid="{00000000-0005-0000-0000-000068850000}"/>
    <cellStyle name="Input 5 2 4 2 2 3 2 7" xfId="34362" xr:uid="{00000000-0005-0000-0000-000069850000}"/>
    <cellStyle name="Input 5 2 4 2 2 3 3" xfId="34363" xr:uid="{00000000-0005-0000-0000-00006A850000}"/>
    <cellStyle name="Input 5 2 4 2 2 3 3 2" xfId="34364" xr:uid="{00000000-0005-0000-0000-00006B850000}"/>
    <cellStyle name="Input 5 2 4 2 2 3 3 2 2" xfId="34365" xr:uid="{00000000-0005-0000-0000-00006C850000}"/>
    <cellStyle name="Input 5 2 4 2 2 3 3 3" xfId="34366" xr:uid="{00000000-0005-0000-0000-00006D850000}"/>
    <cellStyle name="Input 5 2 4 2 2 3 3 3 2" xfId="34367" xr:uid="{00000000-0005-0000-0000-00006E850000}"/>
    <cellStyle name="Input 5 2 4 2 2 3 3 4" xfId="34368" xr:uid="{00000000-0005-0000-0000-00006F850000}"/>
    <cellStyle name="Input 5 2 4 2 2 3 3 5" xfId="34369" xr:uid="{00000000-0005-0000-0000-000070850000}"/>
    <cellStyle name="Input 5 2 4 2 2 3 3 6" xfId="34370" xr:uid="{00000000-0005-0000-0000-000071850000}"/>
    <cellStyle name="Input 5 2 4 2 2 3 4" xfId="34371" xr:uid="{00000000-0005-0000-0000-000072850000}"/>
    <cellStyle name="Input 5 2 4 2 2 3 4 2" xfId="34372" xr:uid="{00000000-0005-0000-0000-000073850000}"/>
    <cellStyle name="Input 5 2 4 2 2 3 5" xfId="34373" xr:uid="{00000000-0005-0000-0000-000074850000}"/>
    <cellStyle name="Input 5 2 4 2 2 3 5 2" xfId="34374" xr:uid="{00000000-0005-0000-0000-000075850000}"/>
    <cellStyle name="Input 5 2 4 2 2 3 6" xfId="34375" xr:uid="{00000000-0005-0000-0000-000076850000}"/>
    <cellStyle name="Input 5 2 4 2 2 3 7" xfId="34376" xr:uid="{00000000-0005-0000-0000-000077850000}"/>
    <cellStyle name="Input 5 2 4 2 2 3 8" xfId="34377" xr:uid="{00000000-0005-0000-0000-000078850000}"/>
    <cellStyle name="Input 5 2 4 2 2 4" xfId="34378" xr:uid="{00000000-0005-0000-0000-000079850000}"/>
    <cellStyle name="Input 5 2 4 2 2 4 2" xfId="34379" xr:uid="{00000000-0005-0000-0000-00007A850000}"/>
    <cellStyle name="Input 5 2 4 2 2 4 2 2" xfId="34380" xr:uid="{00000000-0005-0000-0000-00007B850000}"/>
    <cellStyle name="Input 5 2 4 2 2 4 2 2 2" xfId="34381" xr:uid="{00000000-0005-0000-0000-00007C850000}"/>
    <cellStyle name="Input 5 2 4 2 2 4 2 3" xfId="34382" xr:uid="{00000000-0005-0000-0000-00007D850000}"/>
    <cellStyle name="Input 5 2 4 2 2 4 2 3 2" xfId="34383" xr:uid="{00000000-0005-0000-0000-00007E850000}"/>
    <cellStyle name="Input 5 2 4 2 2 4 2 4" xfId="34384" xr:uid="{00000000-0005-0000-0000-00007F850000}"/>
    <cellStyle name="Input 5 2 4 2 2 4 2 5" xfId="34385" xr:uid="{00000000-0005-0000-0000-000080850000}"/>
    <cellStyle name="Input 5 2 4 2 2 4 2 6" xfId="34386" xr:uid="{00000000-0005-0000-0000-000081850000}"/>
    <cellStyle name="Input 5 2 4 2 2 4 3" xfId="34387" xr:uid="{00000000-0005-0000-0000-000082850000}"/>
    <cellStyle name="Input 5 2 4 2 2 4 3 2" xfId="34388" xr:uid="{00000000-0005-0000-0000-000083850000}"/>
    <cellStyle name="Input 5 2 4 2 2 4 4" xfId="34389" xr:uid="{00000000-0005-0000-0000-000084850000}"/>
    <cellStyle name="Input 5 2 4 2 2 4 4 2" xfId="34390" xr:uid="{00000000-0005-0000-0000-000085850000}"/>
    <cellStyle name="Input 5 2 4 2 2 4 5" xfId="34391" xr:uid="{00000000-0005-0000-0000-000086850000}"/>
    <cellStyle name="Input 5 2 4 2 2 4 6" xfId="34392" xr:uid="{00000000-0005-0000-0000-000087850000}"/>
    <cellStyle name="Input 5 2 4 2 2 4 7" xfId="34393" xr:uid="{00000000-0005-0000-0000-000088850000}"/>
    <cellStyle name="Input 5 2 4 2 2 5" xfId="34394" xr:uid="{00000000-0005-0000-0000-000089850000}"/>
    <cellStyle name="Input 5 2 4 2 2 5 2" xfId="34395" xr:uid="{00000000-0005-0000-0000-00008A850000}"/>
    <cellStyle name="Input 5 2 4 2 2 5 2 2" xfId="34396" xr:uid="{00000000-0005-0000-0000-00008B850000}"/>
    <cellStyle name="Input 5 2 4 2 2 5 3" xfId="34397" xr:uid="{00000000-0005-0000-0000-00008C850000}"/>
    <cellStyle name="Input 5 2 4 2 2 5 3 2" xfId="34398" xr:uid="{00000000-0005-0000-0000-00008D850000}"/>
    <cellStyle name="Input 5 2 4 2 2 5 4" xfId="34399" xr:uid="{00000000-0005-0000-0000-00008E850000}"/>
    <cellStyle name="Input 5 2 4 2 2 5 5" xfId="34400" xr:uid="{00000000-0005-0000-0000-00008F850000}"/>
    <cellStyle name="Input 5 2 4 2 2 5 6" xfId="34401" xr:uid="{00000000-0005-0000-0000-000090850000}"/>
    <cellStyle name="Input 5 2 4 2 2 6" xfId="34402" xr:uid="{00000000-0005-0000-0000-000091850000}"/>
    <cellStyle name="Input 5 2 4 2 2 6 2" xfId="34403" xr:uid="{00000000-0005-0000-0000-000092850000}"/>
    <cellStyle name="Input 5 2 4 2 2 7" xfId="34404" xr:uid="{00000000-0005-0000-0000-000093850000}"/>
    <cellStyle name="Input 5 2 4 2 2 7 2" xfId="34405" xr:uid="{00000000-0005-0000-0000-000094850000}"/>
    <cellStyle name="Input 5 2 4 2 2 8" xfId="34406" xr:uid="{00000000-0005-0000-0000-000095850000}"/>
    <cellStyle name="Input 5 2 4 2 2 9" xfId="34407" xr:uid="{00000000-0005-0000-0000-000096850000}"/>
    <cellStyle name="Input 5 2 4 2 3" xfId="34408" xr:uid="{00000000-0005-0000-0000-000097850000}"/>
    <cellStyle name="Input 5 2 4 2 3 2" xfId="34409" xr:uid="{00000000-0005-0000-0000-000098850000}"/>
    <cellStyle name="Input 5 2 4 2 3 2 2" xfId="34410" xr:uid="{00000000-0005-0000-0000-000099850000}"/>
    <cellStyle name="Input 5 2 4 2 3 2 2 2" xfId="34411" xr:uid="{00000000-0005-0000-0000-00009A850000}"/>
    <cellStyle name="Input 5 2 4 2 3 2 2 2 2" xfId="34412" xr:uid="{00000000-0005-0000-0000-00009B850000}"/>
    <cellStyle name="Input 5 2 4 2 3 2 2 3" xfId="34413" xr:uid="{00000000-0005-0000-0000-00009C850000}"/>
    <cellStyle name="Input 5 2 4 2 3 2 2 3 2" xfId="34414" xr:uid="{00000000-0005-0000-0000-00009D850000}"/>
    <cellStyle name="Input 5 2 4 2 3 2 2 4" xfId="34415" xr:uid="{00000000-0005-0000-0000-00009E850000}"/>
    <cellStyle name="Input 5 2 4 2 3 2 2 5" xfId="34416" xr:uid="{00000000-0005-0000-0000-00009F850000}"/>
    <cellStyle name="Input 5 2 4 2 3 2 2 6" xfId="34417" xr:uid="{00000000-0005-0000-0000-0000A0850000}"/>
    <cellStyle name="Input 5 2 4 2 3 2 3" xfId="34418" xr:uid="{00000000-0005-0000-0000-0000A1850000}"/>
    <cellStyle name="Input 5 2 4 2 3 2 3 2" xfId="34419" xr:uid="{00000000-0005-0000-0000-0000A2850000}"/>
    <cellStyle name="Input 5 2 4 2 3 2 4" xfId="34420" xr:uid="{00000000-0005-0000-0000-0000A3850000}"/>
    <cellStyle name="Input 5 2 4 2 3 2 4 2" xfId="34421" xr:uid="{00000000-0005-0000-0000-0000A4850000}"/>
    <cellStyle name="Input 5 2 4 2 3 2 5" xfId="34422" xr:uid="{00000000-0005-0000-0000-0000A5850000}"/>
    <cellStyle name="Input 5 2 4 2 3 2 6" xfId="34423" xr:uid="{00000000-0005-0000-0000-0000A6850000}"/>
    <cellStyle name="Input 5 2 4 2 3 2 7" xfId="34424" xr:uid="{00000000-0005-0000-0000-0000A7850000}"/>
    <cellStyle name="Input 5 2 4 2 3 3" xfId="34425" xr:uid="{00000000-0005-0000-0000-0000A8850000}"/>
    <cellStyle name="Input 5 2 4 2 3 3 2" xfId="34426" xr:uid="{00000000-0005-0000-0000-0000A9850000}"/>
    <cellStyle name="Input 5 2 4 2 3 3 2 2" xfId="34427" xr:uid="{00000000-0005-0000-0000-0000AA850000}"/>
    <cellStyle name="Input 5 2 4 2 3 3 3" xfId="34428" xr:uid="{00000000-0005-0000-0000-0000AB850000}"/>
    <cellStyle name="Input 5 2 4 2 3 3 3 2" xfId="34429" xr:uid="{00000000-0005-0000-0000-0000AC850000}"/>
    <cellStyle name="Input 5 2 4 2 3 3 4" xfId="34430" xr:uid="{00000000-0005-0000-0000-0000AD850000}"/>
    <cellStyle name="Input 5 2 4 2 3 3 5" xfId="34431" xr:uid="{00000000-0005-0000-0000-0000AE850000}"/>
    <cellStyle name="Input 5 2 4 2 3 3 6" xfId="34432" xr:uid="{00000000-0005-0000-0000-0000AF850000}"/>
    <cellStyle name="Input 5 2 4 2 3 4" xfId="34433" xr:uid="{00000000-0005-0000-0000-0000B0850000}"/>
    <cellStyle name="Input 5 2 4 2 3 4 2" xfId="34434" xr:uid="{00000000-0005-0000-0000-0000B1850000}"/>
    <cellStyle name="Input 5 2 4 2 3 5" xfId="34435" xr:uid="{00000000-0005-0000-0000-0000B2850000}"/>
    <cellStyle name="Input 5 2 4 2 3 5 2" xfId="34436" xr:uid="{00000000-0005-0000-0000-0000B3850000}"/>
    <cellStyle name="Input 5 2 4 2 3 6" xfId="34437" xr:uid="{00000000-0005-0000-0000-0000B4850000}"/>
    <cellStyle name="Input 5 2 4 2 3 7" xfId="34438" xr:uid="{00000000-0005-0000-0000-0000B5850000}"/>
    <cellStyle name="Input 5 2 4 2 3 8" xfId="34439" xr:uid="{00000000-0005-0000-0000-0000B6850000}"/>
    <cellStyle name="Input 5 2 4 2 4" xfId="34440" xr:uid="{00000000-0005-0000-0000-0000B7850000}"/>
    <cellStyle name="Input 5 2 4 2 4 2" xfId="34441" xr:uid="{00000000-0005-0000-0000-0000B8850000}"/>
    <cellStyle name="Input 5 2 4 2 4 2 2" xfId="34442" xr:uid="{00000000-0005-0000-0000-0000B9850000}"/>
    <cellStyle name="Input 5 2 4 2 4 2 2 2" xfId="34443" xr:uid="{00000000-0005-0000-0000-0000BA850000}"/>
    <cellStyle name="Input 5 2 4 2 4 2 3" xfId="34444" xr:uid="{00000000-0005-0000-0000-0000BB850000}"/>
    <cellStyle name="Input 5 2 4 2 4 2 3 2" xfId="34445" xr:uid="{00000000-0005-0000-0000-0000BC850000}"/>
    <cellStyle name="Input 5 2 4 2 4 2 4" xfId="34446" xr:uid="{00000000-0005-0000-0000-0000BD850000}"/>
    <cellStyle name="Input 5 2 4 2 4 2 5" xfId="34447" xr:uid="{00000000-0005-0000-0000-0000BE850000}"/>
    <cellStyle name="Input 5 2 4 2 4 2 6" xfId="34448" xr:uid="{00000000-0005-0000-0000-0000BF850000}"/>
    <cellStyle name="Input 5 2 4 2 4 3" xfId="34449" xr:uid="{00000000-0005-0000-0000-0000C0850000}"/>
    <cellStyle name="Input 5 2 4 2 4 3 2" xfId="34450" xr:uid="{00000000-0005-0000-0000-0000C1850000}"/>
    <cellStyle name="Input 5 2 4 2 4 4" xfId="34451" xr:uid="{00000000-0005-0000-0000-0000C2850000}"/>
    <cellStyle name="Input 5 2 4 2 4 4 2" xfId="34452" xr:uid="{00000000-0005-0000-0000-0000C3850000}"/>
    <cellStyle name="Input 5 2 4 2 4 5" xfId="34453" xr:uid="{00000000-0005-0000-0000-0000C4850000}"/>
    <cellStyle name="Input 5 2 4 2 4 6" xfId="34454" xr:uid="{00000000-0005-0000-0000-0000C5850000}"/>
    <cellStyle name="Input 5 2 4 2 4 7" xfId="34455" xr:uid="{00000000-0005-0000-0000-0000C6850000}"/>
    <cellStyle name="Input 5 2 4 2 5" xfId="34456" xr:uid="{00000000-0005-0000-0000-0000C7850000}"/>
    <cellStyle name="Input 5 2 4 2 5 2" xfId="34457" xr:uid="{00000000-0005-0000-0000-0000C8850000}"/>
    <cellStyle name="Input 5 2 4 2 5 2 2" xfId="34458" xr:uid="{00000000-0005-0000-0000-0000C9850000}"/>
    <cellStyle name="Input 5 2 4 2 5 3" xfId="34459" xr:uid="{00000000-0005-0000-0000-0000CA850000}"/>
    <cellStyle name="Input 5 2 4 2 5 3 2" xfId="34460" xr:uid="{00000000-0005-0000-0000-0000CB850000}"/>
    <cellStyle name="Input 5 2 4 2 5 4" xfId="34461" xr:uid="{00000000-0005-0000-0000-0000CC850000}"/>
    <cellStyle name="Input 5 2 4 2 5 5" xfId="34462" xr:uid="{00000000-0005-0000-0000-0000CD850000}"/>
    <cellStyle name="Input 5 2 4 2 5 6" xfId="34463" xr:uid="{00000000-0005-0000-0000-0000CE850000}"/>
    <cellStyle name="Input 5 2 4 2 6" xfId="34464" xr:uid="{00000000-0005-0000-0000-0000CF850000}"/>
    <cellStyle name="Input 5 2 4 2 6 2" xfId="34465" xr:uid="{00000000-0005-0000-0000-0000D0850000}"/>
    <cellStyle name="Input 5 2 4 2 7" xfId="34466" xr:uid="{00000000-0005-0000-0000-0000D1850000}"/>
    <cellStyle name="Input 5 2 4 2 7 2" xfId="34467" xr:uid="{00000000-0005-0000-0000-0000D2850000}"/>
    <cellStyle name="Input 5 2 4 2 8" xfId="34468" xr:uid="{00000000-0005-0000-0000-0000D3850000}"/>
    <cellStyle name="Input 5 2 4 2 9" xfId="34469" xr:uid="{00000000-0005-0000-0000-0000D4850000}"/>
    <cellStyle name="Input 5 2 4 3" xfId="34470" xr:uid="{00000000-0005-0000-0000-0000D5850000}"/>
    <cellStyle name="Input 5 2 4 3 10" xfId="34471" xr:uid="{00000000-0005-0000-0000-0000D6850000}"/>
    <cellStyle name="Input 5 2 4 3 2" xfId="34472" xr:uid="{00000000-0005-0000-0000-0000D7850000}"/>
    <cellStyle name="Input 5 2 4 3 2 2" xfId="34473" xr:uid="{00000000-0005-0000-0000-0000D8850000}"/>
    <cellStyle name="Input 5 2 4 3 2 2 2" xfId="34474" xr:uid="{00000000-0005-0000-0000-0000D9850000}"/>
    <cellStyle name="Input 5 2 4 3 2 2 2 2" xfId="34475" xr:uid="{00000000-0005-0000-0000-0000DA850000}"/>
    <cellStyle name="Input 5 2 4 3 2 2 2 2 2" xfId="34476" xr:uid="{00000000-0005-0000-0000-0000DB850000}"/>
    <cellStyle name="Input 5 2 4 3 2 2 2 3" xfId="34477" xr:uid="{00000000-0005-0000-0000-0000DC850000}"/>
    <cellStyle name="Input 5 2 4 3 2 2 2 3 2" xfId="34478" xr:uid="{00000000-0005-0000-0000-0000DD850000}"/>
    <cellStyle name="Input 5 2 4 3 2 2 2 4" xfId="34479" xr:uid="{00000000-0005-0000-0000-0000DE850000}"/>
    <cellStyle name="Input 5 2 4 3 2 2 2 5" xfId="34480" xr:uid="{00000000-0005-0000-0000-0000DF850000}"/>
    <cellStyle name="Input 5 2 4 3 2 2 2 6" xfId="34481" xr:uid="{00000000-0005-0000-0000-0000E0850000}"/>
    <cellStyle name="Input 5 2 4 3 2 2 3" xfId="34482" xr:uid="{00000000-0005-0000-0000-0000E1850000}"/>
    <cellStyle name="Input 5 2 4 3 2 2 3 2" xfId="34483" xr:uid="{00000000-0005-0000-0000-0000E2850000}"/>
    <cellStyle name="Input 5 2 4 3 2 2 4" xfId="34484" xr:uid="{00000000-0005-0000-0000-0000E3850000}"/>
    <cellStyle name="Input 5 2 4 3 2 2 4 2" xfId="34485" xr:uid="{00000000-0005-0000-0000-0000E4850000}"/>
    <cellStyle name="Input 5 2 4 3 2 2 5" xfId="34486" xr:uid="{00000000-0005-0000-0000-0000E5850000}"/>
    <cellStyle name="Input 5 2 4 3 2 2 6" xfId="34487" xr:uid="{00000000-0005-0000-0000-0000E6850000}"/>
    <cellStyle name="Input 5 2 4 3 2 2 7" xfId="34488" xr:uid="{00000000-0005-0000-0000-0000E7850000}"/>
    <cellStyle name="Input 5 2 4 3 2 3" xfId="34489" xr:uid="{00000000-0005-0000-0000-0000E8850000}"/>
    <cellStyle name="Input 5 2 4 3 2 3 2" xfId="34490" xr:uid="{00000000-0005-0000-0000-0000E9850000}"/>
    <cellStyle name="Input 5 2 4 3 2 3 2 2" xfId="34491" xr:uid="{00000000-0005-0000-0000-0000EA850000}"/>
    <cellStyle name="Input 5 2 4 3 2 3 3" xfId="34492" xr:uid="{00000000-0005-0000-0000-0000EB850000}"/>
    <cellStyle name="Input 5 2 4 3 2 3 3 2" xfId="34493" xr:uid="{00000000-0005-0000-0000-0000EC850000}"/>
    <cellStyle name="Input 5 2 4 3 2 3 4" xfId="34494" xr:uid="{00000000-0005-0000-0000-0000ED850000}"/>
    <cellStyle name="Input 5 2 4 3 2 3 5" xfId="34495" xr:uid="{00000000-0005-0000-0000-0000EE850000}"/>
    <cellStyle name="Input 5 2 4 3 2 3 6" xfId="34496" xr:uid="{00000000-0005-0000-0000-0000EF850000}"/>
    <cellStyle name="Input 5 2 4 3 2 4" xfId="34497" xr:uid="{00000000-0005-0000-0000-0000F0850000}"/>
    <cellStyle name="Input 5 2 4 3 2 4 2" xfId="34498" xr:uid="{00000000-0005-0000-0000-0000F1850000}"/>
    <cellStyle name="Input 5 2 4 3 2 5" xfId="34499" xr:uid="{00000000-0005-0000-0000-0000F2850000}"/>
    <cellStyle name="Input 5 2 4 3 2 5 2" xfId="34500" xr:uid="{00000000-0005-0000-0000-0000F3850000}"/>
    <cellStyle name="Input 5 2 4 3 2 6" xfId="34501" xr:uid="{00000000-0005-0000-0000-0000F4850000}"/>
    <cellStyle name="Input 5 2 4 3 2 7" xfId="34502" xr:uid="{00000000-0005-0000-0000-0000F5850000}"/>
    <cellStyle name="Input 5 2 4 3 2 8" xfId="34503" xr:uid="{00000000-0005-0000-0000-0000F6850000}"/>
    <cellStyle name="Input 5 2 4 3 3" xfId="34504" xr:uid="{00000000-0005-0000-0000-0000F7850000}"/>
    <cellStyle name="Input 5 2 4 3 3 2" xfId="34505" xr:uid="{00000000-0005-0000-0000-0000F8850000}"/>
    <cellStyle name="Input 5 2 4 3 3 2 2" xfId="34506" xr:uid="{00000000-0005-0000-0000-0000F9850000}"/>
    <cellStyle name="Input 5 2 4 3 3 2 2 2" xfId="34507" xr:uid="{00000000-0005-0000-0000-0000FA850000}"/>
    <cellStyle name="Input 5 2 4 3 3 2 2 2 2" xfId="34508" xr:uid="{00000000-0005-0000-0000-0000FB850000}"/>
    <cellStyle name="Input 5 2 4 3 3 2 2 3" xfId="34509" xr:uid="{00000000-0005-0000-0000-0000FC850000}"/>
    <cellStyle name="Input 5 2 4 3 3 2 2 3 2" xfId="34510" xr:uid="{00000000-0005-0000-0000-0000FD850000}"/>
    <cellStyle name="Input 5 2 4 3 3 2 2 4" xfId="34511" xr:uid="{00000000-0005-0000-0000-0000FE850000}"/>
    <cellStyle name="Input 5 2 4 3 3 2 2 5" xfId="34512" xr:uid="{00000000-0005-0000-0000-0000FF850000}"/>
    <cellStyle name="Input 5 2 4 3 3 2 2 6" xfId="34513" xr:uid="{00000000-0005-0000-0000-000000860000}"/>
    <cellStyle name="Input 5 2 4 3 3 2 3" xfId="34514" xr:uid="{00000000-0005-0000-0000-000001860000}"/>
    <cellStyle name="Input 5 2 4 3 3 2 3 2" xfId="34515" xr:uid="{00000000-0005-0000-0000-000002860000}"/>
    <cellStyle name="Input 5 2 4 3 3 2 4" xfId="34516" xr:uid="{00000000-0005-0000-0000-000003860000}"/>
    <cellStyle name="Input 5 2 4 3 3 2 4 2" xfId="34517" xr:uid="{00000000-0005-0000-0000-000004860000}"/>
    <cellStyle name="Input 5 2 4 3 3 2 5" xfId="34518" xr:uid="{00000000-0005-0000-0000-000005860000}"/>
    <cellStyle name="Input 5 2 4 3 3 2 6" xfId="34519" xr:uid="{00000000-0005-0000-0000-000006860000}"/>
    <cellStyle name="Input 5 2 4 3 3 2 7" xfId="34520" xr:uid="{00000000-0005-0000-0000-000007860000}"/>
    <cellStyle name="Input 5 2 4 3 3 3" xfId="34521" xr:uid="{00000000-0005-0000-0000-000008860000}"/>
    <cellStyle name="Input 5 2 4 3 3 3 2" xfId="34522" xr:uid="{00000000-0005-0000-0000-000009860000}"/>
    <cellStyle name="Input 5 2 4 3 3 3 2 2" xfId="34523" xr:uid="{00000000-0005-0000-0000-00000A860000}"/>
    <cellStyle name="Input 5 2 4 3 3 3 3" xfId="34524" xr:uid="{00000000-0005-0000-0000-00000B860000}"/>
    <cellStyle name="Input 5 2 4 3 3 3 3 2" xfId="34525" xr:uid="{00000000-0005-0000-0000-00000C860000}"/>
    <cellStyle name="Input 5 2 4 3 3 3 4" xfId="34526" xr:uid="{00000000-0005-0000-0000-00000D860000}"/>
    <cellStyle name="Input 5 2 4 3 3 3 5" xfId="34527" xr:uid="{00000000-0005-0000-0000-00000E860000}"/>
    <cellStyle name="Input 5 2 4 3 3 3 6" xfId="34528" xr:uid="{00000000-0005-0000-0000-00000F860000}"/>
    <cellStyle name="Input 5 2 4 3 3 4" xfId="34529" xr:uid="{00000000-0005-0000-0000-000010860000}"/>
    <cellStyle name="Input 5 2 4 3 3 4 2" xfId="34530" xr:uid="{00000000-0005-0000-0000-000011860000}"/>
    <cellStyle name="Input 5 2 4 3 3 5" xfId="34531" xr:uid="{00000000-0005-0000-0000-000012860000}"/>
    <cellStyle name="Input 5 2 4 3 3 5 2" xfId="34532" xr:uid="{00000000-0005-0000-0000-000013860000}"/>
    <cellStyle name="Input 5 2 4 3 3 6" xfId="34533" xr:uid="{00000000-0005-0000-0000-000014860000}"/>
    <cellStyle name="Input 5 2 4 3 3 7" xfId="34534" xr:uid="{00000000-0005-0000-0000-000015860000}"/>
    <cellStyle name="Input 5 2 4 3 3 8" xfId="34535" xr:uid="{00000000-0005-0000-0000-000016860000}"/>
    <cellStyle name="Input 5 2 4 3 4" xfId="34536" xr:uid="{00000000-0005-0000-0000-000017860000}"/>
    <cellStyle name="Input 5 2 4 3 4 2" xfId="34537" xr:uid="{00000000-0005-0000-0000-000018860000}"/>
    <cellStyle name="Input 5 2 4 3 4 2 2" xfId="34538" xr:uid="{00000000-0005-0000-0000-000019860000}"/>
    <cellStyle name="Input 5 2 4 3 4 2 2 2" xfId="34539" xr:uid="{00000000-0005-0000-0000-00001A860000}"/>
    <cellStyle name="Input 5 2 4 3 4 2 3" xfId="34540" xr:uid="{00000000-0005-0000-0000-00001B860000}"/>
    <cellStyle name="Input 5 2 4 3 4 2 3 2" xfId="34541" xr:uid="{00000000-0005-0000-0000-00001C860000}"/>
    <cellStyle name="Input 5 2 4 3 4 2 4" xfId="34542" xr:uid="{00000000-0005-0000-0000-00001D860000}"/>
    <cellStyle name="Input 5 2 4 3 4 2 5" xfId="34543" xr:uid="{00000000-0005-0000-0000-00001E860000}"/>
    <cellStyle name="Input 5 2 4 3 4 2 6" xfId="34544" xr:uid="{00000000-0005-0000-0000-00001F860000}"/>
    <cellStyle name="Input 5 2 4 3 4 3" xfId="34545" xr:uid="{00000000-0005-0000-0000-000020860000}"/>
    <cellStyle name="Input 5 2 4 3 4 3 2" xfId="34546" xr:uid="{00000000-0005-0000-0000-000021860000}"/>
    <cellStyle name="Input 5 2 4 3 4 4" xfId="34547" xr:uid="{00000000-0005-0000-0000-000022860000}"/>
    <cellStyle name="Input 5 2 4 3 4 4 2" xfId="34548" xr:uid="{00000000-0005-0000-0000-000023860000}"/>
    <cellStyle name="Input 5 2 4 3 4 5" xfId="34549" xr:uid="{00000000-0005-0000-0000-000024860000}"/>
    <cellStyle name="Input 5 2 4 3 4 6" xfId="34550" xr:uid="{00000000-0005-0000-0000-000025860000}"/>
    <cellStyle name="Input 5 2 4 3 4 7" xfId="34551" xr:uid="{00000000-0005-0000-0000-000026860000}"/>
    <cellStyle name="Input 5 2 4 3 5" xfId="34552" xr:uid="{00000000-0005-0000-0000-000027860000}"/>
    <cellStyle name="Input 5 2 4 3 5 2" xfId="34553" xr:uid="{00000000-0005-0000-0000-000028860000}"/>
    <cellStyle name="Input 5 2 4 3 5 2 2" xfId="34554" xr:uid="{00000000-0005-0000-0000-000029860000}"/>
    <cellStyle name="Input 5 2 4 3 5 3" xfId="34555" xr:uid="{00000000-0005-0000-0000-00002A860000}"/>
    <cellStyle name="Input 5 2 4 3 5 3 2" xfId="34556" xr:uid="{00000000-0005-0000-0000-00002B860000}"/>
    <cellStyle name="Input 5 2 4 3 5 4" xfId="34557" xr:uid="{00000000-0005-0000-0000-00002C860000}"/>
    <cellStyle name="Input 5 2 4 3 5 5" xfId="34558" xr:uid="{00000000-0005-0000-0000-00002D860000}"/>
    <cellStyle name="Input 5 2 4 3 5 6" xfId="34559" xr:uid="{00000000-0005-0000-0000-00002E860000}"/>
    <cellStyle name="Input 5 2 4 3 6" xfId="34560" xr:uid="{00000000-0005-0000-0000-00002F860000}"/>
    <cellStyle name="Input 5 2 4 3 6 2" xfId="34561" xr:uid="{00000000-0005-0000-0000-000030860000}"/>
    <cellStyle name="Input 5 2 4 3 7" xfId="34562" xr:uid="{00000000-0005-0000-0000-000031860000}"/>
    <cellStyle name="Input 5 2 4 3 7 2" xfId="34563" xr:uid="{00000000-0005-0000-0000-000032860000}"/>
    <cellStyle name="Input 5 2 4 3 8" xfId="34564" xr:uid="{00000000-0005-0000-0000-000033860000}"/>
    <cellStyle name="Input 5 2 4 3 9" xfId="34565" xr:uid="{00000000-0005-0000-0000-000034860000}"/>
    <cellStyle name="Input 5 2 4 4" xfId="34566" xr:uid="{00000000-0005-0000-0000-000035860000}"/>
    <cellStyle name="Input 5 2 4 4 2" xfId="34567" xr:uid="{00000000-0005-0000-0000-000036860000}"/>
    <cellStyle name="Input 5 2 4 4 2 2" xfId="34568" xr:uid="{00000000-0005-0000-0000-000037860000}"/>
    <cellStyle name="Input 5 2 4 4 2 2 2" xfId="34569" xr:uid="{00000000-0005-0000-0000-000038860000}"/>
    <cellStyle name="Input 5 2 4 4 2 2 2 2" xfId="34570" xr:uid="{00000000-0005-0000-0000-000039860000}"/>
    <cellStyle name="Input 5 2 4 4 2 2 3" xfId="34571" xr:uid="{00000000-0005-0000-0000-00003A860000}"/>
    <cellStyle name="Input 5 2 4 4 2 2 3 2" xfId="34572" xr:uid="{00000000-0005-0000-0000-00003B860000}"/>
    <cellStyle name="Input 5 2 4 4 2 2 4" xfId="34573" xr:uid="{00000000-0005-0000-0000-00003C860000}"/>
    <cellStyle name="Input 5 2 4 4 2 2 5" xfId="34574" xr:uid="{00000000-0005-0000-0000-00003D860000}"/>
    <cellStyle name="Input 5 2 4 4 2 2 6" xfId="34575" xr:uid="{00000000-0005-0000-0000-00003E860000}"/>
    <cellStyle name="Input 5 2 4 4 2 3" xfId="34576" xr:uid="{00000000-0005-0000-0000-00003F860000}"/>
    <cellStyle name="Input 5 2 4 4 2 3 2" xfId="34577" xr:uid="{00000000-0005-0000-0000-000040860000}"/>
    <cellStyle name="Input 5 2 4 4 2 4" xfId="34578" xr:uid="{00000000-0005-0000-0000-000041860000}"/>
    <cellStyle name="Input 5 2 4 4 2 4 2" xfId="34579" xr:uid="{00000000-0005-0000-0000-000042860000}"/>
    <cellStyle name="Input 5 2 4 4 2 5" xfId="34580" xr:uid="{00000000-0005-0000-0000-000043860000}"/>
    <cellStyle name="Input 5 2 4 4 2 6" xfId="34581" xr:uid="{00000000-0005-0000-0000-000044860000}"/>
    <cellStyle name="Input 5 2 4 4 2 7" xfId="34582" xr:uid="{00000000-0005-0000-0000-000045860000}"/>
    <cellStyle name="Input 5 2 4 4 3" xfId="34583" xr:uid="{00000000-0005-0000-0000-000046860000}"/>
    <cellStyle name="Input 5 2 4 4 3 2" xfId="34584" xr:uid="{00000000-0005-0000-0000-000047860000}"/>
    <cellStyle name="Input 5 2 4 4 3 2 2" xfId="34585" xr:uid="{00000000-0005-0000-0000-000048860000}"/>
    <cellStyle name="Input 5 2 4 4 3 3" xfId="34586" xr:uid="{00000000-0005-0000-0000-000049860000}"/>
    <cellStyle name="Input 5 2 4 4 3 3 2" xfId="34587" xr:uid="{00000000-0005-0000-0000-00004A860000}"/>
    <cellStyle name="Input 5 2 4 4 3 4" xfId="34588" xr:uid="{00000000-0005-0000-0000-00004B860000}"/>
    <cellStyle name="Input 5 2 4 4 3 5" xfId="34589" xr:uid="{00000000-0005-0000-0000-00004C860000}"/>
    <cellStyle name="Input 5 2 4 4 3 6" xfId="34590" xr:uid="{00000000-0005-0000-0000-00004D860000}"/>
    <cellStyle name="Input 5 2 4 4 4" xfId="34591" xr:uid="{00000000-0005-0000-0000-00004E860000}"/>
    <cellStyle name="Input 5 2 4 4 4 2" xfId="34592" xr:uid="{00000000-0005-0000-0000-00004F860000}"/>
    <cellStyle name="Input 5 2 4 4 5" xfId="34593" xr:uid="{00000000-0005-0000-0000-000050860000}"/>
    <cellStyle name="Input 5 2 4 4 5 2" xfId="34594" xr:uid="{00000000-0005-0000-0000-000051860000}"/>
    <cellStyle name="Input 5 2 4 4 6" xfId="34595" xr:uid="{00000000-0005-0000-0000-000052860000}"/>
    <cellStyle name="Input 5 2 4 4 7" xfId="34596" xr:uid="{00000000-0005-0000-0000-000053860000}"/>
    <cellStyle name="Input 5 2 4 4 8" xfId="34597" xr:uid="{00000000-0005-0000-0000-000054860000}"/>
    <cellStyle name="Input 5 2 4 5" xfId="34598" xr:uid="{00000000-0005-0000-0000-000055860000}"/>
    <cellStyle name="Input 5 2 4 5 2" xfId="34599" xr:uid="{00000000-0005-0000-0000-000056860000}"/>
    <cellStyle name="Input 5 2 4 5 2 2" xfId="34600" xr:uid="{00000000-0005-0000-0000-000057860000}"/>
    <cellStyle name="Input 5 2 4 5 2 2 2" xfId="34601" xr:uid="{00000000-0005-0000-0000-000058860000}"/>
    <cellStyle name="Input 5 2 4 5 2 3" xfId="34602" xr:uid="{00000000-0005-0000-0000-000059860000}"/>
    <cellStyle name="Input 5 2 4 5 2 3 2" xfId="34603" xr:uid="{00000000-0005-0000-0000-00005A860000}"/>
    <cellStyle name="Input 5 2 4 5 2 4" xfId="34604" xr:uid="{00000000-0005-0000-0000-00005B860000}"/>
    <cellStyle name="Input 5 2 4 5 2 5" xfId="34605" xr:uid="{00000000-0005-0000-0000-00005C860000}"/>
    <cellStyle name="Input 5 2 4 5 2 6" xfId="34606" xr:uid="{00000000-0005-0000-0000-00005D860000}"/>
    <cellStyle name="Input 5 2 4 5 3" xfId="34607" xr:uid="{00000000-0005-0000-0000-00005E860000}"/>
    <cellStyle name="Input 5 2 4 5 3 2" xfId="34608" xr:uid="{00000000-0005-0000-0000-00005F860000}"/>
    <cellStyle name="Input 5 2 4 5 4" xfId="34609" xr:uid="{00000000-0005-0000-0000-000060860000}"/>
    <cellStyle name="Input 5 2 4 5 4 2" xfId="34610" xr:uid="{00000000-0005-0000-0000-000061860000}"/>
    <cellStyle name="Input 5 2 4 5 5" xfId="34611" xr:uid="{00000000-0005-0000-0000-000062860000}"/>
    <cellStyle name="Input 5 2 4 5 6" xfId="34612" xr:uid="{00000000-0005-0000-0000-000063860000}"/>
    <cellStyle name="Input 5 2 4 5 7" xfId="34613" xr:uid="{00000000-0005-0000-0000-000064860000}"/>
    <cellStyle name="Input 5 2 4 6" xfId="34614" xr:uid="{00000000-0005-0000-0000-000065860000}"/>
    <cellStyle name="Input 5 2 4 6 2" xfId="34615" xr:uid="{00000000-0005-0000-0000-000066860000}"/>
    <cellStyle name="Input 5 2 4 6 2 2" xfId="34616" xr:uid="{00000000-0005-0000-0000-000067860000}"/>
    <cellStyle name="Input 5 2 4 6 3" xfId="34617" xr:uid="{00000000-0005-0000-0000-000068860000}"/>
    <cellStyle name="Input 5 2 4 6 3 2" xfId="34618" xr:uid="{00000000-0005-0000-0000-000069860000}"/>
    <cellStyle name="Input 5 2 4 6 4" xfId="34619" xr:uid="{00000000-0005-0000-0000-00006A860000}"/>
    <cellStyle name="Input 5 2 4 6 5" xfId="34620" xr:uid="{00000000-0005-0000-0000-00006B860000}"/>
    <cellStyle name="Input 5 2 4 6 6" xfId="34621" xr:uid="{00000000-0005-0000-0000-00006C860000}"/>
    <cellStyle name="Input 5 2 4 7" xfId="34622" xr:uid="{00000000-0005-0000-0000-00006D860000}"/>
    <cellStyle name="Input 5 2 4 7 2" xfId="34623" xr:uid="{00000000-0005-0000-0000-00006E860000}"/>
    <cellStyle name="Input 5 2 4 8" xfId="34624" xr:uid="{00000000-0005-0000-0000-00006F860000}"/>
    <cellStyle name="Input 5 2 4 8 2" xfId="34625" xr:uid="{00000000-0005-0000-0000-000070860000}"/>
    <cellStyle name="Input 5 2 4 9" xfId="34626" xr:uid="{00000000-0005-0000-0000-000071860000}"/>
    <cellStyle name="Input 5 2 5" xfId="34627" xr:uid="{00000000-0005-0000-0000-000072860000}"/>
    <cellStyle name="Input 5 2 5 10" xfId="34628" xr:uid="{00000000-0005-0000-0000-000073860000}"/>
    <cellStyle name="Input 5 2 5 2" xfId="34629" xr:uid="{00000000-0005-0000-0000-000074860000}"/>
    <cellStyle name="Input 5 2 5 2 2" xfId="34630" xr:uid="{00000000-0005-0000-0000-000075860000}"/>
    <cellStyle name="Input 5 2 5 2 2 2" xfId="34631" xr:uid="{00000000-0005-0000-0000-000076860000}"/>
    <cellStyle name="Input 5 2 5 2 2 2 2" xfId="34632" xr:uid="{00000000-0005-0000-0000-000077860000}"/>
    <cellStyle name="Input 5 2 5 2 2 2 2 2" xfId="34633" xr:uid="{00000000-0005-0000-0000-000078860000}"/>
    <cellStyle name="Input 5 2 5 2 2 2 3" xfId="34634" xr:uid="{00000000-0005-0000-0000-000079860000}"/>
    <cellStyle name="Input 5 2 5 2 2 2 3 2" xfId="34635" xr:uid="{00000000-0005-0000-0000-00007A860000}"/>
    <cellStyle name="Input 5 2 5 2 2 2 4" xfId="34636" xr:uid="{00000000-0005-0000-0000-00007B860000}"/>
    <cellStyle name="Input 5 2 5 2 2 2 5" xfId="34637" xr:uid="{00000000-0005-0000-0000-00007C860000}"/>
    <cellStyle name="Input 5 2 5 2 2 2 6" xfId="34638" xr:uid="{00000000-0005-0000-0000-00007D860000}"/>
    <cellStyle name="Input 5 2 5 2 2 3" xfId="34639" xr:uid="{00000000-0005-0000-0000-00007E860000}"/>
    <cellStyle name="Input 5 2 5 2 2 3 2" xfId="34640" xr:uid="{00000000-0005-0000-0000-00007F860000}"/>
    <cellStyle name="Input 5 2 5 2 2 4" xfId="34641" xr:uid="{00000000-0005-0000-0000-000080860000}"/>
    <cellStyle name="Input 5 2 5 2 2 4 2" xfId="34642" xr:uid="{00000000-0005-0000-0000-000081860000}"/>
    <cellStyle name="Input 5 2 5 2 2 5" xfId="34643" xr:uid="{00000000-0005-0000-0000-000082860000}"/>
    <cellStyle name="Input 5 2 5 2 2 6" xfId="34644" xr:uid="{00000000-0005-0000-0000-000083860000}"/>
    <cellStyle name="Input 5 2 5 2 2 7" xfId="34645" xr:uid="{00000000-0005-0000-0000-000084860000}"/>
    <cellStyle name="Input 5 2 5 2 3" xfId="34646" xr:uid="{00000000-0005-0000-0000-000085860000}"/>
    <cellStyle name="Input 5 2 5 2 3 2" xfId="34647" xr:uid="{00000000-0005-0000-0000-000086860000}"/>
    <cellStyle name="Input 5 2 5 2 3 2 2" xfId="34648" xr:uid="{00000000-0005-0000-0000-000087860000}"/>
    <cellStyle name="Input 5 2 5 2 3 3" xfId="34649" xr:uid="{00000000-0005-0000-0000-000088860000}"/>
    <cellStyle name="Input 5 2 5 2 3 3 2" xfId="34650" xr:uid="{00000000-0005-0000-0000-000089860000}"/>
    <cellStyle name="Input 5 2 5 2 3 4" xfId="34651" xr:uid="{00000000-0005-0000-0000-00008A860000}"/>
    <cellStyle name="Input 5 2 5 2 3 5" xfId="34652" xr:uid="{00000000-0005-0000-0000-00008B860000}"/>
    <cellStyle name="Input 5 2 5 2 3 6" xfId="34653" xr:uid="{00000000-0005-0000-0000-00008C860000}"/>
    <cellStyle name="Input 5 2 5 2 4" xfId="34654" xr:uid="{00000000-0005-0000-0000-00008D860000}"/>
    <cellStyle name="Input 5 2 5 2 4 2" xfId="34655" xr:uid="{00000000-0005-0000-0000-00008E860000}"/>
    <cellStyle name="Input 5 2 5 2 5" xfId="34656" xr:uid="{00000000-0005-0000-0000-00008F860000}"/>
    <cellStyle name="Input 5 2 5 2 5 2" xfId="34657" xr:uid="{00000000-0005-0000-0000-000090860000}"/>
    <cellStyle name="Input 5 2 5 2 6" xfId="34658" xr:uid="{00000000-0005-0000-0000-000091860000}"/>
    <cellStyle name="Input 5 2 5 2 7" xfId="34659" xr:uid="{00000000-0005-0000-0000-000092860000}"/>
    <cellStyle name="Input 5 2 5 2 8" xfId="34660" xr:uid="{00000000-0005-0000-0000-000093860000}"/>
    <cellStyle name="Input 5 2 5 3" xfId="34661" xr:uid="{00000000-0005-0000-0000-000094860000}"/>
    <cellStyle name="Input 5 2 5 3 2" xfId="34662" xr:uid="{00000000-0005-0000-0000-000095860000}"/>
    <cellStyle name="Input 5 2 5 3 2 2" xfId="34663" xr:uid="{00000000-0005-0000-0000-000096860000}"/>
    <cellStyle name="Input 5 2 5 3 2 2 2" xfId="34664" xr:uid="{00000000-0005-0000-0000-000097860000}"/>
    <cellStyle name="Input 5 2 5 3 2 2 2 2" xfId="34665" xr:uid="{00000000-0005-0000-0000-000098860000}"/>
    <cellStyle name="Input 5 2 5 3 2 2 3" xfId="34666" xr:uid="{00000000-0005-0000-0000-000099860000}"/>
    <cellStyle name="Input 5 2 5 3 2 2 3 2" xfId="34667" xr:uid="{00000000-0005-0000-0000-00009A860000}"/>
    <cellStyle name="Input 5 2 5 3 2 2 4" xfId="34668" xr:uid="{00000000-0005-0000-0000-00009B860000}"/>
    <cellStyle name="Input 5 2 5 3 2 2 5" xfId="34669" xr:uid="{00000000-0005-0000-0000-00009C860000}"/>
    <cellStyle name="Input 5 2 5 3 2 2 6" xfId="34670" xr:uid="{00000000-0005-0000-0000-00009D860000}"/>
    <cellStyle name="Input 5 2 5 3 2 3" xfId="34671" xr:uid="{00000000-0005-0000-0000-00009E860000}"/>
    <cellStyle name="Input 5 2 5 3 2 3 2" xfId="34672" xr:uid="{00000000-0005-0000-0000-00009F860000}"/>
    <cellStyle name="Input 5 2 5 3 2 4" xfId="34673" xr:uid="{00000000-0005-0000-0000-0000A0860000}"/>
    <cellStyle name="Input 5 2 5 3 2 4 2" xfId="34674" xr:uid="{00000000-0005-0000-0000-0000A1860000}"/>
    <cellStyle name="Input 5 2 5 3 2 5" xfId="34675" xr:uid="{00000000-0005-0000-0000-0000A2860000}"/>
    <cellStyle name="Input 5 2 5 3 2 6" xfId="34676" xr:uid="{00000000-0005-0000-0000-0000A3860000}"/>
    <cellStyle name="Input 5 2 5 3 2 7" xfId="34677" xr:uid="{00000000-0005-0000-0000-0000A4860000}"/>
    <cellStyle name="Input 5 2 5 3 3" xfId="34678" xr:uid="{00000000-0005-0000-0000-0000A5860000}"/>
    <cellStyle name="Input 5 2 5 3 3 2" xfId="34679" xr:uid="{00000000-0005-0000-0000-0000A6860000}"/>
    <cellStyle name="Input 5 2 5 3 3 2 2" xfId="34680" xr:uid="{00000000-0005-0000-0000-0000A7860000}"/>
    <cellStyle name="Input 5 2 5 3 3 3" xfId="34681" xr:uid="{00000000-0005-0000-0000-0000A8860000}"/>
    <cellStyle name="Input 5 2 5 3 3 3 2" xfId="34682" xr:uid="{00000000-0005-0000-0000-0000A9860000}"/>
    <cellStyle name="Input 5 2 5 3 3 4" xfId="34683" xr:uid="{00000000-0005-0000-0000-0000AA860000}"/>
    <cellStyle name="Input 5 2 5 3 3 5" xfId="34684" xr:uid="{00000000-0005-0000-0000-0000AB860000}"/>
    <cellStyle name="Input 5 2 5 3 3 6" xfId="34685" xr:uid="{00000000-0005-0000-0000-0000AC860000}"/>
    <cellStyle name="Input 5 2 5 3 4" xfId="34686" xr:uid="{00000000-0005-0000-0000-0000AD860000}"/>
    <cellStyle name="Input 5 2 5 3 4 2" xfId="34687" xr:uid="{00000000-0005-0000-0000-0000AE860000}"/>
    <cellStyle name="Input 5 2 5 3 5" xfId="34688" xr:uid="{00000000-0005-0000-0000-0000AF860000}"/>
    <cellStyle name="Input 5 2 5 3 5 2" xfId="34689" xr:uid="{00000000-0005-0000-0000-0000B0860000}"/>
    <cellStyle name="Input 5 2 5 3 6" xfId="34690" xr:uid="{00000000-0005-0000-0000-0000B1860000}"/>
    <cellStyle name="Input 5 2 5 3 7" xfId="34691" xr:uid="{00000000-0005-0000-0000-0000B2860000}"/>
    <cellStyle name="Input 5 2 5 3 8" xfId="34692" xr:uid="{00000000-0005-0000-0000-0000B3860000}"/>
    <cellStyle name="Input 5 2 5 4" xfId="34693" xr:uid="{00000000-0005-0000-0000-0000B4860000}"/>
    <cellStyle name="Input 5 2 5 4 2" xfId="34694" xr:uid="{00000000-0005-0000-0000-0000B5860000}"/>
    <cellStyle name="Input 5 2 5 4 2 2" xfId="34695" xr:uid="{00000000-0005-0000-0000-0000B6860000}"/>
    <cellStyle name="Input 5 2 5 4 2 2 2" xfId="34696" xr:uid="{00000000-0005-0000-0000-0000B7860000}"/>
    <cellStyle name="Input 5 2 5 4 2 3" xfId="34697" xr:uid="{00000000-0005-0000-0000-0000B8860000}"/>
    <cellStyle name="Input 5 2 5 4 2 3 2" xfId="34698" xr:uid="{00000000-0005-0000-0000-0000B9860000}"/>
    <cellStyle name="Input 5 2 5 4 2 4" xfId="34699" xr:uid="{00000000-0005-0000-0000-0000BA860000}"/>
    <cellStyle name="Input 5 2 5 4 2 5" xfId="34700" xr:uid="{00000000-0005-0000-0000-0000BB860000}"/>
    <cellStyle name="Input 5 2 5 4 2 6" xfId="34701" xr:uid="{00000000-0005-0000-0000-0000BC860000}"/>
    <cellStyle name="Input 5 2 5 4 3" xfId="34702" xr:uid="{00000000-0005-0000-0000-0000BD860000}"/>
    <cellStyle name="Input 5 2 5 4 3 2" xfId="34703" xr:uid="{00000000-0005-0000-0000-0000BE860000}"/>
    <cellStyle name="Input 5 2 5 4 4" xfId="34704" xr:uid="{00000000-0005-0000-0000-0000BF860000}"/>
    <cellStyle name="Input 5 2 5 4 4 2" xfId="34705" xr:uid="{00000000-0005-0000-0000-0000C0860000}"/>
    <cellStyle name="Input 5 2 5 4 5" xfId="34706" xr:uid="{00000000-0005-0000-0000-0000C1860000}"/>
    <cellStyle name="Input 5 2 5 4 6" xfId="34707" xr:uid="{00000000-0005-0000-0000-0000C2860000}"/>
    <cellStyle name="Input 5 2 5 4 7" xfId="34708" xr:uid="{00000000-0005-0000-0000-0000C3860000}"/>
    <cellStyle name="Input 5 2 5 5" xfId="34709" xr:uid="{00000000-0005-0000-0000-0000C4860000}"/>
    <cellStyle name="Input 5 2 5 5 2" xfId="34710" xr:uid="{00000000-0005-0000-0000-0000C5860000}"/>
    <cellStyle name="Input 5 2 5 5 2 2" xfId="34711" xr:uid="{00000000-0005-0000-0000-0000C6860000}"/>
    <cellStyle name="Input 5 2 5 5 3" xfId="34712" xr:uid="{00000000-0005-0000-0000-0000C7860000}"/>
    <cellStyle name="Input 5 2 5 5 3 2" xfId="34713" xr:uid="{00000000-0005-0000-0000-0000C8860000}"/>
    <cellStyle name="Input 5 2 5 5 4" xfId="34714" xr:uid="{00000000-0005-0000-0000-0000C9860000}"/>
    <cellStyle name="Input 5 2 5 5 5" xfId="34715" xr:uid="{00000000-0005-0000-0000-0000CA860000}"/>
    <cellStyle name="Input 5 2 5 5 6" xfId="34716" xr:uid="{00000000-0005-0000-0000-0000CB860000}"/>
    <cellStyle name="Input 5 2 5 6" xfId="34717" xr:uid="{00000000-0005-0000-0000-0000CC860000}"/>
    <cellStyle name="Input 5 2 5 6 2" xfId="34718" xr:uid="{00000000-0005-0000-0000-0000CD860000}"/>
    <cellStyle name="Input 5 2 5 7" xfId="34719" xr:uid="{00000000-0005-0000-0000-0000CE860000}"/>
    <cellStyle name="Input 5 2 5 7 2" xfId="34720" xr:uid="{00000000-0005-0000-0000-0000CF860000}"/>
    <cellStyle name="Input 5 2 5 8" xfId="34721" xr:uid="{00000000-0005-0000-0000-0000D0860000}"/>
    <cellStyle name="Input 5 2 5 9" xfId="34722" xr:uid="{00000000-0005-0000-0000-0000D1860000}"/>
    <cellStyle name="Input 5 2 6" xfId="34723" xr:uid="{00000000-0005-0000-0000-0000D2860000}"/>
    <cellStyle name="Input 5 2 6 2" xfId="34724" xr:uid="{00000000-0005-0000-0000-0000D3860000}"/>
    <cellStyle name="Input 5 2 6 2 2" xfId="34725" xr:uid="{00000000-0005-0000-0000-0000D4860000}"/>
    <cellStyle name="Input 5 2 6 2 2 2" xfId="34726" xr:uid="{00000000-0005-0000-0000-0000D5860000}"/>
    <cellStyle name="Input 5 2 6 2 2 2 2" xfId="34727" xr:uid="{00000000-0005-0000-0000-0000D6860000}"/>
    <cellStyle name="Input 5 2 6 2 2 3" xfId="34728" xr:uid="{00000000-0005-0000-0000-0000D7860000}"/>
    <cellStyle name="Input 5 2 6 2 2 3 2" xfId="34729" xr:uid="{00000000-0005-0000-0000-0000D8860000}"/>
    <cellStyle name="Input 5 2 6 2 2 4" xfId="34730" xr:uid="{00000000-0005-0000-0000-0000D9860000}"/>
    <cellStyle name="Input 5 2 6 2 2 5" xfId="34731" xr:uid="{00000000-0005-0000-0000-0000DA860000}"/>
    <cellStyle name="Input 5 2 6 2 2 6" xfId="34732" xr:uid="{00000000-0005-0000-0000-0000DB860000}"/>
    <cellStyle name="Input 5 2 6 2 3" xfId="34733" xr:uid="{00000000-0005-0000-0000-0000DC860000}"/>
    <cellStyle name="Input 5 2 6 2 3 2" xfId="34734" xr:uid="{00000000-0005-0000-0000-0000DD860000}"/>
    <cellStyle name="Input 5 2 6 2 4" xfId="34735" xr:uid="{00000000-0005-0000-0000-0000DE860000}"/>
    <cellStyle name="Input 5 2 6 2 4 2" xfId="34736" xr:uid="{00000000-0005-0000-0000-0000DF860000}"/>
    <cellStyle name="Input 5 2 6 2 5" xfId="34737" xr:uid="{00000000-0005-0000-0000-0000E0860000}"/>
    <cellStyle name="Input 5 2 6 2 6" xfId="34738" xr:uid="{00000000-0005-0000-0000-0000E1860000}"/>
    <cellStyle name="Input 5 2 6 2 7" xfId="34739" xr:uid="{00000000-0005-0000-0000-0000E2860000}"/>
    <cellStyle name="Input 5 2 6 3" xfId="34740" xr:uid="{00000000-0005-0000-0000-0000E3860000}"/>
    <cellStyle name="Input 5 2 6 3 2" xfId="34741" xr:uid="{00000000-0005-0000-0000-0000E4860000}"/>
    <cellStyle name="Input 5 2 6 3 2 2" xfId="34742" xr:uid="{00000000-0005-0000-0000-0000E5860000}"/>
    <cellStyle name="Input 5 2 6 3 3" xfId="34743" xr:uid="{00000000-0005-0000-0000-0000E6860000}"/>
    <cellStyle name="Input 5 2 6 3 3 2" xfId="34744" xr:uid="{00000000-0005-0000-0000-0000E7860000}"/>
    <cellStyle name="Input 5 2 6 3 4" xfId="34745" xr:uid="{00000000-0005-0000-0000-0000E8860000}"/>
    <cellStyle name="Input 5 2 6 3 5" xfId="34746" xr:uid="{00000000-0005-0000-0000-0000E9860000}"/>
    <cellStyle name="Input 5 2 6 3 6" xfId="34747" xr:uid="{00000000-0005-0000-0000-0000EA860000}"/>
    <cellStyle name="Input 5 2 6 4" xfId="34748" xr:uid="{00000000-0005-0000-0000-0000EB860000}"/>
    <cellStyle name="Input 5 2 6 4 2" xfId="34749" xr:uid="{00000000-0005-0000-0000-0000EC860000}"/>
    <cellStyle name="Input 5 2 6 5" xfId="34750" xr:uid="{00000000-0005-0000-0000-0000ED860000}"/>
    <cellStyle name="Input 5 2 6 5 2" xfId="34751" xr:uid="{00000000-0005-0000-0000-0000EE860000}"/>
    <cellStyle name="Input 5 2 6 6" xfId="34752" xr:uid="{00000000-0005-0000-0000-0000EF860000}"/>
    <cellStyle name="Input 5 2 6 7" xfId="34753" xr:uid="{00000000-0005-0000-0000-0000F0860000}"/>
    <cellStyle name="Input 5 2 6 8" xfId="34754" xr:uid="{00000000-0005-0000-0000-0000F1860000}"/>
    <cellStyle name="Input 5 2 7" xfId="34755" xr:uid="{00000000-0005-0000-0000-0000F2860000}"/>
    <cellStyle name="Input 5 2 7 2" xfId="34756" xr:uid="{00000000-0005-0000-0000-0000F3860000}"/>
    <cellStyle name="Input 5 2 7 2 2" xfId="34757" xr:uid="{00000000-0005-0000-0000-0000F4860000}"/>
    <cellStyle name="Input 5 2 7 2 2 2" xfId="34758" xr:uid="{00000000-0005-0000-0000-0000F5860000}"/>
    <cellStyle name="Input 5 2 7 2 3" xfId="34759" xr:uid="{00000000-0005-0000-0000-0000F6860000}"/>
    <cellStyle name="Input 5 2 7 2 3 2" xfId="34760" xr:uid="{00000000-0005-0000-0000-0000F7860000}"/>
    <cellStyle name="Input 5 2 7 2 4" xfId="34761" xr:uid="{00000000-0005-0000-0000-0000F8860000}"/>
    <cellStyle name="Input 5 2 7 2 5" xfId="34762" xr:uid="{00000000-0005-0000-0000-0000F9860000}"/>
    <cellStyle name="Input 5 2 7 2 6" xfId="34763" xr:uid="{00000000-0005-0000-0000-0000FA860000}"/>
    <cellStyle name="Input 5 2 7 3" xfId="34764" xr:uid="{00000000-0005-0000-0000-0000FB860000}"/>
    <cellStyle name="Input 5 2 7 3 2" xfId="34765" xr:uid="{00000000-0005-0000-0000-0000FC860000}"/>
    <cellStyle name="Input 5 2 7 4" xfId="34766" xr:uid="{00000000-0005-0000-0000-0000FD860000}"/>
    <cellStyle name="Input 5 2 7 4 2" xfId="34767" xr:uid="{00000000-0005-0000-0000-0000FE860000}"/>
    <cellStyle name="Input 5 2 7 5" xfId="34768" xr:uid="{00000000-0005-0000-0000-0000FF860000}"/>
    <cellStyle name="Input 5 2 7 6" xfId="34769" xr:uid="{00000000-0005-0000-0000-000000870000}"/>
    <cellStyle name="Input 5 2 7 7" xfId="34770" xr:uid="{00000000-0005-0000-0000-000001870000}"/>
    <cellStyle name="Input 5 2 8" xfId="34771" xr:uid="{00000000-0005-0000-0000-000002870000}"/>
    <cellStyle name="Input 5 2 8 2" xfId="34772" xr:uid="{00000000-0005-0000-0000-000003870000}"/>
    <cellStyle name="Input 5 2 9" xfId="34773" xr:uid="{00000000-0005-0000-0000-000004870000}"/>
    <cellStyle name="Input 5 2 9 2" xfId="34774" xr:uid="{00000000-0005-0000-0000-000005870000}"/>
    <cellStyle name="Input 5 3" xfId="34775" xr:uid="{00000000-0005-0000-0000-000006870000}"/>
    <cellStyle name="Input 5 3 10" xfId="34776" xr:uid="{00000000-0005-0000-0000-000007870000}"/>
    <cellStyle name="Input 5 3 11" xfId="34777" xr:uid="{00000000-0005-0000-0000-000008870000}"/>
    <cellStyle name="Input 5 3 12" xfId="34778" xr:uid="{00000000-0005-0000-0000-000009870000}"/>
    <cellStyle name="Input 5 3 2" xfId="34779" xr:uid="{00000000-0005-0000-0000-00000A870000}"/>
    <cellStyle name="Input 5 3 2 10" xfId="34780" xr:uid="{00000000-0005-0000-0000-00000B870000}"/>
    <cellStyle name="Input 5 3 2 11" xfId="34781" xr:uid="{00000000-0005-0000-0000-00000C870000}"/>
    <cellStyle name="Input 5 3 2 2" xfId="34782" xr:uid="{00000000-0005-0000-0000-00000D870000}"/>
    <cellStyle name="Input 5 3 2 2 10" xfId="34783" xr:uid="{00000000-0005-0000-0000-00000E870000}"/>
    <cellStyle name="Input 5 3 2 2 2" xfId="34784" xr:uid="{00000000-0005-0000-0000-00000F870000}"/>
    <cellStyle name="Input 5 3 2 2 2 2" xfId="34785" xr:uid="{00000000-0005-0000-0000-000010870000}"/>
    <cellStyle name="Input 5 3 2 2 2 2 2" xfId="34786" xr:uid="{00000000-0005-0000-0000-000011870000}"/>
    <cellStyle name="Input 5 3 2 2 2 2 2 2" xfId="34787" xr:uid="{00000000-0005-0000-0000-000012870000}"/>
    <cellStyle name="Input 5 3 2 2 2 2 2 2 2" xfId="34788" xr:uid="{00000000-0005-0000-0000-000013870000}"/>
    <cellStyle name="Input 5 3 2 2 2 2 2 3" xfId="34789" xr:uid="{00000000-0005-0000-0000-000014870000}"/>
    <cellStyle name="Input 5 3 2 2 2 2 2 3 2" xfId="34790" xr:uid="{00000000-0005-0000-0000-000015870000}"/>
    <cellStyle name="Input 5 3 2 2 2 2 2 4" xfId="34791" xr:uid="{00000000-0005-0000-0000-000016870000}"/>
    <cellStyle name="Input 5 3 2 2 2 2 2 5" xfId="34792" xr:uid="{00000000-0005-0000-0000-000017870000}"/>
    <cellStyle name="Input 5 3 2 2 2 2 2 6" xfId="34793" xr:uid="{00000000-0005-0000-0000-000018870000}"/>
    <cellStyle name="Input 5 3 2 2 2 2 3" xfId="34794" xr:uid="{00000000-0005-0000-0000-000019870000}"/>
    <cellStyle name="Input 5 3 2 2 2 2 3 2" xfId="34795" xr:uid="{00000000-0005-0000-0000-00001A870000}"/>
    <cellStyle name="Input 5 3 2 2 2 2 4" xfId="34796" xr:uid="{00000000-0005-0000-0000-00001B870000}"/>
    <cellStyle name="Input 5 3 2 2 2 2 4 2" xfId="34797" xr:uid="{00000000-0005-0000-0000-00001C870000}"/>
    <cellStyle name="Input 5 3 2 2 2 2 5" xfId="34798" xr:uid="{00000000-0005-0000-0000-00001D870000}"/>
    <cellStyle name="Input 5 3 2 2 2 2 6" xfId="34799" xr:uid="{00000000-0005-0000-0000-00001E870000}"/>
    <cellStyle name="Input 5 3 2 2 2 2 7" xfId="34800" xr:uid="{00000000-0005-0000-0000-00001F870000}"/>
    <cellStyle name="Input 5 3 2 2 2 3" xfId="34801" xr:uid="{00000000-0005-0000-0000-000020870000}"/>
    <cellStyle name="Input 5 3 2 2 2 3 2" xfId="34802" xr:uid="{00000000-0005-0000-0000-000021870000}"/>
    <cellStyle name="Input 5 3 2 2 2 3 2 2" xfId="34803" xr:uid="{00000000-0005-0000-0000-000022870000}"/>
    <cellStyle name="Input 5 3 2 2 2 3 3" xfId="34804" xr:uid="{00000000-0005-0000-0000-000023870000}"/>
    <cellStyle name="Input 5 3 2 2 2 3 3 2" xfId="34805" xr:uid="{00000000-0005-0000-0000-000024870000}"/>
    <cellStyle name="Input 5 3 2 2 2 3 4" xfId="34806" xr:uid="{00000000-0005-0000-0000-000025870000}"/>
    <cellStyle name="Input 5 3 2 2 2 3 5" xfId="34807" xr:uid="{00000000-0005-0000-0000-000026870000}"/>
    <cellStyle name="Input 5 3 2 2 2 3 6" xfId="34808" xr:uid="{00000000-0005-0000-0000-000027870000}"/>
    <cellStyle name="Input 5 3 2 2 2 4" xfId="34809" xr:uid="{00000000-0005-0000-0000-000028870000}"/>
    <cellStyle name="Input 5 3 2 2 2 4 2" xfId="34810" xr:uid="{00000000-0005-0000-0000-000029870000}"/>
    <cellStyle name="Input 5 3 2 2 2 5" xfId="34811" xr:uid="{00000000-0005-0000-0000-00002A870000}"/>
    <cellStyle name="Input 5 3 2 2 2 5 2" xfId="34812" xr:uid="{00000000-0005-0000-0000-00002B870000}"/>
    <cellStyle name="Input 5 3 2 2 2 6" xfId="34813" xr:uid="{00000000-0005-0000-0000-00002C870000}"/>
    <cellStyle name="Input 5 3 2 2 2 7" xfId="34814" xr:uid="{00000000-0005-0000-0000-00002D870000}"/>
    <cellStyle name="Input 5 3 2 2 2 8" xfId="34815" xr:uid="{00000000-0005-0000-0000-00002E870000}"/>
    <cellStyle name="Input 5 3 2 2 3" xfId="34816" xr:uid="{00000000-0005-0000-0000-00002F870000}"/>
    <cellStyle name="Input 5 3 2 2 3 2" xfId="34817" xr:uid="{00000000-0005-0000-0000-000030870000}"/>
    <cellStyle name="Input 5 3 2 2 3 2 2" xfId="34818" xr:uid="{00000000-0005-0000-0000-000031870000}"/>
    <cellStyle name="Input 5 3 2 2 3 2 2 2" xfId="34819" xr:uid="{00000000-0005-0000-0000-000032870000}"/>
    <cellStyle name="Input 5 3 2 2 3 2 2 2 2" xfId="34820" xr:uid="{00000000-0005-0000-0000-000033870000}"/>
    <cellStyle name="Input 5 3 2 2 3 2 2 3" xfId="34821" xr:uid="{00000000-0005-0000-0000-000034870000}"/>
    <cellStyle name="Input 5 3 2 2 3 2 2 3 2" xfId="34822" xr:uid="{00000000-0005-0000-0000-000035870000}"/>
    <cellStyle name="Input 5 3 2 2 3 2 2 4" xfId="34823" xr:uid="{00000000-0005-0000-0000-000036870000}"/>
    <cellStyle name="Input 5 3 2 2 3 2 2 5" xfId="34824" xr:uid="{00000000-0005-0000-0000-000037870000}"/>
    <cellStyle name="Input 5 3 2 2 3 2 2 6" xfId="34825" xr:uid="{00000000-0005-0000-0000-000038870000}"/>
    <cellStyle name="Input 5 3 2 2 3 2 3" xfId="34826" xr:uid="{00000000-0005-0000-0000-000039870000}"/>
    <cellStyle name="Input 5 3 2 2 3 2 3 2" xfId="34827" xr:uid="{00000000-0005-0000-0000-00003A870000}"/>
    <cellStyle name="Input 5 3 2 2 3 2 4" xfId="34828" xr:uid="{00000000-0005-0000-0000-00003B870000}"/>
    <cellStyle name="Input 5 3 2 2 3 2 4 2" xfId="34829" xr:uid="{00000000-0005-0000-0000-00003C870000}"/>
    <cellStyle name="Input 5 3 2 2 3 2 5" xfId="34830" xr:uid="{00000000-0005-0000-0000-00003D870000}"/>
    <cellStyle name="Input 5 3 2 2 3 2 6" xfId="34831" xr:uid="{00000000-0005-0000-0000-00003E870000}"/>
    <cellStyle name="Input 5 3 2 2 3 2 7" xfId="34832" xr:uid="{00000000-0005-0000-0000-00003F870000}"/>
    <cellStyle name="Input 5 3 2 2 3 3" xfId="34833" xr:uid="{00000000-0005-0000-0000-000040870000}"/>
    <cellStyle name="Input 5 3 2 2 3 3 2" xfId="34834" xr:uid="{00000000-0005-0000-0000-000041870000}"/>
    <cellStyle name="Input 5 3 2 2 3 3 2 2" xfId="34835" xr:uid="{00000000-0005-0000-0000-000042870000}"/>
    <cellStyle name="Input 5 3 2 2 3 3 3" xfId="34836" xr:uid="{00000000-0005-0000-0000-000043870000}"/>
    <cellStyle name="Input 5 3 2 2 3 3 3 2" xfId="34837" xr:uid="{00000000-0005-0000-0000-000044870000}"/>
    <cellStyle name="Input 5 3 2 2 3 3 4" xfId="34838" xr:uid="{00000000-0005-0000-0000-000045870000}"/>
    <cellStyle name="Input 5 3 2 2 3 3 5" xfId="34839" xr:uid="{00000000-0005-0000-0000-000046870000}"/>
    <cellStyle name="Input 5 3 2 2 3 3 6" xfId="34840" xr:uid="{00000000-0005-0000-0000-000047870000}"/>
    <cellStyle name="Input 5 3 2 2 3 4" xfId="34841" xr:uid="{00000000-0005-0000-0000-000048870000}"/>
    <cellStyle name="Input 5 3 2 2 3 4 2" xfId="34842" xr:uid="{00000000-0005-0000-0000-000049870000}"/>
    <cellStyle name="Input 5 3 2 2 3 5" xfId="34843" xr:uid="{00000000-0005-0000-0000-00004A870000}"/>
    <cellStyle name="Input 5 3 2 2 3 5 2" xfId="34844" xr:uid="{00000000-0005-0000-0000-00004B870000}"/>
    <cellStyle name="Input 5 3 2 2 3 6" xfId="34845" xr:uid="{00000000-0005-0000-0000-00004C870000}"/>
    <cellStyle name="Input 5 3 2 2 3 7" xfId="34846" xr:uid="{00000000-0005-0000-0000-00004D870000}"/>
    <cellStyle name="Input 5 3 2 2 3 8" xfId="34847" xr:uid="{00000000-0005-0000-0000-00004E870000}"/>
    <cellStyle name="Input 5 3 2 2 4" xfId="34848" xr:uid="{00000000-0005-0000-0000-00004F870000}"/>
    <cellStyle name="Input 5 3 2 2 4 2" xfId="34849" xr:uid="{00000000-0005-0000-0000-000050870000}"/>
    <cellStyle name="Input 5 3 2 2 4 2 2" xfId="34850" xr:uid="{00000000-0005-0000-0000-000051870000}"/>
    <cellStyle name="Input 5 3 2 2 4 2 2 2" xfId="34851" xr:uid="{00000000-0005-0000-0000-000052870000}"/>
    <cellStyle name="Input 5 3 2 2 4 2 3" xfId="34852" xr:uid="{00000000-0005-0000-0000-000053870000}"/>
    <cellStyle name="Input 5 3 2 2 4 2 3 2" xfId="34853" xr:uid="{00000000-0005-0000-0000-000054870000}"/>
    <cellStyle name="Input 5 3 2 2 4 2 4" xfId="34854" xr:uid="{00000000-0005-0000-0000-000055870000}"/>
    <cellStyle name="Input 5 3 2 2 4 2 5" xfId="34855" xr:uid="{00000000-0005-0000-0000-000056870000}"/>
    <cellStyle name="Input 5 3 2 2 4 2 6" xfId="34856" xr:uid="{00000000-0005-0000-0000-000057870000}"/>
    <cellStyle name="Input 5 3 2 2 4 3" xfId="34857" xr:uid="{00000000-0005-0000-0000-000058870000}"/>
    <cellStyle name="Input 5 3 2 2 4 3 2" xfId="34858" xr:uid="{00000000-0005-0000-0000-000059870000}"/>
    <cellStyle name="Input 5 3 2 2 4 4" xfId="34859" xr:uid="{00000000-0005-0000-0000-00005A870000}"/>
    <cellStyle name="Input 5 3 2 2 4 4 2" xfId="34860" xr:uid="{00000000-0005-0000-0000-00005B870000}"/>
    <cellStyle name="Input 5 3 2 2 4 5" xfId="34861" xr:uid="{00000000-0005-0000-0000-00005C870000}"/>
    <cellStyle name="Input 5 3 2 2 4 6" xfId="34862" xr:uid="{00000000-0005-0000-0000-00005D870000}"/>
    <cellStyle name="Input 5 3 2 2 4 7" xfId="34863" xr:uid="{00000000-0005-0000-0000-00005E870000}"/>
    <cellStyle name="Input 5 3 2 2 5" xfId="34864" xr:uid="{00000000-0005-0000-0000-00005F870000}"/>
    <cellStyle name="Input 5 3 2 2 5 2" xfId="34865" xr:uid="{00000000-0005-0000-0000-000060870000}"/>
    <cellStyle name="Input 5 3 2 2 5 2 2" xfId="34866" xr:uid="{00000000-0005-0000-0000-000061870000}"/>
    <cellStyle name="Input 5 3 2 2 5 3" xfId="34867" xr:uid="{00000000-0005-0000-0000-000062870000}"/>
    <cellStyle name="Input 5 3 2 2 5 3 2" xfId="34868" xr:uid="{00000000-0005-0000-0000-000063870000}"/>
    <cellStyle name="Input 5 3 2 2 5 4" xfId="34869" xr:uid="{00000000-0005-0000-0000-000064870000}"/>
    <cellStyle name="Input 5 3 2 2 5 5" xfId="34870" xr:uid="{00000000-0005-0000-0000-000065870000}"/>
    <cellStyle name="Input 5 3 2 2 5 6" xfId="34871" xr:uid="{00000000-0005-0000-0000-000066870000}"/>
    <cellStyle name="Input 5 3 2 2 6" xfId="34872" xr:uid="{00000000-0005-0000-0000-000067870000}"/>
    <cellStyle name="Input 5 3 2 2 6 2" xfId="34873" xr:uid="{00000000-0005-0000-0000-000068870000}"/>
    <cellStyle name="Input 5 3 2 2 7" xfId="34874" xr:uid="{00000000-0005-0000-0000-000069870000}"/>
    <cellStyle name="Input 5 3 2 2 7 2" xfId="34875" xr:uid="{00000000-0005-0000-0000-00006A870000}"/>
    <cellStyle name="Input 5 3 2 2 8" xfId="34876" xr:uid="{00000000-0005-0000-0000-00006B870000}"/>
    <cellStyle name="Input 5 3 2 2 9" xfId="34877" xr:uid="{00000000-0005-0000-0000-00006C870000}"/>
    <cellStyle name="Input 5 3 2 3" xfId="34878" xr:uid="{00000000-0005-0000-0000-00006D870000}"/>
    <cellStyle name="Input 5 3 2 3 2" xfId="34879" xr:uid="{00000000-0005-0000-0000-00006E870000}"/>
    <cellStyle name="Input 5 3 2 3 2 2" xfId="34880" xr:uid="{00000000-0005-0000-0000-00006F870000}"/>
    <cellStyle name="Input 5 3 2 3 2 2 2" xfId="34881" xr:uid="{00000000-0005-0000-0000-000070870000}"/>
    <cellStyle name="Input 5 3 2 3 2 2 2 2" xfId="34882" xr:uid="{00000000-0005-0000-0000-000071870000}"/>
    <cellStyle name="Input 5 3 2 3 2 2 3" xfId="34883" xr:uid="{00000000-0005-0000-0000-000072870000}"/>
    <cellStyle name="Input 5 3 2 3 2 2 3 2" xfId="34884" xr:uid="{00000000-0005-0000-0000-000073870000}"/>
    <cellStyle name="Input 5 3 2 3 2 2 4" xfId="34885" xr:uid="{00000000-0005-0000-0000-000074870000}"/>
    <cellStyle name="Input 5 3 2 3 2 2 5" xfId="34886" xr:uid="{00000000-0005-0000-0000-000075870000}"/>
    <cellStyle name="Input 5 3 2 3 2 2 6" xfId="34887" xr:uid="{00000000-0005-0000-0000-000076870000}"/>
    <cellStyle name="Input 5 3 2 3 2 3" xfId="34888" xr:uid="{00000000-0005-0000-0000-000077870000}"/>
    <cellStyle name="Input 5 3 2 3 2 3 2" xfId="34889" xr:uid="{00000000-0005-0000-0000-000078870000}"/>
    <cellStyle name="Input 5 3 2 3 2 4" xfId="34890" xr:uid="{00000000-0005-0000-0000-000079870000}"/>
    <cellStyle name="Input 5 3 2 3 2 4 2" xfId="34891" xr:uid="{00000000-0005-0000-0000-00007A870000}"/>
    <cellStyle name="Input 5 3 2 3 2 5" xfId="34892" xr:uid="{00000000-0005-0000-0000-00007B870000}"/>
    <cellStyle name="Input 5 3 2 3 2 6" xfId="34893" xr:uid="{00000000-0005-0000-0000-00007C870000}"/>
    <cellStyle name="Input 5 3 2 3 2 7" xfId="34894" xr:uid="{00000000-0005-0000-0000-00007D870000}"/>
    <cellStyle name="Input 5 3 2 3 3" xfId="34895" xr:uid="{00000000-0005-0000-0000-00007E870000}"/>
    <cellStyle name="Input 5 3 2 3 3 2" xfId="34896" xr:uid="{00000000-0005-0000-0000-00007F870000}"/>
    <cellStyle name="Input 5 3 2 3 3 2 2" xfId="34897" xr:uid="{00000000-0005-0000-0000-000080870000}"/>
    <cellStyle name="Input 5 3 2 3 3 3" xfId="34898" xr:uid="{00000000-0005-0000-0000-000081870000}"/>
    <cellStyle name="Input 5 3 2 3 3 3 2" xfId="34899" xr:uid="{00000000-0005-0000-0000-000082870000}"/>
    <cellStyle name="Input 5 3 2 3 3 4" xfId="34900" xr:uid="{00000000-0005-0000-0000-000083870000}"/>
    <cellStyle name="Input 5 3 2 3 3 5" xfId="34901" xr:uid="{00000000-0005-0000-0000-000084870000}"/>
    <cellStyle name="Input 5 3 2 3 3 6" xfId="34902" xr:uid="{00000000-0005-0000-0000-000085870000}"/>
    <cellStyle name="Input 5 3 2 3 4" xfId="34903" xr:uid="{00000000-0005-0000-0000-000086870000}"/>
    <cellStyle name="Input 5 3 2 3 4 2" xfId="34904" xr:uid="{00000000-0005-0000-0000-000087870000}"/>
    <cellStyle name="Input 5 3 2 3 5" xfId="34905" xr:uid="{00000000-0005-0000-0000-000088870000}"/>
    <cellStyle name="Input 5 3 2 3 5 2" xfId="34906" xr:uid="{00000000-0005-0000-0000-000089870000}"/>
    <cellStyle name="Input 5 3 2 3 6" xfId="34907" xr:uid="{00000000-0005-0000-0000-00008A870000}"/>
    <cellStyle name="Input 5 3 2 3 7" xfId="34908" xr:uid="{00000000-0005-0000-0000-00008B870000}"/>
    <cellStyle name="Input 5 3 2 3 8" xfId="34909" xr:uid="{00000000-0005-0000-0000-00008C870000}"/>
    <cellStyle name="Input 5 3 2 4" xfId="34910" xr:uid="{00000000-0005-0000-0000-00008D870000}"/>
    <cellStyle name="Input 5 3 2 4 2" xfId="34911" xr:uid="{00000000-0005-0000-0000-00008E870000}"/>
    <cellStyle name="Input 5 3 2 4 2 2" xfId="34912" xr:uid="{00000000-0005-0000-0000-00008F870000}"/>
    <cellStyle name="Input 5 3 2 4 2 2 2" xfId="34913" xr:uid="{00000000-0005-0000-0000-000090870000}"/>
    <cellStyle name="Input 5 3 2 4 2 2 2 2" xfId="34914" xr:uid="{00000000-0005-0000-0000-000091870000}"/>
    <cellStyle name="Input 5 3 2 4 2 2 3" xfId="34915" xr:uid="{00000000-0005-0000-0000-000092870000}"/>
    <cellStyle name="Input 5 3 2 4 2 2 3 2" xfId="34916" xr:uid="{00000000-0005-0000-0000-000093870000}"/>
    <cellStyle name="Input 5 3 2 4 2 2 4" xfId="34917" xr:uid="{00000000-0005-0000-0000-000094870000}"/>
    <cellStyle name="Input 5 3 2 4 2 2 5" xfId="34918" xr:uid="{00000000-0005-0000-0000-000095870000}"/>
    <cellStyle name="Input 5 3 2 4 2 2 6" xfId="34919" xr:uid="{00000000-0005-0000-0000-000096870000}"/>
    <cellStyle name="Input 5 3 2 4 2 3" xfId="34920" xr:uid="{00000000-0005-0000-0000-000097870000}"/>
    <cellStyle name="Input 5 3 2 4 2 3 2" xfId="34921" xr:uid="{00000000-0005-0000-0000-000098870000}"/>
    <cellStyle name="Input 5 3 2 4 2 4" xfId="34922" xr:uid="{00000000-0005-0000-0000-000099870000}"/>
    <cellStyle name="Input 5 3 2 4 2 4 2" xfId="34923" xr:uid="{00000000-0005-0000-0000-00009A870000}"/>
    <cellStyle name="Input 5 3 2 4 2 5" xfId="34924" xr:uid="{00000000-0005-0000-0000-00009B870000}"/>
    <cellStyle name="Input 5 3 2 4 2 6" xfId="34925" xr:uid="{00000000-0005-0000-0000-00009C870000}"/>
    <cellStyle name="Input 5 3 2 4 2 7" xfId="34926" xr:uid="{00000000-0005-0000-0000-00009D870000}"/>
    <cellStyle name="Input 5 3 2 4 3" xfId="34927" xr:uid="{00000000-0005-0000-0000-00009E870000}"/>
    <cellStyle name="Input 5 3 2 4 3 2" xfId="34928" xr:uid="{00000000-0005-0000-0000-00009F870000}"/>
    <cellStyle name="Input 5 3 2 4 3 2 2" xfId="34929" xr:uid="{00000000-0005-0000-0000-0000A0870000}"/>
    <cellStyle name="Input 5 3 2 4 3 3" xfId="34930" xr:uid="{00000000-0005-0000-0000-0000A1870000}"/>
    <cellStyle name="Input 5 3 2 4 3 3 2" xfId="34931" xr:uid="{00000000-0005-0000-0000-0000A2870000}"/>
    <cellStyle name="Input 5 3 2 4 3 4" xfId="34932" xr:uid="{00000000-0005-0000-0000-0000A3870000}"/>
    <cellStyle name="Input 5 3 2 4 3 5" xfId="34933" xr:uid="{00000000-0005-0000-0000-0000A4870000}"/>
    <cellStyle name="Input 5 3 2 4 3 6" xfId="34934" xr:uid="{00000000-0005-0000-0000-0000A5870000}"/>
    <cellStyle name="Input 5 3 2 4 4" xfId="34935" xr:uid="{00000000-0005-0000-0000-0000A6870000}"/>
    <cellStyle name="Input 5 3 2 4 4 2" xfId="34936" xr:uid="{00000000-0005-0000-0000-0000A7870000}"/>
    <cellStyle name="Input 5 3 2 4 5" xfId="34937" xr:uid="{00000000-0005-0000-0000-0000A8870000}"/>
    <cellStyle name="Input 5 3 2 4 5 2" xfId="34938" xr:uid="{00000000-0005-0000-0000-0000A9870000}"/>
    <cellStyle name="Input 5 3 2 4 6" xfId="34939" xr:uid="{00000000-0005-0000-0000-0000AA870000}"/>
    <cellStyle name="Input 5 3 2 4 7" xfId="34940" xr:uid="{00000000-0005-0000-0000-0000AB870000}"/>
    <cellStyle name="Input 5 3 2 4 8" xfId="34941" xr:uid="{00000000-0005-0000-0000-0000AC870000}"/>
    <cellStyle name="Input 5 3 2 5" xfId="34942" xr:uid="{00000000-0005-0000-0000-0000AD870000}"/>
    <cellStyle name="Input 5 3 2 5 2" xfId="34943" xr:uid="{00000000-0005-0000-0000-0000AE870000}"/>
    <cellStyle name="Input 5 3 2 5 2 2" xfId="34944" xr:uid="{00000000-0005-0000-0000-0000AF870000}"/>
    <cellStyle name="Input 5 3 2 5 2 2 2" xfId="34945" xr:uid="{00000000-0005-0000-0000-0000B0870000}"/>
    <cellStyle name="Input 5 3 2 5 2 3" xfId="34946" xr:uid="{00000000-0005-0000-0000-0000B1870000}"/>
    <cellStyle name="Input 5 3 2 5 2 3 2" xfId="34947" xr:uid="{00000000-0005-0000-0000-0000B2870000}"/>
    <cellStyle name="Input 5 3 2 5 2 4" xfId="34948" xr:uid="{00000000-0005-0000-0000-0000B3870000}"/>
    <cellStyle name="Input 5 3 2 5 2 5" xfId="34949" xr:uid="{00000000-0005-0000-0000-0000B4870000}"/>
    <cellStyle name="Input 5 3 2 5 2 6" xfId="34950" xr:uid="{00000000-0005-0000-0000-0000B5870000}"/>
    <cellStyle name="Input 5 3 2 5 3" xfId="34951" xr:uid="{00000000-0005-0000-0000-0000B6870000}"/>
    <cellStyle name="Input 5 3 2 5 3 2" xfId="34952" xr:uid="{00000000-0005-0000-0000-0000B7870000}"/>
    <cellStyle name="Input 5 3 2 5 4" xfId="34953" xr:uid="{00000000-0005-0000-0000-0000B8870000}"/>
    <cellStyle name="Input 5 3 2 5 4 2" xfId="34954" xr:uid="{00000000-0005-0000-0000-0000B9870000}"/>
    <cellStyle name="Input 5 3 2 5 5" xfId="34955" xr:uid="{00000000-0005-0000-0000-0000BA870000}"/>
    <cellStyle name="Input 5 3 2 5 6" xfId="34956" xr:uid="{00000000-0005-0000-0000-0000BB870000}"/>
    <cellStyle name="Input 5 3 2 5 7" xfId="34957" xr:uid="{00000000-0005-0000-0000-0000BC870000}"/>
    <cellStyle name="Input 5 3 2 6" xfId="34958" xr:uid="{00000000-0005-0000-0000-0000BD870000}"/>
    <cellStyle name="Input 5 3 2 6 2" xfId="34959" xr:uid="{00000000-0005-0000-0000-0000BE870000}"/>
    <cellStyle name="Input 5 3 2 6 2 2" xfId="34960" xr:uid="{00000000-0005-0000-0000-0000BF870000}"/>
    <cellStyle name="Input 5 3 2 6 3" xfId="34961" xr:uid="{00000000-0005-0000-0000-0000C0870000}"/>
    <cellStyle name="Input 5 3 2 6 3 2" xfId="34962" xr:uid="{00000000-0005-0000-0000-0000C1870000}"/>
    <cellStyle name="Input 5 3 2 6 4" xfId="34963" xr:uid="{00000000-0005-0000-0000-0000C2870000}"/>
    <cellStyle name="Input 5 3 2 6 5" xfId="34964" xr:uid="{00000000-0005-0000-0000-0000C3870000}"/>
    <cellStyle name="Input 5 3 2 6 6" xfId="34965" xr:uid="{00000000-0005-0000-0000-0000C4870000}"/>
    <cellStyle name="Input 5 3 2 7" xfId="34966" xr:uid="{00000000-0005-0000-0000-0000C5870000}"/>
    <cellStyle name="Input 5 3 2 7 2" xfId="34967" xr:uid="{00000000-0005-0000-0000-0000C6870000}"/>
    <cellStyle name="Input 5 3 2 8" xfId="34968" xr:uid="{00000000-0005-0000-0000-0000C7870000}"/>
    <cellStyle name="Input 5 3 2 8 2" xfId="34969" xr:uid="{00000000-0005-0000-0000-0000C8870000}"/>
    <cellStyle name="Input 5 3 2 9" xfId="34970" xr:uid="{00000000-0005-0000-0000-0000C9870000}"/>
    <cellStyle name="Input 5 3 3" xfId="34971" xr:uid="{00000000-0005-0000-0000-0000CA870000}"/>
    <cellStyle name="Input 5 3 3 10" xfId="34972" xr:uid="{00000000-0005-0000-0000-0000CB870000}"/>
    <cellStyle name="Input 5 3 3 2" xfId="34973" xr:uid="{00000000-0005-0000-0000-0000CC870000}"/>
    <cellStyle name="Input 5 3 3 2 10" xfId="34974" xr:uid="{00000000-0005-0000-0000-0000CD870000}"/>
    <cellStyle name="Input 5 3 3 2 2" xfId="34975" xr:uid="{00000000-0005-0000-0000-0000CE870000}"/>
    <cellStyle name="Input 5 3 3 2 2 2" xfId="34976" xr:uid="{00000000-0005-0000-0000-0000CF870000}"/>
    <cellStyle name="Input 5 3 3 2 2 2 2" xfId="34977" xr:uid="{00000000-0005-0000-0000-0000D0870000}"/>
    <cellStyle name="Input 5 3 3 2 2 2 2 2" xfId="34978" xr:uid="{00000000-0005-0000-0000-0000D1870000}"/>
    <cellStyle name="Input 5 3 3 2 2 2 2 2 2" xfId="34979" xr:uid="{00000000-0005-0000-0000-0000D2870000}"/>
    <cellStyle name="Input 5 3 3 2 2 2 2 3" xfId="34980" xr:uid="{00000000-0005-0000-0000-0000D3870000}"/>
    <cellStyle name="Input 5 3 3 2 2 2 2 3 2" xfId="34981" xr:uid="{00000000-0005-0000-0000-0000D4870000}"/>
    <cellStyle name="Input 5 3 3 2 2 2 2 4" xfId="34982" xr:uid="{00000000-0005-0000-0000-0000D5870000}"/>
    <cellStyle name="Input 5 3 3 2 2 2 2 5" xfId="34983" xr:uid="{00000000-0005-0000-0000-0000D6870000}"/>
    <cellStyle name="Input 5 3 3 2 2 2 2 6" xfId="34984" xr:uid="{00000000-0005-0000-0000-0000D7870000}"/>
    <cellStyle name="Input 5 3 3 2 2 2 3" xfId="34985" xr:uid="{00000000-0005-0000-0000-0000D8870000}"/>
    <cellStyle name="Input 5 3 3 2 2 2 3 2" xfId="34986" xr:uid="{00000000-0005-0000-0000-0000D9870000}"/>
    <cellStyle name="Input 5 3 3 2 2 2 4" xfId="34987" xr:uid="{00000000-0005-0000-0000-0000DA870000}"/>
    <cellStyle name="Input 5 3 3 2 2 2 4 2" xfId="34988" xr:uid="{00000000-0005-0000-0000-0000DB870000}"/>
    <cellStyle name="Input 5 3 3 2 2 2 5" xfId="34989" xr:uid="{00000000-0005-0000-0000-0000DC870000}"/>
    <cellStyle name="Input 5 3 3 2 2 2 6" xfId="34990" xr:uid="{00000000-0005-0000-0000-0000DD870000}"/>
    <cellStyle name="Input 5 3 3 2 2 2 7" xfId="34991" xr:uid="{00000000-0005-0000-0000-0000DE870000}"/>
    <cellStyle name="Input 5 3 3 2 2 3" xfId="34992" xr:uid="{00000000-0005-0000-0000-0000DF870000}"/>
    <cellStyle name="Input 5 3 3 2 2 3 2" xfId="34993" xr:uid="{00000000-0005-0000-0000-0000E0870000}"/>
    <cellStyle name="Input 5 3 3 2 2 3 2 2" xfId="34994" xr:uid="{00000000-0005-0000-0000-0000E1870000}"/>
    <cellStyle name="Input 5 3 3 2 2 3 3" xfId="34995" xr:uid="{00000000-0005-0000-0000-0000E2870000}"/>
    <cellStyle name="Input 5 3 3 2 2 3 3 2" xfId="34996" xr:uid="{00000000-0005-0000-0000-0000E3870000}"/>
    <cellStyle name="Input 5 3 3 2 2 3 4" xfId="34997" xr:uid="{00000000-0005-0000-0000-0000E4870000}"/>
    <cellStyle name="Input 5 3 3 2 2 3 5" xfId="34998" xr:uid="{00000000-0005-0000-0000-0000E5870000}"/>
    <cellStyle name="Input 5 3 3 2 2 3 6" xfId="34999" xr:uid="{00000000-0005-0000-0000-0000E6870000}"/>
    <cellStyle name="Input 5 3 3 2 2 4" xfId="35000" xr:uid="{00000000-0005-0000-0000-0000E7870000}"/>
    <cellStyle name="Input 5 3 3 2 2 4 2" xfId="35001" xr:uid="{00000000-0005-0000-0000-0000E8870000}"/>
    <cellStyle name="Input 5 3 3 2 2 5" xfId="35002" xr:uid="{00000000-0005-0000-0000-0000E9870000}"/>
    <cellStyle name="Input 5 3 3 2 2 5 2" xfId="35003" xr:uid="{00000000-0005-0000-0000-0000EA870000}"/>
    <cellStyle name="Input 5 3 3 2 2 6" xfId="35004" xr:uid="{00000000-0005-0000-0000-0000EB870000}"/>
    <cellStyle name="Input 5 3 3 2 2 7" xfId="35005" xr:uid="{00000000-0005-0000-0000-0000EC870000}"/>
    <cellStyle name="Input 5 3 3 2 2 8" xfId="35006" xr:uid="{00000000-0005-0000-0000-0000ED870000}"/>
    <cellStyle name="Input 5 3 3 2 3" xfId="35007" xr:uid="{00000000-0005-0000-0000-0000EE870000}"/>
    <cellStyle name="Input 5 3 3 2 3 2" xfId="35008" xr:uid="{00000000-0005-0000-0000-0000EF870000}"/>
    <cellStyle name="Input 5 3 3 2 3 2 2" xfId="35009" xr:uid="{00000000-0005-0000-0000-0000F0870000}"/>
    <cellStyle name="Input 5 3 3 2 3 2 2 2" xfId="35010" xr:uid="{00000000-0005-0000-0000-0000F1870000}"/>
    <cellStyle name="Input 5 3 3 2 3 2 2 2 2" xfId="35011" xr:uid="{00000000-0005-0000-0000-0000F2870000}"/>
    <cellStyle name="Input 5 3 3 2 3 2 2 3" xfId="35012" xr:uid="{00000000-0005-0000-0000-0000F3870000}"/>
    <cellStyle name="Input 5 3 3 2 3 2 2 3 2" xfId="35013" xr:uid="{00000000-0005-0000-0000-0000F4870000}"/>
    <cellStyle name="Input 5 3 3 2 3 2 2 4" xfId="35014" xr:uid="{00000000-0005-0000-0000-0000F5870000}"/>
    <cellStyle name="Input 5 3 3 2 3 2 2 5" xfId="35015" xr:uid="{00000000-0005-0000-0000-0000F6870000}"/>
    <cellStyle name="Input 5 3 3 2 3 2 2 6" xfId="35016" xr:uid="{00000000-0005-0000-0000-0000F7870000}"/>
    <cellStyle name="Input 5 3 3 2 3 2 3" xfId="35017" xr:uid="{00000000-0005-0000-0000-0000F8870000}"/>
    <cellStyle name="Input 5 3 3 2 3 2 3 2" xfId="35018" xr:uid="{00000000-0005-0000-0000-0000F9870000}"/>
    <cellStyle name="Input 5 3 3 2 3 2 4" xfId="35019" xr:uid="{00000000-0005-0000-0000-0000FA870000}"/>
    <cellStyle name="Input 5 3 3 2 3 2 4 2" xfId="35020" xr:uid="{00000000-0005-0000-0000-0000FB870000}"/>
    <cellStyle name="Input 5 3 3 2 3 2 5" xfId="35021" xr:uid="{00000000-0005-0000-0000-0000FC870000}"/>
    <cellStyle name="Input 5 3 3 2 3 2 6" xfId="35022" xr:uid="{00000000-0005-0000-0000-0000FD870000}"/>
    <cellStyle name="Input 5 3 3 2 3 2 7" xfId="35023" xr:uid="{00000000-0005-0000-0000-0000FE870000}"/>
    <cellStyle name="Input 5 3 3 2 3 3" xfId="35024" xr:uid="{00000000-0005-0000-0000-0000FF870000}"/>
    <cellStyle name="Input 5 3 3 2 3 3 2" xfId="35025" xr:uid="{00000000-0005-0000-0000-000000880000}"/>
    <cellStyle name="Input 5 3 3 2 3 3 2 2" xfId="35026" xr:uid="{00000000-0005-0000-0000-000001880000}"/>
    <cellStyle name="Input 5 3 3 2 3 3 3" xfId="35027" xr:uid="{00000000-0005-0000-0000-000002880000}"/>
    <cellStyle name="Input 5 3 3 2 3 3 3 2" xfId="35028" xr:uid="{00000000-0005-0000-0000-000003880000}"/>
    <cellStyle name="Input 5 3 3 2 3 3 4" xfId="35029" xr:uid="{00000000-0005-0000-0000-000004880000}"/>
    <cellStyle name="Input 5 3 3 2 3 3 5" xfId="35030" xr:uid="{00000000-0005-0000-0000-000005880000}"/>
    <cellStyle name="Input 5 3 3 2 3 3 6" xfId="35031" xr:uid="{00000000-0005-0000-0000-000006880000}"/>
    <cellStyle name="Input 5 3 3 2 3 4" xfId="35032" xr:uid="{00000000-0005-0000-0000-000007880000}"/>
    <cellStyle name="Input 5 3 3 2 3 4 2" xfId="35033" xr:uid="{00000000-0005-0000-0000-000008880000}"/>
    <cellStyle name="Input 5 3 3 2 3 5" xfId="35034" xr:uid="{00000000-0005-0000-0000-000009880000}"/>
    <cellStyle name="Input 5 3 3 2 3 5 2" xfId="35035" xr:uid="{00000000-0005-0000-0000-00000A880000}"/>
    <cellStyle name="Input 5 3 3 2 3 6" xfId="35036" xr:uid="{00000000-0005-0000-0000-00000B880000}"/>
    <cellStyle name="Input 5 3 3 2 3 7" xfId="35037" xr:uid="{00000000-0005-0000-0000-00000C880000}"/>
    <cellStyle name="Input 5 3 3 2 3 8" xfId="35038" xr:uid="{00000000-0005-0000-0000-00000D880000}"/>
    <cellStyle name="Input 5 3 3 2 4" xfId="35039" xr:uid="{00000000-0005-0000-0000-00000E880000}"/>
    <cellStyle name="Input 5 3 3 2 4 2" xfId="35040" xr:uid="{00000000-0005-0000-0000-00000F880000}"/>
    <cellStyle name="Input 5 3 3 2 4 2 2" xfId="35041" xr:uid="{00000000-0005-0000-0000-000010880000}"/>
    <cellStyle name="Input 5 3 3 2 4 2 2 2" xfId="35042" xr:uid="{00000000-0005-0000-0000-000011880000}"/>
    <cellStyle name="Input 5 3 3 2 4 2 3" xfId="35043" xr:uid="{00000000-0005-0000-0000-000012880000}"/>
    <cellStyle name="Input 5 3 3 2 4 2 3 2" xfId="35044" xr:uid="{00000000-0005-0000-0000-000013880000}"/>
    <cellStyle name="Input 5 3 3 2 4 2 4" xfId="35045" xr:uid="{00000000-0005-0000-0000-000014880000}"/>
    <cellStyle name="Input 5 3 3 2 4 2 5" xfId="35046" xr:uid="{00000000-0005-0000-0000-000015880000}"/>
    <cellStyle name="Input 5 3 3 2 4 2 6" xfId="35047" xr:uid="{00000000-0005-0000-0000-000016880000}"/>
    <cellStyle name="Input 5 3 3 2 4 3" xfId="35048" xr:uid="{00000000-0005-0000-0000-000017880000}"/>
    <cellStyle name="Input 5 3 3 2 4 3 2" xfId="35049" xr:uid="{00000000-0005-0000-0000-000018880000}"/>
    <cellStyle name="Input 5 3 3 2 4 4" xfId="35050" xr:uid="{00000000-0005-0000-0000-000019880000}"/>
    <cellStyle name="Input 5 3 3 2 4 4 2" xfId="35051" xr:uid="{00000000-0005-0000-0000-00001A880000}"/>
    <cellStyle name="Input 5 3 3 2 4 5" xfId="35052" xr:uid="{00000000-0005-0000-0000-00001B880000}"/>
    <cellStyle name="Input 5 3 3 2 4 6" xfId="35053" xr:uid="{00000000-0005-0000-0000-00001C880000}"/>
    <cellStyle name="Input 5 3 3 2 4 7" xfId="35054" xr:uid="{00000000-0005-0000-0000-00001D880000}"/>
    <cellStyle name="Input 5 3 3 2 5" xfId="35055" xr:uid="{00000000-0005-0000-0000-00001E880000}"/>
    <cellStyle name="Input 5 3 3 2 5 2" xfId="35056" xr:uid="{00000000-0005-0000-0000-00001F880000}"/>
    <cellStyle name="Input 5 3 3 2 5 2 2" xfId="35057" xr:uid="{00000000-0005-0000-0000-000020880000}"/>
    <cellStyle name="Input 5 3 3 2 5 3" xfId="35058" xr:uid="{00000000-0005-0000-0000-000021880000}"/>
    <cellStyle name="Input 5 3 3 2 5 3 2" xfId="35059" xr:uid="{00000000-0005-0000-0000-000022880000}"/>
    <cellStyle name="Input 5 3 3 2 5 4" xfId="35060" xr:uid="{00000000-0005-0000-0000-000023880000}"/>
    <cellStyle name="Input 5 3 3 2 5 5" xfId="35061" xr:uid="{00000000-0005-0000-0000-000024880000}"/>
    <cellStyle name="Input 5 3 3 2 5 6" xfId="35062" xr:uid="{00000000-0005-0000-0000-000025880000}"/>
    <cellStyle name="Input 5 3 3 2 6" xfId="35063" xr:uid="{00000000-0005-0000-0000-000026880000}"/>
    <cellStyle name="Input 5 3 3 2 6 2" xfId="35064" xr:uid="{00000000-0005-0000-0000-000027880000}"/>
    <cellStyle name="Input 5 3 3 2 7" xfId="35065" xr:uid="{00000000-0005-0000-0000-000028880000}"/>
    <cellStyle name="Input 5 3 3 2 7 2" xfId="35066" xr:uid="{00000000-0005-0000-0000-000029880000}"/>
    <cellStyle name="Input 5 3 3 2 8" xfId="35067" xr:uid="{00000000-0005-0000-0000-00002A880000}"/>
    <cellStyle name="Input 5 3 3 2 9" xfId="35068" xr:uid="{00000000-0005-0000-0000-00002B880000}"/>
    <cellStyle name="Input 5 3 3 3" xfId="35069" xr:uid="{00000000-0005-0000-0000-00002C880000}"/>
    <cellStyle name="Input 5 3 3 3 2" xfId="35070" xr:uid="{00000000-0005-0000-0000-00002D880000}"/>
    <cellStyle name="Input 5 3 3 3 2 2" xfId="35071" xr:uid="{00000000-0005-0000-0000-00002E880000}"/>
    <cellStyle name="Input 5 3 3 3 2 2 2" xfId="35072" xr:uid="{00000000-0005-0000-0000-00002F880000}"/>
    <cellStyle name="Input 5 3 3 3 2 2 2 2" xfId="35073" xr:uid="{00000000-0005-0000-0000-000030880000}"/>
    <cellStyle name="Input 5 3 3 3 2 2 3" xfId="35074" xr:uid="{00000000-0005-0000-0000-000031880000}"/>
    <cellStyle name="Input 5 3 3 3 2 2 3 2" xfId="35075" xr:uid="{00000000-0005-0000-0000-000032880000}"/>
    <cellStyle name="Input 5 3 3 3 2 2 4" xfId="35076" xr:uid="{00000000-0005-0000-0000-000033880000}"/>
    <cellStyle name="Input 5 3 3 3 2 2 5" xfId="35077" xr:uid="{00000000-0005-0000-0000-000034880000}"/>
    <cellStyle name="Input 5 3 3 3 2 2 6" xfId="35078" xr:uid="{00000000-0005-0000-0000-000035880000}"/>
    <cellStyle name="Input 5 3 3 3 2 3" xfId="35079" xr:uid="{00000000-0005-0000-0000-000036880000}"/>
    <cellStyle name="Input 5 3 3 3 2 3 2" xfId="35080" xr:uid="{00000000-0005-0000-0000-000037880000}"/>
    <cellStyle name="Input 5 3 3 3 2 4" xfId="35081" xr:uid="{00000000-0005-0000-0000-000038880000}"/>
    <cellStyle name="Input 5 3 3 3 2 4 2" xfId="35082" xr:uid="{00000000-0005-0000-0000-000039880000}"/>
    <cellStyle name="Input 5 3 3 3 2 5" xfId="35083" xr:uid="{00000000-0005-0000-0000-00003A880000}"/>
    <cellStyle name="Input 5 3 3 3 2 6" xfId="35084" xr:uid="{00000000-0005-0000-0000-00003B880000}"/>
    <cellStyle name="Input 5 3 3 3 2 7" xfId="35085" xr:uid="{00000000-0005-0000-0000-00003C880000}"/>
    <cellStyle name="Input 5 3 3 3 3" xfId="35086" xr:uid="{00000000-0005-0000-0000-00003D880000}"/>
    <cellStyle name="Input 5 3 3 3 3 2" xfId="35087" xr:uid="{00000000-0005-0000-0000-00003E880000}"/>
    <cellStyle name="Input 5 3 3 3 3 2 2" xfId="35088" xr:uid="{00000000-0005-0000-0000-00003F880000}"/>
    <cellStyle name="Input 5 3 3 3 3 3" xfId="35089" xr:uid="{00000000-0005-0000-0000-000040880000}"/>
    <cellStyle name="Input 5 3 3 3 3 3 2" xfId="35090" xr:uid="{00000000-0005-0000-0000-000041880000}"/>
    <cellStyle name="Input 5 3 3 3 3 4" xfId="35091" xr:uid="{00000000-0005-0000-0000-000042880000}"/>
    <cellStyle name="Input 5 3 3 3 3 5" xfId="35092" xr:uid="{00000000-0005-0000-0000-000043880000}"/>
    <cellStyle name="Input 5 3 3 3 3 6" xfId="35093" xr:uid="{00000000-0005-0000-0000-000044880000}"/>
    <cellStyle name="Input 5 3 3 3 4" xfId="35094" xr:uid="{00000000-0005-0000-0000-000045880000}"/>
    <cellStyle name="Input 5 3 3 3 4 2" xfId="35095" xr:uid="{00000000-0005-0000-0000-000046880000}"/>
    <cellStyle name="Input 5 3 3 3 5" xfId="35096" xr:uid="{00000000-0005-0000-0000-000047880000}"/>
    <cellStyle name="Input 5 3 3 3 5 2" xfId="35097" xr:uid="{00000000-0005-0000-0000-000048880000}"/>
    <cellStyle name="Input 5 3 3 3 6" xfId="35098" xr:uid="{00000000-0005-0000-0000-000049880000}"/>
    <cellStyle name="Input 5 3 3 3 7" xfId="35099" xr:uid="{00000000-0005-0000-0000-00004A880000}"/>
    <cellStyle name="Input 5 3 3 3 8" xfId="35100" xr:uid="{00000000-0005-0000-0000-00004B880000}"/>
    <cellStyle name="Input 5 3 3 4" xfId="35101" xr:uid="{00000000-0005-0000-0000-00004C880000}"/>
    <cellStyle name="Input 5 3 3 4 2" xfId="35102" xr:uid="{00000000-0005-0000-0000-00004D880000}"/>
    <cellStyle name="Input 5 3 3 4 2 2" xfId="35103" xr:uid="{00000000-0005-0000-0000-00004E880000}"/>
    <cellStyle name="Input 5 3 3 4 2 2 2" xfId="35104" xr:uid="{00000000-0005-0000-0000-00004F880000}"/>
    <cellStyle name="Input 5 3 3 4 2 3" xfId="35105" xr:uid="{00000000-0005-0000-0000-000050880000}"/>
    <cellStyle name="Input 5 3 3 4 2 3 2" xfId="35106" xr:uid="{00000000-0005-0000-0000-000051880000}"/>
    <cellStyle name="Input 5 3 3 4 2 4" xfId="35107" xr:uid="{00000000-0005-0000-0000-000052880000}"/>
    <cellStyle name="Input 5 3 3 4 2 5" xfId="35108" xr:uid="{00000000-0005-0000-0000-000053880000}"/>
    <cellStyle name="Input 5 3 3 4 2 6" xfId="35109" xr:uid="{00000000-0005-0000-0000-000054880000}"/>
    <cellStyle name="Input 5 3 3 4 3" xfId="35110" xr:uid="{00000000-0005-0000-0000-000055880000}"/>
    <cellStyle name="Input 5 3 3 4 3 2" xfId="35111" xr:uid="{00000000-0005-0000-0000-000056880000}"/>
    <cellStyle name="Input 5 3 3 4 4" xfId="35112" xr:uid="{00000000-0005-0000-0000-000057880000}"/>
    <cellStyle name="Input 5 3 3 4 4 2" xfId="35113" xr:uid="{00000000-0005-0000-0000-000058880000}"/>
    <cellStyle name="Input 5 3 3 4 5" xfId="35114" xr:uid="{00000000-0005-0000-0000-000059880000}"/>
    <cellStyle name="Input 5 3 3 4 6" xfId="35115" xr:uid="{00000000-0005-0000-0000-00005A880000}"/>
    <cellStyle name="Input 5 3 3 4 7" xfId="35116" xr:uid="{00000000-0005-0000-0000-00005B880000}"/>
    <cellStyle name="Input 5 3 3 5" xfId="35117" xr:uid="{00000000-0005-0000-0000-00005C880000}"/>
    <cellStyle name="Input 5 3 3 5 2" xfId="35118" xr:uid="{00000000-0005-0000-0000-00005D880000}"/>
    <cellStyle name="Input 5 3 3 5 2 2" xfId="35119" xr:uid="{00000000-0005-0000-0000-00005E880000}"/>
    <cellStyle name="Input 5 3 3 5 3" xfId="35120" xr:uid="{00000000-0005-0000-0000-00005F880000}"/>
    <cellStyle name="Input 5 3 3 5 3 2" xfId="35121" xr:uid="{00000000-0005-0000-0000-000060880000}"/>
    <cellStyle name="Input 5 3 3 5 4" xfId="35122" xr:uid="{00000000-0005-0000-0000-000061880000}"/>
    <cellStyle name="Input 5 3 3 5 5" xfId="35123" xr:uid="{00000000-0005-0000-0000-000062880000}"/>
    <cellStyle name="Input 5 3 3 5 6" xfId="35124" xr:uid="{00000000-0005-0000-0000-000063880000}"/>
    <cellStyle name="Input 5 3 3 6" xfId="35125" xr:uid="{00000000-0005-0000-0000-000064880000}"/>
    <cellStyle name="Input 5 3 3 6 2" xfId="35126" xr:uid="{00000000-0005-0000-0000-000065880000}"/>
    <cellStyle name="Input 5 3 3 7" xfId="35127" xr:uid="{00000000-0005-0000-0000-000066880000}"/>
    <cellStyle name="Input 5 3 3 7 2" xfId="35128" xr:uid="{00000000-0005-0000-0000-000067880000}"/>
    <cellStyle name="Input 5 3 3 8" xfId="35129" xr:uid="{00000000-0005-0000-0000-000068880000}"/>
    <cellStyle name="Input 5 3 3 9" xfId="35130" xr:uid="{00000000-0005-0000-0000-000069880000}"/>
    <cellStyle name="Input 5 3 4" xfId="35131" xr:uid="{00000000-0005-0000-0000-00006A880000}"/>
    <cellStyle name="Input 5 3 4 10" xfId="35132" xr:uid="{00000000-0005-0000-0000-00006B880000}"/>
    <cellStyle name="Input 5 3 4 2" xfId="35133" xr:uid="{00000000-0005-0000-0000-00006C880000}"/>
    <cellStyle name="Input 5 3 4 2 2" xfId="35134" xr:uid="{00000000-0005-0000-0000-00006D880000}"/>
    <cellStyle name="Input 5 3 4 2 2 2" xfId="35135" xr:uid="{00000000-0005-0000-0000-00006E880000}"/>
    <cellStyle name="Input 5 3 4 2 2 2 2" xfId="35136" xr:uid="{00000000-0005-0000-0000-00006F880000}"/>
    <cellStyle name="Input 5 3 4 2 2 2 2 2" xfId="35137" xr:uid="{00000000-0005-0000-0000-000070880000}"/>
    <cellStyle name="Input 5 3 4 2 2 2 3" xfId="35138" xr:uid="{00000000-0005-0000-0000-000071880000}"/>
    <cellStyle name="Input 5 3 4 2 2 2 3 2" xfId="35139" xr:uid="{00000000-0005-0000-0000-000072880000}"/>
    <cellStyle name="Input 5 3 4 2 2 2 4" xfId="35140" xr:uid="{00000000-0005-0000-0000-000073880000}"/>
    <cellStyle name="Input 5 3 4 2 2 2 5" xfId="35141" xr:uid="{00000000-0005-0000-0000-000074880000}"/>
    <cellStyle name="Input 5 3 4 2 2 2 6" xfId="35142" xr:uid="{00000000-0005-0000-0000-000075880000}"/>
    <cellStyle name="Input 5 3 4 2 2 3" xfId="35143" xr:uid="{00000000-0005-0000-0000-000076880000}"/>
    <cellStyle name="Input 5 3 4 2 2 3 2" xfId="35144" xr:uid="{00000000-0005-0000-0000-000077880000}"/>
    <cellStyle name="Input 5 3 4 2 2 4" xfId="35145" xr:uid="{00000000-0005-0000-0000-000078880000}"/>
    <cellStyle name="Input 5 3 4 2 2 4 2" xfId="35146" xr:uid="{00000000-0005-0000-0000-000079880000}"/>
    <cellStyle name="Input 5 3 4 2 2 5" xfId="35147" xr:uid="{00000000-0005-0000-0000-00007A880000}"/>
    <cellStyle name="Input 5 3 4 2 2 6" xfId="35148" xr:uid="{00000000-0005-0000-0000-00007B880000}"/>
    <cellStyle name="Input 5 3 4 2 2 7" xfId="35149" xr:uid="{00000000-0005-0000-0000-00007C880000}"/>
    <cellStyle name="Input 5 3 4 2 3" xfId="35150" xr:uid="{00000000-0005-0000-0000-00007D880000}"/>
    <cellStyle name="Input 5 3 4 2 3 2" xfId="35151" xr:uid="{00000000-0005-0000-0000-00007E880000}"/>
    <cellStyle name="Input 5 3 4 2 3 2 2" xfId="35152" xr:uid="{00000000-0005-0000-0000-00007F880000}"/>
    <cellStyle name="Input 5 3 4 2 3 3" xfId="35153" xr:uid="{00000000-0005-0000-0000-000080880000}"/>
    <cellStyle name="Input 5 3 4 2 3 3 2" xfId="35154" xr:uid="{00000000-0005-0000-0000-000081880000}"/>
    <cellStyle name="Input 5 3 4 2 3 4" xfId="35155" xr:uid="{00000000-0005-0000-0000-000082880000}"/>
    <cellStyle name="Input 5 3 4 2 3 5" xfId="35156" xr:uid="{00000000-0005-0000-0000-000083880000}"/>
    <cellStyle name="Input 5 3 4 2 3 6" xfId="35157" xr:uid="{00000000-0005-0000-0000-000084880000}"/>
    <cellStyle name="Input 5 3 4 2 4" xfId="35158" xr:uid="{00000000-0005-0000-0000-000085880000}"/>
    <cellStyle name="Input 5 3 4 2 4 2" xfId="35159" xr:uid="{00000000-0005-0000-0000-000086880000}"/>
    <cellStyle name="Input 5 3 4 2 5" xfId="35160" xr:uid="{00000000-0005-0000-0000-000087880000}"/>
    <cellStyle name="Input 5 3 4 2 5 2" xfId="35161" xr:uid="{00000000-0005-0000-0000-000088880000}"/>
    <cellStyle name="Input 5 3 4 2 6" xfId="35162" xr:uid="{00000000-0005-0000-0000-000089880000}"/>
    <cellStyle name="Input 5 3 4 2 7" xfId="35163" xr:uid="{00000000-0005-0000-0000-00008A880000}"/>
    <cellStyle name="Input 5 3 4 2 8" xfId="35164" xr:uid="{00000000-0005-0000-0000-00008B880000}"/>
    <cellStyle name="Input 5 3 4 3" xfId="35165" xr:uid="{00000000-0005-0000-0000-00008C880000}"/>
    <cellStyle name="Input 5 3 4 3 2" xfId="35166" xr:uid="{00000000-0005-0000-0000-00008D880000}"/>
    <cellStyle name="Input 5 3 4 3 2 2" xfId="35167" xr:uid="{00000000-0005-0000-0000-00008E880000}"/>
    <cellStyle name="Input 5 3 4 3 2 2 2" xfId="35168" xr:uid="{00000000-0005-0000-0000-00008F880000}"/>
    <cellStyle name="Input 5 3 4 3 2 2 2 2" xfId="35169" xr:uid="{00000000-0005-0000-0000-000090880000}"/>
    <cellStyle name="Input 5 3 4 3 2 2 3" xfId="35170" xr:uid="{00000000-0005-0000-0000-000091880000}"/>
    <cellStyle name="Input 5 3 4 3 2 2 3 2" xfId="35171" xr:uid="{00000000-0005-0000-0000-000092880000}"/>
    <cellStyle name="Input 5 3 4 3 2 2 4" xfId="35172" xr:uid="{00000000-0005-0000-0000-000093880000}"/>
    <cellStyle name="Input 5 3 4 3 2 2 5" xfId="35173" xr:uid="{00000000-0005-0000-0000-000094880000}"/>
    <cellStyle name="Input 5 3 4 3 2 2 6" xfId="35174" xr:uid="{00000000-0005-0000-0000-000095880000}"/>
    <cellStyle name="Input 5 3 4 3 2 3" xfId="35175" xr:uid="{00000000-0005-0000-0000-000096880000}"/>
    <cellStyle name="Input 5 3 4 3 2 3 2" xfId="35176" xr:uid="{00000000-0005-0000-0000-000097880000}"/>
    <cellStyle name="Input 5 3 4 3 2 4" xfId="35177" xr:uid="{00000000-0005-0000-0000-000098880000}"/>
    <cellStyle name="Input 5 3 4 3 2 4 2" xfId="35178" xr:uid="{00000000-0005-0000-0000-000099880000}"/>
    <cellStyle name="Input 5 3 4 3 2 5" xfId="35179" xr:uid="{00000000-0005-0000-0000-00009A880000}"/>
    <cellStyle name="Input 5 3 4 3 2 6" xfId="35180" xr:uid="{00000000-0005-0000-0000-00009B880000}"/>
    <cellStyle name="Input 5 3 4 3 2 7" xfId="35181" xr:uid="{00000000-0005-0000-0000-00009C880000}"/>
    <cellStyle name="Input 5 3 4 3 3" xfId="35182" xr:uid="{00000000-0005-0000-0000-00009D880000}"/>
    <cellStyle name="Input 5 3 4 3 3 2" xfId="35183" xr:uid="{00000000-0005-0000-0000-00009E880000}"/>
    <cellStyle name="Input 5 3 4 3 3 2 2" xfId="35184" xr:uid="{00000000-0005-0000-0000-00009F880000}"/>
    <cellStyle name="Input 5 3 4 3 3 3" xfId="35185" xr:uid="{00000000-0005-0000-0000-0000A0880000}"/>
    <cellStyle name="Input 5 3 4 3 3 3 2" xfId="35186" xr:uid="{00000000-0005-0000-0000-0000A1880000}"/>
    <cellStyle name="Input 5 3 4 3 3 4" xfId="35187" xr:uid="{00000000-0005-0000-0000-0000A2880000}"/>
    <cellStyle name="Input 5 3 4 3 3 5" xfId="35188" xr:uid="{00000000-0005-0000-0000-0000A3880000}"/>
    <cellStyle name="Input 5 3 4 3 3 6" xfId="35189" xr:uid="{00000000-0005-0000-0000-0000A4880000}"/>
    <cellStyle name="Input 5 3 4 3 4" xfId="35190" xr:uid="{00000000-0005-0000-0000-0000A5880000}"/>
    <cellStyle name="Input 5 3 4 3 4 2" xfId="35191" xr:uid="{00000000-0005-0000-0000-0000A6880000}"/>
    <cellStyle name="Input 5 3 4 3 5" xfId="35192" xr:uid="{00000000-0005-0000-0000-0000A7880000}"/>
    <cellStyle name="Input 5 3 4 3 5 2" xfId="35193" xr:uid="{00000000-0005-0000-0000-0000A8880000}"/>
    <cellStyle name="Input 5 3 4 3 6" xfId="35194" xr:uid="{00000000-0005-0000-0000-0000A9880000}"/>
    <cellStyle name="Input 5 3 4 3 7" xfId="35195" xr:uid="{00000000-0005-0000-0000-0000AA880000}"/>
    <cellStyle name="Input 5 3 4 3 8" xfId="35196" xr:uid="{00000000-0005-0000-0000-0000AB880000}"/>
    <cellStyle name="Input 5 3 4 4" xfId="35197" xr:uid="{00000000-0005-0000-0000-0000AC880000}"/>
    <cellStyle name="Input 5 3 4 4 2" xfId="35198" xr:uid="{00000000-0005-0000-0000-0000AD880000}"/>
    <cellStyle name="Input 5 3 4 4 2 2" xfId="35199" xr:uid="{00000000-0005-0000-0000-0000AE880000}"/>
    <cellStyle name="Input 5 3 4 4 2 2 2" xfId="35200" xr:uid="{00000000-0005-0000-0000-0000AF880000}"/>
    <cellStyle name="Input 5 3 4 4 2 3" xfId="35201" xr:uid="{00000000-0005-0000-0000-0000B0880000}"/>
    <cellStyle name="Input 5 3 4 4 2 3 2" xfId="35202" xr:uid="{00000000-0005-0000-0000-0000B1880000}"/>
    <cellStyle name="Input 5 3 4 4 2 4" xfId="35203" xr:uid="{00000000-0005-0000-0000-0000B2880000}"/>
    <cellStyle name="Input 5 3 4 4 2 5" xfId="35204" xr:uid="{00000000-0005-0000-0000-0000B3880000}"/>
    <cellStyle name="Input 5 3 4 4 2 6" xfId="35205" xr:uid="{00000000-0005-0000-0000-0000B4880000}"/>
    <cellStyle name="Input 5 3 4 4 3" xfId="35206" xr:uid="{00000000-0005-0000-0000-0000B5880000}"/>
    <cellStyle name="Input 5 3 4 4 3 2" xfId="35207" xr:uid="{00000000-0005-0000-0000-0000B6880000}"/>
    <cellStyle name="Input 5 3 4 4 4" xfId="35208" xr:uid="{00000000-0005-0000-0000-0000B7880000}"/>
    <cellStyle name="Input 5 3 4 4 4 2" xfId="35209" xr:uid="{00000000-0005-0000-0000-0000B8880000}"/>
    <cellStyle name="Input 5 3 4 4 5" xfId="35210" xr:uid="{00000000-0005-0000-0000-0000B9880000}"/>
    <cellStyle name="Input 5 3 4 4 6" xfId="35211" xr:uid="{00000000-0005-0000-0000-0000BA880000}"/>
    <cellStyle name="Input 5 3 4 4 7" xfId="35212" xr:uid="{00000000-0005-0000-0000-0000BB880000}"/>
    <cellStyle name="Input 5 3 4 5" xfId="35213" xr:uid="{00000000-0005-0000-0000-0000BC880000}"/>
    <cellStyle name="Input 5 3 4 5 2" xfId="35214" xr:uid="{00000000-0005-0000-0000-0000BD880000}"/>
    <cellStyle name="Input 5 3 4 5 2 2" xfId="35215" xr:uid="{00000000-0005-0000-0000-0000BE880000}"/>
    <cellStyle name="Input 5 3 4 5 3" xfId="35216" xr:uid="{00000000-0005-0000-0000-0000BF880000}"/>
    <cellStyle name="Input 5 3 4 5 3 2" xfId="35217" xr:uid="{00000000-0005-0000-0000-0000C0880000}"/>
    <cellStyle name="Input 5 3 4 5 4" xfId="35218" xr:uid="{00000000-0005-0000-0000-0000C1880000}"/>
    <cellStyle name="Input 5 3 4 5 5" xfId="35219" xr:uid="{00000000-0005-0000-0000-0000C2880000}"/>
    <cellStyle name="Input 5 3 4 5 6" xfId="35220" xr:uid="{00000000-0005-0000-0000-0000C3880000}"/>
    <cellStyle name="Input 5 3 4 6" xfId="35221" xr:uid="{00000000-0005-0000-0000-0000C4880000}"/>
    <cellStyle name="Input 5 3 4 6 2" xfId="35222" xr:uid="{00000000-0005-0000-0000-0000C5880000}"/>
    <cellStyle name="Input 5 3 4 7" xfId="35223" xr:uid="{00000000-0005-0000-0000-0000C6880000}"/>
    <cellStyle name="Input 5 3 4 7 2" xfId="35224" xr:uid="{00000000-0005-0000-0000-0000C7880000}"/>
    <cellStyle name="Input 5 3 4 8" xfId="35225" xr:uid="{00000000-0005-0000-0000-0000C8880000}"/>
    <cellStyle name="Input 5 3 4 9" xfId="35226" xr:uid="{00000000-0005-0000-0000-0000C9880000}"/>
    <cellStyle name="Input 5 3 5" xfId="35227" xr:uid="{00000000-0005-0000-0000-0000CA880000}"/>
    <cellStyle name="Input 5 3 5 2" xfId="35228" xr:uid="{00000000-0005-0000-0000-0000CB880000}"/>
    <cellStyle name="Input 5 3 5 2 2" xfId="35229" xr:uid="{00000000-0005-0000-0000-0000CC880000}"/>
    <cellStyle name="Input 5 3 5 2 2 2" xfId="35230" xr:uid="{00000000-0005-0000-0000-0000CD880000}"/>
    <cellStyle name="Input 5 3 5 2 2 2 2" xfId="35231" xr:uid="{00000000-0005-0000-0000-0000CE880000}"/>
    <cellStyle name="Input 5 3 5 2 2 3" xfId="35232" xr:uid="{00000000-0005-0000-0000-0000CF880000}"/>
    <cellStyle name="Input 5 3 5 2 2 3 2" xfId="35233" xr:uid="{00000000-0005-0000-0000-0000D0880000}"/>
    <cellStyle name="Input 5 3 5 2 2 4" xfId="35234" xr:uid="{00000000-0005-0000-0000-0000D1880000}"/>
    <cellStyle name="Input 5 3 5 2 2 5" xfId="35235" xr:uid="{00000000-0005-0000-0000-0000D2880000}"/>
    <cellStyle name="Input 5 3 5 2 2 6" xfId="35236" xr:uid="{00000000-0005-0000-0000-0000D3880000}"/>
    <cellStyle name="Input 5 3 5 2 3" xfId="35237" xr:uid="{00000000-0005-0000-0000-0000D4880000}"/>
    <cellStyle name="Input 5 3 5 2 3 2" xfId="35238" xr:uid="{00000000-0005-0000-0000-0000D5880000}"/>
    <cellStyle name="Input 5 3 5 2 4" xfId="35239" xr:uid="{00000000-0005-0000-0000-0000D6880000}"/>
    <cellStyle name="Input 5 3 5 2 4 2" xfId="35240" xr:uid="{00000000-0005-0000-0000-0000D7880000}"/>
    <cellStyle name="Input 5 3 5 2 5" xfId="35241" xr:uid="{00000000-0005-0000-0000-0000D8880000}"/>
    <cellStyle name="Input 5 3 5 2 6" xfId="35242" xr:uid="{00000000-0005-0000-0000-0000D9880000}"/>
    <cellStyle name="Input 5 3 5 2 7" xfId="35243" xr:uid="{00000000-0005-0000-0000-0000DA880000}"/>
    <cellStyle name="Input 5 3 5 3" xfId="35244" xr:uid="{00000000-0005-0000-0000-0000DB880000}"/>
    <cellStyle name="Input 5 3 5 3 2" xfId="35245" xr:uid="{00000000-0005-0000-0000-0000DC880000}"/>
    <cellStyle name="Input 5 3 5 3 2 2" xfId="35246" xr:uid="{00000000-0005-0000-0000-0000DD880000}"/>
    <cellStyle name="Input 5 3 5 3 3" xfId="35247" xr:uid="{00000000-0005-0000-0000-0000DE880000}"/>
    <cellStyle name="Input 5 3 5 3 3 2" xfId="35248" xr:uid="{00000000-0005-0000-0000-0000DF880000}"/>
    <cellStyle name="Input 5 3 5 3 4" xfId="35249" xr:uid="{00000000-0005-0000-0000-0000E0880000}"/>
    <cellStyle name="Input 5 3 5 3 5" xfId="35250" xr:uid="{00000000-0005-0000-0000-0000E1880000}"/>
    <cellStyle name="Input 5 3 5 3 6" xfId="35251" xr:uid="{00000000-0005-0000-0000-0000E2880000}"/>
    <cellStyle name="Input 5 3 5 4" xfId="35252" xr:uid="{00000000-0005-0000-0000-0000E3880000}"/>
    <cellStyle name="Input 5 3 5 4 2" xfId="35253" xr:uid="{00000000-0005-0000-0000-0000E4880000}"/>
    <cellStyle name="Input 5 3 5 5" xfId="35254" xr:uid="{00000000-0005-0000-0000-0000E5880000}"/>
    <cellStyle name="Input 5 3 5 5 2" xfId="35255" xr:uid="{00000000-0005-0000-0000-0000E6880000}"/>
    <cellStyle name="Input 5 3 5 6" xfId="35256" xr:uid="{00000000-0005-0000-0000-0000E7880000}"/>
    <cellStyle name="Input 5 3 5 7" xfId="35257" xr:uid="{00000000-0005-0000-0000-0000E8880000}"/>
    <cellStyle name="Input 5 3 5 8" xfId="35258" xr:uid="{00000000-0005-0000-0000-0000E9880000}"/>
    <cellStyle name="Input 5 3 6" xfId="35259" xr:uid="{00000000-0005-0000-0000-0000EA880000}"/>
    <cellStyle name="Input 5 3 6 2" xfId="35260" xr:uid="{00000000-0005-0000-0000-0000EB880000}"/>
    <cellStyle name="Input 5 3 6 2 2" xfId="35261" xr:uid="{00000000-0005-0000-0000-0000EC880000}"/>
    <cellStyle name="Input 5 3 6 2 2 2" xfId="35262" xr:uid="{00000000-0005-0000-0000-0000ED880000}"/>
    <cellStyle name="Input 5 3 6 2 3" xfId="35263" xr:uid="{00000000-0005-0000-0000-0000EE880000}"/>
    <cellStyle name="Input 5 3 6 2 3 2" xfId="35264" xr:uid="{00000000-0005-0000-0000-0000EF880000}"/>
    <cellStyle name="Input 5 3 6 2 4" xfId="35265" xr:uid="{00000000-0005-0000-0000-0000F0880000}"/>
    <cellStyle name="Input 5 3 6 2 5" xfId="35266" xr:uid="{00000000-0005-0000-0000-0000F1880000}"/>
    <cellStyle name="Input 5 3 6 2 6" xfId="35267" xr:uid="{00000000-0005-0000-0000-0000F2880000}"/>
    <cellStyle name="Input 5 3 6 3" xfId="35268" xr:uid="{00000000-0005-0000-0000-0000F3880000}"/>
    <cellStyle name="Input 5 3 6 3 2" xfId="35269" xr:uid="{00000000-0005-0000-0000-0000F4880000}"/>
    <cellStyle name="Input 5 3 6 4" xfId="35270" xr:uid="{00000000-0005-0000-0000-0000F5880000}"/>
    <cellStyle name="Input 5 3 6 4 2" xfId="35271" xr:uid="{00000000-0005-0000-0000-0000F6880000}"/>
    <cellStyle name="Input 5 3 6 5" xfId="35272" xr:uid="{00000000-0005-0000-0000-0000F7880000}"/>
    <cellStyle name="Input 5 3 6 6" xfId="35273" xr:uid="{00000000-0005-0000-0000-0000F8880000}"/>
    <cellStyle name="Input 5 3 6 7" xfId="35274" xr:uid="{00000000-0005-0000-0000-0000F9880000}"/>
    <cellStyle name="Input 5 3 7" xfId="35275" xr:uid="{00000000-0005-0000-0000-0000FA880000}"/>
    <cellStyle name="Input 5 3 7 2" xfId="35276" xr:uid="{00000000-0005-0000-0000-0000FB880000}"/>
    <cellStyle name="Input 5 3 7 2 2" xfId="35277" xr:uid="{00000000-0005-0000-0000-0000FC880000}"/>
    <cellStyle name="Input 5 3 7 3" xfId="35278" xr:uid="{00000000-0005-0000-0000-0000FD880000}"/>
    <cellStyle name="Input 5 3 7 3 2" xfId="35279" xr:uid="{00000000-0005-0000-0000-0000FE880000}"/>
    <cellStyle name="Input 5 3 7 4" xfId="35280" xr:uid="{00000000-0005-0000-0000-0000FF880000}"/>
    <cellStyle name="Input 5 3 7 5" xfId="35281" xr:uid="{00000000-0005-0000-0000-000000890000}"/>
    <cellStyle name="Input 5 3 7 6" xfId="35282" xr:uid="{00000000-0005-0000-0000-000001890000}"/>
    <cellStyle name="Input 5 3 8" xfId="35283" xr:uid="{00000000-0005-0000-0000-000002890000}"/>
    <cellStyle name="Input 5 3 8 2" xfId="35284" xr:uid="{00000000-0005-0000-0000-000003890000}"/>
    <cellStyle name="Input 5 3 9" xfId="35285" xr:uid="{00000000-0005-0000-0000-000004890000}"/>
    <cellStyle name="Input 5 3 9 2" xfId="35286" xr:uid="{00000000-0005-0000-0000-000005890000}"/>
    <cellStyle name="Input 5 4" xfId="35287" xr:uid="{00000000-0005-0000-0000-000006890000}"/>
    <cellStyle name="Input 5 4 10" xfId="35288" xr:uid="{00000000-0005-0000-0000-000007890000}"/>
    <cellStyle name="Input 5 4 11" xfId="35289" xr:uid="{00000000-0005-0000-0000-000008890000}"/>
    <cellStyle name="Input 5 4 2" xfId="35290" xr:uid="{00000000-0005-0000-0000-000009890000}"/>
    <cellStyle name="Input 5 4 2 10" xfId="35291" xr:uid="{00000000-0005-0000-0000-00000A890000}"/>
    <cellStyle name="Input 5 4 2 2" xfId="35292" xr:uid="{00000000-0005-0000-0000-00000B890000}"/>
    <cellStyle name="Input 5 4 2 2 10" xfId="35293" xr:uid="{00000000-0005-0000-0000-00000C890000}"/>
    <cellStyle name="Input 5 4 2 2 2" xfId="35294" xr:uid="{00000000-0005-0000-0000-00000D890000}"/>
    <cellStyle name="Input 5 4 2 2 2 2" xfId="35295" xr:uid="{00000000-0005-0000-0000-00000E890000}"/>
    <cellStyle name="Input 5 4 2 2 2 2 2" xfId="35296" xr:uid="{00000000-0005-0000-0000-00000F890000}"/>
    <cellStyle name="Input 5 4 2 2 2 2 2 2" xfId="35297" xr:uid="{00000000-0005-0000-0000-000010890000}"/>
    <cellStyle name="Input 5 4 2 2 2 2 2 2 2" xfId="35298" xr:uid="{00000000-0005-0000-0000-000011890000}"/>
    <cellStyle name="Input 5 4 2 2 2 2 2 3" xfId="35299" xr:uid="{00000000-0005-0000-0000-000012890000}"/>
    <cellStyle name="Input 5 4 2 2 2 2 2 3 2" xfId="35300" xr:uid="{00000000-0005-0000-0000-000013890000}"/>
    <cellStyle name="Input 5 4 2 2 2 2 2 4" xfId="35301" xr:uid="{00000000-0005-0000-0000-000014890000}"/>
    <cellStyle name="Input 5 4 2 2 2 2 2 5" xfId="35302" xr:uid="{00000000-0005-0000-0000-000015890000}"/>
    <cellStyle name="Input 5 4 2 2 2 2 2 6" xfId="35303" xr:uid="{00000000-0005-0000-0000-000016890000}"/>
    <cellStyle name="Input 5 4 2 2 2 2 3" xfId="35304" xr:uid="{00000000-0005-0000-0000-000017890000}"/>
    <cellStyle name="Input 5 4 2 2 2 2 3 2" xfId="35305" xr:uid="{00000000-0005-0000-0000-000018890000}"/>
    <cellStyle name="Input 5 4 2 2 2 2 4" xfId="35306" xr:uid="{00000000-0005-0000-0000-000019890000}"/>
    <cellStyle name="Input 5 4 2 2 2 2 4 2" xfId="35307" xr:uid="{00000000-0005-0000-0000-00001A890000}"/>
    <cellStyle name="Input 5 4 2 2 2 2 5" xfId="35308" xr:uid="{00000000-0005-0000-0000-00001B890000}"/>
    <cellStyle name="Input 5 4 2 2 2 2 6" xfId="35309" xr:uid="{00000000-0005-0000-0000-00001C890000}"/>
    <cellStyle name="Input 5 4 2 2 2 2 7" xfId="35310" xr:uid="{00000000-0005-0000-0000-00001D890000}"/>
    <cellStyle name="Input 5 4 2 2 2 3" xfId="35311" xr:uid="{00000000-0005-0000-0000-00001E890000}"/>
    <cellStyle name="Input 5 4 2 2 2 3 2" xfId="35312" xr:uid="{00000000-0005-0000-0000-00001F890000}"/>
    <cellStyle name="Input 5 4 2 2 2 3 2 2" xfId="35313" xr:uid="{00000000-0005-0000-0000-000020890000}"/>
    <cellStyle name="Input 5 4 2 2 2 3 3" xfId="35314" xr:uid="{00000000-0005-0000-0000-000021890000}"/>
    <cellStyle name="Input 5 4 2 2 2 3 3 2" xfId="35315" xr:uid="{00000000-0005-0000-0000-000022890000}"/>
    <cellStyle name="Input 5 4 2 2 2 3 4" xfId="35316" xr:uid="{00000000-0005-0000-0000-000023890000}"/>
    <cellStyle name="Input 5 4 2 2 2 3 5" xfId="35317" xr:uid="{00000000-0005-0000-0000-000024890000}"/>
    <cellStyle name="Input 5 4 2 2 2 3 6" xfId="35318" xr:uid="{00000000-0005-0000-0000-000025890000}"/>
    <cellStyle name="Input 5 4 2 2 2 4" xfId="35319" xr:uid="{00000000-0005-0000-0000-000026890000}"/>
    <cellStyle name="Input 5 4 2 2 2 4 2" xfId="35320" xr:uid="{00000000-0005-0000-0000-000027890000}"/>
    <cellStyle name="Input 5 4 2 2 2 5" xfId="35321" xr:uid="{00000000-0005-0000-0000-000028890000}"/>
    <cellStyle name="Input 5 4 2 2 2 5 2" xfId="35322" xr:uid="{00000000-0005-0000-0000-000029890000}"/>
    <cellStyle name="Input 5 4 2 2 2 6" xfId="35323" xr:uid="{00000000-0005-0000-0000-00002A890000}"/>
    <cellStyle name="Input 5 4 2 2 2 7" xfId="35324" xr:uid="{00000000-0005-0000-0000-00002B890000}"/>
    <cellStyle name="Input 5 4 2 2 2 8" xfId="35325" xr:uid="{00000000-0005-0000-0000-00002C890000}"/>
    <cellStyle name="Input 5 4 2 2 3" xfId="35326" xr:uid="{00000000-0005-0000-0000-00002D890000}"/>
    <cellStyle name="Input 5 4 2 2 3 2" xfId="35327" xr:uid="{00000000-0005-0000-0000-00002E890000}"/>
    <cellStyle name="Input 5 4 2 2 3 2 2" xfId="35328" xr:uid="{00000000-0005-0000-0000-00002F890000}"/>
    <cellStyle name="Input 5 4 2 2 3 2 2 2" xfId="35329" xr:uid="{00000000-0005-0000-0000-000030890000}"/>
    <cellStyle name="Input 5 4 2 2 3 2 2 2 2" xfId="35330" xr:uid="{00000000-0005-0000-0000-000031890000}"/>
    <cellStyle name="Input 5 4 2 2 3 2 2 3" xfId="35331" xr:uid="{00000000-0005-0000-0000-000032890000}"/>
    <cellStyle name="Input 5 4 2 2 3 2 2 3 2" xfId="35332" xr:uid="{00000000-0005-0000-0000-000033890000}"/>
    <cellStyle name="Input 5 4 2 2 3 2 2 4" xfId="35333" xr:uid="{00000000-0005-0000-0000-000034890000}"/>
    <cellStyle name="Input 5 4 2 2 3 2 2 5" xfId="35334" xr:uid="{00000000-0005-0000-0000-000035890000}"/>
    <cellStyle name="Input 5 4 2 2 3 2 2 6" xfId="35335" xr:uid="{00000000-0005-0000-0000-000036890000}"/>
    <cellStyle name="Input 5 4 2 2 3 2 3" xfId="35336" xr:uid="{00000000-0005-0000-0000-000037890000}"/>
    <cellStyle name="Input 5 4 2 2 3 2 3 2" xfId="35337" xr:uid="{00000000-0005-0000-0000-000038890000}"/>
    <cellStyle name="Input 5 4 2 2 3 2 4" xfId="35338" xr:uid="{00000000-0005-0000-0000-000039890000}"/>
    <cellStyle name="Input 5 4 2 2 3 2 4 2" xfId="35339" xr:uid="{00000000-0005-0000-0000-00003A890000}"/>
    <cellStyle name="Input 5 4 2 2 3 2 5" xfId="35340" xr:uid="{00000000-0005-0000-0000-00003B890000}"/>
    <cellStyle name="Input 5 4 2 2 3 2 6" xfId="35341" xr:uid="{00000000-0005-0000-0000-00003C890000}"/>
    <cellStyle name="Input 5 4 2 2 3 2 7" xfId="35342" xr:uid="{00000000-0005-0000-0000-00003D890000}"/>
    <cellStyle name="Input 5 4 2 2 3 3" xfId="35343" xr:uid="{00000000-0005-0000-0000-00003E890000}"/>
    <cellStyle name="Input 5 4 2 2 3 3 2" xfId="35344" xr:uid="{00000000-0005-0000-0000-00003F890000}"/>
    <cellStyle name="Input 5 4 2 2 3 3 2 2" xfId="35345" xr:uid="{00000000-0005-0000-0000-000040890000}"/>
    <cellStyle name="Input 5 4 2 2 3 3 3" xfId="35346" xr:uid="{00000000-0005-0000-0000-000041890000}"/>
    <cellStyle name="Input 5 4 2 2 3 3 3 2" xfId="35347" xr:uid="{00000000-0005-0000-0000-000042890000}"/>
    <cellStyle name="Input 5 4 2 2 3 3 4" xfId="35348" xr:uid="{00000000-0005-0000-0000-000043890000}"/>
    <cellStyle name="Input 5 4 2 2 3 3 5" xfId="35349" xr:uid="{00000000-0005-0000-0000-000044890000}"/>
    <cellStyle name="Input 5 4 2 2 3 3 6" xfId="35350" xr:uid="{00000000-0005-0000-0000-000045890000}"/>
    <cellStyle name="Input 5 4 2 2 3 4" xfId="35351" xr:uid="{00000000-0005-0000-0000-000046890000}"/>
    <cellStyle name="Input 5 4 2 2 3 4 2" xfId="35352" xr:uid="{00000000-0005-0000-0000-000047890000}"/>
    <cellStyle name="Input 5 4 2 2 3 5" xfId="35353" xr:uid="{00000000-0005-0000-0000-000048890000}"/>
    <cellStyle name="Input 5 4 2 2 3 5 2" xfId="35354" xr:uid="{00000000-0005-0000-0000-000049890000}"/>
    <cellStyle name="Input 5 4 2 2 3 6" xfId="35355" xr:uid="{00000000-0005-0000-0000-00004A890000}"/>
    <cellStyle name="Input 5 4 2 2 3 7" xfId="35356" xr:uid="{00000000-0005-0000-0000-00004B890000}"/>
    <cellStyle name="Input 5 4 2 2 3 8" xfId="35357" xr:uid="{00000000-0005-0000-0000-00004C890000}"/>
    <cellStyle name="Input 5 4 2 2 4" xfId="35358" xr:uid="{00000000-0005-0000-0000-00004D890000}"/>
    <cellStyle name="Input 5 4 2 2 4 2" xfId="35359" xr:uid="{00000000-0005-0000-0000-00004E890000}"/>
    <cellStyle name="Input 5 4 2 2 4 2 2" xfId="35360" xr:uid="{00000000-0005-0000-0000-00004F890000}"/>
    <cellStyle name="Input 5 4 2 2 4 2 2 2" xfId="35361" xr:uid="{00000000-0005-0000-0000-000050890000}"/>
    <cellStyle name="Input 5 4 2 2 4 2 3" xfId="35362" xr:uid="{00000000-0005-0000-0000-000051890000}"/>
    <cellStyle name="Input 5 4 2 2 4 2 3 2" xfId="35363" xr:uid="{00000000-0005-0000-0000-000052890000}"/>
    <cellStyle name="Input 5 4 2 2 4 2 4" xfId="35364" xr:uid="{00000000-0005-0000-0000-000053890000}"/>
    <cellStyle name="Input 5 4 2 2 4 2 5" xfId="35365" xr:uid="{00000000-0005-0000-0000-000054890000}"/>
    <cellStyle name="Input 5 4 2 2 4 2 6" xfId="35366" xr:uid="{00000000-0005-0000-0000-000055890000}"/>
    <cellStyle name="Input 5 4 2 2 4 3" xfId="35367" xr:uid="{00000000-0005-0000-0000-000056890000}"/>
    <cellStyle name="Input 5 4 2 2 4 3 2" xfId="35368" xr:uid="{00000000-0005-0000-0000-000057890000}"/>
    <cellStyle name="Input 5 4 2 2 4 4" xfId="35369" xr:uid="{00000000-0005-0000-0000-000058890000}"/>
    <cellStyle name="Input 5 4 2 2 4 4 2" xfId="35370" xr:uid="{00000000-0005-0000-0000-000059890000}"/>
    <cellStyle name="Input 5 4 2 2 4 5" xfId="35371" xr:uid="{00000000-0005-0000-0000-00005A890000}"/>
    <cellStyle name="Input 5 4 2 2 4 6" xfId="35372" xr:uid="{00000000-0005-0000-0000-00005B890000}"/>
    <cellStyle name="Input 5 4 2 2 4 7" xfId="35373" xr:uid="{00000000-0005-0000-0000-00005C890000}"/>
    <cellStyle name="Input 5 4 2 2 5" xfId="35374" xr:uid="{00000000-0005-0000-0000-00005D890000}"/>
    <cellStyle name="Input 5 4 2 2 5 2" xfId="35375" xr:uid="{00000000-0005-0000-0000-00005E890000}"/>
    <cellStyle name="Input 5 4 2 2 5 2 2" xfId="35376" xr:uid="{00000000-0005-0000-0000-00005F890000}"/>
    <cellStyle name="Input 5 4 2 2 5 3" xfId="35377" xr:uid="{00000000-0005-0000-0000-000060890000}"/>
    <cellStyle name="Input 5 4 2 2 5 3 2" xfId="35378" xr:uid="{00000000-0005-0000-0000-000061890000}"/>
    <cellStyle name="Input 5 4 2 2 5 4" xfId="35379" xr:uid="{00000000-0005-0000-0000-000062890000}"/>
    <cellStyle name="Input 5 4 2 2 5 5" xfId="35380" xr:uid="{00000000-0005-0000-0000-000063890000}"/>
    <cellStyle name="Input 5 4 2 2 5 6" xfId="35381" xr:uid="{00000000-0005-0000-0000-000064890000}"/>
    <cellStyle name="Input 5 4 2 2 6" xfId="35382" xr:uid="{00000000-0005-0000-0000-000065890000}"/>
    <cellStyle name="Input 5 4 2 2 6 2" xfId="35383" xr:uid="{00000000-0005-0000-0000-000066890000}"/>
    <cellStyle name="Input 5 4 2 2 7" xfId="35384" xr:uid="{00000000-0005-0000-0000-000067890000}"/>
    <cellStyle name="Input 5 4 2 2 7 2" xfId="35385" xr:uid="{00000000-0005-0000-0000-000068890000}"/>
    <cellStyle name="Input 5 4 2 2 8" xfId="35386" xr:uid="{00000000-0005-0000-0000-000069890000}"/>
    <cellStyle name="Input 5 4 2 2 9" xfId="35387" xr:uid="{00000000-0005-0000-0000-00006A890000}"/>
    <cellStyle name="Input 5 4 2 3" xfId="35388" xr:uid="{00000000-0005-0000-0000-00006B890000}"/>
    <cellStyle name="Input 5 4 2 3 2" xfId="35389" xr:uid="{00000000-0005-0000-0000-00006C890000}"/>
    <cellStyle name="Input 5 4 2 3 2 2" xfId="35390" xr:uid="{00000000-0005-0000-0000-00006D890000}"/>
    <cellStyle name="Input 5 4 2 3 2 2 2" xfId="35391" xr:uid="{00000000-0005-0000-0000-00006E890000}"/>
    <cellStyle name="Input 5 4 2 3 2 2 2 2" xfId="35392" xr:uid="{00000000-0005-0000-0000-00006F890000}"/>
    <cellStyle name="Input 5 4 2 3 2 2 3" xfId="35393" xr:uid="{00000000-0005-0000-0000-000070890000}"/>
    <cellStyle name="Input 5 4 2 3 2 2 3 2" xfId="35394" xr:uid="{00000000-0005-0000-0000-000071890000}"/>
    <cellStyle name="Input 5 4 2 3 2 2 4" xfId="35395" xr:uid="{00000000-0005-0000-0000-000072890000}"/>
    <cellStyle name="Input 5 4 2 3 2 2 5" xfId="35396" xr:uid="{00000000-0005-0000-0000-000073890000}"/>
    <cellStyle name="Input 5 4 2 3 2 2 6" xfId="35397" xr:uid="{00000000-0005-0000-0000-000074890000}"/>
    <cellStyle name="Input 5 4 2 3 2 3" xfId="35398" xr:uid="{00000000-0005-0000-0000-000075890000}"/>
    <cellStyle name="Input 5 4 2 3 2 3 2" xfId="35399" xr:uid="{00000000-0005-0000-0000-000076890000}"/>
    <cellStyle name="Input 5 4 2 3 2 4" xfId="35400" xr:uid="{00000000-0005-0000-0000-000077890000}"/>
    <cellStyle name="Input 5 4 2 3 2 4 2" xfId="35401" xr:uid="{00000000-0005-0000-0000-000078890000}"/>
    <cellStyle name="Input 5 4 2 3 2 5" xfId="35402" xr:uid="{00000000-0005-0000-0000-000079890000}"/>
    <cellStyle name="Input 5 4 2 3 2 6" xfId="35403" xr:uid="{00000000-0005-0000-0000-00007A890000}"/>
    <cellStyle name="Input 5 4 2 3 2 7" xfId="35404" xr:uid="{00000000-0005-0000-0000-00007B890000}"/>
    <cellStyle name="Input 5 4 2 3 3" xfId="35405" xr:uid="{00000000-0005-0000-0000-00007C890000}"/>
    <cellStyle name="Input 5 4 2 3 3 2" xfId="35406" xr:uid="{00000000-0005-0000-0000-00007D890000}"/>
    <cellStyle name="Input 5 4 2 3 3 2 2" xfId="35407" xr:uid="{00000000-0005-0000-0000-00007E890000}"/>
    <cellStyle name="Input 5 4 2 3 3 3" xfId="35408" xr:uid="{00000000-0005-0000-0000-00007F890000}"/>
    <cellStyle name="Input 5 4 2 3 3 3 2" xfId="35409" xr:uid="{00000000-0005-0000-0000-000080890000}"/>
    <cellStyle name="Input 5 4 2 3 3 4" xfId="35410" xr:uid="{00000000-0005-0000-0000-000081890000}"/>
    <cellStyle name="Input 5 4 2 3 3 5" xfId="35411" xr:uid="{00000000-0005-0000-0000-000082890000}"/>
    <cellStyle name="Input 5 4 2 3 3 6" xfId="35412" xr:uid="{00000000-0005-0000-0000-000083890000}"/>
    <cellStyle name="Input 5 4 2 3 4" xfId="35413" xr:uid="{00000000-0005-0000-0000-000084890000}"/>
    <cellStyle name="Input 5 4 2 3 4 2" xfId="35414" xr:uid="{00000000-0005-0000-0000-000085890000}"/>
    <cellStyle name="Input 5 4 2 3 5" xfId="35415" xr:uid="{00000000-0005-0000-0000-000086890000}"/>
    <cellStyle name="Input 5 4 2 3 5 2" xfId="35416" xr:uid="{00000000-0005-0000-0000-000087890000}"/>
    <cellStyle name="Input 5 4 2 3 6" xfId="35417" xr:uid="{00000000-0005-0000-0000-000088890000}"/>
    <cellStyle name="Input 5 4 2 3 7" xfId="35418" xr:uid="{00000000-0005-0000-0000-000089890000}"/>
    <cellStyle name="Input 5 4 2 3 8" xfId="35419" xr:uid="{00000000-0005-0000-0000-00008A890000}"/>
    <cellStyle name="Input 5 4 2 4" xfId="35420" xr:uid="{00000000-0005-0000-0000-00008B890000}"/>
    <cellStyle name="Input 5 4 2 4 2" xfId="35421" xr:uid="{00000000-0005-0000-0000-00008C890000}"/>
    <cellStyle name="Input 5 4 2 4 2 2" xfId="35422" xr:uid="{00000000-0005-0000-0000-00008D890000}"/>
    <cellStyle name="Input 5 4 2 4 2 2 2" xfId="35423" xr:uid="{00000000-0005-0000-0000-00008E890000}"/>
    <cellStyle name="Input 5 4 2 4 2 3" xfId="35424" xr:uid="{00000000-0005-0000-0000-00008F890000}"/>
    <cellStyle name="Input 5 4 2 4 2 3 2" xfId="35425" xr:uid="{00000000-0005-0000-0000-000090890000}"/>
    <cellStyle name="Input 5 4 2 4 2 4" xfId="35426" xr:uid="{00000000-0005-0000-0000-000091890000}"/>
    <cellStyle name="Input 5 4 2 4 2 5" xfId="35427" xr:uid="{00000000-0005-0000-0000-000092890000}"/>
    <cellStyle name="Input 5 4 2 4 2 6" xfId="35428" xr:uid="{00000000-0005-0000-0000-000093890000}"/>
    <cellStyle name="Input 5 4 2 4 3" xfId="35429" xr:uid="{00000000-0005-0000-0000-000094890000}"/>
    <cellStyle name="Input 5 4 2 4 3 2" xfId="35430" xr:uid="{00000000-0005-0000-0000-000095890000}"/>
    <cellStyle name="Input 5 4 2 4 4" xfId="35431" xr:uid="{00000000-0005-0000-0000-000096890000}"/>
    <cellStyle name="Input 5 4 2 4 4 2" xfId="35432" xr:uid="{00000000-0005-0000-0000-000097890000}"/>
    <cellStyle name="Input 5 4 2 4 5" xfId="35433" xr:uid="{00000000-0005-0000-0000-000098890000}"/>
    <cellStyle name="Input 5 4 2 4 6" xfId="35434" xr:uid="{00000000-0005-0000-0000-000099890000}"/>
    <cellStyle name="Input 5 4 2 4 7" xfId="35435" xr:uid="{00000000-0005-0000-0000-00009A890000}"/>
    <cellStyle name="Input 5 4 2 5" xfId="35436" xr:uid="{00000000-0005-0000-0000-00009B890000}"/>
    <cellStyle name="Input 5 4 2 5 2" xfId="35437" xr:uid="{00000000-0005-0000-0000-00009C890000}"/>
    <cellStyle name="Input 5 4 2 5 2 2" xfId="35438" xr:uid="{00000000-0005-0000-0000-00009D890000}"/>
    <cellStyle name="Input 5 4 2 5 3" xfId="35439" xr:uid="{00000000-0005-0000-0000-00009E890000}"/>
    <cellStyle name="Input 5 4 2 5 3 2" xfId="35440" xr:uid="{00000000-0005-0000-0000-00009F890000}"/>
    <cellStyle name="Input 5 4 2 5 4" xfId="35441" xr:uid="{00000000-0005-0000-0000-0000A0890000}"/>
    <cellStyle name="Input 5 4 2 5 5" xfId="35442" xr:uid="{00000000-0005-0000-0000-0000A1890000}"/>
    <cellStyle name="Input 5 4 2 5 6" xfId="35443" xr:uid="{00000000-0005-0000-0000-0000A2890000}"/>
    <cellStyle name="Input 5 4 2 6" xfId="35444" xr:uid="{00000000-0005-0000-0000-0000A3890000}"/>
    <cellStyle name="Input 5 4 2 6 2" xfId="35445" xr:uid="{00000000-0005-0000-0000-0000A4890000}"/>
    <cellStyle name="Input 5 4 2 7" xfId="35446" xr:uid="{00000000-0005-0000-0000-0000A5890000}"/>
    <cellStyle name="Input 5 4 2 7 2" xfId="35447" xr:uid="{00000000-0005-0000-0000-0000A6890000}"/>
    <cellStyle name="Input 5 4 2 8" xfId="35448" xr:uid="{00000000-0005-0000-0000-0000A7890000}"/>
    <cellStyle name="Input 5 4 2 9" xfId="35449" xr:uid="{00000000-0005-0000-0000-0000A8890000}"/>
    <cellStyle name="Input 5 4 3" xfId="35450" xr:uid="{00000000-0005-0000-0000-0000A9890000}"/>
    <cellStyle name="Input 5 4 3 10" xfId="35451" xr:uid="{00000000-0005-0000-0000-0000AA890000}"/>
    <cellStyle name="Input 5 4 3 2" xfId="35452" xr:uid="{00000000-0005-0000-0000-0000AB890000}"/>
    <cellStyle name="Input 5 4 3 2 2" xfId="35453" xr:uid="{00000000-0005-0000-0000-0000AC890000}"/>
    <cellStyle name="Input 5 4 3 2 2 2" xfId="35454" xr:uid="{00000000-0005-0000-0000-0000AD890000}"/>
    <cellStyle name="Input 5 4 3 2 2 2 2" xfId="35455" xr:uid="{00000000-0005-0000-0000-0000AE890000}"/>
    <cellStyle name="Input 5 4 3 2 2 2 2 2" xfId="35456" xr:uid="{00000000-0005-0000-0000-0000AF890000}"/>
    <cellStyle name="Input 5 4 3 2 2 2 3" xfId="35457" xr:uid="{00000000-0005-0000-0000-0000B0890000}"/>
    <cellStyle name="Input 5 4 3 2 2 2 3 2" xfId="35458" xr:uid="{00000000-0005-0000-0000-0000B1890000}"/>
    <cellStyle name="Input 5 4 3 2 2 2 4" xfId="35459" xr:uid="{00000000-0005-0000-0000-0000B2890000}"/>
    <cellStyle name="Input 5 4 3 2 2 2 5" xfId="35460" xr:uid="{00000000-0005-0000-0000-0000B3890000}"/>
    <cellStyle name="Input 5 4 3 2 2 2 6" xfId="35461" xr:uid="{00000000-0005-0000-0000-0000B4890000}"/>
    <cellStyle name="Input 5 4 3 2 2 3" xfId="35462" xr:uid="{00000000-0005-0000-0000-0000B5890000}"/>
    <cellStyle name="Input 5 4 3 2 2 3 2" xfId="35463" xr:uid="{00000000-0005-0000-0000-0000B6890000}"/>
    <cellStyle name="Input 5 4 3 2 2 4" xfId="35464" xr:uid="{00000000-0005-0000-0000-0000B7890000}"/>
    <cellStyle name="Input 5 4 3 2 2 4 2" xfId="35465" xr:uid="{00000000-0005-0000-0000-0000B8890000}"/>
    <cellStyle name="Input 5 4 3 2 2 5" xfId="35466" xr:uid="{00000000-0005-0000-0000-0000B9890000}"/>
    <cellStyle name="Input 5 4 3 2 2 6" xfId="35467" xr:uid="{00000000-0005-0000-0000-0000BA890000}"/>
    <cellStyle name="Input 5 4 3 2 2 7" xfId="35468" xr:uid="{00000000-0005-0000-0000-0000BB890000}"/>
    <cellStyle name="Input 5 4 3 2 3" xfId="35469" xr:uid="{00000000-0005-0000-0000-0000BC890000}"/>
    <cellStyle name="Input 5 4 3 2 3 2" xfId="35470" xr:uid="{00000000-0005-0000-0000-0000BD890000}"/>
    <cellStyle name="Input 5 4 3 2 3 2 2" xfId="35471" xr:uid="{00000000-0005-0000-0000-0000BE890000}"/>
    <cellStyle name="Input 5 4 3 2 3 3" xfId="35472" xr:uid="{00000000-0005-0000-0000-0000BF890000}"/>
    <cellStyle name="Input 5 4 3 2 3 3 2" xfId="35473" xr:uid="{00000000-0005-0000-0000-0000C0890000}"/>
    <cellStyle name="Input 5 4 3 2 3 4" xfId="35474" xr:uid="{00000000-0005-0000-0000-0000C1890000}"/>
    <cellStyle name="Input 5 4 3 2 3 5" xfId="35475" xr:uid="{00000000-0005-0000-0000-0000C2890000}"/>
    <cellStyle name="Input 5 4 3 2 3 6" xfId="35476" xr:uid="{00000000-0005-0000-0000-0000C3890000}"/>
    <cellStyle name="Input 5 4 3 2 4" xfId="35477" xr:uid="{00000000-0005-0000-0000-0000C4890000}"/>
    <cellStyle name="Input 5 4 3 2 4 2" xfId="35478" xr:uid="{00000000-0005-0000-0000-0000C5890000}"/>
    <cellStyle name="Input 5 4 3 2 5" xfId="35479" xr:uid="{00000000-0005-0000-0000-0000C6890000}"/>
    <cellStyle name="Input 5 4 3 2 5 2" xfId="35480" xr:uid="{00000000-0005-0000-0000-0000C7890000}"/>
    <cellStyle name="Input 5 4 3 2 6" xfId="35481" xr:uid="{00000000-0005-0000-0000-0000C8890000}"/>
    <cellStyle name="Input 5 4 3 2 7" xfId="35482" xr:uid="{00000000-0005-0000-0000-0000C9890000}"/>
    <cellStyle name="Input 5 4 3 2 8" xfId="35483" xr:uid="{00000000-0005-0000-0000-0000CA890000}"/>
    <cellStyle name="Input 5 4 3 3" xfId="35484" xr:uid="{00000000-0005-0000-0000-0000CB890000}"/>
    <cellStyle name="Input 5 4 3 3 2" xfId="35485" xr:uid="{00000000-0005-0000-0000-0000CC890000}"/>
    <cellStyle name="Input 5 4 3 3 2 2" xfId="35486" xr:uid="{00000000-0005-0000-0000-0000CD890000}"/>
    <cellStyle name="Input 5 4 3 3 2 2 2" xfId="35487" xr:uid="{00000000-0005-0000-0000-0000CE890000}"/>
    <cellStyle name="Input 5 4 3 3 2 2 2 2" xfId="35488" xr:uid="{00000000-0005-0000-0000-0000CF890000}"/>
    <cellStyle name="Input 5 4 3 3 2 2 3" xfId="35489" xr:uid="{00000000-0005-0000-0000-0000D0890000}"/>
    <cellStyle name="Input 5 4 3 3 2 2 3 2" xfId="35490" xr:uid="{00000000-0005-0000-0000-0000D1890000}"/>
    <cellStyle name="Input 5 4 3 3 2 2 4" xfId="35491" xr:uid="{00000000-0005-0000-0000-0000D2890000}"/>
    <cellStyle name="Input 5 4 3 3 2 2 5" xfId="35492" xr:uid="{00000000-0005-0000-0000-0000D3890000}"/>
    <cellStyle name="Input 5 4 3 3 2 2 6" xfId="35493" xr:uid="{00000000-0005-0000-0000-0000D4890000}"/>
    <cellStyle name="Input 5 4 3 3 2 3" xfId="35494" xr:uid="{00000000-0005-0000-0000-0000D5890000}"/>
    <cellStyle name="Input 5 4 3 3 2 3 2" xfId="35495" xr:uid="{00000000-0005-0000-0000-0000D6890000}"/>
    <cellStyle name="Input 5 4 3 3 2 4" xfId="35496" xr:uid="{00000000-0005-0000-0000-0000D7890000}"/>
    <cellStyle name="Input 5 4 3 3 2 4 2" xfId="35497" xr:uid="{00000000-0005-0000-0000-0000D8890000}"/>
    <cellStyle name="Input 5 4 3 3 2 5" xfId="35498" xr:uid="{00000000-0005-0000-0000-0000D9890000}"/>
    <cellStyle name="Input 5 4 3 3 2 6" xfId="35499" xr:uid="{00000000-0005-0000-0000-0000DA890000}"/>
    <cellStyle name="Input 5 4 3 3 2 7" xfId="35500" xr:uid="{00000000-0005-0000-0000-0000DB890000}"/>
    <cellStyle name="Input 5 4 3 3 3" xfId="35501" xr:uid="{00000000-0005-0000-0000-0000DC890000}"/>
    <cellStyle name="Input 5 4 3 3 3 2" xfId="35502" xr:uid="{00000000-0005-0000-0000-0000DD890000}"/>
    <cellStyle name="Input 5 4 3 3 3 2 2" xfId="35503" xr:uid="{00000000-0005-0000-0000-0000DE890000}"/>
    <cellStyle name="Input 5 4 3 3 3 3" xfId="35504" xr:uid="{00000000-0005-0000-0000-0000DF890000}"/>
    <cellStyle name="Input 5 4 3 3 3 3 2" xfId="35505" xr:uid="{00000000-0005-0000-0000-0000E0890000}"/>
    <cellStyle name="Input 5 4 3 3 3 4" xfId="35506" xr:uid="{00000000-0005-0000-0000-0000E1890000}"/>
    <cellStyle name="Input 5 4 3 3 3 5" xfId="35507" xr:uid="{00000000-0005-0000-0000-0000E2890000}"/>
    <cellStyle name="Input 5 4 3 3 3 6" xfId="35508" xr:uid="{00000000-0005-0000-0000-0000E3890000}"/>
    <cellStyle name="Input 5 4 3 3 4" xfId="35509" xr:uid="{00000000-0005-0000-0000-0000E4890000}"/>
    <cellStyle name="Input 5 4 3 3 4 2" xfId="35510" xr:uid="{00000000-0005-0000-0000-0000E5890000}"/>
    <cellStyle name="Input 5 4 3 3 5" xfId="35511" xr:uid="{00000000-0005-0000-0000-0000E6890000}"/>
    <cellStyle name="Input 5 4 3 3 5 2" xfId="35512" xr:uid="{00000000-0005-0000-0000-0000E7890000}"/>
    <cellStyle name="Input 5 4 3 3 6" xfId="35513" xr:uid="{00000000-0005-0000-0000-0000E8890000}"/>
    <cellStyle name="Input 5 4 3 3 7" xfId="35514" xr:uid="{00000000-0005-0000-0000-0000E9890000}"/>
    <cellStyle name="Input 5 4 3 3 8" xfId="35515" xr:uid="{00000000-0005-0000-0000-0000EA890000}"/>
    <cellStyle name="Input 5 4 3 4" xfId="35516" xr:uid="{00000000-0005-0000-0000-0000EB890000}"/>
    <cellStyle name="Input 5 4 3 4 2" xfId="35517" xr:uid="{00000000-0005-0000-0000-0000EC890000}"/>
    <cellStyle name="Input 5 4 3 4 2 2" xfId="35518" xr:uid="{00000000-0005-0000-0000-0000ED890000}"/>
    <cellStyle name="Input 5 4 3 4 2 2 2" xfId="35519" xr:uid="{00000000-0005-0000-0000-0000EE890000}"/>
    <cellStyle name="Input 5 4 3 4 2 3" xfId="35520" xr:uid="{00000000-0005-0000-0000-0000EF890000}"/>
    <cellStyle name="Input 5 4 3 4 2 3 2" xfId="35521" xr:uid="{00000000-0005-0000-0000-0000F0890000}"/>
    <cellStyle name="Input 5 4 3 4 2 4" xfId="35522" xr:uid="{00000000-0005-0000-0000-0000F1890000}"/>
    <cellStyle name="Input 5 4 3 4 2 5" xfId="35523" xr:uid="{00000000-0005-0000-0000-0000F2890000}"/>
    <cellStyle name="Input 5 4 3 4 2 6" xfId="35524" xr:uid="{00000000-0005-0000-0000-0000F3890000}"/>
    <cellStyle name="Input 5 4 3 4 3" xfId="35525" xr:uid="{00000000-0005-0000-0000-0000F4890000}"/>
    <cellStyle name="Input 5 4 3 4 3 2" xfId="35526" xr:uid="{00000000-0005-0000-0000-0000F5890000}"/>
    <cellStyle name="Input 5 4 3 4 4" xfId="35527" xr:uid="{00000000-0005-0000-0000-0000F6890000}"/>
    <cellStyle name="Input 5 4 3 4 4 2" xfId="35528" xr:uid="{00000000-0005-0000-0000-0000F7890000}"/>
    <cellStyle name="Input 5 4 3 4 5" xfId="35529" xr:uid="{00000000-0005-0000-0000-0000F8890000}"/>
    <cellStyle name="Input 5 4 3 4 6" xfId="35530" xr:uid="{00000000-0005-0000-0000-0000F9890000}"/>
    <cellStyle name="Input 5 4 3 4 7" xfId="35531" xr:uid="{00000000-0005-0000-0000-0000FA890000}"/>
    <cellStyle name="Input 5 4 3 5" xfId="35532" xr:uid="{00000000-0005-0000-0000-0000FB890000}"/>
    <cellStyle name="Input 5 4 3 5 2" xfId="35533" xr:uid="{00000000-0005-0000-0000-0000FC890000}"/>
    <cellStyle name="Input 5 4 3 5 2 2" xfId="35534" xr:uid="{00000000-0005-0000-0000-0000FD890000}"/>
    <cellStyle name="Input 5 4 3 5 3" xfId="35535" xr:uid="{00000000-0005-0000-0000-0000FE890000}"/>
    <cellStyle name="Input 5 4 3 5 3 2" xfId="35536" xr:uid="{00000000-0005-0000-0000-0000FF890000}"/>
    <cellStyle name="Input 5 4 3 5 4" xfId="35537" xr:uid="{00000000-0005-0000-0000-0000008A0000}"/>
    <cellStyle name="Input 5 4 3 5 5" xfId="35538" xr:uid="{00000000-0005-0000-0000-0000018A0000}"/>
    <cellStyle name="Input 5 4 3 5 6" xfId="35539" xr:uid="{00000000-0005-0000-0000-0000028A0000}"/>
    <cellStyle name="Input 5 4 3 6" xfId="35540" xr:uid="{00000000-0005-0000-0000-0000038A0000}"/>
    <cellStyle name="Input 5 4 3 6 2" xfId="35541" xr:uid="{00000000-0005-0000-0000-0000048A0000}"/>
    <cellStyle name="Input 5 4 3 7" xfId="35542" xr:uid="{00000000-0005-0000-0000-0000058A0000}"/>
    <cellStyle name="Input 5 4 3 7 2" xfId="35543" xr:uid="{00000000-0005-0000-0000-0000068A0000}"/>
    <cellStyle name="Input 5 4 3 8" xfId="35544" xr:uid="{00000000-0005-0000-0000-0000078A0000}"/>
    <cellStyle name="Input 5 4 3 9" xfId="35545" xr:uid="{00000000-0005-0000-0000-0000088A0000}"/>
    <cellStyle name="Input 5 4 4" xfId="35546" xr:uid="{00000000-0005-0000-0000-0000098A0000}"/>
    <cellStyle name="Input 5 4 4 2" xfId="35547" xr:uid="{00000000-0005-0000-0000-00000A8A0000}"/>
    <cellStyle name="Input 5 4 4 2 2" xfId="35548" xr:uid="{00000000-0005-0000-0000-00000B8A0000}"/>
    <cellStyle name="Input 5 4 4 2 2 2" xfId="35549" xr:uid="{00000000-0005-0000-0000-00000C8A0000}"/>
    <cellStyle name="Input 5 4 4 2 2 2 2" xfId="35550" xr:uid="{00000000-0005-0000-0000-00000D8A0000}"/>
    <cellStyle name="Input 5 4 4 2 2 3" xfId="35551" xr:uid="{00000000-0005-0000-0000-00000E8A0000}"/>
    <cellStyle name="Input 5 4 4 2 2 3 2" xfId="35552" xr:uid="{00000000-0005-0000-0000-00000F8A0000}"/>
    <cellStyle name="Input 5 4 4 2 2 4" xfId="35553" xr:uid="{00000000-0005-0000-0000-0000108A0000}"/>
    <cellStyle name="Input 5 4 4 2 2 5" xfId="35554" xr:uid="{00000000-0005-0000-0000-0000118A0000}"/>
    <cellStyle name="Input 5 4 4 2 2 6" xfId="35555" xr:uid="{00000000-0005-0000-0000-0000128A0000}"/>
    <cellStyle name="Input 5 4 4 2 3" xfId="35556" xr:uid="{00000000-0005-0000-0000-0000138A0000}"/>
    <cellStyle name="Input 5 4 4 2 3 2" xfId="35557" xr:uid="{00000000-0005-0000-0000-0000148A0000}"/>
    <cellStyle name="Input 5 4 4 2 4" xfId="35558" xr:uid="{00000000-0005-0000-0000-0000158A0000}"/>
    <cellStyle name="Input 5 4 4 2 4 2" xfId="35559" xr:uid="{00000000-0005-0000-0000-0000168A0000}"/>
    <cellStyle name="Input 5 4 4 2 5" xfId="35560" xr:uid="{00000000-0005-0000-0000-0000178A0000}"/>
    <cellStyle name="Input 5 4 4 2 6" xfId="35561" xr:uid="{00000000-0005-0000-0000-0000188A0000}"/>
    <cellStyle name="Input 5 4 4 2 7" xfId="35562" xr:uid="{00000000-0005-0000-0000-0000198A0000}"/>
    <cellStyle name="Input 5 4 4 3" xfId="35563" xr:uid="{00000000-0005-0000-0000-00001A8A0000}"/>
    <cellStyle name="Input 5 4 4 3 2" xfId="35564" xr:uid="{00000000-0005-0000-0000-00001B8A0000}"/>
    <cellStyle name="Input 5 4 4 3 2 2" xfId="35565" xr:uid="{00000000-0005-0000-0000-00001C8A0000}"/>
    <cellStyle name="Input 5 4 4 3 3" xfId="35566" xr:uid="{00000000-0005-0000-0000-00001D8A0000}"/>
    <cellStyle name="Input 5 4 4 3 3 2" xfId="35567" xr:uid="{00000000-0005-0000-0000-00001E8A0000}"/>
    <cellStyle name="Input 5 4 4 3 4" xfId="35568" xr:uid="{00000000-0005-0000-0000-00001F8A0000}"/>
    <cellStyle name="Input 5 4 4 3 5" xfId="35569" xr:uid="{00000000-0005-0000-0000-0000208A0000}"/>
    <cellStyle name="Input 5 4 4 3 6" xfId="35570" xr:uid="{00000000-0005-0000-0000-0000218A0000}"/>
    <cellStyle name="Input 5 4 4 4" xfId="35571" xr:uid="{00000000-0005-0000-0000-0000228A0000}"/>
    <cellStyle name="Input 5 4 4 4 2" xfId="35572" xr:uid="{00000000-0005-0000-0000-0000238A0000}"/>
    <cellStyle name="Input 5 4 4 5" xfId="35573" xr:uid="{00000000-0005-0000-0000-0000248A0000}"/>
    <cellStyle name="Input 5 4 4 5 2" xfId="35574" xr:uid="{00000000-0005-0000-0000-0000258A0000}"/>
    <cellStyle name="Input 5 4 4 6" xfId="35575" xr:uid="{00000000-0005-0000-0000-0000268A0000}"/>
    <cellStyle name="Input 5 4 4 7" xfId="35576" xr:uid="{00000000-0005-0000-0000-0000278A0000}"/>
    <cellStyle name="Input 5 4 4 8" xfId="35577" xr:uid="{00000000-0005-0000-0000-0000288A0000}"/>
    <cellStyle name="Input 5 4 5" xfId="35578" xr:uid="{00000000-0005-0000-0000-0000298A0000}"/>
    <cellStyle name="Input 5 4 5 2" xfId="35579" xr:uid="{00000000-0005-0000-0000-00002A8A0000}"/>
    <cellStyle name="Input 5 4 5 2 2" xfId="35580" xr:uid="{00000000-0005-0000-0000-00002B8A0000}"/>
    <cellStyle name="Input 5 4 5 2 2 2" xfId="35581" xr:uid="{00000000-0005-0000-0000-00002C8A0000}"/>
    <cellStyle name="Input 5 4 5 2 3" xfId="35582" xr:uid="{00000000-0005-0000-0000-00002D8A0000}"/>
    <cellStyle name="Input 5 4 5 2 3 2" xfId="35583" xr:uid="{00000000-0005-0000-0000-00002E8A0000}"/>
    <cellStyle name="Input 5 4 5 2 4" xfId="35584" xr:uid="{00000000-0005-0000-0000-00002F8A0000}"/>
    <cellStyle name="Input 5 4 5 2 5" xfId="35585" xr:uid="{00000000-0005-0000-0000-0000308A0000}"/>
    <cellStyle name="Input 5 4 5 2 6" xfId="35586" xr:uid="{00000000-0005-0000-0000-0000318A0000}"/>
    <cellStyle name="Input 5 4 5 3" xfId="35587" xr:uid="{00000000-0005-0000-0000-0000328A0000}"/>
    <cellStyle name="Input 5 4 5 3 2" xfId="35588" xr:uid="{00000000-0005-0000-0000-0000338A0000}"/>
    <cellStyle name="Input 5 4 5 4" xfId="35589" xr:uid="{00000000-0005-0000-0000-0000348A0000}"/>
    <cellStyle name="Input 5 4 5 4 2" xfId="35590" xr:uid="{00000000-0005-0000-0000-0000358A0000}"/>
    <cellStyle name="Input 5 4 5 5" xfId="35591" xr:uid="{00000000-0005-0000-0000-0000368A0000}"/>
    <cellStyle name="Input 5 4 5 6" xfId="35592" xr:uid="{00000000-0005-0000-0000-0000378A0000}"/>
    <cellStyle name="Input 5 4 5 7" xfId="35593" xr:uid="{00000000-0005-0000-0000-0000388A0000}"/>
    <cellStyle name="Input 5 4 6" xfId="35594" xr:uid="{00000000-0005-0000-0000-0000398A0000}"/>
    <cellStyle name="Input 5 4 6 2" xfId="35595" xr:uid="{00000000-0005-0000-0000-00003A8A0000}"/>
    <cellStyle name="Input 5 4 6 2 2" xfId="35596" xr:uid="{00000000-0005-0000-0000-00003B8A0000}"/>
    <cellStyle name="Input 5 4 6 3" xfId="35597" xr:uid="{00000000-0005-0000-0000-00003C8A0000}"/>
    <cellStyle name="Input 5 4 6 3 2" xfId="35598" xr:uid="{00000000-0005-0000-0000-00003D8A0000}"/>
    <cellStyle name="Input 5 4 6 4" xfId="35599" xr:uid="{00000000-0005-0000-0000-00003E8A0000}"/>
    <cellStyle name="Input 5 4 6 5" xfId="35600" xr:uid="{00000000-0005-0000-0000-00003F8A0000}"/>
    <cellStyle name="Input 5 4 6 6" xfId="35601" xr:uid="{00000000-0005-0000-0000-0000408A0000}"/>
    <cellStyle name="Input 5 4 7" xfId="35602" xr:uid="{00000000-0005-0000-0000-0000418A0000}"/>
    <cellStyle name="Input 5 4 7 2" xfId="35603" xr:uid="{00000000-0005-0000-0000-0000428A0000}"/>
    <cellStyle name="Input 5 4 8" xfId="35604" xr:uid="{00000000-0005-0000-0000-0000438A0000}"/>
    <cellStyle name="Input 5 4 8 2" xfId="35605" xr:uid="{00000000-0005-0000-0000-0000448A0000}"/>
    <cellStyle name="Input 5 4 9" xfId="35606" xr:uid="{00000000-0005-0000-0000-0000458A0000}"/>
    <cellStyle name="Input 5 5" xfId="35607" xr:uid="{00000000-0005-0000-0000-0000468A0000}"/>
    <cellStyle name="Input 5 5 10" xfId="35608" xr:uid="{00000000-0005-0000-0000-0000478A0000}"/>
    <cellStyle name="Input 5 5 11" xfId="35609" xr:uid="{00000000-0005-0000-0000-0000488A0000}"/>
    <cellStyle name="Input 5 5 2" xfId="35610" xr:uid="{00000000-0005-0000-0000-0000498A0000}"/>
    <cellStyle name="Input 5 5 2 10" xfId="35611" xr:uid="{00000000-0005-0000-0000-00004A8A0000}"/>
    <cellStyle name="Input 5 5 2 2" xfId="35612" xr:uid="{00000000-0005-0000-0000-00004B8A0000}"/>
    <cellStyle name="Input 5 5 2 2 2" xfId="35613" xr:uid="{00000000-0005-0000-0000-00004C8A0000}"/>
    <cellStyle name="Input 5 5 2 2 2 2" xfId="35614" xr:uid="{00000000-0005-0000-0000-00004D8A0000}"/>
    <cellStyle name="Input 5 5 2 2 2 2 2" xfId="35615" xr:uid="{00000000-0005-0000-0000-00004E8A0000}"/>
    <cellStyle name="Input 5 5 2 2 2 2 2 2" xfId="35616" xr:uid="{00000000-0005-0000-0000-00004F8A0000}"/>
    <cellStyle name="Input 5 5 2 2 2 2 3" xfId="35617" xr:uid="{00000000-0005-0000-0000-0000508A0000}"/>
    <cellStyle name="Input 5 5 2 2 2 2 3 2" xfId="35618" xr:uid="{00000000-0005-0000-0000-0000518A0000}"/>
    <cellStyle name="Input 5 5 2 2 2 2 4" xfId="35619" xr:uid="{00000000-0005-0000-0000-0000528A0000}"/>
    <cellStyle name="Input 5 5 2 2 2 2 5" xfId="35620" xr:uid="{00000000-0005-0000-0000-0000538A0000}"/>
    <cellStyle name="Input 5 5 2 2 2 2 6" xfId="35621" xr:uid="{00000000-0005-0000-0000-0000548A0000}"/>
    <cellStyle name="Input 5 5 2 2 2 3" xfId="35622" xr:uid="{00000000-0005-0000-0000-0000558A0000}"/>
    <cellStyle name="Input 5 5 2 2 2 3 2" xfId="35623" xr:uid="{00000000-0005-0000-0000-0000568A0000}"/>
    <cellStyle name="Input 5 5 2 2 2 4" xfId="35624" xr:uid="{00000000-0005-0000-0000-0000578A0000}"/>
    <cellStyle name="Input 5 5 2 2 2 4 2" xfId="35625" xr:uid="{00000000-0005-0000-0000-0000588A0000}"/>
    <cellStyle name="Input 5 5 2 2 2 5" xfId="35626" xr:uid="{00000000-0005-0000-0000-0000598A0000}"/>
    <cellStyle name="Input 5 5 2 2 2 6" xfId="35627" xr:uid="{00000000-0005-0000-0000-00005A8A0000}"/>
    <cellStyle name="Input 5 5 2 2 2 7" xfId="35628" xr:uid="{00000000-0005-0000-0000-00005B8A0000}"/>
    <cellStyle name="Input 5 5 2 2 3" xfId="35629" xr:uid="{00000000-0005-0000-0000-00005C8A0000}"/>
    <cellStyle name="Input 5 5 2 2 3 2" xfId="35630" xr:uid="{00000000-0005-0000-0000-00005D8A0000}"/>
    <cellStyle name="Input 5 5 2 2 3 2 2" xfId="35631" xr:uid="{00000000-0005-0000-0000-00005E8A0000}"/>
    <cellStyle name="Input 5 5 2 2 3 3" xfId="35632" xr:uid="{00000000-0005-0000-0000-00005F8A0000}"/>
    <cellStyle name="Input 5 5 2 2 3 3 2" xfId="35633" xr:uid="{00000000-0005-0000-0000-0000608A0000}"/>
    <cellStyle name="Input 5 5 2 2 3 4" xfId="35634" xr:uid="{00000000-0005-0000-0000-0000618A0000}"/>
    <cellStyle name="Input 5 5 2 2 3 5" xfId="35635" xr:uid="{00000000-0005-0000-0000-0000628A0000}"/>
    <cellStyle name="Input 5 5 2 2 3 6" xfId="35636" xr:uid="{00000000-0005-0000-0000-0000638A0000}"/>
    <cellStyle name="Input 5 5 2 2 4" xfId="35637" xr:uid="{00000000-0005-0000-0000-0000648A0000}"/>
    <cellStyle name="Input 5 5 2 2 4 2" xfId="35638" xr:uid="{00000000-0005-0000-0000-0000658A0000}"/>
    <cellStyle name="Input 5 5 2 2 5" xfId="35639" xr:uid="{00000000-0005-0000-0000-0000668A0000}"/>
    <cellStyle name="Input 5 5 2 2 5 2" xfId="35640" xr:uid="{00000000-0005-0000-0000-0000678A0000}"/>
    <cellStyle name="Input 5 5 2 2 6" xfId="35641" xr:uid="{00000000-0005-0000-0000-0000688A0000}"/>
    <cellStyle name="Input 5 5 2 2 7" xfId="35642" xr:uid="{00000000-0005-0000-0000-0000698A0000}"/>
    <cellStyle name="Input 5 5 2 2 8" xfId="35643" xr:uid="{00000000-0005-0000-0000-00006A8A0000}"/>
    <cellStyle name="Input 5 5 2 3" xfId="35644" xr:uid="{00000000-0005-0000-0000-00006B8A0000}"/>
    <cellStyle name="Input 5 5 2 3 2" xfId="35645" xr:uid="{00000000-0005-0000-0000-00006C8A0000}"/>
    <cellStyle name="Input 5 5 2 3 2 2" xfId="35646" xr:uid="{00000000-0005-0000-0000-00006D8A0000}"/>
    <cellStyle name="Input 5 5 2 3 2 2 2" xfId="35647" xr:uid="{00000000-0005-0000-0000-00006E8A0000}"/>
    <cellStyle name="Input 5 5 2 3 2 2 2 2" xfId="35648" xr:uid="{00000000-0005-0000-0000-00006F8A0000}"/>
    <cellStyle name="Input 5 5 2 3 2 2 3" xfId="35649" xr:uid="{00000000-0005-0000-0000-0000708A0000}"/>
    <cellStyle name="Input 5 5 2 3 2 2 3 2" xfId="35650" xr:uid="{00000000-0005-0000-0000-0000718A0000}"/>
    <cellStyle name="Input 5 5 2 3 2 2 4" xfId="35651" xr:uid="{00000000-0005-0000-0000-0000728A0000}"/>
    <cellStyle name="Input 5 5 2 3 2 2 5" xfId="35652" xr:uid="{00000000-0005-0000-0000-0000738A0000}"/>
    <cellStyle name="Input 5 5 2 3 2 2 6" xfId="35653" xr:uid="{00000000-0005-0000-0000-0000748A0000}"/>
    <cellStyle name="Input 5 5 2 3 2 3" xfId="35654" xr:uid="{00000000-0005-0000-0000-0000758A0000}"/>
    <cellStyle name="Input 5 5 2 3 2 3 2" xfId="35655" xr:uid="{00000000-0005-0000-0000-0000768A0000}"/>
    <cellStyle name="Input 5 5 2 3 2 4" xfId="35656" xr:uid="{00000000-0005-0000-0000-0000778A0000}"/>
    <cellStyle name="Input 5 5 2 3 2 4 2" xfId="35657" xr:uid="{00000000-0005-0000-0000-0000788A0000}"/>
    <cellStyle name="Input 5 5 2 3 2 5" xfId="35658" xr:uid="{00000000-0005-0000-0000-0000798A0000}"/>
    <cellStyle name="Input 5 5 2 3 2 6" xfId="35659" xr:uid="{00000000-0005-0000-0000-00007A8A0000}"/>
    <cellStyle name="Input 5 5 2 3 2 7" xfId="35660" xr:uid="{00000000-0005-0000-0000-00007B8A0000}"/>
    <cellStyle name="Input 5 5 2 3 3" xfId="35661" xr:uid="{00000000-0005-0000-0000-00007C8A0000}"/>
    <cellStyle name="Input 5 5 2 3 3 2" xfId="35662" xr:uid="{00000000-0005-0000-0000-00007D8A0000}"/>
    <cellStyle name="Input 5 5 2 3 3 2 2" xfId="35663" xr:uid="{00000000-0005-0000-0000-00007E8A0000}"/>
    <cellStyle name="Input 5 5 2 3 3 3" xfId="35664" xr:uid="{00000000-0005-0000-0000-00007F8A0000}"/>
    <cellStyle name="Input 5 5 2 3 3 3 2" xfId="35665" xr:uid="{00000000-0005-0000-0000-0000808A0000}"/>
    <cellStyle name="Input 5 5 2 3 3 4" xfId="35666" xr:uid="{00000000-0005-0000-0000-0000818A0000}"/>
    <cellStyle name="Input 5 5 2 3 3 5" xfId="35667" xr:uid="{00000000-0005-0000-0000-0000828A0000}"/>
    <cellStyle name="Input 5 5 2 3 3 6" xfId="35668" xr:uid="{00000000-0005-0000-0000-0000838A0000}"/>
    <cellStyle name="Input 5 5 2 3 4" xfId="35669" xr:uid="{00000000-0005-0000-0000-0000848A0000}"/>
    <cellStyle name="Input 5 5 2 3 4 2" xfId="35670" xr:uid="{00000000-0005-0000-0000-0000858A0000}"/>
    <cellStyle name="Input 5 5 2 3 5" xfId="35671" xr:uid="{00000000-0005-0000-0000-0000868A0000}"/>
    <cellStyle name="Input 5 5 2 3 5 2" xfId="35672" xr:uid="{00000000-0005-0000-0000-0000878A0000}"/>
    <cellStyle name="Input 5 5 2 3 6" xfId="35673" xr:uid="{00000000-0005-0000-0000-0000888A0000}"/>
    <cellStyle name="Input 5 5 2 3 7" xfId="35674" xr:uid="{00000000-0005-0000-0000-0000898A0000}"/>
    <cellStyle name="Input 5 5 2 3 8" xfId="35675" xr:uid="{00000000-0005-0000-0000-00008A8A0000}"/>
    <cellStyle name="Input 5 5 2 4" xfId="35676" xr:uid="{00000000-0005-0000-0000-00008B8A0000}"/>
    <cellStyle name="Input 5 5 2 4 2" xfId="35677" xr:uid="{00000000-0005-0000-0000-00008C8A0000}"/>
    <cellStyle name="Input 5 5 2 4 2 2" xfId="35678" xr:uid="{00000000-0005-0000-0000-00008D8A0000}"/>
    <cellStyle name="Input 5 5 2 4 2 2 2" xfId="35679" xr:uid="{00000000-0005-0000-0000-00008E8A0000}"/>
    <cellStyle name="Input 5 5 2 4 2 3" xfId="35680" xr:uid="{00000000-0005-0000-0000-00008F8A0000}"/>
    <cellStyle name="Input 5 5 2 4 2 3 2" xfId="35681" xr:uid="{00000000-0005-0000-0000-0000908A0000}"/>
    <cellStyle name="Input 5 5 2 4 2 4" xfId="35682" xr:uid="{00000000-0005-0000-0000-0000918A0000}"/>
    <cellStyle name="Input 5 5 2 4 2 5" xfId="35683" xr:uid="{00000000-0005-0000-0000-0000928A0000}"/>
    <cellStyle name="Input 5 5 2 4 2 6" xfId="35684" xr:uid="{00000000-0005-0000-0000-0000938A0000}"/>
    <cellStyle name="Input 5 5 2 4 3" xfId="35685" xr:uid="{00000000-0005-0000-0000-0000948A0000}"/>
    <cellStyle name="Input 5 5 2 4 3 2" xfId="35686" xr:uid="{00000000-0005-0000-0000-0000958A0000}"/>
    <cellStyle name="Input 5 5 2 4 4" xfId="35687" xr:uid="{00000000-0005-0000-0000-0000968A0000}"/>
    <cellStyle name="Input 5 5 2 4 4 2" xfId="35688" xr:uid="{00000000-0005-0000-0000-0000978A0000}"/>
    <cellStyle name="Input 5 5 2 4 5" xfId="35689" xr:uid="{00000000-0005-0000-0000-0000988A0000}"/>
    <cellStyle name="Input 5 5 2 4 6" xfId="35690" xr:uid="{00000000-0005-0000-0000-0000998A0000}"/>
    <cellStyle name="Input 5 5 2 4 7" xfId="35691" xr:uid="{00000000-0005-0000-0000-00009A8A0000}"/>
    <cellStyle name="Input 5 5 2 5" xfId="35692" xr:uid="{00000000-0005-0000-0000-00009B8A0000}"/>
    <cellStyle name="Input 5 5 2 5 2" xfId="35693" xr:uid="{00000000-0005-0000-0000-00009C8A0000}"/>
    <cellStyle name="Input 5 5 2 5 2 2" xfId="35694" xr:uid="{00000000-0005-0000-0000-00009D8A0000}"/>
    <cellStyle name="Input 5 5 2 5 3" xfId="35695" xr:uid="{00000000-0005-0000-0000-00009E8A0000}"/>
    <cellStyle name="Input 5 5 2 5 3 2" xfId="35696" xr:uid="{00000000-0005-0000-0000-00009F8A0000}"/>
    <cellStyle name="Input 5 5 2 5 4" xfId="35697" xr:uid="{00000000-0005-0000-0000-0000A08A0000}"/>
    <cellStyle name="Input 5 5 2 5 5" xfId="35698" xr:uid="{00000000-0005-0000-0000-0000A18A0000}"/>
    <cellStyle name="Input 5 5 2 5 6" xfId="35699" xr:uid="{00000000-0005-0000-0000-0000A28A0000}"/>
    <cellStyle name="Input 5 5 2 6" xfId="35700" xr:uid="{00000000-0005-0000-0000-0000A38A0000}"/>
    <cellStyle name="Input 5 5 2 6 2" xfId="35701" xr:uid="{00000000-0005-0000-0000-0000A48A0000}"/>
    <cellStyle name="Input 5 5 2 7" xfId="35702" xr:uid="{00000000-0005-0000-0000-0000A58A0000}"/>
    <cellStyle name="Input 5 5 2 7 2" xfId="35703" xr:uid="{00000000-0005-0000-0000-0000A68A0000}"/>
    <cellStyle name="Input 5 5 2 8" xfId="35704" xr:uid="{00000000-0005-0000-0000-0000A78A0000}"/>
    <cellStyle name="Input 5 5 2 9" xfId="35705" xr:uid="{00000000-0005-0000-0000-0000A88A0000}"/>
    <cellStyle name="Input 5 5 3" xfId="35706" xr:uid="{00000000-0005-0000-0000-0000A98A0000}"/>
    <cellStyle name="Input 5 5 3 2" xfId="35707" xr:uid="{00000000-0005-0000-0000-0000AA8A0000}"/>
    <cellStyle name="Input 5 5 3 2 2" xfId="35708" xr:uid="{00000000-0005-0000-0000-0000AB8A0000}"/>
    <cellStyle name="Input 5 5 3 2 2 2" xfId="35709" xr:uid="{00000000-0005-0000-0000-0000AC8A0000}"/>
    <cellStyle name="Input 5 5 3 2 2 2 2" xfId="35710" xr:uid="{00000000-0005-0000-0000-0000AD8A0000}"/>
    <cellStyle name="Input 5 5 3 2 2 3" xfId="35711" xr:uid="{00000000-0005-0000-0000-0000AE8A0000}"/>
    <cellStyle name="Input 5 5 3 2 2 3 2" xfId="35712" xr:uid="{00000000-0005-0000-0000-0000AF8A0000}"/>
    <cellStyle name="Input 5 5 3 2 2 4" xfId="35713" xr:uid="{00000000-0005-0000-0000-0000B08A0000}"/>
    <cellStyle name="Input 5 5 3 2 2 5" xfId="35714" xr:uid="{00000000-0005-0000-0000-0000B18A0000}"/>
    <cellStyle name="Input 5 5 3 2 2 6" xfId="35715" xr:uid="{00000000-0005-0000-0000-0000B28A0000}"/>
    <cellStyle name="Input 5 5 3 2 3" xfId="35716" xr:uid="{00000000-0005-0000-0000-0000B38A0000}"/>
    <cellStyle name="Input 5 5 3 2 3 2" xfId="35717" xr:uid="{00000000-0005-0000-0000-0000B48A0000}"/>
    <cellStyle name="Input 5 5 3 2 4" xfId="35718" xr:uid="{00000000-0005-0000-0000-0000B58A0000}"/>
    <cellStyle name="Input 5 5 3 2 4 2" xfId="35719" xr:uid="{00000000-0005-0000-0000-0000B68A0000}"/>
    <cellStyle name="Input 5 5 3 2 5" xfId="35720" xr:uid="{00000000-0005-0000-0000-0000B78A0000}"/>
    <cellStyle name="Input 5 5 3 2 6" xfId="35721" xr:uid="{00000000-0005-0000-0000-0000B88A0000}"/>
    <cellStyle name="Input 5 5 3 2 7" xfId="35722" xr:uid="{00000000-0005-0000-0000-0000B98A0000}"/>
    <cellStyle name="Input 5 5 3 3" xfId="35723" xr:uid="{00000000-0005-0000-0000-0000BA8A0000}"/>
    <cellStyle name="Input 5 5 3 3 2" xfId="35724" xr:uid="{00000000-0005-0000-0000-0000BB8A0000}"/>
    <cellStyle name="Input 5 5 3 3 2 2" xfId="35725" xr:uid="{00000000-0005-0000-0000-0000BC8A0000}"/>
    <cellStyle name="Input 5 5 3 3 3" xfId="35726" xr:uid="{00000000-0005-0000-0000-0000BD8A0000}"/>
    <cellStyle name="Input 5 5 3 3 3 2" xfId="35727" xr:uid="{00000000-0005-0000-0000-0000BE8A0000}"/>
    <cellStyle name="Input 5 5 3 3 4" xfId="35728" xr:uid="{00000000-0005-0000-0000-0000BF8A0000}"/>
    <cellStyle name="Input 5 5 3 3 5" xfId="35729" xr:uid="{00000000-0005-0000-0000-0000C08A0000}"/>
    <cellStyle name="Input 5 5 3 3 6" xfId="35730" xr:uid="{00000000-0005-0000-0000-0000C18A0000}"/>
    <cellStyle name="Input 5 5 3 4" xfId="35731" xr:uid="{00000000-0005-0000-0000-0000C28A0000}"/>
    <cellStyle name="Input 5 5 3 4 2" xfId="35732" xr:uid="{00000000-0005-0000-0000-0000C38A0000}"/>
    <cellStyle name="Input 5 5 3 5" xfId="35733" xr:uid="{00000000-0005-0000-0000-0000C48A0000}"/>
    <cellStyle name="Input 5 5 3 5 2" xfId="35734" xr:uid="{00000000-0005-0000-0000-0000C58A0000}"/>
    <cellStyle name="Input 5 5 3 6" xfId="35735" xr:uid="{00000000-0005-0000-0000-0000C68A0000}"/>
    <cellStyle name="Input 5 5 3 7" xfId="35736" xr:uid="{00000000-0005-0000-0000-0000C78A0000}"/>
    <cellStyle name="Input 5 5 3 8" xfId="35737" xr:uid="{00000000-0005-0000-0000-0000C88A0000}"/>
    <cellStyle name="Input 5 5 4" xfId="35738" xr:uid="{00000000-0005-0000-0000-0000C98A0000}"/>
    <cellStyle name="Input 5 5 4 2" xfId="35739" xr:uid="{00000000-0005-0000-0000-0000CA8A0000}"/>
    <cellStyle name="Input 5 5 4 2 2" xfId="35740" xr:uid="{00000000-0005-0000-0000-0000CB8A0000}"/>
    <cellStyle name="Input 5 5 4 2 2 2" xfId="35741" xr:uid="{00000000-0005-0000-0000-0000CC8A0000}"/>
    <cellStyle name="Input 5 5 4 2 2 2 2" xfId="35742" xr:uid="{00000000-0005-0000-0000-0000CD8A0000}"/>
    <cellStyle name="Input 5 5 4 2 2 3" xfId="35743" xr:uid="{00000000-0005-0000-0000-0000CE8A0000}"/>
    <cellStyle name="Input 5 5 4 2 2 3 2" xfId="35744" xr:uid="{00000000-0005-0000-0000-0000CF8A0000}"/>
    <cellStyle name="Input 5 5 4 2 2 4" xfId="35745" xr:uid="{00000000-0005-0000-0000-0000D08A0000}"/>
    <cellStyle name="Input 5 5 4 2 2 5" xfId="35746" xr:uid="{00000000-0005-0000-0000-0000D18A0000}"/>
    <cellStyle name="Input 5 5 4 2 2 6" xfId="35747" xr:uid="{00000000-0005-0000-0000-0000D28A0000}"/>
    <cellStyle name="Input 5 5 4 2 3" xfId="35748" xr:uid="{00000000-0005-0000-0000-0000D38A0000}"/>
    <cellStyle name="Input 5 5 4 2 3 2" xfId="35749" xr:uid="{00000000-0005-0000-0000-0000D48A0000}"/>
    <cellStyle name="Input 5 5 4 2 4" xfId="35750" xr:uid="{00000000-0005-0000-0000-0000D58A0000}"/>
    <cellStyle name="Input 5 5 4 2 4 2" xfId="35751" xr:uid="{00000000-0005-0000-0000-0000D68A0000}"/>
    <cellStyle name="Input 5 5 4 2 5" xfId="35752" xr:uid="{00000000-0005-0000-0000-0000D78A0000}"/>
    <cellStyle name="Input 5 5 4 2 6" xfId="35753" xr:uid="{00000000-0005-0000-0000-0000D88A0000}"/>
    <cellStyle name="Input 5 5 4 2 7" xfId="35754" xr:uid="{00000000-0005-0000-0000-0000D98A0000}"/>
    <cellStyle name="Input 5 5 4 3" xfId="35755" xr:uid="{00000000-0005-0000-0000-0000DA8A0000}"/>
    <cellStyle name="Input 5 5 4 3 2" xfId="35756" xr:uid="{00000000-0005-0000-0000-0000DB8A0000}"/>
    <cellStyle name="Input 5 5 4 3 2 2" xfId="35757" xr:uid="{00000000-0005-0000-0000-0000DC8A0000}"/>
    <cellStyle name="Input 5 5 4 3 3" xfId="35758" xr:uid="{00000000-0005-0000-0000-0000DD8A0000}"/>
    <cellStyle name="Input 5 5 4 3 3 2" xfId="35759" xr:uid="{00000000-0005-0000-0000-0000DE8A0000}"/>
    <cellStyle name="Input 5 5 4 3 4" xfId="35760" xr:uid="{00000000-0005-0000-0000-0000DF8A0000}"/>
    <cellStyle name="Input 5 5 4 3 5" xfId="35761" xr:uid="{00000000-0005-0000-0000-0000E08A0000}"/>
    <cellStyle name="Input 5 5 4 3 6" xfId="35762" xr:uid="{00000000-0005-0000-0000-0000E18A0000}"/>
    <cellStyle name="Input 5 5 4 4" xfId="35763" xr:uid="{00000000-0005-0000-0000-0000E28A0000}"/>
    <cellStyle name="Input 5 5 4 4 2" xfId="35764" xr:uid="{00000000-0005-0000-0000-0000E38A0000}"/>
    <cellStyle name="Input 5 5 4 5" xfId="35765" xr:uid="{00000000-0005-0000-0000-0000E48A0000}"/>
    <cellStyle name="Input 5 5 4 5 2" xfId="35766" xr:uid="{00000000-0005-0000-0000-0000E58A0000}"/>
    <cellStyle name="Input 5 5 4 6" xfId="35767" xr:uid="{00000000-0005-0000-0000-0000E68A0000}"/>
    <cellStyle name="Input 5 5 4 7" xfId="35768" xr:uid="{00000000-0005-0000-0000-0000E78A0000}"/>
    <cellStyle name="Input 5 5 4 8" xfId="35769" xr:uid="{00000000-0005-0000-0000-0000E88A0000}"/>
    <cellStyle name="Input 5 5 5" xfId="35770" xr:uid="{00000000-0005-0000-0000-0000E98A0000}"/>
    <cellStyle name="Input 5 5 5 2" xfId="35771" xr:uid="{00000000-0005-0000-0000-0000EA8A0000}"/>
    <cellStyle name="Input 5 5 5 2 2" xfId="35772" xr:uid="{00000000-0005-0000-0000-0000EB8A0000}"/>
    <cellStyle name="Input 5 5 5 2 2 2" xfId="35773" xr:uid="{00000000-0005-0000-0000-0000EC8A0000}"/>
    <cellStyle name="Input 5 5 5 2 3" xfId="35774" xr:uid="{00000000-0005-0000-0000-0000ED8A0000}"/>
    <cellStyle name="Input 5 5 5 2 3 2" xfId="35775" xr:uid="{00000000-0005-0000-0000-0000EE8A0000}"/>
    <cellStyle name="Input 5 5 5 2 4" xfId="35776" xr:uid="{00000000-0005-0000-0000-0000EF8A0000}"/>
    <cellStyle name="Input 5 5 5 2 5" xfId="35777" xr:uid="{00000000-0005-0000-0000-0000F08A0000}"/>
    <cellStyle name="Input 5 5 5 2 6" xfId="35778" xr:uid="{00000000-0005-0000-0000-0000F18A0000}"/>
    <cellStyle name="Input 5 5 5 3" xfId="35779" xr:uid="{00000000-0005-0000-0000-0000F28A0000}"/>
    <cellStyle name="Input 5 5 5 3 2" xfId="35780" xr:uid="{00000000-0005-0000-0000-0000F38A0000}"/>
    <cellStyle name="Input 5 5 5 4" xfId="35781" xr:uid="{00000000-0005-0000-0000-0000F48A0000}"/>
    <cellStyle name="Input 5 5 5 4 2" xfId="35782" xr:uid="{00000000-0005-0000-0000-0000F58A0000}"/>
    <cellStyle name="Input 5 5 5 5" xfId="35783" xr:uid="{00000000-0005-0000-0000-0000F68A0000}"/>
    <cellStyle name="Input 5 5 5 6" xfId="35784" xr:uid="{00000000-0005-0000-0000-0000F78A0000}"/>
    <cellStyle name="Input 5 5 5 7" xfId="35785" xr:uid="{00000000-0005-0000-0000-0000F88A0000}"/>
    <cellStyle name="Input 5 5 6" xfId="35786" xr:uid="{00000000-0005-0000-0000-0000F98A0000}"/>
    <cellStyle name="Input 5 5 6 2" xfId="35787" xr:uid="{00000000-0005-0000-0000-0000FA8A0000}"/>
    <cellStyle name="Input 5 5 6 2 2" xfId="35788" xr:uid="{00000000-0005-0000-0000-0000FB8A0000}"/>
    <cellStyle name="Input 5 5 6 3" xfId="35789" xr:uid="{00000000-0005-0000-0000-0000FC8A0000}"/>
    <cellStyle name="Input 5 5 6 3 2" xfId="35790" xr:uid="{00000000-0005-0000-0000-0000FD8A0000}"/>
    <cellStyle name="Input 5 5 6 4" xfId="35791" xr:uid="{00000000-0005-0000-0000-0000FE8A0000}"/>
    <cellStyle name="Input 5 5 6 5" xfId="35792" xr:uid="{00000000-0005-0000-0000-0000FF8A0000}"/>
    <cellStyle name="Input 5 5 6 6" xfId="35793" xr:uid="{00000000-0005-0000-0000-0000008B0000}"/>
    <cellStyle name="Input 5 5 7" xfId="35794" xr:uid="{00000000-0005-0000-0000-0000018B0000}"/>
    <cellStyle name="Input 5 5 7 2" xfId="35795" xr:uid="{00000000-0005-0000-0000-0000028B0000}"/>
    <cellStyle name="Input 5 5 8" xfId="35796" xr:uid="{00000000-0005-0000-0000-0000038B0000}"/>
    <cellStyle name="Input 5 5 8 2" xfId="35797" xr:uid="{00000000-0005-0000-0000-0000048B0000}"/>
    <cellStyle name="Input 5 5 9" xfId="35798" xr:uid="{00000000-0005-0000-0000-0000058B0000}"/>
    <cellStyle name="Input 5 6" xfId="35799" xr:uid="{00000000-0005-0000-0000-0000068B0000}"/>
    <cellStyle name="Input 5 6 2" xfId="35800" xr:uid="{00000000-0005-0000-0000-0000078B0000}"/>
    <cellStyle name="Input 5 6 2 2" xfId="35801" xr:uid="{00000000-0005-0000-0000-0000088B0000}"/>
    <cellStyle name="Input 5 6 2 2 2" xfId="35802" xr:uid="{00000000-0005-0000-0000-0000098B0000}"/>
    <cellStyle name="Input 5 6 2 3" xfId="35803" xr:uid="{00000000-0005-0000-0000-00000A8B0000}"/>
    <cellStyle name="Input 5 6 2 3 2" xfId="35804" xr:uid="{00000000-0005-0000-0000-00000B8B0000}"/>
    <cellStyle name="Input 5 6 2 4" xfId="35805" xr:uid="{00000000-0005-0000-0000-00000C8B0000}"/>
    <cellStyle name="Input 5 6 2 5" xfId="35806" xr:uid="{00000000-0005-0000-0000-00000D8B0000}"/>
    <cellStyle name="Input 5 6 2 6" xfId="35807" xr:uid="{00000000-0005-0000-0000-00000E8B0000}"/>
    <cellStyle name="Input 5 6 3" xfId="35808" xr:uid="{00000000-0005-0000-0000-00000F8B0000}"/>
    <cellStyle name="Input 5 6 3 2" xfId="35809" xr:uid="{00000000-0005-0000-0000-0000108B0000}"/>
    <cellStyle name="Input 5 6 4" xfId="35810" xr:uid="{00000000-0005-0000-0000-0000118B0000}"/>
    <cellStyle name="Input 5 6 4 2" xfId="35811" xr:uid="{00000000-0005-0000-0000-0000128B0000}"/>
    <cellStyle name="Input 5 6 5" xfId="35812" xr:uid="{00000000-0005-0000-0000-0000138B0000}"/>
    <cellStyle name="Input 5 6 6" xfId="35813" xr:uid="{00000000-0005-0000-0000-0000148B0000}"/>
    <cellStyle name="Input 5 6 7" xfId="35814" xr:uid="{00000000-0005-0000-0000-0000158B0000}"/>
    <cellStyle name="Input 5 7" xfId="35815" xr:uid="{00000000-0005-0000-0000-0000168B0000}"/>
    <cellStyle name="Input 5 7 2" xfId="35816" xr:uid="{00000000-0005-0000-0000-0000178B0000}"/>
    <cellStyle name="Input 5 8" xfId="35817" xr:uid="{00000000-0005-0000-0000-0000188B0000}"/>
    <cellStyle name="Input 5 8 2" xfId="35818" xr:uid="{00000000-0005-0000-0000-0000198B0000}"/>
    <cellStyle name="Input 5 9" xfId="35819" xr:uid="{00000000-0005-0000-0000-00001A8B0000}"/>
    <cellStyle name="Input 50" xfId="35820" xr:uid="{00000000-0005-0000-0000-00001B8B0000}"/>
    <cellStyle name="Input 50 2" xfId="35821" xr:uid="{00000000-0005-0000-0000-00001C8B0000}"/>
    <cellStyle name="Input 50 2 2" xfId="35822" xr:uid="{00000000-0005-0000-0000-00001D8B0000}"/>
    <cellStyle name="Input 50 2 2 2" xfId="35823" xr:uid="{00000000-0005-0000-0000-00001E8B0000}"/>
    <cellStyle name="Input 50 2 3" xfId="35824" xr:uid="{00000000-0005-0000-0000-00001F8B0000}"/>
    <cellStyle name="Input 50 2 3 2" xfId="35825" xr:uid="{00000000-0005-0000-0000-0000208B0000}"/>
    <cellStyle name="Input 50 2 4" xfId="35826" xr:uid="{00000000-0005-0000-0000-0000218B0000}"/>
    <cellStyle name="Input 50 2 5" xfId="35827" xr:uid="{00000000-0005-0000-0000-0000228B0000}"/>
    <cellStyle name="Input 50 2 6" xfId="35828" xr:uid="{00000000-0005-0000-0000-0000238B0000}"/>
    <cellStyle name="Input 50 3" xfId="35829" xr:uid="{00000000-0005-0000-0000-0000248B0000}"/>
    <cellStyle name="Input 50 3 2" xfId="35830" xr:uid="{00000000-0005-0000-0000-0000258B0000}"/>
    <cellStyle name="Input 50 4" xfId="35831" xr:uid="{00000000-0005-0000-0000-0000268B0000}"/>
    <cellStyle name="Input 50 4 2" xfId="35832" xr:uid="{00000000-0005-0000-0000-0000278B0000}"/>
    <cellStyle name="Input 50 5" xfId="35833" xr:uid="{00000000-0005-0000-0000-0000288B0000}"/>
    <cellStyle name="Input 50 6" xfId="35834" xr:uid="{00000000-0005-0000-0000-0000298B0000}"/>
    <cellStyle name="Input 50 7" xfId="35835" xr:uid="{00000000-0005-0000-0000-00002A8B0000}"/>
    <cellStyle name="Input 51" xfId="35836" xr:uid="{00000000-0005-0000-0000-00002B8B0000}"/>
    <cellStyle name="Input 51 2" xfId="35837" xr:uid="{00000000-0005-0000-0000-00002C8B0000}"/>
    <cellStyle name="Input 51 2 2" xfId="35838" xr:uid="{00000000-0005-0000-0000-00002D8B0000}"/>
    <cellStyle name="Input 51 2 2 2" xfId="35839" xr:uid="{00000000-0005-0000-0000-00002E8B0000}"/>
    <cellStyle name="Input 51 2 3" xfId="35840" xr:uid="{00000000-0005-0000-0000-00002F8B0000}"/>
    <cellStyle name="Input 51 2 3 2" xfId="35841" xr:uid="{00000000-0005-0000-0000-0000308B0000}"/>
    <cellStyle name="Input 51 2 4" xfId="35842" xr:uid="{00000000-0005-0000-0000-0000318B0000}"/>
    <cellStyle name="Input 51 2 5" xfId="35843" xr:uid="{00000000-0005-0000-0000-0000328B0000}"/>
    <cellStyle name="Input 51 2 6" xfId="35844" xr:uid="{00000000-0005-0000-0000-0000338B0000}"/>
    <cellStyle name="Input 51 3" xfId="35845" xr:uid="{00000000-0005-0000-0000-0000348B0000}"/>
    <cellStyle name="Input 51 3 2" xfId="35846" xr:uid="{00000000-0005-0000-0000-0000358B0000}"/>
    <cellStyle name="Input 51 4" xfId="35847" xr:uid="{00000000-0005-0000-0000-0000368B0000}"/>
    <cellStyle name="Input 51 4 2" xfId="35848" xr:uid="{00000000-0005-0000-0000-0000378B0000}"/>
    <cellStyle name="Input 51 5" xfId="35849" xr:uid="{00000000-0005-0000-0000-0000388B0000}"/>
    <cellStyle name="Input 51 6" xfId="35850" xr:uid="{00000000-0005-0000-0000-0000398B0000}"/>
    <cellStyle name="Input 51 7" xfId="35851" xr:uid="{00000000-0005-0000-0000-00003A8B0000}"/>
    <cellStyle name="Input 52" xfId="35852" xr:uid="{00000000-0005-0000-0000-00003B8B0000}"/>
    <cellStyle name="Input 52 2" xfId="35853" xr:uid="{00000000-0005-0000-0000-00003C8B0000}"/>
    <cellStyle name="Input 52 2 2" xfId="35854" xr:uid="{00000000-0005-0000-0000-00003D8B0000}"/>
    <cellStyle name="Input 52 2 2 2" xfId="35855" xr:uid="{00000000-0005-0000-0000-00003E8B0000}"/>
    <cellStyle name="Input 52 2 3" xfId="35856" xr:uid="{00000000-0005-0000-0000-00003F8B0000}"/>
    <cellStyle name="Input 52 2 3 2" xfId="35857" xr:uid="{00000000-0005-0000-0000-0000408B0000}"/>
    <cellStyle name="Input 52 2 4" xfId="35858" xr:uid="{00000000-0005-0000-0000-0000418B0000}"/>
    <cellStyle name="Input 52 2 5" xfId="35859" xr:uid="{00000000-0005-0000-0000-0000428B0000}"/>
    <cellStyle name="Input 52 2 6" xfId="35860" xr:uid="{00000000-0005-0000-0000-0000438B0000}"/>
    <cellStyle name="Input 52 3" xfId="35861" xr:uid="{00000000-0005-0000-0000-0000448B0000}"/>
    <cellStyle name="Input 52 3 2" xfId="35862" xr:uid="{00000000-0005-0000-0000-0000458B0000}"/>
    <cellStyle name="Input 52 4" xfId="35863" xr:uid="{00000000-0005-0000-0000-0000468B0000}"/>
    <cellStyle name="Input 52 4 2" xfId="35864" xr:uid="{00000000-0005-0000-0000-0000478B0000}"/>
    <cellStyle name="Input 52 5" xfId="35865" xr:uid="{00000000-0005-0000-0000-0000488B0000}"/>
    <cellStyle name="Input 52 6" xfId="35866" xr:uid="{00000000-0005-0000-0000-0000498B0000}"/>
    <cellStyle name="Input 52 7" xfId="35867" xr:uid="{00000000-0005-0000-0000-00004A8B0000}"/>
    <cellStyle name="Input 53" xfId="35868" xr:uid="{00000000-0005-0000-0000-00004B8B0000}"/>
    <cellStyle name="Input 53 2" xfId="35869" xr:uid="{00000000-0005-0000-0000-00004C8B0000}"/>
    <cellStyle name="Input 53 2 2" xfId="35870" xr:uid="{00000000-0005-0000-0000-00004D8B0000}"/>
    <cellStyle name="Input 53 2 2 2" xfId="35871" xr:uid="{00000000-0005-0000-0000-00004E8B0000}"/>
    <cellStyle name="Input 53 2 3" xfId="35872" xr:uid="{00000000-0005-0000-0000-00004F8B0000}"/>
    <cellStyle name="Input 53 2 3 2" xfId="35873" xr:uid="{00000000-0005-0000-0000-0000508B0000}"/>
    <cellStyle name="Input 53 2 4" xfId="35874" xr:uid="{00000000-0005-0000-0000-0000518B0000}"/>
    <cellStyle name="Input 53 2 5" xfId="35875" xr:uid="{00000000-0005-0000-0000-0000528B0000}"/>
    <cellStyle name="Input 53 2 6" xfId="35876" xr:uid="{00000000-0005-0000-0000-0000538B0000}"/>
    <cellStyle name="Input 53 3" xfId="35877" xr:uid="{00000000-0005-0000-0000-0000548B0000}"/>
    <cellStyle name="Input 53 3 2" xfId="35878" xr:uid="{00000000-0005-0000-0000-0000558B0000}"/>
    <cellStyle name="Input 53 4" xfId="35879" xr:uid="{00000000-0005-0000-0000-0000568B0000}"/>
    <cellStyle name="Input 53 4 2" xfId="35880" xr:uid="{00000000-0005-0000-0000-0000578B0000}"/>
    <cellStyle name="Input 53 5" xfId="35881" xr:uid="{00000000-0005-0000-0000-0000588B0000}"/>
    <cellStyle name="Input 53 6" xfId="35882" xr:uid="{00000000-0005-0000-0000-0000598B0000}"/>
    <cellStyle name="Input 53 7" xfId="35883" xr:uid="{00000000-0005-0000-0000-00005A8B0000}"/>
    <cellStyle name="Input 54" xfId="35884" xr:uid="{00000000-0005-0000-0000-00005B8B0000}"/>
    <cellStyle name="Input 54 2" xfId="35885" xr:uid="{00000000-0005-0000-0000-00005C8B0000}"/>
    <cellStyle name="Input 54 2 2" xfId="35886" xr:uid="{00000000-0005-0000-0000-00005D8B0000}"/>
    <cellStyle name="Input 54 2 2 2" xfId="35887" xr:uid="{00000000-0005-0000-0000-00005E8B0000}"/>
    <cellStyle name="Input 54 2 3" xfId="35888" xr:uid="{00000000-0005-0000-0000-00005F8B0000}"/>
    <cellStyle name="Input 54 2 3 2" xfId="35889" xr:uid="{00000000-0005-0000-0000-0000608B0000}"/>
    <cellStyle name="Input 54 2 4" xfId="35890" xr:uid="{00000000-0005-0000-0000-0000618B0000}"/>
    <cellStyle name="Input 54 2 5" xfId="35891" xr:uid="{00000000-0005-0000-0000-0000628B0000}"/>
    <cellStyle name="Input 54 2 6" xfId="35892" xr:uid="{00000000-0005-0000-0000-0000638B0000}"/>
    <cellStyle name="Input 54 3" xfId="35893" xr:uid="{00000000-0005-0000-0000-0000648B0000}"/>
    <cellStyle name="Input 54 3 2" xfId="35894" xr:uid="{00000000-0005-0000-0000-0000658B0000}"/>
    <cellStyle name="Input 54 4" xfId="35895" xr:uid="{00000000-0005-0000-0000-0000668B0000}"/>
    <cellStyle name="Input 54 4 2" xfId="35896" xr:uid="{00000000-0005-0000-0000-0000678B0000}"/>
    <cellStyle name="Input 54 5" xfId="35897" xr:uid="{00000000-0005-0000-0000-0000688B0000}"/>
    <cellStyle name="Input 54 6" xfId="35898" xr:uid="{00000000-0005-0000-0000-0000698B0000}"/>
    <cellStyle name="Input 54 7" xfId="35899" xr:uid="{00000000-0005-0000-0000-00006A8B0000}"/>
    <cellStyle name="Input 55" xfId="35900" xr:uid="{00000000-0005-0000-0000-00006B8B0000}"/>
    <cellStyle name="Input 55 2" xfId="35901" xr:uid="{00000000-0005-0000-0000-00006C8B0000}"/>
    <cellStyle name="Input 55 2 2" xfId="35902" xr:uid="{00000000-0005-0000-0000-00006D8B0000}"/>
    <cellStyle name="Input 55 2 2 2" xfId="35903" xr:uid="{00000000-0005-0000-0000-00006E8B0000}"/>
    <cellStyle name="Input 55 2 3" xfId="35904" xr:uid="{00000000-0005-0000-0000-00006F8B0000}"/>
    <cellStyle name="Input 55 2 3 2" xfId="35905" xr:uid="{00000000-0005-0000-0000-0000708B0000}"/>
    <cellStyle name="Input 55 2 4" xfId="35906" xr:uid="{00000000-0005-0000-0000-0000718B0000}"/>
    <cellStyle name="Input 55 2 5" xfId="35907" xr:uid="{00000000-0005-0000-0000-0000728B0000}"/>
    <cellStyle name="Input 55 2 6" xfId="35908" xr:uid="{00000000-0005-0000-0000-0000738B0000}"/>
    <cellStyle name="Input 55 3" xfId="35909" xr:uid="{00000000-0005-0000-0000-0000748B0000}"/>
    <cellStyle name="Input 55 3 2" xfId="35910" xr:uid="{00000000-0005-0000-0000-0000758B0000}"/>
    <cellStyle name="Input 55 4" xfId="35911" xr:uid="{00000000-0005-0000-0000-0000768B0000}"/>
    <cellStyle name="Input 55 4 2" xfId="35912" xr:uid="{00000000-0005-0000-0000-0000778B0000}"/>
    <cellStyle name="Input 55 5" xfId="35913" xr:uid="{00000000-0005-0000-0000-0000788B0000}"/>
    <cellStyle name="Input 55 6" xfId="35914" xr:uid="{00000000-0005-0000-0000-0000798B0000}"/>
    <cellStyle name="Input 55 7" xfId="35915" xr:uid="{00000000-0005-0000-0000-00007A8B0000}"/>
    <cellStyle name="Input 56" xfId="35916" xr:uid="{00000000-0005-0000-0000-00007B8B0000}"/>
    <cellStyle name="Input 56 2" xfId="35917" xr:uid="{00000000-0005-0000-0000-00007C8B0000}"/>
    <cellStyle name="Input 56 2 2" xfId="35918" xr:uid="{00000000-0005-0000-0000-00007D8B0000}"/>
    <cellStyle name="Input 56 2 2 2" xfId="35919" xr:uid="{00000000-0005-0000-0000-00007E8B0000}"/>
    <cellStyle name="Input 56 2 3" xfId="35920" xr:uid="{00000000-0005-0000-0000-00007F8B0000}"/>
    <cellStyle name="Input 56 2 3 2" xfId="35921" xr:uid="{00000000-0005-0000-0000-0000808B0000}"/>
    <cellStyle name="Input 56 2 4" xfId="35922" xr:uid="{00000000-0005-0000-0000-0000818B0000}"/>
    <cellStyle name="Input 56 2 5" xfId="35923" xr:uid="{00000000-0005-0000-0000-0000828B0000}"/>
    <cellStyle name="Input 56 2 6" xfId="35924" xr:uid="{00000000-0005-0000-0000-0000838B0000}"/>
    <cellStyle name="Input 56 3" xfId="35925" xr:uid="{00000000-0005-0000-0000-0000848B0000}"/>
    <cellStyle name="Input 56 3 2" xfId="35926" xr:uid="{00000000-0005-0000-0000-0000858B0000}"/>
    <cellStyle name="Input 56 4" xfId="35927" xr:uid="{00000000-0005-0000-0000-0000868B0000}"/>
    <cellStyle name="Input 56 4 2" xfId="35928" xr:uid="{00000000-0005-0000-0000-0000878B0000}"/>
    <cellStyle name="Input 56 5" xfId="35929" xr:uid="{00000000-0005-0000-0000-0000888B0000}"/>
    <cellStyle name="Input 56 6" xfId="35930" xr:uid="{00000000-0005-0000-0000-0000898B0000}"/>
    <cellStyle name="Input 56 7" xfId="35931" xr:uid="{00000000-0005-0000-0000-00008A8B0000}"/>
    <cellStyle name="Input 57" xfId="35932" xr:uid="{00000000-0005-0000-0000-00008B8B0000}"/>
    <cellStyle name="Input 57 2" xfId="35933" xr:uid="{00000000-0005-0000-0000-00008C8B0000}"/>
    <cellStyle name="Input 57 2 2" xfId="35934" xr:uid="{00000000-0005-0000-0000-00008D8B0000}"/>
    <cellStyle name="Input 57 2 2 2" xfId="35935" xr:uid="{00000000-0005-0000-0000-00008E8B0000}"/>
    <cellStyle name="Input 57 2 3" xfId="35936" xr:uid="{00000000-0005-0000-0000-00008F8B0000}"/>
    <cellStyle name="Input 57 2 3 2" xfId="35937" xr:uid="{00000000-0005-0000-0000-0000908B0000}"/>
    <cellStyle name="Input 57 2 4" xfId="35938" xr:uid="{00000000-0005-0000-0000-0000918B0000}"/>
    <cellStyle name="Input 57 2 5" xfId="35939" xr:uid="{00000000-0005-0000-0000-0000928B0000}"/>
    <cellStyle name="Input 57 2 6" xfId="35940" xr:uid="{00000000-0005-0000-0000-0000938B0000}"/>
    <cellStyle name="Input 57 3" xfId="35941" xr:uid="{00000000-0005-0000-0000-0000948B0000}"/>
    <cellStyle name="Input 57 3 2" xfId="35942" xr:uid="{00000000-0005-0000-0000-0000958B0000}"/>
    <cellStyle name="Input 57 4" xfId="35943" xr:uid="{00000000-0005-0000-0000-0000968B0000}"/>
    <cellStyle name="Input 57 4 2" xfId="35944" xr:uid="{00000000-0005-0000-0000-0000978B0000}"/>
    <cellStyle name="Input 57 5" xfId="35945" xr:uid="{00000000-0005-0000-0000-0000988B0000}"/>
    <cellStyle name="Input 57 6" xfId="35946" xr:uid="{00000000-0005-0000-0000-0000998B0000}"/>
    <cellStyle name="Input 57 7" xfId="35947" xr:uid="{00000000-0005-0000-0000-00009A8B0000}"/>
    <cellStyle name="Input 58" xfId="35948" xr:uid="{00000000-0005-0000-0000-00009B8B0000}"/>
    <cellStyle name="Input 58 2" xfId="35949" xr:uid="{00000000-0005-0000-0000-00009C8B0000}"/>
    <cellStyle name="Input 58 2 2" xfId="35950" xr:uid="{00000000-0005-0000-0000-00009D8B0000}"/>
    <cellStyle name="Input 58 2 2 2" xfId="35951" xr:uid="{00000000-0005-0000-0000-00009E8B0000}"/>
    <cellStyle name="Input 58 2 3" xfId="35952" xr:uid="{00000000-0005-0000-0000-00009F8B0000}"/>
    <cellStyle name="Input 58 2 3 2" xfId="35953" xr:uid="{00000000-0005-0000-0000-0000A08B0000}"/>
    <cellStyle name="Input 58 2 4" xfId="35954" xr:uid="{00000000-0005-0000-0000-0000A18B0000}"/>
    <cellStyle name="Input 58 2 5" xfId="35955" xr:uid="{00000000-0005-0000-0000-0000A28B0000}"/>
    <cellStyle name="Input 58 2 6" xfId="35956" xr:uid="{00000000-0005-0000-0000-0000A38B0000}"/>
    <cellStyle name="Input 58 3" xfId="35957" xr:uid="{00000000-0005-0000-0000-0000A48B0000}"/>
    <cellStyle name="Input 58 3 2" xfId="35958" xr:uid="{00000000-0005-0000-0000-0000A58B0000}"/>
    <cellStyle name="Input 58 4" xfId="35959" xr:uid="{00000000-0005-0000-0000-0000A68B0000}"/>
    <cellStyle name="Input 58 4 2" xfId="35960" xr:uid="{00000000-0005-0000-0000-0000A78B0000}"/>
    <cellStyle name="Input 58 5" xfId="35961" xr:uid="{00000000-0005-0000-0000-0000A88B0000}"/>
    <cellStyle name="Input 58 6" xfId="35962" xr:uid="{00000000-0005-0000-0000-0000A98B0000}"/>
    <cellStyle name="Input 58 7" xfId="35963" xr:uid="{00000000-0005-0000-0000-0000AA8B0000}"/>
    <cellStyle name="Input 59" xfId="35964" xr:uid="{00000000-0005-0000-0000-0000AB8B0000}"/>
    <cellStyle name="Input 59 2" xfId="35965" xr:uid="{00000000-0005-0000-0000-0000AC8B0000}"/>
    <cellStyle name="Input 59 2 2" xfId="35966" xr:uid="{00000000-0005-0000-0000-0000AD8B0000}"/>
    <cellStyle name="Input 59 2 2 2" xfId="35967" xr:uid="{00000000-0005-0000-0000-0000AE8B0000}"/>
    <cellStyle name="Input 59 2 3" xfId="35968" xr:uid="{00000000-0005-0000-0000-0000AF8B0000}"/>
    <cellStyle name="Input 59 2 3 2" xfId="35969" xr:uid="{00000000-0005-0000-0000-0000B08B0000}"/>
    <cellStyle name="Input 59 2 4" xfId="35970" xr:uid="{00000000-0005-0000-0000-0000B18B0000}"/>
    <cellStyle name="Input 59 2 5" xfId="35971" xr:uid="{00000000-0005-0000-0000-0000B28B0000}"/>
    <cellStyle name="Input 59 2 6" xfId="35972" xr:uid="{00000000-0005-0000-0000-0000B38B0000}"/>
    <cellStyle name="Input 59 3" xfId="35973" xr:uid="{00000000-0005-0000-0000-0000B48B0000}"/>
    <cellStyle name="Input 59 3 2" xfId="35974" xr:uid="{00000000-0005-0000-0000-0000B58B0000}"/>
    <cellStyle name="Input 59 4" xfId="35975" xr:uid="{00000000-0005-0000-0000-0000B68B0000}"/>
    <cellStyle name="Input 59 4 2" xfId="35976" xr:uid="{00000000-0005-0000-0000-0000B78B0000}"/>
    <cellStyle name="Input 59 5" xfId="35977" xr:uid="{00000000-0005-0000-0000-0000B88B0000}"/>
    <cellStyle name="Input 59 6" xfId="35978" xr:uid="{00000000-0005-0000-0000-0000B98B0000}"/>
    <cellStyle name="Input 59 7" xfId="35979" xr:uid="{00000000-0005-0000-0000-0000BA8B0000}"/>
    <cellStyle name="Input 6" xfId="35980" xr:uid="{00000000-0005-0000-0000-0000BB8B0000}"/>
    <cellStyle name="Input 6 10" xfId="35981" xr:uid="{00000000-0005-0000-0000-0000BC8B0000}"/>
    <cellStyle name="Input 6 11" xfId="35982" xr:uid="{00000000-0005-0000-0000-0000BD8B0000}"/>
    <cellStyle name="Input 6 12" xfId="35983" xr:uid="{00000000-0005-0000-0000-0000BE8B0000}"/>
    <cellStyle name="Input 6 2" xfId="35984" xr:uid="{00000000-0005-0000-0000-0000BF8B0000}"/>
    <cellStyle name="Input 6 2 10" xfId="35985" xr:uid="{00000000-0005-0000-0000-0000C08B0000}"/>
    <cellStyle name="Input 6 2 11" xfId="35986" xr:uid="{00000000-0005-0000-0000-0000C18B0000}"/>
    <cellStyle name="Input 6 2 12" xfId="35987" xr:uid="{00000000-0005-0000-0000-0000C28B0000}"/>
    <cellStyle name="Input 6 2 2" xfId="35988" xr:uid="{00000000-0005-0000-0000-0000C38B0000}"/>
    <cellStyle name="Input 6 2 2 10" xfId="35989" xr:uid="{00000000-0005-0000-0000-0000C48B0000}"/>
    <cellStyle name="Input 6 2 2 11" xfId="35990" xr:uid="{00000000-0005-0000-0000-0000C58B0000}"/>
    <cellStyle name="Input 6 2 2 2" xfId="35991" xr:uid="{00000000-0005-0000-0000-0000C68B0000}"/>
    <cellStyle name="Input 6 2 2 2 10" xfId="35992" xr:uid="{00000000-0005-0000-0000-0000C78B0000}"/>
    <cellStyle name="Input 6 2 2 2 2" xfId="35993" xr:uid="{00000000-0005-0000-0000-0000C88B0000}"/>
    <cellStyle name="Input 6 2 2 2 2 2" xfId="35994" xr:uid="{00000000-0005-0000-0000-0000C98B0000}"/>
    <cellStyle name="Input 6 2 2 2 2 2 2" xfId="35995" xr:uid="{00000000-0005-0000-0000-0000CA8B0000}"/>
    <cellStyle name="Input 6 2 2 2 2 2 2 2" xfId="35996" xr:uid="{00000000-0005-0000-0000-0000CB8B0000}"/>
    <cellStyle name="Input 6 2 2 2 2 2 2 2 2" xfId="35997" xr:uid="{00000000-0005-0000-0000-0000CC8B0000}"/>
    <cellStyle name="Input 6 2 2 2 2 2 2 3" xfId="35998" xr:uid="{00000000-0005-0000-0000-0000CD8B0000}"/>
    <cellStyle name="Input 6 2 2 2 2 2 2 3 2" xfId="35999" xr:uid="{00000000-0005-0000-0000-0000CE8B0000}"/>
    <cellStyle name="Input 6 2 2 2 2 2 2 4" xfId="36000" xr:uid="{00000000-0005-0000-0000-0000CF8B0000}"/>
    <cellStyle name="Input 6 2 2 2 2 2 2 5" xfId="36001" xr:uid="{00000000-0005-0000-0000-0000D08B0000}"/>
    <cellStyle name="Input 6 2 2 2 2 2 2 6" xfId="36002" xr:uid="{00000000-0005-0000-0000-0000D18B0000}"/>
    <cellStyle name="Input 6 2 2 2 2 2 3" xfId="36003" xr:uid="{00000000-0005-0000-0000-0000D28B0000}"/>
    <cellStyle name="Input 6 2 2 2 2 2 3 2" xfId="36004" xr:uid="{00000000-0005-0000-0000-0000D38B0000}"/>
    <cellStyle name="Input 6 2 2 2 2 2 4" xfId="36005" xr:uid="{00000000-0005-0000-0000-0000D48B0000}"/>
    <cellStyle name="Input 6 2 2 2 2 2 4 2" xfId="36006" xr:uid="{00000000-0005-0000-0000-0000D58B0000}"/>
    <cellStyle name="Input 6 2 2 2 2 2 5" xfId="36007" xr:uid="{00000000-0005-0000-0000-0000D68B0000}"/>
    <cellStyle name="Input 6 2 2 2 2 2 6" xfId="36008" xr:uid="{00000000-0005-0000-0000-0000D78B0000}"/>
    <cellStyle name="Input 6 2 2 2 2 2 7" xfId="36009" xr:uid="{00000000-0005-0000-0000-0000D88B0000}"/>
    <cellStyle name="Input 6 2 2 2 2 3" xfId="36010" xr:uid="{00000000-0005-0000-0000-0000D98B0000}"/>
    <cellStyle name="Input 6 2 2 2 2 3 2" xfId="36011" xr:uid="{00000000-0005-0000-0000-0000DA8B0000}"/>
    <cellStyle name="Input 6 2 2 2 2 3 2 2" xfId="36012" xr:uid="{00000000-0005-0000-0000-0000DB8B0000}"/>
    <cellStyle name="Input 6 2 2 2 2 3 3" xfId="36013" xr:uid="{00000000-0005-0000-0000-0000DC8B0000}"/>
    <cellStyle name="Input 6 2 2 2 2 3 3 2" xfId="36014" xr:uid="{00000000-0005-0000-0000-0000DD8B0000}"/>
    <cellStyle name="Input 6 2 2 2 2 3 4" xfId="36015" xr:uid="{00000000-0005-0000-0000-0000DE8B0000}"/>
    <cellStyle name="Input 6 2 2 2 2 3 5" xfId="36016" xr:uid="{00000000-0005-0000-0000-0000DF8B0000}"/>
    <cellStyle name="Input 6 2 2 2 2 3 6" xfId="36017" xr:uid="{00000000-0005-0000-0000-0000E08B0000}"/>
    <cellStyle name="Input 6 2 2 2 2 4" xfId="36018" xr:uid="{00000000-0005-0000-0000-0000E18B0000}"/>
    <cellStyle name="Input 6 2 2 2 2 4 2" xfId="36019" xr:uid="{00000000-0005-0000-0000-0000E28B0000}"/>
    <cellStyle name="Input 6 2 2 2 2 5" xfId="36020" xr:uid="{00000000-0005-0000-0000-0000E38B0000}"/>
    <cellStyle name="Input 6 2 2 2 2 5 2" xfId="36021" xr:uid="{00000000-0005-0000-0000-0000E48B0000}"/>
    <cellStyle name="Input 6 2 2 2 2 6" xfId="36022" xr:uid="{00000000-0005-0000-0000-0000E58B0000}"/>
    <cellStyle name="Input 6 2 2 2 2 7" xfId="36023" xr:uid="{00000000-0005-0000-0000-0000E68B0000}"/>
    <cellStyle name="Input 6 2 2 2 2 8" xfId="36024" xr:uid="{00000000-0005-0000-0000-0000E78B0000}"/>
    <cellStyle name="Input 6 2 2 2 3" xfId="36025" xr:uid="{00000000-0005-0000-0000-0000E88B0000}"/>
    <cellStyle name="Input 6 2 2 2 3 2" xfId="36026" xr:uid="{00000000-0005-0000-0000-0000E98B0000}"/>
    <cellStyle name="Input 6 2 2 2 3 2 2" xfId="36027" xr:uid="{00000000-0005-0000-0000-0000EA8B0000}"/>
    <cellStyle name="Input 6 2 2 2 3 2 2 2" xfId="36028" xr:uid="{00000000-0005-0000-0000-0000EB8B0000}"/>
    <cellStyle name="Input 6 2 2 2 3 2 2 2 2" xfId="36029" xr:uid="{00000000-0005-0000-0000-0000EC8B0000}"/>
    <cellStyle name="Input 6 2 2 2 3 2 2 3" xfId="36030" xr:uid="{00000000-0005-0000-0000-0000ED8B0000}"/>
    <cellStyle name="Input 6 2 2 2 3 2 2 3 2" xfId="36031" xr:uid="{00000000-0005-0000-0000-0000EE8B0000}"/>
    <cellStyle name="Input 6 2 2 2 3 2 2 4" xfId="36032" xr:uid="{00000000-0005-0000-0000-0000EF8B0000}"/>
    <cellStyle name="Input 6 2 2 2 3 2 2 5" xfId="36033" xr:uid="{00000000-0005-0000-0000-0000F08B0000}"/>
    <cellStyle name="Input 6 2 2 2 3 2 2 6" xfId="36034" xr:uid="{00000000-0005-0000-0000-0000F18B0000}"/>
    <cellStyle name="Input 6 2 2 2 3 2 3" xfId="36035" xr:uid="{00000000-0005-0000-0000-0000F28B0000}"/>
    <cellStyle name="Input 6 2 2 2 3 2 3 2" xfId="36036" xr:uid="{00000000-0005-0000-0000-0000F38B0000}"/>
    <cellStyle name="Input 6 2 2 2 3 2 4" xfId="36037" xr:uid="{00000000-0005-0000-0000-0000F48B0000}"/>
    <cellStyle name="Input 6 2 2 2 3 2 4 2" xfId="36038" xr:uid="{00000000-0005-0000-0000-0000F58B0000}"/>
    <cellStyle name="Input 6 2 2 2 3 2 5" xfId="36039" xr:uid="{00000000-0005-0000-0000-0000F68B0000}"/>
    <cellStyle name="Input 6 2 2 2 3 2 6" xfId="36040" xr:uid="{00000000-0005-0000-0000-0000F78B0000}"/>
    <cellStyle name="Input 6 2 2 2 3 2 7" xfId="36041" xr:uid="{00000000-0005-0000-0000-0000F88B0000}"/>
    <cellStyle name="Input 6 2 2 2 3 3" xfId="36042" xr:uid="{00000000-0005-0000-0000-0000F98B0000}"/>
    <cellStyle name="Input 6 2 2 2 3 3 2" xfId="36043" xr:uid="{00000000-0005-0000-0000-0000FA8B0000}"/>
    <cellStyle name="Input 6 2 2 2 3 3 2 2" xfId="36044" xr:uid="{00000000-0005-0000-0000-0000FB8B0000}"/>
    <cellStyle name="Input 6 2 2 2 3 3 3" xfId="36045" xr:uid="{00000000-0005-0000-0000-0000FC8B0000}"/>
    <cellStyle name="Input 6 2 2 2 3 3 3 2" xfId="36046" xr:uid="{00000000-0005-0000-0000-0000FD8B0000}"/>
    <cellStyle name="Input 6 2 2 2 3 3 4" xfId="36047" xr:uid="{00000000-0005-0000-0000-0000FE8B0000}"/>
    <cellStyle name="Input 6 2 2 2 3 3 5" xfId="36048" xr:uid="{00000000-0005-0000-0000-0000FF8B0000}"/>
    <cellStyle name="Input 6 2 2 2 3 3 6" xfId="36049" xr:uid="{00000000-0005-0000-0000-0000008C0000}"/>
    <cellStyle name="Input 6 2 2 2 3 4" xfId="36050" xr:uid="{00000000-0005-0000-0000-0000018C0000}"/>
    <cellStyle name="Input 6 2 2 2 3 4 2" xfId="36051" xr:uid="{00000000-0005-0000-0000-0000028C0000}"/>
    <cellStyle name="Input 6 2 2 2 3 5" xfId="36052" xr:uid="{00000000-0005-0000-0000-0000038C0000}"/>
    <cellStyle name="Input 6 2 2 2 3 5 2" xfId="36053" xr:uid="{00000000-0005-0000-0000-0000048C0000}"/>
    <cellStyle name="Input 6 2 2 2 3 6" xfId="36054" xr:uid="{00000000-0005-0000-0000-0000058C0000}"/>
    <cellStyle name="Input 6 2 2 2 3 7" xfId="36055" xr:uid="{00000000-0005-0000-0000-0000068C0000}"/>
    <cellStyle name="Input 6 2 2 2 3 8" xfId="36056" xr:uid="{00000000-0005-0000-0000-0000078C0000}"/>
    <cellStyle name="Input 6 2 2 2 4" xfId="36057" xr:uid="{00000000-0005-0000-0000-0000088C0000}"/>
    <cellStyle name="Input 6 2 2 2 4 2" xfId="36058" xr:uid="{00000000-0005-0000-0000-0000098C0000}"/>
    <cellStyle name="Input 6 2 2 2 4 2 2" xfId="36059" xr:uid="{00000000-0005-0000-0000-00000A8C0000}"/>
    <cellStyle name="Input 6 2 2 2 4 2 2 2" xfId="36060" xr:uid="{00000000-0005-0000-0000-00000B8C0000}"/>
    <cellStyle name="Input 6 2 2 2 4 2 3" xfId="36061" xr:uid="{00000000-0005-0000-0000-00000C8C0000}"/>
    <cellStyle name="Input 6 2 2 2 4 2 3 2" xfId="36062" xr:uid="{00000000-0005-0000-0000-00000D8C0000}"/>
    <cellStyle name="Input 6 2 2 2 4 2 4" xfId="36063" xr:uid="{00000000-0005-0000-0000-00000E8C0000}"/>
    <cellStyle name="Input 6 2 2 2 4 2 5" xfId="36064" xr:uid="{00000000-0005-0000-0000-00000F8C0000}"/>
    <cellStyle name="Input 6 2 2 2 4 2 6" xfId="36065" xr:uid="{00000000-0005-0000-0000-0000108C0000}"/>
    <cellStyle name="Input 6 2 2 2 4 3" xfId="36066" xr:uid="{00000000-0005-0000-0000-0000118C0000}"/>
    <cellStyle name="Input 6 2 2 2 4 3 2" xfId="36067" xr:uid="{00000000-0005-0000-0000-0000128C0000}"/>
    <cellStyle name="Input 6 2 2 2 4 4" xfId="36068" xr:uid="{00000000-0005-0000-0000-0000138C0000}"/>
    <cellStyle name="Input 6 2 2 2 4 4 2" xfId="36069" xr:uid="{00000000-0005-0000-0000-0000148C0000}"/>
    <cellStyle name="Input 6 2 2 2 4 5" xfId="36070" xr:uid="{00000000-0005-0000-0000-0000158C0000}"/>
    <cellStyle name="Input 6 2 2 2 4 6" xfId="36071" xr:uid="{00000000-0005-0000-0000-0000168C0000}"/>
    <cellStyle name="Input 6 2 2 2 4 7" xfId="36072" xr:uid="{00000000-0005-0000-0000-0000178C0000}"/>
    <cellStyle name="Input 6 2 2 2 5" xfId="36073" xr:uid="{00000000-0005-0000-0000-0000188C0000}"/>
    <cellStyle name="Input 6 2 2 2 5 2" xfId="36074" xr:uid="{00000000-0005-0000-0000-0000198C0000}"/>
    <cellStyle name="Input 6 2 2 2 5 2 2" xfId="36075" xr:uid="{00000000-0005-0000-0000-00001A8C0000}"/>
    <cellStyle name="Input 6 2 2 2 5 3" xfId="36076" xr:uid="{00000000-0005-0000-0000-00001B8C0000}"/>
    <cellStyle name="Input 6 2 2 2 5 3 2" xfId="36077" xr:uid="{00000000-0005-0000-0000-00001C8C0000}"/>
    <cellStyle name="Input 6 2 2 2 5 4" xfId="36078" xr:uid="{00000000-0005-0000-0000-00001D8C0000}"/>
    <cellStyle name="Input 6 2 2 2 5 5" xfId="36079" xr:uid="{00000000-0005-0000-0000-00001E8C0000}"/>
    <cellStyle name="Input 6 2 2 2 5 6" xfId="36080" xr:uid="{00000000-0005-0000-0000-00001F8C0000}"/>
    <cellStyle name="Input 6 2 2 2 6" xfId="36081" xr:uid="{00000000-0005-0000-0000-0000208C0000}"/>
    <cellStyle name="Input 6 2 2 2 6 2" xfId="36082" xr:uid="{00000000-0005-0000-0000-0000218C0000}"/>
    <cellStyle name="Input 6 2 2 2 7" xfId="36083" xr:uid="{00000000-0005-0000-0000-0000228C0000}"/>
    <cellStyle name="Input 6 2 2 2 7 2" xfId="36084" xr:uid="{00000000-0005-0000-0000-0000238C0000}"/>
    <cellStyle name="Input 6 2 2 2 8" xfId="36085" xr:uid="{00000000-0005-0000-0000-0000248C0000}"/>
    <cellStyle name="Input 6 2 2 2 9" xfId="36086" xr:uid="{00000000-0005-0000-0000-0000258C0000}"/>
    <cellStyle name="Input 6 2 2 3" xfId="36087" xr:uid="{00000000-0005-0000-0000-0000268C0000}"/>
    <cellStyle name="Input 6 2 2 3 2" xfId="36088" xr:uid="{00000000-0005-0000-0000-0000278C0000}"/>
    <cellStyle name="Input 6 2 2 3 2 2" xfId="36089" xr:uid="{00000000-0005-0000-0000-0000288C0000}"/>
    <cellStyle name="Input 6 2 2 3 2 2 2" xfId="36090" xr:uid="{00000000-0005-0000-0000-0000298C0000}"/>
    <cellStyle name="Input 6 2 2 3 2 2 2 2" xfId="36091" xr:uid="{00000000-0005-0000-0000-00002A8C0000}"/>
    <cellStyle name="Input 6 2 2 3 2 2 3" xfId="36092" xr:uid="{00000000-0005-0000-0000-00002B8C0000}"/>
    <cellStyle name="Input 6 2 2 3 2 2 3 2" xfId="36093" xr:uid="{00000000-0005-0000-0000-00002C8C0000}"/>
    <cellStyle name="Input 6 2 2 3 2 2 4" xfId="36094" xr:uid="{00000000-0005-0000-0000-00002D8C0000}"/>
    <cellStyle name="Input 6 2 2 3 2 2 5" xfId="36095" xr:uid="{00000000-0005-0000-0000-00002E8C0000}"/>
    <cellStyle name="Input 6 2 2 3 2 2 6" xfId="36096" xr:uid="{00000000-0005-0000-0000-00002F8C0000}"/>
    <cellStyle name="Input 6 2 2 3 2 3" xfId="36097" xr:uid="{00000000-0005-0000-0000-0000308C0000}"/>
    <cellStyle name="Input 6 2 2 3 2 3 2" xfId="36098" xr:uid="{00000000-0005-0000-0000-0000318C0000}"/>
    <cellStyle name="Input 6 2 2 3 2 4" xfId="36099" xr:uid="{00000000-0005-0000-0000-0000328C0000}"/>
    <cellStyle name="Input 6 2 2 3 2 4 2" xfId="36100" xr:uid="{00000000-0005-0000-0000-0000338C0000}"/>
    <cellStyle name="Input 6 2 2 3 2 5" xfId="36101" xr:uid="{00000000-0005-0000-0000-0000348C0000}"/>
    <cellStyle name="Input 6 2 2 3 2 6" xfId="36102" xr:uid="{00000000-0005-0000-0000-0000358C0000}"/>
    <cellStyle name="Input 6 2 2 3 2 7" xfId="36103" xr:uid="{00000000-0005-0000-0000-0000368C0000}"/>
    <cellStyle name="Input 6 2 2 3 3" xfId="36104" xr:uid="{00000000-0005-0000-0000-0000378C0000}"/>
    <cellStyle name="Input 6 2 2 3 3 2" xfId="36105" xr:uid="{00000000-0005-0000-0000-0000388C0000}"/>
    <cellStyle name="Input 6 2 2 3 3 2 2" xfId="36106" xr:uid="{00000000-0005-0000-0000-0000398C0000}"/>
    <cellStyle name="Input 6 2 2 3 3 3" xfId="36107" xr:uid="{00000000-0005-0000-0000-00003A8C0000}"/>
    <cellStyle name="Input 6 2 2 3 3 3 2" xfId="36108" xr:uid="{00000000-0005-0000-0000-00003B8C0000}"/>
    <cellStyle name="Input 6 2 2 3 3 4" xfId="36109" xr:uid="{00000000-0005-0000-0000-00003C8C0000}"/>
    <cellStyle name="Input 6 2 2 3 3 5" xfId="36110" xr:uid="{00000000-0005-0000-0000-00003D8C0000}"/>
    <cellStyle name="Input 6 2 2 3 3 6" xfId="36111" xr:uid="{00000000-0005-0000-0000-00003E8C0000}"/>
    <cellStyle name="Input 6 2 2 3 4" xfId="36112" xr:uid="{00000000-0005-0000-0000-00003F8C0000}"/>
    <cellStyle name="Input 6 2 2 3 4 2" xfId="36113" xr:uid="{00000000-0005-0000-0000-0000408C0000}"/>
    <cellStyle name="Input 6 2 2 3 5" xfId="36114" xr:uid="{00000000-0005-0000-0000-0000418C0000}"/>
    <cellStyle name="Input 6 2 2 3 5 2" xfId="36115" xr:uid="{00000000-0005-0000-0000-0000428C0000}"/>
    <cellStyle name="Input 6 2 2 3 6" xfId="36116" xr:uid="{00000000-0005-0000-0000-0000438C0000}"/>
    <cellStyle name="Input 6 2 2 3 7" xfId="36117" xr:uid="{00000000-0005-0000-0000-0000448C0000}"/>
    <cellStyle name="Input 6 2 2 3 8" xfId="36118" xr:uid="{00000000-0005-0000-0000-0000458C0000}"/>
    <cellStyle name="Input 6 2 2 4" xfId="36119" xr:uid="{00000000-0005-0000-0000-0000468C0000}"/>
    <cellStyle name="Input 6 2 2 4 2" xfId="36120" xr:uid="{00000000-0005-0000-0000-0000478C0000}"/>
    <cellStyle name="Input 6 2 2 4 2 2" xfId="36121" xr:uid="{00000000-0005-0000-0000-0000488C0000}"/>
    <cellStyle name="Input 6 2 2 4 2 2 2" xfId="36122" xr:uid="{00000000-0005-0000-0000-0000498C0000}"/>
    <cellStyle name="Input 6 2 2 4 2 2 2 2" xfId="36123" xr:uid="{00000000-0005-0000-0000-00004A8C0000}"/>
    <cellStyle name="Input 6 2 2 4 2 2 3" xfId="36124" xr:uid="{00000000-0005-0000-0000-00004B8C0000}"/>
    <cellStyle name="Input 6 2 2 4 2 2 3 2" xfId="36125" xr:uid="{00000000-0005-0000-0000-00004C8C0000}"/>
    <cellStyle name="Input 6 2 2 4 2 2 4" xfId="36126" xr:uid="{00000000-0005-0000-0000-00004D8C0000}"/>
    <cellStyle name="Input 6 2 2 4 2 2 5" xfId="36127" xr:uid="{00000000-0005-0000-0000-00004E8C0000}"/>
    <cellStyle name="Input 6 2 2 4 2 2 6" xfId="36128" xr:uid="{00000000-0005-0000-0000-00004F8C0000}"/>
    <cellStyle name="Input 6 2 2 4 2 3" xfId="36129" xr:uid="{00000000-0005-0000-0000-0000508C0000}"/>
    <cellStyle name="Input 6 2 2 4 2 3 2" xfId="36130" xr:uid="{00000000-0005-0000-0000-0000518C0000}"/>
    <cellStyle name="Input 6 2 2 4 2 4" xfId="36131" xr:uid="{00000000-0005-0000-0000-0000528C0000}"/>
    <cellStyle name="Input 6 2 2 4 2 4 2" xfId="36132" xr:uid="{00000000-0005-0000-0000-0000538C0000}"/>
    <cellStyle name="Input 6 2 2 4 2 5" xfId="36133" xr:uid="{00000000-0005-0000-0000-0000548C0000}"/>
    <cellStyle name="Input 6 2 2 4 2 6" xfId="36134" xr:uid="{00000000-0005-0000-0000-0000558C0000}"/>
    <cellStyle name="Input 6 2 2 4 2 7" xfId="36135" xr:uid="{00000000-0005-0000-0000-0000568C0000}"/>
    <cellStyle name="Input 6 2 2 4 3" xfId="36136" xr:uid="{00000000-0005-0000-0000-0000578C0000}"/>
    <cellStyle name="Input 6 2 2 4 3 2" xfId="36137" xr:uid="{00000000-0005-0000-0000-0000588C0000}"/>
    <cellStyle name="Input 6 2 2 4 3 2 2" xfId="36138" xr:uid="{00000000-0005-0000-0000-0000598C0000}"/>
    <cellStyle name="Input 6 2 2 4 3 3" xfId="36139" xr:uid="{00000000-0005-0000-0000-00005A8C0000}"/>
    <cellStyle name="Input 6 2 2 4 3 3 2" xfId="36140" xr:uid="{00000000-0005-0000-0000-00005B8C0000}"/>
    <cellStyle name="Input 6 2 2 4 3 4" xfId="36141" xr:uid="{00000000-0005-0000-0000-00005C8C0000}"/>
    <cellStyle name="Input 6 2 2 4 3 5" xfId="36142" xr:uid="{00000000-0005-0000-0000-00005D8C0000}"/>
    <cellStyle name="Input 6 2 2 4 3 6" xfId="36143" xr:uid="{00000000-0005-0000-0000-00005E8C0000}"/>
    <cellStyle name="Input 6 2 2 4 4" xfId="36144" xr:uid="{00000000-0005-0000-0000-00005F8C0000}"/>
    <cellStyle name="Input 6 2 2 4 4 2" xfId="36145" xr:uid="{00000000-0005-0000-0000-0000608C0000}"/>
    <cellStyle name="Input 6 2 2 4 5" xfId="36146" xr:uid="{00000000-0005-0000-0000-0000618C0000}"/>
    <cellStyle name="Input 6 2 2 4 5 2" xfId="36147" xr:uid="{00000000-0005-0000-0000-0000628C0000}"/>
    <cellStyle name="Input 6 2 2 4 6" xfId="36148" xr:uid="{00000000-0005-0000-0000-0000638C0000}"/>
    <cellStyle name="Input 6 2 2 4 7" xfId="36149" xr:uid="{00000000-0005-0000-0000-0000648C0000}"/>
    <cellStyle name="Input 6 2 2 4 8" xfId="36150" xr:uid="{00000000-0005-0000-0000-0000658C0000}"/>
    <cellStyle name="Input 6 2 2 5" xfId="36151" xr:uid="{00000000-0005-0000-0000-0000668C0000}"/>
    <cellStyle name="Input 6 2 2 5 2" xfId="36152" xr:uid="{00000000-0005-0000-0000-0000678C0000}"/>
    <cellStyle name="Input 6 2 2 5 2 2" xfId="36153" xr:uid="{00000000-0005-0000-0000-0000688C0000}"/>
    <cellStyle name="Input 6 2 2 5 2 2 2" xfId="36154" xr:uid="{00000000-0005-0000-0000-0000698C0000}"/>
    <cellStyle name="Input 6 2 2 5 2 3" xfId="36155" xr:uid="{00000000-0005-0000-0000-00006A8C0000}"/>
    <cellStyle name="Input 6 2 2 5 2 3 2" xfId="36156" xr:uid="{00000000-0005-0000-0000-00006B8C0000}"/>
    <cellStyle name="Input 6 2 2 5 2 4" xfId="36157" xr:uid="{00000000-0005-0000-0000-00006C8C0000}"/>
    <cellStyle name="Input 6 2 2 5 2 5" xfId="36158" xr:uid="{00000000-0005-0000-0000-00006D8C0000}"/>
    <cellStyle name="Input 6 2 2 5 2 6" xfId="36159" xr:uid="{00000000-0005-0000-0000-00006E8C0000}"/>
    <cellStyle name="Input 6 2 2 5 3" xfId="36160" xr:uid="{00000000-0005-0000-0000-00006F8C0000}"/>
    <cellStyle name="Input 6 2 2 5 3 2" xfId="36161" xr:uid="{00000000-0005-0000-0000-0000708C0000}"/>
    <cellStyle name="Input 6 2 2 5 4" xfId="36162" xr:uid="{00000000-0005-0000-0000-0000718C0000}"/>
    <cellStyle name="Input 6 2 2 5 4 2" xfId="36163" xr:uid="{00000000-0005-0000-0000-0000728C0000}"/>
    <cellStyle name="Input 6 2 2 5 5" xfId="36164" xr:uid="{00000000-0005-0000-0000-0000738C0000}"/>
    <cellStyle name="Input 6 2 2 5 6" xfId="36165" xr:uid="{00000000-0005-0000-0000-0000748C0000}"/>
    <cellStyle name="Input 6 2 2 5 7" xfId="36166" xr:uid="{00000000-0005-0000-0000-0000758C0000}"/>
    <cellStyle name="Input 6 2 2 6" xfId="36167" xr:uid="{00000000-0005-0000-0000-0000768C0000}"/>
    <cellStyle name="Input 6 2 2 6 2" xfId="36168" xr:uid="{00000000-0005-0000-0000-0000778C0000}"/>
    <cellStyle name="Input 6 2 2 6 2 2" xfId="36169" xr:uid="{00000000-0005-0000-0000-0000788C0000}"/>
    <cellStyle name="Input 6 2 2 6 3" xfId="36170" xr:uid="{00000000-0005-0000-0000-0000798C0000}"/>
    <cellStyle name="Input 6 2 2 6 3 2" xfId="36171" xr:uid="{00000000-0005-0000-0000-00007A8C0000}"/>
    <cellStyle name="Input 6 2 2 6 4" xfId="36172" xr:uid="{00000000-0005-0000-0000-00007B8C0000}"/>
    <cellStyle name="Input 6 2 2 6 5" xfId="36173" xr:uid="{00000000-0005-0000-0000-00007C8C0000}"/>
    <cellStyle name="Input 6 2 2 6 6" xfId="36174" xr:uid="{00000000-0005-0000-0000-00007D8C0000}"/>
    <cellStyle name="Input 6 2 2 7" xfId="36175" xr:uid="{00000000-0005-0000-0000-00007E8C0000}"/>
    <cellStyle name="Input 6 2 2 7 2" xfId="36176" xr:uid="{00000000-0005-0000-0000-00007F8C0000}"/>
    <cellStyle name="Input 6 2 2 8" xfId="36177" xr:uid="{00000000-0005-0000-0000-0000808C0000}"/>
    <cellStyle name="Input 6 2 2 8 2" xfId="36178" xr:uid="{00000000-0005-0000-0000-0000818C0000}"/>
    <cellStyle name="Input 6 2 2 9" xfId="36179" xr:uid="{00000000-0005-0000-0000-0000828C0000}"/>
    <cellStyle name="Input 6 2 3" xfId="36180" xr:uid="{00000000-0005-0000-0000-0000838C0000}"/>
    <cellStyle name="Input 6 2 3 10" xfId="36181" xr:uid="{00000000-0005-0000-0000-0000848C0000}"/>
    <cellStyle name="Input 6 2 3 2" xfId="36182" xr:uid="{00000000-0005-0000-0000-0000858C0000}"/>
    <cellStyle name="Input 6 2 3 2 10" xfId="36183" xr:uid="{00000000-0005-0000-0000-0000868C0000}"/>
    <cellStyle name="Input 6 2 3 2 2" xfId="36184" xr:uid="{00000000-0005-0000-0000-0000878C0000}"/>
    <cellStyle name="Input 6 2 3 2 2 2" xfId="36185" xr:uid="{00000000-0005-0000-0000-0000888C0000}"/>
    <cellStyle name="Input 6 2 3 2 2 2 2" xfId="36186" xr:uid="{00000000-0005-0000-0000-0000898C0000}"/>
    <cellStyle name="Input 6 2 3 2 2 2 2 2" xfId="36187" xr:uid="{00000000-0005-0000-0000-00008A8C0000}"/>
    <cellStyle name="Input 6 2 3 2 2 2 2 2 2" xfId="36188" xr:uid="{00000000-0005-0000-0000-00008B8C0000}"/>
    <cellStyle name="Input 6 2 3 2 2 2 2 3" xfId="36189" xr:uid="{00000000-0005-0000-0000-00008C8C0000}"/>
    <cellStyle name="Input 6 2 3 2 2 2 2 3 2" xfId="36190" xr:uid="{00000000-0005-0000-0000-00008D8C0000}"/>
    <cellStyle name="Input 6 2 3 2 2 2 2 4" xfId="36191" xr:uid="{00000000-0005-0000-0000-00008E8C0000}"/>
    <cellStyle name="Input 6 2 3 2 2 2 2 5" xfId="36192" xr:uid="{00000000-0005-0000-0000-00008F8C0000}"/>
    <cellStyle name="Input 6 2 3 2 2 2 2 6" xfId="36193" xr:uid="{00000000-0005-0000-0000-0000908C0000}"/>
    <cellStyle name="Input 6 2 3 2 2 2 3" xfId="36194" xr:uid="{00000000-0005-0000-0000-0000918C0000}"/>
    <cellStyle name="Input 6 2 3 2 2 2 3 2" xfId="36195" xr:uid="{00000000-0005-0000-0000-0000928C0000}"/>
    <cellStyle name="Input 6 2 3 2 2 2 4" xfId="36196" xr:uid="{00000000-0005-0000-0000-0000938C0000}"/>
    <cellStyle name="Input 6 2 3 2 2 2 4 2" xfId="36197" xr:uid="{00000000-0005-0000-0000-0000948C0000}"/>
    <cellStyle name="Input 6 2 3 2 2 2 5" xfId="36198" xr:uid="{00000000-0005-0000-0000-0000958C0000}"/>
    <cellStyle name="Input 6 2 3 2 2 2 6" xfId="36199" xr:uid="{00000000-0005-0000-0000-0000968C0000}"/>
    <cellStyle name="Input 6 2 3 2 2 2 7" xfId="36200" xr:uid="{00000000-0005-0000-0000-0000978C0000}"/>
    <cellStyle name="Input 6 2 3 2 2 3" xfId="36201" xr:uid="{00000000-0005-0000-0000-0000988C0000}"/>
    <cellStyle name="Input 6 2 3 2 2 3 2" xfId="36202" xr:uid="{00000000-0005-0000-0000-0000998C0000}"/>
    <cellStyle name="Input 6 2 3 2 2 3 2 2" xfId="36203" xr:uid="{00000000-0005-0000-0000-00009A8C0000}"/>
    <cellStyle name="Input 6 2 3 2 2 3 3" xfId="36204" xr:uid="{00000000-0005-0000-0000-00009B8C0000}"/>
    <cellStyle name="Input 6 2 3 2 2 3 3 2" xfId="36205" xr:uid="{00000000-0005-0000-0000-00009C8C0000}"/>
    <cellStyle name="Input 6 2 3 2 2 3 4" xfId="36206" xr:uid="{00000000-0005-0000-0000-00009D8C0000}"/>
    <cellStyle name="Input 6 2 3 2 2 3 5" xfId="36207" xr:uid="{00000000-0005-0000-0000-00009E8C0000}"/>
    <cellStyle name="Input 6 2 3 2 2 3 6" xfId="36208" xr:uid="{00000000-0005-0000-0000-00009F8C0000}"/>
    <cellStyle name="Input 6 2 3 2 2 4" xfId="36209" xr:uid="{00000000-0005-0000-0000-0000A08C0000}"/>
    <cellStyle name="Input 6 2 3 2 2 4 2" xfId="36210" xr:uid="{00000000-0005-0000-0000-0000A18C0000}"/>
    <cellStyle name="Input 6 2 3 2 2 5" xfId="36211" xr:uid="{00000000-0005-0000-0000-0000A28C0000}"/>
    <cellStyle name="Input 6 2 3 2 2 5 2" xfId="36212" xr:uid="{00000000-0005-0000-0000-0000A38C0000}"/>
    <cellStyle name="Input 6 2 3 2 2 6" xfId="36213" xr:uid="{00000000-0005-0000-0000-0000A48C0000}"/>
    <cellStyle name="Input 6 2 3 2 2 7" xfId="36214" xr:uid="{00000000-0005-0000-0000-0000A58C0000}"/>
    <cellStyle name="Input 6 2 3 2 2 8" xfId="36215" xr:uid="{00000000-0005-0000-0000-0000A68C0000}"/>
    <cellStyle name="Input 6 2 3 2 3" xfId="36216" xr:uid="{00000000-0005-0000-0000-0000A78C0000}"/>
    <cellStyle name="Input 6 2 3 2 3 2" xfId="36217" xr:uid="{00000000-0005-0000-0000-0000A88C0000}"/>
    <cellStyle name="Input 6 2 3 2 3 2 2" xfId="36218" xr:uid="{00000000-0005-0000-0000-0000A98C0000}"/>
    <cellStyle name="Input 6 2 3 2 3 2 2 2" xfId="36219" xr:uid="{00000000-0005-0000-0000-0000AA8C0000}"/>
    <cellStyle name="Input 6 2 3 2 3 2 2 2 2" xfId="36220" xr:uid="{00000000-0005-0000-0000-0000AB8C0000}"/>
    <cellStyle name="Input 6 2 3 2 3 2 2 3" xfId="36221" xr:uid="{00000000-0005-0000-0000-0000AC8C0000}"/>
    <cellStyle name="Input 6 2 3 2 3 2 2 3 2" xfId="36222" xr:uid="{00000000-0005-0000-0000-0000AD8C0000}"/>
    <cellStyle name="Input 6 2 3 2 3 2 2 4" xfId="36223" xr:uid="{00000000-0005-0000-0000-0000AE8C0000}"/>
    <cellStyle name="Input 6 2 3 2 3 2 2 5" xfId="36224" xr:uid="{00000000-0005-0000-0000-0000AF8C0000}"/>
    <cellStyle name="Input 6 2 3 2 3 2 2 6" xfId="36225" xr:uid="{00000000-0005-0000-0000-0000B08C0000}"/>
    <cellStyle name="Input 6 2 3 2 3 2 3" xfId="36226" xr:uid="{00000000-0005-0000-0000-0000B18C0000}"/>
    <cellStyle name="Input 6 2 3 2 3 2 3 2" xfId="36227" xr:uid="{00000000-0005-0000-0000-0000B28C0000}"/>
    <cellStyle name="Input 6 2 3 2 3 2 4" xfId="36228" xr:uid="{00000000-0005-0000-0000-0000B38C0000}"/>
    <cellStyle name="Input 6 2 3 2 3 2 4 2" xfId="36229" xr:uid="{00000000-0005-0000-0000-0000B48C0000}"/>
    <cellStyle name="Input 6 2 3 2 3 2 5" xfId="36230" xr:uid="{00000000-0005-0000-0000-0000B58C0000}"/>
    <cellStyle name="Input 6 2 3 2 3 2 6" xfId="36231" xr:uid="{00000000-0005-0000-0000-0000B68C0000}"/>
    <cellStyle name="Input 6 2 3 2 3 2 7" xfId="36232" xr:uid="{00000000-0005-0000-0000-0000B78C0000}"/>
    <cellStyle name="Input 6 2 3 2 3 3" xfId="36233" xr:uid="{00000000-0005-0000-0000-0000B88C0000}"/>
    <cellStyle name="Input 6 2 3 2 3 3 2" xfId="36234" xr:uid="{00000000-0005-0000-0000-0000B98C0000}"/>
    <cellStyle name="Input 6 2 3 2 3 3 2 2" xfId="36235" xr:uid="{00000000-0005-0000-0000-0000BA8C0000}"/>
    <cellStyle name="Input 6 2 3 2 3 3 3" xfId="36236" xr:uid="{00000000-0005-0000-0000-0000BB8C0000}"/>
    <cellStyle name="Input 6 2 3 2 3 3 3 2" xfId="36237" xr:uid="{00000000-0005-0000-0000-0000BC8C0000}"/>
    <cellStyle name="Input 6 2 3 2 3 3 4" xfId="36238" xr:uid="{00000000-0005-0000-0000-0000BD8C0000}"/>
    <cellStyle name="Input 6 2 3 2 3 3 5" xfId="36239" xr:uid="{00000000-0005-0000-0000-0000BE8C0000}"/>
    <cellStyle name="Input 6 2 3 2 3 3 6" xfId="36240" xr:uid="{00000000-0005-0000-0000-0000BF8C0000}"/>
    <cellStyle name="Input 6 2 3 2 3 4" xfId="36241" xr:uid="{00000000-0005-0000-0000-0000C08C0000}"/>
    <cellStyle name="Input 6 2 3 2 3 4 2" xfId="36242" xr:uid="{00000000-0005-0000-0000-0000C18C0000}"/>
    <cellStyle name="Input 6 2 3 2 3 5" xfId="36243" xr:uid="{00000000-0005-0000-0000-0000C28C0000}"/>
    <cellStyle name="Input 6 2 3 2 3 5 2" xfId="36244" xr:uid="{00000000-0005-0000-0000-0000C38C0000}"/>
    <cellStyle name="Input 6 2 3 2 3 6" xfId="36245" xr:uid="{00000000-0005-0000-0000-0000C48C0000}"/>
    <cellStyle name="Input 6 2 3 2 3 7" xfId="36246" xr:uid="{00000000-0005-0000-0000-0000C58C0000}"/>
    <cellStyle name="Input 6 2 3 2 3 8" xfId="36247" xr:uid="{00000000-0005-0000-0000-0000C68C0000}"/>
    <cellStyle name="Input 6 2 3 2 4" xfId="36248" xr:uid="{00000000-0005-0000-0000-0000C78C0000}"/>
    <cellStyle name="Input 6 2 3 2 4 2" xfId="36249" xr:uid="{00000000-0005-0000-0000-0000C88C0000}"/>
    <cellStyle name="Input 6 2 3 2 4 2 2" xfId="36250" xr:uid="{00000000-0005-0000-0000-0000C98C0000}"/>
    <cellStyle name="Input 6 2 3 2 4 2 2 2" xfId="36251" xr:uid="{00000000-0005-0000-0000-0000CA8C0000}"/>
    <cellStyle name="Input 6 2 3 2 4 2 3" xfId="36252" xr:uid="{00000000-0005-0000-0000-0000CB8C0000}"/>
    <cellStyle name="Input 6 2 3 2 4 2 3 2" xfId="36253" xr:uid="{00000000-0005-0000-0000-0000CC8C0000}"/>
    <cellStyle name="Input 6 2 3 2 4 2 4" xfId="36254" xr:uid="{00000000-0005-0000-0000-0000CD8C0000}"/>
    <cellStyle name="Input 6 2 3 2 4 2 5" xfId="36255" xr:uid="{00000000-0005-0000-0000-0000CE8C0000}"/>
    <cellStyle name="Input 6 2 3 2 4 2 6" xfId="36256" xr:uid="{00000000-0005-0000-0000-0000CF8C0000}"/>
    <cellStyle name="Input 6 2 3 2 4 3" xfId="36257" xr:uid="{00000000-0005-0000-0000-0000D08C0000}"/>
    <cellStyle name="Input 6 2 3 2 4 3 2" xfId="36258" xr:uid="{00000000-0005-0000-0000-0000D18C0000}"/>
    <cellStyle name="Input 6 2 3 2 4 4" xfId="36259" xr:uid="{00000000-0005-0000-0000-0000D28C0000}"/>
    <cellStyle name="Input 6 2 3 2 4 4 2" xfId="36260" xr:uid="{00000000-0005-0000-0000-0000D38C0000}"/>
    <cellStyle name="Input 6 2 3 2 4 5" xfId="36261" xr:uid="{00000000-0005-0000-0000-0000D48C0000}"/>
    <cellStyle name="Input 6 2 3 2 4 6" xfId="36262" xr:uid="{00000000-0005-0000-0000-0000D58C0000}"/>
    <cellStyle name="Input 6 2 3 2 4 7" xfId="36263" xr:uid="{00000000-0005-0000-0000-0000D68C0000}"/>
    <cellStyle name="Input 6 2 3 2 5" xfId="36264" xr:uid="{00000000-0005-0000-0000-0000D78C0000}"/>
    <cellStyle name="Input 6 2 3 2 5 2" xfId="36265" xr:uid="{00000000-0005-0000-0000-0000D88C0000}"/>
    <cellStyle name="Input 6 2 3 2 5 2 2" xfId="36266" xr:uid="{00000000-0005-0000-0000-0000D98C0000}"/>
    <cellStyle name="Input 6 2 3 2 5 3" xfId="36267" xr:uid="{00000000-0005-0000-0000-0000DA8C0000}"/>
    <cellStyle name="Input 6 2 3 2 5 3 2" xfId="36268" xr:uid="{00000000-0005-0000-0000-0000DB8C0000}"/>
    <cellStyle name="Input 6 2 3 2 5 4" xfId="36269" xr:uid="{00000000-0005-0000-0000-0000DC8C0000}"/>
    <cellStyle name="Input 6 2 3 2 5 5" xfId="36270" xr:uid="{00000000-0005-0000-0000-0000DD8C0000}"/>
    <cellStyle name="Input 6 2 3 2 5 6" xfId="36271" xr:uid="{00000000-0005-0000-0000-0000DE8C0000}"/>
    <cellStyle name="Input 6 2 3 2 6" xfId="36272" xr:uid="{00000000-0005-0000-0000-0000DF8C0000}"/>
    <cellStyle name="Input 6 2 3 2 6 2" xfId="36273" xr:uid="{00000000-0005-0000-0000-0000E08C0000}"/>
    <cellStyle name="Input 6 2 3 2 7" xfId="36274" xr:uid="{00000000-0005-0000-0000-0000E18C0000}"/>
    <cellStyle name="Input 6 2 3 2 7 2" xfId="36275" xr:uid="{00000000-0005-0000-0000-0000E28C0000}"/>
    <cellStyle name="Input 6 2 3 2 8" xfId="36276" xr:uid="{00000000-0005-0000-0000-0000E38C0000}"/>
    <cellStyle name="Input 6 2 3 2 9" xfId="36277" xr:uid="{00000000-0005-0000-0000-0000E48C0000}"/>
    <cellStyle name="Input 6 2 3 3" xfId="36278" xr:uid="{00000000-0005-0000-0000-0000E58C0000}"/>
    <cellStyle name="Input 6 2 3 3 2" xfId="36279" xr:uid="{00000000-0005-0000-0000-0000E68C0000}"/>
    <cellStyle name="Input 6 2 3 3 2 2" xfId="36280" xr:uid="{00000000-0005-0000-0000-0000E78C0000}"/>
    <cellStyle name="Input 6 2 3 3 2 2 2" xfId="36281" xr:uid="{00000000-0005-0000-0000-0000E88C0000}"/>
    <cellStyle name="Input 6 2 3 3 2 2 2 2" xfId="36282" xr:uid="{00000000-0005-0000-0000-0000E98C0000}"/>
    <cellStyle name="Input 6 2 3 3 2 2 3" xfId="36283" xr:uid="{00000000-0005-0000-0000-0000EA8C0000}"/>
    <cellStyle name="Input 6 2 3 3 2 2 3 2" xfId="36284" xr:uid="{00000000-0005-0000-0000-0000EB8C0000}"/>
    <cellStyle name="Input 6 2 3 3 2 2 4" xfId="36285" xr:uid="{00000000-0005-0000-0000-0000EC8C0000}"/>
    <cellStyle name="Input 6 2 3 3 2 2 5" xfId="36286" xr:uid="{00000000-0005-0000-0000-0000ED8C0000}"/>
    <cellStyle name="Input 6 2 3 3 2 2 6" xfId="36287" xr:uid="{00000000-0005-0000-0000-0000EE8C0000}"/>
    <cellStyle name="Input 6 2 3 3 2 3" xfId="36288" xr:uid="{00000000-0005-0000-0000-0000EF8C0000}"/>
    <cellStyle name="Input 6 2 3 3 2 3 2" xfId="36289" xr:uid="{00000000-0005-0000-0000-0000F08C0000}"/>
    <cellStyle name="Input 6 2 3 3 2 4" xfId="36290" xr:uid="{00000000-0005-0000-0000-0000F18C0000}"/>
    <cellStyle name="Input 6 2 3 3 2 4 2" xfId="36291" xr:uid="{00000000-0005-0000-0000-0000F28C0000}"/>
    <cellStyle name="Input 6 2 3 3 2 5" xfId="36292" xr:uid="{00000000-0005-0000-0000-0000F38C0000}"/>
    <cellStyle name="Input 6 2 3 3 2 6" xfId="36293" xr:uid="{00000000-0005-0000-0000-0000F48C0000}"/>
    <cellStyle name="Input 6 2 3 3 2 7" xfId="36294" xr:uid="{00000000-0005-0000-0000-0000F58C0000}"/>
    <cellStyle name="Input 6 2 3 3 3" xfId="36295" xr:uid="{00000000-0005-0000-0000-0000F68C0000}"/>
    <cellStyle name="Input 6 2 3 3 3 2" xfId="36296" xr:uid="{00000000-0005-0000-0000-0000F78C0000}"/>
    <cellStyle name="Input 6 2 3 3 3 2 2" xfId="36297" xr:uid="{00000000-0005-0000-0000-0000F88C0000}"/>
    <cellStyle name="Input 6 2 3 3 3 3" xfId="36298" xr:uid="{00000000-0005-0000-0000-0000F98C0000}"/>
    <cellStyle name="Input 6 2 3 3 3 3 2" xfId="36299" xr:uid="{00000000-0005-0000-0000-0000FA8C0000}"/>
    <cellStyle name="Input 6 2 3 3 3 4" xfId="36300" xr:uid="{00000000-0005-0000-0000-0000FB8C0000}"/>
    <cellStyle name="Input 6 2 3 3 3 5" xfId="36301" xr:uid="{00000000-0005-0000-0000-0000FC8C0000}"/>
    <cellStyle name="Input 6 2 3 3 3 6" xfId="36302" xr:uid="{00000000-0005-0000-0000-0000FD8C0000}"/>
    <cellStyle name="Input 6 2 3 3 4" xfId="36303" xr:uid="{00000000-0005-0000-0000-0000FE8C0000}"/>
    <cellStyle name="Input 6 2 3 3 4 2" xfId="36304" xr:uid="{00000000-0005-0000-0000-0000FF8C0000}"/>
    <cellStyle name="Input 6 2 3 3 5" xfId="36305" xr:uid="{00000000-0005-0000-0000-0000008D0000}"/>
    <cellStyle name="Input 6 2 3 3 5 2" xfId="36306" xr:uid="{00000000-0005-0000-0000-0000018D0000}"/>
    <cellStyle name="Input 6 2 3 3 6" xfId="36307" xr:uid="{00000000-0005-0000-0000-0000028D0000}"/>
    <cellStyle name="Input 6 2 3 3 7" xfId="36308" xr:uid="{00000000-0005-0000-0000-0000038D0000}"/>
    <cellStyle name="Input 6 2 3 3 8" xfId="36309" xr:uid="{00000000-0005-0000-0000-0000048D0000}"/>
    <cellStyle name="Input 6 2 3 4" xfId="36310" xr:uid="{00000000-0005-0000-0000-0000058D0000}"/>
    <cellStyle name="Input 6 2 3 4 2" xfId="36311" xr:uid="{00000000-0005-0000-0000-0000068D0000}"/>
    <cellStyle name="Input 6 2 3 4 2 2" xfId="36312" xr:uid="{00000000-0005-0000-0000-0000078D0000}"/>
    <cellStyle name="Input 6 2 3 4 2 2 2" xfId="36313" xr:uid="{00000000-0005-0000-0000-0000088D0000}"/>
    <cellStyle name="Input 6 2 3 4 2 3" xfId="36314" xr:uid="{00000000-0005-0000-0000-0000098D0000}"/>
    <cellStyle name="Input 6 2 3 4 2 3 2" xfId="36315" xr:uid="{00000000-0005-0000-0000-00000A8D0000}"/>
    <cellStyle name="Input 6 2 3 4 2 4" xfId="36316" xr:uid="{00000000-0005-0000-0000-00000B8D0000}"/>
    <cellStyle name="Input 6 2 3 4 2 5" xfId="36317" xr:uid="{00000000-0005-0000-0000-00000C8D0000}"/>
    <cellStyle name="Input 6 2 3 4 2 6" xfId="36318" xr:uid="{00000000-0005-0000-0000-00000D8D0000}"/>
    <cellStyle name="Input 6 2 3 4 3" xfId="36319" xr:uid="{00000000-0005-0000-0000-00000E8D0000}"/>
    <cellStyle name="Input 6 2 3 4 3 2" xfId="36320" xr:uid="{00000000-0005-0000-0000-00000F8D0000}"/>
    <cellStyle name="Input 6 2 3 4 4" xfId="36321" xr:uid="{00000000-0005-0000-0000-0000108D0000}"/>
    <cellStyle name="Input 6 2 3 4 4 2" xfId="36322" xr:uid="{00000000-0005-0000-0000-0000118D0000}"/>
    <cellStyle name="Input 6 2 3 4 5" xfId="36323" xr:uid="{00000000-0005-0000-0000-0000128D0000}"/>
    <cellStyle name="Input 6 2 3 4 6" xfId="36324" xr:uid="{00000000-0005-0000-0000-0000138D0000}"/>
    <cellStyle name="Input 6 2 3 4 7" xfId="36325" xr:uid="{00000000-0005-0000-0000-0000148D0000}"/>
    <cellStyle name="Input 6 2 3 5" xfId="36326" xr:uid="{00000000-0005-0000-0000-0000158D0000}"/>
    <cellStyle name="Input 6 2 3 5 2" xfId="36327" xr:uid="{00000000-0005-0000-0000-0000168D0000}"/>
    <cellStyle name="Input 6 2 3 5 2 2" xfId="36328" xr:uid="{00000000-0005-0000-0000-0000178D0000}"/>
    <cellStyle name="Input 6 2 3 5 3" xfId="36329" xr:uid="{00000000-0005-0000-0000-0000188D0000}"/>
    <cellStyle name="Input 6 2 3 5 3 2" xfId="36330" xr:uid="{00000000-0005-0000-0000-0000198D0000}"/>
    <cellStyle name="Input 6 2 3 5 4" xfId="36331" xr:uid="{00000000-0005-0000-0000-00001A8D0000}"/>
    <cellStyle name="Input 6 2 3 5 5" xfId="36332" xr:uid="{00000000-0005-0000-0000-00001B8D0000}"/>
    <cellStyle name="Input 6 2 3 5 6" xfId="36333" xr:uid="{00000000-0005-0000-0000-00001C8D0000}"/>
    <cellStyle name="Input 6 2 3 6" xfId="36334" xr:uid="{00000000-0005-0000-0000-00001D8D0000}"/>
    <cellStyle name="Input 6 2 3 6 2" xfId="36335" xr:uid="{00000000-0005-0000-0000-00001E8D0000}"/>
    <cellStyle name="Input 6 2 3 7" xfId="36336" xr:uid="{00000000-0005-0000-0000-00001F8D0000}"/>
    <cellStyle name="Input 6 2 3 7 2" xfId="36337" xr:uid="{00000000-0005-0000-0000-0000208D0000}"/>
    <cellStyle name="Input 6 2 3 8" xfId="36338" xr:uid="{00000000-0005-0000-0000-0000218D0000}"/>
    <cellStyle name="Input 6 2 3 9" xfId="36339" xr:uid="{00000000-0005-0000-0000-0000228D0000}"/>
    <cellStyle name="Input 6 2 4" xfId="36340" xr:uid="{00000000-0005-0000-0000-0000238D0000}"/>
    <cellStyle name="Input 6 2 4 10" xfId="36341" xr:uid="{00000000-0005-0000-0000-0000248D0000}"/>
    <cellStyle name="Input 6 2 4 2" xfId="36342" xr:uid="{00000000-0005-0000-0000-0000258D0000}"/>
    <cellStyle name="Input 6 2 4 2 2" xfId="36343" xr:uid="{00000000-0005-0000-0000-0000268D0000}"/>
    <cellStyle name="Input 6 2 4 2 2 2" xfId="36344" xr:uid="{00000000-0005-0000-0000-0000278D0000}"/>
    <cellStyle name="Input 6 2 4 2 2 2 2" xfId="36345" xr:uid="{00000000-0005-0000-0000-0000288D0000}"/>
    <cellStyle name="Input 6 2 4 2 2 2 2 2" xfId="36346" xr:uid="{00000000-0005-0000-0000-0000298D0000}"/>
    <cellStyle name="Input 6 2 4 2 2 2 3" xfId="36347" xr:uid="{00000000-0005-0000-0000-00002A8D0000}"/>
    <cellStyle name="Input 6 2 4 2 2 2 3 2" xfId="36348" xr:uid="{00000000-0005-0000-0000-00002B8D0000}"/>
    <cellStyle name="Input 6 2 4 2 2 2 4" xfId="36349" xr:uid="{00000000-0005-0000-0000-00002C8D0000}"/>
    <cellStyle name="Input 6 2 4 2 2 2 5" xfId="36350" xr:uid="{00000000-0005-0000-0000-00002D8D0000}"/>
    <cellStyle name="Input 6 2 4 2 2 2 6" xfId="36351" xr:uid="{00000000-0005-0000-0000-00002E8D0000}"/>
    <cellStyle name="Input 6 2 4 2 2 3" xfId="36352" xr:uid="{00000000-0005-0000-0000-00002F8D0000}"/>
    <cellStyle name="Input 6 2 4 2 2 3 2" xfId="36353" xr:uid="{00000000-0005-0000-0000-0000308D0000}"/>
    <cellStyle name="Input 6 2 4 2 2 4" xfId="36354" xr:uid="{00000000-0005-0000-0000-0000318D0000}"/>
    <cellStyle name="Input 6 2 4 2 2 4 2" xfId="36355" xr:uid="{00000000-0005-0000-0000-0000328D0000}"/>
    <cellStyle name="Input 6 2 4 2 2 5" xfId="36356" xr:uid="{00000000-0005-0000-0000-0000338D0000}"/>
    <cellStyle name="Input 6 2 4 2 2 6" xfId="36357" xr:uid="{00000000-0005-0000-0000-0000348D0000}"/>
    <cellStyle name="Input 6 2 4 2 2 7" xfId="36358" xr:uid="{00000000-0005-0000-0000-0000358D0000}"/>
    <cellStyle name="Input 6 2 4 2 3" xfId="36359" xr:uid="{00000000-0005-0000-0000-0000368D0000}"/>
    <cellStyle name="Input 6 2 4 2 3 2" xfId="36360" xr:uid="{00000000-0005-0000-0000-0000378D0000}"/>
    <cellStyle name="Input 6 2 4 2 3 2 2" xfId="36361" xr:uid="{00000000-0005-0000-0000-0000388D0000}"/>
    <cellStyle name="Input 6 2 4 2 3 3" xfId="36362" xr:uid="{00000000-0005-0000-0000-0000398D0000}"/>
    <cellStyle name="Input 6 2 4 2 3 3 2" xfId="36363" xr:uid="{00000000-0005-0000-0000-00003A8D0000}"/>
    <cellStyle name="Input 6 2 4 2 3 4" xfId="36364" xr:uid="{00000000-0005-0000-0000-00003B8D0000}"/>
    <cellStyle name="Input 6 2 4 2 3 5" xfId="36365" xr:uid="{00000000-0005-0000-0000-00003C8D0000}"/>
    <cellStyle name="Input 6 2 4 2 3 6" xfId="36366" xr:uid="{00000000-0005-0000-0000-00003D8D0000}"/>
    <cellStyle name="Input 6 2 4 2 4" xfId="36367" xr:uid="{00000000-0005-0000-0000-00003E8D0000}"/>
    <cellStyle name="Input 6 2 4 2 4 2" xfId="36368" xr:uid="{00000000-0005-0000-0000-00003F8D0000}"/>
    <cellStyle name="Input 6 2 4 2 5" xfId="36369" xr:uid="{00000000-0005-0000-0000-0000408D0000}"/>
    <cellStyle name="Input 6 2 4 2 5 2" xfId="36370" xr:uid="{00000000-0005-0000-0000-0000418D0000}"/>
    <cellStyle name="Input 6 2 4 2 6" xfId="36371" xr:uid="{00000000-0005-0000-0000-0000428D0000}"/>
    <cellStyle name="Input 6 2 4 2 7" xfId="36372" xr:uid="{00000000-0005-0000-0000-0000438D0000}"/>
    <cellStyle name="Input 6 2 4 2 8" xfId="36373" xr:uid="{00000000-0005-0000-0000-0000448D0000}"/>
    <cellStyle name="Input 6 2 4 3" xfId="36374" xr:uid="{00000000-0005-0000-0000-0000458D0000}"/>
    <cellStyle name="Input 6 2 4 3 2" xfId="36375" xr:uid="{00000000-0005-0000-0000-0000468D0000}"/>
    <cellStyle name="Input 6 2 4 3 2 2" xfId="36376" xr:uid="{00000000-0005-0000-0000-0000478D0000}"/>
    <cellStyle name="Input 6 2 4 3 2 2 2" xfId="36377" xr:uid="{00000000-0005-0000-0000-0000488D0000}"/>
    <cellStyle name="Input 6 2 4 3 2 2 2 2" xfId="36378" xr:uid="{00000000-0005-0000-0000-0000498D0000}"/>
    <cellStyle name="Input 6 2 4 3 2 2 3" xfId="36379" xr:uid="{00000000-0005-0000-0000-00004A8D0000}"/>
    <cellStyle name="Input 6 2 4 3 2 2 3 2" xfId="36380" xr:uid="{00000000-0005-0000-0000-00004B8D0000}"/>
    <cellStyle name="Input 6 2 4 3 2 2 4" xfId="36381" xr:uid="{00000000-0005-0000-0000-00004C8D0000}"/>
    <cellStyle name="Input 6 2 4 3 2 2 5" xfId="36382" xr:uid="{00000000-0005-0000-0000-00004D8D0000}"/>
    <cellStyle name="Input 6 2 4 3 2 2 6" xfId="36383" xr:uid="{00000000-0005-0000-0000-00004E8D0000}"/>
    <cellStyle name="Input 6 2 4 3 2 3" xfId="36384" xr:uid="{00000000-0005-0000-0000-00004F8D0000}"/>
    <cellStyle name="Input 6 2 4 3 2 3 2" xfId="36385" xr:uid="{00000000-0005-0000-0000-0000508D0000}"/>
    <cellStyle name="Input 6 2 4 3 2 4" xfId="36386" xr:uid="{00000000-0005-0000-0000-0000518D0000}"/>
    <cellStyle name="Input 6 2 4 3 2 4 2" xfId="36387" xr:uid="{00000000-0005-0000-0000-0000528D0000}"/>
    <cellStyle name="Input 6 2 4 3 2 5" xfId="36388" xr:uid="{00000000-0005-0000-0000-0000538D0000}"/>
    <cellStyle name="Input 6 2 4 3 2 6" xfId="36389" xr:uid="{00000000-0005-0000-0000-0000548D0000}"/>
    <cellStyle name="Input 6 2 4 3 2 7" xfId="36390" xr:uid="{00000000-0005-0000-0000-0000558D0000}"/>
    <cellStyle name="Input 6 2 4 3 3" xfId="36391" xr:uid="{00000000-0005-0000-0000-0000568D0000}"/>
    <cellStyle name="Input 6 2 4 3 3 2" xfId="36392" xr:uid="{00000000-0005-0000-0000-0000578D0000}"/>
    <cellStyle name="Input 6 2 4 3 3 2 2" xfId="36393" xr:uid="{00000000-0005-0000-0000-0000588D0000}"/>
    <cellStyle name="Input 6 2 4 3 3 3" xfId="36394" xr:uid="{00000000-0005-0000-0000-0000598D0000}"/>
    <cellStyle name="Input 6 2 4 3 3 3 2" xfId="36395" xr:uid="{00000000-0005-0000-0000-00005A8D0000}"/>
    <cellStyle name="Input 6 2 4 3 3 4" xfId="36396" xr:uid="{00000000-0005-0000-0000-00005B8D0000}"/>
    <cellStyle name="Input 6 2 4 3 3 5" xfId="36397" xr:uid="{00000000-0005-0000-0000-00005C8D0000}"/>
    <cellStyle name="Input 6 2 4 3 3 6" xfId="36398" xr:uid="{00000000-0005-0000-0000-00005D8D0000}"/>
    <cellStyle name="Input 6 2 4 3 4" xfId="36399" xr:uid="{00000000-0005-0000-0000-00005E8D0000}"/>
    <cellStyle name="Input 6 2 4 3 4 2" xfId="36400" xr:uid="{00000000-0005-0000-0000-00005F8D0000}"/>
    <cellStyle name="Input 6 2 4 3 5" xfId="36401" xr:uid="{00000000-0005-0000-0000-0000608D0000}"/>
    <cellStyle name="Input 6 2 4 3 5 2" xfId="36402" xr:uid="{00000000-0005-0000-0000-0000618D0000}"/>
    <cellStyle name="Input 6 2 4 3 6" xfId="36403" xr:uid="{00000000-0005-0000-0000-0000628D0000}"/>
    <cellStyle name="Input 6 2 4 3 7" xfId="36404" xr:uid="{00000000-0005-0000-0000-0000638D0000}"/>
    <cellStyle name="Input 6 2 4 3 8" xfId="36405" xr:uid="{00000000-0005-0000-0000-0000648D0000}"/>
    <cellStyle name="Input 6 2 4 4" xfId="36406" xr:uid="{00000000-0005-0000-0000-0000658D0000}"/>
    <cellStyle name="Input 6 2 4 4 2" xfId="36407" xr:uid="{00000000-0005-0000-0000-0000668D0000}"/>
    <cellStyle name="Input 6 2 4 4 2 2" xfId="36408" xr:uid="{00000000-0005-0000-0000-0000678D0000}"/>
    <cellStyle name="Input 6 2 4 4 2 2 2" xfId="36409" xr:uid="{00000000-0005-0000-0000-0000688D0000}"/>
    <cellStyle name="Input 6 2 4 4 2 3" xfId="36410" xr:uid="{00000000-0005-0000-0000-0000698D0000}"/>
    <cellStyle name="Input 6 2 4 4 2 3 2" xfId="36411" xr:uid="{00000000-0005-0000-0000-00006A8D0000}"/>
    <cellStyle name="Input 6 2 4 4 2 4" xfId="36412" xr:uid="{00000000-0005-0000-0000-00006B8D0000}"/>
    <cellStyle name="Input 6 2 4 4 2 5" xfId="36413" xr:uid="{00000000-0005-0000-0000-00006C8D0000}"/>
    <cellStyle name="Input 6 2 4 4 2 6" xfId="36414" xr:uid="{00000000-0005-0000-0000-00006D8D0000}"/>
    <cellStyle name="Input 6 2 4 4 3" xfId="36415" xr:uid="{00000000-0005-0000-0000-00006E8D0000}"/>
    <cellStyle name="Input 6 2 4 4 3 2" xfId="36416" xr:uid="{00000000-0005-0000-0000-00006F8D0000}"/>
    <cellStyle name="Input 6 2 4 4 4" xfId="36417" xr:uid="{00000000-0005-0000-0000-0000708D0000}"/>
    <cellStyle name="Input 6 2 4 4 4 2" xfId="36418" xr:uid="{00000000-0005-0000-0000-0000718D0000}"/>
    <cellStyle name="Input 6 2 4 4 5" xfId="36419" xr:uid="{00000000-0005-0000-0000-0000728D0000}"/>
    <cellStyle name="Input 6 2 4 4 6" xfId="36420" xr:uid="{00000000-0005-0000-0000-0000738D0000}"/>
    <cellStyle name="Input 6 2 4 4 7" xfId="36421" xr:uid="{00000000-0005-0000-0000-0000748D0000}"/>
    <cellStyle name="Input 6 2 4 5" xfId="36422" xr:uid="{00000000-0005-0000-0000-0000758D0000}"/>
    <cellStyle name="Input 6 2 4 5 2" xfId="36423" xr:uid="{00000000-0005-0000-0000-0000768D0000}"/>
    <cellStyle name="Input 6 2 4 5 2 2" xfId="36424" xr:uid="{00000000-0005-0000-0000-0000778D0000}"/>
    <cellStyle name="Input 6 2 4 5 3" xfId="36425" xr:uid="{00000000-0005-0000-0000-0000788D0000}"/>
    <cellStyle name="Input 6 2 4 5 3 2" xfId="36426" xr:uid="{00000000-0005-0000-0000-0000798D0000}"/>
    <cellStyle name="Input 6 2 4 5 4" xfId="36427" xr:uid="{00000000-0005-0000-0000-00007A8D0000}"/>
    <cellStyle name="Input 6 2 4 5 5" xfId="36428" xr:uid="{00000000-0005-0000-0000-00007B8D0000}"/>
    <cellStyle name="Input 6 2 4 5 6" xfId="36429" xr:uid="{00000000-0005-0000-0000-00007C8D0000}"/>
    <cellStyle name="Input 6 2 4 6" xfId="36430" xr:uid="{00000000-0005-0000-0000-00007D8D0000}"/>
    <cellStyle name="Input 6 2 4 6 2" xfId="36431" xr:uid="{00000000-0005-0000-0000-00007E8D0000}"/>
    <cellStyle name="Input 6 2 4 7" xfId="36432" xr:uid="{00000000-0005-0000-0000-00007F8D0000}"/>
    <cellStyle name="Input 6 2 4 7 2" xfId="36433" xr:uid="{00000000-0005-0000-0000-0000808D0000}"/>
    <cellStyle name="Input 6 2 4 8" xfId="36434" xr:uid="{00000000-0005-0000-0000-0000818D0000}"/>
    <cellStyle name="Input 6 2 4 9" xfId="36435" xr:uid="{00000000-0005-0000-0000-0000828D0000}"/>
    <cellStyle name="Input 6 2 5" xfId="36436" xr:uid="{00000000-0005-0000-0000-0000838D0000}"/>
    <cellStyle name="Input 6 2 5 2" xfId="36437" xr:uid="{00000000-0005-0000-0000-0000848D0000}"/>
    <cellStyle name="Input 6 2 5 2 2" xfId="36438" xr:uid="{00000000-0005-0000-0000-0000858D0000}"/>
    <cellStyle name="Input 6 2 5 2 2 2" xfId="36439" xr:uid="{00000000-0005-0000-0000-0000868D0000}"/>
    <cellStyle name="Input 6 2 5 2 2 2 2" xfId="36440" xr:uid="{00000000-0005-0000-0000-0000878D0000}"/>
    <cellStyle name="Input 6 2 5 2 2 3" xfId="36441" xr:uid="{00000000-0005-0000-0000-0000888D0000}"/>
    <cellStyle name="Input 6 2 5 2 2 3 2" xfId="36442" xr:uid="{00000000-0005-0000-0000-0000898D0000}"/>
    <cellStyle name="Input 6 2 5 2 2 4" xfId="36443" xr:uid="{00000000-0005-0000-0000-00008A8D0000}"/>
    <cellStyle name="Input 6 2 5 2 2 5" xfId="36444" xr:uid="{00000000-0005-0000-0000-00008B8D0000}"/>
    <cellStyle name="Input 6 2 5 2 2 6" xfId="36445" xr:uid="{00000000-0005-0000-0000-00008C8D0000}"/>
    <cellStyle name="Input 6 2 5 2 3" xfId="36446" xr:uid="{00000000-0005-0000-0000-00008D8D0000}"/>
    <cellStyle name="Input 6 2 5 2 3 2" xfId="36447" xr:uid="{00000000-0005-0000-0000-00008E8D0000}"/>
    <cellStyle name="Input 6 2 5 2 4" xfId="36448" xr:uid="{00000000-0005-0000-0000-00008F8D0000}"/>
    <cellStyle name="Input 6 2 5 2 4 2" xfId="36449" xr:uid="{00000000-0005-0000-0000-0000908D0000}"/>
    <cellStyle name="Input 6 2 5 2 5" xfId="36450" xr:uid="{00000000-0005-0000-0000-0000918D0000}"/>
    <cellStyle name="Input 6 2 5 2 6" xfId="36451" xr:uid="{00000000-0005-0000-0000-0000928D0000}"/>
    <cellStyle name="Input 6 2 5 2 7" xfId="36452" xr:uid="{00000000-0005-0000-0000-0000938D0000}"/>
    <cellStyle name="Input 6 2 5 3" xfId="36453" xr:uid="{00000000-0005-0000-0000-0000948D0000}"/>
    <cellStyle name="Input 6 2 5 3 2" xfId="36454" xr:uid="{00000000-0005-0000-0000-0000958D0000}"/>
    <cellStyle name="Input 6 2 5 3 2 2" xfId="36455" xr:uid="{00000000-0005-0000-0000-0000968D0000}"/>
    <cellStyle name="Input 6 2 5 3 3" xfId="36456" xr:uid="{00000000-0005-0000-0000-0000978D0000}"/>
    <cellStyle name="Input 6 2 5 3 3 2" xfId="36457" xr:uid="{00000000-0005-0000-0000-0000988D0000}"/>
    <cellStyle name="Input 6 2 5 3 4" xfId="36458" xr:uid="{00000000-0005-0000-0000-0000998D0000}"/>
    <cellStyle name="Input 6 2 5 3 5" xfId="36459" xr:uid="{00000000-0005-0000-0000-00009A8D0000}"/>
    <cellStyle name="Input 6 2 5 3 6" xfId="36460" xr:uid="{00000000-0005-0000-0000-00009B8D0000}"/>
    <cellStyle name="Input 6 2 5 4" xfId="36461" xr:uid="{00000000-0005-0000-0000-00009C8D0000}"/>
    <cellStyle name="Input 6 2 5 4 2" xfId="36462" xr:uid="{00000000-0005-0000-0000-00009D8D0000}"/>
    <cellStyle name="Input 6 2 5 5" xfId="36463" xr:uid="{00000000-0005-0000-0000-00009E8D0000}"/>
    <cellStyle name="Input 6 2 5 5 2" xfId="36464" xr:uid="{00000000-0005-0000-0000-00009F8D0000}"/>
    <cellStyle name="Input 6 2 5 6" xfId="36465" xr:uid="{00000000-0005-0000-0000-0000A08D0000}"/>
    <cellStyle name="Input 6 2 5 7" xfId="36466" xr:uid="{00000000-0005-0000-0000-0000A18D0000}"/>
    <cellStyle name="Input 6 2 5 8" xfId="36467" xr:uid="{00000000-0005-0000-0000-0000A28D0000}"/>
    <cellStyle name="Input 6 2 6" xfId="36468" xr:uid="{00000000-0005-0000-0000-0000A38D0000}"/>
    <cellStyle name="Input 6 2 6 2" xfId="36469" xr:uid="{00000000-0005-0000-0000-0000A48D0000}"/>
    <cellStyle name="Input 6 2 6 2 2" xfId="36470" xr:uid="{00000000-0005-0000-0000-0000A58D0000}"/>
    <cellStyle name="Input 6 2 6 2 2 2" xfId="36471" xr:uid="{00000000-0005-0000-0000-0000A68D0000}"/>
    <cellStyle name="Input 6 2 6 2 3" xfId="36472" xr:uid="{00000000-0005-0000-0000-0000A78D0000}"/>
    <cellStyle name="Input 6 2 6 2 3 2" xfId="36473" xr:uid="{00000000-0005-0000-0000-0000A88D0000}"/>
    <cellStyle name="Input 6 2 6 2 4" xfId="36474" xr:uid="{00000000-0005-0000-0000-0000A98D0000}"/>
    <cellStyle name="Input 6 2 6 2 5" xfId="36475" xr:uid="{00000000-0005-0000-0000-0000AA8D0000}"/>
    <cellStyle name="Input 6 2 6 2 6" xfId="36476" xr:uid="{00000000-0005-0000-0000-0000AB8D0000}"/>
    <cellStyle name="Input 6 2 6 3" xfId="36477" xr:uid="{00000000-0005-0000-0000-0000AC8D0000}"/>
    <cellStyle name="Input 6 2 6 3 2" xfId="36478" xr:uid="{00000000-0005-0000-0000-0000AD8D0000}"/>
    <cellStyle name="Input 6 2 6 4" xfId="36479" xr:uid="{00000000-0005-0000-0000-0000AE8D0000}"/>
    <cellStyle name="Input 6 2 6 4 2" xfId="36480" xr:uid="{00000000-0005-0000-0000-0000AF8D0000}"/>
    <cellStyle name="Input 6 2 6 5" xfId="36481" xr:uid="{00000000-0005-0000-0000-0000B08D0000}"/>
    <cellStyle name="Input 6 2 6 6" xfId="36482" xr:uid="{00000000-0005-0000-0000-0000B18D0000}"/>
    <cellStyle name="Input 6 2 6 7" xfId="36483" xr:uid="{00000000-0005-0000-0000-0000B28D0000}"/>
    <cellStyle name="Input 6 2 7" xfId="36484" xr:uid="{00000000-0005-0000-0000-0000B38D0000}"/>
    <cellStyle name="Input 6 2 7 2" xfId="36485" xr:uid="{00000000-0005-0000-0000-0000B48D0000}"/>
    <cellStyle name="Input 6 2 7 2 2" xfId="36486" xr:uid="{00000000-0005-0000-0000-0000B58D0000}"/>
    <cellStyle name="Input 6 2 7 3" xfId="36487" xr:uid="{00000000-0005-0000-0000-0000B68D0000}"/>
    <cellStyle name="Input 6 2 7 3 2" xfId="36488" xr:uid="{00000000-0005-0000-0000-0000B78D0000}"/>
    <cellStyle name="Input 6 2 7 4" xfId="36489" xr:uid="{00000000-0005-0000-0000-0000B88D0000}"/>
    <cellStyle name="Input 6 2 7 5" xfId="36490" xr:uid="{00000000-0005-0000-0000-0000B98D0000}"/>
    <cellStyle name="Input 6 2 7 6" xfId="36491" xr:uid="{00000000-0005-0000-0000-0000BA8D0000}"/>
    <cellStyle name="Input 6 2 8" xfId="36492" xr:uid="{00000000-0005-0000-0000-0000BB8D0000}"/>
    <cellStyle name="Input 6 2 8 2" xfId="36493" xr:uid="{00000000-0005-0000-0000-0000BC8D0000}"/>
    <cellStyle name="Input 6 2 9" xfId="36494" xr:uid="{00000000-0005-0000-0000-0000BD8D0000}"/>
    <cellStyle name="Input 6 2 9 2" xfId="36495" xr:uid="{00000000-0005-0000-0000-0000BE8D0000}"/>
    <cellStyle name="Input 6 3" xfId="36496" xr:uid="{00000000-0005-0000-0000-0000BF8D0000}"/>
    <cellStyle name="Input 6 3 10" xfId="36497" xr:uid="{00000000-0005-0000-0000-0000C08D0000}"/>
    <cellStyle name="Input 6 3 11" xfId="36498" xr:uid="{00000000-0005-0000-0000-0000C18D0000}"/>
    <cellStyle name="Input 6 3 2" xfId="36499" xr:uid="{00000000-0005-0000-0000-0000C28D0000}"/>
    <cellStyle name="Input 6 3 2 10" xfId="36500" xr:uid="{00000000-0005-0000-0000-0000C38D0000}"/>
    <cellStyle name="Input 6 3 2 2" xfId="36501" xr:uid="{00000000-0005-0000-0000-0000C48D0000}"/>
    <cellStyle name="Input 6 3 2 2 10" xfId="36502" xr:uid="{00000000-0005-0000-0000-0000C58D0000}"/>
    <cellStyle name="Input 6 3 2 2 2" xfId="36503" xr:uid="{00000000-0005-0000-0000-0000C68D0000}"/>
    <cellStyle name="Input 6 3 2 2 2 2" xfId="36504" xr:uid="{00000000-0005-0000-0000-0000C78D0000}"/>
    <cellStyle name="Input 6 3 2 2 2 2 2" xfId="36505" xr:uid="{00000000-0005-0000-0000-0000C88D0000}"/>
    <cellStyle name="Input 6 3 2 2 2 2 2 2" xfId="36506" xr:uid="{00000000-0005-0000-0000-0000C98D0000}"/>
    <cellStyle name="Input 6 3 2 2 2 2 2 2 2" xfId="36507" xr:uid="{00000000-0005-0000-0000-0000CA8D0000}"/>
    <cellStyle name="Input 6 3 2 2 2 2 2 3" xfId="36508" xr:uid="{00000000-0005-0000-0000-0000CB8D0000}"/>
    <cellStyle name="Input 6 3 2 2 2 2 2 3 2" xfId="36509" xr:uid="{00000000-0005-0000-0000-0000CC8D0000}"/>
    <cellStyle name="Input 6 3 2 2 2 2 2 4" xfId="36510" xr:uid="{00000000-0005-0000-0000-0000CD8D0000}"/>
    <cellStyle name="Input 6 3 2 2 2 2 2 5" xfId="36511" xr:uid="{00000000-0005-0000-0000-0000CE8D0000}"/>
    <cellStyle name="Input 6 3 2 2 2 2 2 6" xfId="36512" xr:uid="{00000000-0005-0000-0000-0000CF8D0000}"/>
    <cellStyle name="Input 6 3 2 2 2 2 3" xfId="36513" xr:uid="{00000000-0005-0000-0000-0000D08D0000}"/>
    <cellStyle name="Input 6 3 2 2 2 2 3 2" xfId="36514" xr:uid="{00000000-0005-0000-0000-0000D18D0000}"/>
    <cellStyle name="Input 6 3 2 2 2 2 4" xfId="36515" xr:uid="{00000000-0005-0000-0000-0000D28D0000}"/>
    <cellStyle name="Input 6 3 2 2 2 2 4 2" xfId="36516" xr:uid="{00000000-0005-0000-0000-0000D38D0000}"/>
    <cellStyle name="Input 6 3 2 2 2 2 5" xfId="36517" xr:uid="{00000000-0005-0000-0000-0000D48D0000}"/>
    <cellStyle name="Input 6 3 2 2 2 2 6" xfId="36518" xr:uid="{00000000-0005-0000-0000-0000D58D0000}"/>
    <cellStyle name="Input 6 3 2 2 2 2 7" xfId="36519" xr:uid="{00000000-0005-0000-0000-0000D68D0000}"/>
    <cellStyle name="Input 6 3 2 2 2 3" xfId="36520" xr:uid="{00000000-0005-0000-0000-0000D78D0000}"/>
    <cellStyle name="Input 6 3 2 2 2 3 2" xfId="36521" xr:uid="{00000000-0005-0000-0000-0000D88D0000}"/>
    <cellStyle name="Input 6 3 2 2 2 3 2 2" xfId="36522" xr:uid="{00000000-0005-0000-0000-0000D98D0000}"/>
    <cellStyle name="Input 6 3 2 2 2 3 3" xfId="36523" xr:uid="{00000000-0005-0000-0000-0000DA8D0000}"/>
    <cellStyle name="Input 6 3 2 2 2 3 3 2" xfId="36524" xr:uid="{00000000-0005-0000-0000-0000DB8D0000}"/>
    <cellStyle name="Input 6 3 2 2 2 3 4" xfId="36525" xr:uid="{00000000-0005-0000-0000-0000DC8D0000}"/>
    <cellStyle name="Input 6 3 2 2 2 3 5" xfId="36526" xr:uid="{00000000-0005-0000-0000-0000DD8D0000}"/>
    <cellStyle name="Input 6 3 2 2 2 3 6" xfId="36527" xr:uid="{00000000-0005-0000-0000-0000DE8D0000}"/>
    <cellStyle name="Input 6 3 2 2 2 4" xfId="36528" xr:uid="{00000000-0005-0000-0000-0000DF8D0000}"/>
    <cellStyle name="Input 6 3 2 2 2 4 2" xfId="36529" xr:uid="{00000000-0005-0000-0000-0000E08D0000}"/>
    <cellStyle name="Input 6 3 2 2 2 5" xfId="36530" xr:uid="{00000000-0005-0000-0000-0000E18D0000}"/>
    <cellStyle name="Input 6 3 2 2 2 5 2" xfId="36531" xr:uid="{00000000-0005-0000-0000-0000E28D0000}"/>
    <cellStyle name="Input 6 3 2 2 2 6" xfId="36532" xr:uid="{00000000-0005-0000-0000-0000E38D0000}"/>
    <cellStyle name="Input 6 3 2 2 2 7" xfId="36533" xr:uid="{00000000-0005-0000-0000-0000E48D0000}"/>
    <cellStyle name="Input 6 3 2 2 2 8" xfId="36534" xr:uid="{00000000-0005-0000-0000-0000E58D0000}"/>
    <cellStyle name="Input 6 3 2 2 3" xfId="36535" xr:uid="{00000000-0005-0000-0000-0000E68D0000}"/>
    <cellStyle name="Input 6 3 2 2 3 2" xfId="36536" xr:uid="{00000000-0005-0000-0000-0000E78D0000}"/>
    <cellStyle name="Input 6 3 2 2 3 2 2" xfId="36537" xr:uid="{00000000-0005-0000-0000-0000E88D0000}"/>
    <cellStyle name="Input 6 3 2 2 3 2 2 2" xfId="36538" xr:uid="{00000000-0005-0000-0000-0000E98D0000}"/>
    <cellStyle name="Input 6 3 2 2 3 2 2 2 2" xfId="36539" xr:uid="{00000000-0005-0000-0000-0000EA8D0000}"/>
    <cellStyle name="Input 6 3 2 2 3 2 2 3" xfId="36540" xr:uid="{00000000-0005-0000-0000-0000EB8D0000}"/>
    <cellStyle name="Input 6 3 2 2 3 2 2 3 2" xfId="36541" xr:uid="{00000000-0005-0000-0000-0000EC8D0000}"/>
    <cellStyle name="Input 6 3 2 2 3 2 2 4" xfId="36542" xr:uid="{00000000-0005-0000-0000-0000ED8D0000}"/>
    <cellStyle name="Input 6 3 2 2 3 2 2 5" xfId="36543" xr:uid="{00000000-0005-0000-0000-0000EE8D0000}"/>
    <cellStyle name="Input 6 3 2 2 3 2 2 6" xfId="36544" xr:uid="{00000000-0005-0000-0000-0000EF8D0000}"/>
    <cellStyle name="Input 6 3 2 2 3 2 3" xfId="36545" xr:uid="{00000000-0005-0000-0000-0000F08D0000}"/>
    <cellStyle name="Input 6 3 2 2 3 2 3 2" xfId="36546" xr:uid="{00000000-0005-0000-0000-0000F18D0000}"/>
    <cellStyle name="Input 6 3 2 2 3 2 4" xfId="36547" xr:uid="{00000000-0005-0000-0000-0000F28D0000}"/>
    <cellStyle name="Input 6 3 2 2 3 2 4 2" xfId="36548" xr:uid="{00000000-0005-0000-0000-0000F38D0000}"/>
    <cellStyle name="Input 6 3 2 2 3 2 5" xfId="36549" xr:uid="{00000000-0005-0000-0000-0000F48D0000}"/>
    <cellStyle name="Input 6 3 2 2 3 2 6" xfId="36550" xr:uid="{00000000-0005-0000-0000-0000F58D0000}"/>
    <cellStyle name="Input 6 3 2 2 3 2 7" xfId="36551" xr:uid="{00000000-0005-0000-0000-0000F68D0000}"/>
    <cellStyle name="Input 6 3 2 2 3 3" xfId="36552" xr:uid="{00000000-0005-0000-0000-0000F78D0000}"/>
    <cellStyle name="Input 6 3 2 2 3 3 2" xfId="36553" xr:uid="{00000000-0005-0000-0000-0000F88D0000}"/>
    <cellStyle name="Input 6 3 2 2 3 3 2 2" xfId="36554" xr:uid="{00000000-0005-0000-0000-0000F98D0000}"/>
    <cellStyle name="Input 6 3 2 2 3 3 3" xfId="36555" xr:uid="{00000000-0005-0000-0000-0000FA8D0000}"/>
    <cellStyle name="Input 6 3 2 2 3 3 3 2" xfId="36556" xr:uid="{00000000-0005-0000-0000-0000FB8D0000}"/>
    <cellStyle name="Input 6 3 2 2 3 3 4" xfId="36557" xr:uid="{00000000-0005-0000-0000-0000FC8D0000}"/>
    <cellStyle name="Input 6 3 2 2 3 3 5" xfId="36558" xr:uid="{00000000-0005-0000-0000-0000FD8D0000}"/>
    <cellStyle name="Input 6 3 2 2 3 3 6" xfId="36559" xr:uid="{00000000-0005-0000-0000-0000FE8D0000}"/>
    <cellStyle name="Input 6 3 2 2 3 4" xfId="36560" xr:uid="{00000000-0005-0000-0000-0000FF8D0000}"/>
    <cellStyle name="Input 6 3 2 2 3 4 2" xfId="36561" xr:uid="{00000000-0005-0000-0000-0000008E0000}"/>
    <cellStyle name="Input 6 3 2 2 3 5" xfId="36562" xr:uid="{00000000-0005-0000-0000-0000018E0000}"/>
    <cellStyle name="Input 6 3 2 2 3 5 2" xfId="36563" xr:uid="{00000000-0005-0000-0000-0000028E0000}"/>
    <cellStyle name="Input 6 3 2 2 3 6" xfId="36564" xr:uid="{00000000-0005-0000-0000-0000038E0000}"/>
    <cellStyle name="Input 6 3 2 2 3 7" xfId="36565" xr:uid="{00000000-0005-0000-0000-0000048E0000}"/>
    <cellStyle name="Input 6 3 2 2 3 8" xfId="36566" xr:uid="{00000000-0005-0000-0000-0000058E0000}"/>
    <cellStyle name="Input 6 3 2 2 4" xfId="36567" xr:uid="{00000000-0005-0000-0000-0000068E0000}"/>
    <cellStyle name="Input 6 3 2 2 4 2" xfId="36568" xr:uid="{00000000-0005-0000-0000-0000078E0000}"/>
    <cellStyle name="Input 6 3 2 2 4 2 2" xfId="36569" xr:uid="{00000000-0005-0000-0000-0000088E0000}"/>
    <cellStyle name="Input 6 3 2 2 4 2 2 2" xfId="36570" xr:uid="{00000000-0005-0000-0000-0000098E0000}"/>
    <cellStyle name="Input 6 3 2 2 4 2 3" xfId="36571" xr:uid="{00000000-0005-0000-0000-00000A8E0000}"/>
    <cellStyle name="Input 6 3 2 2 4 2 3 2" xfId="36572" xr:uid="{00000000-0005-0000-0000-00000B8E0000}"/>
    <cellStyle name="Input 6 3 2 2 4 2 4" xfId="36573" xr:uid="{00000000-0005-0000-0000-00000C8E0000}"/>
    <cellStyle name="Input 6 3 2 2 4 2 5" xfId="36574" xr:uid="{00000000-0005-0000-0000-00000D8E0000}"/>
    <cellStyle name="Input 6 3 2 2 4 2 6" xfId="36575" xr:uid="{00000000-0005-0000-0000-00000E8E0000}"/>
    <cellStyle name="Input 6 3 2 2 4 3" xfId="36576" xr:uid="{00000000-0005-0000-0000-00000F8E0000}"/>
    <cellStyle name="Input 6 3 2 2 4 3 2" xfId="36577" xr:uid="{00000000-0005-0000-0000-0000108E0000}"/>
    <cellStyle name="Input 6 3 2 2 4 4" xfId="36578" xr:uid="{00000000-0005-0000-0000-0000118E0000}"/>
    <cellStyle name="Input 6 3 2 2 4 4 2" xfId="36579" xr:uid="{00000000-0005-0000-0000-0000128E0000}"/>
    <cellStyle name="Input 6 3 2 2 4 5" xfId="36580" xr:uid="{00000000-0005-0000-0000-0000138E0000}"/>
    <cellStyle name="Input 6 3 2 2 4 6" xfId="36581" xr:uid="{00000000-0005-0000-0000-0000148E0000}"/>
    <cellStyle name="Input 6 3 2 2 4 7" xfId="36582" xr:uid="{00000000-0005-0000-0000-0000158E0000}"/>
    <cellStyle name="Input 6 3 2 2 5" xfId="36583" xr:uid="{00000000-0005-0000-0000-0000168E0000}"/>
    <cellStyle name="Input 6 3 2 2 5 2" xfId="36584" xr:uid="{00000000-0005-0000-0000-0000178E0000}"/>
    <cellStyle name="Input 6 3 2 2 5 2 2" xfId="36585" xr:uid="{00000000-0005-0000-0000-0000188E0000}"/>
    <cellStyle name="Input 6 3 2 2 5 3" xfId="36586" xr:uid="{00000000-0005-0000-0000-0000198E0000}"/>
    <cellStyle name="Input 6 3 2 2 5 3 2" xfId="36587" xr:uid="{00000000-0005-0000-0000-00001A8E0000}"/>
    <cellStyle name="Input 6 3 2 2 5 4" xfId="36588" xr:uid="{00000000-0005-0000-0000-00001B8E0000}"/>
    <cellStyle name="Input 6 3 2 2 5 5" xfId="36589" xr:uid="{00000000-0005-0000-0000-00001C8E0000}"/>
    <cellStyle name="Input 6 3 2 2 5 6" xfId="36590" xr:uid="{00000000-0005-0000-0000-00001D8E0000}"/>
    <cellStyle name="Input 6 3 2 2 6" xfId="36591" xr:uid="{00000000-0005-0000-0000-00001E8E0000}"/>
    <cellStyle name="Input 6 3 2 2 6 2" xfId="36592" xr:uid="{00000000-0005-0000-0000-00001F8E0000}"/>
    <cellStyle name="Input 6 3 2 2 7" xfId="36593" xr:uid="{00000000-0005-0000-0000-0000208E0000}"/>
    <cellStyle name="Input 6 3 2 2 7 2" xfId="36594" xr:uid="{00000000-0005-0000-0000-0000218E0000}"/>
    <cellStyle name="Input 6 3 2 2 8" xfId="36595" xr:uid="{00000000-0005-0000-0000-0000228E0000}"/>
    <cellStyle name="Input 6 3 2 2 9" xfId="36596" xr:uid="{00000000-0005-0000-0000-0000238E0000}"/>
    <cellStyle name="Input 6 3 2 3" xfId="36597" xr:uid="{00000000-0005-0000-0000-0000248E0000}"/>
    <cellStyle name="Input 6 3 2 3 2" xfId="36598" xr:uid="{00000000-0005-0000-0000-0000258E0000}"/>
    <cellStyle name="Input 6 3 2 3 2 2" xfId="36599" xr:uid="{00000000-0005-0000-0000-0000268E0000}"/>
    <cellStyle name="Input 6 3 2 3 2 2 2" xfId="36600" xr:uid="{00000000-0005-0000-0000-0000278E0000}"/>
    <cellStyle name="Input 6 3 2 3 2 2 2 2" xfId="36601" xr:uid="{00000000-0005-0000-0000-0000288E0000}"/>
    <cellStyle name="Input 6 3 2 3 2 2 3" xfId="36602" xr:uid="{00000000-0005-0000-0000-0000298E0000}"/>
    <cellStyle name="Input 6 3 2 3 2 2 3 2" xfId="36603" xr:uid="{00000000-0005-0000-0000-00002A8E0000}"/>
    <cellStyle name="Input 6 3 2 3 2 2 4" xfId="36604" xr:uid="{00000000-0005-0000-0000-00002B8E0000}"/>
    <cellStyle name="Input 6 3 2 3 2 2 5" xfId="36605" xr:uid="{00000000-0005-0000-0000-00002C8E0000}"/>
    <cellStyle name="Input 6 3 2 3 2 2 6" xfId="36606" xr:uid="{00000000-0005-0000-0000-00002D8E0000}"/>
    <cellStyle name="Input 6 3 2 3 2 3" xfId="36607" xr:uid="{00000000-0005-0000-0000-00002E8E0000}"/>
    <cellStyle name="Input 6 3 2 3 2 3 2" xfId="36608" xr:uid="{00000000-0005-0000-0000-00002F8E0000}"/>
    <cellStyle name="Input 6 3 2 3 2 4" xfId="36609" xr:uid="{00000000-0005-0000-0000-0000308E0000}"/>
    <cellStyle name="Input 6 3 2 3 2 4 2" xfId="36610" xr:uid="{00000000-0005-0000-0000-0000318E0000}"/>
    <cellStyle name="Input 6 3 2 3 2 5" xfId="36611" xr:uid="{00000000-0005-0000-0000-0000328E0000}"/>
    <cellStyle name="Input 6 3 2 3 2 6" xfId="36612" xr:uid="{00000000-0005-0000-0000-0000338E0000}"/>
    <cellStyle name="Input 6 3 2 3 2 7" xfId="36613" xr:uid="{00000000-0005-0000-0000-0000348E0000}"/>
    <cellStyle name="Input 6 3 2 3 3" xfId="36614" xr:uid="{00000000-0005-0000-0000-0000358E0000}"/>
    <cellStyle name="Input 6 3 2 3 3 2" xfId="36615" xr:uid="{00000000-0005-0000-0000-0000368E0000}"/>
    <cellStyle name="Input 6 3 2 3 3 2 2" xfId="36616" xr:uid="{00000000-0005-0000-0000-0000378E0000}"/>
    <cellStyle name="Input 6 3 2 3 3 3" xfId="36617" xr:uid="{00000000-0005-0000-0000-0000388E0000}"/>
    <cellStyle name="Input 6 3 2 3 3 3 2" xfId="36618" xr:uid="{00000000-0005-0000-0000-0000398E0000}"/>
    <cellStyle name="Input 6 3 2 3 3 4" xfId="36619" xr:uid="{00000000-0005-0000-0000-00003A8E0000}"/>
    <cellStyle name="Input 6 3 2 3 3 5" xfId="36620" xr:uid="{00000000-0005-0000-0000-00003B8E0000}"/>
    <cellStyle name="Input 6 3 2 3 3 6" xfId="36621" xr:uid="{00000000-0005-0000-0000-00003C8E0000}"/>
    <cellStyle name="Input 6 3 2 3 4" xfId="36622" xr:uid="{00000000-0005-0000-0000-00003D8E0000}"/>
    <cellStyle name="Input 6 3 2 3 4 2" xfId="36623" xr:uid="{00000000-0005-0000-0000-00003E8E0000}"/>
    <cellStyle name="Input 6 3 2 3 5" xfId="36624" xr:uid="{00000000-0005-0000-0000-00003F8E0000}"/>
    <cellStyle name="Input 6 3 2 3 5 2" xfId="36625" xr:uid="{00000000-0005-0000-0000-0000408E0000}"/>
    <cellStyle name="Input 6 3 2 3 6" xfId="36626" xr:uid="{00000000-0005-0000-0000-0000418E0000}"/>
    <cellStyle name="Input 6 3 2 3 7" xfId="36627" xr:uid="{00000000-0005-0000-0000-0000428E0000}"/>
    <cellStyle name="Input 6 3 2 3 8" xfId="36628" xr:uid="{00000000-0005-0000-0000-0000438E0000}"/>
    <cellStyle name="Input 6 3 2 4" xfId="36629" xr:uid="{00000000-0005-0000-0000-0000448E0000}"/>
    <cellStyle name="Input 6 3 2 4 2" xfId="36630" xr:uid="{00000000-0005-0000-0000-0000458E0000}"/>
    <cellStyle name="Input 6 3 2 4 2 2" xfId="36631" xr:uid="{00000000-0005-0000-0000-0000468E0000}"/>
    <cellStyle name="Input 6 3 2 4 2 2 2" xfId="36632" xr:uid="{00000000-0005-0000-0000-0000478E0000}"/>
    <cellStyle name="Input 6 3 2 4 2 3" xfId="36633" xr:uid="{00000000-0005-0000-0000-0000488E0000}"/>
    <cellStyle name="Input 6 3 2 4 2 3 2" xfId="36634" xr:uid="{00000000-0005-0000-0000-0000498E0000}"/>
    <cellStyle name="Input 6 3 2 4 2 4" xfId="36635" xr:uid="{00000000-0005-0000-0000-00004A8E0000}"/>
    <cellStyle name="Input 6 3 2 4 2 5" xfId="36636" xr:uid="{00000000-0005-0000-0000-00004B8E0000}"/>
    <cellStyle name="Input 6 3 2 4 2 6" xfId="36637" xr:uid="{00000000-0005-0000-0000-00004C8E0000}"/>
    <cellStyle name="Input 6 3 2 4 3" xfId="36638" xr:uid="{00000000-0005-0000-0000-00004D8E0000}"/>
    <cellStyle name="Input 6 3 2 4 3 2" xfId="36639" xr:uid="{00000000-0005-0000-0000-00004E8E0000}"/>
    <cellStyle name="Input 6 3 2 4 4" xfId="36640" xr:uid="{00000000-0005-0000-0000-00004F8E0000}"/>
    <cellStyle name="Input 6 3 2 4 4 2" xfId="36641" xr:uid="{00000000-0005-0000-0000-0000508E0000}"/>
    <cellStyle name="Input 6 3 2 4 5" xfId="36642" xr:uid="{00000000-0005-0000-0000-0000518E0000}"/>
    <cellStyle name="Input 6 3 2 4 6" xfId="36643" xr:uid="{00000000-0005-0000-0000-0000528E0000}"/>
    <cellStyle name="Input 6 3 2 4 7" xfId="36644" xr:uid="{00000000-0005-0000-0000-0000538E0000}"/>
    <cellStyle name="Input 6 3 2 5" xfId="36645" xr:uid="{00000000-0005-0000-0000-0000548E0000}"/>
    <cellStyle name="Input 6 3 2 5 2" xfId="36646" xr:uid="{00000000-0005-0000-0000-0000558E0000}"/>
    <cellStyle name="Input 6 3 2 5 2 2" xfId="36647" xr:uid="{00000000-0005-0000-0000-0000568E0000}"/>
    <cellStyle name="Input 6 3 2 5 3" xfId="36648" xr:uid="{00000000-0005-0000-0000-0000578E0000}"/>
    <cellStyle name="Input 6 3 2 5 3 2" xfId="36649" xr:uid="{00000000-0005-0000-0000-0000588E0000}"/>
    <cellStyle name="Input 6 3 2 5 4" xfId="36650" xr:uid="{00000000-0005-0000-0000-0000598E0000}"/>
    <cellStyle name="Input 6 3 2 5 5" xfId="36651" xr:uid="{00000000-0005-0000-0000-00005A8E0000}"/>
    <cellStyle name="Input 6 3 2 5 6" xfId="36652" xr:uid="{00000000-0005-0000-0000-00005B8E0000}"/>
    <cellStyle name="Input 6 3 2 6" xfId="36653" xr:uid="{00000000-0005-0000-0000-00005C8E0000}"/>
    <cellStyle name="Input 6 3 2 6 2" xfId="36654" xr:uid="{00000000-0005-0000-0000-00005D8E0000}"/>
    <cellStyle name="Input 6 3 2 7" xfId="36655" xr:uid="{00000000-0005-0000-0000-00005E8E0000}"/>
    <cellStyle name="Input 6 3 2 7 2" xfId="36656" xr:uid="{00000000-0005-0000-0000-00005F8E0000}"/>
    <cellStyle name="Input 6 3 2 8" xfId="36657" xr:uid="{00000000-0005-0000-0000-0000608E0000}"/>
    <cellStyle name="Input 6 3 2 9" xfId="36658" xr:uid="{00000000-0005-0000-0000-0000618E0000}"/>
    <cellStyle name="Input 6 3 3" xfId="36659" xr:uid="{00000000-0005-0000-0000-0000628E0000}"/>
    <cellStyle name="Input 6 3 3 10" xfId="36660" xr:uid="{00000000-0005-0000-0000-0000638E0000}"/>
    <cellStyle name="Input 6 3 3 2" xfId="36661" xr:uid="{00000000-0005-0000-0000-0000648E0000}"/>
    <cellStyle name="Input 6 3 3 2 2" xfId="36662" xr:uid="{00000000-0005-0000-0000-0000658E0000}"/>
    <cellStyle name="Input 6 3 3 2 2 2" xfId="36663" xr:uid="{00000000-0005-0000-0000-0000668E0000}"/>
    <cellStyle name="Input 6 3 3 2 2 2 2" xfId="36664" xr:uid="{00000000-0005-0000-0000-0000678E0000}"/>
    <cellStyle name="Input 6 3 3 2 2 2 2 2" xfId="36665" xr:uid="{00000000-0005-0000-0000-0000688E0000}"/>
    <cellStyle name="Input 6 3 3 2 2 2 3" xfId="36666" xr:uid="{00000000-0005-0000-0000-0000698E0000}"/>
    <cellStyle name="Input 6 3 3 2 2 2 3 2" xfId="36667" xr:uid="{00000000-0005-0000-0000-00006A8E0000}"/>
    <cellStyle name="Input 6 3 3 2 2 2 4" xfId="36668" xr:uid="{00000000-0005-0000-0000-00006B8E0000}"/>
    <cellStyle name="Input 6 3 3 2 2 2 5" xfId="36669" xr:uid="{00000000-0005-0000-0000-00006C8E0000}"/>
    <cellStyle name="Input 6 3 3 2 2 2 6" xfId="36670" xr:uid="{00000000-0005-0000-0000-00006D8E0000}"/>
    <cellStyle name="Input 6 3 3 2 2 3" xfId="36671" xr:uid="{00000000-0005-0000-0000-00006E8E0000}"/>
    <cellStyle name="Input 6 3 3 2 2 3 2" xfId="36672" xr:uid="{00000000-0005-0000-0000-00006F8E0000}"/>
    <cellStyle name="Input 6 3 3 2 2 4" xfId="36673" xr:uid="{00000000-0005-0000-0000-0000708E0000}"/>
    <cellStyle name="Input 6 3 3 2 2 4 2" xfId="36674" xr:uid="{00000000-0005-0000-0000-0000718E0000}"/>
    <cellStyle name="Input 6 3 3 2 2 5" xfId="36675" xr:uid="{00000000-0005-0000-0000-0000728E0000}"/>
    <cellStyle name="Input 6 3 3 2 2 6" xfId="36676" xr:uid="{00000000-0005-0000-0000-0000738E0000}"/>
    <cellStyle name="Input 6 3 3 2 2 7" xfId="36677" xr:uid="{00000000-0005-0000-0000-0000748E0000}"/>
    <cellStyle name="Input 6 3 3 2 3" xfId="36678" xr:uid="{00000000-0005-0000-0000-0000758E0000}"/>
    <cellStyle name="Input 6 3 3 2 3 2" xfId="36679" xr:uid="{00000000-0005-0000-0000-0000768E0000}"/>
    <cellStyle name="Input 6 3 3 2 3 2 2" xfId="36680" xr:uid="{00000000-0005-0000-0000-0000778E0000}"/>
    <cellStyle name="Input 6 3 3 2 3 3" xfId="36681" xr:uid="{00000000-0005-0000-0000-0000788E0000}"/>
    <cellStyle name="Input 6 3 3 2 3 3 2" xfId="36682" xr:uid="{00000000-0005-0000-0000-0000798E0000}"/>
    <cellStyle name="Input 6 3 3 2 3 4" xfId="36683" xr:uid="{00000000-0005-0000-0000-00007A8E0000}"/>
    <cellStyle name="Input 6 3 3 2 3 5" xfId="36684" xr:uid="{00000000-0005-0000-0000-00007B8E0000}"/>
    <cellStyle name="Input 6 3 3 2 3 6" xfId="36685" xr:uid="{00000000-0005-0000-0000-00007C8E0000}"/>
    <cellStyle name="Input 6 3 3 2 4" xfId="36686" xr:uid="{00000000-0005-0000-0000-00007D8E0000}"/>
    <cellStyle name="Input 6 3 3 2 4 2" xfId="36687" xr:uid="{00000000-0005-0000-0000-00007E8E0000}"/>
    <cellStyle name="Input 6 3 3 2 5" xfId="36688" xr:uid="{00000000-0005-0000-0000-00007F8E0000}"/>
    <cellStyle name="Input 6 3 3 2 5 2" xfId="36689" xr:uid="{00000000-0005-0000-0000-0000808E0000}"/>
    <cellStyle name="Input 6 3 3 2 6" xfId="36690" xr:uid="{00000000-0005-0000-0000-0000818E0000}"/>
    <cellStyle name="Input 6 3 3 2 7" xfId="36691" xr:uid="{00000000-0005-0000-0000-0000828E0000}"/>
    <cellStyle name="Input 6 3 3 2 8" xfId="36692" xr:uid="{00000000-0005-0000-0000-0000838E0000}"/>
    <cellStyle name="Input 6 3 3 3" xfId="36693" xr:uid="{00000000-0005-0000-0000-0000848E0000}"/>
    <cellStyle name="Input 6 3 3 3 2" xfId="36694" xr:uid="{00000000-0005-0000-0000-0000858E0000}"/>
    <cellStyle name="Input 6 3 3 3 2 2" xfId="36695" xr:uid="{00000000-0005-0000-0000-0000868E0000}"/>
    <cellStyle name="Input 6 3 3 3 2 2 2" xfId="36696" xr:uid="{00000000-0005-0000-0000-0000878E0000}"/>
    <cellStyle name="Input 6 3 3 3 2 2 2 2" xfId="36697" xr:uid="{00000000-0005-0000-0000-0000888E0000}"/>
    <cellStyle name="Input 6 3 3 3 2 2 3" xfId="36698" xr:uid="{00000000-0005-0000-0000-0000898E0000}"/>
    <cellStyle name="Input 6 3 3 3 2 2 3 2" xfId="36699" xr:uid="{00000000-0005-0000-0000-00008A8E0000}"/>
    <cellStyle name="Input 6 3 3 3 2 2 4" xfId="36700" xr:uid="{00000000-0005-0000-0000-00008B8E0000}"/>
    <cellStyle name="Input 6 3 3 3 2 2 5" xfId="36701" xr:uid="{00000000-0005-0000-0000-00008C8E0000}"/>
    <cellStyle name="Input 6 3 3 3 2 2 6" xfId="36702" xr:uid="{00000000-0005-0000-0000-00008D8E0000}"/>
    <cellStyle name="Input 6 3 3 3 2 3" xfId="36703" xr:uid="{00000000-0005-0000-0000-00008E8E0000}"/>
    <cellStyle name="Input 6 3 3 3 2 3 2" xfId="36704" xr:uid="{00000000-0005-0000-0000-00008F8E0000}"/>
    <cellStyle name="Input 6 3 3 3 2 4" xfId="36705" xr:uid="{00000000-0005-0000-0000-0000908E0000}"/>
    <cellStyle name="Input 6 3 3 3 2 4 2" xfId="36706" xr:uid="{00000000-0005-0000-0000-0000918E0000}"/>
    <cellStyle name="Input 6 3 3 3 2 5" xfId="36707" xr:uid="{00000000-0005-0000-0000-0000928E0000}"/>
    <cellStyle name="Input 6 3 3 3 2 6" xfId="36708" xr:uid="{00000000-0005-0000-0000-0000938E0000}"/>
    <cellStyle name="Input 6 3 3 3 2 7" xfId="36709" xr:uid="{00000000-0005-0000-0000-0000948E0000}"/>
    <cellStyle name="Input 6 3 3 3 3" xfId="36710" xr:uid="{00000000-0005-0000-0000-0000958E0000}"/>
    <cellStyle name="Input 6 3 3 3 3 2" xfId="36711" xr:uid="{00000000-0005-0000-0000-0000968E0000}"/>
    <cellStyle name="Input 6 3 3 3 3 2 2" xfId="36712" xr:uid="{00000000-0005-0000-0000-0000978E0000}"/>
    <cellStyle name="Input 6 3 3 3 3 3" xfId="36713" xr:uid="{00000000-0005-0000-0000-0000988E0000}"/>
    <cellStyle name="Input 6 3 3 3 3 3 2" xfId="36714" xr:uid="{00000000-0005-0000-0000-0000998E0000}"/>
    <cellStyle name="Input 6 3 3 3 3 4" xfId="36715" xr:uid="{00000000-0005-0000-0000-00009A8E0000}"/>
    <cellStyle name="Input 6 3 3 3 3 5" xfId="36716" xr:uid="{00000000-0005-0000-0000-00009B8E0000}"/>
    <cellStyle name="Input 6 3 3 3 3 6" xfId="36717" xr:uid="{00000000-0005-0000-0000-00009C8E0000}"/>
    <cellStyle name="Input 6 3 3 3 4" xfId="36718" xr:uid="{00000000-0005-0000-0000-00009D8E0000}"/>
    <cellStyle name="Input 6 3 3 3 4 2" xfId="36719" xr:uid="{00000000-0005-0000-0000-00009E8E0000}"/>
    <cellStyle name="Input 6 3 3 3 5" xfId="36720" xr:uid="{00000000-0005-0000-0000-00009F8E0000}"/>
    <cellStyle name="Input 6 3 3 3 5 2" xfId="36721" xr:uid="{00000000-0005-0000-0000-0000A08E0000}"/>
    <cellStyle name="Input 6 3 3 3 6" xfId="36722" xr:uid="{00000000-0005-0000-0000-0000A18E0000}"/>
    <cellStyle name="Input 6 3 3 3 7" xfId="36723" xr:uid="{00000000-0005-0000-0000-0000A28E0000}"/>
    <cellStyle name="Input 6 3 3 3 8" xfId="36724" xr:uid="{00000000-0005-0000-0000-0000A38E0000}"/>
    <cellStyle name="Input 6 3 3 4" xfId="36725" xr:uid="{00000000-0005-0000-0000-0000A48E0000}"/>
    <cellStyle name="Input 6 3 3 4 2" xfId="36726" xr:uid="{00000000-0005-0000-0000-0000A58E0000}"/>
    <cellStyle name="Input 6 3 3 4 2 2" xfId="36727" xr:uid="{00000000-0005-0000-0000-0000A68E0000}"/>
    <cellStyle name="Input 6 3 3 4 2 2 2" xfId="36728" xr:uid="{00000000-0005-0000-0000-0000A78E0000}"/>
    <cellStyle name="Input 6 3 3 4 2 3" xfId="36729" xr:uid="{00000000-0005-0000-0000-0000A88E0000}"/>
    <cellStyle name="Input 6 3 3 4 2 3 2" xfId="36730" xr:uid="{00000000-0005-0000-0000-0000A98E0000}"/>
    <cellStyle name="Input 6 3 3 4 2 4" xfId="36731" xr:uid="{00000000-0005-0000-0000-0000AA8E0000}"/>
    <cellStyle name="Input 6 3 3 4 2 5" xfId="36732" xr:uid="{00000000-0005-0000-0000-0000AB8E0000}"/>
    <cellStyle name="Input 6 3 3 4 2 6" xfId="36733" xr:uid="{00000000-0005-0000-0000-0000AC8E0000}"/>
    <cellStyle name="Input 6 3 3 4 3" xfId="36734" xr:uid="{00000000-0005-0000-0000-0000AD8E0000}"/>
    <cellStyle name="Input 6 3 3 4 3 2" xfId="36735" xr:uid="{00000000-0005-0000-0000-0000AE8E0000}"/>
    <cellStyle name="Input 6 3 3 4 4" xfId="36736" xr:uid="{00000000-0005-0000-0000-0000AF8E0000}"/>
    <cellStyle name="Input 6 3 3 4 4 2" xfId="36737" xr:uid="{00000000-0005-0000-0000-0000B08E0000}"/>
    <cellStyle name="Input 6 3 3 4 5" xfId="36738" xr:uid="{00000000-0005-0000-0000-0000B18E0000}"/>
    <cellStyle name="Input 6 3 3 4 6" xfId="36739" xr:uid="{00000000-0005-0000-0000-0000B28E0000}"/>
    <cellStyle name="Input 6 3 3 4 7" xfId="36740" xr:uid="{00000000-0005-0000-0000-0000B38E0000}"/>
    <cellStyle name="Input 6 3 3 5" xfId="36741" xr:uid="{00000000-0005-0000-0000-0000B48E0000}"/>
    <cellStyle name="Input 6 3 3 5 2" xfId="36742" xr:uid="{00000000-0005-0000-0000-0000B58E0000}"/>
    <cellStyle name="Input 6 3 3 5 2 2" xfId="36743" xr:uid="{00000000-0005-0000-0000-0000B68E0000}"/>
    <cellStyle name="Input 6 3 3 5 3" xfId="36744" xr:uid="{00000000-0005-0000-0000-0000B78E0000}"/>
    <cellStyle name="Input 6 3 3 5 3 2" xfId="36745" xr:uid="{00000000-0005-0000-0000-0000B88E0000}"/>
    <cellStyle name="Input 6 3 3 5 4" xfId="36746" xr:uid="{00000000-0005-0000-0000-0000B98E0000}"/>
    <cellStyle name="Input 6 3 3 5 5" xfId="36747" xr:uid="{00000000-0005-0000-0000-0000BA8E0000}"/>
    <cellStyle name="Input 6 3 3 5 6" xfId="36748" xr:uid="{00000000-0005-0000-0000-0000BB8E0000}"/>
    <cellStyle name="Input 6 3 3 6" xfId="36749" xr:uid="{00000000-0005-0000-0000-0000BC8E0000}"/>
    <cellStyle name="Input 6 3 3 6 2" xfId="36750" xr:uid="{00000000-0005-0000-0000-0000BD8E0000}"/>
    <cellStyle name="Input 6 3 3 7" xfId="36751" xr:uid="{00000000-0005-0000-0000-0000BE8E0000}"/>
    <cellStyle name="Input 6 3 3 7 2" xfId="36752" xr:uid="{00000000-0005-0000-0000-0000BF8E0000}"/>
    <cellStyle name="Input 6 3 3 8" xfId="36753" xr:uid="{00000000-0005-0000-0000-0000C08E0000}"/>
    <cellStyle name="Input 6 3 3 9" xfId="36754" xr:uid="{00000000-0005-0000-0000-0000C18E0000}"/>
    <cellStyle name="Input 6 3 4" xfId="36755" xr:uid="{00000000-0005-0000-0000-0000C28E0000}"/>
    <cellStyle name="Input 6 3 4 2" xfId="36756" xr:uid="{00000000-0005-0000-0000-0000C38E0000}"/>
    <cellStyle name="Input 6 3 4 2 2" xfId="36757" xr:uid="{00000000-0005-0000-0000-0000C48E0000}"/>
    <cellStyle name="Input 6 3 4 2 2 2" xfId="36758" xr:uid="{00000000-0005-0000-0000-0000C58E0000}"/>
    <cellStyle name="Input 6 3 4 2 2 2 2" xfId="36759" xr:uid="{00000000-0005-0000-0000-0000C68E0000}"/>
    <cellStyle name="Input 6 3 4 2 2 3" xfId="36760" xr:uid="{00000000-0005-0000-0000-0000C78E0000}"/>
    <cellStyle name="Input 6 3 4 2 2 3 2" xfId="36761" xr:uid="{00000000-0005-0000-0000-0000C88E0000}"/>
    <cellStyle name="Input 6 3 4 2 2 4" xfId="36762" xr:uid="{00000000-0005-0000-0000-0000C98E0000}"/>
    <cellStyle name="Input 6 3 4 2 2 5" xfId="36763" xr:uid="{00000000-0005-0000-0000-0000CA8E0000}"/>
    <cellStyle name="Input 6 3 4 2 2 6" xfId="36764" xr:uid="{00000000-0005-0000-0000-0000CB8E0000}"/>
    <cellStyle name="Input 6 3 4 2 3" xfId="36765" xr:uid="{00000000-0005-0000-0000-0000CC8E0000}"/>
    <cellStyle name="Input 6 3 4 2 3 2" xfId="36766" xr:uid="{00000000-0005-0000-0000-0000CD8E0000}"/>
    <cellStyle name="Input 6 3 4 2 4" xfId="36767" xr:uid="{00000000-0005-0000-0000-0000CE8E0000}"/>
    <cellStyle name="Input 6 3 4 2 4 2" xfId="36768" xr:uid="{00000000-0005-0000-0000-0000CF8E0000}"/>
    <cellStyle name="Input 6 3 4 2 5" xfId="36769" xr:uid="{00000000-0005-0000-0000-0000D08E0000}"/>
    <cellStyle name="Input 6 3 4 2 6" xfId="36770" xr:uid="{00000000-0005-0000-0000-0000D18E0000}"/>
    <cellStyle name="Input 6 3 4 2 7" xfId="36771" xr:uid="{00000000-0005-0000-0000-0000D28E0000}"/>
    <cellStyle name="Input 6 3 4 3" xfId="36772" xr:uid="{00000000-0005-0000-0000-0000D38E0000}"/>
    <cellStyle name="Input 6 3 4 3 2" xfId="36773" xr:uid="{00000000-0005-0000-0000-0000D48E0000}"/>
    <cellStyle name="Input 6 3 4 3 2 2" xfId="36774" xr:uid="{00000000-0005-0000-0000-0000D58E0000}"/>
    <cellStyle name="Input 6 3 4 3 3" xfId="36775" xr:uid="{00000000-0005-0000-0000-0000D68E0000}"/>
    <cellStyle name="Input 6 3 4 3 3 2" xfId="36776" xr:uid="{00000000-0005-0000-0000-0000D78E0000}"/>
    <cellStyle name="Input 6 3 4 3 4" xfId="36777" xr:uid="{00000000-0005-0000-0000-0000D88E0000}"/>
    <cellStyle name="Input 6 3 4 3 5" xfId="36778" xr:uid="{00000000-0005-0000-0000-0000D98E0000}"/>
    <cellStyle name="Input 6 3 4 3 6" xfId="36779" xr:uid="{00000000-0005-0000-0000-0000DA8E0000}"/>
    <cellStyle name="Input 6 3 4 4" xfId="36780" xr:uid="{00000000-0005-0000-0000-0000DB8E0000}"/>
    <cellStyle name="Input 6 3 4 4 2" xfId="36781" xr:uid="{00000000-0005-0000-0000-0000DC8E0000}"/>
    <cellStyle name="Input 6 3 4 5" xfId="36782" xr:uid="{00000000-0005-0000-0000-0000DD8E0000}"/>
    <cellStyle name="Input 6 3 4 5 2" xfId="36783" xr:uid="{00000000-0005-0000-0000-0000DE8E0000}"/>
    <cellStyle name="Input 6 3 4 6" xfId="36784" xr:uid="{00000000-0005-0000-0000-0000DF8E0000}"/>
    <cellStyle name="Input 6 3 4 7" xfId="36785" xr:uid="{00000000-0005-0000-0000-0000E08E0000}"/>
    <cellStyle name="Input 6 3 4 8" xfId="36786" xr:uid="{00000000-0005-0000-0000-0000E18E0000}"/>
    <cellStyle name="Input 6 3 5" xfId="36787" xr:uid="{00000000-0005-0000-0000-0000E28E0000}"/>
    <cellStyle name="Input 6 3 5 2" xfId="36788" xr:uid="{00000000-0005-0000-0000-0000E38E0000}"/>
    <cellStyle name="Input 6 3 5 2 2" xfId="36789" xr:uid="{00000000-0005-0000-0000-0000E48E0000}"/>
    <cellStyle name="Input 6 3 5 2 2 2" xfId="36790" xr:uid="{00000000-0005-0000-0000-0000E58E0000}"/>
    <cellStyle name="Input 6 3 5 2 3" xfId="36791" xr:uid="{00000000-0005-0000-0000-0000E68E0000}"/>
    <cellStyle name="Input 6 3 5 2 3 2" xfId="36792" xr:uid="{00000000-0005-0000-0000-0000E78E0000}"/>
    <cellStyle name="Input 6 3 5 2 4" xfId="36793" xr:uid="{00000000-0005-0000-0000-0000E88E0000}"/>
    <cellStyle name="Input 6 3 5 2 5" xfId="36794" xr:uid="{00000000-0005-0000-0000-0000E98E0000}"/>
    <cellStyle name="Input 6 3 5 2 6" xfId="36795" xr:uid="{00000000-0005-0000-0000-0000EA8E0000}"/>
    <cellStyle name="Input 6 3 5 3" xfId="36796" xr:uid="{00000000-0005-0000-0000-0000EB8E0000}"/>
    <cellStyle name="Input 6 3 5 3 2" xfId="36797" xr:uid="{00000000-0005-0000-0000-0000EC8E0000}"/>
    <cellStyle name="Input 6 3 5 4" xfId="36798" xr:uid="{00000000-0005-0000-0000-0000ED8E0000}"/>
    <cellStyle name="Input 6 3 5 4 2" xfId="36799" xr:uid="{00000000-0005-0000-0000-0000EE8E0000}"/>
    <cellStyle name="Input 6 3 5 5" xfId="36800" xr:uid="{00000000-0005-0000-0000-0000EF8E0000}"/>
    <cellStyle name="Input 6 3 5 6" xfId="36801" xr:uid="{00000000-0005-0000-0000-0000F08E0000}"/>
    <cellStyle name="Input 6 3 5 7" xfId="36802" xr:uid="{00000000-0005-0000-0000-0000F18E0000}"/>
    <cellStyle name="Input 6 3 6" xfId="36803" xr:uid="{00000000-0005-0000-0000-0000F28E0000}"/>
    <cellStyle name="Input 6 3 6 2" xfId="36804" xr:uid="{00000000-0005-0000-0000-0000F38E0000}"/>
    <cellStyle name="Input 6 3 6 2 2" xfId="36805" xr:uid="{00000000-0005-0000-0000-0000F48E0000}"/>
    <cellStyle name="Input 6 3 6 3" xfId="36806" xr:uid="{00000000-0005-0000-0000-0000F58E0000}"/>
    <cellStyle name="Input 6 3 6 3 2" xfId="36807" xr:uid="{00000000-0005-0000-0000-0000F68E0000}"/>
    <cellStyle name="Input 6 3 6 4" xfId="36808" xr:uid="{00000000-0005-0000-0000-0000F78E0000}"/>
    <cellStyle name="Input 6 3 6 5" xfId="36809" xr:uid="{00000000-0005-0000-0000-0000F88E0000}"/>
    <cellStyle name="Input 6 3 6 6" xfId="36810" xr:uid="{00000000-0005-0000-0000-0000F98E0000}"/>
    <cellStyle name="Input 6 3 7" xfId="36811" xr:uid="{00000000-0005-0000-0000-0000FA8E0000}"/>
    <cellStyle name="Input 6 3 7 2" xfId="36812" xr:uid="{00000000-0005-0000-0000-0000FB8E0000}"/>
    <cellStyle name="Input 6 3 8" xfId="36813" xr:uid="{00000000-0005-0000-0000-0000FC8E0000}"/>
    <cellStyle name="Input 6 3 8 2" xfId="36814" xr:uid="{00000000-0005-0000-0000-0000FD8E0000}"/>
    <cellStyle name="Input 6 3 9" xfId="36815" xr:uid="{00000000-0005-0000-0000-0000FE8E0000}"/>
    <cellStyle name="Input 6 4" xfId="36816" xr:uid="{00000000-0005-0000-0000-0000FF8E0000}"/>
    <cellStyle name="Input 6 4 10" xfId="36817" xr:uid="{00000000-0005-0000-0000-0000008F0000}"/>
    <cellStyle name="Input 6 4 11" xfId="36818" xr:uid="{00000000-0005-0000-0000-0000018F0000}"/>
    <cellStyle name="Input 6 4 2" xfId="36819" xr:uid="{00000000-0005-0000-0000-0000028F0000}"/>
    <cellStyle name="Input 6 4 2 10" xfId="36820" xr:uid="{00000000-0005-0000-0000-0000038F0000}"/>
    <cellStyle name="Input 6 4 2 2" xfId="36821" xr:uid="{00000000-0005-0000-0000-0000048F0000}"/>
    <cellStyle name="Input 6 4 2 2 2" xfId="36822" xr:uid="{00000000-0005-0000-0000-0000058F0000}"/>
    <cellStyle name="Input 6 4 2 2 2 2" xfId="36823" xr:uid="{00000000-0005-0000-0000-0000068F0000}"/>
    <cellStyle name="Input 6 4 2 2 2 2 2" xfId="36824" xr:uid="{00000000-0005-0000-0000-0000078F0000}"/>
    <cellStyle name="Input 6 4 2 2 2 2 2 2" xfId="36825" xr:uid="{00000000-0005-0000-0000-0000088F0000}"/>
    <cellStyle name="Input 6 4 2 2 2 2 3" xfId="36826" xr:uid="{00000000-0005-0000-0000-0000098F0000}"/>
    <cellStyle name="Input 6 4 2 2 2 2 3 2" xfId="36827" xr:uid="{00000000-0005-0000-0000-00000A8F0000}"/>
    <cellStyle name="Input 6 4 2 2 2 2 4" xfId="36828" xr:uid="{00000000-0005-0000-0000-00000B8F0000}"/>
    <cellStyle name="Input 6 4 2 2 2 2 5" xfId="36829" xr:uid="{00000000-0005-0000-0000-00000C8F0000}"/>
    <cellStyle name="Input 6 4 2 2 2 2 6" xfId="36830" xr:uid="{00000000-0005-0000-0000-00000D8F0000}"/>
    <cellStyle name="Input 6 4 2 2 2 3" xfId="36831" xr:uid="{00000000-0005-0000-0000-00000E8F0000}"/>
    <cellStyle name="Input 6 4 2 2 2 3 2" xfId="36832" xr:uid="{00000000-0005-0000-0000-00000F8F0000}"/>
    <cellStyle name="Input 6 4 2 2 2 4" xfId="36833" xr:uid="{00000000-0005-0000-0000-0000108F0000}"/>
    <cellStyle name="Input 6 4 2 2 2 4 2" xfId="36834" xr:uid="{00000000-0005-0000-0000-0000118F0000}"/>
    <cellStyle name="Input 6 4 2 2 2 5" xfId="36835" xr:uid="{00000000-0005-0000-0000-0000128F0000}"/>
    <cellStyle name="Input 6 4 2 2 2 6" xfId="36836" xr:uid="{00000000-0005-0000-0000-0000138F0000}"/>
    <cellStyle name="Input 6 4 2 2 2 7" xfId="36837" xr:uid="{00000000-0005-0000-0000-0000148F0000}"/>
    <cellStyle name="Input 6 4 2 2 3" xfId="36838" xr:uid="{00000000-0005-0000-0000-0000158F0000}"/>
    <cellStyle name="Input 6 4 2 2 3 2" xfId="36839" xr:uid="{00000000-0005-0000-0000-0000168F0000}"/>
    <cellStyle name="Input 6 4 2 2 3 2 2" xfId="36840" xr:uid="{00000000-0005-0000-0000-0000178F0000}"/>
    <cellStyle name="Input 6 4 2 2 3 3" xfId="36841" xr:uid="{00000000-0005-0000-0000-0000188F0000}"/>
    <cellStyle name="Input 6 4 2 2 3 3 2" xfId="36842" xr:uid="{00000000-0005-0000-0000-0000198F0000}"/>
    <cellStyle name="Input 6 4 2 2 3 4" xfId="36843" xr:uid="{00000000-0005-0000-0000-00001A8F0000}"/>
    <cellStyle name="Input 6 4 2 2 3 5" xfId="36844" xr:uid="{00000000-0005-0000-0000-00001B8F0000}"/>
    <cellStyle name="Input 6 4 2 2 3 6" xfId="36845" xr:uid="{00000000-0005-0000-0000-00001C8F0000}"/>
    <cellStyle name="Input 6 4 2 2 4" xfId="36846" xr:uid="{00000000-0005-0000-0000-00001D8F0000}"/>
    <cellStyle name="Input 6 4 2 2 4 2" xfId="36847" xr:uid="{00000000-0005-0000-0000-00001E8F0000}"/>
    <cellStyle name="Input 6 4 2 2 5" xfId="36848" xr:uid="{00000000-0005-0000-0000-00001F8F0000}"/>
    <cellStyle name="Input 6 4 2 2 5 2" xfId="36849" xr:uid="{00000000-0005-0000-0000-0000208F0000}"/>
    <cellStyle name="Input 6 4 2 2 6" xfId="36850" xr:uid="{00000000-0005-0000-0000-0000218F0000}"/>
    <cellStyle name="Input 6 4 2 2 7" xfId="36851" xr:uid="{00000000-0005-0000-0000-0000228F0000}"/>
    <cellStyle name="Input 6 4 2 2 8" xfId="36852" xr:uid="{00000000-0005-0000-0000-0000238F0000}"/>
    <cellStyle name="Input 6 4 2 3" xfId="36853" xr:uid="{00000000-0005-0000-0000-0000248F0000}"/>
    <cellStyle name="Input 6 4 2 3 2" xfId="36854" xr:uid="{00000000-0005-0000-0000-0000258F0000}"/>
    <cellStyle name="Input 6 4 2 3 2 2" xfId="36855" xr:uid="{00000000-0005-0000-0000-0000268F0000}"/>
    <cellStyle name="Input 6 4 2 3 2 2 2" xfId="36856" xr:uid="{00000000-0005-0000-0000-0000278F0000}"/>
    <cellStyle name="Input 6 4 2 3 2 2 2 2" xfId="36857" xr:uid="{00000000-0005-0000-0000-0000288F0000}"/>
    <cellStyle name="Input 6 4 2 3 2 2 3" xfId="36858" xr:uid="{00000000-0005-0000-0000-0000298F0000}"/>
    <cellStyle name="Input 6 4 2 3 2 2 3 2" xfId="36859" xr:uid="{00000000-0005-0000-0000-00002A8F0000}"/>
    <cellStyle name="Input 6 4 2 3 2 2 4" xfId="36860" xr:uid="{00000000-0005-0000-0000-00002B8F0000}"/>
    <cellStyle name="Input 6 4 2 3 2 2 5" xfId="36861" xr:uid="{00000000-0005-0000-0000-00002C8F0000}"/>
    <cellStyle name="Input 6 4 2 3 2 2 6" xfId="36862" xr:uid="{00000000-0005-0000-0000-00002D8F0000}"/>
    <cellStyle name="Input 6 4 2 3 2 3" xfId="36863" xr:uid="{00000000-0005-0000-0000-00002E8F0000}"/>
    <cellStyle name="Input 6 4 2 3 2 3 2" xfId="36864" xr:uid="{00000000-0005-0000-0000-00002F8F0000}"/>
    <cellStyle name="Input 6 4 2 3 2 4" xfId="36865" xr:uid="{00000000-0005-0000-0000-0000308F0000}"/>
    <cellStyle name="Input 6 4 2 3 2 4 2" xfId="36866" xr:uid="{00000000-0005-0000-0000-0000318F0000}"/>
    <cellStyle name="Input 6 4 2 3 2 5" xfId="36867" xr:uid="{00000000-0005-0000-0000-0000328F0000}"/>
    <cellStyle name="Input 6 4 2 3 2 6" xfId="36868" xr:uid="{00000000-0005-0000-0000-0000338F0000}"/>
    <cellStyle name="Input 6 4 2 3 2 7" xfId="36869" xr:uid="{00000000-0005-0000-0000-0000348F0000}"/>
    <cellStyle name="Input 6 4 2 3 3" xfId="36870" xr:uid="{00000000-0005-0000-0000-0000358F0000}"/>
    <cellStyle name="Input 6 4 2 3 3 2" xfId="36871" xr:uid="{00000000-0005-0000-0000-0000368F0000}"/>
    <cellStyle name="Input 6 4 2 3 3 2 2" xfId="36872" xr:uid="{00000000-0005-0000-0000-0000378F0000}"/>
    <cellStyle name="Input 6 4 2 3 3 3" xfId="36873" xr:uid="{00000000-0005-0000-0000-0000388F0000}"/>
    <cellStyle name="Input 6 4 2 3 3 3 2" xfId="36874" xr:uid="{00000000-0005-0000-0000-0000398F0000}"/>
    <cellStyle name="Input 6 4 2 3 3 4" xfId="36875" xr:uid="{00000000-0005-0000-0000-00003A8F0000}"/>
    <cellStyle name="Input 6 4 2 3 3 5" xfId="36876" xr:uid="{00000000-0005-0000-0000-00003B8F0000}"/>
    <cellStyle name="Input 6 4 2 3 3 6" xfId="36877" xr:uid="{00000000-0005-0000-0000-00003C8F0000}"/>
    <cellStyle name="Input 6 4 2 3 4" xfId="36878" xr:uid="{00000000-0005-0000-0000-00003D8F0000}"/>
    <cellStyle name="Input 6 4 2 3 4 2" xfId="36879" xr:uid="{00000000-0005-0000-0000-00003E8F0000}"/>
    <cellStyle name="Input 6 4 2 3 5" xfId="36880" xr:uid="{00000000-0005-0000-0000-00003F8F0000}"/>
    <cellStyle name="Input 6 4 2 3 5 2" xfId="36881" xr:uid="{00000000-0005-0000-0000-0000408F0000}"/>
    <cellStyle name="Input 6 4 2 3 6" xfId="36882" xr:uid="{00000000-0005-0000-0000-0000418F0000}"/>
    <cellStyle name="Input 6 4 2 3 7" xfId="36883" xr:uid="{00000000-0005-0000-0000-0000428F0000}"/>
    <cellStyle name="Input 6 4 2 3 8" xfId="36884" xr:uid="{00000000-0005-0000-0000-0000438F0000}"/>
    <cellStyle name="Input 6 4 2 4" xfId="36885" xr:uid="{00000000-0005-0000-0000-0000448F0000}"/>
    <cellStyle name="Input 6 4 2 4 2" xfId="36886" xr:uid="{00000000-0005-0000-0000-0000458F0000}"/>
    <cellStyle name="Input 6 4 2 4 2 2" xfId="36887" xr:uid="{00000000-0005-0000-0000-0000468F0000}"/>
    <cellStyle name="Input 6 4 2 4 2 2 2" xfId="36888" xr:uid="{00000000-0005-0000-0000-0000478F0000}"/>
    <cellStyle name="Input 6 4 2 4 2 3" xfId="36889" xr:uid="{00000000-0005-0000-0000-0000488F0000}"/>
    <cellStyle name="Input 6 4 2 4 2 3 2" xfId="36890" xr:uid="{00000000-0005-0000-0000-0000498F0000}"/>
    <cellStyle name="Input 6 4 2 4 2 4" xfId="36891" xr:uid="{00000000-0005-0000-0000-00004A8F0000}"/>
    <cellStyle name="Input 6 4 2 4 2 5" xfId="36892" xr:uid="{00000000-0005-0000-0000-00004B8F0000}"/>
    <cellStyle name="Input 6 4 2 4 2 6" xfId="36893" xr:uid="{00000000-0005-0000-0000-00004C8F0000}"/>
    <cellStyle name="Input 6 4 2 4 3" xfId="36894" xr:uid="{00000000-0005-0000-0000-00004D8F0000}"/>
    <cellStyle name="Input 6 4 2 4 3 2" xfId="36895" xr:uid="{00000000-0005-0000-0000-00004E8F0000}"/>
    <cellStyle name="Input 6 4 2 4 4" xfId="36896" xr:uid="{00000000-0005-0000-0000-00004F8F0000}"/>
    <cellStyle name="Input 6 4 2 4 4 2" xfId="36897" xr:uid="{00000000-0005-0000-0000-0000508F0000}"/>
    <cellStyle name="Input 6 4 2 4 5" xfId="36898" xr:uid="{00000000-0005-0000-0000-0000518F0000}"/>
    <cellStyle name="Input 6 4 2 4 6" xfId="36899" xr:uid="{00000000-0005-0000-0000-0000528F0000}"/>
    <cellStyle name="Input 6 4 2 4 7" xfId="36900" xr:uid="{00000000-0005-0000-0000-0000538F0000}"/>
    <cellStyle name="Input 6 4 2 5" xfId="36901" xr:uid="{00000000-0005-0000-0000-0000548F0000}"/>
    <cellStyle name="Input 6 4 2 5 2" xfId="36902" xr:uid="{00000000-0005-0000-0000-0000558F0000}"/>
    <cellStyle name="Input 6 4 2 5 2 2" xfId="36903" xr:uid="{00000000-0005-0000-0000-0000568F0000}"/>
    <cellStyle name="Input 6 4 2 5 3" xfId="36904" xr:uid="{00000000-0005-0000-0000-0000578F0000}"/>
    <cellStyle name="Input 6 4 2 5 3 2" xfId="36905" xr:uid="{00000000-0005-0000-0000-0000588F0000}"/>
    <cellStyle name="Input 6 4 2 5 4" xfId="36906" xr:uid="{00000000-0005-0000-0000-0000598F0000}"/>
    <cellStyle name="Input 6 4 2 5 5" xfId="36907" xr:uid="{00000000-0005-0000-0000-00005A8F0000}"/>
    <cellStyle name="Input 6 4 2 5 6" xfId="36908" xr:uid="{00000000-0005-0000-0000-00005B8F0000}"/>
    <cellStyle name="Input 6 4 2 6" xfId="36909" xr:uid="{00000000-0005-0000-0000-00005C8F0000}"/>
    <cellStyle name="Input 6 4 2 6 2" xfId="36910" xr:uid="{00000000-0005-0000-0000-00005D8F0000}"/>
    <cellStyle name="Input 6 4 2 7" xfId="36911" xr:uid="{00000000-0005-0000-0000-00005E8F0000}"/>
    <cellStyle name="Input 6 4 2 7 2" xfId="36912" xr:uid="{00000000-0005-0000-0000-00005F8F0000}"/>
    <cellStyle name="Input 6 4 2 8" xfId="36913" xr:uid="{00000000-0005-0000-0000-0000608F0000}"/>
    <cellStyle name="Input 6 4 2 9" xfId="36914" xr:uid="{00000000-0005-0000-0000-0000618F0000}"/>
    <cellStyle name="Input 6 4 3" xfId="36915" xr:uid="{00000000-0005-0000-0000-0000628F0000}"/>
    <cellStyle name="Input 6 4 3 2" xfId="36916" xr:uid="{00000000-0005-0000-0000-0000638F0000}"/>
    <cellStyle name="Input 6 4 3 2 2" xfId="36917" xr:uid="{00000000-0005-0000-0000-0000648F0000}"/>
    <cellStyle name="Input 6 4 3 2 2 2" xfId="36918" xr:uid="{00000000-0005-0000-0000-0000658F0000}"/>
    <cellStyle name="Input 6 4 3 2 2 2 2" xfId="36919" xr:uid="{00000000-0005-0000-0000-0000668F0000}"/>
    <cellStyle name="Input 6 4 3 2 2 3" xfId="36920" xr:uid="{00000000-0005-0000-0000-0000678F0000}"/>
    <cellStyle name="Input 6 4 3 2 2 3 2" xfId="36921" xr:uid="{00000000-0005-0000-0000-0000688F0000}"/>
    <cellStyle name="Input 6 4 3 2 2 4" xfId="36922" xr:uid="{00000000-0005-0000-0000-0000698F0000}"/>
    <cellStyle name="Input 6 4 3 2 2 5" xfId="36923" xr:uid="{00000000-0005-0000-0000-00006A8F0000}"/>
    <cellStyle name="Input 6 4 3 2 2 6" xfId="36924" xr:uid="{00000000-0005-0000-0000-00006B8F0000}"/>
    <cellStyle name="Input 6 4 3 2 3" xfId="36925" xr:uid="{00000000-0005-0000-0000-00006C8F0000}"/>
    <cellStyle name="Input 6 4 3 2 3 2" xfId="36926" xr:uid="{00000000-0005-0000-0000-00006D8F0000}"/>
    <cellStyle name="Input 6 4 3 2 4" xfId="36927" xr:uid="{00000000-0005-0000-0000-00006E8F0000}"/>
    <cellStyle name="Input 6 4 3 2 4 2" xfId="36928" xr:uid="{00000000-0005-0000-0000-00006F8F0000}"/>
    <cellStyle name="Input 6 4 3 2 5" xfId="36929" xr:uid="{00000000-0005-0000-0000-0000708F0000}"/>
    <cellStyle name="Input 6 4 3 2 6" xfId="36930" xr:uid="{00000000-0005-0000-0000-0000718F0000}"/>
    <cellStyle name="Input 6 4 3 2 7" xfId="36931" xr:uid="{00000000-0005-0000-0000-0000728F0000}"/>
    <cellStyle name="Input 6 4 3 3" xfId="36932" xr:uid="{00000000-0005-0000-0000-0000738F0000}"/>
    <cellStyle name="Input 6 4 3 3 2" xfId="36933" xr:uid="{00000000-0005-0000-0000-0000748F0000}"/>
    <cellStyle name="Input 6 4 3 3 2 2" xfId="36934" xr:uid="{00000000-0005-0000-0000-0000758F0000}"/>
    <cellStyle name="Input 6 4 3 3 3" xfId="36935" xr:uid="{00000000-0005-0000-0000-0000768F0000}"/>
    <cellStyle name="Input 6 4 3 3 3 2" xfId="36936" xr:uid="{00000000-0005-0000-0000-0000778F0000}"/>
    <cellStyle name="Input 6 4 3 3 4" xfId="36937" xr:uid="{00000000-0005-0000-0000-0000788F0000}"/>
    <cellStyle name="Input 6 4 3 3 5" xfId="36938" xr:uid="{00000000-0005-0000-0000-0000798F0000}"/>
    <cellStyle name="Input 6 4 3 3 6" xfId="36939" xr:uid="{00000000-0005-0000-0000-00007A8F0000}"/>
    <cellStyle name="Input 6 4 3 4" xfId="36940" xr:uid="{00000000-0005-0000-0000-00007B8F0000}"/>
    <cellStyle name="Input 6 4 3 4 2" xfId="36941" xr:uid="{00000000-0005-0000-0000-00007C8F0000}"/>
    <cellStyle name="Input 6 4 3 5" xfId="36942" xr:uid="{00000000-0005-0000-0000-00007D8F0000}"/>
    <cellStyle name="Input 6 4 3 5 2" xfId="36943" xr:uid="{00000000-0005-0000-0000-00007E8F0000}"/>
    <cellStyle name="Input 6 4 3 6" xfId="36944" xr:uid="{00000000-0005-0000-0000-00007F8F0000}"/>
    <cellStyle name="Input 6 4 3 7" xfId="36945" xr:uid="{00000000-0005-0000-0000-0000808F0000}"/>
    <cellStyle name="Input 6 4 3 8" xfId="36946" xr:uid="{00000000-0005-0000-0000-0000818F0000}"/>
    <cellStyle name="Input 6 4 4" xfId="36947" xr:uid="{00000000-0005-0000-0000-0000828F0000}"/>
    <cellStyle name="Input 6 4 4 2" xfId="36948" xr:uid="{00000000-0005-0000-0000-0000838F0000}"/>
    <cellStyle name="Input 6 4 4 2 2" xfId="36949" xr:uid="{00000000-0005-0000-0000-0000848F0000}"/>
    <cellStyle name="Input 6 4 4 2 2 2" xfId="36950" xr:uid="{00000000-0005-0000-0000-0000858F0000}"/>
    <cellStyle name="Input 6 4 4 2 2 2 2" xfId="36951" xr:uid="{00000000-0005-0000-0000-0000868F0000}"/>
    <cellStyle name="Input 6 4 4 2 2 3" xfId="36952" xr:uid="{00000000-0005-0000-0000-0000878F0000}"/>
    <cellStyle name="Input 6 4 4 2 2 3 2" xfId="36953" xr:uid="{00000000-0005-0000-0000-0000888F0000}"/>
    <cellStyle name="Input 6 4 4 2 2 4" xfId="36954" xr:uid="{00000000-0005-0000-0000-0000898F0000}"/>
    <cellStyle name="Input 6 4 4 2 2 5" xfId="36955" xr:uid="{00000000-0005-0000-0000-00008A8F0000}"/>
    <cellStyle name="Input 6 4 4 2 2 6" xfId="36956" xr:uid="{00000000-0005-0000-0000-00008B8F0000}"/>
    <cellStyle name="Input 6 4 4 2 3" xfId="36957" xr:uid="{00000000-0005-0000-0000-00008C8F0000}"/>
    <cellStyle name="Input 6 4 4 2 3 2" xfId="36958" xr:uid="{00000000-0005-0000-0000-00008D8F0000}"/>
    <cellStyle name="Input 6 4 4 2 4" xfId="36959" xr:uid="{00000000-0005-0000-0000-00008E8F0000}"/>
    <cellStyle name="Input 6 4 4 2 4 2" xfId="36960" xr:uid="{00000000-0005-0000-0000-00008F8F0000}"/>
    <cellStyle name="Input 6 4 4 2 5" xfId="36961" xr:uid="{00000000-0005-0000-0000-0000908F0000}"/>
    <cellStyle name="Input 6 4 4 2 6" xfId="36962" xr:uid="{00000000-0005-0000-0000-0000918F0000}"/>
    <cellStyle name="Input 6 4 4 2 7" xfId="36963" xr:uid="{00000000-0005-0000-0000-0000928F0000}"/>
    <cellStyle name="Input 6 4 4 3" xfId="36964" xr:uid="{00000000-0005-0000-0000-0000938F0000}"/>
    <cellStyle name="Input 6 4 4 3 2" xfId="36965" xr:uid="{00000000-0005-0000-0000-0000948F0000}"/>
    <cellStyle name="Input 6 4 4 3 2 2" xfId="36966" xr:uid="{00000000-0005-0000-0000-0000958F0000}"/>
    <cellStyle name="Input 6 4 4 3 3" xfId="36967" xr:uid="{00000000-0005-0000-0000-0000968F0000}"/>
    <cellStyle name="Input 6 4 4 3 3 2" xfId="36968" xr:uid="{00000000-0005-0000-0000-0000978F0000}"/>
    <cellStyle name="Input 6 4 4 3 4" xfId="36969" xr:uid="{00000000-0005-0000-0000-0000988F0000}"/>
    <cellStyle name="Input 6 4 4 3 5" xfId="36970" xr:uid="{00000000-0005-0000-0000-0000998F0000}"/>
    <cellStyle name="Input 6 4 4 3 6" xfId="36971" xr:uid="{00000000-0005-0000-0000-00009A8F0000}"/>
    <cellStyle name="Input 6 4 4 4" xfId="36972" xr:uid="{00000000-0005-0000-0000-00009B8F0000}"/>
    <cellStyle name="Input 6 4 4 4 2" xfId="36973" xr:uid="{00000000-0005-0000-0000-00009C8F0000}"/>
    <cellStyle name="Input 6 4 4 5" xfId="36974" xr:uid="{00000000-0005-0000-0000-00009D8F0000}"/>
    <cellStyle name="Input 6 4 4 5 2" xfId="36975" xr:uid="{00000000-0005-0000-0000-00009E8F0000}"/>
    <cellStyle name="Input 6 4 4 6" xfId="36976" xr:uid="{00000000-0005-0000-0000-00009F8F0000}"/>
    <cellStyle name="Input 6 4 4 7" xfId="36977" xr:uid="{00000000-0005-0000-0000-0000A08F0000}"/>
    <cellStyle name="Input 6 4 4 8" xfId="36978" xr:uid="{00000000-0005-0000-0000-0000A18F0000}"/>
    <cellStyle name="Input 6 4 5" xfId="36979" xr:uid="{00000000-0005-0000-0000-0000A28F0000}"/>
    <cellStyle name="Input 6 4 5 2" xfId="36980" xr:uid="{00000000-0005-0000-0000-0000A38F0000}"/>
    <cellStyle name="Input 6 4 5 2 2" xfId="36981" xr:uid="{00000000-0005-0000-0000-0000A48F0000}"/>
    <cellStyle name="Input 6 4 5 2 2 2" xfId="36982" xr:uid="{00000000-0005-0000-0000-0000A58F0000}"/>
    <cellStyle name="Input 6 4 5 2 3" xfId="36983" xr:uid="{00000000-0005-0000-0000-0000A68F0000}"/>
    <cellStyle name="Input 6 4 5 2 3 2" xfId="36984" xr:uid="{00000000-0005-0000-0000-0000A78F0000}"/>
    <cellStyle name="Input 6 4 5 2 4" xfId="36985" xr:uid="{00000000-0005-0000-0000-0000A88F0000}"/>
    <cellStyle name="Input 6 4 5 2 5" xfId="36986" xr:uid="{00000000-0005-0000-0000-0000A98F0000}"/>
    <cellStyle name="Input 6 4 5 2 6" xfId="36987" xr:uid="{00000000-0005-0000-0000-0000AA8F0000}"/>
    <cellStyle name="Input 6 4 5 3" xfId="36988" xr:uid="{00000000-0005-0000-0000-0000AB8F0000}"/>
    <cellStyle name="Input 6 4 5 3 2" xfId="36989" xr:uid="{00000000-0005-0000-0000-0000AC8F0000}"/>
    <cellStyle name="Input 6 4 5 4" xfId="36990" xr:uid="{00000000-0005-0000-0000-0000AD8F0000}"/>
    <cellStyle name="Input 6 4 5 4 2" xfId="36991" xr:uid="{00000000-0005-0000-0000-0000AE8F0000}"/>
    <cellStyle name="Input 6 4 5 5" xfId="36992" xr:uid="{00000000-0005-0000-0000-0000AF8F0000}"/>
    <cellStyle name="Input 6 4 5 6" xfId="36993" xr:uid="{00000000-0005-0000-0000-0000B08F0000}"/>
    <cellStyle name="Input 6 4 5 7" xfId="36994" xr:uid="{00000000-0005-0000-0000-0000B18F0000}"/>
    <cellStyle name="Input 6 4 6" xfId="36995" xr:uid="{00000000-0005-0000-0000-0000B28F0000}"/>
    <cellStyle name="Input 6 4 6 2" xfId="36996" xr:uid="{00000000-0005-0000-0000-0000B38F0000}"/>
    <cellStyle name="Input 6 4 6 2 2" xfId="36997" xr:uid="{00000000-0005-0000-0000-0000B48F0000}"/>
    <cellStyle name="Input 6 4 6 3" xfId="36998" xr:uid="{00000000-0005-0000-0000-0000B58F0000}"/>
    <cellStyle name="Input 6 4 6 3 2" xfId="36999" xr:uid="{00000000-0005-0000-0000-0000B68F0000}"/>
    <cellStyle name="Input 6 4 6 4" xfId="37000" xr:uid="{00000000-0005-0000-0000-0000B78F0000}"/>
    <cellStyle name="Input 6 4 6 5" xfId="37001" xr:uid="{00000000-0005-0000-0000-0000B88F0000}"/>
    <cellStyle name="Input 6 4 6 6" xfId="37002" xr:uid="{00000000-0005-0000-0000-0000B98F0000}"/>
    <cellStyle name="Input 6 4 7" xfId="37003" xr:uid="{00000000-0005-0000-0000-0000BA8F0000}"/>
    <cellStyle name="Input 6 4 7 2" xfId="37004" xr:uid="{00000000-0005-0000-0000-0000BB8F0000}"/>
    <cellStyle name="Input 6 4 8" xfId="37005" xr:uid="{00000000-0005-0000-0000-0000BC8F0000}"/>
    <cellStyle name="Input 6 4 8 2" xfId="37006" xr:uid="{00000000-0005-0000-0000-0000BD8F0000}"/>
    <cellStyle name="Input 6 4 9" xfId="37007" xr:uid="{00000000-0005-0000-0000-0000BE8F0000}"/>
    <cellStyle name="Input 6 5" xfId="37008" xr:uid="{00000000-0005-0000-0000-0000BF8F0000}"/>
    <cellStyle name="Input 6 5 10" xfId="37009" xr:uid="{00000000-0005-0000-0000-0000C08F0000}"/>
    <cellStyle name="Input 6 5 2" xfId="37010" xr:uid="{00000000-0005-0000-0000-0000C18F0000}"/>
    <cellStyle name="Input 6 5 2 2" xfId="37011" xr:uid="{00000000-0005-0000-0000-0000C28F0000}"/>
    <cellStyle name="Input 6 5 2 2 2" xfId="37012" xr:uid="{00000000-0005-0000-0000-0000C38F0000}"/>
    <cellStyle name="Input 6 5 2 2 2 2" xfId="37013" xr:uid="{00000000-0005-0000-0000-0000C48F0000}"/>
    <cellStyle name="Input 6 5 2 2 2 2 2" xfId="37014" xr:uid="{00000000-0005-0000-0000-0000C58F0000}"/>
    <cellStyle name="Input 6 5 2 2 2 3" xfId="37015" xr:uid="{00000000-0005-0000-0000-0000C68F0000}"/>
    <cellStyle name="Input 6 5 2 2 2 3 2" xfId="37016" xr:uid="{00000000-0005-0000-0000-0000C78F0000}"/>
    <cellStyle name="Input 6 5 2 2 2 4" xfId="37017" xr:uid="{00000000-0005-0000-0000-0000C88F0000}"/>
    <cellStyle name="Input 6 5 2 2 2 5" xfId="37018" xr:uid="{00000000-0005-0000-0000-0000C98F0000}"/>
    <cellStyle name="Input 6 5 2 2 2 6" xfId="37019" xr:uid="{00000000-0005-0000-0000-0000CA8F0000}"/>
    <cellStyle name="Input 6 5 2 2 3" xfId="37020" xr:uid="{00000000-0005-0000-0000-0000CB8F0000}"/>
    <cellStyle name="Input 6 5 2 2 3 2" xfId="37021" xr:uid="{00000000-0005-0000-0000-0000CC8F0000}"/>
    <cellStyle name="Input 6 5 2 2 4" xfId="37022" xr:uid="{00000000-0005-0000-0000-0000CD8F0000}"/>
    <cellStyle name="Input 6 5 2 2 4 2" xfId="37023" xr:uid="{00000000-0005-0000-0000-0000CE8F0000}"/>
    <cellStyle name="Input 6 5 2 2 5" xfId="37024" xr:uid="{00000000-0005-0000-0000-0000CF8F0000}"/>
    <cellStyle name="Input 6 5 2 2 6" xfId="37025" xr:uid="{00000000-0005-0000-0000-0000D08F0000}"/>
    <cellStyle name="Input 6 5 2 2 7" xfId="37026" xr:uid="{00000000-0005-0000-0000-0000D18F0000}"/>
    <cellStyle name="Input 6 5 2 3" xfId="37027" xr:uid="{00000000-0005-0000-0000-0000D28F0000}"/>
    <cellStyle name="Input 6 5 2 3 2" xfId="37028" xr:uid="{00000000-0005-0000-0000-0000D38F0000}"/>
    <cellStyle name="Input 6 5 2 3 2 2" xfId="37029" xr:uid="{00000000-0005-0000-0000-0000D48F0000}"/>
    <cellStyle name="Input 6 5 2 3 3" xfId="37030" xr:uid="{00000000-0005-0000-0000-0000D58F0000}"/>
    <cellStyle name="Input 6 5 2 3 3 2" xfId="37031" xr:uid="{00000000-0005-0000-0000-0000D68F0000}"/>
    <cellStyle name="Input 6 5 2 3 4" xfId="37032" xr:uid="{00000000-0005-0000-0000-0000D78F0000}"/>
    <cellStyle name="Input 6 5 2 3 5" xfId="37033" xr:uid="{00000000-0005-0000-0000-0000D88F0000}"/>
    <cellStyle name="Input 6 5 2 3 6" xfId="37034" xr:uid="{00000000-0005-0000-0000-0000D98F0000}"/>
    <cellStyle name="Input 6 5 2 4" xfId="37035" xr:uid="{00000000-0005-0000-0000-0000DA8F0000}"/>
    <cellStyle name="Input 6 5 2 4 2" xfId="37036" xr:uid="{00000000-0005-0000-0000-0000DB8F0000}"/>
    <cellStyle name="Input 6 5 2 5" xfId="37037" xr:uid="{00000000-0005-0000-0000-0000DC8F0000}"/>
    <cellStyle name="Input 6 5 2 5 2" xfId="37038" xr:uid="{00000000-0005-0000-0000-0000DD8F0000}"/>
    <cellStyle name="Input 6 5 2 6" xfId="37039" xr:uid="{00000000-0005-0000-0000-0000DE8F0000}"/>
    <cellStyle name="Input 6 5 2 7" xfId="37040" xr:uid="{00000000-0005-0000-0000-0000DF8F0000}"/>
    <cellStyle name="Input 6 5 2 8" xfId="37041" xr:uid="{00000000-0005-0000-0000-0000E08F0000}"/>
    <cellStyle name="Input 6 5 3" xfId="37042" xr:uid="{00000000-0005-0000-0000-0000E18F0000}"/>
    <cellStyle name="Input 6 5 3 2" xfId="37043" xr:uid="{00000000-0005-0000-0000-0000E28F0000}"/>
    <cellStyle name="Input 6 5 3 2 2" xfId="37044" xr:uid="{00000000-0005-0000-0000-0000E38F0000}"/>
    <cellStyle name="Input 6 5 3 2 2 2" xfId="37045" xr:uid="{00000000-0005-0000-0000-0000E48F0000}"/>
    <cellStyle name="Input 6 5 3 2 2 2 2" xfId="37046" xr:uid="{00000000-0005-0000-0000-0000E58F0000}"/>
    <cellStyle name="Input 6 5 3 2 2 3" xfId="37047" xr:uid="{00000000-0005-0000-0000-0000E68F0000}"/>
    <cellStyle name="Input 6 5 3 2 2 3 2" xfId="37048" xr:uid="{00000000-0005-0000-0000-0000E78F0000}"/>
    <cellStyle name="Input 6 5 3 2 2 4" xfId="37049" xr:uid="{00000000-0005-0000-0000-0000E88F0000}"/>
    <cellStyle name="Input 6 5 3 2 2 5" xfId="37050" xr:uid="{00000000-0005-0000-0000-0000E98F0000}"/>
    <cellStyle name="Input 6 5 3 2 2 6" xfId="37051" xr:uid="{00000000-0005-0000-0000-0000EA8F0000}"/>
    <cellStyle name="Input 6 5 3 2 3" xfId="37052" xr:uid="{00000000-0005-0000-0000-0000EB8F0000}"/>
    <cellStyle name="Input 6 5 3 2 3 2" xfId="37053" xr:uid="{00000000-0005-0000-0000-0000EC8F0000}"/>
    <cellStyle name="Input 6 5 3 2 4" xfId="37054" xr:uid="{00000000-0005-0000-0000-0000ED8F0000}"/>
    <cellStyle name="Input 6 5 3 2 4 2" xfId="37055" xr:uid="{00000000-0005-0000-0000-0000EE8F0000}"/>
    <cellStyle name="Input 6 5 3 2 5" xfId="37056" xr:uid="{00000000-0005-0000-0000-0000EF8F0000}"/>
    <cellStyle name="Input 6 5 3 2 6" xfId="37057" xr:uid="{00000000-0005-0000-0000-0000F08F0000}"/>
    <cellStyle name="Input 6 5 3 2 7" xfId="37058" xr:uid="{00000000-0005-0000-0000-0000F18F0000}"/>
    <cellStyle name="Input 6 5 3 3" xfId="37059" xr:uid="{00000000-0005-0000-0000-0000F28F0000}"/>
    <cellStyle name="Input 6 5 3 3 2" xfId="37060" xr:uid="{00000000-0005-0000-0000-0000F38F0000}"/>
    <cellStyle name="Input 6 5 3 3 2 2" xfId="37061" xr:uid="{00000000-0005-0000-0000-0000F48F0000}"/>
    <cellStyle name="Input 6 5 3 3 3" xfId="37062" xr:uid="{00000000-0005-0000-0000-0000F58F0000}"/>
    <cellStyle name="Input 6 5 3 3 3 2" xfId="37063" xr:uid="{00000000-0005-0000-0000-0000F68F0000}"/>
    <cellStyle name="Input 6 5 3 3 4" xfId="37064" xr:uid="{00000000-0005-0000-0000-0000F78F0000}"/>
    <cellStyle name="Input 6 5 3 3 5" xfId="37065" xr:uid="{00000000-0005-0000-0000-0000F88F0000}"/>
    <cellStyle name="Input 6 5 3 3 6" xfId="37066" xr:uid="{00000000-0005-0000-0000-0000F98F0000}"/>
    <cellStyle name="Input 6 5 3 4" xfId="37067" xr:uid="{00000000-0005-0000-0000-0000FA8F0000}"/>
    <cellStyle name="Input 6 5 3 4 2" xfId="37068" xr:uid="{00000000-0005-0000-0000-0000FB8F0000}"/>
    <cellStyle name="Input 6 5 3 5" xfId="37069" xr:uid="{00000000-0005-0000-0000-0000FC8F0000}"/>
    <cellStyle name="Input 6 5 3 5 2" xfId="37070" xr:uid="{00000000-0005-0000-0000-0000FD8F0000}"/>
    <cellStyle name="Input 6 5 3 6" xfId="37071" xr:uid="{00000000-0005-0000-0000-0000FE8F0000}"/>
    <cellStyle name="Input 6 5 3 7" xfId="37072" xr:uid="{00000000-0005-0000-0000-0000FF8F0000}"/>
    <cellStyle name="Input 6 5 3 8" xfId="37073" xr:uid="{00000000-0005-0000-0000-000000900000}"/>
    <cellStyle name="Input 6 5 4" xfId="37074" xr:uid="{00000000-0005-0000-0000-000001900000}"/>
    <cellStyle name="Input 6 5 4 2" xfId="37075" xr:uid="{00000000-0005-0000-0000-000002900000}"/>
    <cellStyle name="Input 6 5 4 2 2" xfId="37076" xr:uid="{00000000-0005-0000-0000-000003900000}"/>
    <cellStyle name="Input 6 5 4 2 2 2" xfId="37077" xr:uid="{00000000-0005-0000-0000-000004900000}"/>
    <cellStyle name="Input 6 5 4 2 3" xfId="37078" xr:uid="{00000000-0005-0000-0000-000005900000}"/>
    <cellStyle name="Input 6 5 4 2 3 2" xfId="37079" xr:uid="{00000000-0005-0000-0000-000006900000}"/>
    <cellStyle name="Input 6 5 4 2 4" xfId="37080" xr:uid="{00000000-0005-0000-0000-000007900000}"/>
    <cellStyle name="Input 6 5 4 2 5" xfId="37081" xr:uid="{00000000-0005-0000-0000-000008900000}"/>
    <cellStyle name="Input 6 5 4 2 6" xfId="37082" xr:uid="{00000000-0005-0000-0000-000009900000}"/>
    <cellStyle name="Input 6 5 4 3" xfId="37083" xr:uid="{00000000-0005-0000-0000-00000A900000}"/>
    <cellStyle name="Input 6 5 4 3 2" xfId="37084" xr:uid="{00000000-0005-0000-0000-00000B900000}"/>
    <cellStyle name="Input 6 5 4 4" xfId="37085" xr:uid="{00000000-0005-0000-0000-00000C900000}"/>
    <cellStyle name="Input 6 5 4 4 2" xfId="37086" xr:uid="{00000000-0005-0000-0000-00000D900000}"/>
    <cellStyle name="Input 6 5 4 5" xfId="37087" xr:uid="{00000000-0005-0000-0000-00000E900000}"/>
    <cellStyle name="Input 6 5 4 6" xfId="37088" xr:uid="{00000000-0005-0000-0000-00000F900000}"/>
    <cellStyle name="Input 6 5 4 7" xfId="37089" xr:uid="{00000000-0005-0000-0000-000010900000}"/>
    <cellStyle name="Input 6 5 5" xfId="37090" xr:uid="{00000000-0005-0000-0000-000011900000}"/>
    <cellStyle name="Input 6 5 5 2" xfId="37091" xr:uid="{00000000-0005-0000-0000-000012900000}"/>
    <cellStyle name="Input 6 5 5 2 2" xfId="37092" xr:uid="{00000000-0005-0000-0000-000013900000}"/>
    <cellStyle name="Input 6 5 5 3" xfId="37093" xr:uid="{00000000-0005-0000-0000-000014900000}"/>
    <cellStyle name="Input 6 5 5 3 2" xfId="37094" xr:uid="{00000000-0005-0000-0000-000015900000}"/>
    <cellStyle name="Input 6 5 5 4" xfId="37095" xr:uid="{00000000-0005-0000-0000-000016900000}"/>
    <cellStyle name="Input 6 5 5 5" xfId="37096" xr:uid="{00000000-0005-0000-0000-000017900000}"/>
    <cellStyle name="Input 6 5 5 6" xfId="37097" xr:uid="{00000000-0005-0000-0000-000018900000}"/>
    <cellStyle name="Input 6 5 6" xfId="37098" xr:uid="{00000000-0005-0000-0000-000019900000}"/>
    <cellStyle name="Input 6 5 6 2" xfId="37099" xr:uid="{00000000-0005-0000-0000-00001A900000}"/>
    <cellStyle name="Input 6 5 7" xfId="37100" xr:uid="{00000000-0005-0000-0000-00001B900000}"/>
    <cellStyle name="Input 6 5 7 2" xfId="37101" xr:uid="{00000000-0005-0000-0000-00001C900000}"/>
    <cellStyle name="Input 6 5 8" xfId="37102" xr:uid="{00000000-0005-0000-0000-00001D900000}"/>
    <cellStyle name="Input 6 5 9" xfId="37103" xr:uid="{00000000-0005-0000-0000-00001E900000}"/>
    <cellStyle name="Input 6 6" xfId="37104" xr:uid="{00000000-0005-0000-0000-00001F900000}"/>
    <cellStyle name="Input 6 6 2" xfId="37105" xr:uid="{00000000-0005-0000-0000-000020900000}"/>
    <cellStyle name="Input 6 6 2 2" xfId="37106" xr:uid="{00000000-0005-0000-0000-000021900000}"/>
    <cellStyle name="Input 6 6 2 2 2" xfId="37107" xr:uid="{00000000-0005-0000-0000-000022900000}"/>
    <cellStyle name="Input 6 6 2 2 2 2" xfId="37108" xr:uid="{00000000-0005-0000-0000-000023900000}"/>
    <cellStyle name="Input 6 6 2 2 3" xfId="37109" xr:uid="{00000000-0005-0000-0000-000024900000}"/>
    <cellStyle name="Input 6 6 2 2 3 2" xfId="37110" xr:uid="{00000000-0005-0000-0000-000025900000}"/>
    <cellStyle name="Input 6 6 2 2 4" xfId="37111" xr:uid="{00000000-0005-0000-0000-000026900000}"/>
    <cellStyle name="Input 6 6 2 2 5" xfId="37112" xr:uid="{00000000-0005-0000-0000-000027900000}"/>
    <cellStyle name="Input 6 6 2 2 6" xfId="37113" xr:uid="{00000000-0005-0000-0000-000028900000}"/>
    <cellStyle name="Input 6 6 2 3" xfId="37114" xr:uid="{00000000-0005-0000-0000-000029900000}"/>
    <cellStyle name="Input 6 6 2 3 2" xfId="37115" xr:uid="{00000000-0005-0000-0000-00002A900000}"/>
    <cellStyle name="Input 6 6 2 4" xfId="37116" xr:uid="{00000000-0005-0000-0000-00002B900000}"/>
    <cellStyle name="Input 6 6 2 4 2" xfId="37117" xr:uid="{00000000-0005-0000-0000-00002C900000}"/>
    <cellStyle name="Input 6 6 2 5" xfId="37118" xr:uid="{00000000-0005-0000-0000-00002D900000}"/>
    <cellStyle name="Input 6 6 2 6" xfId="37119" xr:uid="{00000000-0005-0000-0000-00002E900000}"/>
    <cellStyle name="Input 6 6 2 7" xfId="37120" xr:uid="{00000000-0005-0000-0000-00002F900000}"/>
    <cellStyle name="Input 6 6 3" xfId="37121" xr:uid="{00000000-0005-0000-0000-000030900000}"/>
    <cellStyle name="Input 6 6 3 2" xfId="37122" xr:uid="{00000000-0005-0000-0000-000031900000}"/>
    <cellStyle name="Input 6 6 3 2 2" xfId="37123" xr:uid="{00000000-0005-0000-0000-000032900000}"/>
    <cellStyle name="Input 6 6 3 3" xfId="37124" xr:uid="{00000000-0005-0000-0000-000033900000}"/>
    <cellStyle name="Input 6 6 3 3 2" xfId="37125" xr:uid="{00000000-0005-0000-0000-000034900000}"/>
    <cellStyle name="Input 6 6 3 4" xfId="37126" xr:uid="{00000000-0005-0000-0000-000035900000}"/>
    <cellStyle name="Input 6 6 3 5" xfId="37127" xr:uid="{00000000-0005-0000-0000-000036900000}"/>
    <cellStyle name="Input 6 6 3 6" xfId="37128" xr:uid="{00000000-0005-0000-0000-000037900000}"/>
    <cellStyle name="Input 6 6 4" xfId="37129" xr:uid="{00000000-0005-0000-0000-000038900000}"/>
    <cellStyle name="Input 6 6 4 2" xfId="37130" xr:uid="{00000000-0005-0000-0000-000039900000}"/>
    <cellStyle name="Input 6 6 5" xfId="37131" xr:uid="{00000000-0005-0000-0000-00003A900000}"/>
    <cellStyle name="Input 6 6 5 2" xfId="37132" xr:uid="{00000000-0005-0000-0000-00003B900000}"/>
    <cellStyle name="Input 6 6 6" xfId="37133" xr:uid="{00000000-0005-0000-0000-00003C900000}"/>
    <cellStyle name="Input 6 6 7" xfId="37134" xr:uid="{00000000-0005-0000-0000-00003D900000}"/>
    <cellStyle name="Input 6 6 8" xfId="37135" xr:uid="{00000000-0005-0000-0000-00003E900000}"/>
    <cellStyle name="Input 6 7" xfId="37136" xr:uid="{00000000-0005-0000-0000-00003F900000}"/>
    <cellStyle name="Input 6 7 2" xfId="37137" xr:uid="{00000000-0005-0000-0000-000040900000}"/>
    <cellStyle name="Input 6 7 2 2" xfId="37138" xr:uid="{00000000-0005-0000-0000-000041900000}"/>
    <cellStyle name="Input 6 7 2 2 2" xfId="37139" xr:uid="{00000000-0005-0000-0000-000042900000}"/>
    <cellStyle name="Input 6 7 2 3" xfId="37140" xr:uid="{00000000-0005-0000-0000-000043900000}"/>
    <cellStyle name="Input 6 7 2 3 2" xfId="37141" xr:uid="{00000000-0005-0000-0000-000044900000}"/>
    <cellStyle name="Input 6 7 2 4" xfId="37142" xr:uid="{00000000-0005-0000-0000-000045900000}"/>
    <cellStyle name="Input 6 7 2 5" xfId="37143" xr:uid="{00000000-0005-0000-0000-000046900000}"/>
    <cellStyle name="Input 6 7 2 6" xfId="37144" xr:uid="{00000000-0005-0000-0000-000047900000}"/>
    <cellStyle name="Input 6 7 3" xfId="37145" xr:uid="{00000000-0005-0000-0000-000048900000}"/>
    <cellStyle name="Input 6 7 3 2" xfId="37146" xr:uid="{00000000-0005-0000-0000-000049900000}"/>
    <cellStyle name="Input 6 7 4" xfId="37147" xr:uid="{00000000-0005-0000-0000-00004A900000}"/>
    <cellStyle name="Input 6 7 4 2" xfId="37148" xr:uid="{00000000-0005-0000-0000-00004B900000}"/>
    <cellStyle name="Input 6 7 5" xfId="37149" xr:uid="{00000000-0005-0000-0000-00004C900000}"/>
    <cellStyle name="Input 6 7 6" xfId="37150" xr:uid="{00000000-0005-0000-0000-00004D900000}"/>
    <cellStyle name="Input 6 7 7" xfId="37151" xr:uid="{00000000-0005-0000-0000-00004E900000}"/>
    <cellStyle name="Input 6 8" xfId="37152" xr:uid="{00000000-0005-0000-0000-00004F900000}"/>
    <cellStyle name="Input 6 8 2" xfId="37153" xr:uid="{00000000-0005-0000-0000-000050900000}"/>
    <cellStyle name="Input 6 9" xfId="37154" xr:uid="{00000000-0005-0000-0000-000051900000}"/>
    <cellStyle name="Input 6 9 2" xfId="37155" xr:uid="{00000000-0005-0000-0000-000052900000}"/>
    <cellStyle name="Input 60" xfId="37156" xr:uid="{00000000-0005-0000-0000-000053900000}"/>
    <cellStyle name="Input 60 2" xfId="37157" xr:uid="{00000000-0005-0000-0000-000054900000}"/>
    <cellStyle name="Input 60 2 2" xfId="37158" xr:uid="{00000000-0005-0000-0000-000055900000}"/>
    <cellStyle name="Input 60 3" xfId="37159" xr:uid="{00000000-0005-0000-0000-000056900000}"/>
    <cellStyle name="Input 60 3 2" xfId="37160" xr:uid="{00000000-0005-0000-0000-000057900000}"/>
    <cellStyle name="Input 60 4" xfId="37161" xr:uid="{00000000-0005-0000-0000-000058900000}"/>
    <cellStyle name="Input 60 5" xfId="37162" xr:uid="{00000000-0005-0000-0000-000059900000}"/>
    <cellStyle name="Input 60 6" xfId="37163" xr:uid="{00000000-0005-0000-0000-00005A900000}"/>
    <cellStyle name="Input 61" xfId="37164" xr:uid="{00000000-0005-0000-0000-00005B900000}"/>
    <cellStyle name="Input 61 2" xfId="37165" xr:uid="{00000000-0005-0000-0000-00005C900000}"/>
    <cellStyle name="Input 62" xfId="37166" xr:uid="{00000000-0005-0000-0000-00005D900000}"/>
    <cellStyle name="Input 63" xfId="37167" xr:uid="{00000000-0005-0000-0000-00005E900000}"/>
    <cellStyle name="Input 64" xfId="37168" xr:uid="{00000000-0005-0000-0000-00005F900000}"/>
    <cellStyle name="Input 7" xfId="37169" xr:uid="{00000000-0005-0000-0000-000060900000}"/>
    <cellStyle name="Input 7 10" xfId="37170" xr:uid="{00000000-0005-0000-0000-000061900000}"/>
    <cellStyle name="Input 7 11" xfId="37171" xr:uid="{00000000-0005-0000-0000-000062900000}"/>
    <cellStyle name="Input 7 12" xfId="37172" xr:uid="{00000000-0005-0000-0000-000063900000}"/>
    <cellStyle name="Input 7 2" xfId="37173" xr:uid="{00000000-0005-0000-0000-000064900000}"/>
    <cellStyle name="Input 7 2 10" xfId="37174" xr:uid="{00000000-0005-0000-0000-000065900000}"/>
    <cellStyle name="Input 7 2 11" xfId="37175" xr:uid="{00000000-0005-0000-0000-000066900000}"/>
    <cellStyle name="Input 7 2 12" xfId="37176" xr:uid="{00000000-0005-0000-0000-000067900000}"/>
    <cellStyle name="Input 7 2 2" xfId="37177" xr:uid="{00000000-0005-0000-0000-000068900000}"/>
    <cellStyle name="Input 7 2 2 10" xfId="37178" xr:uid="{00000000-0005-0000-0000-000069900000}"/>
    <cellStyle name="Input 7 2 2 11" xfId="37179" xr:uid="{00000000-0005-0000-0000-00006A900000}"/>
    <cellStyle name="Input 7 2 2 2" xfId="37180" xr:uid="{00000000-0005-0000-0000-00006B900000}"/>
    <cellStyle name="Input 7 2 2 2 10" xfId="37181" xr:uid="{00000000-0005-0000-0000-00006C900000}"/>
    <cellStyle name="Input 7 2 2 2 2" xfId="37182" xr:uid="{00000000-0005-0000-0000-00006D900000}"/>
    <cellStyle name="Input 7 2 2 2 2 2" xfId="37183" xr:uid="{00000000-0005-0000-0000-00006E900000}"/>
    <cellStyle name="Input 7 2 2 2 2 2 2" xfId="37184" xr:uid="{00000000-0005-0000-0000-00006F900000}"/>
    <cellStyle name="Input 7 2 2 2 2 2 2 2" xfId="37185" xr:uid="{00000000-0005-0000-0000-000070900000}"/>
    <cellStyle name="Input 7 2 2 2 2 2 2 2 2" xfId="37186" xr:uid="{00000000-0005-0000-0000-000071900000}"/>
    <cellStyle name="Input 7 2 2 2 2 2 2 3" xfId="37187" xr:uid="{00000000-0005-0000-0000-000072900000}"/>
    <cellStyle name="Input 7 2 2 2 2 2 2 3 2" xfId="37188" xr:uid="{00000000-0005-0000-0000-000073900000}"/>
    <cellStyle name="Input 7 2 2 2 2 2 2 4" xfId="37189" xr:uid="{00000000-0005-0000-0000-000074900000}"/>
    <cellStyle name="Input 7 2 2 2 2 2 2 5" xfId="37190" xr:uid="{00000000-0005-0000-0000-000075900000}"/>
    <cellStyle name="Input 7 2 2 2 2 2 2 6" xfId="37191" xr:uid="{00000000-0005-0000-0000-000076900000}"/>
    <cellStyle name="Input 7 2 2 2 2 2 3" xfId="37192" xr:uid="{00000000-0005-0000-0000-000077900000}"/>
    <cellStyle name="Input 7 2 2 2 2 2 3 2" xfId="37193" xr:uid="{00000000-0005-0000-0000-000078900000}"/>
    <cellStyle name="Input 7 2 2 2 2 2 4" xfId="37194" xr:uid="{00000000-0005-0000-0000-000079900000}"/>
    <cellStyle name="Input 7 2 2 2 2 2 4 2" xfId="37195" xr:uid="{00000000-0005-0000-0000-00007A900000}"/>
    <cellStyle name="Input 7 2 2 2 2 2 5" xfId="37196" xr:uid="{00000000-0005-0000-0000-00007B900000}"/>
    <cellStyle name="Input 7 2 2 2 2 2 6" xfId="37197" xr:uid="{00000000-0005-0000-0000-00007C900000}"/>
    <cellStyle name="Input 7 2 2 2 2 2 7" xfId="37198" xr:uid="{00000000-0005-0000-0000-00007D900000}"/>
    <cellStyle name="Input 7 2 2 2 2 3" xfId="37199" xr:uid="{00000000-0005-0000-0000-00007E900000}"/>
    <cellStyle name="Input 7 2 2 2 2 3 2" xfId="37200" xr:uid="{00000000-0005-0000-0000-00007F900000}"/>
    <cellStyle name="Input 7 2 2 2 2 3 2 2" xfId="37201" xr:uid="{00000000-0005-0000-0000-000080900000}"/>
    <cellStyle name="Input 7 2 2 2 2 3 3" xfId="37202" xr:uid="{00000000-0005-0000-0000-000081900000}"/>
    <cellStyle name="Input 7 2 2 2 2 3 3 2" xfId="37203" xr:uid="{00000000-0005-0000-0000-000082900000}"/>
    <cellStyle name="Input 7 2 2 2 2 3 4" xfId="37204" xr:uid="{00000000-0005-0000-0000-000083900000}"/>
    <cellStyle name="Input 7 2 2 2 2 3 5" xfId="37205" xr:uid="{00000000-0005-0000-0000-000084900000}"/>
    <cellStyle name="Input 7 2 2 2 2 3 6" xfId="37206" xr:uid="{00000000-0005-0000-0000-000085900000}"/>
    <cellStyle name="Input 7 2 2 2 2 4" xfId="37207" xr:uid="{00000000-0005-0000-0000-000086900000}"/>
    <cellStyle name="Input 7 2 2 2 2 4 2" xfId="37208" xr:uid="{00000000-0005-0000-0000-000087900000}"/>
    <cellStyle name="Input 7 2 2 2 2 5" xfId="37209" xr:uid="{00000000-0005-0000-0000-000088900000}"/>
    <cellStyle name="Input 7 2 2 2 2 5 2" xfId="37210" xr:uid="{00000000-0005-0000-0000-000089900000}"/>
    <cellStyle name="Input 7 2 2 2 2 6" xfId="37211" xr:uid="{00000000-0005-0000-0000-00008A900000}"/>
    <cellStyle name="Input 7 2 2 2 2 7" xfId="37212" xr:uid="{00000000-0005-0000-0000-00008B900000}"/>
    <cellStyle name="Input 7 2 2 2 2 8" xfId="37213" xr:uid="{00000000-0005-0000-0000-00008C900000}"/>
    <cellStyle name="Input 7 2 2 2 3" xfId="37214" xr:uid="{00000000-0005-0000-0000-00008D900000}"/>
    <cellStyle name="Input 7 2 2 2 3 2" xfId="37215" xr:uid="{00000000-0005-0000-0000-00008E900000}"/>
    <cellStyle name="Input 7 2 2 2 3 2 2" xfId="37216" xr:uid="{00000000-0005-0000-0000-00008F900000}"/>
    <cellStyle name="Input 7 2 2 2 3 2 2 2" xfId="37217" xr:uid="{00000000-0005-0000-0000-000090900000}"/>
    <cellStyle name="Input 7 2 2 2 3 2 2 2 2" xfId="37218" xr:uid="{00000000-0005-0000-0000-000091900000}"/>
    <cellStyle name="Input 7 2 2 2 3 2 2 3" xfId="37219" xr:uid="{00000000-0005-0000-0000-000092900000}"/>
    <cellStyle name="Input 7 2 2 2 3 2 2 3 2" xfId="37220" xr:uid="{00000000-0005-0000-0000-000093900000}"/>
    <cellStyle name="Input 7 2 2 2 3 2 2 4" xfId="37221" xr:uid="{00000000-0005-0000-0000-000094900000}"/>
    <cellStyle name="Input 7 2 2 2 3 2 2 5" xfId="37222" xr:uid="{00000000-0005-0000-0000-000095900000}"/>
    <cellStyle name="Input 7 2 2 2 3 2 2 6" xfId="37223" xr:uid="{00000000-0005-0000-0000-000096900000}"/>
    <cellStyle name="Input 7 2 2 2 3 2 3" xfId="37224" xr:uid="{00000000-0005-0000-0000-000097900000}"/>
    <cellStyle name="Input 7 2 2 2 3 2 3 2" xfId="37225" xr:uid="{00000000-0005-0000-0000-000098900000}"/>
    <cellStyle name="Input 7 2 2 2 3 2 4" xfId="37226" xr:uid="{00000000-0005-0000-0000-000099900000}"/>
    <cellStyle name="Input 7 2 2 2 3 2 4 2" xfId="37227" xr:uid="{00000000-0005-0000-0000-00009A900000}"/>
    <cellStyle name="Input 7 2 2 2 3 2 5" xfId="37228" xr:uid="{00000000-0005-0000-0000-00009B900000}"/>
    <cellStyle name="Input 7 2 2 2 3 2 6" xfId="37229" xr:uid="{00000000-0005-0000-0000-00009C900000}"/>
    <cellStyle name="Input 7 2 2 2 3 2 7" xfId="37230" xr:uid="{00000000-0005-0000-0000-00009D900000}"/>
    <cellStyle name="Input 7 2 2 2 3 3" xfId="37231" xr:uid="{00000000-0005-0000-0000-00009E900000}"/>
    <cellStyle name="Input 7 2 2 2 3 3 2" xfId="37232" xr:uid="{00000000-0005-0000-0000-00009F900000}"/>
    <cellStyle name="Input 7 2 2 2 3 3 2 2" xfId="37233" xr:uid="{00000000-0005-0000-0000-0000A0900000}"/>
    <cellStyle name="Input 7 2 2 2 3 3 3" xfId="37234" xr:uid="{00000000-0005-0000-0000-0000A1900000}"/>
    <cellStyle name="Input 7 2 2 2 3 3 3 2" xfId="37235" xr:uid="{00000000-0005-0000-0000-0000A2900000}"/>
    <cellStyle name="Input 7 2 2 2 3 3 4" xfId="37236" xr:uid="{00000000-0005-0000-0000-0000A3900000}"/>
    <cellStyle name="Input 7 2 2 2 3 3 5" xfId="37237" xr:uid="{00000000-0005-0000-0000-0000A4900000}"/>
    <cellStyle name="Input 7 2 2 2 3 3 6" xfId="37238" xr:uid="{00000000-0005-0000-0000-0000A5900000}"/>
    <cellStyle name="Input 7 2 2 2 3 4" xfId="37239" xr:uid="{00000000-0005-0000-0000-0000A6900000}"/>
    <cellStyle name="Input 7 2 2 2 3 4 2" xfId="37240" xr:uid="{00000000-0005-0000-0000-0000A7900000}"/>
    <cellStyle name="Input 7 2 2 2 3 5" xfId="37241" xr:uid="{00000000-0005-0000-0000-0000A8900000}"/>
    <cellStyle name="Input 7 2 2 2 3 5 2" xfId="37242" xr:uid="{00000000-0005-0000-0000-0000A9900000}"/>
    <cellStyle name="Input 7 2 2 2 3 6" xfId="37243" xr:uid="{00000000-0005-0000-0000-0000AA900000}"/>
    <cellStyle name="Input 7 2 2 2 3 7" xfId="37244" xr:uid="{00000000-0005-0000-0000-0000AB900000}"/>
    <cellStyle name="Input 7 2 2 2 3 8" xfId="37245" xr:uid="{00000000-0005-0000-0000-0000AC900000}"/>
    <cellStyle name="Input 7 2 2 2 4" xfId="37246" xr:uid="{00000000-0005-0000-0000-0000AD900000}"/>
    <cellStyle name="Input 7 2 2 2 4 2" xfId="37247" xr:uid="{00000000-0005-0000-0000-0000AE900000}"/>
    <cellStyle name="Input 7 2 2 2 4 2 2" xfId="37248" xr:uid="{00000000-0005-0000-0000-0000AF900000}"/>
    <cellStyle name="Input 7 2 2 2 4 2 2 2" xfId="37249" xr:uid="{00000000-0005-0000-0000-0000B0900000}"/>
    <cellStyle name="Input 7 2 2 2 4 2 3" xfId="37250" xr:uid="{00000000-0005-0000-0000-0000B1900000}"/>
    <cellStyle name="Input 7 2 2 2 4 2 3 2" xfId="37251" xr:uid="{00000000-0005-0000-0000-0000B2900000}"/>
    <cellStyle name="Input 7 2 2 2 4 2 4" xfId="37252" xr:uid="{00000000-0005-0000-0000-0000B3900000}"/>
    <cellStyle name="Input 7 2 2 2 4 2 5" xfId="37253" xr:uid="{00000000-0005-0000-0000-0000B4900000}"/>
    <cellStyle name="Input 7 2 2 2 4 2 6" xfId="37254" xr:uid="{00000000-0005-0000-0000-0000B5900000}"/>
    <cellStyle name="Input 7 2 2 2 4 3" xfId="37255" xr:uid="{00000000-0005-0000-0000-0000B6900000}"/>
    <cellStyle name="Input 7 2 2 2 4 3 2" xfId="37256" xr:uid="{00000000-0005-0000-0000-0000B7900000}"/>
    <cellStyle name="Input 7 2 2 2 4 4" xfId="37257" xr:uid="{00000000-0005-0000-0000-0000B8900000}"/>
    <cellStyle name="Input 7 2 2 2 4 4 2" xfId="37258" xr:uid="{00000000-0005-0000-0000-0000B9900000}"/>
    <cellStyle name="Input 7 2 2 2 4 5" xfId="37259" xr:uid="{00000000-0005-0000-0000-0000BA900000}"/>
    <cellStyle name="Input 7 2 2 2 4 6" xfId="37260" xr:uid="{00000000-0005-0000-0000-0000BB900000}"/>
    <cellStyle name="Input 7 2 2 2 4 7" xfId="37261" xr:uid="{00000000-0005-0000-0000-0000BC900000}"/>
    <cellStyle name="Input 7 2 2 2 5" xfId="37262" xr:uid="{00000000-0005-0000-0000-0000BD900000}"/>
    <cellStyle name="Input 7 2 2 2 5 2" xfId="37263" xr:uid="{00000000-0005-0000-0000-0000BE900000}"/>
    <cellStyle name="Input 7 2 2 2 5 2 2" xfId="37264" xr:uid="{00000000-0005-0000-0000-0000BF900000}"/>
    <cellStyle name="Input 7 2 2 2 5 3" xfId="37265" xr:uid="{00000000-0005-0000-0000-0000C0900000}"/>
    <cellStyle name="Input 7 2 2 2 5 3 2" xfId="37266" xr:uid="{00000000-0005-0000-0000-0000C1900000}"/>
    <cellStyle name="Input 7 2 2 2 5 4" xfId="37267" xr:uid="{00000000-0005-0000-0000-0000C2900000}"/>
    <cellStyle name="Input 7 2 2 2 5 5" xfId="37268" xr:uid="{00000000-0005-0000-0000-0000C3900000}"/>
    <cellStyle name="Input 7 2 2 2 5 6" xfId="37269" xr:uid="{00000000-0005-0000-0000-0000C4900000}"/>
    <cellStyle name="Input 7 2 2 2 6" xfId="37270" xr:uid="{00000000-0005-0000-0000-0000C5900000}"/>
    <cellStyle name="Input 7 2 2 2 6 2" xfId="37271" xr:uid="{00000000-0005-0000-0000-0000C6900000}"/>
    <cellStyle name="Input 7 2 2 2 7" xfId="37272" xr:uid="{00000000-0005-0000-0000-0000C7900000}"/>
    <cellStyle name="Input 7 2 2 2 7 2" xfId="37273" xr:uid="{00000000-0005-0000-0000-0000C8900000}"/>
    <cellStyle name="Input 7 2 2 2 8" xfId="37274" xr:uid="{00000000-0005-0000-0000-0000C9900000}"/>
    <cellStyle name="Input 7 2 2 2 9" xfId="37275" xr:uid="{00000000-0005-0000-0000-0000CA900000}"/>
    <cellStyle name="Input 7 2 2 3" xfId="37276" xr:uid="{00000000-0005-0000-0000-0000CB900000}"/>
    <cellStyle name="Input 7 2 2 3 2" xfId="37277" xr:uid="{00000000-0005-0000-0000-0000CC900000}"/>
    <cellStyle name="Input 7 2 2 3 2 2" xfId="37278" xr:uid="{00000000-0005-0000-0000-0000CD900000}"/>
    <cellStyle name="Input 7 2 2 3 2 2 2" xfId="37279" xr:uid="{00000000-0005-0000-0000-0000CE900000}"/>
    <cellStyle name="Input 7 2 2 3 2 2 2 2" xfId="37280" xr:uid="{00000000-0005-0000-0000-0000CF900000}"/>
    <cellStyle name="Input 7 2 2 3 2 2 3" xfId="37281" xr:uid="{00000000-0005-0000-0000-0000D0900000}"/>
    <cellStyle name="Input 7 2 2 3 2 2 3 2" xfId="37282" xr:uid="{00000000-0005-0000-0000-0000D1900000}"/>
    <cellStyle name="Input 7 2 2 3 2 2 4" xfId="37283" xr:uid="{00000000-0005-0000-0000-0000D2900000}"/>
    <cellStyle name="Input 7 2 2 3 2 2 5" xfId="37284" xr:uid="{00000000-0005-0000-0000-0000D3900000}"/>
    <cellStyle name="Input 7 2 2 3 2 2 6" xfId="37285" xr:uid="{00000000-0005-0000-0000-0000D4900000}"/>
    <cellStyle name="Input 7 2 2 3 2 3" xfId="37286" xr:uid="{00000000-0005-0000-0000-0000D5900000}"/>
    <cellStyle name="Input 7 2 2 3 2 3 2" xfId="37287" xr:uid="{00000000-0005-0000-0000-0000D6900000}"/>
    <cellStyle name="Input 7 2 2 3 2 4" xfId="37288" xr:uid="{00000000-0005-0000-0000-0000D7900000}"/>
    <cellStyle name="Input 7 2 2 3 2 4 2" xfId="37289" xr:uid="{00000000-0005-0000-0000-0000D8900000}"/>
    <cellStyle name="Input 7 2 2 3 2 5" xfId="37290" xr:uid="{00000000-0005-0000-0000-0000D9900000}"/>
    <cellStyle name="Input 7 2 2 3 2 6" xfId="37291" xr:uid="{00000000-0005-0000-0000-0000DA900000}"/>
    <cellStyle name="Input 7 2 2 3 2 7" xfId="37292" xr:uid="{00000000-0005-0000-0000-0000DB900000}"/>
    <cellStyle name="Input 7 2 2 3 3" xfId="37293" xr:uid="{00000000-0005-0000-0000-0000DC900000}"/>
    <cellStyle name="Input 7 2 2 3 3 2" xfId="37294" xr:uid="{00000000-0005-0000-0000-0000DD900000}"/>
    <cellStyle name="Input 7 2 2 3 3 2 2" xfId="37295" xr:uid="{00000000-0005-0000-0000-0000DE900000}"/>
    <cellStyle name="Input 7 2 2 3 3 3" xfId="37296" xr:uid="{00000000-0005-0000-0000-0000DF900000}"/>
    <cellStyle name="Input 7 2 2 3 3 3 2" xfId="37297" xr:uid="{00000000-0005-0000-0000-0000E0900000}"/>
    <cellStyle name="Input 7 2 2 3 3 4" xfId="37298" xr:uid="{00000000-0005-0000-0000-0000E1900000}"/>
    <cellStyle name="Input 7 2 2 3 3 5" xfId="37299" xr:uid="{00000000-0005-0000-0000-0000E2900000}"/>
    <cellStyle name="Input 7 2 2 3 3 6" xfId="37300" xr:uid="{00000000-0005-0000-0000-0000E3900000}"/>
    <cellStyle name="Input 7 2 2 3 4" xfId="37301" xr:uid="{00000000-0005-0000-0000-0000E4900000}"/>
    <cellStyle name="Input 7 2 2 3 4 2" xfId="37302" xr:uid="{00000000-0005-0000-0000-0000E5900000}"/>
    <cellStyle name="Input 7 2 2 3 5" xfId="37303" xr:uid="{00000000-0005-0000-0000-0000E6900000}"/>
    <cellStyle name="Input 7 2 2 3 5 2" xfId="37304" xr:uid="{00000000-0005-0000-0000-0000E7900000}"/>
    <cellStyle name="Input 7 2 2 3 6" xfId="37305" xr:uid="{00000000-0005-0000-0000-0000E8900000}"/>
    <cellStyle name="Input 7 2 2 3 7" xfId="37306" xr:uid="{00000000-0005-0000-0000-0000E9900000}"/>
    <cellStyle name="Input 7 2 2 3 8" xfId="37307" xr:uid="{00000000-0005-0000-0000-0000EA900000}"/>
    <cellStyle name="Input 7 2 2 4" xfId="37308" xr:uid="{00000000-0005-0000-0000-0000EB900000}"/>
    <cellStyle name="Input 7 2 2 4 2" xfId="37309" xr:uid="{00000000-0005-0000-0000-0000EC900000}"/>
    <cellStyle name="Input 7 2 2 4 2 2" xfId="37310" xr:uid="{00000000-0005-0000-0000-0000ED900000}"/>
    <cellStyle name="Input 7 2 2 4 2 2 2" xfId="37311" xr:uid="{00000000-0005-0000-0000-0000EE900000}"/>
    <cellStyle name="Input 7 2 2 4 2 2 2 2" xfId="37312" xr:uid="{00000000-0005-0000-0000-0000EF900000}"/>
    <cellStyle name="Input 7 2 2 4 2 2 3" xfId="37313" xr:uid="{00000000-0005-0000-0000-0000F0900000}"/>
    <cellStyle name="Input 7 2 2 4 2 2 3 2" xfId="37314" xr:uid="{00000000-0005-0000-0000-0000F1900000}"/>
    <cellStyle name="Input 7 2 2 4 2 2 4" xfId="37315" xr:uid="{00000000-0005-0000-0000-0000F2900000}"/>
    <cellStyle name="Input 7 2 2 4 2 2 5" xfId="37316" xr:uid="{00000000-0005-0000-0000-0000F3900000}"/>
    <cellStyle name="Input 7 2 2 4 2 2 6" xfId="37317" xr:uid="{00000000-0005-0000-0000-0000F4900000}"/>
    <cellStyle name="Input 7 2 2 4 2 3" xfId="37318" xr:uid="{00000000-0005-0000-0000-0000F5900000}"/>
    <cellStyle name="Input 7 2 2 4 2 3 2" xfId="37319" xr:uid="{00000000-0005-0000-0000-0000F6900000}"/>
    <cellStyle name="Input 7 2 2 4 2 4" xfId="37320" xr:uid="{00000000-0005-0000-0000-0000F7900000}"/>
    <cellStyle name="Input 7 2 2 4 2 4 2" xfId="37321" xr:uid="{00000000-0005-0000-0000-0000F8900000}"/>
    <cellStyle name="Input 7 2 2 4 2 5" xfId="37322" xr:uid="{00000000-0005-0000-0000-0000F9900000}"/>
    <cellStyle name="Input 7 2 2 4 2 6" xfId="37323" xr:uid="{00000000-0005-0000-0000-0000FA900000}"/>
    <cellStyle name="Input 7 2 2 4 2 7" xfId="37324" xr:uid="{00000000-0005-0000-0000-0000FB900000}"/>
    <cellStyle name="Input 7 2 2 4 3" xfId="37325" xr:uid="{00000000-0005-0000-0000-0000FC900000}"/>
    <cellStyle name="Input 7 2 2 4 3 2" xfId="37326" xr:uid="{00000000-0005-0000-0000-0000FD900000}"/>
    <cellStyle name="Input 7 2 2 4 3 2 2" xfId="37327" xr:uid="{00000000-0005-0000-0000-0000FE900000}"/>
    <cellStyle name="Input 7 2 2 4 3 3" xfId="37328" xr:uid="{00000000-0005-0000-0000-0000FF900000}"/>
    <cellStyle name="Input 7 2 2 4 3 3 2" xfId="37329" xr:uid="{00000000-0005-0000-0000-000000910000}"/>
    <cellStyle name="Input 7 2 2 4 3 4" xfId="37330" xr:uid="{00000000-0005-0000-0000-000001910000}"/>
    <cellStyle name="Input 7 2 2 4 3 5" xfId="37331" xr:uid="{00000000-0005-0000-0000-000002910000}"/>
    <cellStyle name="Input 7 2 2 4 3 6" xfId="37332" xr:uid="{00000000-0005-0000-0000-000003910000}"/>
    <cellStyle name="Input 7 2 2 4 4" xfId="37333" xr:uid="{00000000-0005-0000-0000-000004910000}"/>
    <cellStyle name="Input 7 2 2 4 4 2" xfId="37334" xr:uid="{00000000-0005-0000-0000-000005910000}"/>
    <cellStyle name="Input 7 2 2 4 5" xfId="37335" xr:uid="{00000000-0005-0000-0000-000006910000}"/>
    <cellStyle name="Input 7 2 2 4 5 2" xfId="37336" xr:uid="{00000000-0005-0000-0000-000007910000}"/>
    <cellStyle name="Input 7 2 2 4 6" xfId="37337" xr:uid="{00000000-0005-0000-0000-000008910000}"/>
    <cellStyle name="Input 7 2 2 4 7" xfId="37338" xr:uid="{00000000-0005-0000-0000-000009910000}"/>
    <cellStyle name="Input 7 2 2 4 8" xfId="37339" xr:uid="{00000000-0005-0000-0000-00000A910000}"/>
    <cellStyle name="Input 7 2 2 5" xfId="37340" xr:uid="{00000000-0005-0000-0000-00000B910000}"/>
    <cellStyle name="Input 7 2 2 5 2" xfId="37341" xr:uid="{00000000-0005-0000-0000-00000C910000}"/>
    <cellStyle name="Input 7 2 2 5 2 2" xfId="37342" xr:uid="{00000000-0005-0000-0000-00000D910000}"/>
    <cellStyle name="Input 7 2 2 5 2 2 2" xfId="37343" xr:uid="{00000000-0005-0000-0000-00000E910000}"/>
    <cellStyle name="Input 7 2 2 5 2 3" xfId="37344" xr:uid="{00000000-0005-0000-0000-00000F910000}"/>
    <cellStyle name="Input 7 2 2 5 2 3 2" xfId="37345" xr:uid="{00000000-0005-0000-0000-000010910000}"/>
    <cellStyle name="Input 7 2 2 5 2 4" xfId="37346" xr:uid="{00000000-0005-0000-0000-000011910000}"/>
    <cellStyle name="Input 7 2 2 5 2 5" xfId="37347" xr:uid="{00000000-0005-0000-0000-000012910000}"/>
    <cellStyle name="Input 7 2 2 5 2 6" xfId="37348" xr:uid="{00000000-0005-0000-0000-000013910000}"/>
    <cellStyle name="Input 7 2 2 5 3" xfId="37349" xr:uid="{00000000-0005-0000-0000-000014910000}"/>
    <cellStyle name="Input 7 2 2 5 3 2" xfId="37350" xr:uid="{00000000-0005-0000-0000-000015910000}"/>
    <cellStyle name="Input 7 2 2 5 4" xfId="37351" xr:uid="{00000000-0005-0000-0000-000016910000}"/>
    <cellStyle name="Input 7 2 2 5 4 2" xfId="37352" xr:uid="{00000000-0005-0000-0000-000017910000}"/>
    <cellStyle name="Input 7 2 2 5 5" xfId="37353" xr:uid="{00000000-0005-0000-0000-000018910000}"/>
    <cellStyle name="Input 7 2 2 5 6" xfId="37354" xr:uid="{00000000-0005-0000-0000-000019910000}"/>
    <cellStyle name="Input 7 2 2 5 7" xfId="37355" xr:uid="{00000000-0005-0000-0000-00001A910000}"/>
    <cellStyle name="Input 7 2 2 6" xfId="37356" xr:uid="{00000000-0005-0000-0000-00001B910000}"/>
    <cellStyle name="Input 7 2 2 6 2" xfId="37357" xr:uid="{00000000-0005-0000-0000-00001C910000}"/>
    <cellStyle name="Input 7 2 2 6 2 2" xfId="37358" xr:uid="{00000000-0005-0000-0000-00001D910000}"/>
    <cellStyle name="Input 7 2 2 6 3" xfId="37359" xr:uid="{00000000-0005-0000-0000-00001E910000}"/>
    <cellStyle name="Input 7 2 2 6 3 2" xfId="37360" xr:uid="{00000000-0005-0000-0000-00001F910000}"/>
    <cellStyle name="Input 7 2 2 6 4" xfId="37361" xr:uid="{00000000-0005-0000-0000-000020910000}"/>
    <cellStyle name="Input 7 2 2 6 5" xfId="37362" xr:uid="{00000000-0005-0000-0000-000021910000}"/>
    <cellStyle name="Input 7 2 2 6 6" xfId="37363" xr:uid="{00000000-0005-0000-0000-000022910000}"/>
    <cellStyle name="Input 7 2 2 7" xfId="37364" xr:uid="{00000000-0005-0000-0000-000023910000}"/>
    <cellStyle name="Input 7 2 2 7 2" xfId="37365" xr:uid="{00000000-0005-0000-0000-000024910000}"/>
    <cellStyle name="Input 7 2 2 8" xfId="37366" xr:uid="{00000000-0005-0000-0000-000025910000}"/>
    <cellStyle name="Input 7 2 2 8 2" xfId="37367" xr:uid="{00000000-0005-0000-0000-000026910000}"/>
    <cellStyle name="Input 7 2 2 9" xfId="37368" xr:uid="{00000000-0005-0000-0000-000027910000}"/>
    <cellStyle name="Input 7 2 3" xfId="37369" xr:uid="{00000000-0005-0000-0000-000028910000}"/>
    <cellStyle name="Input 7 2 3 10" xfId="37370" xr:uid="{00000000-0005-0000-0000-000029910000}"/>
    <cellStyle name="Input 7 2 3 2" xfId="37371" xr:uid="{00000000-0005-0000-0000-00002A910000}"/>
    <cellStyle name="Input 7 2 3 2 10" xfId="37372" xr:uid="{00000000-0005-0000-0000-00002B910000}"/>
    <cellStyle name="Input 7 2 3 2 2" xfId="37373" xr:uid="{00000000-0005-0000-0000-00002C910000}"/>
    <cellStyle name="Input 7 2 3 2 2 2" xfId="37374" xr:uid="{00000000-0005-0000-0000-00002D910000}"/>
    <cellStyle name="Input 7 2 3 2 2 2 2" xfId="37375" xr:uid="{00000000-0005-0000-0000-00002E910000}"/>
    <cellStyle name="Input 7 2 3 2 2 2 2 2" xfId="37376" xr:uid="{00000000-0005-0000-0000-00002F910000}"/>
    <cellStyle name="Input 7 2 3 2 2 2 2 2 2" xfId="37377" xr:uid="{00000000-0005-0000-0000-000030910000}"/>
    <cellStyle name="Input 7 2 3 2 2 2 2 3" xfId="37378" xr:uid="{00000000-0005-0000-0000-000031910000}"/>
    <cellStyle name="Input 7 2 3 2 2 2 2 3 2" xfId="37379" xr:uid="{00000000-0005-0000-0000-000032910000}"/>
    <cellStyle name="Input 7 2 3 2 2 2 2 4" xfId="37380" xr:uid="{00000000-0005-0000-0000-000033910000}"/>
    <cellStyle name="Input 7 2 3 2 2 2 2 5" xfId="37381" xr:uid="{00000000-0005-0000-0000-000034910000}"/>
    <cellStyle name="Input 7 2 3 2 2 2 2 6" xfId="37382" xr:uid="{00000000-0005-0000-0000-000035910000}"/>
    <cellStyle name="Input 7 2 3 2 2 2 3" xfId="37383" xr:uid="{00000000-0005-0000-0000-000036910000}"/>
    <cellStyle name="Input 7 2 3 2 2 2 3 2" xfId="37384" xr:uid="{00000000-0005-0000-0000-000037910000}"/>
    <cellStyle name="Input 7 2 3 2 2 2 4" xfId="37385" xr:uid="{00000000-0005-0000-0000-000038910000}"/>
    <cellStyle name="Input 7 2 3 2 2 2 4 2" xfId="37386" xr:uid="{00000000-0005-0000-0000-000039910000}"/>
    <cellStyle name="Input 7 2 3 2 2 2 5" xfId="37387" xr:uid="{00000000-0005-0000-0000-00003A910000}"/>
    <cellStyle name="Input 7 2 3 2 2 2 6" xfId="37388" xr:uid="{00000000-0005-0000-0000-00003B910000}"/>
    <cellStyle name="Input 7 2 3 2 2 2 7" xfId="37389" xr:uid="{00000000-0005-0000-0000-00003C910000}"/>
    <cellStyle name="Input 7 2 3 2 2 3" xfId="37390" xr:uid="{00000000-0005-0000-0000-00003D910000}"/>
    <cellStyle name="Input 7 2 3 2 2 3 2" xfId="37391" xr:uid="{00000000-0005-0000-0000-00003E910000}"/>
    <cellStyle name="Input 7 2 3 2 2 3 2 2" xfId="37392" xr:uid="{00000000-0005-0000-0000-00003F910000}"/>
    <cellStyle name="Input 7 2 3 2 2 3 3" xfId="37393" xr:uid="{00000000-0005-0000-0000-000040910000}"/>
    <cellStyle name="Input 7 2 3 2 2 3 3 2" xfId="37394" xr:uid="{00000000-0005-0000-0000-000041910000}"/>
    <cellStyle name="Input 7 2 3 2 2 3 4" xfId="37395" xr:uid="{00000000-0005-0000-0000-000042910000}"/>
    <cellStyle name="Input 7 2 3 2 2 3 5" xfId="37396" xr:uid="{00000000-0005-0000-0000-000043910000}"/>
    <cellStyle name="Input 7 2 3 2 2 3 6" xfId="37397" xr:uid="{00000000-0005-0000-0000-000044910000}"/>
    <cellStyle name="Input 7 2 3 2 2 4" xfId="37398" xr:uid="{00000000-0005-0000-0000-000045910000}"/>
    <cellStyle name="Input 7 2 3 2 2 4 2" xfId="37399" xr:uid="{00000000-0005-0000-0000-000046910000}"/>
    <cellStyle name="Input 7 2 3 2 2 5" xfId="37400" xr:uid="{00000000-0005-0000-0000-000047910000}"/>
    <cellStyle name="Input 7 2 3 2 2 5 2" xfId="37401" xr:uid="{00000000-0005-0000-0000-000048910000}"/>
    <cellStyle name="Input 7 2 3 2 2 6" xfId="37402" xr:uid="{00000000-0005-0000-0000-000049910000}"/>
    <cellStyle name="Input 7 2 3 2 2 7" xfId="37403" xr:uid="{00000000-0005-0000-0000-00004A910000}"/>
    <cellStyle name="Input 7 2 3 2 2 8" xfId="37404" xr:uid="{00000000-0005-0000-0000-00004B910000}"/>
    <cellStyle name="Input 7 2 3 2 3" xfId="37405" xr:uid="{00000000-0005-0000-0000-00004C910000}"/>
    <cellStyle name="Input 7 2 3 2 3 2" xfId="37406" xr:uid="{00000000-0005-0000-0000-00004D910000}"/>
    <cellStyle name="Input 7 2 3 2 3 2 2" xfId="37407" xr:uid="{00000000-0005-0000-0000-00004E910000}"/>
    <cellStyle name="Input 7 2 3 2 3 2 2 2" xfId="37408" xr:uid="{00000000-0005-0000-0000-00004F910000}"/>
    <cellStyle name="Input 7 2 3 2 3 2 2 2 2" xfId="37409" xr:uid="{00000000-0005-0000-0000-000050910000}"/>
    <cellStyle name="Input 7 2 3 2 3 2 2 3" xfId="37410" xr:uid="{00000000-0005-0000-0000-000051910000}"/>
    <cellStyle name="Input 7 2 3 2 3 2 2 3 2" xfId="37411" xr:uid="{00000000-0005-0000-0000-000052910000}"/>
    <cellStyle name="Input 7 2 3 2 3 2 2 4" xfId="37412" xr:uid="{00000000-0005-0000-0000-000053910000}"/>
    <cellStyle name="Input 7 2 3 2 3 2 2 5" xfId="37413" xr:uid="{00000000-0005-0000-0000-000054910000}"/>
    <cellStyle name="Input 7 2 3 2 3 2 2 6" xfId="37414" xr:uid="{00000000-0005-0000-0000-000055910000}"/>
    <cellStyle name="Input 7 2 3 2 3 2 3" xfId="37415" xr:uid="{00000000-0005-0000-0000-000056910000}"/>
    <cellStyle name="Input 7 2 3 2 3 2 3 2" xfId="37416" xr:uid="{00000000-0005-0000-0000-000057910000}"/>
    <cellStyle name="Input 7 2 3 2 3 2 4" xfId="37417" xr:uid="{00000000-0005-0000-0000-000058910000}"/>
    <cellStyle name="Input 7 2 3 2 3 2 4 2" xfId="37418" xr:uid="{00000000-0005-0000-0000-000059910000}"/>
    <cellStyle name="Input 7 2 3 2 3 2 5" xfId="37419" xr:uid="{00000000-0005-0000-0000-00005A910000}"/>
    <cellStyle name="Input 7 2 3 2 3 2 6" xfId="37420" xr:uid="{00000000-0005-0000-0000-00005B910000}"/>
    <cellStyle name="Input 7 2 3 2 3 2 7" xfId="37421" xr:uid="{00000000-0005-0000-0000-00005C910000}"/>
    <cellStyle name="Input 7 2 3 2 3 3" xfId="37422" xr:uid="{00000000-0005-0000-0000-00005D910000}"/>
    <cellStyle name="Input 7 2 3 2 3 3 2" xfId="37423" xr:uid="{00000000-0005-0000-0000-00005E910000}"/>
    <cellStyle name="Input 7 2 3 2 3 3 2 2" xfId="37424" xr:uid="{00000000-0005-0000-0000-00005F910000}"/>
    <cellStyle name="Input 7 2 3 2 3 3 3" xfId="37425" xr:uid="{00000000-0005-0000-0000-000060910000}"/>
    <cellStyle name="Input 7 2 3 2 3 3 3 2" xfId="37426" xr:uid="{00000000-0005-0000-0000-000061910000}"/>
    <cellStyle name="Input 7 2 3 2 3 3 4" xfId="37427" xr:uid="{00000000-0005-0000-0000-000062910000}"/>
    <cellStyle name="Input 7 2 3 2 3 3 5" xfId="37428" xr:uid="{00000000-0005-0000-0000-000063910000}"/>
    <cellStyle name="Input 7 2 3 2 3 3 6" xfId="37429" xr:uid="{00000000-0005-0000-0000-000064910000}"/>
    <cellStyle name="Input 7 2 3 2 3 4" xfId="37430" xr:uid="{00000000-0005-0000-0000-000065910000}"/>
    <cellStyle name="Input 7 2 3 2 3 4 2" xfId="37431" xr:uid="{00000000-0005-0000-0000-000066910000}"/>
    <cellStyle name="Input 7 2 3 2 3 5" xfId="37432" xr:uid="{00000000-0005-0000-0000-000067910000}"/>
    <cellStyle name="Input 7 2 3 2 3 5 2" xfId="37433" xr:uid="{00000000-0005-0000-0000-000068910000}"/>
    <cellStyle name="Input 7 2 3 2 3 6" xfId="37434" xr:uid="{00000000-0005-0000-0000-000069910000}"/>
    <cellStyle name="Input 7 2 3 2 3 7" xfId="37435" xr:uid="{00000000-0005-0000-0000-00006A910000}"/>
    <cellStyle name="Input 7 2 3 2 3 8" xfId="37436" xr:uid="{00000000-0005-0000-0000-00006B910000}"/>
    <cellStyle name="Input 7 2 3 2 4" xfId="37437" xr:uid="{00000000-0005-0000-0000-00006C910000}"/>
    <cellStyle name="Input 7 2 3 2 4 2" xfId="37438" xr:uid="{00000000-0005-0000-0000-00006D910000}"/>
    <cellStyle name="Input 7 2 3 2 4 2 2" xfId="37439" xr:uid="{00000000-0005-0000-0000-00006E910000}"/>
    <cellStyle name="Input 7 2 3 2 4 2 2 2" xfId="37440" xr:uid="{00000000-0005-0000-0000-00006F910000}"/>
    <cellStyle name="Input 7 2 3 2 4 2 3" xfId="37441" xr:uid="{00000000-0005-0000-0000-000070910000}"/>
    <cellStyle name="Input 7 2 3 2 4 2 3 2" xfId="37442" xr:uid="{00000000-0005-0000-0000-000071910000}"/>
    <cellStyle name="Input 7 2 3 2 4 2 4" xfId="37443" xr:uid="{00000000-0005-0000-0000-000072910000}"/>
    <cellStyle name="Input 7 2 3 2 4 2 5" xfId="37444" xr:uid="{00000000-0005-0000-0000-000073910000}"/>
    <cellStyle name="Input 7 2 3 2 4 2 6" xfId="37445" xr:uid="{00000000-0005-0000-0000-000074910000}"/>
    <cellStyle name="Input 7 2 3 2 4 3" xfId="37446" xr:uid="{00000000-0005-0000-0000-000075910000}"/>
    <cellStyle name="Input 7 2 3 2 4 3 2" xfId="37447" xr:uid="{00000000-0005-0000-0000-000076910000}"/>
    <cellStyle name="Input 7 2 3 2 4 4" xfId="37448" xr:uid="{00000000-0005-0000-0000-000077910000}"/>
    <cellStyle name="Input 7 2 3 2 4 4 2" xfId="37449" xr:uid="{00000000-0005-0000-0000-000078910000}"/>
    <cellStyle name="Input 7 2 3 2 4 5" xfId="37450" xr:uid="{00000000-0005-0000-0000-000079910000}"/>
    <cellStyle name="Input 7 2 3 2 4 6" xfId="37451" xr:uid="{00000000-0005-0000-0000-00007A910000}"/>
    <cellStyle name="Input 7 2 3 2 4 7" xfId="37452" xr:uid="{00000000-0005-0000-0000-00007B910000}"/>
    <cellStyle name="Input 7 2 3 2 5" xfId="37453" xr:uid="{00000000-0005-0000-0000-00007C910000}"/>
    <cellStyle name="Input 7 2 3 2 5 2" xfId="37454" xr:uid="{00000000-0005-0000-0000-00007D910000}"/>
    <cellStyle name="Input 7 2 3 2 5 2 2" xfId="37455" xr:uid="{00000000-0005-0000-0000-00007E910000}"/>
    <cellStyle name="Input 7 2 3 2 5 3" xfId="37456" xr:uid="{00000000-0005-0000-0000-00007F910000}"/>
    <cellStyle name="Input 7 2 3 2 5 3 2" xfId="37457" xr:uid="{00000000-0005-0000-0000-000080910000}"/>
    <cellStyle name="Input 7 2 3 2 5 4" xfId="37458" xr:uid="{00000000-0005-0000-0000-000081910000}"/>
    <cellStyle name="Input 7 2 3 2 5 5" xfId="37459" xr:uid="{00000000-0005-0000-0000-000082910000}"/>
    <cellStyle name="Input 7 2 3 2 5 6" xfId="37460" xr:uid="{00000000-0005-0000-0000-000083910000}"/>
    <cellStyle name="Input 7 2 3 2 6" xfId="37461" xr:uid="{00000000-0005-0000-0000-000084910000}"/>
    <cellStyle name="Input 7 2 3 2 6 2" xfId="37462" xr:uid="{00000000-0005-0000-0000-000085910000}"/>
    <cellStyle name="Input 7 2 3 2 7" xfId="37463" xr:uid="{00000000-0005-0000-0000-000086910000}"/>
    <cellStyle name="Input 7 2 3 2 7 2" xfId="37464" xr:uid="{00000000-0005-0000-0000-000087910000}"/>
    <cellStyle name="Input 7 2 3 2 8" xfId="37465" xr:uid="{00000000-0005-0000-0000-000088910000}"/>
    <cellStyle name="Input 7 2 3 2 9" xfId="37466" xr:uid="{00000000-0005-0000-0000-000089910000}"/>
    <cellStyle name="Input 7 2 3 3" xfId="37467" xr:uid="{00000000-0005-0000-0000-00008A910000}"/>
    <cellStyle name="Input 7 2 3 3 2" xfId="37468" xr:uid="{00000000-0005-0000-0000-00008B910000}"/>
    <cellStyle name="Input 7 2 3 3 2 2" xfId="37469" xr:uid="{00000000-0005-0000-0000-00008C910000}"/>
    <cellStyle name="Input 7 2 3 3 2 2 2" xfId="37470" xr:uid="{00000000-0005-0000-0000-00008D910000}"/>
    <cellStyle name="Input 7 2 3 3 2 2 2 2" xfId="37471" xr:uid="{00000000-0005-0000-0000-00008E910000}"/>
    <cellStyle name="Input 7 2 3 3 2 2 3" xfId="37472" xr:uid="{00000000-0005-0000-0000-00008F910000}"/>
    <cellStyle name="Input 7 2 3 3 2 2 3 2" xfId="37473" xr:uid="{00000000-0005-0000-0000-000090910000}"/>
    <cellStyle name="Input 7 2 3 3 2 2 4" xfId="37474" xr:uid="{00000000-0005-0000-0000-000091910000}"/>
    <cellStyle name="Input 7 2 3 3 2 2 5" xfId="37475" xr:uid="{00000000-0005-0000-0000-000092910000}"/>
    <cellStyle name="Input 7 2 3 3 2 2 6" xfId="37476" xr:uid="{00000000-0005-0000-0000-000093910000}"/>
    <cellStyle name="Input 7 2 3 3 2 3" xfId="37477" xr:uid="{00000000-0005-0000-0000-000094910000}"/>
    <cellStyle name="Input 7 2 3 3 2 3 2" xfId="37478" xr:uid="{00000000-0005-0000-0000-000095910000}"/>
    <cellStyle name="Input 7 2 3 3 2 4" xfId="37479" xr:uid="{00000000-0005-0000-0000-000096910000}"/>
    <cellStyle name="Input 7 2 3 3 2 4 2" xfId="37480" xr:uid="{00000000-0005-0000-0000-000097910000}"/>
    <cellStyle name="Input 7 2 3 3 2 5" xfId="37481" xr:uid="{00000000-0005-0000-0000-000098910000}"/>
    <cellStyle name="Input 7 2 3 3 2 6" xfId="37482" xr:uid="{00000000-0005-0000-0000-000099910000}"/>
    <cellStyle name="Input 7 2 3 3 2 7" xfId="37483" xr:uid="{00000000-0005-0000-0000-00009A910000}"/>
    <cellStyle name="Input 7 2 3 3 3" xfId="37484" xr:uid="{00000000-0005-0000-0000-00009B910000}"/>
    <cellStyle name="Input 7 2 3 3 3 2" xfId="37485" xr:uid="{00000000-0005-0000-0000-00009C910000}"/>
    <cellStyle name="Input 7 2 3 3 3 2 2" xfId="37486" xr:uid="{00000000-0005-0000-0000-00009D910000}"/>
    <cellStyle name="Input 7 2 3 3 3 3" xfId="37487" xr:uid="{00000000-0005-0000-0000-00009E910000}"/>
    <cellStyle name="Input 7 2 3 3 3 3 2" xfId="37488" xr:uid="{00000000-0005-0000-0000-00009F910000}"/>
    <cellStyle name="Input 7 2 3 3 3 4" xfId="37489" xr:uid="{00000000-0005-0000-0000-0000A0910000}"/>
    <cellStyle name="Input 7 2 3 3 3 5" xfId="37490" xr:uid="{00000000-0005-0000-0000-0000A1910000}"/>
    <cellStyle name="Input 7 2 3 3 3 6" xfId="37491" xr:uid="{00000000-0005-0000-0000-0000A2910000}"/>
    <cellStyle name="Input 7 2 3 3 4" xfId="37492" xr:uid="{00000000-0005-0000-0000-0000A3910000}"/>
    <cellStyle name="Input 7 2 3 3 4 2" xfId="37493" xr:uid="{00000000-0005-0000-0000-0000A4910000}"/>
    <cellStyle name="Input 7 2 3 3 5" xfId="37494" xr:uid="{00000000-0005-0000-0000-0000A5910000}"/>
    <cellStyle name="Input 7 2 3 3 5 2" xfId="37495" xr:uid="{00000000-0005-0000-0000-0000A6910000}"/>
    <cellStyle name="Input 7 2 3 3 6" xfId="37496" xr:uid="{00000000-0005-0000-0000-0000A7910000}"/>
    <cellStyle name="Input 7 2 3 3 7" xfId="37497" xr:uid="{00000000-0005-0000-0000-0000A8910000}"/>
    <cellStyle name="Input 7 2 3 3 8" xfId="37498" xr:uid="{00000000-0005-0000-0000-0000A9910000}"/>
    <cellStyle name="Input 7 2 3 4" xfId="37499" xr:uid="{00000000-0005-0000-0000-0000AA910000}"/>
    <cellStyle name="Input 7 2 3 4 2" xfId="37500" xr:uid="{00000000-0005-0000-0000-0000AB910000}"/>
    <cellStyle name="Input 7 2 3 4 2 2" xfId="37501" xr:uid="{00000000-0005-0000-0000-0000AC910000}"/>
    <cellStyle name="Input 7 2 3 4 2 2 2" xfId="37502" xr:uid="{00000000-0005-0000-0000-0000AD910000}"/>
    <cellStyle name="Input 7 2 3 4 2 3" xfId="37503" xr:uid="{00000000-0005-0000-0000-0000AE910000}"/>
    <cellStyle name="Input 7 2 3 4 2 3 2" xfId="37504" xr:uid="{00000000-0005-0000-0000-0000AF910000}"/>
    <cellStyle name="Input 7 2 3 4 2 4" xfId="37505" xr:uid="{00000000-0005-0000-0000-0000B0910000}"/>
    <cellStyle name="Input 7 2 3 4 2 5" xfId="37506" xr:uid="{00000000-0005-0000-0000-0000B1910000}"/>
    <cellStyle name="Input 7 2 3 4 2 6" xfId="37507" xr:uid="{00000000-0005-0000-0000-0000B2910000}"/>
    <cellStyle name="Input 7 2 3 4 3" xfId="37508" xr:uid="{00000000-0005-0000-0000-0000B3910000}"/>
    <cellStyle name="Input 7 2 3 4 3 2" xfId="37509" xr:uid="{00000000-0005-0000-0000-0000B4910000}"/>
    <cellStyle name="Input 7 2 3 4 4" xfId="37510" xr:uid="{00000000-0005-0000-0000-0000B5910000}"/>
    <cellStyle name="Input 7 2 3 4 4 2" xfId="37511" xr:uid="{00000000-0005-0000-0000-0000B6910000}"/>
    <cellStyle name="Input 7 2 3 4 5" xfId="37512" xr:uid="{00000000-0005-0000-0000-0000B7910000}"/>
    <cellStyle name="Input 7 2 3 4 6" xfId="37513" xr:uid="{00000000-0005-0000-0000-0000B8910000}"/>
    <cellStyle name="Input 7 2 3 4 7" xfId="37514" xr:uid="{00000000-0005-0000-0000-0000B9910000}"/>
    <cellStyle name="Input 7 2 3 5" xfId="37515" xr:uid="{00000000-0005-0000-0000-0000BA910000}"/>
    <cellStyle name="Input 7 2 3 5 2" xfId="37516" xr:uid="{00000000-0005-0000-0000-0000BB910000}"/>
    <cellStyle name="Input 7 2 3 5 2 2" xfId="37517" xr:uid="{00000000-0005-0000-0000-0000BC910000}"/>
    <cellStyle name="Input 7 2 3 5 3" xfId="37518" xr:uid="{00000000-0005-0000-0000-0000BD910000}"/>
    <cellStyle name="Input 7 2 3 5 3 2" xfId="37519" xr:uid="{00000000-0005-0000-0000-0000BE910000}"/>
    <cellStyle name="Input 7 2 3 5 4" xfId="37520" xr:uid="{00000000-0005-0000-0000-0000BF910000}"/>
    <cellStyle name="Input 7 2 3 5 5" xfId="37521" xr:uid="{00000000-0005-0000-0000-0000C0910000}"/>
    <cellStyle name="Input 7 2 3 5 6" xfId="37522" xr:uid="{00000000-0005-0000-0000-0000C1910000}"/>
    <cellStyle name="Input 7 2 3 6" xfId="37523" xr:uid="{00000000-0005-0000-0000-0000C2910000}"/>
    <cellStyle name="Input 7 2 3 6 2" xfId="37524" xr:uid="{00000000-0005-0000-0000-0000C3910000}"/>
    <cellStyle name="Input 7 2 3 7" xfId="37525" xr:uid="{00000000-0005-0000-0000-0000C4910000}"/>
    <cellStyle name="Input 7 2 3 7 2" xfId="37526" xr:uid="{00000000-0005-0000-0000-0000C5910000}"/>
    <cellStyle name="Input 7 2 3 8" xfId="37527" xr:uid="{00000000-0005-0000-0000-0000C6910000}"/>
    <cellStyle name="Input 7 2 3 9" xfId="37528" xr:uid="{00000000-0005-0000-0000-0000C7910000}"/>
    <cellStyle name="Input 7 2 4" xfId="37529" xr:uid="{00000000-0005-0000-0000-0000C8910000}"/>
    <cellStyle name="Input 7 2 4 10" xfId="37530" xr:uid="{00000000-0005-0000-0000-0000C9910000}"/>
    <cellStyle name="Input 7 2 4 2" xfId="37531" xr:uid="{00000000-0005-0000-0000-0000CA910000}"/>
    <cellStyle name="Input 7 2 4 2 2" xfId="37532" xr:uid="{00000000-0005-0000-0000-0000CB910000}"/>
    <cellStyle name="Input 7 2 4 2 2 2" xfId="37533" xr:uid="{00000000-0005-0000-0000-0000CC910000}"/>
    <cellStyle name="Input 7 2 4 2 2 2 2" xfId="37534" xr:uid="{00000000-0005-0000-0000-0000CD910000}"/>
    <cellStyle name="Input 7 2 4 2 2 2 2 2" xfId="37535" xr:uid="{00000000-0005-0000-0000-0000CE910000}"/>
    <cellStyle name="Input 7 2 4 2 2 2 3" xfId="37536" xr:uid="{00000000-0005-0000-0000-0000CF910000}"/>
    <cellStyle name="Input 7 2 4 2 2 2 3 2" xfId="37537" xr:uid="{00000000-0005-0000-0000-0000D0910000}"/>
    <cellStyle name="Input 7 2 4 2 2 2 4" xfId="37538" xr:uid="{00000000-0005-0000-0000-0000D1910000}"/>
    <cellStyle name="Input 7 2 4 2 2 2 5" xfId="37539" xr:uid="{00000000-0005-0000-0000-0000D2910000}"/>
    <cellStyle name="Input 7 2 4 2 2 2 6" xfId="37540" xr:uid="{00000000-0005-0000-0000-0000D3910000}"/>
    <cellStyle name="Input 7 2 4 2 2 3" xfId="37541" xr:uid="{00000000-0005-0000-0000-0000D4910000}"/>
    <cellStyle name="Input 7 2 4 2 2 3 2" xfId="37542" xr:uid="{00000000-0005-0000-0000-0000D5910000}"/>
    <cellStyle name="Input 7 2 4 2 2 4" xfId="37543" xr:uid="{00000000-0005-0000-0000-0000D6910000}"/>
    <cellStyle name="Input 7 2 4 2 2 4 2" xfId="37544" xr:uid="{00000000-0005-0000-0000-0000D7910000}"/>
    <cellStyle name="Input 7 2 4 2 2 5" xfId="37545" xr:uid="{00000000-0005-0000-0000-0000D8910000}"/>
    <cellStyle name="Input 7 2 4 2 2 6" xfId="37546" xr:uid="{00000000-0005-0000-0000-0000D9910000}"/>
    <cellStyle name="Input 7 2 4 2 2 7" xfId="37547" xr:uid="{00000000-0005-0000-0000-0000DA910000}"/>
    <cellStyle name="Input 7 2 4 2 3" xfId="37548" xr:uid="{00000000-0005-0000-0000-0000DB910000}"/>
    <cellStyle name="Input 7 2 4 2 3 2" xfId="37549" xr:uid="{00000000-0005-0000-0000-0000DC910000}"/>
    <cellStyle name="Input 7 2 4 2 3 2 2" xfId="37550" xr:uid="{00000000-0005-0000-0000-0000DD910000}"/>
    <cellStyle name="Input 7 2 4 2 3 3" xfId="37551" xr:uid="{00000000-0005-0000-0000-0000DE910000}"/>
    <cellStyle name="Input 7 2 4 2 3 3 2" xfId="37552" xr:uid="{00000000-0005-0000-0000-0000DF910000}"/>
    <cellStyle name="Input 7 2 4 2 3 4" xfId="37553" xr:uid="{00000000-0005-0000-0000-0000E0910000}"/>
    <cellStyle name="Input 7 2 4 2 3 5" xfId="37554" xr:uid="{00000000-0005-0000-0000-0000E1910000}"/>
    <cellStyle name="Input 7 2 4 2 3 6" xfId="37555" xr:uid="{00000000-0005-0000-0000-0000E2910000}"/>
    <cellStyle name="Input 7 2 4 2 4" xfId="37556" xr:uid="{00000000-0005-0000-0000-0000E3910000}"/>
    <cellStyle name="Input 7 2 4 2 4 2" xfId="37557" xr:uid="{00000000-0005-0000-0000-0000E4910000}"/>
    <cellStyle name="Input 7 2 4 2 5" xfId="37558" xr:uid="{00000000-0005-0000-0000-0000E5910000}"/>
    <cellStyle name="Input 7 2 4 2 5 2" xfId="37559" xr:uid="{00000000-0005-0000-0000-0000E6910000}"/>
    <cellStyle name="Input 7 2 4 2 6" xfId="37560" xr:uid="{00000000-0005-0000-0000-0000E7910000}"/>
    <cellStyle name="Input 7 2 4 2 7" xfId="37561" xr:uid="{00000000-0005-0000-0000-0000E8910000}"/>
    <cellStyle name="Input 7 2 4 2 8" xfId="37562" xr:uid="{00000000-0005-0000-0000-0000E9910000}"/>
    <cellStyle name="Input 7 2 4 3" xfId="37563" xr:uid="{00000000-0005-0000-0000-0000EA910000}"/>
    <cellStyle name="Input 7 2 4 3 2" xfId="37564" xr:uid="{00000000-0005-0000-0000-0000EB910000}"/>
    <cellStyle name="Input 7 2 4 3 2 2" xfId="37565" xr:uid="{00000000-0005-0000-0000-0000EC910000}"/>
    <cellStyle name="Input 7 2 4 3 2 2 2" xfId="37566" xr:uid="{00000000-0005-0000-0000-0000ED910000}"/>
    <cellStyle name="Input 7 2 4 3 2 2 2 2" xfId="37567" xr:uid="{00000000-0005-0000-0000-0000EE910000}"/>
    <cellStyle name="Input 7 2 4 3 2 2 3" xfId="37568" xr:uid="{00000000-0005-0000-0000-0000EF910000}"/>
    <cellStyle name="Input 7 2 4 3 2 2 3 2" xfId="37569" xr:uid="{00000000-0005-0000-0000-0000F0910000}"/>
    <cellStyle name="Input 7 2 4 3 2 2 4" xfId="37570" xr:uid="{00000000-0005-0000-0000-0000F1910000}"/>
    <cellStyle name="Input 7 2 4 3 2 2 5" xfId="37571" xr:uid="{00000000-0005-0000-0000-0000F2910000}"/>
    <cellStyle name="Input 7 2 4 3 2 2 6" xfId="37572" xr:uid="{00000000-0005-0000-0000-0000F3910000}"/>
    <cellStyle name="Input 7 2 4 3 2 3" xfId="37573" xr:uid="{00000000-0005-0000-0000-0000F4910000}"/>
    <cellStyle name="Input 7 2 4 3 2 3 2" xfId="37574" xr:uid="{00000000-0005-0000-0000-0000F5910000}"/>
    <cellStyle name="Input 7 2 4 3 2 4" xfId="37575" xr:uid="{00000000-0005-0000-0000-0000F6910000}"/>
    <cellStyle name="Input 7 2 4 3 2 4 2" xfId="37576" xr:uid="{00000000-0005-0000-0000-0000F7910000}"/>
    <cellStyle name="Input 7 2 4 3 2 5" xfId="37577" xr:uid="{00000000-0005-0000-0000-0000F8910000}"/>
    <cellStyle name="Input 7 2 4 3 2 6" xfId="37578" xr:uid="{00000000-0005-0000-0000-0000F9910000}"/>
    <cellStyle name="Input 7 2 4 3 2 7" xfId="37579" xr:uid="{00000000-0005-0000-0000-0000FA910000}"/>
    <cellStyle name="Input 7 2 4 3 3" xfId="37580" xr:uid="{00000000-0005-0000-0000-0000FB910000}"/>
    <cellStyle name="Input 7 2 4 3 3 2" xfId="37581" xr:uid="{00000000-0005-0000-0000-0000FC910000}"/>
    <cellStyle name="Input 7 2 4 3 3 2 2" xfId="37582" xr:uid="{00000000-0005-0000-0000-0000FD910000}"/>
    <cellStyle name="Input 7 2 4 3 3 3" xfId="37583" xr:uid="{00000000-0005-0000-0000-0000FE910000}"/>
    <cellStyle name="Input 7 2 4 3 3 3 2" xfId="37584" xr:uid="{00000000-0005-0000-0000-0000FF910000}"/>
    <cellStyle name="Input 7 2 4 3 3 4" xfId="37585" xr:uid="{00000000-0005-0000-0000-000000920000}"/>
    <cellStyle name="Input 7 2 4 3 3 5" xfId="37586" xr:uid="{00000000-0005-0000-0000-000001920000}"/>
    <cellStyle name="Input 7 2 4 3 3 6" xfId="37587" xr:uid="{00000000-0005-0000-0000-000002920000}"/>
    <cellStyle name="Input 7 2 4 3 4" xfId="37588" xr:uid="{00000000-0005-0000-0000-000003920000}"/>
    <cellStyle name="Input 7 2 4 3 4 2" xfId="37589" xr:uid="{00000000-0005-0000-0000-000004920000}"/>
    <cellStyle name="Input 7 2 4 3 5" xfId="37590" xr:uid="{00000000-0005-0000-0000-000005920000}"/>
    <cellStyle name="Input 7 2 4 3 5 2" xfId="37591" xr:uid="{00000000-0005-0000-0000-000006920000}"/>
    <cellStyle name="Input 7 2 4 3 6" xfId="37592" xr:uid="{00000000-0005-0000-0000-000007920000}"/>
    <cellStyle name="Input 7 2 4 3 7" xfId="37593" xr:uid="{00000000-0005-0000-0000-000008920000}"/>
    <cellStyle name="Input 7 2 4 3 8" xfId="37594" xr:uid="{00000000-0005-0000-0000-000009920000}"/>
    <cellStyle name="Input 7 2 4 4" xfId="37595" xr:uid="{00000000-0005-0000-0000-00000A920000}"/>
    <cellStyle name="Input 7 2 4 4 2" xfId="37596" xr:uid="{00000000-0005-0000-0000-00000B920000}"/>
    <cellStyle name="Input 7 2 4 4 2 2" xfId="37597" xr:uid="{00000000-0005-0000-0000-00000C920000}"/>
    <cellStyle name="Input 7 2 4 4 2 2 2" xfId="37598" xr:uid="{00000000-0005-0000-0000-00000D920000}"/>
    <cellStyle name="Input 7 2 4 4 2 3" xfId="37599" xr:uid="{00000000-0005-0000-0000-00000E920000}"/>
    <cellStyle name="Input 7 2 4 4 2 3 2" xfId="37600" xr:uid="{00000000-0005-0000-0000-00000F920000}"/>
    <cellStyle name="Input 7 2 4 4 2 4" xfId="37601" xr:uid="{00000000-0005-0000-0000-000010920000}"/>
    <cellStyle name="Input 7 2 4 4 2 5" xfId="37602" xr:uid="{00000000-0005-0000-0000-000011920000}"/>
    <cellStyle name="Input 7 2 4 4 2 6" xfId="37603" xr:uid="{00000000-0005-0000-0000-000012920000}"/>
    <cellStyle name="Input 7 2 4 4 3" xfId="37604" xr:uid="{00000000-0005-0000-0000-000013920000}"/>
    <cellStyle name="Input 7 2 4 4 3 2" xfId="37605" xr:uid="{00000000-0005-0000-0000-000014920000}"/>
    <cellStyle name="Input 7 2 4 4 4" xfId="37606" xr:uid="{00000000-0005-0000-0000-000015920000}"/>
    <cellStyle name="Input 7 2 4 4 4 2" xfId="37607" xr:uid="{00000000-0005-0000-0000-000016920000}"/>
    <cellStyle name="Input 7 2 4 4 5" xfId="37608" xr:uid="{00000000-0005-0000-0000-000017920000}"/>
    <cellStyle name="Input 7 2 4 4 6" xfId="37609" xr:uid="{00000000-0005-0000-0000-000018920000}"/>
    <cellStyle name="Input 7 2 4 4 7" xfId="37610" xr:uid="{00000000-0005-0000-0000-000019920000}"/>
    <cellStyle name="Input 7 2 4 5" xfId="37611" xr:uid="{00000000-0005-0000-0000-00001A920000}"/>
    <cellStyle name="Input 7 2 4 5 2" xfId="37612" xr:uid="{00000000-0005-0000-0000-00001B920000}"/>
    <cellStyle name="Input 7 2 4 5 2 2" xfId="37613" xr:uid="{00000000-0005-0000-0000-00001C920000}"/>
    <cellStyle name="Input 7 2 4 5 3" xfId="37614" xr:uid="{00000000-0005-0000-0000-00001D920000}"/>
    <cellStyle name="Input 7 2 4 5 3 2" xfId="37615" xr:uid="{00000000-0005-0000-0000-00001E920000}"/>
    <cellStyle name="Input 7 2 4 5 4" xfId="37616" xr:uid="{00000000-0005-0000-0000-00001F920000}"/>
    <cellStyle name="Input 7 2 4 5 5" xfId="37617" xr:uid="{00000000-0005-0000-0000-000020920000}"/>
    <cellStyle name="Input 7 2 4 5 6" xfId="37618" xr:uid="{00000000-0005-0000-0000-000021920000}"/>
    <cellStyle name="Input 7 2 4 6" xfId="37619" xr:uid="{00000000-0005-0000-0000-000022920000}"/>
    <cellStyle name="Input 7 2 4 6 2" xfId="37620" xr:uid="{00000000-0005-0000-0000-000023920000}"/>
    <cellStyle name="Input 7 2 4 7" xfId="37621" xr:uid="{00000000-0005-0000-0000-000024920000}"/>
    <cellStyle name="Input 7 2 4 7 2" xfId="37622" xr:uid="{00000000-0005-0000-0000-000025920000}"/>
    <cellStyle name="Input 7 2 4 8" xfId="37623" xr:uid="{00000000-0005-0000-0000-000026920000}"/>
    <cellStyle name="Input 7 2 4 9" xfId="37624" xr:uid="{00000000-0005-0000-0000-000027920000}"/>
    <cellStyle name="Input 7 2 5" xfId="37625" xr:uid="{00000000-0005-0000-0000-000028920000}"/>
    <cellStyle name="Input 7 2 5 2" xfId="37626" xr:uid="{00000000-0005-0000-0000-000029920000}"/>
    <cellStyle name="Input 7 2 5 2 2" xfId="37627" xr:uid="{00000000-0005-0000-0000-00002A920000}"/>
    <cellStyle name="Input 7 2 5 2 2 2" xfId="37628" xr:uid="{00000000-0005-0000-0000-00002B920000}"/>
    <cellStyle name="Input 7 2 5 2 2 2 2" xfId="37629" xr:uid="{00000000-0005-0000-0000-00002C920000}"/>
    <cellStyle name="Input 7 2 5 2 2 3" xfId="37630" xr:uid="{00000000-0005-0000-0000-00002D920000}"/>
    <cellStyle name="Input 7 2 5 2 2 3 2" xfId="37631" xr:uid="{00000000-0005-0000-0000-00002E920000}"/>
    <cellStyle name="Input 7 2 5 2 2 4" xfId="37632" xr:uid="{00000000-0005-0000-0000-00002F920000}"/>
    <cellStyle name="Input 7 2 5 2 2 5" xfId="37633" xr:uid="{00000000-0005-0000-0000-000030920000}"/>
    <cellStyle name="Input 7 2 5 2 2 6" xfId="37634" xr:uid="{00000000-0005-0000-0000-000031920000}"/>
    <cellStyle name="Input 7 2 5 2 3" xfId="37635" xr:uid="{00000000-0005-0000-0000-000032920000}"/>
    <cellStyle name="Input 7 2 5 2 3 2" xfId="37636" xr:uid="{00000000-0005-0000-0000-000033920000}"/>
    <cellStyle name="Input 7 2 5 2 4" xfId="37637" xr:uid="{00000000-0005-0000-0000-000034920000}"/>
    <cellStyle name="Input 7 2 5 2 4 2" xfId="37638" xr:uid="{00000000-0005-0000-0000-000035920000}"/>
    <cellStyle name="Input 7 2 5 2 5" xfId="37639" xr:uid="{00000000-0005-0000-0000-000036920000}"/>
    <cellStyle name="Input 7 2 5 2 6" xfId="37640" xr:uid="{00000000-0005-0000-0000-000037920000}"/>
    <cellStyle name="Input 7 2 5 2 7" xfId="37641" xr:uid="{00000000-0005-0000-0000-000038920000}"/>
    <cellStyle name="Input 7 2 5 3" xfId="37642" xr:uid="{00000000-0005-0000-0000-000039920000}"/>
    <cellStyle name="Input 7 2 5 3 2" xfId="37643" xr:uid="{00000000-0005-0000-0000-00003A920000}"/>
    <cellStyle name="Input 7 2 5 3 2 2" xfId="37644" xr:uid="{00000000-0005-0000-0000-00003B920000}"/>
    <cellStyle name="Input 7 2 5 3 3" xfId="37645" xr:uid="{00000000-0005-0000-0000-00003C920000}"/>
    <cellStyle name="Input 7 2 5 3 3 2" xfId="37646" xr:uid="{00000000-0005-0000-0000-00003D920000}"/>
    <cellStyle name="Input 7 2 5 3 4" xfId="37647" xr:uid="{00000000-0005-0000-0000-00003E920000}"/>
    <cellStyle name="Input 7 2 5 3 5" xfId="37648" xr:uid="{00000000-0005-0000-0000-00003F920000}"/>
    <cellStyle name="Input 7 2 5 3 6" xfId="37649" xr:uid="{00000000-0005-0000-0000-000040920000}"/>
    <cellStyle name="Input 7 2 5 4" xfId="37650" xr:uid="{00000000-0005-0000-0000-000041920000}"/>
    <cellStyle name="Input 7 2 5 4 2" xfId="37651" xr:uid="{00000000-0005-0000-0000-000042920000}"/>
    <cellStyle name="Input 7 2 5 5" xfId="37652" xr:uid="{00000000-0005-0000-0000-000043920000}"/>
    <cellStyle name="Input 7 2 5 5 2" xfId="37653" xr:uid="{00000000-0005-0000-0000-000044920000}"/>
    <cellStyle name="Input 7 2 5 6" xfId="37654" xr:uid="{00000000-0005-0000-0000-000045920000}"/>
    <cellStyle name="Input 7 2 5 7" xfId="37655" xr:uid="{00000000-0005-0000-0000-000046920000}"/>
    <cellStyle name="Input 7 2 5 8" xfId="37656" xr:uid="{00000000-0005-0000-0000-000047920000}"/>
    <cellStyle name="Input 7 2 6" xfId="37657" xr:uid="{00000000-0005-0000-0000-000048920000}"/>
    <cellStyle name="Input 7 2 6 2" xfId="37658" xr:uid="{00000000-0005-0000-0000-000049920000}"/>
    <cellStyle name="Input 7 2 6 2 2" xfId="37659" xr:uid="{00000000-0005-0000-0000-00004A920000}"/>
    <cellStyle name="Input 7 2 6 2 2 2" xfId="37660" xr:uid="{00000000-0005-0000-0000-00004B920000}"/>
    <cellStyle name="Input 7 2 6 2 3" xfId="37661" xr:uid="{00000000-0005-0000-0000-00004C920000}"/>
    <cellStyle name="Input 7 2 6 2 3 2" xfId="37662" xr:uid="{00000000-0005-0000-0000-00004D920000}"/>
    <cellStyle name="Input 7 2 6 2 4" xfId="37663" xr:uid="{00000000-0005-0000-0000-00004E920000}"/>
    <cellStyle name="Input 7 2 6 2 5" xfId="37664" xr:uid="{00000000-0005-0000-0000-00004F920000}"/>
    <cellStyle name="Input 7 2 6 2 6" xfId="37665" xr:uid="{00000000-0005-0000-0000-000050920000}"/>
    <cellStyle name="Input 7 2 6 3" xfId="37666" xr:uid="{00000000-0005-0000-0000-000051920000}"/>
    <cellStyle name="Input 7 2 6 3 2" xfId="37667" xr:uid="{00000000-0005-0000-0000-000052920000}"/>
    <cellStyle name="Input 7 2 6 4" xfId="37668" xr:uid="{00000000-0005-0000-0000-000053920000}"/>
    <cellStyle name="Input 7 2 6 4 2" xfId="37669" xr:uid="{00000000-0005-0000-0000-000054920000}"/>
    <cellStyle name="Input 7 2 6 5" xfId="37670" xr:uid="{00000000-0005-0000-0000-000055920000}"/>
    <cellStyle name="Input 7 2 6 6" xfId="37671" xr:uid="{00000000-0005-0000-0000-000056920000}"/>
    <cellStyle name="Input 7 2 6 7" xfId="37672" xr:uid="{00000000-0005-0000-0000-000057920000}"/>
    <cellStyle name="Input 7 2 7" xfId="37673" xr:uid="{00000000-0005-0000-0000-000058920000}"/>
    <cellStyle name="Input 7 2 7 2" xfId="37674" xr:uid="{00000000-0005-0000-0000-000059920000}"/>
    <cellStyle name="Input 7 2 7 2 2" xfId="37675" xr:uid="{00000000-0005-0000-0000-00005A920000}"/>
    <cellStyle name="Input 7 2 7 3" xfId="37676" xr:uid="{00000000-0005-0000-0000-00005B920000}"/>
    <cellStyle name="Input 7 2 7 3 2" xfId="37677" xr:uid="{00000000-0005-0000-0000-00005C920000}"/>
    <cellStyle name="Input 7 2 7 4" xfId="37678" xr:uid="{00000000-0005-0000-0000-00005D920000}"/>
    <cellStyle name="Input 7 2 7 5" xfId="37679" xr:uid="{00000000-0005-0000-0000-00005E920000}"/>
    <cellStyle name="Input 7 2 7 6" xfId="37680" xr:uid="{00000000-0005-0000-0000-00005F920000}"/>
    <cellStyle name="Input 7 2 8" xfId="37681" xr:uid="{00000000-0005-0000-0000-000060920000}"/>
    <cellStyle name="Input 7 2 8 2" xfId="37682" xr:uid="{00000000-0005-0000-0000-000061920000}"/>
    <cellStyle name="Input 7 2 9" xfId="37683" xr:uid="{00000000-0005-0000-0000-000062920000}"/>
    <cellStyle name="Input 7 2 9 2" xfId="37684" xr:uid="{00000000-0005-0000-0000-000063920000}"/>
    <cellStyle name="Input 7 3" xfId="37685" xr:uid="{00000000-0005-0000-0000-000064920000}"/>
    <cellStyle name="Input 7 3 10" xfId="37686" xr:uid="{00000000-0005-0000-0000-000065920000}"/>
    <cellStyle name="Input 7 3 11" xfId="37687" xr:uid="{00000000-0005-0000-0000-000066920000}"/>
    <cellStyle name="Input 7 3 2" xfId="37688" xr:uid="{00000000-0005-0000-0000-000067920000}"/>
    <cellStyle name="Input 7 3 2 10" xfId="37689" xr:uid="{00000000-0005-0000-0000-000068920000}"/>
    <cellStyle name="Input 7 3 2 2" xfId="37690" xr:uid="{00000000-0005-0000-0000-000069920000}"/>
    <cellStyle name="Input 7 3 2 2 10" xfId="37691" xr:uid="{00000000-0005-0000-0000-00006A920000}"/>
    <cellStyle name="Input 7 3 2 2 2" xfId="37692" xr:uid="{00000000-0005-0000-0000-00006B920000}"/>
    <cellStyle name="Input 7 3 2 2 2 2" xfId="37693" xr:uid="{00000000-0005-0000-0000-00006C920000}"/>
    <cellStyle name="Input 7 3 2 2 2 2 2" xfId="37694" xr:uid="{00000000-0005-0000-0000-00006D920000}"/>
    <cellStyle name="Input 7 3 2 2 2 2 2 2" xfId="37695" xr:uid="{00000000-0005-0000-0000-00006E920000}"/>
    <cellStyle name="Input 7 3 2 2 2 2 2 2 2" xfId="37696" xr:uid="{00000000-0005-0000-0000-00006F920000}"/>
    <cellStyle name="Input 7 3 2 2 2 2 2 3" xfId="37697" xr:uid="{00000000-0005-0000-0000-000070920000}"/>
    <cellStyle name="Input 7 3 2 2 2 2 2 3 2" xfId="37698" xr:uid="{00000000-0005-0000-0000-000071920000}"/>
    <cellStyle name="Input 7 3 2 2 2 2 2 4" xfId="37699" xr:uid="{00000000-0005-0000-0000-000072920000}"/>
    <cellStyle name="Input 7 3 2 2 2 2 2 5" xfId="37700" xr:uid="{00000000-0005-0000-0000-000073920000}"/>
    <cellStyle name="Input 7 3 2 2 2 2 2 6" xfId="37701" xr:uid="{00000000-0005-0000-0000-000074920000}"/>
    <cellStyle name="Input 7 3 2 2 2 2 3" xfId="37702" xr:uid="{00000000-0005-0000-0000-000075920000}"/>
    <cellStyle name="Input 7 3 2 2 2 2 3 2" xfId="37703" xr:uid="{00000000-0005-0000-0000-000076920000}"/>
    <cellStyle name="Input 7 3 2 2 2 2 4" xfId="37704" xr:uid="{00000000-0005-0000-0000-000077920000}"/>
    <cellStyle name="Input 7 3 2 2 2 2 4 2" xfId="37705" xr:uid="{00000000-0005-0000-0000-000078920000}"/>
    <cellStyle name="Input 7 3 2 2 2 2 5" xfId="37706" xr:uid="{00000000-0005-0000-0000-000079920000}"/>
    <cellStyle name="Input 7 3 2 2 2 2 6" xfId="37707" xr:uid="{00000000-0005-0000-0000-00007A920000}"/>
    <cellStyle name="Input 7 3 2 2 2 2 7" xfId="37708" xr:uid="{00000000-0005-0000-0000-00007B920000}"/>
    <cellStyle name="Input 7 3 2 2 2 3" xfId="37709" xr:uid="{00000000-0005-0000-0000-00007C920000}"/>
    <cellStyle name="Input 7 3 2 2 2 3 2" xfId="37710" xr:uid="{00000000-0005-0000-0000-00007D920000}"/>
    <cellStyle name="Input 7 3 2 2 2 3 2 2" xfId="37711" xr:uid="{00000000-0005-0000-0000-00007E920000}"/>
    <cellStyle name="Input 7 3 2 2 2 3 3" xfId="37712" xr:uid="{00000000-0005-0000-0000-00007F920000}"/>
    <cellStyle name="Input 7 3 2 2 2 3 3 2" xfId="37713" xr:uid="{00000000-0005-0000-0000-000080920000}"/>
    <cellStyle name="Input 7 3 2 2 2 3 4" xfId="37714" xr:uid="{00000000-0005-0000-0000-000081920000}"/>
    <cellStyle name="Input 7 3 2 2 2 3 5" xfId="37715" xr:uid="{00000000-0005-0000-0000-000082920000}"/>
    <cellStyle name="Input 7 3 2 2 2 3 6" xfId="37716" xr:uid="{00000000-0005-0000-0000-000083920000}"/>
    <cellStyle name="Input 7 3 2 2 2 4" xfId="37717" xr:uid="{00000000-0005-0000-0000-000084920000}"/>
    <cellStyle name="Input 7 3 2 2 2 4 2" xfId="37718" xr:uid="{00000000-0005-0000-0000-000085920000}"/>
    <cellStyle name="Input 7 3 2 2 2 5" xfId="37719" xr:uid="{00000000-0005-0000-0000-000086920000}"/>
    <cellStyle name="Input 7 3 2 2 2 5 2" xfId="37720" xr:uid="{00000000-0005-0000-0000-000087920000}"/>
    <cellStyle name="Input 7 3 2 2 2 6" xfId="37721" xr:uid="{00000000-0005-0000-0000-000088920000}"/>
    <cellStyle name="Input 7 3 2 2 2 7" xfId="37722" xr:uid="{00000000-0005-0000-0000-000089920000}"/>
    <cellStyle name="Input 7 3 2 2 2 8" xfId="37723" xr:uid="{00000000-0005-0000-0000-00008A920000}"/>
    <cellStyle name="Input 7 3 2 2 3" xfId="37724" xr:uid="{00000000-0005-0000-0000-00008B920000}"/>
    <cellStyle name="Input 7 3 2 2 3 2" xfId="37725" xr:uid="{00000000-0005-0000-0000-00008C920000}"/>
    <cellStyle name="Input 7 3 2 2 3 2 2" xfId="37726" xr:uid="{00000000-0005-0000-0000-00008D920000}"/>
    <cellStyle name="Input 7 3 2 2 3 2 2 2" xfId="37727" xr:uid="{00000000-0005-0000-0000-00008E920000}"/>
    <cellStyle name="Input 7 3 2 2 3 2 2 2 2" xfId="37728" xr:uid="{00000000-0005-0000-0000-00008F920000}"/>
    <cellStyle name="Input 7 3 2 2 3 2 2 3" xfId="37729" xr:uid="{00000000-0005-0000-0000-000090920000}"/>
    <cellStyle name="Input 7 3 2 2 3 2 2 3 2" xfId="37730" xr:uid="{00000000-0005-0000-0000-000091920000}"/>
    <cellStyle name="Input 7 3 2 2 3 2 2 4" xfId="37731" xr:uid="{00000000-0005-0000-0000-000092920000}"/>
    <cellStyle name="Input 7 3 2 2 3 2 2 5" xfId="37732" xr:uid="{00000000-0005-0000-0000-000093920000}"/>
    <cellStyle name="Input 7 3 2 2 3 2 2 6" xfId="37733" xr:uid="{00000000-0005-0000-0000-000094920000}"/>
    <cellStyle name="Input 7 3 2 2 3 2 3" xfId="37734" xr:uid="{00000000-0005-0000-0000-000095920000}"/>
    <cellStyle name="Input 7 3 2 2 3 2 3 2" xfId="37735" xr:uid="{00000000-0005-0000-0000-000096920000}"/>
    <cellStyle name="Input 7 3 2 2 3 2 4" xfId="37736" xr:uid="{00000000-0005-0000-0000-000097920000}"/>
    <cellStyle name="Input 7 3 2 2 3 2 4 2" xfId="37737" xr:uid="{00000000-0005-0000-0000-000098920000}"/>
    <cellStyle name="Input 7 3 2 2 3 2 5" xfId="37738" xr:uid="{00000000-0005-0000-0000-000099920000}"/>
    <cellStyle name="Input 7 3 2 2 3 2 6" xfId="37739" xr:uid="{00000000-0005-0000-0000-00009A920000}"/>
    <cellStyle name="Input 7 3 2 2 3 2 7" xfId="37740" xr:uid="{00000000-0005-0000-0000-00009B920000}"/>
    <cellStyle name="Input 7 3 2 2 3 3" xfId="37741" xr:uid="{00000000-0005-0000-0000-00009C920000}"/>
    <cellStyle name="Input 7 3 2 2 3 3 2" xfId="37742" xr:uid="{00000000-0005-0000-0000-00009D920000}"/>
    <cellStyle name="Input 7 3 2 2 3 3 2 2" xfId="37743" xr:uid="{00000000-0005-0000-0000-00009E920000}"/>
    <cellStyle name="Input 7 3 2 2 3 3 3" xfId="37744" xr:uid="{00000000-0005-0000-0000-00009F920000}"/>
    <cellStyle name="Input 7 3 2 2 3 3 3 2" xfId="37745" xr:uid="{00000000-0005-0000-0000-0000A0920000}"/>
    <cellStyle name="Input 7 3 2 2 3 3 4" xfId="37746" xr:uid="{00000000-0005-0000-0000-0000A1920000}"/>
    <cellStyle name="Input 7 3 2 2 3 3 5" xfId="37747" xr:uid="{00000000-0005-0000-0000-0000A2920000}"/>
    <cellStyle name="Input 7 3 2 2 3 3 6" xfId="37748" xr:uid="{00000000-0005-0000-0000-0000A3920000}"/>
    <cellStyle name="Input 7 3 2 2 3 4" xfId="37749" xr:uid="{00000000-0005-0000-0000-0000A4920000}"/>
    <cellStyle name="Input 7 3 2 2 3 4 2" xfId="37750" xr:uid="{00000000-0005-0000-0000-0000A5920000}"/>
    <cellStyle name="Input 7 3 2 2 3 5" xfId="37751" xr:uid="{00000000-0005-0000-0000-0000A6920000}"/>
    <cellStyle name="Input 7 3 2 2 3 5 2" xfId="37752" xr:uid="{00000000-0005-0000-0000-0000A7920000}"/>
    <cellStyle name="Input 7 3 2 2 3 6" xfId="37753" xr:uid="{00000000-0005-0000-0000-0000A8920000}"/>
    <cellStyle name="Input 7 3 2 2 3 7" xfId="37754" xr:uid="{00000000-0005-0000-0000-0000A9920000}"/>
    <cellStyle name="Input 7 3 2 2 3 8" xfId="37755" xr:uid="{00000000-0005-0000-0000-0000AA920000}"/>
    <cellStyle name="Input 7 3 2 2 4" xfId="37756" xr:uid="{00000000-0005-0000-0000-0000AB920000}"/>
    <cellStyle name="Input 7 3 2 2 4 2" xfId="37757" xr:uid="{00000000-0005-0000-0000-0000AC920000}"/>
    <cellStyle name="Input 7 3 2 2 4 2 2" xfId="37758" xr:uid="{00000000-0005-0000-0000-0000AD920000}"/>
    <cellStyle name="Input 7 3 2 2 4 2 2 2" xfId="37759" xr:uid="{00000000-0005-0000-0000-0000AE920000}"/>
    <cellStyle name="Input 7 3 2 2 4 2 3" xfId="37760" xr:uid="{00000000-0005-0000-0000-0000AF920000}"/>
    <cellStyle name="Input 7 3 2 2 4 2 3 2" xfId="37761" xr:uid="{00000000-0005-0000-0000-0000B0920000}"/>
    <cellStyle name="Input 7 3 2 2 4 2 4" xfId="37762" xr:uid="{00000000-0005-0000-0000-0000B1920000}"/>
    <cellStyle name="Input 7 3 2 2 4 2 5" xfId="37763" xr:uid="{00000000-0005-0000-0000-0000B2920000}"/>
    <cellStyle name="Input 7 3 2 2 4 2 6" xfId="37764" xr:uid="{00000000-0005-0000-0000-0000B3920000}"/>
    <cellStyle name="Input 7 3 2 2 4 3" xfId="37765" xr:uid="{00000000-0005-0000-0000-0000B4920000}"/>
    <cellStyle name="Input 7 3 2 2 4 3 2" xfId="37766" xr:uid="{00000000-0005-0000-0000-0000B5920000}"/>
    <cellStyle name="Input 7 3 2 2 4 4" xfId="37767" xr:uid="{00000000-0005-0000-0000-0000B6920000}"/>
    <cellStyle name="Input 7 3 2 2 4 4 2" xfId="37768" xr:uid="{00000000-0005-0000-0000-0000B7920000}"/>
    <cellStyle name="Input 7 3 2 2 4 5" xfId="37769" xr:uid="{00000000-0005-0000-0000-0000B8920000}"/>
    <cellStyle name="Input 7 3 2 2 4 6" xfId="37770" xr:uid="{00000000-0005-0000-0000-0000B9920000}"/>
    <cellStyle name="Input 7 3 2 2 4 7" xfId="37771" xr:uid="{00000000-0005-0000-0000-0000BA920000}"/>
    <cellStyle name="Input 7 3 2 2 5" xfId="37772" xr:uid="{00000000-0005-0000-0000-0000BB920000}"/>
    <cellStyle name="Input 7 3 2 2 5 2" xfId="37773" xr:uid="{00000000-0005-0000-0000-0000BC920000}"/>
    <cellStyle name="Input 7 3 2 2 5 2 2" xfId="37774" xr:uid="{00000000-0005-0000-0000-0000BD920000}"/>
    <cellStyle name="Input 7 3 2 2 5 3" xfId="37775" xr:uid="{00000000-0005-0000-0000-0000BE920000}"/>
    <cellStyle name="Input 7 3 2 2 5 3 2" xfId="37776" xr:uid="{00000000-0005-0000-0000-0000BF920000}"/>
    <cellStyle name="Input 7 3 2 2 5 4" xfId="37777" xr:uid="{00000000-0005-0000-0000-0000C0920000}"/>
    <cellStyle name="Input 7 3 2 2 5 5" xfId="37778" xr:uid="{00000000-0005-0000-0000-0000C1920000}"/>
    <cellStyle name="Input 7 3 2 2 5 6" xfId="37779" xr:uid="{00000000-0005-0000-0000-0000C2920000}"/>
    <cellStyle name="Input 7 3 2 2 6" xfId="37780" xr:uid="{00000000-0005-0000-0000-0000C3920000}"/>
    <cellStyle name="Input 7 3 2 2 6 2" xfId="37781" xr:uid="{00000000-0005-0000-0000-0000C4920000}"/>
    <cellStyle name="Input 7 3 2 2 7" xfId="37782" xr:uid="{00000000-0005-0000-0000-0000C5920000}"/>
    <cellStyle name="Input 7 3 2 2 7 2" xfId="37783" xr:uid="{00000000-0005-0000-0000-0000C6920000}"/>
    <cellStyle name="Input 7 3 2 2 8" xfId="37784" xr:uid="{00000000-0005-0000-0000-0000C7920000}"/>
    <cellStyle name="Input 7 3 2 2 9" xfId="37785" xr:uid="{00000000-0005-0000-0000-0000C8920000}"/>
    <cellStyle name="Input 7 3 2 3" xfId="37786" xr:uid="{00000000-0005-0000-0000-0000C9920000}"/>
    <cellStyle name="Input 7 3 2 3 2" xfId="37787" xr:uid="{00000000-0005-0000-0000-0000CA920000}"/>
    <cellStyle name="Input 7 3 2 3 2 2" xfId="37788" xr:uid="{00000000-0005-0000-0000-0000CB920000}"/>
    <cellStyle name="Input 7 3 2 3 2 2 2" xfId="37789" xr:uid="{00000000-0005-0000-0000-0000CC920000}"/>
    <cellStyle name="Input 7 3 2 3 2 2 2 2" xfId="37790" xr:uid="{00000000-0005-0000-0000-0000CD920000}"/>
    <cellStyle name="Input 7 3 2 3 2 2 3" xfId="37791" xr:uid="{00000000-0005-0000-0000-0000CE920000}"/>
    <cellStyle name="Input 7 3 2 3 2 2 3 2" xfId="37792" xr:uid="{00000000-0005-0000-0000-0000CF920000}"/>
    <cellStyle name="Input 7 3 2 3 2 2 4" xfId="37793" xr:uid="{00000000-0005-0000-0000-0000D0920000}"/>
    <cellStyle name="Input 7 3 2 3 2 2 5" xfId="37794" xr:uid="{00000000-0005-0000-0000-0000D1920000}"/>
    <cellStyle name="Input 7 3 2 3 2 2 6" xfId="37795" xr:uid="{00000000-0005-0000-0000-0000D2920000}"/>
    <cellStyle name="Input 7 3 2 3 2 3" xfId="37796" xr:uid="{00000000-0005-0000-0000-0000D3920000}"/>
    <cellStyle name="Input 7 3 2 3 2 3 2" xfId="37797" xr:uid="{00000000-0005-0000-0000-0000D4920000}"/>
    <cellStyle name="Input 7 3 2 3 2 4" xfId="37798" xr:uid="{00000000-0005-0000-0000-0000D5920000}"/>
    <cellStyle name="Input 7 3 2 3 2 4 2" xfId="37799" xr:uid="{00000000-0005-0000-0000-0000D6920000}"/>
    <cellStyle name="Input 7 3 2 3 2 5" xfId="37800" xr:uid="{00000000-0005-0000-0000-0000D7920000}"/>
    <cellStyle name="Input 7 3 2 3 2 6" xfId="37801" xr:uid="{00000000-0005-0000-0000-0000D8920000}"/>
    <cellStyle name="Input 7 3 2 3 2 7" xfId="37802" xr:uid="{00000000-0005-0000-0000-0000D9920000}"/>
    <cellStyle name="Input 7 3 2 3 3" xfId="37803" xr:uid="{00000000-0005-0000-0000-0000DA920000}"/>
    <cellStyle name="Input 7 3 2 3 3 2" xfId="37804" xr:uid="{00000000-0005-0000-0000-0000DB920000}"/>
    <cellStyle name="Input 7 3 2 3 3 2 2" xfId="37805" xr:uid="{00000000-0005-0000-0000-0000DC920000}"/>
    <cellStyle name="Input 7 3 2 3 3 3" xfId="37806" xr:uid="{00000000-0005-0000-0000-0000DD920000}"/>
    <cellStyle name="Input 7 3 2 3 3 3 2" xfId="37807" xr:uid="{00000000-0005-0000-0000-0000DE920000}"/>
    <cellStyle name="Input 7 3 2 3 3 4" xfId="37808" xr:uid="{00000000-0005-0000-0000-0000DF920000}"/>
    <cellStyle name="Input 7 3 2 3 3 5" xfId="37809" xr:uid="{00000000-0005-0000-0000-0000E0920000}"/>
    <cellStyle name="Input 7 3 2 3 3 6" xfId="37810" xr:uid="{00000000-0005-0000-0000-0000E1920000}"/>
    <cellStyle name="Input 7 3 2 3 4" xfId="37811" xr:uid="{00000000-0005-0000-0000-0000E2920000}"/>
    <cellStyle name="Input 7 3 2 3 4 2" xfId="37812" xr:uid="{00000000-0005-0000-0000-0000E3920000}"/>
    <cellStyle name="Input 7 3 2 3 5" xfId="37813" xr:uid="{00000000-0005-0000-0000-0000E4920000}"/>
    <cellStyle name="Input 7 3 2 3 5 2" xfId="37814" xr:uid="{00000000-0005-0000-0000-0000E5920000}"/>
    <cellStyle name="Input 7 3 2 3 6" xfId="37815" xr:uid="{00000000-0005-0000-0000-0000E6920000}"/>
    <cellStyle name="Input 7 3 2 3 7" xfId="37816" xr:uid="{00000000-0005-0000-0000-0000E7920000}"/>
    <cellStyle name="Input 7 3 2 3 8" xfId="37817" xr:uid="{00000000-0005-0000-0000-0000E8920000}"/>
    <cellStyle name="Input 7 3 2 4" xfId="37818" xr:uid="{00000000-0005-0000-0000-0000E9920000}"/>
    <cellStyle name="Input 7 3 2 4 2" xfId="37819" xr:uid="{00000000-0005-0000-0000-0000EA920000}"/>
    <cellStyle name="Input 7 3 2 4 2 2" xfId="37820" xr:uid="{00000000-0005-0000-0000-0000EB920000}"/>
    <cellStyle name="Input 7 3 2 4 2 2 2" xfId="37821" xr:uid="{00000000-0005-0000-0000-0000EC920000}"/>
    <cellStyle name="Input 7 3 2 4 2 3" xfId="37822" xr:uid="{00000000-0005-0000-0000-0000ED920000}"/>
    <cellStyle name="Input 7 3 2 4 2 3 2" xfId="37823" xr:uid="{00000000-0005-0000-0000-0000EE920000}"/>
    <cellStyle name="Input 7 3 2 4 2 4" xfId="37824" xr:uid="{00000000-0005-0000-0000-0000EF920000}"/>
    <cellStyle name="Input 7 3 2 4 2 5" xfId="37825" xr:uid="{00000000-0005-0000-0000-0000F0920000}"/>
    <cellStyle name="Input 7 3 2 4 2 6" xfId="37826" xr:uid="{00000000-0005-0000-0000-0000F1920000}"/>
    <cellStyle name="Input 7 3 2 4 3" xfId="37827" xr:uid="{00000000-0005-0000-0000-0000F2920000}"/>
    <cellStyle name="Input 7 3 2 4 3 2" xfId="37828" xr:uid="{00000000-0005-0000-0000-0000F3920000}"/>
    <cellStyle name="Input 7 3 2 4 4" xfId="37829" xr:uid="{00000000-0005-0000-0000-0000F4920000}"/>
    <cellStyle name="Input 7 3 2 4 4 2" xfId="37830" xr:uid="{00000000-0005-0000-0000-0000F5920000}"/>
    <cellStyle name="Input 7 3 2 4 5" xfId="37831" xr:uid="{00000000-0005-0000-0000-0000F6920000}"/>
    <cellStyle name="Input 7 3 2 4 6" xfId="37832" xr:uid="{00000000-0005-0000-0000-0000F7920000}"/>
    <cellStyle name="Input 7 3 2 4 7" xfId="37833" xr:uid="{00000000-0005-0000-0000-0000F8920000}"/>
    <cellStyle name="Input 7 3 2 5" xfId="37834" xr:uid="{00000000-0005-0000-0000-0000F9920000}"/>
    <cellStyle name="Input 7 3 2 5 2" xfId="37835" xr:uid="{00000000-0005-0000-0000-0000FA920000}"/>
    <cellStyle name="Input 7 3 2 5 2 2" xfId="37836" xr:uid="{00000000-0005-0000-0000-0000FB920000}"/>
    <cellStyle name="Input 7 3 2 5 3" xfId="37837" xr:uid="{00000000-0005-0000-0000-0000FC920000}"/>
    <cellStyle name="Input 7 3 2 5 3 2" xfId="37838" xr:uid="{00000000-0005-0000-0000-0000FD920000}"/>
    <cellStyle name="Input 7 3 2 5 4" xfId="37839" xr:uid="{00000000-0005-0000-0000-0000FE920000}"/>
    <cellStyle name="Input 7 3 2 5 5" xfId="37840" xr:uid="{00000000-0005-0000-0000-0000FF920000}"/>
    <cellStyle name="Input 7 3 2 5 6" xfId="37841" xr:uid="{00000000-0005-0000-0000-000000930000}"/>
    <cellStyle name="Input 7 3 2 6" xfId="37842" xr:uid="{00000000-0005-0000-0000-000001930000}"/>
    <cellStyle name="Input 7 3 2 6 2" xfId="37843" xr:uid="{00000000-0005-0000-0000-000002930000}"/>
    <cellStyle name="Input 7 3 2 7" xfId="37844" xr:uid="{00000000-0005-0000-0000-000003930000}"/>
    <cellStyle name="Input 7 3 2 7 2" xfId="37845" xr:uid="{00000000-0005-0000-0000-000004930000}"/>
    <cellStyle name="Input 7 3 2 8" xfId="37846" xr:uid="{00000000-0005-0000-0000-000005930000}"/>
    <cellStyle name="Input 7 3 2 9" xfId="37847" xr:uid="{00000000-0005-0000-0000-000006930000}"/>
    <cellStyle name="Input 7 3 3" xfId="37848" xr:uid="{00000000-0005-0000-0000-000007930000}"/>
    <cellStyle name="Input 7 3 3 10" xfId="37849" xr:uid="{00000000-0005-0000-0000-000008930000}"/>
    <cellStyle name="Input 7 3 3 2" xfId="37850" xr:uid="{00000000-0005-0000-0000-000009930000}"/>
    <cellStyle name="Input 7 3 3 2 2" xfId="37851" xr:uid="{00000000-0005-0000-0000-00000A930000}"/>
    <cellStyle name="Input 7 3 3 2 2 2" xfId="37852" xr:uid="{00000000-0005-0000-0000-00000B930000}"/>
    <cellStyle name="Input 7 3 3 2 2 2 2" xfId="37853" xr:uid="{00000000-0005-0000-0000-00000C930000}"/>
    <cellStyle name="Input 7 3 3 2 2 2 2 2" xfId="37854" xr:uid="{00000000-0005-0000-0000-00000D930000}"/>
    <cellStyle name="Input 7 3 3 2 2 2 3" xfId="37855" xr:uid="{00000000-0005-0000-0000-00000E930000}"/>
    <cellStyle name="Input 7 3 3 2 2 2 3 2" xfId="37856" xr:uid="{00000000-0005-0000-0000-00000F930000}"/>
    <cellStyle name="Input 7 3 3 2 2 2 4" xfId="37857" xr:uid="{00000000-0005-0000-0000-000010930000}"/>
    <cellStyle name="Input 7 3 3 2 2 2 5" xfId="37858" xr:uid="{00000000-0005-0000-0000-000011930000}"/>
    <cellStyle name="Input 7 3 3 2 2 2 6" xfId="37859" xr:uid="{00000000-0005-0000-0000-000012930000}"/>
    <cellStyle name="Input 7 3 3 2 2 3" xfId="37860" xr:uid="{00000000-0005-0000-0000-000013930000}"/>
    <cellStyle name="Input 7 3 3 2 2 3 2" xfId="37861" xr:uid="{00000000-0005-0000-0000-000014930000}"/>
    <cellStyle name="Input 7 3 3 2 2 4" xfId="37862" xr:uid="{00000000-0005-0000-0000-000015930000}"/>
    <cellStyle name="Input 7 3 3 2 2 4 2" xfId="37863" xr:uid="{00000000-0005-0000-0000-000016930000}"/>
    <cellStyle name="Input 7 3 3 2 2 5" xfId="37864" xr:uid="{00000000-0005-0000-0000-000017930000}"/>
    <cellStyle name="Input 7 3 3 2 2 6" xfId="37865" xr:uid="{00000000-0005-0000-0000-000018930000}"/>
    <cellStyle name="Input 7 3 3 2 2 7" xfId="37866" xr:uid="{00000000-0005-0000-0000-000019930000}"/>
    <cellStyle name="Input 7 3 3 2 3" xfId="37867" xr:uid="{00000000-0005-0000-0000-00001A930000}"/>
    <cellStyle name="Input 7 3 3 2 3 2" xfId="37868" xr:uid="{00000000-0005-0000-0000-00001B930000}"/>
    <cellStyle name="Input 7 3 3 2 3 2 2" xfId="37869" xr:uid="{00000000-0005-0000-0000-00001C930000}"/>
    <cellStyle name="Input 7 3 3 2 3 3" xfId="37870" xr:uid="{00000000-0005-0000-0000-00001D930000}"/>
    <cellStyle name="Input 7 3 3 2 3 3 2" xfId="37871" xr:uid="{00000000-0005-0000-0000-00001E930000}"/>
    <cellStyle name="Input 7 3 3 2 3 4" xfId="37872" xr:uid="{00000000-0005-0000-0000-00001F930000}"/>
    <cellStyle name="Input 7 3 3 2 3 5" xfId="37873" xr:uid="{00000000-0005-0000-0000-000020930000}"/>
    <cellStyle name="Input 7 3 3 2 3 6" xfId="37874" xr:uid="{00000000-0005-0000-0000-000021930000}"/>
    <cellStyle name="Input 7 3 3 2 4" xfId="37875" xr:uid="{00000000-0005-0000-0000-000022930000}"/>
    <cellStyle name="Input 7 3 3 2 4 2" xfId="37876" xr:uid="{00000000-0005-0000-0000-000023930000}"/>
    <cellStyle name="Input 7 3 3 2 5" xfId="37877" xr:uid="{00000000-0005-0000-0000-000024930000}"/>
    <cellStyle name="Input 7 3 3 2 5 2" xfId="37878" xr:uid="{00000000-0005-0000-0000-000025930000}"/>
    <cellStyle name="Input 7 3 3 2 6" xfId="37879" xr:uid="{00000000-0005-0000-0000-000026930000}"/>
    <cellStyle name="Input 7 3 3 2 7" xfId="37880" xr:uid="{00000000-0005-0000-0000-000027930000}"/>
    <cellStyle name="Input 7 3 3 2 8" xfId="37881" xr:uid="{00000000-0005-0000-0000-000028930000}"/>
    <cellStyle name="Input 7 3 3 3" xfId="37882" xr:uid="{00000000-0005-0000-0000-000029930000}"/>
    <cellStyle name="Input 7 3 3 3 2" xfId="37883" xr:uid="{00000000-0005-0000-0000-00002A930000}"/>
    <cellStyle name="Input 7 3 3 3 2 2" xfId="37884" xr:uid="{00000000-0005-0000-0000-00002B930000}"/>
    <cellStyle name="Input 7 3 3 3 2 2 2" xfId="37885" xr:uid="{00000000-0005-0000-0000-00002C930000}"/>
    <cellStyle name="Input 7 3 3 3 2 2 2 2" xfId="37886" xr:uid="{00000000-0005-0000-0000-00002D930000}"/>
    <cellStyle name="Input 7 3 3 3 2 2 3" xfId="37887" xr:uid="{00000000-0005-0000-0000-00002E930000}"/>
    <cellStyle name="Input 7 3 3 3 2 2 3 2" xfId="37888" xr:uid="{00000000-0005-0000-0000-00002F930000}"/>
    <cellStyle name="Input 7 3 3 3 2 2 4" xfId="37889" xr:uid="{00000000-0005-0000-0000-000030930000}"/>
    <cellStyle name="Input 7 3 3 3 2 2 5" xfId="37890" xr:uid="{00000000-0005-0000-0000-000031930000}"/>
    <cellStyle name="Input 7 3 3 3 2 2 6" xfId="37891" xr:uid="{00000000-0005-0000-0000-000032930000}"/>
    <cellStyle name="Input 7 3 3 3 2 3" xfId="37892" xr:uid="{00000000-0005-0000-0000-000033930000}"/>
    <cellStyle name="Input 7 3 3 3 2 3 2" xfId="37893" xr:uid="{00000000-0005-0000-0000-000034930000}"/>
    <cellStyle name="Input 7 3 3 3 2 4" xfId="37894" xr:uid="{00000000-0005-0000-0000-000035930000}"/>
    <cellStyle name="Input 7 3 3 3 2 4 2" xfId="37895" xr:uid="{00000000-0005-0000-0000-000036930000}"/>
    <cellStyle name="Input 7 3 3 3 2 5" xfId="37896" xr:uid="{00000000-0005-0000-0000-000037930000}"/>
    <cellStyle name="Input 7 3 3 3 2 6" xfId="37897" xr:uid="{00000000-0005-0000-0000-000038930000}"/>
    <cellStyle name="Input 7 3 3 3 2 7" xfId="37898" xr:uid="{00000000-0005-0000-0000-000039930000}"/>
    <cellStyle name="Input 7 3 3 3 3" xfId="37899" xr:uid="{00000000-0005-0000-0000-00003A930000}"/>
    <cellStyle name="Input 7 3 3 3 3 2" xfId="37900" xr:uid="{00000000-0005-0000-0000-00003B930000}"/>
    <cellStyle name="Input 7 3 3 3 3 2 2" xfId="37901" xr:uid="{00000000-0005-0000-0000-00003C930000}"/>
    <cellStyle name="Input 7 3 3 3 3 3" xfId="37902" xr:uid="{00000000-0005-0000-0000-00003D930000}"/>
    <cellStyle name="Input 7 3 3 3 3 3 2" xfId="37903" xr:uid="{00000000-0005-0000-0000-00003E930000}"/>
    <cellStyle name="Input 7 3 3 3 3 4" xfId="37904" xr:uid="{00000000-0005-0000-0000-00003F930000}"/>
    <cellStyle name="Input 7 3 3 3 3 5" xfId="37905" xr:uid="{00000000-0005-0000-0000-000040930000}"/>
    <cellStyle name="Input 7 3 3 3 3 6" xfId="37906" xr:uid="{00000000-0005-0000-0000-000041930000}"/>
    <cellStyle name="Input 7 3 3 3 4" xfId="37907" xr:uid="{00000000-0005-0000-0000-000042930000}"/>
    <cellStyle name="Input 7 3 3 3 4 2" xfId="37908" xr:uid="{00000000-0005-0000-0000-000043930000}"/>
    <cellStyle name="Input 7 3 3 3 5" xfId="37909" xr:uid="{00000000-0005-0000-0000-000044930000}"/>
    <cellStyle name="Input 7 3 3 3 5 2" xfId="37910" xr:uid="{00000000-0005-0000-0000-000045930000}"/>
    <cellStyle name="Input 7 3 3 3 6" xfId="37911" xr:uid="{00000000-0005-0000-0000-000046930000}"/>
    <cellStyle name="Input 7 3 3 3 7" xfId="37912" xr:uid="{00000000-0005-0000-0000-000047930000}"/>
    <cellStyle name="Input 7 3 3 3 8" xfId="37913" xr:uid="{00000000-0005-0000-0000-000048930000}"/>
    <cellStyle name="Input 7 3 3 4" xfId="37914" xr:uid="{00000000-0005-0000-0000-000049930000}"/>
    <cellStyle name="Input 7 3 3 4 2" xfId="37915" xr:uid="{00000000-0005-0000-0000-00004A930000}"/>
    <cellStyle name="Input 7 3 3 4 2 2" xfId="37916" xr:uid="{00000000-0005-0000-0000-00004B930000}"/>
    <cellStyle name="Input 7 3 3 4 2 2 2" xfId="37917" xr:uid="{00000000-0005-0000-0000-00004C930000}"/>
    <cellStyle name="Input 7 3 3 4 2 3" xfId="37918" xr:uid="{00000000-0005-0000-0000-00004D930000}"/>
    <cellStyle name="Input 7 3 3 4 2 3 2" xfId="37919" xr:uid="{00000000-0005-0000-0000-00004E930000}"/>
    <cellStyle name="Input 7 3 3 4 2 4" xfId="37920" xr:uid="{00000000-0005-0000-0000-00004F930000}"/>
    <cellStyle name="Input 7 3 3 4 2 5" xfId="37921" xr:uid="{00000000-0005-0000-0000-000050930000}"/>
    <cellStyle name="Input 7 3 3 4 2 6" xfId="37922" xr:uid="{00000000-0005-0000-0000-000051930000}"/>
    <cellStyle name="Input 7 3 3 4 3" xfId="37923" xr:uid="{00000000-0005-0000-0000-000052930000}"/>
    <cellStyle name="Input 7 3 3 4 3 2" xfId="37924" xr:uid="{00000000-0005-0000-0000-000053930000}"/>
    <cellStyle name="Input 7 3 3 4 4" xfId="37925" xr:uid="{00000000-0005-0000-0000-000054930000}"/>
    <cellStyle name="Input 7 3 3 4 4 2" xfId="37926" xr:uid="{00000000-0005-0000-0000-000055930000}"/>
    <cellStyle name="Input 7 3 3 4 5" xfId="37927" xr:uid="{00000000-0005-0000-0000-000056930000}"/>
    <cellStyle name="Input 7 3 3 4 6" xfId="37928" xr:uid="{00000000-0005-0000-0000-000057930000}"/>
    <cellStyle name="Input 7 3 3 4 7" xfId="37929" xr:uid="{00000000-0005-0000-0000-000058930000}"/>
    <cellStyle name="Input 7 3 3 5" xfId="37930" xr:uid="{00000000-0005-0000-0000-000059930000}"/>
    <cellStyle name="Input 7 3 3 5 2" xfId="37931" xr:uid="{00000000-0005-0000-0000-00005A930000}"/>
    <cellStyle name="Input 7 3 3 5 2 2" xfId="37932" xr:uid="{00000000-0005-0000-0000-00005B930000}"/>
    <cellStyle name="Input 7 3 3 5 3" xfId="37933" xr:uid="{00000000-0005-0000-0000-00005C930000}"/>
    <cellStyle name="Input 7 3 3 5 3 2" xfId="37934" xr:uid="{00000000-0005-0000-0000-00005D930000}"/>
    <cellStyle name="Input 7 3 3 5 4" xfId="37935" xr:uid="{00000000-0005-0000-0000-00005E930000}"/>
    <cellStyle name="Input 7 3 3 5 5" xfId="37936" xr:uid="{00000000-0005-0000-0000-00005F930000}"/>
    <cellStyle name="Input 7 3 3 5 6" xfId="37937" xr:uid="{00000000-0005-0000-0000-000060930000}"/>
    <cellStyle name="Input 7 3 3 6" xfId="37938" xr:uid="{00000000-0005-0000-0000-000061930000}"/>
    <cellStyle name="Input 7 3 3 6 2" xfId="37939" xr:uid="{00000000-0005-0000-0000-000062930000}"/>
    <cellStyle name="Input 7 3 3 7" xfId="37940" xr:uid="{00000000-0005-0000-0000-000063930000}"/>
    <cellStyle name="Input 7 3 3 7 2" xfId="37941" xr:uid="{00000000-0005-0000-0000-000064930000}"/>
    <cellStyle name="Input 7 3 3 8" xfId="37942" xr:uid="{00000000-0005-0000-0000-000065930000}"/>
    <cellStyle name="Input 7 3 3 9" xfId="37943" xr:uid="{00000000-0005-0000-0000-000066930000}"/>
    <cellStyle name="Input 7 3 4" xfId="37944" xr:uid="{00000000-0005-0000-0000-000067930000}"/>
    <cellStyle name="Input 7 3 4 2" xfId="37945" xr:uid="{00000000-0005-0000-0000-000068930000}"/>
    <cellStyle name="Input 7 3 4 2 2" xfId="37946" xr:uid="{00000000-0005-0000-0000-000069930000}"/>
    <cellStyle name="Input 7 3 4 2 2 2" xfId="37947" xr:uid="{00000000-0005-0000-0000-00006A930000}"/>
    <cellStyle name="Input 7 3 4 2 2 2 2" xfId="37948" xr:uid="{00000000-0005-0000-0000-00006B930000}"/>
    <cellStyle name="Input 7 3 4 2 2 3" xfId="37949" xr:uid="{00000000-0005-0000-0000-00006C930000}"/>
    <cellStyle name="Input 7 3 4 2 2 3 2" xfId="37950" xr:uid="{00000000-0005-0000-0000-00006D930000}"/>
    <cellStyle name="Input 7 3 4 2 2 4" xfId="37951" xr:uid="{00000000-0005-0000-0000-00006E930000}"/>
    <cellStyle name="Input 7 3 4 2 2 5" xfId="37952" xr:uid="{00000000-0005-0000-0000-00006F930000}"/>
    <cellStyle name="Input 7 3 4 2 2 6" xfId="37953" xr:uid="{00000000-0005-0000-0000-000070930000}"/>
    <cellStyle name="Input 7 3 4 2 3" xfId="37954" xr:uid="{00000000-0005-0000-0000-000071930000}"/>
    <cellStyle name="Input 7 3 4 2 3 2" xfId="37955" xr:uid="{00000000-0005-0000-0000-000072930000}"/>
    <cellStyle name="Input 7 3 4 2 4" xfId="37956" xr:uid="{00000000-0005-0000-0000-000073930000}"/>
    <cellStyle name="Input 7 3 4 2 4 2" xfId="37957" xr:uid="{00000000-0005-0000-0000-000074930000}"/>
    <cellStyle name="Input 7 3 4 2 5" xfId="37958" xr:uid="{00000000-0005-0000-0000-000075930000}"/>
    <cellStyle name="Input 7 3 4 2 6" xfId="37959" xr:uid="{00000000-0005-0000-0000-000076930000}"/>
    <cellStyle name="Input 7 3 4 2 7" xfId="37960" xr:uid="{00000000-0005-0000-0000-000077930000}"/>
    <cellStyle name="Input 7 3 4 3" xfId="37961" xr:uid="{00000000-0005-0000-0000-000078930000}"/>
    <cellStyle name="Input 7 3 4 3 2" xfId="37962" xr:uid="{00000000-0005-0000-0000-000079930000}"/>
    <cellStyle name="Input 7 3 4 3 2 2" xfId="37963" xr:uid="{00000000-0005-0000-0000-00007A930000}"/>
    <cellStyle name="Input 7 3 4 3 3" xfId="37964" xr:uid="{00000000-0005-0000-0000-00007B930000}"/>
    <cellStyle name="Input 7 3 4 3 3 2" xfId="37965" xr:uid="{00000000-0005-0000-0000-00007C930000}"/>
    <cellStyle name="Input 7 3 4 3 4" xfId="37966" xr:uid="{00000000-0005-0000-0000-00007D930000}"/>
    <cellStyle name="Input 7 3 4 3 5" xfId="37967" xr:uid="{00000000-0005-0000-0000-00007E930000}"/>
    <cellStyle name="Input 7 3 4 3 6" xfId="37968" xr:uid="{00000000-0005-0000-0000-00007F930000}"/>
    <cellStyle name="Input 7 3 4 4" xfId="37969" xr:uid="{00000000-0005-0000-0000-000080930000}"/>
    <cellStyle name="Input 7 3 4 4 2" xfId="37970" xr:uid="{00000000-0005-0000-0000-000081930000}"/>
    <cellStyle name="Input 7 3 4 5" xfId="37971" xr:uid="{00000000-0005-0000-0000-000082930000}"/>
    <cellStyle name="Input 7 3 4 5 2" xfId="37972" xr:uid="{00000000-0005-0000-0000-000083930000}"/>
    <cellStyle name="Input 7 3 4 6" xfId="37973" xr:uid="{00000000-0005-0000-0000-000084930000}"/>
    <cellStyle name="Input 7 3 4 7" xfId="37974" xr:uid="{00000000-0005-0000-0000-000085930000}"/>
    <cellStyle name="Input 7 3 4 8" xfId="37975" xr:uid="{00000000-0005-0000-0000-000086930000}"/>
    <cellStyle name="Input 7 3 5" xfId="37976" xr:uid="{00000000-0005-0000-0000-000087930000}"/>
    <cellStyle name="Input 7 3 5 2" xfId="37977" xr:uid="{00000000-0005-0000-0000-000088930000}"/>
    <cellStyle name="Input 7 3 5 2 2" xfId="37978" xr:uid="{00000000-0005-0000-0000-000089930000}"/>
    <cellStyle name="Input 7 3 5 2 2 2" xfId="37979" xr:uid="{00000000-0005-0000-0000-00008A930000}"/>
    <cellStyle name="Input 7 3 5 2 3" xfId="37980" xr:uid="{00000000-0005-0000-0000-00008B930000}"/>
    <cellStyle name="Input 7 3 5 2 3 2" xfId="37981" xr:uid="{00000000-0005-0000-0000-00008C930000}"/>
    <cellStyle name="Input 7 3 5 2 4" xfId="37982" xr:uid="{00000000-0005-0000-0000-00008D930000}"/>
    <cellStyle name="Input 7 3 5 2 5" xfId="37983" xr:uid="{00000000-0005-0000-0000-00008E930000}"/>
    <cellStyle name="Input 7 3 5 2 6" xfId="37984" xr:uid="{00000000-0005-0000-0000-00008F930000}"/>
    <cellStyle name="Input 7 3 5 3" xfId="37985" xr:uid="{00000000-0005-0000-0000-000090930000}"/>
    <cellStyle name="Input 7 3 5 3 2" xfId="37986" xr:uid="{00000000-0005-0000-0000-000091930000}"/>
    <cellStyle name="Input 7 3 5 4" xfId="37987" xr:uid="{00000000-0005-0000-0000-000092930000}"/>
    <cellStyle name="Input 7 3 5 4 2" xfId="37988" xr:uid="{00000000-0005-0000-0000-000093930000}"/>
    <cellStyle name="Input 7 3 5 5" xfId="37989" xr:uid="{00000000-0005-0000-0000-000094930000}"/>
    <cellStyle name="Input 7 3 5 6" xfId="37990" xr:uid="{00000000-0005-0000-0000-000095930000}"/>
    <cellStyle name="Input 7 3 5 7" xfId="37991" xr:uid="{00000000-0005-0000-0000-000096930000}"/>
    <cellStyle name="Input 7 3 6" xfId="37992" xr:uid="{00000000-0005-0000-0000-000097930000}"/>
    <cellStyle name="Input 7 3 6 2" xfId="37993" xr:uid="{00000000-0005-0000-0000-000098930000}"/>
    <cellStyle name="Input 7 3 6 2 2" xfId="37994" xr:uid="{00000000-0005-0000-0000-000099930000}"/>
    <cellStyle name="Input 7 3 6 3" xfId="37995" xr:uid="{00000000-0005-0000-0000-00009A930000}"/>
    <cellStyle name="Input 7 3 6 3 2" xfId="37996" xr:uid="{00000000-0005-0000-0000-00009B930000}"/>
    <cellStyle name="Input 7 3 6 4" xfId="37997" xr:uid="{00000000-0005-0000-0000-00009C930000}"/>
    <cellStyle name="Input 7 3 6 5" xfId="37998" xr:uid="{00000000-0005-0000-0000-00009D930000}"/>
    <cellStyle name="Input 7 3 6 6" xfId="37999" xr:uid="{00000000-0005-0000-0000-00009E930000}"/>
    <cellStyle name="Input 7 3 7" xfId="38000" xr:uid="{00000000-0005-0000-0000-00009F930000}"/>
    <cellStyle name="Input 7 3 7 2" xfId="38001" xr:uid="{00000000-0005-0000-0000-0000A0930000}"/>
    <cellStyle name="Input 7 3 8" xfId="38002" xr:uid="{00000000-0005-0000-0000-0000A1930000}"/>
    <cellStyle name="Input 7 3 8 2" xfId="38003" xr:uid="{00000000-0005-0000-0000-0000A2930000}"/>
    <cellStyle name="Input 7 3 9" xfId="38004" xr:uid="{00000000-0005-0000-0000-0000A3930000}"/>
    <cellStyle name="Input 7 4" xfId="38005" xr:uid="{00000000-0005-0000-0000-0000A4930000}"/>
    <cellStyle name="Input 7 4 10" xfId="38006" xr:uid="{00000000-0005-0000-0000-0000A5930000}"/>
    <cellStyle name="Input 7 4 11" xfId="38007" xr:uid="{00000000-0005-0000-0000-0000A6930000}"/>
    <cellStyle name="Input 7 4 2" xfId="38008" xr:uid="{00000000-0005-0000-0000-0000A7930000}"/>
    <cellStyle name="Input 7 4 2 10" xfId="38009" xr:uid="{00000000-0005-0000-0000-0000A8930000}"/>
    <cellStyle name="Input 7 4 2 2" xfId="38010" xr:uid="{00000000-0005-0000-0000-0000A9930000}"/>
    <cellStyle name="Input 7 4 2 2 2" xfId="38011" xr:uid="{00000000-0005-0000-0000-0000AA930000}"/>
    <cellStyle name="Input 7 4 2 2 2 2" xfId="38012" xr:uid="{00000000-0005-0000-0000-0000AB930000}"/>
    <cellStyle name="Input 7 4 2 2 2 2 2" xfId="38013" xr:uid="{00000000-0005-0000-0000-0000AC930000}"/>
    <cellStyle name="Input 7 4 2 2 2 2 2 2" xfId="38014" xr:uid="{00000000-0005-0000-0000-0000AD930000}"/>
    <cellStyle name="Input 7 4 2 2 2 2 3" xfId="38015" xr:uid="{00000000-0005-0000-0000-0000AE930000}"/>
    <cellStyle name="Input 7 4 2 2 2 2 3 2" xfId="38016" xr:uid="{00000000-0005-0000-0000-0000AF930000}"/>
    <cellStyle name="Input 7 4 2 2 2 2 4" xfId="38017" xr:uid="{00000000-0005-0000-0000-0000B0930000}"/>
    <cellStyle name="Input 7 4 2 2 2 2 5" xfId="38018" xr:uid="{00000000-0005-0000-0000-0000B1930000}"/>
    <cellStyle name="Input 7 4 2 2 2 2 6" xfId="38019" xr:uid="{00000000-0005-0000-0000-0000B2930000}"/>
    <cellStyle name="Input 7 4 2 2 2 3" xfId="38020" xr:uid="{00000000-0005-0000-0000-0000B3930000}"/>
    <cellStyle name="Input 7 4 2 2 2 3 2" xfId="38021" xr:uid="{00000000-0005-0000-0000-0000B4930000}"/>
    <cellStyle name="Input 7 4 2 2 2 4" xfId="38022" xr:uid="{00000000-0005-0000-0000-0000B5930000}"/>
    <cellStyle name="Input 7 4 2 2 2 4 2" xfId="38023" xr:uid="{00000000-0005-0000-0000-0000B6930000}"/>
    <cellStyle name="Input 7 4 2 2 2 5" xfId="38024" xr:uid="{00000000-0005-0000-0000-0000B7930000}"/>
    <cellStyle name="Input 7 4 2 2 2 6" xfId="38025" xr:uid="{00000000-0005-0000-0000-0000B8930000}"/>
    <cellStyle name="Input 7 4 2 2 2 7" xfId="38026" xr:uid="{00000000-0005-0000-0000-0000B9930000}"/>
    <cellStyle name="Input 7 4 2 2 3" xfId="38027" xr:uid="{00000000-0005-0000-0000-0000BA930000}"/>
    <cellStyle name="Input 7 4 2 2 3 2" xfId="38028" xr:uid="{00000000-0005-0000-0000-0000BB930000}"/>
    <cellStyle name="Input 7 4 2 2 3 2 2" xfId="38029" xr:uid="{00000000-0005-0000-0000-0000BC930000}"/>
    <cellStyle name="Input 7 4 2 2 3 3" xfId="38030" xr:uid="{00000000-0005-0000-0000-0000BD930000}"/>
    <cellStyle name="Input 7 4 2 2 3 3 2" xfId="38031" xr:uid="{00000000-0005-0000-0000-0000BE930000}"/>
    <cellStyle name="Input 7 4 2 2 3 4" xfId="38032" xr:uid="{00000000-0005-0000-0000-0000BF930000}"/>
    <cellStyle name="Input 7 4 2 2 3 5" xfId="38033" xr:uid="{00000000-0005-0000-0000-0000C0930000}"/>
    <cellStyle name="Input 7 4 2 2 3 6" xfId="38034" xr:uid="{00000000-0005-0000-0000-0000C1930000}"/>
    <cellStyle name="Input 7 4 2 2 4" xfId="38035" xr:uid="{00000000-0005-0000-0000-0000C2930000}"/>
    <cellStyle name="Input 7 4 2 2 4 2" xfId="38036" xr:uid="{00000000-0005-0000-0000-0000C3930000}"/>
    <cellStyle name="Input 7 4 2 2 5" xfId="38037" xr:uid="{00000000-0005-0000-0000-0000C4930000}"/>
    <cellStyle name="Input 7 4 2 2 5 2" xfId="38038" xr:uid="{00000000-0005-0000-0000-0000C5930000}"/>
    <cellStyle name="Input 7 4 2 2 6" xfId="38039" xr:uid="{00000000-0005-0000-0000-0000C6930000}"/>
    <cellStyle name="Input 7 4 2 2 7" xfId="38040" xr:uid="{00000000-0005-0000-0000-0000C7930000}"/>
    <cellStyle name="Input 7 4 2 2 8" xfId="38041" xr:uid="{00000000-0005-0000-0000-0000C8930000}"/>
    <cellStyle name="Input 7 4 2 3" xfId="38042" xr:uid="{00000000-0005-0000-0000-0000C9930000}"/>
    <cellStyle name="Input 7 4 2 3 2" xfId="38043" xr:uid="{00000000-0005-0000-0000-0000CA930000}"/>
    <cellStyle name="Input 7 4 2 3 2 2" xfId="38044" xr:uid="{00000000-0005-0000-0000-0000CB930000}"/>
    <cellStyle name="Input 7 4 2 3 2 2 2" xfId="38045" xr:uid="{00000000-0005-0000-0000-0000CC930000}"/>
    <cellStyle name="Input 7 4 2 3 2 2 2 2" xfId="38046" xr:uid="{00000000-0005-0000-0000-0000CD930000}"/>
    <cellStyle name="Input 7 4 2 3 2 2 3" xfId="38047" xr:uid="{00000000-0005-0000-0000-0000CE930000}"/>
    <cellStyle name="Input 7 4 2 3 2 2 3 2" xfId="38048" xr:uid="{00000000-0005-0000-0000-0000CF930000}"/>
    <cellStyle name="Input 7 4 2 3 2 2 4" xfId="38049" xr:uid="{00000000-0005-0000-0000-0000D0930000}"/>
    <cellStyle name="Input 7 4 2 3 2 2 5" xfId="38050" xr:uid="{00000000-0005-0000-0000-0000D1930000}"/>
    <cellStyle name="Input 7 4 2 3 2 2 6" xfId="38051" xr:uid="{00000000-0005-0000-0000-0000D2930000}"/>
    <cellStyle name="Input 7 4 2 3 2 3" xfId="38052" xr:uid="{00000000-0005-0000-0000-0000D3930000}"/>
    <cellStyle name="Input 7 4 2 3 2 3 2" xfId="38053" xr:uid="{00000000-0005-0000-0000-0000D4930000}"/>
    <cellStyle name="Input 7 4 2 3 2 4" xfId="38054" xr:uid="{00000000-0005-0000-0000-0000D5930000}"/>
    <cellStyle name="Input 7 4 2 3 2 4 2" xfId="38055" xr:uid="{00000000-0005-0000-0000-0000D6930000}"/>
    <cellStyle name="Input 7 4 2 3 2 5" xfId="38056" xr:uid="{00000000-0005-0000-0000-0000D7930000}"/>
    <cellStyle name="Input 7 4 2 3 2 6" xfId="38057" xr:uid="{00000000-0005-0000-0000-0000D8930000}"/>
    <cellStyle name="Input 7 4 2 3 2 7" xfId="38058" xr:uid="{00000000-0005-0000-0000-0000D9930000}"/>
    <cellStyle name="Input 7 4 2 3 3" xfId="38059" xr:uid="{00000000-0005-0000-0000-0000DA930000}"/>
    <cellStyle name="Input 7 4 2 3 3 2" xfId="38060" xr:uid="{00000000-0005-0000-0000-0000DB930000}"/>
    <cellStyle name="Input 7 4 2 3 3 2 2" xfId="38061" xr:uid="{00000000-0005-0000-0000-0000DC930000}"/>
    <cellStyle name="Input 7 4 2 3 3 3" xfId="38062" xr:uid="{00000000-0005-0000-0000-0000DD930000}"/>
    <cellStyle name="Input 7 4 2 3 3 3 2" xfId="38063" xr:uid="{00000000-0005-0000-0000-0000DE930000}"/>
    <cellStyle name="Input 7 4 2 3 3 4" xfId="38064" xr:uid="{00000000-0005-0000-0000-0000DF930000}"/>
    <cellStyle name="Input 7 4 2 3 3 5" xfId="38065" xr:uid="{00000000-0005-0000-0000-0000E0930000}"/>
    <cellStyle name="Input 7 4 2 3 3 6" xfId="38066" xr:uid="{00000000-0005-0000-0000-0000E1930000}"/>
    <cellStyle name="Input 7 4 2 3 4" xfId="38067" xr:uid="{00000000-0005-0000-0000-0000E2930000}"/>
    <cellStyle name="Input 7 4 2 3 4 2" xfId="38068" xr:uid="{00000000-0005-0000-0000-0000E3930000}"/>
    <cellStyle name="Input 7 4 2 3 5" xfId="38069" xr:uid="{00000000-0005-0000-0000-0000E4930000}"/>
    <cellStyle name="Input 7 4 2 3 5 2" xfId="38070" xr:uid="{00000000-0005-0000-0000-0000E5930000}"/>
    <cellStyle name="Input 7 4 2 3 6" xfId="38071" xr:uid="{00000000-0005-0000-0000-0000E6930000}"/>
    <cellStyle name="Input 7 4 2 3 7" xfId="38072" xr:uid="{00000000-0005-0000-0000-0000E7930000}"/>
    <cellStyle name="Input 7 4 2 3 8" xfId="38073" xr:uid="{00000000-0005-0000-0000-0000E8930000}"/>
    <cellStyle name="Input 7 4 2 4" xfId="38074" xr:uid="{00000000-0005-0000-0000-0000E9930000}"/>
    <cellStyle name="Input 7 4 2 4 2" xfId="38075" xr:uid="{00000000-0005-0000-0000-0000EA930000}"/>
    <cellStyle name="Input 7 4 2 4 2 2" xfId="38076" xr:uid="{00000000-0005-0000-0000-0000EB930000}"/>
    <cellStyle name="Input 7 4 2 4 2 2 2" xfId="38077" xr:uid="{00000000-0005-0000-0000-0000EC930000}"/>
    <cellStyle name="Input 7 4 2 4 2 3" xfId="38078" xr:uid="{00000000-0005-0000-0000-0000ED930000}"/>
    <cellStyle name="Input 7 4 2 4 2 3 2" xfId="38079" xr:uid="{00000000-0005-0000-0000-0000EE930000}"/>
    <cellStyle name="Input 7 4 2 4 2 4" xfId="38080" xr:uid="{00000000-0005-0000-0000-0000EF930000}"/>
    <cellStyle name="Input 7 4 2 4 2 5" xfId="38081" xr:uid="{00000000-0005-0000-0000-0000F0930000}"/>
    <cellStyle name="Input 7 4 2 4 2 6" xfId="38082" xr:uid="{00000000-0005-0000-0000-0000F1930000}"/>
    <cellStyle name="Input 7 4 2 4 3" xfId="38083" xr:uid="{00000000-0005-0000-0000-0000F2930000}"/>
    <cellStyle name="Input 7 4 2 4 3 2" xfId="38084" xr:uid="{00000000-0005-0000-0000-0000F3930000}"/>
    <cellStyle name="Input 7 4 2 4 4" xfId="38085" xr:uid="{00000000-0005-0000-0000-0000F4930000}"/>
    <cellStyle name="Input 7 4 2 4 4 2" xfId="38086" xr:uid="{00000000-0005-0000-0000-0000F5930000}"/>
    <cellStyle name="Input 7 4 2 4 5" xfId="38087" xr:uid="{00000000-0005-0000-0000-0000F6930000}"/>
    <cellStyle name="Input 7 4 2 4 6" xfId="38088" xr:uid="{00000000-0005-0000-0000-0000F7930000}"/>
    <cellStyle name="Input 7 4 2 4 7" xfId="38089" xr:uid="{00000000-0005-0000-0000-0000F8930000}"/>
    <cellStyle name="Input 7 4 2 5" xfId="38090" xr:uid="{00000000-0005-0000-0000-0000F9930000}"/>
    <cellStyle name="Input 7 4 2 5 2" xfId="38091" xr:uid="{00000000-0005-0000-0000-0000FA930000}"/>
    <cellStyle name="Input 7 4 2 5 2 2" xfId="38092" xr:uid="{00000000-0005-0000-0000-0000FB930000}"/>
    <cellStyle name="Input 7 4 2 5 3" xfId="38093" xr:uid="{00000000-0005-0000-0000-0000FC930000}"/>
    <cellStyle name="Input 7 4 2 5 3 2" xfId="38094" xr:uid="{00000000-0005-0000-0000-0000FD930000}"/>
    <cellStyle name="Input 7 4 2 5 4" xfId="38095" xr:uid="{00000000-0005-0000-0000-0000FE930000}"/>
    <cellStyle name="Input 7 4 2 5 5" xfId="38096" xr:uid="{00000000-0005-0000-0000-0000FF930000}"/>
    <cellStyle name="Input 7 4 2 5 6" xfId="38097" xr:uid="{00000000-0005-0000-0000-000000940000}"/>
    <cellStyle name="Input 7 4 2 6" xfId="38098" xr:uid="{00000000-0005-0000-0000-000001940000}"/>
    <cellStyle name="Input 7 4 2 6 2" xfId="38099" xr:uid="{00000000-0005-0000-0000-000002940000}"/>
    <cellStyle name="Input 7 4 2 7" xfId="38100" xr:uid="{00000000-0005-0000-0000-000003940000}"/>
    <cellStyle name="Input 7 4 2 7 2" xfId="38101" xr:uid="{00000000-0005-0000-0000-000004940000}"/>
    <cellStyle name="Input 7 4 2 8" xfId="38102" xr:uid="{00000000-0005-0000-0000-000005940000}"/>
    <cellStyle name="Input 7 4 2 9" xfId="38103" xr:uid="{00000000-0005-0000-0000-000006940000}"/>
    <cellStyle name="Input 7 4 3" xfId="38104" xr:uid="{00000000-0005-0000-0000-000007940000}"/>
    <cellStyle name="Input 7 4 3 2" xfId="38105" xr:uid="{00000000-0005-0000-0000-000008940000}"/>
    <cellStyle name="Input 7 4 3 2 2" xfId="38106" xr:uid="{00000000-0005-0000-0000-000009940000}"/>
    <cellStyle name="Input 7 4 3 2 2 2" xfId="38107" xr:uid="{00000000-0005-0000-0000-00000A940000}"/>
    <cellStyle name="Input 7 4 3 2 2 2 2" xfId="38108" xr:uid="{00000000-0005-0000-0000-00000B940000}"/>
    <cellStyle name="Input 7 4 3 2 2 3" xfId="38109" xr:uid="{00000000-0005-0000-0000-00000C940000}"/>
    <cellStyle name="Input 7 4 3 2 2 3 2" xfId="38110" xr:uid="{00000000-0005-0000-0000-00000D940000}"/>
    <cellStyle name="Input 7 4 3 2 2 4" xfId="38111" xr:uid="{00000000-0005-0000-0000-00000E940000}"/>
    <cellStyle name="Input 7 4 3 2 2 5" xfId="38112" xr:uid="{00000000-0005-0000-0000-00000F940000}"/>
    <cellStyle name="Input 7 4 3 2 2 6" xfId="38113" xr:uid="{00000000-0005-0000-0000-000010940000}"/>
    <cellStyle name="Input 7 4 3 2 3" xfId="38114" xr:uid="{00000000-0005-0000-0000-000011940000}"/>
    <cellStyle name="Input 7 4 3 2 3 2" xfId="38115" xr:uid="{00000000-0005-0000-0000-000012940000}"/>
    <cellStyle name="Input 7 4 3 2 4" xfId="38116" xr:uid="{00000000-0005-0000-0000-000013940000}"/>
    <cellStyle name="Input 7 4 3 2 4 2" xfId="38117" xr:uid="{00000000-0005-0000-0000-000014940000}"/>
    <cellStyle name="Input 7 4 3 2 5" xfId="38118" xr:uid="{00000000-0005-0000-0000-000015940000}"/>
    <cellStyle name="Input 7 4 3 2 6" xfId="38119" xr:uid="{00000000-0005-0000-0000-000016940000}"/>
    <cellStyle name="Input 7 4 3 2 7" xfId="38120" xr:uid="{00000000-0005-0000-0000-000017940000}"/>
    <cellStyle name="Input 7 4 3 3" xfId="38121" xr:uid="{00000000-0005-0000-0000-000018940000}"/>
    <cellStyle name="Input 7 4 3 3 2" xfId="38122" xr:uid="{00000000-0005-0000-0000-000019940000}"/>
    <cellStyle name="Input 7 4 3 3 2 2" xfId="38123" xr:uid="{00000000-0005-0000-0000-00001A940000}"/>
    <cellStyle name="Input 7 4 3 3 3" xfId="38124" xr:uid="{00000000-0005-0000-0000-00001B940000}"/>
    <cellStyle name="Input 7 4 3 3 3 2" xfId="38125" xr:uid="{00000000-0005-0000-0000-00001C940000}"/>
    <cellStyle name="Input 7 4 3 3 4" xfId="38126" xr:uid="{00000000-0005-0000-0000-00001D940000}"/>
    <cellStyle name="Input 7 4 3 3 5" xfId="38127" xr:uid="{00000000-0005-0000-0000-00001E940000}"/>
    <cellStyle name="Input 7 4 3 3 6" xfId="38128" xr:uid="{00000000-0005-0000-0000-00001F940000}"/>
    <cellStyle name="Input 7 4 3 4" xfId="38129" xr:uid="{00000000-0005-0000-0000-000020940000}"/>
    <cellStyle name="Input 7 4 3 4 2" xfId="38130" xr:uid="{00000000-0005-0000-0000-000021940000}"/>
    <cellStyle name="Input 7 4 3 5" xfId="38131" xr:uid="{00000000-0005-0000-0000-000022940000}"/>
    <cellStyle name="Input 7 4 3 5 2" xfId="38132" xr:uid="{00000000-0005-0000-0000-000023940000}"/>
    <cellStyle name="Input 7 4 3 6" xfId="38133" xr:uid="{00000000-0005-0000-0000-000024940000}"/>
    <cellStyle name="Input 7 4 3 7" xfId="38134" xr:uid="{00000000-0005-0000-0000-000025940000}"/>
    <cellStyle name="Input 7 4 3 8" xfId="38135" xr:uid="{00000000-0005-0000-0000-000026940000}"/>
    <cellStyle name="Input 7 4 4" xfId="38136" xr:uid="{00000000-0005-0000-0000-000027940000}"/>
    <cellStyle name="Input 7 4 4 2" xfId="38137" xr:uid="{00000000-0005-0000-0000-000028940000}"/>
    <cellStyle name="Input 7 4 4 2 2" xfId="38138" xr:uid="{00000000-0005-0000-0000-000029940000}"/>
    <cellStyle name="Input 7 4 4 2 2 2" xfId="38139" xr:uid="{00000000-0005-0000-0000-00002A940000}"/>
    <cellStyle name="Input 7 4 4 2 2 2 2" xfId="38140" xr:uid="{00000000-0005-0000-0000-00002B940000}"/>
    <cellStyle name="Input 7 4 4 2 2 3" xfId="38141" xr:uid="{00000000-0005-0000-0000-00002C940000}"/>
    <cellStyle name="Input 7 4 4 2 2 3 2" xfId="38142" xr:uid="{00000000-0005-0000-0000-00002D940000}"/>
    <cellStyle name="Input 7 4 4 2 2 4" xfId="38143" xr:uid="{00000000-0005-0000-0000-00002E940000}"/>
    <cellStyle name="Input 7 4 4 2 2 5" xfId="38144" xr:uid="{00000000-0005-0000-0000-00002F940000}"/>
    <cellStyle name="Input 7 4 4 2 2 6" xfId="38145" xr:uid="{00000000-0005-0000-0000-000030940000}"/>
    <cellStyle name="Input 7 4 4 2 3" xfId="38146" xr:uid="{00000000-0005-0000-0000-000031940000}"/>
    <cellStyle name="Input 7 4 4 2 3 2" xfId="38147" xr:uid="{00000000-0005-0000-0000-000032940000}"/>
    <cellStyle name="Input 7 4 4 2 4" xfId="38148" xr:uid="{00000000-0005-0000-0000-000033940000}"/>
    <cellStyle name="Input 7 4 4 2 4 2" xfId="38149" xr:uid="{00000000-0005-0000-0000-000034940000}"/>
    <cellStyle name="Input 7 4 4 2 5" xfId="38150" xr:uid="{00000000-0005-0000-0000-000035940000}"/>
    <cellStyle name="Input 7 4 4 2 6" xfId="38151" xr:uid="{00000000-0005-0000-0000-000036940000}"/>
    <cellStyle name="Input 7 4 4 2 7" xfId="38152" xr:uid="{00000000-0005-0000-0000-000037940000}"/>
    <cellStyle name="Input 7 4 4 3" xfId="38153" xr:uid="{00000000-0005-0000-0000-000038940000}"/>
    <cellStyle name="Input 7 4 4 3 2" xfId="38154" xr:uid="{00000000-0005-0000-0000-000039940000}"/>
    <cellStyle name="Input 7 4 4 3 2 2" xfId="38155" xr:uid="{00000000-0005-0000-0000-00003A940000}"/>
    <cellStyle name="Input 7 4 4 3 3" xfId="38156" xr:uid="{00000000-0005-0000-0000-00003B940000}"/>
    <cellStyle name="Input 7 4 4 3 3 2" xfId="38157" xr:uid="{00000000-0005-0000-0000-00003C940000}"/>
    <cellStyle name="Input 7 4 4 3 4" xfId="38158" xr:uid="{00000000-0005-0000-0000-00003D940000}"/>
    <cellStyle name="Input 7 4 4 3 5" xfId="38159" xr:uid="{00000000-0005-0000-0000-00003E940000}"/>
    <cellStyle name="Input 7 4 4 3 6" xfId="38160" xr:uid="{00000000-0005-0000-0000-00003F940000}"/>
    <cellStyle name="Input 7 4 4 4" xfId="38161" xr:uid="{00000000-0005-0000-0000-000040940000}"/>
    <cellStyle name="Input 7 4 4 4 2" xfId="38162" xr:uid="{00000000-0005-0000-0000-000041940000}"/>
    <cellStyle name="Input 7 4 4 5" xfId="38163" xr:uid="{00000000-0005-0000-0000-000042940000}"/>
    <cellStyle name="Input 7 4 4 5 2" xfId="38164" xr:uid="{00000000-0005-0000-0000-000043940000}"/>
    <cellStyle name="Input 7 4 4 6" xfId="38165" xr:uid="{00000000-0005-0000-0000-000044940000}"/>
    <cellStyle name="Input 7 4 4 7" xfId="38166" xr:uid="{00000000-0005-0000-0000-000045940000}"/>
    <cellStyle name="Input 7 4 4 8" xfId="38167" xr:uid="{00000000-0005-0000-0000-000046940000}"/>
    <cellStyle name="Input 7 4 5" xfId="38168" xr:uid="{00000000-0005-0000-0000-000047940000}"/>
    <cellStyle name="Input 7 4 5 2" xfId="38169" xr:uid="{00000000-0005-0000-0000-000048940000}"/>
    <cellStyle name="Input 7 4 5 2 2" xfId="38170" xr:uid="{00000000-0005-0000-0000-000049940000}"/>
    <cellStyle name="Input 7 4 5 2 2 2" xfId="38171" xr:uid="{00000000-0005-0000-0000-00004A940000}"/>
    <cellStyle name="Input 7 4 5 2 3" xfId="38172" xr:uid="{00000000-0005-0000-0000-00004B940000}"/>
    <cellStyle name="Input 7 4 5 2 3 2" xfId="38173" xr:uid="{00000000-0005-0000-0000-00004C940000}"/>
    <cellStyle name="Input 7 4 5 2 4" xfId="38174" xr:uid="{00000000-0005-0000-0000-00004D940000}"/>
    <cellStyle name="Input 7 4 5 2 5" xfId="38175" xr:uid="{00000000-0005-0000-0000-00004E940000}"/>
    <cellStyle name="Input 7 4 5 2 6" xfId="38176" xr:uid="{00000000-0005-0000-0000-00004F940000}"/>
    <cellStyle name="Input 7 4 5 3" xfId="38177" xr:uid="{00000000-0005-0000-0000-000050940000}"/>
    <cellStyle name="Input 7 4 5 3 2" xfId="38178" xr:uid="{00000000-0005-0000-0000-000051940000}"/>
    <cellStyle name="Input 7 4 5 4" xfId="38179" xr:uid="{00000000-0005-0000-0000-000052940000}"/>
    <cellStyle name="Input 7 4 5 4 2" xfId="38180" xr:uid="{00000000-0005-0000-0000-000053940000}"/>
    <cellStyle name="Input 7 4 5 5" xfId="38181" xr:uid="{00000000-0005-0000-0000-000054940000}"/>
    <cellStyle name="Input 7 4 5 6" xfId="38182" xr:uid="{00000000-0005-0000-0000-000055940000}"/>
    <cellStyle name="Input 7 4 5 7" xfId="38183" xr:uid="{00000000-0005-0000-0000-000056940000}"/>
    <cellStyle name="Input 7 4 6" xfId="38184" xr:uid="{00000000-0005-0000-0000-000057940000}"/>
    <cellStyle name="Input 7 4 6 2" xfId="38185" xr:uid="{00000000-0005-0000-0000-000058940000}"/>
    <cellStyle name="Input 7 4 6 2 2" xfId="38186" xr:uid="{00000000-0005-0000-0000-000059940000}"/>
    <cellStyle name="Input 7 4 6 3" xfId="38187" xr:uid="{00000000-0005-0000-0000-00005A940000}"/>
    <cellStyle name="Input 7 4 6 3 2" xfId="38188" xr:uid="{00000000-0005-0000-0000-00005B940000}"/>
    <cellStyle name="Input 7 4 6 4" xfId="38189" xr:uid="{00000000-0005-0000-0000-00005C940000}"/>
    <cellStyle name="Input 7 4 6 5" xfId="38190" xr:uid="{00000000-0005-0000-0000-00005D940000}"/>
    <cellStyle name="Input 7 4 6 6" xfId="38191" xr:uid="{00000000-0005-0000-0000-00005E940000}"/>
    <cellStyle name="Input 7 4 7" xfId="38192" xr:uid="{00000000-0005-0000-0000-00005F940000}"/>
    <cellStyle name="Input 7 4 7 2" xfId="38193" xr:uid="{00000000-0005-0000-0000-000060940000}"/>
    <cellStyle name="Input 7 4 8" xfId="38194" xr:uid="{00000000-0005-0000-0000-000061940000}"/>
    <cellStyle name="Input 7 4 8 2" xfId="38195" xr:uid="{00000000-0005-0000-0000-000062940000}"/>
    <cellStyle name="Input 7 4 9" xfId="38196" xr:uid="{00000000-0005-0000-0000-000063940000}"/>
    <cellStyle name="Input 7 5" xfId="38197" xr:uid="{00000000-0005-0000-0000-000064940000}"/>
    <cellStyle name="Input 7 5 10" xfId="38198" xr:uid="{00000000-0005-0000-0000-000065940000}"/>
    <cellStyle name="Input 7 5 2" xfId="38199" xr:uid="{00000000-0005-0000-0000-000066940000}"/>
    <cellStyle name="Input 7 5 2 2" xfId="38200" xr:uid="{00000000-0005-0000-0000-000067940000}"/>
    <cellStyle name="Input 7 5 2 2 2" xfId="38201" xr:uid="{00000000-0005-0000-0000-000068940000}"/>
    <cellStyle name="Input 7 5 2 2 2 2" xfId="38202" xr:uid="{00000000-0005-0000-0000-000069940000}"/>
    <cellStyle name="Input 7 5 2 2 2 2 2" xfId="38203" xr:uid="{00000000-0005-0000-0000-00006A940000}"/>
    <cellStyle name="Input 7 5 2 2 2 3" xfId="38204" xr:uid="{00000000-0005-0000-0000-00006B940000}"/>
    <cellStyle name="Input 7 5 2 2 2 3 2" xfId="38205" xr:uid="{00000000-0005-0000-0000-00006C940000}"/>
    <cellStyle name="Input 7 5 2 2 2 4" xfId="38206" xr:uid="{00000000-0005-0000-0000-00006D940000}"/>
    <cellStyle name="Input 7 5 2 2 2 5" xfId="38207" xr:uid="{00000000-0005-0000-0000-00006E940000}"/>
    <cellStyle name="Input 7 5 2 2 2 6" xfId="38208" xr:uid="{00000000-0005-0000-0000-00006F940000}"/>
    <cellStyle name="Input 7 5 2 2 3" xfId="38209" xr:uid="{00000000-0005-0000-0000-000070940000}"/>
    <cellStyle name="Input 7 5 2 2 3 2" xfId="38210" xr:uid="{00000000-0005-0000-0000-000071940000}"/>
    <cellStyle name="Input 7 5 2 2 4" xfId="38211" xr:uid="{00000000-0005-0000-0000-000072940000}"/>
    <cellStyle name="Input 7 5 2 2 4 2" xfId="38212" xr:uid="{00000000-0005-0000-0000-000073940000}"/>
    <cellStyle name="Input 7 5 2 2 5" xfId="38213" xr:uid="{00000000-0005-0000-0000-000074940000}"/>
    <cellStyle name="Input 7 5 2 2 6" xfId="38214" xr:uid="{00000000-0005-0000-0000-000075940000}"/>
    <cellStyle name="Input 7 5 2 2 7" xfId="38215" xr:uid="{00000000-0005-0000-0000-000076940000}"/>
    <cellStyle name="Input 7 5 2 3" xfId="38216" xr:uid="{00000000-0005-0000-0000-000077940000}"/>
    <cellStyle name="Input 7 5 2 3 2" xfId="38217" xr:uid="{00000000-0005-0000-0000-000078940000}"/>
    <cellStyle name="Input 7 5 2 3 2 2" xfId="38218" xr:uid="{00000000-0005-0000-0000-000079940000}"/>
    <cellStyle name="Input 7 5 2 3 3" xfId="38219" xr:uid="{00000000-0005-0000-0000-00007A940000}"/>
    <cellStyle name="Input 7 5 2 3 3 2" xfId="38220" xr:uid="{00000000-0005-0000-0000-00007B940000}"/>
    <cellStyle name="Input 7 5 2 3 4" xfId="38221" xr:uid="{00000000-0005-0000-0000-00007C940000}"/>
    <cellStyle name="Input 7 5 2 3 5" xfId="38222" xr:uid="{00000000-0005-0000-0000-00007D940000}"/>
    <cellStyle name="Input 7 5 2 3 6" xfId="38223" xr:uid="{00000000-0005-0000-0000-00007E940000}"/>
    <cellStyle name="Input 7 5 2 4" xfId="38224" xr:uid="{00000000-0005-0000-0000-00007F940000}"/>
    <cellStyle name="Input 7 5 2 4 2" xfId="38225" xr:uid="{00000000-0005-0000-0000-000080940000}"/>
    <cellStyle name="Input 7 5 2 5" xfId="38226" xr:uid="{00000000-0005-0000-0000-000081940000}"/>
    <cellStyle name="Input 7 5 2 5 2" xfId="38227" xr:uid="{00000000-0005-0000-0000-000082940000}"/>
    <cellStyle name="Input 7 5 2 6" xfId="38228" xr:uid="{00000000-0005-0000-0000-000083940000}"/>
    <cellStyle name="Input 7 5 2 7" xfId="38229" xr:uid="{00000000-0005-0000-0000-000084940000}"/>
    <cellStyle name="Input 7 5 2 8" xfId="38230" xr:uid="{00000000-0005-0000-0000-000085940000}"/>
    <cellStyle name="Input 7 5 3" xfId="38231" xr:uid="{00000000-0005-0000-0000-000086940000}"/>
    <cellStyle name="Input 7 5 3 2" xfId="38232" xr:uid="{00000000-0005-0000-0000-000087940000}"/>
    <cellStyle name="Input 7 5 3 2 2" xfId="38233" xr:uid="{00000000-0005-0000-0000-000088940000}"/>
    <cellStyle name="Input 7 5 3 2 2 2" xfId="38234" xr:uid="{00000000-0005-0000-0000-000089940000}"/>
    <cellStyle name="Input 7 5 3 2 2 2 2" xfId="38235" xr:uid="{00000000-0005-0000-0000-00008A940000}"/>
    <cellStyle name="Input 7 5 3 2 2 3" xfId="38236" xr:uid="{00000000-0005-0000-0000-00008B940000}"/>
    <cellStyle name="Input 7 5 3 2 2 3 2" xfId="38237" xr:uid="{00000000-0005-0000-0000-00008C940000}"/>
    <cellStyle name="Input 7 5 3 2 2 4" xfId="38238" xr:uid="{00000000-0005-0000-0000-00008D940000}"/>
    <cellStyle name="Input 7 5 3 2 2 5" xfId="38239" xr:uid="{00000000-0005-0000-0000-00008E940000}"/>
    <cellStyle name="Input 7 5 3 2 2 6" xfId="38240" xr:uid="{00000000-0005-0000-0000-00008F940000}"/>
    <cellStyle name="Input 7 5 3 2 3" xfId="38241" xr:uid="{00000000-0005-0000-0000-000090940000}"/>
    <cellStyle name="Input 7 5 3 2 3 2" xfId="38242" xr:uid="{00000000-0005-0000-0000-000091940000}"/>
    <cellStyle name="Input 7 5 3 2 4" xfId="38243" xr:uid="{00000000-0005-0000-0000-000092940000}"/>
    <cellStyle name="Input 7 5 3 2 4 2" xfId="38244" xr:uid="{00000000-0005-0000-0000-000093940000}"/>
    <cellStyle name="Input 7 5 3 2 5" xfId="38245" xr:uid="{00000000-0005-0000-0000-000094940000}"/>
    <cellStyle name="Input 7 5 3 2 6" xfId="38246" xr:uid="{00000000-0005-0000-0000-000095940000}"/>
    <cellStyle name="Input 7 5 3 2 7" xfId="38247" xr:uid="{00000000-0005-0000-0000-000096940000}"/>
    <cellStyle name="Input 7 5 3 3" xfId="38248" xr:uid="{00000000-0005-0000-0000-000097940000}"/>
    <cellStyle name="Input 7 5 3 3 2" xfId="38249" xr:uid="{00000000-0005-0000-0000-000098940000}"/>
    <cellStyle name="Input 7 5 3 3 2 2" xfId="38250" xr:uid="{00000000-0005-0000-0000-000099940000}"/>
    <cellStyle name="Input 7 5 3 3 3" xfId="38251" xr:uid="{00000000-0005-0000-0000-00009A940000}"/>
    <cellStyle name="Input 7 5 3 3 3 2" xfId="38252" xr:uid="{00000000-0005-0000-0000-00009B940000}"/>
    <cellStyle name="Input 7 5 3 3 4" xfId="38253" xr:uid="{00000000-0005-0000-0000-00009C940000}"/>
    <cellStyle name="Input 7 5 3 3 5" xfId="38254" xr:uid="{00000000-0005-0000-0000-00009D940000}"/>
    <cellStyle name="Input 7 5 3 3 6" xfId="38255" xr:uid="{00000000-0005-0000-0000-00009E940000}"/>
    <cellStyle name="Input 7 5 3 4" xfId="38256" xr:uid="{00000000-0005-0000-0000-00009F940000}"/>
    <cellStyle name="Input 7 5 3 4 2" xfId="38257" xr:uid="{00000000-0005-0000-0000-0000A0940000}"/>
    <cellStyle name="Input 7 5 3 5" xfId="38258" xr:uid="{00000000-0005-0000-0000-0000A1940000}"/>
    <cellStyle name="Input 7 5 3 5 2" xfId="38259" xr:uid="{00000000-0005-0000-0000-0000A2940000}"/>
    <cellStyle name="Input 7 5 3 6" xfId="38260" xr:uid="{00000000-0005-0000-0000-0000A3940000}"/>
    <cellStyle name="Input 7 5 3 7" xfId="38261" xr:uid="{00000000-0005-0000-0000-0000A4940000}"/>
    <cellStyle name="Input 7 5 3 8" xfId="38262" xr:uid="{00000000-0005-0000-0000-0000A5940000}"/>
    <cellStyle name="Input 7 5 4" xfId="38263" xr:uid="{00000000-0005-0000-0000-0000A6940000}"/>
    <cellStyle name="Input 7 5 4 2" xfId="38264" xr:uid="{00000000-0005-0000-0000-0000A7940000}"/>
    <cellStyle name="Input 7 5 4 2 2" xfId="38265" xr:uid="{00000000-0005-0000-0000-0000A8940000}"/>
    <cellStyle name="Input 7 5 4 2 2 2" xfId="38266" xr:uid="{00000000-0005-0000-0000-0000A9940000}"/>
    <cellStyle name="Input 7 5 4 2 3" xfId="38267" xr:uid="{00000000-0005-0000-0000-0000AA940000}"/>
    <cellStyle name="Input 7 5 4 2 3 2" xfId="38268" xr:uid="{00000000-0005-0000-0000-0000AB940000}"/>
    <cellStyle name="Input 7 5 4 2 4" xfId="38269" xr:uid="{00000000-0005-0000-0000-0000AC940000}"/>
    <cellStyle name="Input 7 5 4 2 5" xfId="38270" xr:uid="{00000000-0005-0000-0000-0000AD940000}"/>
    <cellStyle name="Input 7 5 4 2 6" xfId="38271" xr:uid="{00000000-0005-0000-0000-0000AE940000}"/>
    <cellStyle name="Input 7 5 4 3" xfId="38272" xr:uid="{00000000-0005-0000-0000-0000AF940000}"/>
    <cellStyle name="Input 7 5 4 3 2" xfId="38273" xr:uid="{00000000-0005-0000-0000-0000B0940000}"/>
    <cellStyle name="Input 7 5 4 4" xfId="38274" xr:uid="{00000000-0005-0000-0000-0000B1940000}"/>
    <cellStyle name="Input 7 5 4 4 2" xfId="38275" xr:uid="{00000000-0005-0000-0000-0000B2940000}"/>
    <cellStyle name="Input 7 5 4 5" xfId="38276" xr:uid="{00000000-0005-0000-0000-0000B3940000}"/>
    <cellStyle name="Input 7 5 4 6" xfId="38277" xr:uid="{00000000-0005-0000-0000-0000B4940000}"/>
    <cellStyle name="Input 7 5 4 7" xfId="38278" xr:uid="{00000000-0005-0000-0000-0000B5940000}"/>
    <cellStyle name="Input 7 5 5" xfId="38279" xr:uid="{00000000-0005-0000-0000-0000B6940000}"/>
    <cellStyle name="Input 7 5 5 2" xfId="38280" xr:uid="{00000000-0005-0000-0000-0000B7940000}"/>
    <cellStyle name="Input 7 5 5 2 2" xfId="38281" xr:uid="{00000000-0005-0000-0000-0000B8940000}"/>
    <cellStyle name="Input 7 5 5 3" xfId="38282" xr:uid="{00000000-0005-0000-0000-0000B9940000}"/>
    <cellStyle name="Input 7 5 5 3 2" xfId="38283" xr:uid="{00000000-0005-0000-0000-0000BA940000}"/>
    <cellStyle name="Input 7 5 5 4" xfId="38284" xr:uid="{00000000-0005-0000-0000-0000BB940000}"/>
    <cellStyle name="Input 7 5 5 5" xfId="38285" xr:uid="{00000000-0005-0000-0000-0000BC940000}"/>
    <cellStyle name="Input 7 5 5 6" xfId="38286" xr:uid="{00000000-0005-0000-0000-0000BD940000}"/>
    <cellStyle name="Input 7 5 6" xfId="38287" xr:uid="{00000000-0005-0000-0000-0000BE940000}"/>
    <cellStyle name="Input 7 5 6 2" xfId="38288" xr:uid="{00000000-0005-0000-0000-0000BF940000}"/>
    <cellStyle name="Input 7 5 7" xfId="38289" xr:uid="{00000000-0005-0000-0000-0000C0940000}"/>
    <cellStyle name="Input 7 5 7 2" xfId="38290" xr:uid="{00000000-0005-0000-0000-0000C1940000}"/>
    <cellStyle name="Input 7 5 8" xfId="38291" xr:uid="{00000000-0005-0000-0000-0000C2940000}"/>
    <cellStyle name="Input 7 5 9" xfId="38292" xr:uid="{00000000-0005-0000-0000-0000C3940000}"/>
    <cellStyle name="Input 7 6" xfId="38293" xr:uid="{00000000-0005-0000-0000-0000C4940000}"/>
    <cellStyle name="Input 7 6 2" xfId="38294" xr:uid="{00000000-0005-0000-0000-0000C5940000}"/>
    <cellStyle name="Input 7 6 2 2" xfId="38295" xr:uid="{00000000-0005-0000-0000-0000C6940000}"/>
    <cellStyle name="Input 7 6 2 2 2" xfId="38296" xr:uid="{00000000-0005-0000-0000-0000C7940000}"/>
    <cellStyle name="Input 7 6 2 2 2 2" xfId="38297" xr:uid="{00000000-0005-0000-0000-0000C8940000}"/>
    <cellStyle name="Input 7 6 2 2 3" xfId="38298" xr:uid="{00000000-0005-0000-0000-0000C9940000}"/>
    <cellStyle name="Input 7 6 2 2 3 2" xfId="38299" xr:uid="{00000000-0005-0000-0000-0000CA940000}"/>
    <cellStyle name="Input 7 6 2 2 4" xfId="38300" xr:uid="{00000000-0005-0000-0000-0000CB940000}"/>
    <cellStyle name="Input 7 6 2 2 5" xfId="38301" xr:uid="{00000000-0005-0000-0000-0000CC940000}"/>
    <cellStyle name="Input 7 6 2 2 6" xfId="38302" xr:uid="{00000000-0005-0000-0000-0000CD940000}"/>
    <cellStyle name="Input 7 6 2 3" xfId="38303" xr:uid="{00000000-0005-0000-0000-0000CE940000}"/>
    <cellStyle name="Input 7 6 2 3 2" xfId="38304" xr:uid="{00000000-0005-0000-0000-0000CF940000}"/>
    <cellStyle name="Input 7 6 2 4" xfId="38305" xr:uid="{00000000-0005-0000-0000-0000D0940000}"/>
    <cellStyle name="Input 7 6 2 4 2" xfId="38306" xr:uid="{00000000-0005-0000-0000-0000D1940000}"/>
    <cellStyle name="Input 7 6 2 5" xfId="38307" xr:uid="{00000000-0005-0000-0000-0000D2940000}"/>
    <cellStyle name="Input 7 6 2 6" xfId="38308" xr:uid="{00000000-0005-0000-0000-0000D3940000}"/>
    <cellStyle name="Input 7 6 2 7" xfId="38309" xr:uid="{00000000-0005-0000-0000-0000D4940000}"/>
    <cellStyle name="Input 7 6 3" xfId="38310" xr:uid="{00000000-0005-0000-0000-0000D5940000}"/>
    <cellStyle name="Input 7 6 3 2" xfId="38311" xr:uid="{00000000-0005-0000-0000-0000D6940000}"/>
    <cellStyle name="Input 7 6 3 2 2" xfId="38312" xr:uid="{00000000-0005-0000-0000-0000D7940000}"/>
    <cellStyle name="Input 7 6 3 3" xfId="38313" xr:uid="{00000000-0005-0000-0000-0000D8940000}"/>
    <cellStyle name="Input 7 6 3 3 2" xfId="38314" xr:uid="{00000000-0005-0000-0000-0000D9940000}"/>
    <cellStyle name="Input 7 6 3 4" xfId="38315" xr:uid="{00000000-0005-0000-0000-0000DA940000}"/>
    <cellStyle name="Input 7 6 3 5" xfId="38316" xr:uid="{00000000-0005-0000-0000-0000DB940000}"/>
    <cellStyle name="Input 7 6 3 6" xfId="38317" xr:uid="{00000000-0005-0000-0000-0000DC940000}"/>
    <cellStyle name="Input 7 6 4" xfId="38318" xr:uid="{00000000-0005-0000-0000-0000DD940000}"/>
    <cellStyle name="Input 7 6 4 2" xfId="38319" xr:uid="{00000000-0005-0000-0000-0000DE940000}"/>
    <cellStyle name="Input 7 6 5" xfId="38320" xr:uid="{00000000-0005-0000-0000-0000DF940000}"/>
    <cellStyle name="Input 7 6 5 2" xfId="38321" xr:uid="{00000000-0005-0000-0000-0000E0940000}"/>
    <cellStyle name="Input 7 6 6" xfId="38322" xr:uid="{00000000-0005-0000-0000-0000E1940000}"/>
    <cellStyle name="Input 7 6 7" xfId="38323" xr:uid="{00000000-0005-0000-0000-0000E2940000}"/>
    <cellStyle name="Input 7 6 8" xfId="38324" xr:uid="{00000000-0005-0000-0000-0000E3940000}"/>
    <cellStyle name="Input 7 7" xfId="38325" xr:uid="{00000000-0005-0000-0000-0000E4940000}"/>
    <cellStyle name="Input 7 7 2" xfId="38326" xr:uid="{00000000-0005-0000-0000-0000E5940000}"/>
    <cellStyle name="Input 7 7 2 2" xfId="38327" xr:uid="{00000000-0005-0000-0000-0000E6940000}"/>
    <cellStyle name="Input 7 7 2 2 2" xfId="38328" xr:uid="{00000000-0005-0000-0000-0000E7940000}"/>
    <cellStyle name="Input 7 7 2 3" xfId="38329" xr:uid="{00000000-0005-0000-0000-0000E8940000}"/>
    <cellStyle name="Input 7 7 2 3 2" xfId="38330" xr:uid="{00000000-0005-0000-0000-0000E9940000}"/>
    <cellStyle name="Input 7 7 2 4" xfId="38331" xr:uid="{00000000-0005-0000-0000-0000EA940000}"/>
    <cellStyle name="Input 7 7 2 5" xfId="38332" xr:uid="{00000000-0005-0000-0000-0000EB940000}"/>
    <cellStyle name="Input 7 7 2 6" xfId="38333" xr:uid="{00000000-0005-0000-0000-0000EC940000}"/>
    <cellStyle name="Input 7 7 3" xfId="38334" xr:uid="{00000000-0005-0000-0000-0000ED940000}"/>
    <cellStyle name="Input 7 7 3 2" xfId="38335" xr:uid="{00000000-0005-0000-0000-0000EE940000}"/>
    <cellStyle name="Input 7 7 4" xfId="38336" xr:uid="{00000000-0005-0000-0000-0000EF940000}"/>
    <cellStyle name="Input 7 7 4 2" xfId="38337" xr:uid="{00000000-0005-0000-0000-0000F0940000}"/>
    <cellStyle name="Input 7 7 5" xfId="38338" xr:uid="{00000000-0005-0000-0000-0000F1940000}"/>
    <cellStyle name="Input 7 7 6" xfId="38339" xr:uid="{00000000-0005-0000-0000-0000F2940000}"/>
    <cellStyle name="Input 7 7 7" xfId="38340" xr:uid="{00000000-0005-0000-0000-0000F3940000}"/>
    <cellStyle name="Input 7 8" xfId="38341" xr:uid="{00000000-0005-0000-0000-0000F4940000}"/>
    <cellStyle name="Input 7 8 2" xfId="38342" xr:uid="{00000000-0005-0000-0000-0000F5940000}"/>
    <cellStyle name="Input 7 9" xfId="38343" xr:uid="{00000000-0005-0000-0000-0000F6940000}"/>
    <cellStyle name="Input 7 9 2" xfId="38344" xr:uid="{00000000-0005-0000-0000-0000F7940000}"/>
    <cellStyle name="Input 8" xfId="38345" xr:uid="{00000000-0005-0000-0000-0000F8940000}"/>
    <cellStyle name="Input 8 10" xfId="38346" xr:uid="{00000000-0005-0000-0000-0000F9940000}"/>
    <cellStyle name="Input 8 11" xfId="38347" xr:uid="{00000000-0005-0000-0000-0000FA940000}"/>
    <cellStyle name="Input 8 12" xfId="38348" xr:uid="{00000000-0005-0000-0000-0000FB940000}"/>
    <cellStyle name="Input 8 2" xfId="38349" xr:uid="{00000000-0005-0000-0000-0000FC940000}"/>
    <cellStyle name="Input 8 2 10" xfId="38350" xr:uid="{00000000-0005-0000-0000-0000FD940000}"/>
    <cellStyle name="Input 8 2 11" xfId="38351" xr:uid="{00000000-0005-0000-0000-0000FE940000}"/>
    <cellStyle name="Input 8 2 12" xfId="38352" xr:uid="{00000000-0005-0000-0000-0000FF940000}"/>
    <cellStyle name="Input 8 2 2" xfId="38353" xr:uid="{00000000-0005-0000-0000-000000950000}"/>
    <cellStyle name="Input 8 2 2 10" xfId="38354" xr:uid="{00000000-0005-0000-0000-000001950000}"/>
    <cellStyle name="Input 8 2 2 11" xfId="38355" xr:uid="{00000000-0005-0000-0000-000002950000}"/>
    <cellStyle name="Input 8 2 2 2" xfId="38356" xr:uid="{00000000-0005-0000-0000-000003950000}"/>
    <cellStyle name="Input 8 2 2 2 10" xfId="38357" xr:uid="{00000000-0005-0000-0000-000004950000}"/>
    <cellStyle name="Input 8 2 2 2 2" xfId="38358" xr:uid="{00000000-0005-0000-0000-000005950000}"/>
    <cellStyle name="Input 8 2 2 2 2 2" xfId="38359" xr:uid="{00000000-0005-0000-0000-000006950000}"/>
    <cellStyle name="Input 8 2 2 2 2 2 2" xfId="38360" xr:uid="{00000000-0005-0000-0000-000007950000}"/>
    <cellStyle name="Input 8 2 2 2 2 2 2 2" xfId="38361" xr:uid="{00000000-0005-0000-0000-000008950000}"/>
    <cellStyle name="Input 8 2 2 2 2 2 2 2 2" xfId="38362" xr:uid="{00000000-0005-0000-0000-000009950000}"/>
    <cellStyle name="Input 8 2 2 2 2 2 2 3" xfId="38363" xr:uid="{00000000-0005-0000-0000-00000A950000}"/>
    <cellStyle name="Input 8 2 2 2 2 2 2 3 2" xfId="38364" xr:uid="{00000000-0005-0000-0000-00000B950000}"/>
    <cellStyle name="Input 8 2 2 2 2 2 2 4" xfId="38365" xr:uid="{00000000-0005-0000-0000-00000C950000}"/>
    <cellStyle name="Input 8 2 2 2 2 2 2 5" xfId="38366" xr:uid="{00000000-0005-0000-0000-00000D950000}"/>
    <cellStyle name="Input 8 2 2 2 2 2 2 6" xfId="38367" xr:uid="{00000000-0005-0000-0000-00000E950000}"/>
    <cellStyle name="Input 8 2 2 2 2 2 3" xfId="38368" xr:uid="{00000000-0005-0000-0000-00000F950000}"/>
    <cellStyle name="Input 8 2 2 2 2 2 3 2" xfId="38369" xr:uid="{00000000-0005-0000-0000-000010950000}"/>
    <cellStyle name="Input 8 2 2 2 2 2 4" xfId="38370" xr:uid="{00000000-0005-0000-0000-000011950000}"/>
    <cellStyle name="Input 8 2 2 2 2 2 4 2" xfId="38371" xr:uid="{00000000-0005-0000-0000-000012950000}"/>
    <cellStyle name="Input 8 2 2 2 2 2 5" xfId="38372" xr:uid="{00000000-0005-0000-0000-000013950000}"/>
    <cellStyle name="Input 8 2 2 2 2 2 6" xfId="38373" xr:uid="{00000000-0005-0000-0000-000014950000}"/>
    <cellStyle name="Input 8 2 2 2 2 2 7" xfId="38374" xr:uid="{00000000-0005-0000-0000-000015950000}"/>
    <cellStyle name="Input 8 2 2 2 2 3" xfId="38375" xr:uid="{00000000-0005-0000-0000-000016950000}"/>
    <cellStyle name="Input 8 2 2 2 2 3 2" xfId="38376" xr:uid="{00000000-0005-0000-0000-000017950000}"/>
    <cellStyle name="Input 8 2 2 2 2 3 2 2" xfId="38377" xr:uid="{00000000-0005-0000-0000-000018950000}"/>
    <cellStyle name="Input 8 2 2 2 2 3 3" xfId="38378" xr:uid="{00000000-0005-0000-0000-000019950000}"/>
    <cellStyle name="Input 8 2 2 2 2 3 3 2" xfId="38379" xr:uid="{00000000-0005-0000-0000-00001A950000}"/>
    <cellStyle name="Input 8 2 2 2 2 3 4" xfId="38380" xr:uid="{00000000-0005-0000-0000-00001B950000}"/>
    <cellStyle name="Input 8 2 2 2 2 3 5" xfId="38381" xr:uid="{00000000-0005-0000-0000-00001C950000}"/>
    <cellStyle name="Input 8 2 2 2 2 3 6" xfId="38382" xr:uid="{00000000-0005-0000-0000-00001D950000}"/>
    <cellStyle name="Input 8 2 2 2 2 4" xfId="38383" xr:uid="{00000000-0005-0000-0000-00001E950000}"/>
    <cellStyle name="Input 8 2 2 2 2 4 2" xfId="38384" xr:uid="{00000000-0005-0000-0000-00001F950000}"/>
    <cellStyle name="Input 8 2 2 2 2 5" xfId="38385" xr:uid="{00000000-0005-0000-0000-000020950000}"/>
    <cellStyle name="Input 8 2 2 2 2 5 2" xfId="38386" xr:uid="{00000000-0005-0000-0000-000021950000}"/>
    <cellStyle name="Input 8 2 2 2 2 6" xfId="38387" xr:uid="{00000000-0005-0000-0000-000022950000}"/>
    <cellStyle name="Input 8 2 2 2 2 7" xfId="38388" xr:uid="{00000000-0005-0000-0000-000023950000}"/>
    <cellStyle name="Input 8 2 2 2 2 8" xfId="38389" xr:uid="{00000000-0005-0000-0000-000024950000}"/>
    <cellStyle name="Input 8 2 2 2 3" xfId="38390" xr:uid="{00000000-0005-0000-0000-000025950000}"/>
    <cellStyle name="Input 8 2 2 2 3 2" xfId="38391" xr:uid="{00000000-0005-0000-0000-000026950000}"/>
    <cellStyle name="Input 8 2 2 2 3 2 2" xfId="38392" xr:uid="{00000000-0005-0000-0000-000027950000}"/>
    <cellStyle name="Input 8 2 2 2 3 2 2 2" xfId="38393" xr:uid="{00000000-0005-0000-0000-000028950000}"/>
    <cellStyle name="Input 8 2 2 2 3 2 2 2 2" xfId="38394" xr:uid="{00000000-0005-0000-0000-000029950000}"/>
    <cellStyle name="Input 8 2 2 2 3 2 2 3" xfId="38395" xr:uid="{00000000-0005-0000-0000-00002A950000}"/>
    <cellStyle name="Input 8 2 2 2 3 2 2 3 2" xfId="38396" xr:uid="{00000000-0005-0000-0000-00002B950000}"/>
    <cellStyle name="Input 8 2 2 2 3 2 2 4" xfId="38397" xr:uid="{00000000-0005-0000-0000-00002C950000}"/>
    <cellStyle name="Input 8 2 2 2 3 2 2 5" xfId="38398" xr:uid="{00000000-0005-0000-0000-00002D950000}"/>
    <cellStyle name="Input 8 2 2 2 3 2 2 6" xfId="38399" xr:uid="{00000000-0005-0000-0000-00002E950000}"/>
    <cellStyle name="Input 8 2 2 2 3 2 3" xfId="38400" xr:uid="{00000000-0005-0000-0000-00002F950000}"/>
    <cellStyle name="Input 8 2 2 2 3 2 3 2" xfId="38401" xr:uid="{00000000-0005-0000-0000-000030950000}"/>
    <cellStyle name="Input 8 2 2 2 3 2 4" xfId="38402" xr:uid="{00000000-0005-0000-0000-000031950000}"/>
    <cellStyle name="Input 8 2 2 2 3 2 4 2" xfId="38403" xr:uid="{00000000-0005-0000-0000-000032950000}"/>
    <cellStyle name="Input 8 2 2 2 3 2 5" xfId="38404" xr:uid="{00000000-0005-0000-0000-000033950000}"/>
    <cellStyle name="Input 8 2 2 2 3 2 6" xfId="38405" xr:uid="{00000000-0005-0000-0000-000034950000}"/>
    <cellStyle name="Input 8 2 2 2 3 2 7" xfId="38406" xr:uid="{00000000-0005-0000-0000-000035950000}"/>
    <cellStyle name="Input 8 2 2 2 3 3" xfId="38407" xr:uid="{00000000-0005-0000-0000-000036950000}"/>
    <cellStyle name="Input 8 2 2 2 3 3 2" xfId="38408" xr:uid="{00000000-0005-0000-0000-000037950000}"/>
    <cellStyle name="Input 8 2 2 2 3 3 2 2" xfId="38409" xr:uid="{00000000-0005-0000-0000-000038950000}"/>
    <cellStyle name="Input 8 2 2 2 3 3 3" xfId="38410" xr:uid="{00000000-0005-0000-0000-000039950000}"/>
    <cellStyle name="Input 8 2 2 2 3 3 3 2" xfId="38411" xr:uid="{00000000-0005-0000-0000-00003A950000}"/>
    <cellStyle name="Input 8 2 2 2 3 3 4" xfId="38412" xr:uid="{00000000-0005-0000-0000-00003B950000}"/>
    <cellStyle name="Input 8 2 2 2 3 3 5" xfId="38413" xr:uid="{00000000-0005-0000-0000-00003C950000}"/>
    <cellStyle name="Input 8 2 2 2 3 3 6" xfId="38414" xr:uid="{00000000-0005-0000-0000-00003D950000}"/>
    <cellStyle name="Input 8 2 2 2 3 4" xfId="38415" xr:uid="{00000000-0005-0000-0000-00003E950000}"/>
    <cellStyle name="Input 8 2 2 2 3 4 2" xfId="38416" xr:uid="{00000000-0005-0000-0000-00003F950000}"/>
    <cellStyle name="Input 8 2 2 2 3 5" xfId="38417" xr:uid="{00000000-0005-0000-0000-000040950000}"/>
    <cellStyle name="Input 8 2 2 2 3 5 2" xfId="38418" xr:uid="{00000000-0005-0000-0000-000041950000}"/>
    <cellStyle name="Input 8 2 2 2 3 6" xfId="38419" xr:uid="{00000000-0005-0000-0000-000042950000}"/>
    <cellStyle name="Input 8 2 2 2 3 7" xfId="38420" xr:uid="{00000000-0005-0000-0000-000043950000}"/>
    <cellStyle name="Input 8 2 2 2 3 8" xfId="38421" xr:uid="{00000000-0005-0000-0000-000044950000}"/>
    <cellStyle name="Input 8 2 2 2 4" xfId="38422" xr:uid="{00000000-0005-0000-0000-000045950000}"/>
    <cellStyle name="Input 8 2 2 2 4 2" xfId="38423" xr:uid="{00000000-0005-0000-0000-000046950000}"/>
    <cellStyle name="Input 8 2 2 2 4 2 2" xfId="38424" xr:uid="{00000000-0005-0000-0000-000047950000}"/>
    <cellStyle name="Input 8 2 2 2 4 2 2 2" xfId="38425" xr:uid="{00000000-0005-0000-0000-000048950000}"/>
    <cellStyle name="Input 8 2 2 2 4 2 3" xfId="38426" xr:uid="{00000000-0005-0000-0000-000049950000}"/>
    <cellStyle name="Input 8 2 2 2 4 2 3 2" xfId="38427" xr:uid="{00000000-0005-0000-0000-00004A950000}"/>
    <cellStyle name="Input 8 2 2 2 4 2 4" xfId="38428" xr:uid="{00000000-0005-0000-0000-00004B950000}"/>
    <cellStyle name="Input 8 2 2 2 4 2 5" xfId="38429" xr:uid="{00000000-0005-0000-0000-00004C950000}"/>
    <cellStyle name="Input 8 2 2 2 4 2 6" xfId="38430" xr:uid="{00000000-0005-0000-0000-00004D950000}"/>
    <cellStyle name="Input 8 2 2 2 4 3" xfId="38431" xr:uid="{00000000-0005-0000-0000-00004E950000}"/>
    <cellStyle name="Input 8 2 2 2 4 3 2" xfId="38432" xr:uid="{00000000-0005-0000-0000-00004F950000}"/>
    <cellStyle name="Input 8 2 2 2 4 4" xfId="38433" xr:uid="{00000000-0005-0000-0000-000050950000}"/>
    <cellStyle name="Input 8 2 2 2 4 4 2" xfId="38434" xr:uid="{00000000-0005-0000-0000-000051950000}"/>
    <cellStyle name="Input 8 2 2 2 4 5" xfId="38435" xr:uid="{00000000-0005-0000-0000-000052950000}"/>
    <cellStyle name="Input 8 2 2 2 4 6" xfId="38436" xr:uid="{00000000-0005-0000-0000-000053950000}"/>
    <cellStyle name="Input 8 2 2 2 4 7" xfId="38437" xr:uid="{00000000-0005-0000-0000-000054950000}"/>
    <cellStyle name="Input 8 2 2 2 5" xfId="38438" xr:uid="{00000000-0005-0000-0000-000055950000}"/>
    <cellStyle name="Input 8 2 2 2 5 2" xfId="38439" xr:uid="{00000000-0005-0000-0000-000056950000}"/>
    <cellStyle name="Input 8 2 2 2 5 2 2" xfId="38440" xr:uid="{00000000-0005-0000-0000-000057950000}"/>
    <cellStyle name="Input 8 2 2 2 5 3" xfId="38441" xr:uid="{00000000-0005-0000-0000-000058950000}"/>
    <cellStyle name="Input 8 2 2 2 5 3 2" xfId="38442" xr:uid="{00000000-0005-0000-0000-000059950000}"/>
    <cellStyle name="Input 8 2 2 2 5 4" xfId="38443" xr:uid="{00000000-0005-0000-0000-00005A950000}"/>
    <cellStyle name="Input 8 2 2 2 5 5" xfId="38444" xr:uid="{00000000-0005-0000-0000-00005B950000}"/>
    <cellStyle name="Input 8 2 2 2 5 6" xfId="38445" xr:uid="{00000000-0005-0000-0000-00005C950000}"/>
    <cellStyle name="Input 8 2 2 2 6" xfId="38446" xr:uid="{00000000-0005-0000-0000-00005D950000}"/>
    <cellStyle name="Input 8 2 2 2 6 2" xfId="38447" xr:uid="{00000000-0005-0000-0000-00005E950000}"/>
    <cellStyle name="Input 8 2 2 2 7" xfId="38448" xr:uid="{00000000-0005-0000-0000-00005F950000}"/>
    <cellStyle name="Input 8 2 2 2 7 2" xfId="38449" xr:uid="{00000000-0005-0000-0000-000060950000}"/>
    <cellStyle name="Input 8 2 2 2 8" xfId="38450" xr:uid="{00000000-0005-0000-0000-000061950000}"/>
    <cellStyle name="Input 8 2 2 2 9" xfId="38451" xr:uid="{00000000-0005-0000-0000-000062950000}"/>
    <cellStyle name="Input 8 2 2 3" xfId="38452" xr:uid="{00000000-0005-0000-0000-000063950000}"/>
    <cellStyle name="Input 8 2 2 3 2" xfId="38453" xr:uid="{00000000-0005-0000-0000-000064950000}"/>
    <cellStyle name="Input 8 2 2 3 2 2" xfId="38454" xr:uid="{00000000-0005-0000-0000-000065950000}"/>
    <cellStyle name="Input 8 2 2 3 2 2 2" xfId="38455" xr:uid="{00000000-0005-0000-0000-000066950000}"/>
    <cellStyle name="Input 8 2 2 3 2 2 2 2" xfId="38456" xr:uid="{00000000-0005-0000-0000-000067950000}"/>
    <cellStyle name="Input 8 2 2 3 2 2 3" xfId="38457" xr:uid="{00000000-0005-0000-0000-000068950000}"/>
    <cellStyle name="Input 8 2 2 3 2 2 3 2" xfId="38458" xr:uid="{00000000-0005-0000-0000-000069950000}"/>
    <cellStyle name="Input 8 2 2 3 2 2 4" xfId="38459" xr:uid="{00000000-0005-0000-0000-00006A950000}"/>
    <cellStyle name="Input 8 2 2 3 2 2 5" xfId="38460" xr:uid="{00000000-0005-0000-0000-00006B950000}"/>
    <cellStyle name="Input 8 2 2 3 2 2 6" xfId="38461" xr:uid="{00000000-0005-0000-0000-00006C950000}"/>
    <cellStyle name="Input 8 2 2 3 2 3" xfId="38462" xr:uid="{00000000-0005-0000-0000-00006D950000}"/>
    <cellStyle name="Input 8 2 2 3 2 3 2" xfId="38463" xr:uid="{00000000-0005-0000-0000-00006E950000}"/>
    <cellStyle name="Input 8 2 2 3 2 4" xfId="38464" xr:uid="{00000000-0005-0000-0000-00006F950000}"/>
    <cellStyle name="Input 8 2 2 3 2 4 2" xfId="38465" xr:uid="{00000000-0005-0000-0000-000070950000}"/>
    <cellStyle name="Input 8 2 2 3 2 5" xfId="38466" xr:uid="{00000000-0005-0000-0000-000071950000}"/>
    <cellStyle name="Input 8 2 2 3 2 6" xfId="38467" xr:uid="{00000000-0005-0000-0000-000072950000}"/>
    <cellStyle name="Input 8 2 2 3 2 7" xfId="38468" xr:uid="{00000000-0005-0000-0000-000073950000}"/>
    <cellStyle name="Input 8 2 2 3 3" xfId="38469" xr:uid="{00000000-0005-0000-0000-000074950000}"/>
    <cellStyle name="Input 8 2 2 3 3 2" xfId="38470" xr:uid="{00000000-0005-0000-0000-000075950000}"/>
    <cellStyle name="Input 8 2 2 3 3 2 2" xfId="38471" xr:uid="{00000000-0005-0000-0000-000076950000}"/>
    <cellStyle name="Input 8 2 2 3 3 3" xfId="38472" xr:uid="{00000000-0005-0000-0000-000077950000}"/>
    <cellStyle name="Input 8 2 2 3 3 3 2" xfId="38473" xr:uid="{00000000-0005-0000-0000-000078950000}"/>
    <cellStyle name="Input 8 2 2 3 3 4" xfId="38474" xr:uid="{00000000-0005-0000-0000-000079950000}"/>
    <cellStyle name="Input 8 2 2 3 3 5" xfId="38475" xr:uid="{00000000-0005-0000-0000-00007A950000}"/>
    <cellStyle name="Input 8 2 2 3 3 6" xfId="38476" xr:uid="{00000000-0005-0000-0000-00007B950000}"/>
    <cellStyle name="Input 8 2 2 3 4" xfId="38477" xr:uid="{00000000-0005-0000-0000-00007C950000}"/>
    <cellStyle name="Input 8 2 2 3 4 2" xfId="38478" xr:uid="{00000000-0005-0000-0000-00007D950000}"/>
    <cellStyle name="Input 8 2 2 3 5" xfId="38479" xr:uid="{00000000-0005-0000-0000-00007E950000}"/>
    <cellStyle name="Input 8 2 2 3 5 2" xfId="38480" xr:uid="{00000000-0005-0000-0000-00007F950000}"/>
    <cellStyle name="Input 8 2 2 3 6" xfId="38481" xr:uid="{00000000-0005-0000-0000-000080950000}"/>
    <cellStyle name="Input 8 2 2 3 7" xfId="38482" xr:uid="{00000000-0005-0000-0000-000081950000}"/>
    <cellStyle name="Input 8 2 2 3 8" xfId="38483" xr:uid="{00000000-0005-0000-0000-000082950000}"/>
    <cellStyle name="Input 8 2 2 4" xfId="38484" xr:uid="{00000000-0005-0000-0000-000083950000}"/>
    <cellStyle name="Input 8 2 2 4 2" xfId="38485" xr:uid="{00000000-0005-0000-0000-000084950000}"/>
    <cellStyle name="Input 8 2 2 4 2 2" xfId="38486" xr:uid="{00000000-0005-0000-0000-000085950000}"/>
    <cellStyle name="Input 8 2 2 4 2 2 2" xfId="38487" xr:uid="{00000000-0005-0000-0000-000086950000}"/>
    <cellStyle name="Input 8 2 2 4 2 2 2 2" xfId="38488" xr:uid="{00000000-0005-0000-0000-000087950000}"/>
    <cellStyle name="Input 8 2 2 4 2 2 3" xfId="38489" xr:uid="{00000000-0005-0000-0000-000088950000}"/>
    <cellStyle name="Input 8 2 2 4 2 2 3 2" xfId="38490" xr:uid="{00000000-0005-0000-0000-000089950000}"/>
    <cellStyle name="Input 8 2 2 4 2 2 4" xfId="38491" xr:uid="{00000000-0005-0000-0000-00008A950000}"/>
    <cellStyle name="Input 8 2 2 4 2 2 5" xfId="38492" xr:uid="{00000000-0005-0000-0000-00008B950000}"/>
    <cellStyle name="Input 8 2 2 4 2 2 6" xfId="38493" xr:uid="{00000000-0005-0000-0000-00008C950000}"/>
    <cellStyle name="Input 8 2 2 4 2 3" xfId="38494" xr:uid="{00000000-0005-0000-0000-00008D950000}"/>
    <cellStyle name="Input 8 2 2 4 2 3 2" xfId="38495" xr:uid="{00000000-0005-0000-0000-00008E950000}"/>
    <cellStyle name="Input 8 2 2 4 2 4" xfId="38496" xr:uid="{00000000-0005-0000-0000-00008F950000}"/>
    <cellStyle name="Input 8 2 2 4 2 4 2" xfId="38497" xr:uid="{00000000-0005-0000-0000-000090950000}"/>
    <cellStyle name="Input 8 2 2 4 2 5" xfId="38498" xr:uid="{00000000-0005-0000-0000-000091950000}"/>
    <cellStyle name="Input 8 2 2 4 2 6" xfId="38499" xr:uid="{00000000-0005-0000-0000-000092950000}"/>
    <cellStyle name="Input 8 2 2 4 2 7" xfId="38500" xr:uid="{00000000-0005-0000-0000-000093950000}"/>
    <cellStyle name="Input 8 2 2 4 3" xfId="38501" xr:uid="{00000000-0005-0000-0000-000094950000}"/>
    <cellStyle name="Input 8 2 2 4 3 2" xfId="38502" xr:uid="{00000000-0005-0000-0000-000095950000}"/>
    <cellStyle name="Input 8 2 2 4 3 2 2" xfId="38503" xr:uid="{00000000-0005-0000-0000-000096950000}"/>
    <cellStyle name="Input 8 2 2 4 3 3" xfId="38504" xr:uid="{00000000-0005-0000-0000-000097950000}"/>
    <cellStyle name="Input 8 2 2 4 3 3 2" xfId="38505" xr:uid="{00000000-0005-0000-0000-000098950000}"/>
    <cellStyle name="Input 8 2 2 4 3 4" xfId="38506" xr:uid="{00000000-0005-0000-0000-000099950000}"/>
    <cellStyle name="Input 8 2 2 4 3 5" xfId="38507" xr:uid="{00000000-0005-0000-0000-00009A950000}"/>
    <cellStyle name="Input 8 2 2 4 3 6" xfId="38508" xr:uid="{00000000-0005-0000-0000-00009B950000}"/>
    <cellStyle name="Input 8 2 2 4 4" xfId="38509" xr:uid="{00000000-0005-0000-0000-00009C950000}"/>
    <cellStyle name="Input 8 2 2 4 4 2" xfId="38510" xr:uid="{00000000-0005-0000-0000-00009D950000}"/>
    <cellStyle name="Input 8 2 2 4 5" xfId="38511" xr:uid="{00000000-0005-0000-0000-00009E950000}"/>
    <cellStyle name="Input 8 2 2 4 5 2" xfId="38512" xr:uid="{00000000-0005-0000-0000-00009F950000}"/>
    <cellStyle name="Input 8 2 2 4 6" xfId="38513" xr:uid="{00000000-0005-0000-0000-0000A0950000}"/>
    <cellStyle name="Input 8 2 2 4 7" xfId="38514" xr:uid="{00000000-0005-0000-0000-0000A1950000}"/>
    <cellStyle name="Input 8 2 2 4 8" xfId="38515" xr:uid="{00000000-0005-0000-0000-0000A2950000}"/>
    <cellStyle name="Input 8 2 2 5" xfId="38516" xr:uid="{00000000-0005-0000-0000-0000A3950000}"/>
    <cellStyle name="Input 8 2 2 5 2" xfId="38517" xr:uid="{00000000-0005-0000-0000-0000A4950000}"/>
    <cellStyle name="Input 8 2 2 5 2 2" xfId="38518" xr:uid="{00000000-0005-0000-0000-0000A5950000}"/>
    <cellStyle name="Input 8 2 2 5 2 2 2" xfId="38519" xr:uid="{00000000-0005-0000-0000-0000A6950000}"/>
    <cellStyle name="Input 8 2 2 5 2 3" xfId="38520" xr:uid="{00000000-0005-0000-0000-0000A7950000}"/>
    <cellStyle name="Input 8 2 2 5 2 3 2" xfId="38521" xr:uid="{00000000-0005-0000-0000-0000A8950000}"/>
    <cellStyle name="Input 8 2 2 5 2 4" xfId="38522" xr:uid="{00000000-0005-0000-0000-0000A9950000}"/>
    <cellStyle name="Input 8 2 2 5 2 5" xfId="38523" xr:uid="{00000000-0005-0000-0000-0000AA950000}"/>
    <cellStyle name="Input 8 2 2 5 2 6" xfId="38524" xr:uid="{00000000-0005-0000-0000-0000AB950000}"/>
    <cellStyle name="Input 8 2 2 5 3" xfId="38525" xr:uid="{00000000-0005-0000-0000-0000AC950000}"/>
    <cellStyle name="Input 8 2 2 5 3 2" xfId="38526" xr:uid="{00000000-0005-0000-0000-0000AD950000}"/>
    <cellStyle name="Input 8 2 2 5 4" xfId="38527" xr:uid="{00000000-0005-0000-0000-0000AE950000}"/>
    <cellStyle name="Input 8 2 2 5 4 2" xfId="38528" xr:uid="{00000000-0005-0000-0000-0000AF950000}"/>
    <cellStyle name="Input 8 2 2 5 5" xfId="38529" xr:uid="{00000000-0005-0000-0000-0000B0950000}"/>
    <cellStyle name="Input 8 2 2 5 6" xfId="38530" xr:uid="{00000000-0005-0000-0000-0000B1950000}"/>
    <cellStyle name="Input 8 2 2 5 7" xfId="38531" xr:uid="{00000000-0005-0000-0000-0000B2950000}"/>
    <cellStyle name="Input 8 2 2 6" xfId="38532" xr:uid="{00000000-0005-0000-0000-0000B3950000}"/>
    <cellStyle name="Input 8 2 2 6 2" xfId="38533" xr:uid="{00000000-0005-0000-0000-0000B4950000}"/>
    <cellStyle name="Input 8 2 2 6 2 2" xfId="38534" xr:uid="{00000000-0005-0000-0000-0000B5950000}"/>
    <cellStyle name="Input 8 2 2 6 3" xfId="38535" xr:uid="{00000000-0005-0000-0000-0000B6950000}"/>
    <cellStyle name="Input 8 2 2 6 3 2" xfId="38536" xr:uid="{00000000-0005-0000-0000-0000B7950000}"/>
    <cellStyle name="Input 8 2 2 6 4" xfId="38537" xr:uid="{00000000-0005-0000-0000-0000B8950000}"/>
    <cellStyle name="Input 8 2 2 6 5" xfId="38538" xr:uid="{00000000-0005-0000-0000-0000B9950000}"/>
    <cellStyle name="Input 8 2 2 6 6" xfId="38539" xr:uid="{00000000-0005-0000-0000-0000BA950000}"/>
    <cellStyle name="Input 8 2 2 7" xfId="38540" xr:uid="{00000000-0005-0000-0000-0000BB950000}"/>
    <cellStyle name="Input 8 2 2 7 2" xfId="38541" xr:uid="{00000000-0005-0000-0000-0000BC950000}"/>
    <cellStyle name="Input 8 2 2 8" xfId="38542" xr:uid="{00000000-0005-0000-0000-0000BD950000}"/>
    <cellStyle name="Input 8 2 2 8 2" xfId="38543" xr:uid="{00000000-0005-0000-0000-0000BE950000}"/>
    <cellStyle name="Input 8 2 2 9" xfId="38544" xr:uid="{00000000-0005-0000-0000-0000BF950000}"/>
    <cellStyle name="Input 8 2 3" xfId="38545" xr:uid="{00000000-0005-0000-0000-0000C0950000}"/>
    <cellStyle name="Input 8 2 3 10" xfId="38546" xr:uid="{00000000-0005-0000-0000-0000C1950000}"/>
    <cellStyle name="Input 8 2 3 2" xfId="38547" xr:uid="{00000000-0005-0000-0000-0000C2950000}"/>
    <cellStyle name="Input 8 2 3 2 10" xfId="38548" xr:uid="{00000000-0005-0000-0000-0000C3950000}"/>
    <cellStyle name="Input 8 2 3 2 2" xfId="38549" xr:uid="{00000000-0005-0000-0000-0000C4950000}"/>
    <cellStyle name="Input 8 2 3 2 2 2" xfId="38550" xr:uid="{00000000-0005-0000-0000-0000C5950000}"/>
    <cellStyle name="Input 8 2 3 2 2 2 2" xfId="38551" xr:uid="{00000000-0005-0000-0000-0000C6950000}"/>
    <cellStyle name="Input 8 2 3 2 2 2 2 2" xfId="38552" xr:uid="{00000000-0005-0000-0000-0000C7950000}"/>
    <cellStyle name="Input 8 2 3 2 2 2 2 2 2" xfId="38553" xr:uid="{00000000-0005-0000-0000-0000C8950000}"/>
    <cellStyle name="Input 8 2 3 2 2 2 2 3" xfId="38554" xr:uid="{00000000-0005-0000-0000-0000C9950000}"/>
    <cellStyle name="Input 8 2 3 2 2 2 2 3 2" xfId="38555" xr:uid="{00000000-0005-0000-0000-0000CA950000}"/>
    <cellStyle name="Input 8 2 3 2 2 2 2 4" xfId="38556" xr:uid="{00000000-0005-0000-0000-0000CB950000}"/>
    <cellStyle name="Input 8 2 3 2 2 2 2 5" xfId="38557" xr:uid="{00000000-0005-0000-0000-0000CC950000}"/>
    <cellStyle name="Input 8 2 3 2 2 2 2 6" xfId="38558" xr:uid="{00000000-0005-0000-0000-0000CD950000}"/>
    <cellStyle name="Input 8 2 3 2 2 2 3" xfId="38559" xr:uid="{00000000-0005-0000-0000-0000CE950000}"/>
    <cellStyle name="Input 8 2 3 2 2 2 3 2" xfId="38560" xr:uid="{00000000-0005-0000-0000-0000CF950000}"/>
    <cellStyle name="Input 8 2 3 2 2 2 4" xfId="38561" xr:uid="{00000000-0005-0000-0000-0000D0950000}"/>
    <cellStyle name="Input 8 2 3 2 2 2 4 2" xfId="38562" xr:uid="{00000000-0005-0000-0000-0000D1950000}"/>
    <cellStyle name="Input 8 2 3 2 2 2 5" xfId="38563" xr:uid="{00000000-0005-0000-0000-0000D2950000}"/>
    <cellStyle name="Input 8 2 3 2 2 2 6" xfId="38564" xr:uid="{00000000-0005-0000-0000-0000D3950000}"/>
    <cellStyle name="Input 8 2 3 2 2 2 7" xfId="38565" xr:uid="{00000000-0005-0000-0000-0000D4950000}"/>
    <cellStyle name="Input 8 2 3 2 2 3" xfId="38566" xr:uid="{00000000-0005-0000-0000-0000D5950000}"/>
    <cellStyle name="Input 8 2 3 2 2 3 2" xfId="38567" xr:uid="{00000000-0005-0000-0000-0000D6950000}"/>
    <cellStyle name="Input 8 2 3 2 2 3 2 2" xfId="38568" xr:uid="{00000000-0005-0000-0000-0000D7950000}"/>
    <cellStyle name="Input 8 2 3 2 2 3 3" xfId="38569" xr:uid="{00000000-0005-0000-0000-0000D8950000}"/>
    <cellStyle name="Input 8 2 3 2 2 3 3 2" xfId="38570" xr:uid="{00000000-0005-0000-0000-0000D9950000}"/>
    <cellStyle name="Input 8 2 3 2 2 3 4" xfId="38571" xr:uid="{00000000-0005-0000-0000-0000DA950000}"/>
    <cellStyle name="Input 8 2 3 2 2 3 5" xfId="38572" xr:uid="{00000000-0005-0000-0000-0000DB950000}"/>
    <cellStyle name="Input 8 2 3 2 2 3 6" xfId="38573" xr:uid="{00000000-0005-0000-0000-0000DC950000}"/>
    <cellStyle name="Input 8 2 3 2 2 4" xfId="38574" xr:uid="{00000000-0005-0000-0000-0000DD950000}"/>
    <cellStyle name="Input 8 2 3 2 2 4 2" xfId="38575" xr:uid="{00000000-0005-0000-0000-0000DE950000}"/>
    <cellStyle name="Input 8 2 3 2 2 5" xfId="38576" xr:uid="{00000000-0005-0000-0000-0000DF950000}"/>
    <cellStyle name="Input 8 2 3 2 2 5 2" xfId="38577" xr:uid="{00000000-0005-0000-0000-0000E0950000}"/>
    <cellStyle name="Input 8 2 3 2 2 6" xfId="38578" xr:uid="{00000000-0005-0000-0000-0000E1950000}"/>
    <cellStyle name="Input 8 2 3 2 2 7" xfId="38579" xr:uid="{00000000-0005-0000-0000-0000E2950000}"/>
    <cellStyle name="Input 8 2 3 2 2 8" xfId="38580" xr:uid="{00000000-0005-0000-0000-0000E3950000}"/>
    <cellStyle name="Input 8 2 3 2 3" xfId="38581" xr:uid="{00000000-0005-0000-0000-0000E4950000}"/>
    <cellStyle name="Input 8 2 3 2 3 2" xfId="38582" xr:uid="{00000000-0005-0000-0000-0000E5950000}"/>
    <cellStyle name="Input 8 2 3 2 3 2 2" xfId="38583" xr:uid="{00000000-0005-0000-0000-0000E6950000}"/>
    <cellStyle name="Input 8 2 3 2 3 2 2 2" xfId="38584" xr:uid="{00000000-0005-0000-0000-0000E7950000}"/>
    <cellStyle name="Input 8 2 3 2 3 2 2 2 2" xfId="38585" xr:uid="{00000000-0005-0000-0000-0000E8950000}"/>
    <cellStyle name="Input 8 2 3 2 3 2 2 3" xfId="38586" xr:uid="{00000000-0005-0000-0000-0000E9950000}"/>
    <cellStyle name="Input 8 2 3 2 3 2 2 3 2" xfId="38587" xr:uid="{00000000-0005-0000-0000-0000EA950000}"/>
    <cellStyle name="Input 8 2 3 2 3 2 2 4" xfId="38588" xr:uid="{00000000-0005-0000-0000-0000EB950000}"/>
    <cellStyle name="Input 8 2 3 2 3 2 2 5" xfId="38589" xr:uid="{00000000-0005-0000-0000-0000EC950000}"/>
    <cellStyle name="Input 8 2 3 2 3 2 2 6" xfId="38590" xr:uid="{00000000-0005-0000-0000-0000ED950000}"/>
    <cellStyle name="Input 8 2 3 2 3 2 3" xfId="38591" xr:uid="{00000000-0005-0000-0000-0000EE950000}"/>
    <cellStyle name="Input 8 2 3 2 3 2 3 2" xfId="38592" xr:uid="{00000000-0005-0000-0000-0000EF950000}"/>
    <cellStyle name="Input 8 2 3 2 3 2 4" xfId="38593" xr:uid="{00000000-0005-0000-0000-0000F0950000}"/>
    <cellStyle name="Input 8 2 3 2 3 2 4 2" xfId="38594" xr:uid="{00000000-0005-0000-0000-0000F1950000}"/>
    <cellStyle name="Input 8 2 3 2 3 2 5" xfId="38595" xr:uid="{00000000-0005-0000-0000-0000F2950000}"/>
    <cellStyle name="Input 8 2 3 2 3 2 6" xfId="38596" xr:uid="{00000000-0005-0000-0000-0000F3950000}"/>
    <cellStyle name="Input 8 2 3 2 3 2 7" xfId="38597" xr:uid="{00000000-0005-0000-0000-0000F4950000}"/>
    <cellStyle name="Input 8 2 3 2 3 3" xfId="38598" xr:uid="{00000000-0005-0000-0000-0000F5950000}"/>
    <cellStyle name="Input 8 2 3 2 3 3 2" xfId="38599" xr:uid="{00000000-0005-0000-0000-0000F6950000}"/>
    <cellStyle name="Input 8 2 3 2 3 3 2 2" xfId="38600" xr:uid="{00000000-0005-0000-0000-0000F7950000}"/>
    <cellStyle name="Input 8 2 3 2 3 3 3" xfId="38601" xr:uid="{00000000-0005-0000-0000-0000F8950000}"/>
    <cellStyle name="Input 8 2 3 2 3 3 3 2" xfId="38602" xr:uid="{00000000-0005-0000-0000-0000F9950000}"/>
    <cellStyle name="Input 8 2 3 2 3 3 4" xfId="38603" xr:uid="{00000000-0005-0000-0000-0000FA950000}"/>
    <cellStyle name="Input 8 2 3 2 3 3 5" xfId="38604" xr:uid="{00000000-0005-0000-0000-0000FB950000}"/>
    <cellStyle name="Input 8 2 3 2 3 3 6" xfId="38605" xr:uid="{00000000-0005-0000-0000-0000FC950000}"/>
    <cellStyle name="Input 8 2 3 2 3 4" xfId="38606" xr:uid="{00000000-0005-0000-0000-0000FD950000}"/>
    <cellStyle name="Input 8 2 3 2 3 4 2" xfId="38607" xr:uid="{00000000-0005-0000-0000-0000FE950000}"/>
    <cellStyle name="Input 8 2 3 2 3 5" xfId="38608" xr:uid="{00000000-0005-0000-0000-0000FF950000}"/>
    <cellStyle name="Input 8 2 3 2 3 5 2" xfId="38609" xr:uid="{00000000-0005-0000-0000-000000960000}"/>
    <cellStyle name="Input 8 2 3 2 3 6" xfId="38610" xr:uid="{00000000-0005-0000-0000-000001960000}"/>
    <cellStyle name="Input 8 2 3 2 3 7" xfId="38611" xr:uid="{00000000-0005-0000-0000-000002960000}"/>
    <cellStyle name="Input 8 2 3 2 3 8" xfId="38612" xr:uid="{00000000-0005-0000-0000-000003960000}"/>
    <cellStyle name="Input 8 2 3 2 4" xfId="38613" xr:uid="{00000000-0005-0000-0000-000004960000}"/>
    <cellStyle name="Input 8 2 3 2 4 2" xfId="38614" xr:uid="{00000000-0005-0000-0000-000005960000}"/>
    <cellStyle name="Input 8 2 3 2 4 2 2" xfId="38615" xr:uid="{00000000-0005-0000-0000-000006960000}"/>
    <cellStyle name="Input 8 2 3 2 4 2 2 2" xfId="38616" xr:uid="{00000000-0005-0000-0000-000007960000}"/>
    <cellStyle name="Input 8 2 3 2 4 2 3" xfId="38617" xr:uid="{00000000-0005-0000-0000-000008960000}"/>
    <cellStyle name="Input 8 2 3 2 4 2 3 2" xfId="38618" xr:uid="{00000000-0005-0000-0000-000009960000}"/>
    <cellStyle name="Input 8 2 3 2 4 2 4" xfId="38619" xr:uid="{00000000-0005-0000-0000-00000A960000}"/>
    <cellStyle name="Input 8 2 3 2 4 2 5" xfId="38620" xr:uid="{00000000-0005-0000-0000-00000B960000}"/>
    <cellStyle name="Input 8 2 3 2 4 2 6" xfId="38621" xr:uid="{00000000-0005-0000-0000-00000C960000}"/>
    <cellStyle name="Input 8 2 3 2 4 3" xfId="38622" xr:uid="{00000000-0005-0000-0000-00000D960000}"/>
    <cellStyle name="Input 8 2 3 2 4 3 2" xfId="38623" xr:uid="{00000000-0005-0000-0000-00000E960000}"/>
    <cellStyle name="Input 8 2 3 2 4 4" xfId="38624" xr:uid="{00000000-0005-0000-0000-00000F960000}"/>
    <cellStyle name="Input 8 2 3 2 4 4 2" xfId="38625" xr:uid="{00000000-0005-0000-0000-000010960000}"/>
    <cellStyle name="Input 8 2 3 2 4 5" xfId="38626" xr:uid="{00000000-0005-0000-0000-000011960000}"/>
    <cellStyle name="Input 8 2 3 2 4 6" xfId="38627" xr:uid="{00000000-0005-0000-0000-000012960000}"/>
    <cellStyle name="Input 8 2 3 2 4 7" xfId="38628" xr:uid="{00000000-0005-0000-0000-000013960000}"/>
    <cellStyle name="Input 8 2 3 2 5" xfId="38629" xr:uid="{00000000-0005-0000-0000-000014960000}"/>
    <cellStyle name="Input 8 2 3 2 5 2" xfId="38630" xr:uid="{00000000-0005-0000-0000-000015960000}"/>
    <cellStyle name="Input 8 2 3 2 5 2 2" xfId="38631" xr:uid="{00000000-0005-0000-0000-000016960000}"/>
    <cellStyle name="Input 8 2 3 2 5 3" xfId="38632" xr:uid="{00000000-0005-0000-0000-000017960000}"/>
    <cellStyle name="Input 8 2 3 2 5 3 2" xfId="38633" xr:uid="{00000000-0005-0000-0000-000018960000}"/>
    <cellStyle name="Input 8 2 3 2 5 4" xfId="38634" xr:uid="{00000000-0005-0000-0000-000019960000}"/>
    <cellStyle name="Input 8 2 3 2 5 5" xfId="38635" xr:uid="{00000000-0005-0000-0000-00001A960000}"/>
    <cellStyle name="Input 8 2 3 2 5 6" xfId="38636" xr:uid="{00000000-0005-0000-0000-00001B960000}"/>
    <cellStyle name="Input 8 2 3 2 6" xfId="38637" xr:uid="{00000000-0005-0000-0000-00001C960000}"/>
    <cellStyle name="Input 8 2 3 2 6 2" xfId="38638" xr:uid="{00000000-0005-0000-0000-00001D960000}"/>
    <cellStyle name="Input 8 2 3 2 7" xfId="38639" xr:uid="{00000000-0005-0000-0000-00001E960000}"/>
    <cellStyle name="Input 8 2 3 2 7 2" xfId="38640" xr:uid="{00000000-0005-0000-0000-00001F960000}"/>
    <cellStyle name="Input 8 2 3 2 8" xfId="38641" xr:uid="{00000000-0005-0000-0000-000020960000}"/>
    <cellStyle name="Input 8 2 3 2 9" xfId="38642" xr:uid="{00000000-0005-0000-0000-000021960000}"/>
    <cellStyle name="Input 8 2 3 3" xfId="38643" xr:uid="{00000000-0005-0000-0000-000022960000}"/>
    <cellStyle name="Input 8 2 3 3 2" xfId="38644" xr:uid="{00000000-0005-0000-0000-000023960000}"/>
    <cellStyle name="Input 8 2 3 3 2 2" xfId="38645" xr:uid="{00000000-0005-0000-0000-000024960000}"/>
    <cellStyle name="Input 8 2 3 3 2 2 2" xfId="38646" xr:uid="{00000000-0005-0000-0000-000025960000}"/>
    <cellStyle name="Input 8 2 3 3 2 2 2 2" xfId="38647" xr:uid="{00000000-0005-0000-0000-000026960000}"/>
    <cellStyle name="Input 8 2 3 3 2 2 3" xfId="38648" xr:uid="{00000000-0005-0000-0000-000027960000}"/>
    <cellStyle name="Input 8 2 3 3 2 2 3 2" xfId="38649" xr:uid="{00000000-0005-0000-0000-000028960000}"/>
    <cellStyle name="Input 8 2 3 3 2 2 4" xfId="38650" xr:uid="{00000000-0005-0000-0000-000029960000}"/>
    <cellStyle name="Input 8 2 3 3 2 2 5" xfId="38651" xr:uid="{00000000-0005-0000-0000-00002A960000}"/>
    <cellStyle name="Input 8 2 3 3 2 2 6" xfId="38652" xr:uid="{00000000-0005-0000-0000-00002B960000}"/>
    <cellStyle name="Input 8 2 3 3 2 3" xfId="38653" xr:uid="{00000000-0005-0000-0000-00002C960000}"/>
    <cellStyle name="Input 8 2 3 3 2 3 2" xfId="38654" xr:uid="{00000000-0005-0000-0000-00002D960000}"/>
    <cellStyle name="Input 8 2 3 3 2 4" xfId="38655" xr:uid="{00000000-0005-0000-0000-00002E960000}"/>
    <cellStyle name="Input 8 2 3 3 2 4 2" xfId="38656" xr:uid="{00000000-0005-0000-0000-00002F960000}"/>
    <cellStyle name="Input 8 2 3 3 2 5" xfId="38657" xr:uid="{00000000-0005-0000-0000-000030960000}"/>
    <cellStyle name="Input 8 2 3 3 2 6" xfId="38658" xr:uid="{00000000-0005-0000-0000-000031960000}"/>
    <cellStyle name="Input 8 2 3 3 2 7" xfId="38659" xr:uid="{00000000-0005-0000-0000-000032960000}"/>
    <cellStyle name="Input 8 2 3 3 3" xfId="38660" xr:uid="{00000000-0005-0000-0000-000033960000}"/>
    <cellStyle name="Input 8 2 3 3 3 2" xfId="38661" xr:uid="{00000000-0005-0000-0000-000034960000}"/>
    <cellStyle name="Input 8 2 3 3 3 2 2" xfId="38662" xr:uid="{00000000-0005-0000-0000-000035960000}"/>
    <cellStyle name="Input 8 2 3 3 3 3" xfId="38663" xr:uid="{00000000-0005-0000-0000-000036960000}"/>
    <cellStyle name="Input 8 2 3 3 3 3 2" xfId="38664" xr:uid="{00000000-0005-0000-0000-000037960000}"/>
    <cellStyle name="Input 8 2 3 3 3 4" xfId="38665" xr:uid="{00000000-0005-0000-0000-000038960000}"/>
    <cellStyle name="Input 8 2 3 3 3 5" xfId="38666" xr:uid="{00000000-0005-0000-0000-000039960000}"/>
    <cellStyle name="Input 8 2 3 3 3 6" xfId="38667" xr:uid="{00000000-0005-0000-0000-00003A960000}"/>
    <cellStyle name="Input 8 2 3 3 4" xfId="38668" xr:uid="{00000000-0005-0000-0000-00003B960000}"/>
    <cellStyle name="Input 8 2 3 3 4 2" xfId="38669" xr:uid="{00000000-0005-0000-0000-00003C960000}"/>
    <cellStyle name="Input 8 2 3 3 5" xfId="38670" xr:uid="{00000000-0005-0000-0000-00003D960000}"/>
    <cellStyle name="Input 8 2 3 3 5 2" xfId="38671" xr:uid="{00000000-0005-0000-0000-00003E960000}"/>
    <cellStyle name="Input 8 2 3 3 6" xfId="38672" xr:uid="{00000000-0005-0000-0000-00003F960000}"/>
    <cellStyle name="Input 8 2 3 3 7" xfId="38673" xr:uid="{00000000-0005-0000-0000-000040960000}"/>
    <cellStyle name="Input 8 2 3 3 8" xfId="38674" xr:uid="{00000000-0005-0000-0000-000041960000}"/>
    <cellStyle name="Input 8 2 3 4" xfId="38675" xr:uid="{00000000-0005-0000-0000-000042960000}"/>
    <cellStyle name="Input 8 2 3 4 2" xfId="38676" xr:uid="{00000000-0005-0000-0000-000043960000}"/>
    <cellStyle name="Input 8 2 3 4 2 2" xfId="38677" xr:uid="{00000000-0005-0000-0000-000044960000}"/>
    <cellStyle name="Input 8 2 3 4 2 2 2" xfId="38678" xr:uid="{00000000-0005-0000-0000-000045960000}"/>
    <cellStyle name="Input 8 2 3 4 2 3" xfId="38679" xr:uid="{00000000-0005-0000-0000-000046960000}"/>
    <cellStyle name="Input 8 2 3 4 2 3 2" xfId="38680" xr:uid="{00000000-0005-0000-0000-000047960000}"/>
    <cellStyle name="Input 8 2 3 4 2 4" xfId="38681" xr:uid="{00000000-0005-0000-0000-000048960000}"/>
    <cellStyle name="Input 8 2 3 4 2 5" xfId="38682" xr:uid="{00000000-0005-0000-0000-000049960000}"/>
    <cellStyle name="Input 8 2 3 4 2 6" xfId="38683" xr:uid="{00000000-0005-0000-0000-00004A960000}"/>
    <cellStyle name="Input 8 2 3 4 3" xfId="38684" xr:uid="{00000000-0005-0000-0000-00004B960000}"/>
    <cellStyle name="Input 8 2 3 4 3 2" xfId="38685" xr:uid="{00000000-0005-0000-0000-00004C960000}"/>
    <cellStyle name="Input 8 2 3 4 4" xfId="38686" xr:uid="{00000000-0005-0000-0000-00004D960000}"/>
    <cellStyle name="Input 8 2 3 4 4 2" xfId="38687" xr:uid="{00000000-0005-0000-0000-00004E960000}"/>
    <cellStyle name="Input 8 2 3 4 5" xfId="38688" xr:uid="{00000000-0005-0000-0000-00004F960000}"/>
    <cellStyle name="Input 8 2 3 4 6" xfId="38689" xr:uid="{00000000-0005-0000-0000-000050960000}"/>
    <cellStyle name="Input 8 2 3 4 7" xfId="38690" xr:uid="{00000000-0005-0000-0000-000051960000}"/>
    <cellStyle name="Input 8 2 3 5" xfId="38691" xr:uid="{00000000-0005-0000-0000-000052960000}"/>
    <cellStyle name="Input 8 2 3 5 2" xfId="38692" xr:uid="{00000000-0005-0000-0000-000053960000}"/>
    <cellStyle name="Input 8 2 3 5 2 2" xfId="38693" xr:uid="{00000000-0005-0000-0000-000054960000}"/>
    <cellStyle name="Input 8 2 3 5 3" xfId="38694" xr:uid="{00000000-0005-0000-0000-000055960000}"/>
    <cellStyle name="Input 8 2 3 5 3 2" xfId="38695" xr:uid="{00000000-0005-0000-0000-000056960000}"/>
    <cellStyle name="Input 8 2 3 5 4" xfId="38696" xr:uid="{00000000-0005-0000-0000-000057960000}"/>
    <cellStyle name="Input 8 2 3 5 5" xfId="38697" xr:uid="{00000000-0005-0000-0000-000058960000}"/>
    <cellStyle name="Input 8 2 3 5 6" xfId="38698" xr:uid="{00000000-0005-0000-0000-000059960000}"/>
    <cellStyle name="Input 8 2 3 6" xfId="38699" xr:uid="{00000000-0005-0000-0000-00005A960000}"/>
    <cellStyle name="Input 8 2 3 6 2" xfId="38700" xr:uid="{00000000-0005-0000-0000-00005B960000}"/>
    <cellStyle name="Input 8 2 3 7" xfId="38701" xr:uid="{00000000-0005-0000-0000-00005C960000}"/>
    <cellStyle name="Input 8 2 3 7 2" xfId="38702" xr:uid="{00000000-0005-0000-0000-00005D960000}"/>
    <cellStyle name="Input 8 2 3 8" xfId="38703" xr:uid="{00000000-0005-0000-0000-00005E960000}"/>
    <cellStyle name="Input 8 2 3 9" xfId="38704" xr:uid="{00000000-0005-0000-0000-00005F960000}"/>
    <cellStyle name="Input 8 2 4" xfId="38705" xr:uid="{00000000-0005-0000-0000-000060960000}"/>
    <cellStyle name="Input 8 2 4 10" xfId="38706" xr:uid="{00000000-0005-0000-0000-000061960000}"/>
    <cellStyle name="Input 8 2 4 2" xfId="38707" xr:uid="{00000000-0005-0000-0000-000062960000}"/>
    <cellStyle name="Input 8 2 4 2 2" xfId="38708" xr:uid="{00000000-0005-0000-0000-000063960000}"/>
    <cellStyle name="Input 8 2 4 2 2 2" xfId="38709" xr:uid="{00000000-0005-0000-0000-000064960000}"/>
    <cellStyle name="Input 8 2 4 2 2 2 2" xfId="38710" xr:uid="{00000000-0005-0000-0000-000065960000}"/>
    <cellStyle name="Input 8 2 4 2 2 2 2 2" xfId="38711" xr:uid="{00000000-0005-0000-0000-000066960000}"/>
    <cellStyle name="Input 8 2 4 2 2 2 3" xfId="38712" xr:uid="{00000000-0005-0000-0000-000067960000}"/>
    <cellStyle name="Input 8 2 4 2 2 2 3 2" xfId="38713" xr:uid="{00000000-0005-0000-0000-000068960000}"/>
    <cellStyle name="Input 8 2 4 2 2 2 4" xfId="38714" xr:uid="{00000000-0005-0000-0000-000069960000}"/>
    <cellStyle name="Input 8 2 4 2 2 2 5" xfId="38715" xr:uid="{00000000-0005-0000-0000-00006A960000}"/>
    <cellStyle name="Input 8 2 4 2 2 2 6" xfId="38716" xr:uid="{00000000-0005-0000-0000-00006B960000}"/>
    <cellStyle name="Input 8 2 4 2 2 3" xfId="38717" xr:uid="{00000000-0005-0000-0000-00006C960000}"/>
    <cellStyle name="Input 8 2 4 2 2 3 2" xfId="38718" xr:uid="{00000000-0005-0000-0000-00006D960000}"/>
    <cellStyle name="Input 8 2 4 2 2 4" xfId="38719" xr:uid="{00000000-0005-0000-0000-00006E960000}"/>
    <cellStyle name="Input 8 2 4 2 2 4 2" xfId="38720" xr:uid="{00000000-0005-0000-0000-00006F960000}"/>
    <cellStyle name="Input 8 2 4 2 2 5" xfId="38721" xr:uid="{00000000-0005-0000-0000-000070960000}"/>
    <cellStyle name="Input 8 2 4 2 2 6" xfId="38722" xr:uid="{00000000-0005-0000-0000-000071960000}"/>
    <cellStyle name="Input 8 2 4 2 2 7" xfId="38723" xr:uid="{00000000-0005-0000-0000-000072960000}"/>
    <cellStyle name="Input 8 2 4 2 3" xfId="38724" xr:uid="{00000000-0005-0000-0000-000073960000}"/>
    <cellStyle name="Input 8 2 4 2 3 2" xfId="38725" xr:uid="{00000000-0005-0000-0000-000074960000}"/>
    <cellStyle name="Input 8 2 4 2 3 2 2" xfId="38726" xr:uid="{00000000-0005-0000-0000-000075960000}"/>
    <cellStyle name="Input 8 2 4 2 3 3" xfId="38727" xr:uid="{00000000-0005-0000-0000-000076960000}"/>
    <cellStyle name="Input 8 2 4 2 3 3 2" xfId="38728" xr:uid="{00000000-0005-0000-0000-000077960000}"/>
    <cellStyle name="Input 8 2 4 2 3 4" xfId="38729" xr:uid="{00000000-0005-0000-0000-000078960000}"/>
    <cellStyle name="Input 8 2 4 2 3 5" xfId="38730" xr:uid="{00000000-0005-0000-0000-000079960000}"/>
    <cellStyle name="Input 8 2 4 2 3 6" xfId="38731" xr:uid="{00000000-0005-0000-0000-00007A960000}"/>
    <cellStyle name="Input 8 2 4 2 4" xfId="38732" xr:uid="{00000000-0005-0000-0000-00007B960000}"/>
    <cellStyle name="Input 8 2 4 2 4 2" xfId="38733" xr:uid="{00000000-0005-0000-0000-00007C960000}"/>
    <cellStyle name="Input 8 2 4 2 5" xfId="38734" xr:uid="{00000000-0005-0000-0000-00007D960000}"/>
    <cellStyle name="Input 8 2 4 2 5 2" xfId="38735" xr:uid="{00000000-0005-0000-0000-00007E960000}"/>
    <cellStyle name="Input 8 2 4 2 6" xfId="38736" xr:uid="{00000000-0005-0000-0000-00007F960000}"/>
    <cellStyle name="Input 8 2 4 2 7" xfId="38737" xr:uid="{00000000-0005-0000-0000-000080960000}"/>
    <cellStyle name="Input 8 2 4 2 8" xfId="38738" xr:uid="{00000000-0005-0000-0000-000081960000}"/>
    <cellStyle name="Input 8 2 4 3" xfId="38739" xr:uid="{00000000-0005-0000-0000-000082960000}"/>
    <cellStyle name="Input 8 2 4 3 2" xfId="38740" xr:uid="{00000000-0005-0000-0000-000083960000}"/>
    <cellStyle name="Input 8 2 4 3 2 2" xfId="38741" xr:uid="{00000000-0005-0000-0000-000084960000}"/>
    <cellStyle name="Input 8 2 4 3 2 2 2" xfId="38742" xr:uid="{00000000-0005-0000-0000-000085960000}"/>
    <cellStyle name="Input 8 2 4 3 2 2 2 2" xfId="38743" xr:uid="{00000000-0005-0000-0000-000086960000}"/>
    <cellStyle name="Input 8 2 4 3 2 2 3" xfId="38744" xr:uid="{00000000-0005-0000-0000-000087960000}"/>
    <cellStyle name="Input 8 2 4 3 2 2 3 2" xfId="38745" xr:uid="{00000000-0005-0000-0000-000088960000}"/>
    <cellStyle name="Input 8 2 4 3 2 2 4" xfId="38746" xr:uid="{00000000-0005-0000-0000-000089960000}"/>
    <cellStyle name="Input 8 2 4 3 2 2 5" xfId="38747" xr:uid="{00000000-0005-0000-0000-00008A960000}"/>
    <cellStyle name="Input 8 2 4 3 2 2 6" xfId="38748" xr:uid="{00000000-0005-0000-0000-00008B960000}"/>
    <cellStyle name="Input 8 2 4 3 2 3" xfId="38749" xr:uid="{00000000-0005-0000-0000-00008C960000}"/>
    <cellStyle name="Input 8 2 4 3 2 3 2" xfId="38750" xr:uid="{00000000-0005-0000-0000-00008D960000}"/>
    <cellStyle name="Input 8 2 4 3 2 4" xfId="38751" xr:uid="{00000000-0005-0000-0000-00008E960000}"/>
    <cellStyle name="Input 8 2 4 3 2 4 2" xfId="38752" xr:uid="{00000000-0005-0000-0000-00008F960000}"/>
    <cellStyle name="Input 8 2 4 3 2 5" xfId="38753" xr:uid="{00000000-0005-0000-0000-000090960000}"/>
    <cellStyle name="Input 8 2 4 3 2 6" xfId="38754" xr:uid="{00000000-0005-0000-0000-000091960000}"/>
    <cellStyle name="Input 8 2 4 3 2 7" xfId="38755" xr:uid="{00000000-0005-0000-0000-000092960000}"/>
    <cellStyle name="Input 8 2 4 3 3" xfId="38756" xr:uid="{00000000-0005-0000-0000-000093960000}"/>
    <cellStyle name="Input 8 2 4 3 3 2" xfId="38757" xr:uid="{00000000-0005-0000-0000-000094960000}"/>
    <cellStyle name="Input 8 2 4 3 3 2 2" xfId="38758" xr:uid="{00000000-0005-0000-0000-000095960000}"/>
    <cellStyle name="Input 8 2 4 3 3 3" xfId="38759" xr:uid="{00000000-0005-0000-0000-000096960000}"/>
    <cellStyle name="Input 8 2 4 3 3 3 2" xfId="38760" xr:uid="{00000000-0005-0000-0000-000097960000}"/>
    <cellStyle name="Input 8 2 4 3 3 4" xfId="38761" xr:uid="{00000000-0005-0000-0000-000098960000}"/>
    <cellStyle name="Input 8 2 4 3 3 5" xfId="38762" xr:uid="{00000000-0005-0000-0000-000099960000}"/>
    <cellStyle name="Input 8 2 4 3 3 6" xfId="38763" xr:uid="{00000000-0005-0000-0000-00009A960000}"/>
    <cellStyle name="Input 8 2 4 3 4" xfId="38764" xr:uid="{00000000-0005-0000-0000-00009B960000}"/>
    <cellStyle name="Input 8 2 4 3 4 2" xfId="38765" xr:uid="{00000000-0005-0000-0000-00009C960000}"/>
    <cellStyle name="Input 8 2 4 3 5" xfId="38766" xr:uid="{00000000-0005-0000-0000-00009D960000}"/>
    <cellStyle name="Input 8 2 4 3 5 2" xfId="38767" xr:uid="{00000000-0005-0000-0000-00009E960000}"/>
    <cellStyle name="Input 8 2 4 3 6" xfId="38768" xr:uid="{00000000-0005-0000-0000-00009F960000}"/>
    <cellStyle name="Input 8 2 4 3 7" xfId="38769" xr:uid="{00000000-0005-0000-0000-0000A0960000}"/>
    <cellStyle name="Input 8 2 4 3 8" xfId="38770" xr:uid="{00000000-0005-0000-0000-0000A1960000}"/>
    <cellStyle name="Input 8 2 4 4" xfId="38771" xr:uid="{00000000-0005-0000-0000-0000A2960000}"/>
    <cellStyle name="Input 8 2 4 4 2" xfId="38772" xr:uid="{00000000-0005-0000-0000-0000A3960000}"/>
    <cellStyle name="Input 8 2 4 4 2 2" xfId="38773" xr:uid="{00000000-0005-0000-0000-0000A4960000}"/>
    <cellStyle name="Input 8 2 4 4 2 2 2" xfId="38774" xr:uid="{00000000-0005-0000-0000-0000A5960000}"/>
    <cellStyle name="Input 8 2 4 4 2 3" xfId="38775" xr:uid="{00000000-0005-0000-0000-0000A6960000}"/>
    <cellStyle name="Input 8 2 4 4 2 3 2" xfId="38776" xr:uid="{00000000-0005-0000-0000-0000A7960000}"/>
    <cellStyle name="Input 8 2 4 4 2 4" xfId="38777" xr:uid="{00000000-0005-0000-0000-0000A8960000}"/>
    <cellStyle name="Input 8 2 4 4 2 5" xfId="38778" xr:uid="{00000000-0005-0000-0000-0000A9960000}"/>
    <cellStyle name="Input 8 2 4 4 2 6" xfId="38779" xr:uid="{00000000-0005-0000-0000-0000AA960000}"/>
    <cellStyle name="Input 8 2 4 4 3" xfId="38780" xr:uid="{00000000-0005-0000-0000-0000AB960000}"/>
    <cellStyle name="Input 8 2 4 4 3 2" xfId="38781" xr:uid="{00000000-0005-0000-0000-0000AC960000}"/>
    <cellStyle name="Input 8 2 4 4 4" xfId="38782" xr:uid="{00000000-0005-0000-0000-0000AD960000}"/>
    <cellStyle name="Input 8 2 4 4 4 2" xfId="38783" xr:uid="{00000000-0005-0000-0000-0000AE960000}"/>
    <cellStyle name="Input 8 2 4 4 5" xfId="38784" xr:uid="{00000000-0005-0000-0000-0000AF960000}"/>
    <cellStyle name="Input 8 2 4 4 6" xfId="38785" xr:uid="{00000000-0005-0000-0000-0000B0960000}"/>
    <cellStyle name="Input 8 2 4 4 7" xfId="38786" xr:uid="{00000000-0005-0000-0000-0000B1960000}"/>
    <cellStyle name="Input 8 2 4 5" xfId="38787" xr:uid="{00000000-0005-0000-0000-0000B2960000}"/>
    <cellStyle name="Input 8 2 4 5 2" xfId="38788" xr:uid="{00000000-0005-0000-0000-0000B3960000}"/>
    <cellStyle name="Input 8 2 4 5 2 2" xfId="38789" xr:uid="{00000000-0005-0000-0000-0000B4960000}"/>
    <cellStyle name="Input 8 2 4 5 3" xfId="38790" xr:uid="{00000000-0005-0000-0000-0000B5960000}"/>
    <cellStyle name="Input 8 2 4 5 3 2" xfId="38791" xr:uid="{00000000-0005-0000-0000-0000B6960000}"/>
    <cellStyle name="Input 8 2 4 5 4" xfId="38792" xr:uid="{00000000-0005-0000-0000-0000B7960000}"/>
    <cellStyle name="Input 8 2 4 5 5" xfId="38793" xr:uid="{00000000-0005-0000-0000-0000B8960000}"/>
    <cellStyle name="Input 8 2 4 5 6" xfId="38794" xr:uid="{00000000-0005-0000-0000-0000B9960000}"/>
    <cellStyle name="Input 8 2 4 6" xfId="38795" xr:uid="{00000000-0005-0000-0000-0000BA960000}"/>
    <cellStyle name="Input 8 2 4 6 2" xfId="38796" xr:uid="{00000000-0005-0000-0000-0000BB960000}"/>
    <cellStyle name="Input 8 2 4 7" xfId="38797" xr:uid="{00000000-0005-0000-0000-0000BC960000}"/>
    <cellStyle name="Input 8 2 4 7 2" xfId="38798" xr:uid="{00000000-0005-0000-0000-0000BD960000}"/>
    <cellStyle name="Input 8 2 4 8" xfId="38799" xr:uid="{00000000-0005-0000-0000-0000BE960000}"/>
    <cellStyle name="Input 8 2 4 9" xfId="38800" xr:uid="{00000000-0005-0000-0000-0000BF960000}"/>
    <cellStyle name="Input 8 2 5" xfId="38801" xr:uid="{00000000-0005-0000-0000-0000C0960000}"/>
    <cellStyle name="Input 8 2 5 2" xfId="38802" xr:uid="{00000000-0005-0000-0000-0000C1960000}"/>
    <cellStyle name="Input 8 2 5 2 2" xfId="38803" xr:uid="{00000000-0005-0000-0000-0000C2960000}"/>
    <cellStyle name="Input 8 2 5 2 2 2" xfId="38804" xr:uid="{00000000-0005-0000-0000-0000C3960000}"/>
    <cellStyle name="Input 8 2 5 2 2 2 2" xfId="38805" xr:uid="{00000000-0005-0000-0000-0000C4960000}"/>
    <cellStyle name="Input 8 2 5 2 2 3" xfId="38806" xr:uid="{00000000-0005-0000-0000-0000C5960000}"/>
    <cellStyle name="Input 8 2 5 2 2 3 2" xfId="38807" xr:uid="{00000000-0005-0000-0000-0000C6960000}"/>
    <cellStyle name="Input 8 2 5 2 2 4" xfId="38808" xr:uid="{00000000-0005-0000-0000-0000C7960000}"/>
    <cellStyle name="Input 8 2 5 2 2 5" xfId="38809" xr:uid="{00000000-0005-0000-0000-0000C8960000}"/>
    <cellStyle name="Input 8 2 5 2 2 6" xfId="38810" xr:uid="{00000000-0005-0000-0000-0000C9960000}"/>
    <cellStyle name="Input 8 2 5 2 3" xfId="38811" xr:uid="{00000000-0005-0000-0000-0000CA960000}"/>
    <cellStyle name="Input 8 2 5 2 3 2" xfId="38812" xr:uid="{00000000-0005-0000-0000-0000CB960000}"/>
    <cellStyle name="Input 8 2 5 2 4" xfId="38813" xr:uid="{00000000-0005-0000-0000-0000CC960000}"/>
    <cellStyle name="Input 8 2 5 2 4 2" xfId="38814" xr:uid="{00000000-0005-0000-0000-0000CD960000}"/>
    <cellStyle name="Input 8 2 5 2 5" xfId="38815" xr:uid="{00000000-0005-0000-0000-0000CE960000}"/>
    <cellStyle name="Input 8 2 5 2 6" xfId="38816" xr:uid="{00000000-0005-0000-0000-0000CF960000}"/>
    <cellStyle name="Input 8 2 5 2 7" xfId="38817" xr:uid="{00000000-0005-0000-0000-0000D0960000}"/>
    <cellStyle name="Input 8 2 5 3" xfId="38818" xr:uid="{00000000-0005-0000-0000-0000D1960000}"/>
    <cellStyle name="Input 8 2 5 3 2" xfId="38819" xr:uid="{00000000-0005-0000-0000-0000D2960000}"/>
    <cellStyle name="Input 8 2 5 3 2 2" xfId="38820" xr:uid="{00000000-0005-0000-0000-0000D3960000}"/>
    <cellStyle name="Input 8 2 5 3 3" xfId="38821" xr:uid="{00000000-0005-0000-0000-0000D4960000}"/>
    <cellStyle name="Input 8 2 5 3 3 2" xfId="38822" xr:uid="{00000000-0005-0000-0000-0000D5960000}"/>
    <cellStyle name="Input 8 2 5 3 4" xfId="38823" xr:uid="{00000000-0005-0000-0000-0000D6960000}"/>
    <cellStyle name="Input 8 2 5 3 5" xfId="38824" xr:uid="{00000000-0005-0000-0000-0000D7960000}"/>
    <cellStyle name="Input 8 2 5 3 6" xfId="38825" xr:uid="{00000000-0005-0000-0000-0000D8960000}"/>
    <cellStyle name="Input 8 2 5 4" xfId="38826" xr:uid="{00000000-0005-0000-0000-0000D9960000}"/>
    <cellStyle name="Input 8 2 5 4 2" xfId="38827" xr:uid="{00000000-0005-0000-0000-0000DA960000}"/>
    <cellStyle name="Input 8 2 5 5" xfId="38828" xr:uid="{00000000-0005-0000-0000-0000DB960000}"/>
    <cellStyle name="Input 8 2 5 5 2" xfId="38829" xr:uid="{00000000-0005-0000-0000-0000DC960000}"/>
    <cellStyle name="Input 8 2 5 6" xfId="38830" xr:uid="{00000000-0005-0000-0000-0000DD960000}"/>
    <cellStyle name="Input 8 2 5 7" xfId="38831" xr:uid="{00000000-0005-0000-0000-0000DE960000}"/>
    <cellStyle name="Input 8 2 5 8" xfId="38832" xr:uid="{00000000-0005-0000-0000-0000DF960000}"/>
    <cellStyle name="Input 8 2 6" xfId="38833" xr:uid="{00000000-0005-0000-0000-0000E0960000}"/>
    <cellStyle name="Input 8 2 6 2" xfId="38834" xr:uid="{00000000-0005-0000-0000-0000E1960000}"/>
    <cellStyle name="Input 8 2 6 2 2" xfId="38835" xr:uid="{00000000-0005-0000-0000-0000E2960000}"/>
    <cellStyle name="Input 8 2 6 2 2 2" xfId="38836" xr:uid="{00000000-0005-0000-0000-0000E3960000}"/>
    <cellStyle name="Input 8 2 6 2 3" xfId="38837" xr:uid="{00000000-0005-0000-0000-0000E4960000}"/>
    <cellStyle name="Input 8 2 6 2 3 2" xfId="38838" xr:uid="{00000000-0005-0000-0000-0000E5960000}"/>
    <cellStyle name="Input 8 2 6 2 4" xfId="38839" xr:uid="{00000000-0005-0000-0000-0000E6960000}"/>
    <cellStyle name="Input 8 2 6 2 5" xfId="38840" xr:uid="{00000000-0005-0000-0000-0000E7960000}"/>
    <cellStyle name="Input 8 2 6 2 6" xfId="38841" xr:uid="{00000000-0005-0000-0000-0000E8960000}"/>
    <cellStyle name="Input 8 2 6 3" xfId="38842" xr:uid="{00000000-0005-0000-0000-0000E9960000}"/>
    <cellStyle name="Input 8 2 6 3 2" xfId="38843" xr:uid="{00000000-0005-0000-0000-0000EA960000}"/>
    <cellStyle name="Input 8 2 6 4" xfId="38844" xr:uid="{00000000-0005-0000-0000-0000EB960000}"/>
    <cellStyle name="Input 8 2 6 4 2" xfId="38845" xr:uid="{00000000-0005-0000-0000-0000EC960000}"/>
    <cellStyle name="Input 8 2 6 5" xfId="38846" xr:uid="{00000000-0005-0000-0000-0000ED960000}"/>
    <cellStyle name="Input 8 2 6 6" xfId="38847" xr:uid="{00000000-0005-0000-0000-0000EE960000}"/>
    <cellStyle name="Input 8 2 6 7" xfId="38848" xr:uid="{00000000-0005-0000-0000-0000EF960000}"/>
    <cellStyle name="Input 8 2 7" xfId="38849" xr:uid="{00000000-0005-0000-0000-0000F0960000}"/>
    <cellStyle name="Input 8 2 7 2" xfId="38850" xr:uid="{00000000-0005-0000-0000-0000F1960000}"/>
    <cellStyle name="Input 8 2 7 2 2" xfId="38851" xr:uid="{00000000-0005-0000-0000-0000F2960000}"/>
    <cellStyle name="Input 8 2 7 3" xfId="38852" xr:uid="{00000000-0005-0000-0000-0000F3960000}"/>
    <cellStyle name="Input 8 2 7 3 2" xfId="38853" xr:uid="{00000000-0005-0000-0000-0000F4960000}"/>
    <cellStyle name="Input 8 2 7 4" xfId="38854" xr:uid="{00000000-0005-0000-0000-0000F5960000}"/>
    <cellStyle name="Input 8 2 7 5" xfId="38855" xr:uid="{00000000-0005-0000-0000-0000F6960000}"/>
    <cellStyle name="Input 8 2 7 6" xfId="38856" xr:uid="{00000000-0005-0000-0000-0000F7960000}"/>
    <cellStyle name="Input 8 2 8" xfId="38857" xr:uid="{00000000-0005-0000-0000-0000F8960000}"/>
    <cellStyle name="Input 8 2 8 2" xfId="38858" xr:uid="{00000000-0005-0000-0000-0000F9960000}"/>
    <cellStyle name="Input 8 2 9" xfId="38859" xr:uid="{00000000-0005-0000-0000-0000FA960000}"/>
    <cellStyle name="Input 8 2 9 2" xfId="38860" xr:uid="{00000000-0005-0000-0000-0000FB960000}"/>
    <cellStyle name="Input 8 3" xfId="38861" xr:uid="{00000000-0005-0000-0000-0000FC960000}"/>
    <cellStyle name="Input 8 3 10" xfId="38862" xr:uid="{00000000-0005-0000-0000-0000FD960000}"/>
    <cellStyle name="Input 8 3 11" xfId="38863" xr:uid="{00000000-0005-0000-0000-0000FE960000}"/>
    <cellStyle name="Input 8 3 2" xfId="38864" xr:uid="{00000000-0005-0000-0000-0000FF960000}"/>
    <cellStyle name="Input 8 3 2 10" xfId="38865" xr:uid="{00000000-0005-0000-0000-000000970000}"/>
    <cellStyle name="Input 8 3 2 2" xfId="38866" xr:uid="{00000000-0005-0000-0000-000001970000}"/>
    <cellStyle name="Input 8 3 2 2 10" xfId="38867" xr:uid="{00000000-0005-0000-0000-000002970000}"/>
    <cellStyle name="Input 8 3 2 2 2" xfId="38868" xr:uid="{00000000-0005-0000-0000-000003970000}"/>
    <cellStyle name="Input 8 3 2 2 2 2" xfId="38869" xr:uid="{00000000-0005-0000-0000-000004970000}"/>
    <cellStyle name="Input 8 3 2 2 2 2 2" xfId="38870" xr:uid="{00000000-0005-0000-0000-000005970000}"/>
    <cellStyle name="Input 8 3 2 2 2 2 2 2" xfId="38871" xr:uid="{00000000-0005-0000-0000-000006970000}"/>
    <cellStyle name="Input 8 3 2 2 2 2 2 2 2" xfId="38872" xr:uid="{00000000-0005-0000-0000-000007970000}"/>
    <cellStyle name="Input 8 3 2 2 2 2 2 3" xfId="38873" xr:uid="{00000000-0005-0000-0000-000008970000}"/>
    <cellStyle name="Input 8 3 2 2 2 2 2 3 2" xfId="38874" xr:uid="{00000000-0005-0000-0000-000009970000}"/>
    <cellStyle name="Input 8 3 2 2 2 2 2 4" xfId="38875" xr:uid="{00000000-0005-0000-0000-00000A970000}"/>
    <cellStyle name="Input 8 3 2 2 2 2 2 5" xfId="38876" xr:uid="{00000000-0005-0000-0000-00000B970000}"/>
    <cellStyle name="Input 8 3 2 2 2 2 2 6" xfId="38877" xr:uid="{00000000-0005-0000-0000-00000C970000}"/>
    <cellStyle name="Input 8 3 2 2 2 2 3" xfId="38878" xr:uid="{00000000-0005-0000-0000-00000D970000}"/>
    <cellStyle name="Input 8 3 2 2 2 2 3 2" xfId="38879" xr:uid="{00000000-0005-0000-0000-00000E970000}"/>
    <cellStyle name="Input 8 3 2 2 2 2 4" xfId="38880" xr:uid="{00000000-0005-0000-0000-00000F970000}"/>
    <cellStyle name="Input 8 3 2 2 2 2 4 2" xfId="38881" xr:uid="{00000000-0005-0000-0000-000010970000}"/>
    <cellStyle name="Input 8 3 2 2 2 2 5" xfId="38882" xr:uid="{00000000-0005-0000-0000-000011970000}"/>
    <cellStyle name="Input 8 3 2 2 2 2 6" xfId="38883" xr:uid="{00000000-0005-0000-0000-000012970000}"/>
    <cellStyle name="Input 8 3 2 2 2 2 7" xfId="38884" xr:uid="{00000000-0005-0000-0000-000013970000}"/>
    <cellStyle name="Input 8 3 2 2 2 3" xfId="38885" xr:uid="{00000000-0005-0000-0000-000014970000}"/>
    <cellStyle name="Input 8 3 2 2 2 3 2" xfId="38886" xr:uid="{00000000-0005-0000-0000-000015970000}"/>
    <cellStyle name="Input 8 3 2 2 2 3 2 2" xfId="38887" xr:uid="{00000000-0005-0000-0000-000016970000}"/>
    <cellStyle name="Input 8 3 2 2 2 3 3" xfId="38888" xr:uid="{00000000-0005-0000-0000-000017970000}"/>
    <cellStyle name="Input 8 3 2 2 2 3 3 2" xfId="38889" xr:uid="{00000000-0005-0000-0000-000018970000}"/>
    <cellStyle name="Input 8 3 2 2 2 3 4" xfId="38890" xr:uid="{00000000-0005-0000-0000-000019970000}"/>
    <cellStyle name="Input 8 3 2 2 2 3 5" xfId="38891" xr:uid="{00000000-0005-0000-0000-00001A970000}"/>
    <cellStyle name="Input 8 3 2 2 2 3 6" xfId="38892" xr:uid="{00000000-0005-0000-0000-00001B970000}"/>
    <cellStyle name="Input 8 3 2 2 2 4" xfId="38893" xr:uid="{00000000-0005-0000-0000-00001C970000}"/>
    <cellStyle name="Input 8 3 2 2 2 4 2" xfId="38894" xr:uid="{00000000-0005-0000-0000-00001D970000}"/>
    <cellStyle name="Input 8 3 2 2 2 5" xfId="38895" xr:uid="{00000000-0005-0000-0000-00001E970000}"/>
    <cellStyle name="Input 8 3 2 2 2 5 2" xfId="38896" xr:uid="{00000000-0005-0000-0000-00001F970000}"/>
    <cellStyle name="Input 8 3 2 2 2 6" xfId="38897" xr:uid="{00000000-0005-0000-0000-000020970000}"/>
    <cellStyle name="Input 8 3 2 2 2 7" xfId="38898" xr:uid="{00000000-0005-0000-0000-000021970000}"/>
    <cellStyle name="Input 8 3 2 2 2 8" xfId="38899" xr:uid="{00000000-0005-0000-0000-000022970000}"/>
    <cellStyle name="Input 8 3 2 2 3" xfId="38900" xr:uid="{00000000-0005-0000-0000-000023970000}"/>
    <cellStyle name="Input 8 3 2 2 3 2" xfId="38901" xr:uid="{00000000-0005-0000-0000-000024970000}"/>
    <cellStyle name="Input 8 3 2 2 3 2 2" xfId="38902" xr:uid="{00000000-0005-0000-0000-000025970000}"/>
    <cellStyle name="Input 8 3 2 2 3 2 2 2" xfId="38903" xr:uid="{00000000-0005-0000-0000-000026970000}"/>
    <cellStyle name="Input 8 3 2 2 3 2 2 2 2" xfId="38904" xr:uid="{00000000-0005-0000-0000-000027970000}"/>
    <cellStyle name="Input 8 3 2 2 3 2 2 3" xfId="38905" xr:uid="{00000000-0005-0000-0000-000028970000}"/>
    <cellStyle name="Input 8 3 2 2 3 2 2 3 2" xfId="38906" xr:uid="{00000000-0005-0000-0000-000029970000}"/>
    <cellStyle name="Input 8 3 2 2 3 2 2 4" xfId="38907" xr:uid="{00000000-0005-0000-0000-00002A970000}"/>
    <cellStyle name="Input 8 3 2 2 3 2 2 5" xfId="38908" xr:uid="{00000000-0005-0000-0000-00002B970000}"/>
    <cellStyle name="Input 8 3 2 2 3 2 2 6" xfId="38909" xr:uid="{00000000-0005-0000-0000-00002C970000}"/>
    <cellStyle name="Input 8 3 2 2 3 2 3" xfId="38910" xr:uid="{00000000-0005-0000-0000-00002D970000}"/>
    <cellStyle name="Input 8 3 2 2 3 2 3 2" xfId="38911" xr:uid="{00000000-0005-0000-0000-00002E970000}"/>
    <cellStyle name="Input 8 3 2 2 3 2 4" xfId="38912" xr:uid="{00000000-0005-0000-0000-00002F970000}"/>
    <cellStyle name="Input 8 3 2 2 3 2 4 2" xfId="38913" xr:uid="{00000000-0005-0000-0000-000030970000}"/>
    <cellStyle name="Input 8 3 2 2 3 2 5" xfId="38914" xr:uid="{00000000-0005-0000-0000-000031970000}"/>
    <cellStyle name="Input 8 3 2 2 3 2 6" xfId="38915" xr:uid="{00000000-0005-0000-0000-000032970000}"/>
    <cellStyle name="Input 8 3 2 2 3 2 7" xfId="38916" xr:uid="{00000000-0005-0000-0000-000033970000}"/>
    <cellStyle name="Input 8 3 2 2 3 3" xfId="38917" xr:uid="{00000000-0005-0000-0000-000034970000}"/>
    <cellStyle name="Input 8 3 2 2 3 3 2" xfId="38918" xr:uid="{00000000-0005-0000-0000-000035970000}"/>
    <cellStyle name="Input 8 3 2 2 3 3 2 2" xfId="38919" xr:uid="{00000000-0005-0000-0000-000036970000}"/>
    <cellStyle name="Input 8 3 2 2 3 3 3" xfId="38920" xr:uid="{00000000-0005-0000-0000-000037970000}"/>
    <cellStyle name="Input 8 3 2 2 3 3 3 2" xfId="38921" xr:uid="{00000000-0005-0000-0000-000038970000}"/>
    <cellStyle name="Input 8 3 2 2 3 3 4" xfId="38922" xr:uid="{00000000-0005-0000-0000-000039970000}"/>
    <cellStyle name="Input 8 3 2 2 3 3 5" xfId="38923" xr:uid="{00000000-0005-0000-0000-00003A970000}"/>
    <cellStyle name="Input 8 3 2 2 3 3 6" xfId="38924" xr:uid="{00000000-0005-0000-0000-00003B970000}"/>
    <cellStyle name="Input 8 3 2 2 3 4" xfId="38925" xr:uid="{00000000-0005-0000-0000-00003C970000}"/>
    <cellStyle name="Input 8 3 2 2 3 4 2" xfId="38926" xr:uid="{00000000-0005-0000-0000-00003D970000}"/>
    <cellStyle name="Input 8 3 2 2 3 5" xfId="38927" xr:uid="{00000000-0005-0000-0000-00003E970000}"/>
    <cellStyle name="Input 8 3 2 2 3 5 2" xfId="38928" xr:uid="{00000000-0005-0000-0000-00003F970000}"/>
    <cellStyle name="Input 8 3 2 2 3 6" xfId="38929" xr:uid="{00000000-0005-0000-0000-000040970000}"/>
    <cellStyle name="Input 8 3 2 2 3 7" xfId="38930" xr:uid="{00000000-0005-0000-0000-000041970000}"/>
    <cellStyle name="Input 8 3 2 2 3 8" xfId="38931" xr:uid="{00000000-0005-0000-0000-000042970000}"/>
    <cellStyle name="Input 8 3 2 2 4" xfId="38932" xr:uid="{00000000-0005-0000-0000-000043970000}"/>
    <cellStyle name="Input 8 3 2 2 4 2" xfId="38933" xr:uid="{00000000-0005-0000-0000-000044970000}"/>
    <cellStyle name="Input 8 3 2 2 4 2 2" xfId="38934" xr:uid="{00000000-0005-0000-0000-000045970000}"/>
    <cellStyle name="Input 8 3 2 2 4 2 2 2" xfId="38935" xr:uid="{00000000-0005-0000-0000-000046970000}"/>
    <cellStyle name="Input 8 3 2 2 4 2 3" xfId="38936" xr:uid="{00000000-0005-0000-0000-000047970000}"/>
    <cellStyle name="Input 8 3 2 2 4 2 3 2" xfId="38937" xr:uid="{00000000-0005-0000-0000-000048970000}"/>
    <cellStyle name="Input 8 3 2 2 4 2 4" xfId="38938" xr:uid="{00000000-0005-0000-0000-000049970000}"/>
    <cellStyle name="Input 8 3 2 2 4 2 5" xfId="38939" xr:uid="{00000000-0005-0000-0000-00004A970000}"/>
    <cellStyle name="Input 8 3 2 2 4 2 6" xfId="38940" xr:uid="{00000000-0005-0000-0000-00004B970000}"/>
    <cellStyle name="Input 8 3 2 2 4 3" xfId="38941" xr:uid="{00000000-0005-0000-0000-00004C970000}"/>
    <cellStyle name="Input 8 3 2 2 4 3 2" xfId="38942" xr:uid="{00000000-0005-0000-0000-00004D970000}"/>
    <cellStyle name="Input 8 3 2 2 4 4" xfId="38943" xr:uid="{00000000-0005-0000-0000-00004E970000}"/>
    <cellStyle name="Input 8 3 2 2 4 4 2" xfId="38944" xr:uid="{00000000-0005-0000-0000-00004F970000}"/>
    <cellStyle name="Input 8 3 2 2 4 5" xfId="38945" xr:uid="{00000000-0005-0000-0000-000050970000}"/>
    <cellStyle name="Input 8 3 2 2 4 6" xfId="38946" xr:uid="{00000000-0005-0000-0000-000051970000}"/>
    <cellStyle name="Input 8 3 2 2 4 7" xfId="38947" xr:uid="{00000000-0005-0000-0000-000052970000}"/>
    <cellStyle name="Input 8 3 2 2 5" xfId="38948" xr:uid="{00000000-0005-0000-0000-000053970000}"/>
    <cellStyle name="Input 8 3 2 2 5 2" xfId="38949" xr:uid="{00000000-0005-0000-0000-000054970000}"/>
    <cellStyle name="Input 8 3 2 2 5 2 2" xfId="38950" xr:uid="{00000000-0005-0000-0000-000055970000}"/>
    <cellStyle name="Input 8 3 2 2 5 3" xfId="38951" xr:uid="{00000000-0005-0000-0000-000056970000}"/>
    <cellStyle name="Input 8 3 2 2 5 3 2" xfId="38952" xr:uid="{00000000-0005-0000-0000-000057970000}"/>
    <cellStyle name="Input 8 3 2 2 5 4" xfId="38953" xr:uid="{00000000-0005-0000-0000-000058970000}"/>
    <cellStyle name="Input 8 3 2 2 5 5" xfId="38954" xr:uid="{00000000-0005-0000-0000-000059970000}"/>
    <cellStyle name="Input 8 3 2 2 5 6" xfId="38955" xr:uid="{00000000-0005-0000-0000-00005A970000}"/>
    <cellStyle name="Input 8 3 2 2 6" xfId="38956" xr:uid="{00000000-0005-0000-0000-00005B970000}"/>
    <cellStyle name="Input 8 3 2 2 6 2" xfId="38957" xr:uid="{00000000-0005-0000-0000-00005C970000}"/>
    <cellStyle name="Input 8 3 2 2 7" xfId="38958" xr:uid="{00000000-0005-0000-0000-00005D970000}"/>
    <cellStyle name="Input 8 3 2 2 7 2" xfId="38959" xr:uid="{00000000-0005-0000-0000-00005E970000}"/>
    <cellStyle name="Input 8 3 2 2 8" xfId="38960" xr:uid="{00000000-0005-0000-0000-00005F970000}"/>
    <cellStyle name="Input 8 3 2 2 9" xfId="38961" xr:uid="{00000000-0005-0000-0000-000060970000}"/>
    <cellStyle name="Input 8 3 2 3" xfId="38962" xr:uid="{00000000-0005-0000-0000-000061970000}"/>
    <cellStyle name="Input 8 3 2 3 2" xfId="38963" xr:uid="{00000000-0005-0000-0000-000062970000}"/>
    <cellStyle name="Input 8 3 2 3 2 2" xfId="38964" xr:uid="{00000000-0005-0000-0000-000063970000}"/>
    <cellStyle name="Input 8 3 2 3 2 2 2" xfId="38965" xr:uid="{00000000-0005-0000-0000-000064970000}"/>
    <cellStyle name="Input 8 3 2 3 2 2 2 2" xfId="38966" xr:uid="{00000000-0005-0000-0000-000065970000}"/>
    <cellStyle name="Input 8 3 2 3 2 2 3" xfId="38967" xr:uid="{00000000-0005-0000-0000-000066970000}"/>
    <cellStyle name="Input 8 3 2 3 2 2 3 2" xfId="38968" xr:uid="{00000000-0005-0000-0000-000067970000}"/>
    <cellStyle name="Input 8 3 2 3 2 2 4" xfId="38969" xr:uid="{00000000-0005-0000-0000-000068970000}"/>
    <cellStyle name="Input 8 3 2 3 2 2 5" xfId="38970" xr:uid="{00000000-0005-0000-0000-000069970000}"/>
    <cellStyle name="Input 8 3 2 3 2 2 6" xfId="38971" xr:uid="{00000000-0005-0000-0000-00006A970000}"/>
    <cellStyle name="Input 8 3 2 3 2 3" xfId="38972" xr:uid="{00000000-0005-0000-0000-00006B970000}"/>
    <cellStyle name="Input 8 3 2 3 2 3 2" xfId="38973" xr:uid="{00000000-0005-0000-0000-00006C970000}"/>
    <cellStyle name="Input 8 3 2 3 2 4" xfId="38974" xr:uid="{00000000-0005-0000-0000-00006D970000}"/>
    <cellStyle name="Input 8 3 2 3 2 4 2" xfId="38975" xr:uid="{00000000-0005-0000-0000-00006E970000}"/>
    <cellStyle name="Input 8 3 2 3 2 5" xfId="38976" xr:uid="{00000000-0005-0000-0000-00006F970000}"/>
    <cellStyle name="Input 8 3 2 3 2 6" xfId="38977" xr:uid="{00000000-0005-0000-0000-000070970000}"/>
    <cellStyle name="Input 8 3 2 3 2 7" xfId="38978" xr:uid="{00000000-0005-0000-0000-000071970000}"/>
    <cellStyle name="Input 8 3 2 3 3" xfId="38979" xr:uid="{00000000-0005-0000-0000-000072970000}"/>
    <cellStyle name="Input 8 3 2 3 3 2" xfId="38980" xr:uid="{00000000-0005-0000-0000-000073970000}"/>
    <cellStyle name="Input 8 3 2 3 3 2 2" xfId="38981" xr:uid="{00000000-0005-0000-0000-000074970000}"/>
    <cellStyle name="Input 8 3 2 3 3 3" xfId="38982" xr:uid="{00000000-0005-0000-0000-000075970000}"/>
    <cellStyle name="Input 8 3 2 3 3 3 2" xfId="38983" xr:uid="{00000000-0005-0000-0000-000076970000}"/>
    <cellStyle name="Input 8 3 2 3 3 4" xfId="38984" xr:uid="{00000000-0005-0000-0000-000077970000}"/>
    <cellStyle name="Input 8 3 2 3 3 5" xfId="38985" xr:uid="{00000000-0005-0000-0000-000078970000}"/>
    <cellStyle name="Input 8 3 2 3 3 6" xfId="38986" xr:uid="{00000000-0005-0000-0000-000079970000}"/>
    <cellStyle name="Input 8 3 2 3 4" xfId="38987" xr:uid="{00000000-0005-0000-0000-00007A970000}"/>
    <cellStyle name="Input 8 3 2 3 4 2" xfId="38988" xr:uid="{00000000-0005-0000-0000-00007B970000}"/>
    <cellStyle name="Input 8 3 2 3 5" xfId="38989" xr:uid="{00000000-0005-0000-0000-00007C970000}"/>
    <cellStyle name="Input 8 3 2 3 5 2" xfId="38990" xr:uid="{00000000-0005-0000-0000-00007D970000}"/>
    <cellStyle name="Input 8 3 2 3 6" xfId="38991" xr:uid="{00000000-0005-0000-0000-00007E970000}"/>
    <cellStyle name="Input 8 3 2 3 7" xfId="38992" xr:uid="{00000000-0005-0000-0000-00007F970000}"/>
    <cellStyle name="Input 8 3 2 3 8" xfId="38993" xr:uid="{00000000-0005-0000-0000-000080970000}"/>
    <cellStyle name="Input 8 3 2 4" xfId="38994" xr:uid="{00000000-0005-0000-0000-000081970000}"/>
    <cellStyle name="Input 8 3 2 4 2" xfId="38995" xr:uid="{00000000-0005-0000-0000-000082970000}"/>
    <cellStyle name="Input 8 3 2 4 2 2" xfId="38996" xr:uid="{00000000-0005-0000-0000-000083970000}"/>
    <cellStyle name="Input 8 3 2 4 2 2 2" xfId="38997" xr:uid="{00000000-0005-0000-0000-000084970000}"/>
    <cellStyle name="Input 8 3 2 4 2 3" xfId="38998" xr:uid="{00000000-0005-0000-0000-000085970000}"/>
    <cellStyle name="Input 8 3 2 4 2 3 2" xfId="38999" xr:uid="{00000000-0005-0000-0000-000086970000}"/>
    <cellStyle name="Input 8 3 2 4 2 4" xfId="39000" xr:uid="{00000000-0005-0000-0000-000087970000}"/>
    <cellStyle name="Input 8 3 2 4 2 5" xfId="39001" xr:uid="{00000000-0005-0000-0000-000088970000}"/>
    <cellStyle name="Input 8 3 2 4 2 6" xfId="39002" xr:uid="{00000000-0005-0000-0000-000089970000}"/>
    <cellStyle name="Input 8 3 2 4 3" xfId="39003" xr:uid="{00000000-0005-0000-0000-00008A970000}"/>
    <cellStyle name="Input 8 3 2 4 3 2" xfId="39004" xr:uid="{00000000-0005-0000-0000-00008B970000}"/>
    <cellStyle name="Input 8 3 2 4 4" xfId="39005" xr:uid="{00000000-0005-0000-0000-00008C970000}"/>
    <cellStyle name="Input 8 3 2 4 4 2" xfId="39006" xr:uid="{00000000-0005-0000-0000-00008D970000}"/>
    <cellStyle name="Input 8 3 2 4 5" xfId="39007" xr:uid="{00000000-0005-0000-0000-00008E970000}"/>
    <cellStyle name="Input 8 3 2 4 6" xfId="39008" xr:uid="{00000000-0005-0000-0000-00008F970000}"/>
    <cellStyle name="Input 8 3 2 4 7" xfId="39009" xr:uid="{00000000-0005-0000-0000-000090970000}"/>
    <cellStyle name="Input 8 3 2 5" xfId="39010" xr:uid="{00000000-0005-0000-0000-000091970000}"/>
    <cellStyle name="Input 8 3 2 5 2" xfId="39011" xr:uid="{00000000-0005-0000-0000-000092970000}"/>
    <cellStyle name="Input 8 3 2 5 2 2" xfId="39012" xr:uid="{00000000-0005-0000-0000-000093970000}"/>
    <cellStyle name="Input 8 3 2 5 3" xfId="39013" xr:uid="{00000000-0005-0000-0000-000094970000}"/>
    <cellStyle name="Input 8 3 2 5 3 2" xfId="39014" xr:uid="{00000000-0005-0000-0000-000095970000}"/>
    <cellStyle name="Input 8 3 2 5 4" xfId="39015" xr:uid="{00000000-0005-0000-0000-000096970000}"/>
    <cellStyle name="Input 8 3 2 5 5" xfId="39016" xr:uid="{00000000-0005-0000-0000-000097970000}"/>
    <cellStyle name="Input 8 3 2 5 6" xfId="39017" xr:uid="{00000000-0005-0000-0000-000098970000}"/>
    <cellStyle name="Input 8 3 2 6" xfId="39018" xr:uid="{00000000-0005-0000-0000-000099970000}"/>
    <cellStyle name="Input 8 3 2 6 2" xfId="39019" xr:uid="{00000000-0005-0000-0000-00009A970000}"/>
    <cellStyle name="Input 8 3 2 7" xfId="39020" xr:uid="{00000000-0005-0000-0000-00009B970000}"/>
    <cellStyle name="Input 8 3 2 7 2" xfId="39021" xr:uid="{00000000-0005-0000-0000-00009C970000}"/>
    <cellStyle name="Input 8 3 2 8" xfId="39022" xr:uid="{00000000-0005-0000-0000-00009D970000}"/>
    <cellStyle name="Input 8 3 2 9" xfId="39023" xr:uid="{00000000-0005-0000-0000-00009E970000}"/>
    <cellStyle name="Input 8 3 3" xfId="39024" xr:uid="{00000000-0005-0000-0000-00009F970000}"/>
    <cellStyle name="Input 8 3 3 10" xfId="39025" xr:uid="{00000000-0005-0000-0000-0000A0970000}"/>
    <cellStyle name="Input 8 3 3 2" xfId="39026" xr:uid="{00000000-0005-0000-0000-0000A1970000}"/>
    <cellStyle name="Input 8 3 3 2 2" xfId="39027" xr:uid="{00000000-0005-0000-0000-0000A2970000}"/>
    <cellStyle name="Input 8 3 3 2 2 2" xfId="39028" xr:uid="{00000000-0005-0000-0000-0000A3970000}"/>
    <cellStyle name="Input 8 3 3 2 2 2 2" xfId="39029" xr:uid="{00000000-0005-0000-0000-0000A4970000}"/>
    <cellStyle name="Input 8 3 3 2 2 2 2 2" xfId="39030" xr:uid="{00000000-0005-0000-0000-0000A5970000}"/>
    <cellStyle name="Input 8 3 3 2 2 2 3" xfId="39031" xr:uid="{00000000-0005-0000-0000-0000A6970000}"/>
    <cellStyle name="Input 8 3 3 2 2 2 3 2" xfId="39032" xr:uid="{00000000-0005-0000-0000-0000A7970000}"/>
    <cellStyle name="Input 8 3 3 2 2 2 4" xfId="39033" xr:uid="{00000000-0005-0000-0000-0000A8970000}"/>
    <cellStyle name="Input 8 3 3 2 2 2 5" xfId="39034" xr:uid="{00000000-0005-0000-0000-0000A9970000}"/>
    <cellStyle name="Input 8 3 3 2 2 2 6" xfId="39035" xr:uid="{00000000-0005-0000-0000-0000AA970000}"/>
    <cellStyle name="Input 8 3 3 2 2 3" xfId="39036" xr:uid="{00000000-0005-0000-0000-0000AB970000}"/>
    <cellStyle name="Input 8 3 3 2 2 3 2" xfId="39037" xr:uid="{00000000-0005-0000-0000-0000AC970000}"/>
    <cellStyle name="Input 8 3 3 2 2 4" xfId="39038" xr:uid="{00000000-0005-0000-0000-0000AD970000}"/>
    <cellStyle name="Input 8 3 3 2 2 4 2" xfId="39039" xr:uid="{00000000-0005-0000-0000-0000AE970000}"/>
    <cellStyle name="Input 8 3 3 2 2 5" xfId="39040" xr:uid="{00000000-0005-0000-0000-0000AF970000}"/>
    <cellStyle name="Input 8 3 3 2 2 6" xfId="39041" xr:uid="{00000000-0005-0000-0000-0000B0970000}"/>
    <cellStyle name="Input 8 3 3 2 2 7" xfId="39042" xr:uid="{00000000-0005-0000-0000-0000B1970000}"/>
    <cellStyle name="Input 8 3 3 2 3" xfId="39043" xr:uid="{00000000-0005-0000-0000-0000B2970000}"/>
    <cellStyle name="Input 8 3 3 2 3 2" xfId="39044" xr:uid="{00000000-0005-0000-0000-0000B3970000}"/>
    <cellStyle name="Input 8 3 3 2 3 2 2" xfId="39045" xr:uid="{00000000-0005-0000-0000-0000B4970000}"/>
    <cellStyle name="Input 8 3 3 2 3 3" xfId="39046" xr:uid="{00000000-0005-0000-0000-0000B5970000}"/>
    <cellStyle name="Input 8 3 3 2 3 3 2" xfId="39047" xr:uid="{00000000-0005-0000-0000-0000B6970000}"/>
    <cellStyle name="Input 8 3 3 2 3 4" xfId="39048" xr:uid="{00000000-0005-0000-0000-0000B7970000}"/>
    <cellStyle name="Input 8 3 3 2 3 5" xfId="39049" xr:uid="{00000000-0005-0000-0000-0000B8970000}"/>
    <cellStyle name="Input 8 3 3 2 3 6" xfId="39050" xr:uid="{00000000-0005-0000-0000-0000B9970000}"/>
    <cellStyle name="Input 8 3 3 2 4" xfId="39051" xr:uid="{00000000-0005-0000-0000-0000BA970000}"/>
    <cellStyle name="Input 8 3 3 2 4 2" xfId="39052" xr:uid="{00000000-0005-0000-0000-0000BB970000}"/>
    <cellStyle name="Input 8 3 3 2 5" xfId="39053" xr:uid="{00000000-0005-0000-0000-0000BC970000}"/>
    <cellStyle name="Input 8 3 3 2 5 2" xfId="39054" xr:uid="{00000000-0005-0000-0000-0000BD970000}"/>
    <cellStyle name="Input 8 3 3 2 6" xfId="39055" xr:uid="{00000000-0005-0000-0000-0000BE970000}"/>
    <cellStyle name="Input 8 3 3 2 7" xfId="39056" xr:uid="{00000000-0005-0000-0000-0000BF970000}"/>
    <cellStyle name="Input 8 3 3 2 8" xfId="39057" xr:uid="{00000000-0005-0000-0000-0000C0970000}"/>
    <cellStyle name="Input 8 3 3 3" xfId="39058" xr:uid="{00000000-0005-0000-0000-0000C1970000}"/>
    <cellStyle name="Input 8 3 3 3 2" xfId="39059" xr:uid="{00000000-0005-0000-0000-0000C2970000}"/>
    <cellStyle name="Input 8 3 3 3 2 2" xfId="39060" xr:uid="{00000000-0005-0000-0000-0000C3970000}"/>
    <cellStyle name="Input 8 3 3 3 2 2 2" xfId="39061" xr:uid="{00000000-0005-0000-0000-0000C4970000}"/>
    <cellStyle name="Input 8 3 3 3 2 2 2 2" xfId="39062" xr:uid="{00000000-0005-0000-0000-0000C5970000}"/>
    <cellStyle name="Input 8 3 3 3 2 2 3" xfId="39063" xr:uid="{00000000-0005-0000-0000-0000C6970000}"/>
    <cellStyle name="Input 8 3 3 3 2 2 3 2" xfId="39064" xr:uid="{00000000-0005-0000-0000-0000C7970000}"/>
    <cellStyle name="Input 8 3 3 3 2 2 4" xfId="39065" xr:uid="{00000000-0005-0000-0000-0000C8970000}"/>
    <cellStyle name="Input 8 3 3 3 2 2 5" xfId="39066" xr:uid="{00000000-0005-0000-0000-0000C9970000}"/>
    <cellStyle name="Input 8 3 3 3 2 2 6" xfId="39067" xr:uid="{00000000-0005-0000-0000-0000CA970000}"/>
    <cellStyle name="Input 8 3 3 3 2 3" xfId="39068" xr:uid="{00000000-0005-0000-0000-0000CB970000}"/>
    <cellStyle name="Input 8 3 3 3 2 3 2" xfId="39069" xr:uid="{00000000-0005-0000-0000-0000CC970000}"/>
    <cellStyle name="Input 8 3 3 3 2 4" xfId="39070" xr:uid="{00000000-0005-0000-0000-0000CD970000}"/>
    <cellStyle name="Input 8 3 3 3 2 4 2" xfId="39071" xr:uid="{00000000-0005-0000-0000-0000CE970000}"/>
    <cellStyle name="Input 8 3 3 3 2 5" xfId="39072" xr:uid="{00000000-0005-0000-0000-0000CF970000}"/>
    <cellStyle name="Input 8 3 3 3 2 6" xfId="39073" xr:uid="{00000000-0005-0000-0000-0000D0970000}"/>
    <cellStyle name="Input 8 3 3 3 2 7" xfId="39074" xr:uid="{00000000-0005-0000-0000-0000D1970000}"/>
    <cellStyle name="Input 8 3 3 3 3" xfId="39075" xr:uid="{00000000-0005-0000-0000-0000D2970000}"/>
    <cellStyle name="Input 8 3 3 3 3 2" xfId="39076" xr:uid="{00000000-0005-0000-0000-0000D3970000}"/>
    <cellStyle name="Input 8 3 3 3 3 2 2" xfId="39077" xr:uid="{00000000-0005-0000-0000-0000D4970000}"/>
    <cellStyle name="Input 8 3 3 3 3 3" xfId="39078" xr:uid="{00000000-0005-0000-0000-0000D5970000}"/>
    <cellStyle name="Input 8 3 3 3 3 3 2" xfId="39079" xr:uid="{00000000-0005-0000-0000-0000D6970000}"/>
    <cellStyle name="Input 8 3 3 3 3 4" xfId="39080" xr:uid="{00000000-0005-0000-0000-0000D7970000}"/>
    <cellStyle name="Input 8 3 3 3 3 5" xfId="39081" xr:uid="{00000000-0005-0000-0000-0000D8970000}"/>
    <cellStyle name="Input 8 3 3 3 3 6" xfId="39082" xr:uid="{00000000-0005-0000-0000-0000D9970000}"/>
    <cellStyle name="Input 8 3 3 3 4" xfId="39083" xr:uid="{00000000-0005-0000-0000-0000DA970000}"/>
    <cellStyle name="Input 8 3 3 3 4 2" xfId="39084" xr:uid="{00000000-0005-0000-0000-0000DB970000}"/>
    <cellStyle name="Input 8 3 3 3 5" xfId="39085" xr:uid="{00000000-0005-0000-0000-0000DC970000}"/>
    <cellStyle name="Input 8 3 3 3 5 2" xfId="39086" xr:uid="{00000000-0005-0000-0000-0000DD970000}"/>
    <cellStyle name="Input 8 3 3 3 6" xfId="39087" xr:uid="{00000000-0005-0000-0000-0000DE970000}"/>
    <cellStyle name="Input 8 3 3 3 7" xfId="39088" xr:uid="{00000000-0005-0000-0000-0000DF970000}"/>
    <cellStyle name="Input 8 3 3 3 8" xfId="39089" xr:uid="{00000000-0005-0000-0000-0000E0970000}"/>
    <cellStyle name="Input 8 3 3 4" xfId="39090" xr:uid="{00000000-0005-0000-0000-0000E1970000}"/>
    <cellStyle name="Input 8 3 3 4 2" xfId="39091" xr:uid="{00000000-0005-0000-0000-0000E2970000}"/>
    <cellStyle name="Input 8 3 3 4 2 2" xfId="39092" xr:uid="{00000000-0005-0000-0000-0000E3970000}"/>
    <cellStyle name="Input 8 3 3 4 2 2 2" xfId="39093" xr:uid="{00000000-0005-0000-0000-0000E4970000}"/>
    <cellStyle name="Input 8 3 3 4 2 3" xfId="39094" xr:uid="{00000000-0005-0000-0000-0000E5970000}"/>
    <cellStyle name="Input 8 3 3 4 2 3 2" xfId="39095" xr:uid="{00000000-0005-0000-0000-0000E6970000}"/>
    <cellStyle name="Input 8 3 3 4 2 4" xfId="39096" xr:uid="{00000000-0005-0000-0000-0000E7970000}"/>
    <cellStyle name="Input 8 3 3 4 2 5" xfId="39097" xr:uid="{00000000-0005-0000-0000-0000E8970000}"/>
    <cellStyle name="Input 8 3 3 4 2 6" xfId="39098" xr:uid="{00000000-0005-0000-0000-0000E9970000}"/>
    <cellStyle name="Input 8 3 3 4 3" xfId="39099" xr:uid="{00000000-0005-0000-0000-0000EA970000}"/>
    <cellStyle name="Input 8 3 3 4 3 2" xfId="39100" xr:uid="{00000000-0005-0000-0000-0000EB970000}"/>
    <cellStyle name="Input 8 3 3 4 4" xfId="39101" xr:uid="{00000000-0005-0000-0000-0000EC970000}"/>
    <cellStyle name="Input 8 3 3 4 4 2" xfId="39102" xr:uid="{00000000-0005-0000-0000-0000ED970000}"/>
    <cellStyle name="Input 8 3 3 4 5" xfId="39103" xr:uid="{00000000-0005-0000-0000-0000EE970000}"/>
    <cellStyle name="Input 8 3 3 4 6" xfId="39104" xr:uid="{00000000-0005-0000-0000-0000EF970000}"/>
    <cellStyle name="Input 8 3 3 4 7" xfId="39105" xr:uid="{00000000-0005-0000-0000-0000F0970000}"/>
    <cellStyle name="Input 8 3 3 5" xfId="39106" xr:uid="{00000000-0005-0000-0000-0000F1970000}"/>
    <cellStyle name="Input 8 3 3 5 2" xfId="39107" xr:uid="{00000000-0005-0000-0000-0000F2970000}"/>
    <cellStyle name="Input 8 3 3 5 2 2" xfId="39108" xr:uid="{00000000-0005-0000-0000-0000F3970000}"/>
    <cellStyle name="Input 8 3 3 5 3" xfId="39109" xr:uid="{00000000-0005-0000-0000-0000F4970000}"/>
    <cellStyle name="Input 8 3 3 5 3 2" xfId="39110" xr:uid="{00000000-0005-0000-0000-0000F5970000}"/>
    <cellStyle name="Input 8 3 3 5 4" xfId="39111" xr:uid="{00000000-0005-0000-0000-0000F6970000}"/>
    <cellStyle name="Input 8 3 3 5 5" xfId="39112" xr:uid="{00000000-0005-0000-0000-0000F7970000}"/>
    <cellStyle name="Input 8 3 3 5 6" xfId="39113" xr:uid="{00000000-0005-0000-0000-0000F8970000}"/>
    <cellStyle name="Input 8 3 3 6" xfId="39114" xr:uid="{00000000-0005-0000-0000-0000F9970000}"/>
    <cellStyle name="Input 8 3 3 6 2" xfId="39115" xr:uid="{00000000-0005-0000-0000-0000FA970000}"/>
    <cellStyle name="Input 8 3 3 7" xfId="39116" xr:uid="{00000000-0005-0000-0000-0000FB970000}"/>
    <cellStyle name="Input 8 3 3 7 2" xfId="39117" xr:uid="{00000000-0005-0000-0000-0000FC970000}"/>
    <cellStyle name="Input 8 3 3 8" xfId="39118" xr:uid="{00000000-0005-0000-0000-0000FD970000}"/>
    <cellStyle name="Input 8 3 3 9" xfId="39119" xr:uid="{00000000-0005-0000-0000-0000FE970000}"/>
    <cellStyle name="Input 8 3 4" xfId="39120" xr:uid="{00000000-0005-0000-0000-0000FF970000}"/>
    <cellStyle name="Input 8 3 4 2" xfId="39121" xr:uid="{00000000-0005-0000-0000-000000980000}"/>
    <cellStyle name="Input 8 3 4 2 2" xfId="39122" xr:uid="{00000000-0005-0000-0000-000001980000}"/>
    <cellStyle name="Input 8 3 4 2 2 2" xfId="39123" xr:uid="{00000000-0005-0000-0000-000002980000}"/>
    <cellStyle name="Input 8 3 4 2 2 2 2" xfId="39124" xr:uid="{00000000-0005-0000-0000-000003980000}"/>
    <cellStyle name="Input 8 3 4 2 2 3" xfId="39125" xr:uid="{00000000-0005-0000-0000-000004980000}"/>
    <cellStyle name="Input 8 3 4 2 2 3 2" xfId="39126" xr:uid="{00000000-0005-0000-0000-000005980000}"/>
    <cellStyle name="Input 8 3 4 2 2 4" xfId="39127" xr:uid="{00000000-0005-0000-0000-000006980000}"/>
    <cellStyle name="Input 8 3 4 2 2 5" xfId="39128" xr:uid="{00000000-0005-0000-0000-000007980000}"/>
    <cellStyle name="Input 8 3 4 2 2 6" xfId="39129" xr:uid="{00000000-0005-0000-0000-000008980000}"/>
    <cellStyle name="Input 8 3 4 2 3" xfId="39130" xr:uid="{00000000-0005-0000-0000-000009980000}"/>
    <cellStyle name="Input 8 3 4 2 3 2" xfId="39131" xr:uid="{00000000-0005-0000-0000-00000A980000}"/>
    <cellStyle name="Input 8 3 4 2 4" xfId="39132" xr:uid="{00000000-0005-0000-0000-00000B980000}"/>
    <cellStyle name="Input 8 3 4 2 4 2" xfId="39133" xr:uid="{00000000-0005-0000-0000-00000C980000}"/>
    <cellStyle name="Input 8 3 4 2 5" xfId="39134" xr:uid="{00000000-0005-0000-0000-00000D980000}"/>
    <cellStyle name="Input 8 3 4 2 6" xfId="39135" xr:uid="{00000000-0005-0000-0000-00000E980000}"/>
    <cellStyle name="Input 8 3 4 2 7" xfId="39136" xr:uid="{00000000-0005-0000-0000-00000F980000}"/>
    <cellStyle name="Input 8 3 4 3" xfId="39137" xr:uid="{00000000-0005-0000-0000-000010980000}"/>
    <cellStyle name="Input 8 3 4 3 2" xfId="39138" xr:uid="{00000000-0005-0000-0000-000011980000}"/>
    <cellStyle name="Input 8 3 4 3 2 2" xfId="39139" xr:uid="{00000000-0005-0000-0000-000012980000}"/>
    <cellStyle name="Input 8 3 4 3 3" xfId="39140" xr:uid="{00000000-0005-0000-0000-000013980000}"/>
    <cellStyle name="Input 8 3 4 3 3 2" xfId="39141" xr:uid="{00000000-0005-0000-0000-000014980000}"/>
    <cellStyle name="Input 8 3 4 3 4" xfId="39142" xr:uid="{00000000-0005-0000-0000-000015980000}"/>
    <cellStyle name="Input 8 3 4 3 5" xfId="39143" xr:uid="{00000000-0005-0000-0000-000016980000}"/>
    <cellStyle name="Input 8 3 4 3 6" xfId="39144" xr:uid="{00000000-0005-0000-0000-000017980000}"/>
    <cellStyle name="Input 8 3 4 4" xfId="39145" xr:uid="{00000000-0005-0000-0000-000018980000}"/>
    <cellStyle name="Input 8 3 4 4 2" xfId="39146" xr:uid="{00000000-0005-0000-0000-000019980000}"/>
    <cellStyle name="Input 8 3 4 5" xfId="39147" xr:uid="{00000000-0005-0000-0000-00001A980000}"/>
    <cellStyle name="Input 8 3 4 5 2" xfId="39148" xr:uid="{00000000-0005-0000-0000-00001B980000}"/>
    <cellStyle name="Input 8 3 4 6" xfId="39149" xr:uid="{00000000-0005-0000-0000-00001C980000}"/>
    <cellStyle name="Input 8 3 4 7" xfId="39150" xr:uid="{00000000-0005-0000-0000-00001D980000}"/>
    <cellStyle name="Input 8 3 4 8" xfId="39151" xr:uid="{00000000-0005-0000-0000-00001E980000}"/>
    <cellStyle name="Input 8 3 5" xfId="39152" xr:uid="{00000000-0005-0000-0000-00001F980000}"/>
    <cellStyle name="Input 8 3 5 2" xfId="39153" xr:uid="{00000000-0005-0000-0000-000020980000}"/>
    <cellStyle name="Input 8 3 5 2 2" xfId="39154" xr:uid="{00000000-0005-0000-0000-000021980000}"/>
    <cellStyle name="Input 8 3 5 2 2 2" xfId="39155" xr:uid="{00000000-0005-0000-0000-000022980000}"/>
    <cellStyle name="Input 8 3 5 2 3" xfId="39156" xr:uid="{00000000-0005-0000-0000-000023980000}"/>
    <cellStyle name="Input 8 3 5 2 3 2" xfId="39157" xr:uid="{00000000-0005-0000-0000-000024980000}"/>
    <cellStyle name="Input 8 3 5 2 4" xfId="39158" xr:uid="{00000000-0005-0000-0000-000025980000}"/>
    <cellStyle name="Input 8 3 5 2 5" xfId="39159" xr:uid="{00000000-0005-0000-0000-000026980000}"/>
    <cellStyle name="Input 8 3 5 2 6" xfId="39160" xr:uid="{00000000-0005-0000-0000-000027980000}"/>
    <cellStyle name="Input 8 3 5 3" xfId="39161" xr:uid="{00000000-0005-0000-0000-000028980000}"/>
    <cellStyle name="Input 8 3 5 3 2" xfId="39162" xr:uid="{00000000-0005-0000-0000-000029980000}"/>
    <cellStyle name="Input 8 3 5 4" xfId="39163" xr:uid="{00000000-0005-0000-0000-00002A980000}"/>
    <cellStyle name="Input 8 3 5 4 2" xfId="39164" xr:uid="{00000000-0005-0000-0000-00002B980000}"/>
    <cellStyle name="Input 8 3 5 5" xfId="39165" xr:uid="{00000000-0005-0000-0000-00002C980000}"/>
    <cellStyle name="Input 8 3 5 6" xfId="39166" xr:uid="{00000000-0005-0000-0000-00002D980000}"/>
    <cellStyle name="Input 8 3 5 7" xfId="39167" xr:uid="{00000000-0005-0000-0000-00002E980000}"/>
    <cellStyle name="Input 8 3 6" xfId="39168" xr:uid="{00000000-0005-0000-0000-00002F980000}"/>
    <cellStyle name="Input 8 3 6 2" xfId="39169" xr:uid="{00000000-0005-0000-0000-000030980000}"/>
    <cellStyle name="Input 8 3 6 2 2" xfId="39170" xr:uid="{00000000-0005-0000-0000-000031980000}"/>
    <cellStyle name="Input 8 3 6 3" xfId="39171" xr:uid="{00000000-0005-0000-0000-000032980000}"/>
    <cellStyle name="Input 8 3 6 3 2" xfId="39172" xr:uid="{00000000-0005-0000-0000-000033980000}"/>
    <cellStyle name="Input 8 3 6 4" xfId="39173" xr:uid="{00000000-0005-0000-0000-000034980000}"/>
    <cellStyle name="Input 8 3 6 5" xfId="39174" xr:uid="{00000000-0005-0000-0000-000035980000}"/>
    <cellStyle name="Input 8 3 6 6" xfId="39175" xr:uid="{00000000-0005-0000-0000-000036980000}"/>
    <cellStyle name="Input 8 3 7" xfId="39176" xr:uid="{00000000-0005-0000-0000-000037980000}"/>
    <cellStyle name="Input 8 3 7 2" xfId="39177" xr:uid="{00000000-0005-0000-0000-000038980000}"/>
    <cellStyle name="Input 8 3 8" xfId="39178" xr:uid="{00000000-0005-0000-0000-000039980000}"/>
    <cellStyle name="Input 8 3 8 2" xfId="39179" xr:uid="{00000000-0005-0000-0000-00003A980000}"/>
    <cellStyle name="Input 8 3 9" xfId="39180" xr:uid="{00000000-0005-0000-0000-00003B980000}"/>
    <cellStyle name="Input 8 4" xfId="39181" xr:uid="{00000000-0005-0000-0000-00003C980000}"/>
    <cellStyle name="Input 8 4 10" xfId="39182" xr:uid="{00000000-0005-0000-0000-00003D980000}"/>
    <cellStyle name="Input 8 4 11" xfId="39183" xr:uid="{00000000-0005-0000-0000-00003E980000}"/>
    <cellStyle name="Input 8 4 2" xfId="39184" xr:uid="{00000000-0005-0000-0000-00003F980000}"/>
    <cellStyle name="Input 8 4 2 10" xfId="39185" xr:uid="{00000000-0005-0000-0000-000040980000}"/>
    <cellStyle name="Input 8 4 2 2" xfId="39186" xr:uid="{00000000-0005-0000-0000-000041980000}"/>
    <cellStyle name="Input 8 4 2 2 2" xfId="39187" xr:uid="{00000000-0005-0000-0000-000042980000}"/>
    <cellStyle name="Input 8 4 2 2 2 2" xfId="39188" xr:uid="{00000000-0005-0000-0000-000043980000}"/>
    <cellStyle name="Input 8 4 2 2 2 2 2" xfId="39189" xr:uid="{00000000-0005-0000-0000-000044980000}"/>
    <cellStyle name="Input 8 4 2 2 2 2 2 2" xfId="39190" xr:uid="{00000000-0005-0000-0000-000045980000}"/>
    <cellStyle name="Input 8 4 2 2 2 2 3" xfId="39191" xr:uid="{00000000-0005-0000-0000-000046980000}"/>
    <cellStyle name="Input 8 4 2 2 2 2 3 2" xfId="39192" xr:uid="{00000000-0005-0000-0000-000047980000}"/>
    <cellStyle name="Input 8 4 2 2 2 2 4" xfId="39193" xr:uid="{00000000-0005-0000-0000-000048980000}"/>
    <cellStyle name="Input 8 4 2 2 2 2 5" xfId="39194" xr:uid="{00000000-0005-0000-0000-000049980000}"/>
    <cellStyle name="Input 8 4 2 2 2 2 6" xfId="39195" xr:uid="{00000000-0005-0000-0000-00004A980000}"/>
    <cellStyle name="Input 8 4 2 2 2 3" xfId="39196" xr:uid="{00000000-0005-0000-0000-00004B980000}"/>
    <cellStyle name="Input 8 4 2 2 2 3 2" xfId="39197" xr:uid="{00000000-0005-0000-0000-00004C980000}"/>
    <cellStyle name="Input 8 4 2 2 2 4" xfId="39198" xr:uid="{00000000-0005-0000-0000-00004D980000}"/>
    <cellStyle name="Input 8 4 2 2 2 4 2" xfId="39199" xr:uid="{00000000-0005-0000-0000-00004E980000}"/>
    <cellStyle name="Input 8 4 2 2 2 5" xfId="39200" xr:uid="{00000000-0005-0000-0000-00004F980000}"/>
    <cellStyle name="Input 8 4 2 2 2 6" xfId="39201" xr:uid="{00000000-0005-0000-0000-000050980000}"/>
    <cellStyle name="Input 8 4 2 2 2 7" xfId="39202" xr:uid="{00000000-0005-0000-0000-000051980000}"/>
    <cellStyle name="Input 8 4 2 2 3" xfId="39203" xr:uid="{00000000-0005-0000-0000-000052980000}"/>
    <cellStyle name="Input 8 4 2 2 3 2" xfId="39204" xr:uid="{00000000-0005-0000-0000-000053980000}"/>
    <cellStyle name="Input 8 4 2 2 3 2 2" xfId="39205" xr:uid="{00000000-0005-0000-0000-000054980000}"/>
    <cellStyle name="Input 8 4 2 2 3 3" xfId="39206" xr:uid="{00000000-0005-0000-0000-000055980000}"/>
    <cellStyle name="Input 8 4 2 2 3 3 2" xfId="39207" xr:uid="{00000000-0005-0000-0000-000056980000}"/>
    <cellStyle name="Input 8 4 2 2 3 4" xfId="39208" xr:uid="{00000000-0005-0000-0000-000057980000}"/>
    <cellStyle name="Input 8 4 2 2 3 5" xfId="39209" xr:uid="{00000000-0005-0000-0000-000058980000}"/>
    <cellStyle name="Input 8 4 2 2 3 6" xfId="39210" xr:uid="{00000000-0005-0000-0000-000059980000}"/>
    <cellStyle name="Input 8 4 2 2 4" xfId="39211" xr:uid="{00000000-0005-0000-0000-00005A980000}"/>
    <cellStyle name="Input 8 4 2 2 4 2" xfId="39212" xr:uid="{00000000-0005-0000-0000-00005B980000}"/>
    <cellStyle name="Input 8 4 2 2 5" xfId="39213" xr:uid="{00000000-0005-0000-0000-00005C980000}"/>
    <cellStyle name="Input 8 4 2 2 5 2" xfId="39214" xr:uid="{00000000-0005-0000-0000-00005D980000}"/>
    <cellStyle name="Input 8 4 2 2 6" xfId="39215" xr:uid="{00000000-0005-0000-0000-00005E980000}"/>
    <cellStyle name="Input 8 4 2 2 7" xfId="39216" xr:uid="{00000000-0005-0000-0000-00005F980000}"/>
    <cellStyle name="Input 8 4 2 2 8" xfId="39217" xr:uid="{00000000-0005-0000-0000-000060980000}"/>
    <cellStyle name="Input 8 4 2 3" xfId="39218" xr:uid="{00000000-0005-0000-0000-000061980000}"/>
    <cellStyle name="Input 8 4 2 3 2" xfId="39219" xr:uid="{00000000-0005-0000-0000-000062980000}"/>
    <cellStyle name="Input 8 4 2 3 2 2" xfId="39220" xr:uid="{00000000-0005-0000-0000-000063980000}"/>
    <cellStyle name="Input 8 4 2 3 2 2 2" xfId="39221" xr:uid="{00000000-0005-0000-0000-000064980000}"/>
    <cellStyle name="Input 8 4 2 3 2 2 2 2" xfId="39222" xr:uid="{00000000-0005-0000-0000-000065980000}"/>
    <cellStyle name="Input 8 4 2 3 2 2 3" xfId="39223" xr:uid="{00000000-0005-0000-0000-000066980000}"/>
    <cellStyle name="Input 8 4 2 3 2 2 3 2" xfId="39224" xr:uid="{00000000-0005-0000-0000-000067980000}"/>
    <cellStyle name="Input 8 4 2 3 2 2 4" xfId="39225" xr:uid="{00000000-0005-0000-0000-000068980000}"/>
    <cellStyle name="Input 8 4 2 3 2 2 5" xfId="39226" xr:uid="{00000000-0005-0000-0000-000069980000}"/>
    <cellStyle name="Input 8 4 2 3 2 2 6" xfId="39227" xr:uid="{00000000-0005-0000-0000-00006A980000}"/>
    <cellStyle name="Input 8 4 2 3 2 3" xfId="39228" xr:uid="{00000000-0005-0000-0000-00006B980000}"/>
    <cellStyle name="Input 8 4 2 3 2 3 2" xfId="39229" xr:uid="{00000000-0005-0000-0000-00006C980000}"/>
    <cellStyle name="Input 8 4 2 3 2 4" xfId="39230" xr:uid="{00000000-0005-0000-0000-00006D980000}"/>
    <cellStyle name="Input 8 4 2 3 2 4 2" xfId="39231" xr:uid="{00000000-0005-0000-0000-00006E980000}"/>
    <cellStyle name="Input 8 4 2 3 2 5" xfId="39232" xr:uid="{00000000-0005-0000-0000-00006F980000}"/>
    <cellStyle name="Input 8 4 2 3 2 6" xfId="39233" xr:uid="{00000000-0005-0000-0000-000070980000}"/>
    <cellStyle name="Input 8 4 2 3 2 7" xfId="39234" xr:uid="{00000000-0005-0000-0000-000071980000}"/>
    <cellStyle name="Input 8 4 2 3 3" xfId="39235" xr:uid="{00000000-0005-0000-0000-000072980000}"/>
    <cellStyle name="Input 8 4 2 3 3 2" xfId="39236" xr:uid="{00000000-0005-0000-0000-000073980000}"/>
    <cellStyle name="Input 8 4 2 3 3 2 2" xfId="39237" xr:uid="{00000000-0005-0000-0000-000074980000}"/>
    <cellStyle name="Input 8 4 2 3 3 3" xfId="39238" xr:uid="{00000000-0005-0000-0000-000075980000}"/>
    <cellStyle name="Input 8 4 2 3 3 3 2" xfId="39239" xr:uid="{00000000-0005-0000-0000-000076980000}"/>
    <cellStyle name="Input 8 4 2 3 3 4" xfId="39240" xr:uid="{00000000-0005-0000-0000-000077980000}"/>
    <cellStyle name="Input 8 4 2 3 3 5" xfId="39241" xr:uid="{00000000-0005-0000-0000-000078980000}"/>
    <cellStyle name="Input 8 4 2 3 3 6" xfId="39242" xr:uid="{00000000-0005-0000-0000-000079980000}"/>
    <cellStyle name="Input 8 4 2 3 4" xfId="39243" xr:uid="{00000000-0005-0000-0000-00007A980000}"/>
    <cellStyle name="Input 8 4 2 3 4 2" xfId="39244" xr:uid="{00000000-0005-0000-0000-00007B980000}"/>
    <cellStyle name="Input 8 4 2 3 5" xfId="39245" xr:uid="{00000000-0005-0000-0000-00007C980000}"/>
    <cellStyle name="Input 8 4 2 3 5 2" xfId="39246" xr:uid="{00000000-0005-0000-0000-00007D980000}"/>
    <cellStyle name="Input 8 4 2 3 6" xfId="39247" xr:uid="{00000000-0005-0000-0000-00007E980000}"/>
    <cellStyle name="Input 8 4 2 3 7" xfId="39248" xr:uid="{00000000-0005-0000-0000-00007F980000}"/>
    <cellStyle name="Input 8 4 2 3 8" xfId="39249" xr:uid="{00000000-0005-0000-0000-000080980000}"/>
    <cellStyle name="Input 8 4 2 4" xfId="39250" xr:uid="{00000000-0005-0000-0000-000081980000}"/>
    <cellStyle name="Input 8 4 2 4 2" xfId="39251" xr:uid="{00000000-0005-0000-0000-000082980000}"/>
    <cellStyle name="Input 8 4 2 4 2 2" xfId="39252" xr:uid="{00000000-0005-0000-0000-000083980000}"/>
    <cellStyle name="Input 8 4 2 4 2 2 2" xfId="39253" xr:uid="{00000000-0005-0000-0000-000084980000}"/>
    <cellStyle name="Input 8 4 2 4 2 3" xfId="39254" xr:uid="{00000000-0005-0000-0000-000085980000}"/>
    <cellStyle name="Input 8 4 2 4 2 3 2" xfId="39255" xr:uid="{00000000-0005-0000-0000-000086980000}"/>
    <cellStyle name="Input 8 4 2 4 2 4" xfId="39256" xr:uid="{00000000-0005-0000-0000-000087980000}"/>
    <cellStyle name="Input 8 4 2 4 2 5" xfId="39257" xr:uid="{00000000-0005-0000-0000-000088980000}"/>
    <cellStyle name="Input 8 4 2 4 2 6" xfId="39258" xr:uid="{00000000-0005-0000-0000-000089980000}"/>
    <cellStyle name="Input 8 4 2 4 3" xfId="39259" xr:uid="{00000000-0005-0000-0000-00008A980000}"/>
    <cellStyle name="Input 8 4 2 4 3 2" xfId="39260" xr:uid="{00000000-0005-0000-0000-00008B980000}"/>
    <cellStyle name="Input 8 4 2 4 4" xfId="39261" xr:uid="{00000000-0005-0000-0000-00008C980000}"/>
    <cellStyle name="Input 8 4 2 4 4 2" xfId="39262" xr:uid="{00000000-0005-0000-0000-00008D980000}"/>
    <cellStyle name="Input 8 4 2 4 5" xfId="39263" xr:uid="{00000000-0005-0000-0000-00008E980000}"/>
    <cellStyle name="Input 8 4 2 4 6" xfId="39264" xr:uid="{00000000-0005-0000-0000-00008F980000}"/>
    <cellStyle name="Input 8 4 2 4 7" xfId="39265" xr:uid="{00000000-0005-0000-0000-000090980000}"/>
    <cellStyle name="Input 8 4 2 5" xfId="39266" xr:uid="{00000000-0005-0000-0000-000091980000}"/>
    <cellStyle name="Input 8 4 2 5 2" xfId="39267" xr:uid="{00000000-0005-0000-0000-000092980000}"/>
    <cellStyle name="Input 8 4 2 5 2 2" xfId="39268" xr:uid="{00000000-0005-0000-0000-000093980000}"/>
    <cellStyle name="Input 8 4 2 5 3" xfId="39269" xr:uid="{00000000-0005-0000-0000-000094980000}"/>
    <cellStyle name="Input 8 4 2 5 3 2" xfId="39270" xr:uid="{00000000-0005-0000-0000-000095980000}"/>
    <cellStyle name="Input 8 4 2 5 4" xfId="39271" xr:uid="{00000000-0005-0000-0000-000096980000}"/>
    <cellStyle name="Input 8 4 2 5 5" xfId="39272" xr:uid="{00000000-0005-0000-0000-000097980000}"/>
    <cellStyle name="Input 8 4 2 5 6" xfId="39273" xr:uid="{00000000-0005-0000-0000-000098980000}"/>
    <cellStyle name="Input 8 4 2 6" xfId="39274" xr:uid="{00000000-0005-0000-0000-000099980000}"/>
    <cellStyle name="Input 8 4 2 6 2" xfId="39275" xr:uid="{00000000-0005-0000-0000-00009A980000}"/>
    <cellStyle name="Input 8 4 2 7" xfId="39276" xr:uid="{00000000-0005-0000-0000-00009B980000}"/>
    <cellStyle name="Input 8 4 2 7 2" xfId="39277" xr:uid="{00000000-0005-0000-0000-00009C980000}"/>
    <cellStyle name="Input 8 4 2 8" xfId="39278" xr:uid="{00000000-0005-0000-0000-00009D980000}"/>
    <cellStyle name="Input 8 4 2 9" xfId="39279" xr:uid="{00000000-0005-0000-0000-00009E980000}"/>
    <cellStyle name="Input 8 4 3" xfId="39280" xr:uid="{00000000-0005-0000-0000-00009F980000}"/>
    <cellStyle name="Input 8 4 3 2" xfId="39281" xr:uid="{00000000-0005-0000-0000-0000A0980000}"/>
    <cellStyle name="Input 8 4 3 2 2" xfId="39282" xr:uid="{00000000-0005-0000-0000-0000A1980000}"/>
    <cellStyle name="Input 8 4 3 2 2 2" xfId="39283" xr:uid="{00000000-0005-0000-0000-0000A2980000}"/>
    <cellStyle name="Input 8 4 3 2 2 2 2" xfId="39284" xr:uid="{00000000-0005-0000-0000-0000A3980000}"/>
    <cellStyle name="Input 8 4 3 2 2 3" xfId="39285" xr:uid="{00000000-0005-0000-0000-0000A4980000}"/>
    <cellStyle name="Input 8 4 3 2 2 3 2" xfId="39286" xr:uid="{00000000-0005-0000-0000-0000A5980000}"/>
    <cellStyle name="Input 8 4 3 2 2 4" xfId="39287" xr:uid="{00000000-0005-0000-0000-0000A6980000}"/>
    <cellStyle name="Input 8 4 3 2 2 5" xfId="39288" xr:uid="{00000000-0005-0000-0000-0000A7980000}"/>
    <cellStyle name="Input 8 4 3 2 2 6" xfId="39289" xr:uid="{00000000-0005-0000-0000-0000A8980000}"/>
    <cellStyle name="Input 8 4 3 2 3" xfId="39290" xr:uid="{00000000-0005-0000-0000-0000A9980000}"/>
    <cellStyle name="Input 8 4 3 2 3 2" xfId="39291" xr:uid="{00000000-0005-0000-0000-0000AA980000}"/>
    <cellStyle name="Input 8 4 3 2 4" xfId="39292" xr:uid="{00000000-0005-0000-0000-0000AB980000}"/>
    <cellStyle name="Input 8 4 3 2 4 2" xfId="39293" xr:uid="{00000000-0005-0000-0000-0000AC980000}"/>
    <cellStyle name="Input 8 4 3 2 5" xfId="39294" xr:uid="{00000000-0005-0000-0000-0000AD980000}"/>
    <cellStyle name="Input 8 4 3 2 6" xfId="39295" xr:uid="{00000000-0005-0000-0000-0000AE980000}"/>
    <cellStyle name="Input 8 4 3 2 7" xfId="39296" xr:uid="{00000000-0005-0000-0000-0000AF980000}"/>
    <cellStyle name="Input 8 4 3 3" xfId="39297" xr:uid="{00000000-0005-0000-0000-0000B0980000}"/>
    <cellStyle name="Input 8 4 3 3 2" xfId="39298" xr:uid="{00000000-0005-0000-0000-0000B1980000}"/>
    <cellStyle name="Input 8 4 3 3 2 2" xfId="39299" xr:uid="{00000000-0005-0000-0000-0000B2980000}"/>
    <cellStyle name="Input 8 4 3 3 3" xfId="39300" xr:uid="{00000000-0005-0000-0000-0000B3980000}"/>
    <cellStyle name="Input 8 4 3 3 3 2" xfId="39301" xr:uid="{00000000-0005-0000-0000-0000B4980000}"/>
    <cellStyle name="Input 8 4 3 3 4" xfId="39302" xr:uid="{00000000-0005-0000-0000-0000B5980000}"/>
    <cellStyle name="Input 8 4 3 3 5" xfId="39303" xr:uid="{00000000-0005-0000-0000-0000B6980000}"/>
    <cellStyle name="Input 8 4 3 3 6" xfId="39304" xr:uid="{00000000-0005-0000-0000-0000B7980000}"/>
    <cellStyle name="Input 8 4 3 4" xfId="39305" xr:uid="{00000000-0005-0000-0000-0000B8980000}"/>
    <cellStyle name="Input 8 4 3 4 2" xfId="39306" xr:uid="{00000000-0005-0000-0000-0000B9980000}"/>
    <cellStyle name="Input 8 4 3 5" xfId="39307" xr:uid="{00000000-0005-0000-0000-0000BA980000}"/>
    <cellStyle name="Input 8 4 3 5 2" xfId="39308" xr:uid="{00000000-0005-0000-0000-0000BB980000}"/>
    <cellStyle name="Input 8 4 3 6" xfId="39309" xr:uid="{00000000-0005-0000-0000-0000BC980000}"/>
    <cellStyle name="Input 8 4 3 7" xfId="39310" xr:uid="{00000000-0005-0000-0000-0000BD980000}"/>
    <cellStyle name="Input 8 4 3 8" xfId="39311" xr:uid="{00000000-0005-0000-0000-0000BE980000}"/>
    <cellStyle name="Input 8 4 4" xfId="39312" xr:uid="{00000000-0005-0000-0000-0000BF980000}"/>
    <cellStyle name="Input 8 4 4 2" xfId="39313" xr:uid="{00000000-0005-0000-0000-0000C0980000}"/>
    <cellStyle name="Input 8 4 4 2 2" xfId="39314" xr:uid="{00000000-0005-0000-0000-0000C1980000}"/>
    <cellStyle name="Input 8 4 4 2 2 2" xfId="39315" xr:uid="{00000000-0005-0000-0000-0000C2980000}"/>
    <cellStyle name="Input 8 4 4 2 2 2 2" xfId="39316" xr:uid="{00000000-0005-0000-0000-0000C3980000}"/>
    <cellStyle name="Input 8 4 4 2 2 3" xfId="39317" xr:uid="{00000000-0005-0000-0000-0000C4980000}"/>
    <cellStyle name="Input 8 4 4 2 2 3 2" xfId="39318" xr:uid="{00000000-0005-0000-0000-0000C5980000}"/>
    <cellStyle name="Input 8 4 4 2 2 4" xfId="39319" xr:uid="{00000000-0005-0000-0000-0000C6980000}"/>
    <cellStyle name="Input 8 4 4 2 2 5" xfId="39320" xr:uid="{00000000-0005-0000-0000-0000C7980000}"/>
    <cellStyle name="Input 8 4 4 2 2 6" xfId="39321" xr:uid="{00000000-0005-0000-0000-0000C8980000}"/>
    <cellStyle name="Input 8 4 4 2 3" xfId="39322" xr:uid="{00000000-0005-0000-0000-0000C9980000}"/>
    <cellStyle name="Input 8 4 4 2 3 2" xfId="39323" xr:uid="{00000000-0005-0000-0000-0000CA980000}"/>
    <cellStyle name="Input 8 4 4 2 4" xfId="39324" xr:uid="{00000000-0005-0000-0000-0000CB980000}"/>
    <cellStyle name="Input 8 4 4 2 4 2" xfId="39325" xr:uid="{00000000-0005-0000-0000-0000CC980000}"/>
    <cellStyle name="Input 8 4 4 2 5" xfId="39326" xr:uid="{00000000-0005-0000-0000-0000CD980000}"/>
    <cellStyle name="Input 8 4 4 2 6" xfId="39327" xr:uid="{00000000-0005-0000-0000-0000CE980000}"/>
    <cellStyle name="Input 8 4 4 2 7" xfId="39328" xr:uid="{00000000-0005-0000-0000-0000CF980000}"/>
    <cellStyle name="Input 8 4 4 3" xfId="39329" xr:uid="{00000000-0005-0000-0000-0000D0980000}"/>
    <cellStyle name="Input 8 4 4 3 2" xfId="39330" xr:uid="{00000000-0005-0000-0000-0000D1980000}"/>
    <cellStyle name="Input 8 4 4 3 2 2" xfId="39331" xr:uid="{00000000-0005-0000-0000-0000D2980000}"/>
    <cellStyle name="Input 8 4 4 3 3" xfId="39332" xr:uid="{00000000-0005-0000-0000-0000D3980000}"/>
    <cellStyle name="Input 8 4 4 3 3 2" xfId="39333" xr:uid="{00000000-0005-0000-0000-0000D4980000}"/>
    <cellStyle name="Input 8 4 4 3 4" xfId="39334" xr:uid="{00000000-0005-0000-0000-0000D5980000}"/>
    <cellStyle name="Input 8 4 4 3 5" xfId="39335" xr:uid="{00000000-0005-0000-0000-0000D6980000}"/>
    <cellStyle name="Input 8 4 4 3 6" xfId="39336" xr:uid="{00000000-0005-0000-0000-0000D7980000}"/>
    <cellStyle name="Input 8 4 4 4" xfId="39337" xr:uid="{00000000-0005-0000-0000-0000D8980000}"/>
    <cellStyle name="Input 8 4 4 4 2" xfId="39338" xr:uid="{00000000-0005-0000-0000-0000D9980000}"/>
    <cellStyle name="Input 8 4 4 5" xfId="39339" xr:uid="{00000000-0005-0000-0000-0000DA980000}"/>
    <cellStyle name="Input 8 4 4 5 2" xfId="39340" xr:uid="{00000000-0005-0000-0000-0000DB980000}"/>
    <cellStyle name="Input 8 4 4 6" xfId="39341" xr:uid="{00000000-0005-0000-0000-0000DC980000}"/>
    <cellStyle name="Input 8 4 4 7" xfId="39342" xr:uid="{00000000-0005-0000-0000-0000DD980000}"/>
    <cellStyle name="Input 8 4 4 8" xfId="39343" xr:uid="{00000000-0005-0000-0000-0000DE980000}"/>
    <cellStyle name="Input 8 4 5" xfId="39344" xr:uid="{00000000-0005-0000-0000-0000DF980000}"/>
    <cellStyle name="Input 8 4 5 2" xfId="39345" xr:uid="{00000000-0005-0000-0000-0000E0980000}"/>
    <cellStyle name="Input 8 4 5 2 2" xfId="39346" xr:uid="{00000000-0005-0000-0000-0000E1980000}"/>
    <cellStyle name="Input 8 4 5 2 2 2" xfId="39347" xr:uid="{00000000-0005-0000-0000-0000E2980000}"/>
    <cellStyle name="Input 8 4 5 2 3" xfId="39348" xr:uid="{00000000-0005-0000-0000-0000E3980000}"/>
    <cellStyle name="Input 8 4 5 2 3 2" xfId="39349" xr:uid="{00000000-0005-0000-0000-0000E4980000}"/>
    <cellStyle name="Input 8 4 5 2 4" xfId="39350" xr:uid="{00000000-0005-0000-0000-0000E5980000}"/>
    <cellStyle name="Input 8 4 5 2 5" xfId="39351" xr:uid="{00000000-0005-0000-0000-0000E6980000}"/>
    <cellStyle name="Input 8 4 5 2 6" xfId="39352" xr:uid="{00000000-0005-0000-0000-0000E7980000}"/>
    <cellStyle name="Input 8 4 5 3" xfId="39353" xr:uid="{00000000-0005-0000-0000-0000E8980000}"/>
    <cellStyle name="Input 8 4 5 3 2" xfId="39354" xr:uid="{00000000-0005-0000-0000-0000E9980000}"/>
    <cellStyle name="Input 8 4 5 4" xfId="39355" xr:uid="{00000000-0005-0000-0000-0000EA980000}"/>
    <cellStyle name="Input 8 4 5 4 2" xfId="39356" xr:uid="{00000000-0005-0000-0000-0000EB980000}"/>
    <cellStyle name="Input 8 4 5 5" xfId="39357" xr:uid="{00000000-0005-0000-0000-0000EC980000}"/>
    <cellStyle name="Input 8 4 5 6" xfId="39358" xr:uid="{00000000-0005-0000-0000-0000ED980000}"/>
    <cellStyle name="Input 8 4 5 7" xfId="39359" xr:uid="{00000000-0005-0000-0000-0000EE980000}"/>
    <cellStyle name="Input 8 4 6" xfId="39360" xr:uid="{00000000-0005-0000-0000-0000EF980000}"/>
    <cellStyle name="Input 8 4 6 2" xfId="39361" xr:uid="{00000000-0005-0000-0000-0000F0980000}"/>
    <cellStyle name="Input 8 4 6 2 2" xfId="39362" xr:uid="{00000000-0005-0000-0000-0000F1980000}"/>
    <cellStyle name="Input 8 4 6 3" xfId="39363" xr:uid="{00000000-0005-0000-0000-0000F2980000}"/>
    <cellStyle name="Input 8 4 6 3 2" xfId="39364" xr:uid="{00000000-0005-0000-0000-0000F3980000}"/>
    <cellStyle name="Input 8 4 6 4" xfId="39365" xr:uid="{00000000-0005-0000-0000-0000F4980000}"/>
    <cellStyle name="Input 8 4 6 5" xfId="39366" xr:uid="{00000000-0005-0000-0000-0000F5980000}"/>
    <cellStyle name="Input 8 4 6 6" xfId="39367" xr:uid="{00000000-0005-0000-0000-0000F6980000}"/>
    <cellStyle name="Input 8 4 7" xfId="39368" xr:uid="{00000000-0005-0000-0000-0000F7980000}"/>
    <cellStyle name="Input 8 4 7 2" xfId="39369" xr:uid="{00000000-0005-0000-0000-0000F8980000}"/>
    <cellStyle name="Input 8 4 8" xfId="39370" xr:uid="{00000000-0005-0000-0000-0000F9980000}"/>
    <cellStyle name="Input 8 4 8 2" xfId="39371" xr:uid="{00000000-0005-0000-0000-0000FA980000}"/>
    <cellStyle name="Input 8 4 9" xfId="39372" xr:uid="{00000000-0005-0000-0000-0000FB980000}"/>
    <cellStyle name="Input 8 5" xfId="39373" xr:uid="{00000000-0005-0000-0000-0000FC980000}"/>
    <cellStyle name="Input 8 5 10" xfId="39374" xr:uid="{00000000-0005-0000-0000-0000FD980000}"/>
    <cellStyle name="Input 8 5 2" xfId="39375" xr:uid="{00000000-0005-0000-0000-0000FE980000}"/>
    <cellStyle name="Input 8 5 2 2" xfId="39376" xr:uid="{00000000-0005-0000-0000-0000FF980000}"/>
    <cellStyle name="Input 8 5 2 2 2" xfId="39377" xr:uid="{00000000-0005-0000-0000-000000990000}"/>
    <cellStyle name="Input 8 5 2 2 2 2" xfId="39378" xr:uid="{00000000-0005-0000-0000-000001990000}"/>
    <cellStyle name="Input 8 5 2 2 2 2 2" xfId="39379" xr:uid="{00000000-0005-0000-0000-000002990000}"/>
    <cellStyle name="Input 8 5 2 2 2 3" xfId="39380" xr:uid="{00000000-0005-0000-0000-000003990000}"/>
    <cellStyle name="Input 8 5 2 2 2 3 2" xfId="39381" xr:uid="{00000000-0005-0000-0000-000004990000}"/>
    <cellStyle name="Input 8 5 2 2 2 4" xfId="39382" xr:uid="{00000000-0005-0000-0000-000005990000}"/>
    <cellStyle name="Input 8 5 2 2 2 5" xfId="39383" xr:uid="{00000000-0005-0000-0000-000006990000}"/>
    <cellStyle name="Input 8 5 2 2 2 6" xfId="39384" xr:uid="{00000000-0005-0000-0000-000007990000}"/>
    <cellStyle name="Input 8 5 2 2 3" xfId="39385" xr:uid="{00000000-0005-0000-0000-000008990000}"/>
    <cellStyle name="Input 8 5 2 2 3 2" xfId="39386" xr:uid="{00000000-0005-0000-0000-000009990000}"/>
    <cellStyle name="Input 8 5 2 2 4" xfId="39387" xr:uid="{00000000-0005-0000-0000-00000A990000}"/>
    <cellStyle name="Input 8 5 2 2 4 2" xfId="39388" xr:uid="{00000000-0005-0000-0000-00000B990000}"/>
    <cellStyle name="Input 8 5 2 2 5" xfId="39389" xr:uid="{00000000-0005-0000-0000-00000C990000}"/>
    <cellStyle name="Input 8 5 2 2 6" xfId="39390" xr:uid="{00000000-0005-0000-0000-00000D990000}"/>
    <cellStyle name="Input 8 5 2 2 7" xfId="39391" xr:uid="{00000000-0005-0000-0000-00000E990000}"/>
    <cellStyle name="Input 8 5 2 3" xfId="39392" xr:uid="{00000000-0005-0000-0000-00000F990000}"/>
    <cellStyle name="Input 8 5 2 3 2" xfId="39393" xr:uid="{00000000-0005-0000-0000-000010990000}"/>
    <cellStyle name="Input 8 5 2 3 2 2" xfId="39394" xr:uid="{00000000-0005-0000-0000-000011990000}"/>
    <cellStyle name="Input 8 5 2 3 3" xfId="39395" xr:uid="{00000000-0005-0000-0000-000012990000}"/>
    <cellStyle name="Input 8 5 2 3 3 2" xfId="39396" xr:uid="{00000000-0005-0000-0000-000013990000}"/>
    <cellStyle name="Input 8 5 2 3 4" xfId="39397" xr:uid="{00000000-0005-0000-0000-000014990000}"/>
    <cellStyle name="Input 8 5 2 3 5" xfId="39398" xr:uid="{00000000-0005-0000-0000-000015990000}"/>
    <cellStyle name="Input 8 5 2 3 6" xfId="39399" xr:uid="{00000000-0005-0000-0000-000016990000}"/>
    <cellStyle name="Input 8 5 2 4" xfId="39400" xr:uid="{00000000-0005-0000-0000-000017990000}"/>
    <cellStyle name="Input 8 5 2 4 2" xfId="39401" xr:uid="{00000000-0005-0000-0000-000018990000}"/>
    <cellStyle name="Input 8 5 2 5" xfId="39402" xr:uid="{00000000-0005-0000-0000-000019990000}"/>
    <cellStyle name="Input 8 5 2 5 2" xfId="39403" xr:uid="{00000000-0005-0000-0000-00001A990000}"/>
    <cellStyle name="Input 8 5 2 6" xfId="39404" xr:uid="{00000000-0005-0000-0000-00001B990000}"/>
    <cellStyle name="Input 8 5 2 7" xfId="39405" xr:uid="{00000000-0005-0000-0000-00001C990000}"/>
    <cellStyle name="Input 8 5 2 8" xfId="39406" xr:uid="{00000000-0005-0000-0000-00001D990000}"/>
    <cellStyle name="Input 8 5 3" xfId="39407" xr:uid="{00000000-0005-0000-0000-00001E990000}"/>
    <cellStyle name="Input 8 5 3 2" xfId="39408" xr:uid="{00000000-0005-0000-0000-00001F990000}"/>
    <cellStyle name="Input 8 5 3 2 2" xfId="39409" xr:uid="{00000000-0005-0000-0000-000020990000}"/>
    <cellStyle name="Input 8 5 3 2 2 2" xfId="39410" xr:uid="{00000000-0005-0000-0000-000021990000}"/>
    <cellStyle name="Input 8 5 3 2 2 2 2" xfId="39411" xr:uid="{00000000-0005-0000-0000-000022990000}"/>
    <cellStyle name="Input 8 5 3 2 2 3" xfId="39412" xr:uid="{00000000-0005-0000-0000-000023990000}"/>
    <cellStyle name="Input 8 5 3 2 2 3 2" xfId="39413" xr:uid="{00000000-0005-0000-0000-000024990000}"/>
    <cellStyle name="Input 8 5 3 2 2 4" xfId="39414" xr:uid="{00000000-0005-0000-0000-000025990000}"/>
    <cellStyle name="Input 8 5 3 2 2 5" xfId="39415" xr:uid="{00000000-0005-0000-0000-000026990000}"/>
    <cellStyle name="Input 8 5 3 2 2 6" xfId="39416" xr:uid="{00000000-0005-0000-0000-000027990000}"/>
    <cellStyle name="Input 8 5 3 2 3" xfId="39417" xr:uid="{00000000-0005-0000-0000-000028990000}"/>
    <cellStyle name="Input 8 5 3 2 3 2" xfId="39418" xr:uid="{00000000-0005-0000-0000-000029990000}"/>
    <cellStyle name="Input 8 5 3 2 4" xfId="39419" xr:uid="{00000000-0005-0000-0000-00002A990000}"/>
    <cellStyle name="Input 8 5 3 2 4 2" xfId="39420" xr:uid="{00000000-0005-0000-0000-00002B990000}"/>
    <cellStyle name="Input 8 5 3 2 5" xfId="39421" xr:uid="{00000000-0005-0000-0000-00002C990000}"/>
    <cellStyle name="Input 8 5 3 2 6" xfId="39422" xr:uid="{00000000-0005-0000-0000-00002D990000}"/>
    <cellStyle name="Input 8 5 3 2 7" xfId="39423" xr:uid="{00000000-0005-0000-0000-00002E990000}"/>
    <cellStyle name="Input 8 5 3 3" xfId="39424" xr:uid="{00000000-0005-0000-0000-00002F990000}"/>
    <cellStyle name="Input 8 5 3 3 2" xfId="39425" xr:uid="{00000000-0005-0000-0000-000030990000}"/>
    <cellStyle name="Input 8 5 3 3 2 2" xfId="39426" xr:uid="{00000000-0005-0000-0000-000031990000}"/>
    <cellStyle name="Input 8 5 3 3 3" xfId="39427" xr:uid="{00000000-0005-0000-0000-000032990000}"/>
    <cellStyle name="Input 8 5 3 3 3 2" xfId="39428" xr:uid="{00000000-0005-0000-0000-000033990000}"/>
    <cellStyle name="Input 8 5 3 3 4" xfId="39429" xr:uid="{00000000-0005-0000-0000-000034990000}"/>
    <cellStyle name="Input 8 5 3 3 5" xfId="39430" xr:uid="{00000000-0005-0000-0000-000035990000}"/>
    <cellStyle name="Input 8 5 3 3 6" xfId="39431" xr:uid="{00000000-0005-0000-0000-000036990000}"/>
    <cellStyle name="Input 8 5 3 4" xfId="39432" xr:uid="{00000000-0005-0000-0000-000037990000}"/>
    <cellStyle name="Input 8 5 3 4 2" xfId="39433" xr:uid="{00000000-0005-0000-0000-000038990000}"/>
    <cellStyle name="Input 8 5 3 5" xfId="39434" xr:uid="{00000000-0005-0000-0000-000039990000}"/>
    <cellStyle name="Input 8 5 3 5 2" xfId="39435" xr:uid="{00000000-0005-0000-0000-00003A990000}"/>
    <cellStyle name="Input 8 5 3 6" xfId="39436" xr:uid="{00000000-0005-0000-0000-00003B990000}"/>
    <cellStyle name="Input 8 5 3 7" xfId="39437" xr:uid="{00000000-0005-0000-0000-00003C990000}"/>
    <cellStyle name="Input 8 5 3 8" xfId="39438" xr:uid="{00000000-0005-0000-0000-00003D990000}"/>
    <cellStyle name="Input 8 5 4" xfId="39439" xr:uid="{00000000-0005-0000-0000-00003E990000}"/>
    <cellStyle name="Input 8 5 4 2" xfId="39440" xr:uid="{00000000-0005-0000-0000-00003F990000}"/>
    <cellStyle name="Input 8 5 4 2 2" xfId="39441" xr:uid="{00000000-0005-0000-0000-000040990000}"/>
    <cellStyle name="Input 8 5 4 2 2 2" xfId="39442" xr:uid="{00000000-0005-0000-0000-000041990000}"/>
    <cellStyle name="Input 8 5 4 2 3" xfId="39443" xr:uid="{00000000-0005-0000-0000-000042990000}"/>
    <cellStyle name="Input 8 5 4 2 3 2" xfId="39444" xr:uid="{00000000-0005-0000-0000-000043990000}"/>
    <cellStyle name="Input 8 5 4 2 4" xfId="39445" xr:uid="{00000000-0005-0000-0000-000044990000}"/>
    <cellStyle name="Input 8 5 4 2 5" xfId="39446" xr:uid="{00000000-0005-0000-0000-000045990000}"/>
    <cellStyle name="Input 8 5 4 2 6" xfId="39447" xr:uid="{00000000-0005-0000-0000-000046990000}"/>
    <cellStyle name="Input 8 5 4 3" xfId="39448" xr:uid="{00000000-0005-0000-0000-000047990000}"/>
    <cellStyle name="Input 8 5 4 3 2" xfId="39449" xr:uid="{00000000-0005-0000-0000-000048990000}"/>
    <cellStyle name="Input 8 5 4 4" xfId="39450" xr:uid="{00000000-0005-0000-0000-000049990000}"/>
    <cellStyle name="Input 8 5 4 4 2" xfId="39451" xr:uid="{00000000-0005-0000-0000-00004A990000}"/>
    <cellStyle name="Input 8 5 4 5" xfId="39452" xr:uid="{00000000-0005-0000-0000-00004B990000}"/>
    <cellStyle name="Input 8 5 4 6" xfId="39453" xr:uid="{00000000-0005-0000-0000-00004C990000}"/>
    <cellStyle name="Input 8 5 4 7" xfId="39454" xr:uid="{00000000-0005-0000-0000-00004D990000}"/>
    <cellStyle name="Input 8 5 5" xfId="39455" xr:uid="{00000000-0005-0000-0000-00004E990000}"/>
    <cellStyle name="Input 8 5 5 2" xfId="39456" xr:uid="{00000000-0005-0000-0000-00004F990000}"/>
    <cellStyle name="Input 8 5 5 2 2" xfId="39457" xr:uid="{00000000-0005-0000-0000-000050990000}"/>
    <cellStyle name="Input 8 5 5 3" xfId="39458" xr:uid="{00000000-0005-0000-0000-000051990000}"/>
    <cellStyle name="Input 8 5 5 3 2" xfId="39459" xr:uid="{00000000-0005-0000-0000-000052990000}"/>
    <cellStyle name="Input 8 5 5 4" xfId="39460" xr:uid="{00000000-0005-0000-0000-000053990000}"/>
    <cellStyle name="Input 8 5 5 5" xfId="39461" xr:uid="{00000000-0005-0000-0000-000054990000}"/>
    <cellStyle name="Input 8 5 5 6" xfId="39462" xr:uid="{00000000-0005-0000-0000-000055990000}"/>
    <cellStyle name="Input 8 5 6" xfId="39463" xr:uid="{00000000-0005-0000-0000-000056990000}"/>
    <cellStyle name="Input 8 5 6 2" xfId="39464" xr:uid="{00000000-0005-0000-0000-000057990000}"/>
    <cellStyle name="Input 8 5 7" xfId="39465" xr:uid="{00000000-0005-0000-0000-000058990000}"/>
    <cellStyle name="Input 8 5 7 2" xfId="39466" xr:uid="{00000000-0005-0000-0000-000059990000}"/>
    <cellStyle name="Input 8 5 8" xfId="39467" xr:uid="{00000000-0005-0000-0000-00005A990000}"/>
    <cellStyle name="Input 8 5 9" xfId="39468" xr:uid="{00000000-0005-0000-0000-00005B990000}"/>
    <cellStyle name="Input 8 6" xfId="39469" xr:uid="{00000000-0005-0000-0000-00005C990000}"/>
    <cellStyle name="Input 8 6 2" xfId="39470" xr:uid="{00000000-0005-0000-0000-00005D990000}"/>
    <cellStyle name="Input 8 6 2 2" xfId="39471" xr:uid="{00000000-0005-0000-0000-00005E990000}"/>
    <cellStyle name="Input 8 6 2 2 2" xfId="39472" xr:uid="{00000000-0005-0000-0000-00005F990000}"/>
    <cellStyle name="Input 8 6 2 2 2 2" xfId="39473" xr:uid="{00000000-0005-0000-0000-000060990000}"/>
    <cellStyle name="Input 8 6 2 2 3" xfId="39474" xr:uid="{00000000-0005-0000-0000-000061990000}"/>
    <cellStyle name="Input 8 6 2 2 3 2" xfId="39475" xr:uid="{00000000-0005-0000-0000-000062990000}"/>
    <cellStyle name="Input 8 6 2 2 4" xfId="39476" xr:uid="{00000000-0005-0000-0000-000063990000}"/>
    <cellStyle name="Input 8 6 2 2 5" xfId="39477" xr:uid="{00000000-0005-0000-0000-000064990000}"/>
    <cellStyle name="Input 8 6 2 2 6" xfId="39478" xr:uid="{00000000-0005-0000-0000-000065990000}"/>
    <cellStyle name="Input 8 6 2 3" xfId="39479" xr:uid="{00000000-0005-0000-0000-000066990000}"/>
    <cellStyle name="Input 8 6 2 3 2" xfId="39480" xr:uid="{00000000-0005-0000-0000-000067990000}"/>
    <cellStyle name="Input 8 6 2 4" xfId="39481" xr:uid="{00000000-0005-0000-0000-000068990000}"/>
    <cellStyle name="Input 8 6 2 4 2" xfId="39482" xr:uid="{00000000-0005-0000-0000-000069990000}"/>
    <cellStyle name="Input 8 6 2 5" xfId="39483" xr:uid="{00000000-0005-0000-0000-00006A990000}"/>
    <cellStyle name="Input 8 6 2 6" xfId="39484" xr:uid="{00000000-0005-0000-0000-00006B990000}"/>
    <cellStyle name="Input 8 6 2 7" xfId="39485" xr:uid="{00000000-0005-0000-0000-00006C990000}"/>
    <cellStyle name="Input 8 6 3" xfId="39486" xr:uid="{00000000-0005-0000-0000-00006D990000}"/>
    <cellStyle name="Input 8 6 3 2" xfId="39487" xr:uid="{00000000-0005-0000-0000-00006E990000}"/>
    <cellStyle name="Input 8 6 3 2 2" xfId="39488" xr:uid="{00000000-0005-0000-0000-00006F990000}"/>
    <cellStyle name="Input 8 6 3 3" xfId="39489" xr:uid="{00000000-0005-0000-0000-000070990000}"/>
    <cellStyle name="Input 8 6 3 3 2" xfId="39490" xr:uid="{00000000-0005-0000-0000-000071990000}"/>
    <cellStyle name="Input 8 6 3 4" xfId="39491" xr:uid="{00000000-0005-0000-0000-000072990000}"/>
    <cellStyle name="Input 8 6 3 5" xfId="39492" xr:uid="{00000000-0005-0000-0000-000073990000}"/>
    <cellStyle name="Input 8 6 3 6" xfId="39493" xr:uid="{00000000-0005-0000-0000-000074990000}"/>
    <cellStyle name="Input 8 6 4" xfId="39494" xr:uid="{00000000-0005-0000-0000-000075990000}"/>
    <cellStyle name="Input 8 6 4 2" xfId="39495" xr:uid="{00000000-0005-0000-0000-000076990000}"/>
    <cellStyle name="Input 8 6 5" xfId="39496" xr:uid="{00000000-0005-0000-0000-000077990000}"/>
    <cellStyle name="Input 8 6 5 2" xfId="39497" xr:uid="{00000000-0005-0000-0000-000078990000}"/>
    <cellStyle name="Input 8 6 6" xfId="39498" xr:uid="{00000000-0005-0000-0000-000079990000}"/>
    <cellStyle name="Input 8 6 7" xfId="39499" xr:uid="{00000000-0005-0000-0000-00007A990000}"/>
    <cellStyle name="Input 8 6 8" xfId="39500" xr:uid="{00000000-0005-0000-0000-00007B990000}"/>
    <cellStyle name="Input 8 7" xfId="39501" xr:uid="{00000000-0005-0000-0000-00007C990000}"/>
    <cellStyle name="Input 8 7 2" xfId="39502" xr:uid="{00000000-0005-0000-0000-00007D990000}"/>
    <cellStyle name="Input 8 7 2 2" xfId="39503" xr:uid="{00000000-0005-0000-0000-00007E990000}"/>
    <cellStyle name="Input 8 7 2 2 2" xfId="39504" xr:uid="{00000000-0005-0000-0000-00007F990000}"/>
    <cellStyle name="Input 8 7 2 3" xfId="39505" xr:uid="{00000000-0005-0000-0000-000080990000}"/>
    <cellStyle name="Input 8 7 2 3 2" xfId="39506" xr:uid="{00000000-0005-0000-0000-000081990000}"/>
    <cellStyle name="Input 8 7 2 4" xfId="39507" xr:uid="{00000000-0005-0000-0000-000082990000}"/>
    <cellStyle name="Input 8 7 2 5" xfId="39508" xr:uid="{00000000-0005-0000-0000-000083990000}"/>
    <cellStyle name="Input 8 7 2 6" xfId="39509" xr:uid="{00000000-0005-0000-0000-000084990000}"/>
    <cellStyle name="Input 8 7 3" xfId="39510" xr:uid="{00000000-0005-0000-0000-000085990000}"/>
    <cellStyle name="Input 8 7 3 2" xfId="39511" xr:uid="{00000000-0005-0000-0000-000086990000}"/>
    <cellStyle name="Input 8 7 4" xfId="39512" xr:uid="{00000000-0005-0000-0000-000087990000}"/>
    <cellStyle name="Input 8 7 4 2" xfId="39513" xr:uid="{00000000-0005-0000-0000-000088990000}"/>
    <cellStyle name="Input 8 7 5" xfId="39514" xr:uid="{00000000-0005-0000-0000-000089990000}"/>
    <cellStyle name="Input 8 7 6" xfId="39515" xr:uid="{00000000-0005-0000-0000-00008A990000}"/>
    <cellStyle name="Input 8 7 7" xfId="39516" xr:uid="{00000000-0005-0000-0000-00008B990000}"/>
    <cellStyle name="Input 8 8" xfId="39517" xr:uid="{00000000-0005-0000-0000-00008C990000}"/>
    <cellStyle name="Input 8 8 2" xfId="39518" xr:uid="{00000000-0005-0000-0000-00008D990000}"/>
    <cellStyle name="Input 8 9" xfId="39519" xr:uid="{00000000-0005-0000-0000-00008E990000}"/>
    <cellStyle name="Input 8 9 2" xfId="39520" xr:uid="{00000000-0005-0000-0000-00008F990000}"/>
    <cellStyle name="Input 9" xfId="39521" xr:uid="{00000000-0005-0000-0000-000090990000}"/>
    <cellStyle name="Input 9 10" xfId="39522" xr:uid="{00000000-0005-0000-0000-000091990000}"/>
    <cellStyle name="Input 9 11" xfId="39523" xr:uid="{00000000-0005-0000-0000-000092990000}"/>
    <cellStyle name="Input 9 12" xfId="39524" xr:uid="{00000000-0005-0000-0000-000093990000}"/>
    <cellStyle name="Input 9 2" xfId="39525" xr:uid="{00000000-0005-0000-0000-000094990000}"/>
    <cellStyle name="Input 9 2 10" xfId="39526" xr:uid="{00000000-0005-0000-0000-000095990000}"/>
    <cellStyle name="Input 9 2 11" xfId="39527" xr:uid="{00000000-0005-0000-0000-000096990000}"/>
    <cellStyle name="Input 9 2 12" xfId="39528" xr:uid="{00000000-0005-0000-0000-000097990000}"/>
    <cellStyle name="Input 9 2 2" xfId="39529" xr:uid="{00000000-0005-0000-0000-000098990000}"/>
    <cellStyle name="Input 9 2 2 10" xfId="39530" xr:uid="{00000000-0005-0000-0000-000099990000}"/>
    <cellStyle name="Input 9 2 2 11" xfId="39531" xr:uid="{00000000-0005-0000-0000-00009A990000}"/>
    <cellStyle name="Input 9 2 2 2" xfId="39532" xr:uid="{00000000-0005-0000-0000-00009B990000}"/>
    <cellStyle name="Input 9 2 2 2 10" xfId="39533" xr:uid="{00000000-0005-0000-0000-00009C990000}"/>
    <cellStyle name="Input 9 2 2 2 2" xfId="39534" xr:uid="{00000000-0005-0000-0000-00009D990000}"/>
    <cellStyle name="Input 9 2 2 2 2 2" xfId="39535" xr:uid="{00000000-0005-0000-0000-00009E990000}"/>
    <cellStyle name="Input 9 2 2 2 2 2 2" xfId="39536" xr:uid="{00000000-0005-0000-0000-00009F990000}"/>
    <cellStyle name="Input 9 2 2 2 2 2 2 2" xfId="39537" xr:uid="{00000000-0005-0000-0000-0000A0990000}"/>
    <cellStyle name="Input 9 2 2 2 2 2 2 2 2" xfId="39538" xr:uid="{00000000-0005-0000-0000-0000A1990000}"/>
    <cellStyle name="Input 9 2 2 2 2 2 2 3" xfId="39539" xr:uid="{00000000-0005-0000-0000-0000A2990000}"/>
    <cellStyle name="Input 9 2 2 2 2 2 2 3 2" xfId="39540" xr:uid="{00000000-0005-0000-0000-0000A3990000}"/>
    <cellStyle name="Input 9 2 2 2 2 2 2 4" xfId="39541" xr:uid="{00000000-0005-0000-0000-0000A4990000}"/>
    <cellStyle name="Input 9 2 2 2 2 2 2 5" xfId="39542" xr:uid="{00000000-0005-0000-0000-0000A5990000}"/>
    <cellStyle name="Input 9 2 2 2 2 2 2 6" xfId="39543" xr:uid="{00000000-0005-0000-0000-0000A6990000}"/>
    <cellStyle name="Input 9 2 2 2 2 2 3" xfId="39544" xr:uid="{00000000-0005-0000-0000-0000A7990000}"/>
    <cellStyle name="Input 9 2 2 2 2 2 3 2" xfId="39545" xr:uid="{00000000-0005-0000-0000-0000A8990000}"/>
    <cellStyle name="Input 9 2 2 2 2 2 4" xfId="39546" xr:uid="{00000000-0005-0000-0000-0000A9990000}"/>
    <cellStyle name="Input 9 2 2 2 2 2 4 2" xfId="39547" xr:uid="{00000000-0005-0000-0000-0000AA990000}"/>
    <cellStyle name="Input 9 2 2 2 2 2 5" xfId="39548" xr:uid="{00000000-0005-0000-0000-0000AB990000}"/>
    <cellStyle name="Input 9 2 2 2 2 2 6" xfId="39549" xr:uid="{00000000-0005-0000-0000-0000AC990000}"/>
    <cellStyle name="Input 9 2 2 2 2 2 7" xfId="39550" xr:uid="{00000000-0005-0000-0000-0000AD990000}"/>
    <cellStyle name="Input 9 2 2 2 2 3" xfId="39551" xr:uid="{00000000-0005-0000-0000-0000AE990000}"/>
    <cellStyle name="Input 9 2 2 2 2 3 2" xfId="39552" xr:uid="{00000000-0005-0000-0000-0000AF990000}"/>
    <cellStyle name="Input 9 2 2 2 2 3 2 2" xfId="39553" xr:uid="{00000000-0005-0000-0000-0000B0990000}"/>
    <cellStyle name="Input 9 2 2 2 2 3 3" xfId="39554" xr:uid="{00000000-0005-0000-0000-0000B1990000}"/>
    <cellStyle name="Input 9 2 2 2 2 3 3 2" xfId="39555" xr:uid="{00000000-0005-0000-0000-0000B2990000}"/>
    <cellStyle name="Input 9 2 2 2 2 3 4" xfId="39556" xr:uid="{00000000-0005-0000-0000-0000B3990000}"/>
    <cellStyle name="Input 9 2 2 2 2 3 5" xfId="39557" xr:uid="{00000000-0005-0000-0000-0000B4990000}"/>
    <cellStyle name="Input 9 2 2 2 2 3 6" xfId="39558" xr:uid="{00000000-0005-0000-0000-0000B5990000}"/>
    <cellStyle name="Input 9 2 2 2 2 4" xfId="39559" xr:uid="{00000000-0005-0000-0000-0000B6990000}"/>
    <cellStyle name="Input 9 2 2 2 2 4 2" xfId="39560" xr:uid="{00000000-0005-0000-0000-0000B7990000}"/>
    <cellStyle name="Input 9 2 2 2 2 5" xfId="39561" xr:uid="{00000000-0005-0000-0000-0000B8990000}"/>
    <cellStyle name="Input 9 2 2 2 2 5 2" xfId="39562" xr:uid="{00000000-0005-0000-0000-0000B9990000}"/>
    <cellStyle name="Input 9 2 2 2 2 6" xfId="39563" xr:uid="{00000000-0005-0000-0000-0000BA990000}"/>
    <cellStyle name="Input 9 2 2 2 2 7" xfId="39564" xr:uid="{00000000-0005-0000-0000-0000BB990000}"/>
    <cellStyle name="Input 9 2 2 2 2 8" xfId="39565" xr:uid="{00000000-0005-0000-0000-0000BC990000}"/>
    <cellStyle name="Input 9 2 2 2 3" xfId="39566" xr:uid="{00000000-0005-0000-0000-0000BD990000}"/>
    <cellStyle name="Input 9 2 2 2 3 2" xfId="39567" xr:uid="{00000000-0005-0000-0000-0000BE990000}"/>
    <cellStyle name="Input 9 2 2 2 3 2 2" xfId="39568" xr:uid="{00000000-0005-0000-0000-0000BF990000}"/>
    <cellStyle name="Input 9 2 2 2 3 2 2 2" xfId="39569" xr:uid="{00000000-0005-0000-0000-0000C0990000}"/>
    <cellStyle name="Input 9 2 2 2 3 2 2 2 2" xfId="39570" xr:uid="{00000000-0005-0000-0000-0000C1990000}"/>
    <cellStyle name="Input 9 2 2 2 3 2 2 3" xfId="39571" xr:uid="{00000000-0005-0000-0000-0000C2990000}"/>
    <cellStyle name="Input 9 2 2 2 3 2 2 3 2" xfId="39572" xr:uid="{00000000-0005-0000-0000-0000C3990000}"/>
    <cellStyle name="Input 9 2 2 2 3 2 2 4" xfId="39573" xr:uid="{00000000-0005-0000-0000-0000C4990000}"/>
    <cellStyle name="Input 9 2 2 2 3 2 2 5" xfId="39574" xr:uid="{00000000-0005-0000-0000-0000C5990000}"/>
    <cellStyle name="Input 9 2 2 2 3 2 2 6" xfId="39575" xr:uid="{00000000-0005-0000-0000-0000C6990000}"/>
    <cellStyle name="Input 9 2 2 2 3 2 3" xfId="39576" xr:uid="{00000000-0005-0000-0000-0000C7990000}"/>
    <cellStyle name="Input 9 2 2 2 3 2 3 2" xfId="39577" xr:uid="{00000000-0005-0000-0000-0000C8990000}"/>
    <cellStyle name="Input 9 2 2 2 3 2 4" xfId="39578" xr:uid="{00000000-0005-0000-0000-0000C9990000}"/>
    <cellStyle name="Input 9 2 2 2 3 2 4 2" xfId="39579" xr:uid="{00000000-0005-0000-0000-0000CA990000}"/>
    <cellStyle name="Input 9 2 2 2 3 2 5" xfId="39580" xr:uid="{00000000-0005-0000-0000-0000CB990000}"/>
    <cellStyle name="Input 9 2 2 2 3 2 6" xfId="39581" xr:uid="{00000000-0005-0000-0000-0000CC990000}"/>
    <cellStyle name="Input 9 2 2 2 3 2 7" xfId="39582" xr:uid="{00000000-0005-0000-0000-0000CD990000}"/>
    <cellStyle name="Input 9 2 2 2 3 3" xfId="39583" xr:uid="{00000000-0005-0000-0000-0000CE990000}"/>
    <cellStyle name="Input 9 2 2 2 3 3 2" xfId="39584" xr:uid="{00000000-0005-0000-0000-0000CF990000}"/>
    <cellStyle name="Input 9 2 2 2 3 3 2 2" xfId="39585" xr:uid="{00000000-0005-0000-0000-0000D0990000}"/>
    <cellStyle name="Input 9 2 2 2 3 3 3" xfId="39586" xr:uid="{00000000-0005-0000-0000-0000D1990000}"/>
    <cellStyle name="Input 9 2 2 2 3 3 3 2" xfId="39587" xr:uid="{00000000-0005-0000-0000-0000D2990000}"/>
    <cellStyle name="Input 9 2 2 2 3 3 4" xfId="39588" xr:uid="{00000000-0005-0000-0000-0000D3990000}"/>
    <cellStyle name="Input 9 2 2 2 3 3 5" xfId="39589" xr:uid="{00000000-0005-0000-0000-0000D4990000}"/>
    <cellStyle name="Input 9 2 2 2 3 3 6" xfId="39590" xr:uid="{00000000-0005-0000-0000-0000D5990000}"/>
    <cellStyle name="Input 9 2 2 2 3 4" xfId="39591" xr:uid="{00000000-0005-0000-0000-0000D6990000}"/>
    <cellStyle name="Input 9 2 2 2 3 4 2" xfId="39592" xr:uid="{00000000-0005-0000-0000-0000D7990000}"/>
    <cellStyle name="Input 9 2 2 2 3 5" xfId="39593" xr:uid="{00000000-0005-0000-0000-0000D8990000}"/>
    <cellStyle name="Input 9 2 2 2 3 5 2" xfId="39594" xr:uid="{00000000-0005-0000-0000-0000D9990000}"/>
    <cellStyle name="Input 9 2 2 2 3 6" xfId="39595" xr:uid="{00000000-0005-0000-0000-0000DA990000}"/>
    <cellStyle name="Input 9 2 2 2 3 7" xfId="39596" xr:uid="{00000000-0005-0000-0000-0000DB990000}"/>
    <cellStyle name="Input 9 2 2 2 3 8" xfId="39597" xr:uid="{00000000-0005-0000-0000-0000DC990000}"/>
    <cellStyle name="Input 9 2 2 2 4" xfId="39598" xr:uid="{00000000-0005-0000-0000-0000DD990000}"/>
    <cellStyle name="Input 9 2 2 2 4 2" xfId="39599" xr:uid="{00000000-0005-0000-0000-0000DE990000}"/>
    <cellStyle name="Input 9 2 2 2 4 2 2" xfId="39600" xr:uid="{00000000-0005-0000-0000-0000DF990000}"/>
    <cellStyle name="Input 9 2 2 2 4 2 2 2" xfId="39601" xr:uid="{00000000-0005-0000-0000-0000E0990000}"/>
    <cellStyle name="Input 9 2 2 2 4 2 3" xfId="39602" xr:uid="{00000000-0005-0000-0000-0000E1990000}"/>
    <cellStyle name="Input 9 2 2 2 4 2 3 2" xfId="39603" xr:uid="{00000000-0005-0000-0000-0000E2990000}"/>
    <cellStyle name="Input 9 2 2 2 4 2 4" xfId="39604" xr:uid="{00000000-0005-0000-0000-0000E3990000}"/>
    <cellStyle name="Input 9 2 2 2 4 2 5" xfId="39605" xr:uid="{00000000-0005-0000-0000-0000E4990000}"/>
    <cellStyle name="Input 9 2 2 2 4 2 6" xfId="39606" xr:uid="{00000000-0005-0000-0000-0000E5990000}"/>
    <cellStyle name="Input 9 2 2 2 4 3" xfId="39607" xr:uid="{00000000-0005-0000-0000-0000E6990000}"/>
    <cellStyle name="Input 9 2 2 2 4 3 2" xfId="39608" xr:uid="{00000000-0005-0000-0000-0000E7990000}"/>
    <cellStyle name="Input 9 2 2 2 4 4" xfId="39609" xr:uid="{00000000-0005-0000-0000-0000E8990000}"/>
    <cellStyle name="Input 9 2 2 2 4 4 2" xfId="39610" xr:uid="{00000000-0005-0000-0000-0000E9990000}"/>
    <cellStyle name="Input 9 2 2 2 4 5" xfId="39611" xr:uid="{00000000-0005-0000-0000-0000EA990000}"/>
    <cellStyle name="Input 9 2 2 2 4 6" xfId="39612" xr:uid="{00000000-0005-0000-0000-0000EB990000}"/>
    <cellStyle name="Input 9 2 2 2 4 7" xfId="39613" xr:uid="{00000000-0005-0000-0000-0000EC990000}"/>
    <cellStyle name="Input 9 2 2 2 5" xfId="39614" xr:uid="{00000000-0005-0000-0000-0000ED990000}"/>
    <cellStyle name="Input 9 2 2 2 5 2" xfId="39615" xr:uid="{00000000-0005-0000-0000-0000EE990000}"/>
    <cellStyle name="Input 9 2 2 2 5 2 2" xfId="39616" xr:uid="{00000000-0005-0000-0000-0000EF990000}"/>
    <cellStyle name="Input 9 2 2 2 5 3" xfId="39617" xr:uid="{00000000-0005-0000-0000-0000F0990000}"/>
    <cellStyle name="Input 9 2 2 2 5 3 2" xfId="39618" xr:uid="{00000000-0005-0000-0000-0000F1990000}"/>
    <cellStyle name="Input 9 2 2 2 5 4" xfId="39619" xr:uid="{00000000-0005-0000-0000-0000F2990000}"/>
    <cellStyle name="Input 9 2 2 2 5 5" xfId="39620" xr:uid="{00000000-0005-0000-0000-0000F3990000}"/>
    <cellStyle name="Input 9 2 2 2 5 6" xfId="39621" xr:uid="{00000000-0005-0000-0000-0000F4990000}"/>
    <cellStyle name="Input 9 2 2 2 6" xfId="39622" xr:uid="{00000000-0005-0000-0000-0000F5990000}"/>
    <cellStyle name="Input 9 2 2 2 6 2" xfId="39623" xr:uid="{00000000-0005-0000-0000-0000F6990000}"/>
    <cellStyle name="Input 9 2 2 2 7" xfId="39624" xr:uid="{00000000-0005-0000-0000-0000F7990000}"/>
    <cellStyle name="Input 9 2 2 2 7 2" xfId="39625" xr:uid="{00000000-0005-0000-0000-0000F8990000}"/>
    <cellStyle name="Input 9 2 2 2 8" xfId="39626" xr:uid="{00000000-0005-0000-0000-0000F9990000}"/>
    <cellStyle name="Input 9 2 2 2 9" xfId="39627" xr:uid="{00000000-0005-0000-0000-0000FA990000}"/>
    <cellStyle name="Input 9 2 2 3" xfId="39628" xr:uid="{00000000-0005-0000-0000-0000FB990000}"/>
    <cellStyle name="Input 9 2 2 3 2" xfId="39629" xr:uid="{00000000-0005-0000-0000-0000FC990000}"/>
    <cellStyle name="Input 9 2 2 3 2 2" xfId="39630" xr:uid="{00000000-0005-0000-0000-0000FD990000}"/>
    <cellStyle name="Input 9 2 2 3 2 2 2" xfId="39631" xr:uid="{00000000-0005-0000-0000-0000FE990000}"/>
    <cellStyle name="Input 9 2 2 3 2 2 2 2" xfId="39632" xr:uid="{00000000-0005-0000-0000-0000FF990000}"/>
    <cellStyle name="Input 9 2 2 3 2 2 3" xfId="39633" xr:uid="{00000000-0005-0000-0000-0000009A0000}"/>
    <cellStyle name="Input 9 2 2 3 2 2 3 2" xfId="39634" xr:uid="{00000000-0005-0000-0000-0000019A0000}"/>
    <cellStyle name="Input 9 2 2 3 2 2 4" xfId="39635" xr:uid="{00000000-0005-0000-0000-0000029A0000}"/>
    <cellStyle name="Input 9 2 2 3 2 2 5" xfId="39636" xr:uid="{00000000-0005-0000-0000-0000039A0000}"/>
    <cellStyle name="Input 9 2 2 3 2 2 6" xfId="39637" xr:uid="{00000000-0005-0000-0000-0000049A0000}"/>
    <cellStyle name="Input 9 2 2 3 2 3" xfId="39638" xr:uid="{00000000-0005-0000-0000-0000059A0000}"/>
    <cellStyle name="Input 9 2 2 3 2 3 2" xfId="39639" xr:uid="{00000000-0005-0000-0000-0000069A0000}"/>
    <cellStyle name="Input 9 2 2 3 2 4" xfId="39640" xr:uid="{00000000-0005-0000-0000-0000079A0000}"/>
    <cellStyle name="Input 9 2 2 3 2 4 2" xfId="39641" xr:uid="{00000000-0005-0000-0000-0000089A0000}"/>
    <cellStyle name="Input 9 2 2 3 2 5" xfId="39642" xr:uid="{00000000-0005-0000-0000-0000099A0000}"/>
    <cellStyle name="Input 9 2 2 3 2 6" xfId="39643" xr:uid="{00000000-0005-0000-0000-00000A9A0000}"/>
    <cellStyle name="Input 9 2 2 3 2 7" xfId="39644" xr:uid="{00000000-0005-0000-0000-00000B9A0000}"/>
    <cellStyle name="Input 9 2 2 3 3" xfId="39645" xr:uid="{00000000-0005-0000-0000-00000C9A0000}"/>
    <cellStyle name="Input 9 2 2 3 3 2" xfId="39646" xr:uid="{00000000-0005-0000-0000-00000D9A0000}"/>
    <cellStyle name="Input 9 2 2 3 3 2 2" xfId="39647" xr:uid="{00000000-0005-0000-0000-00000E9A0000}"/>
    <cellStyle name="Input 9 2 2 3 3 3" xfId="39648" xr:uid="{00000000-0005-0000-0000-00000F9A0000}"/>
    <cellStyle name="Input 9 2 2 3 3 3 2" xfId="39649" xr:uid="{00000000-0005-0000-0000-0000109A0000}"/>
    <cellStyle name="Input 9 2 2 3 3 4" xfId="39650" xr:uid="{00000000-0005-0000-0000-0000119A0000}"/>
    <cellStyle name="Input 9 2 2 3 3 5" xfId="39651" xr:uid="{00000000-0005-0000-0000-0000129A0000}"/>
    <cellStyle name="Input 9 2 2 3 3 6" xfId="39652" xr:uid="{00000000-0005-0000-0000-0000139A0000}"/>
    <cellStyle name="Input 9 2 2 3 4" xfId="39653" xr:uid="{00000000-0005-0000-0000-0000149A0000}"/>
    <cellStyle name="Input 9 2 2 3 4 2" xfId="39654" xr:uid="{00000000-0005-0000-0000-0000159A0000}"/>
    <cellStyle name="Input 9 2 2 3 5" xfId="39655" xr:uid="{00000000-0005-0000-0000-0000169A0000}"/>
    <cellStyle name="Input 9 2 2 3 5 2" xfId="39656" xr:uid="{00000000-0005-0000-0000-0000179A0000}"/>
    <cellStyle name="Input 9 2 2 3 6" xfId="39657" xr:uid="{00000000-0005-0000-0000-0000189A0000}"/>
    <cellStyle name="Input 9 2 2 3 7" xfId="39658" xr:uid="{00000000-0005-0000-0000-0000199A0000}"/>
    <cellStyle name="Input 9 2 2 3 8" xfId="39659" xr:uid="{00000000-0005-0000-0000-00001A9A0000}"/>
    <cellStyle name="Input 9 2 2 4" xfId="39660" xr:uid="{00000000-0005-0000-0000-00001B9A0000}"/>
    <cellStyle name="Input 9 2 2 4 2" xfId="39661" xr:uid="{00000000-0005-0000-0000-00001C9A0000}"/>
    <cellStyle name="Input 9 2 2 4 2 2" xfId="39662" xr:uid="{00000000-0005-0000-0000-00001D9A0000}"/>
    <cellStyle name="Input 9 2 2 4 2 2 2" xfId="39663" xr:uid="{00000000-0005-0000-0000-00001E9A0000}"/>
    <cellStyle name="Input 9 2 2 4 2 2 2 2" xfId="39664" xr:uid="{00000000-0005-0000-0000-00001F9A0000}"/>
    <cellStyle name="Input 9 2 2 4 2 2 3" xfId="39665" xr:uid="{00000000-0005-0000-0000-0000209A0000}"/>
    <cellStyle name="Input 9 2 2 4 2 2 3 2" xfId="39666" xr:uid="{00000000-0005-0000-0000-0000219A0000}"/>
    <cellStyle name="Input 9 2 2 4 2 2 4" xfId="39667" xr:uid="{00000000-0005-0000-0000-0000229A0000}"/>
    <cellStyle name="Input 9 2 2 4 2 2 5" xfId="39668" xr:uid="{00000000-0005-0000-0000-0000239A0000}"/>
    <cellStyle name="Input 9 2 2 4 2 2 6" xfId="39669" xr:uid="{00000000-0005-0000-0000-0000249A0000}"/>
    <cellStyle name="Input 9 2 2 4 2 3" xfId="39670" xr:uid="{00000000-0005-0000-0000-0000259A0000}"/>
    <cellStyle name="Input 9 2 2 4 2 3 2" xfId="39671" xr:uid="{00000000-0005-0000-0000-0000269A0000}"/>
    <cellStyle name="Input 9 2 2 4 2 4" xfId="39672" xr:uid="{00000000-0005-0000-0000-0000279A0000}"/>
    <cellStyle name="Input 9 2 2 4 2 4 2" xfId="39673" xr:uid="{00000000-0005-0000-0000-0000289A0000}"/>
    <cellStyle name="Input 9 2 2 4 2 5" xfId="39674" xr:uid="{00000000-0005-0000-0000-0000299A0000}"/>
    <cellStyle name="Input 9 2 2 4 2 6" xfId="39675" xr:uid="{00000000-0005-0000-0000-00002A9A0000}"/>
    <cellStyle name="Input 9 2 2 4 2 7" xfId="39676" xr:uid="{00000000-0005-0000-0000-00002B9A0000}"/>
    <cellStyle name="Input 9 2 2 4 3" xfId="39677" xr:uid="{00000000-0005-0000-0000-00002C9A0000}"/>
    <cellStyle name="Input 9 2 2 4 3 2" xfId="39678" xr:uid="{00000000-0005-0000-0000-00002D9A0000}"/>
    <cellStyle name="Input 9 2 2 4 3 2 2" xfId="39679" xr:uid="{00000000-0005-0000-0000-00002E9A0000}"/>
    <cellStyle name="Input 9 2 2 4 3 3" xfId="39680" xr:uid="{00000000-0005-0000-0000-00002F9A0000}"/>
    <cellStyle name="Input 9 2 2 4 3 3 2" xfId="39681" xr:uid="{00000000-0005-0000-0000-0000309A0000}"/>
    <cellStyle name="Input 9 2 2 4 3 4" xfId="39682" xr:uid="{00000000-0005-0000-0000-0000319A0000}"/>
    <cellStyle name="Input 9 2 2 4 3 5" xfId="39683" xr:uid="{00000000-0005-0000-0000-0000329A0000}"/>
    <cellStyle name="Input 9 2 2 4 3 6" xfId="39684" xr:uid="{00000000-0005-0000-0000-0000339A0000}"/>
    <cellStyle name="Input 9 2 2 4 4" xfId="39685" xr:uid="{00000000-0005-0000-0000-0000349A0000}"/>
    <cellStyle name="Input 9 2 2 4 4 2" xfId="39686" xr:uid="{00000000-0005-0000-0000-0000359A0000}"/>
    <cellStyle name="Input 9 2 2 4 5" xfId="39687" xr:uid="{00000000-0005-0000-0000-0000369A0000}"/>
    <cellStyle name="Input 9 2 2 4 5 2" xfId="39688" xr:uid="{00000000-0005-0000-0000-0000379A0000}"/>
    <cellStyle name="Input 9 2 2 4 6" xfId="39689" xr:uid="{00000000-0005-0000-0000-0000389A0000}"/>
    <cellStyle name="Input 9 2 2 4 7" xfId="39690" xr:uid="{00000000-0005-0000-0000-0000399A0000}"/>
    <cellStyle name="Input 9 2 2 4 8" xfId="39691" xr:uid="{00000000-0005-0000-0000-00003A9A0000}"/>
    <cellStyle name="Input 9 2 2 5" xfId="39692" xr:uid="{00000000-0005-0000-0000-00003B9A0000}"/>
    <cellStyle name="Input 9 2 2 5 2" xfId="39693" xr:uid="{00000000-0005-0000-0000-00003C9A0000}"/>
    <cellStyle name="Input 9 2 2 5 2 2" xfId="39694" xr:uid="{00000000-0005-0000-0000-00003D9A0000}"/>
    <cellStyle name="Input 9 2 2 5 2 2 2" xfId="39695" xr:uid="{00000000-0005-0000-0000-00003E9A0000}"/>
    <cellStyle name="Input 9 2 2 5 2 3" xfId="39696" xr:uid="{00000000-0005-0000-0000-00003F9A0000}"/>
    <cellStyle name="Input 9 2 2 5 2 3 2" xfId="39697" xr:uid="{00000000-0005-0000-0000-0000409A0000}"/>
    <cellStyle name="Input 9 2 2 5 2 4" xfId="39698" xr:uid="{00000000-0005-0000-0000-0000419A0000}"/>
    <cellStyle name="Input 9 2 2 5 2 5" xfId="39699" xr:uid="{00000000-0005-0000-0000-0000429A0000}"/>
    <cellStyle name="Input 9 2 2 5 2 6" xfId="39700" xr:uid="{00000000-0005-0000-0000-0000439A0000}"/>
    <cellStyle name="Input 9 2 2 5 3" xfId="39701" xr:uid="{00000000-0005-0000-0000-0000449A0000}"/>
    <cellStyle name="Input 9 2 2 5 3 2" xfId="39702" xr:uid="{00000000-0005-0000-0000-0000459A0000}"/>
    <cellStyle name="Input 9 2 2 5 4" xfId="39703" xr:uid="{00000000-0005-0000-0000-0000469A0000}"/>
    <cellStyle name="Input 9 2 2 5 4 2" xfId="39704" xr:uid="{00000000-0005-0000-0000-0000479A0000}"/>
    <cellStyle name="Input 9 2 2 5 5" xfId="39705" xr:uid="{00000000-0005-0000-0000-0000489A0000}"/>
    <cellStyle name="Input 9 2 2 5 6" xfId="39706" xr:uid="{00000000-0005-0000-0000-0000499A0000}"/>
    <cellStyle name="Input 9 2 2 5 7" xfId="39707" xr:uid="{00000000-0005-0000-0000-00004A9A0000}"/>
    <cellStyle name="Input 9 2 2 6" xfId="39708" xr:uid="{00000000-0005-0000-0000-00004B9A0000}"/>
    <cellStyle name="Input 9 2 2 6 2" xfId="39709" xr:uid="{00000000-0005-0000-0000-00004C9A0000}"/>
    <cellStyle name="Input 9 2 2 6 2 2" xfId="39710" xr:uid="{00000000-0005-0000-0000-00004D9A0000}"/>
    <cellStyle name="Input 9 2 2 6 3" xfId="39711" xr:uid="{00000000-0005-0000-0000-00004E9A0000}"/>
    <cellStyle name="Input 9 2 2 6 3 2" xfId="39712" xr:uid="{00000000-0005-0000-0000-00004F9A0000}"/>
    <cellStyle name="Input 9 2 2 6 4" xfId="39713" xr:uid="{00000000-0005-0000-0000-0000509A0000}"/>
    <cellStyle name="Input 9 2 2 6 5" xfId="39714" xr:uid="{00000000-0005-0000-0000-0000519A0000}"/>
    <cellStyle name="Input 9 2 2 6 6" xfId="39715" xr:uid="{00000000-0005-0000-0000-0000529A0000}"/>
    <cellStyle name="Input 9 2 2 7" xfId="39716" xr:uid="{00000000-0005-0000-0000-0000539A0000}"/>
    <cellStyle name="Input 9 2 2 7 2" xfId="39717" xr:uid="{00000000-0005-0000-0000-0000549A0000}"/>
    <cellStyle name="Input 9 2 2 8" xfId="39718" xr:uid="{00000000-0005-0000-0000-0000559A0000}"/>
    <cellStyle name="Input 9 2 2 8 2" xfId="39719" xr:uid="{00000000-0005-0000-0000-0000569A0000}"/>
    <cellStyle name="Input 9 2 2 9" xfId="39720" xr:uid="{00000000-0005-0000-0000-0000579A0000}"/>
    <cellStyle name="Input 9 2 3" xfId="39721" xr:uid="{00000000-0005-0000-0000-0000589A0000}"/>
    <cellStyle name="Input 9 2 3 10" xfId="39722" xr:uid="{00000000-0005-0000-0000-0000599A0000}"/>
    <cellStyle name="Input 9 2 3 2" xfId="39723" xr:uid="{00000000-0005-0000-0000-00005A9A0000}"/>
    <cellStyle name="Input 9 2 3 2 10" xfId="39724" xr:uid="{00000000-0005-0000-0000-00005B9A0000}"/>
    <cellStyle name="Input 9 2 3 2 2" xfId="39725" xr:uid="{00000000-0005-0000-0000-00005C9A0000}"/>
    <cellStyle name="Input 9 2 3 2 2 2" xfId="39726" xr:uid="{00000000-0005-0000-0000-00005D9A0000}"/>
    <cellStyle name="Input 9 2 3 2 2 2 2" xfId="39727" xr:uid="{00000000-0005-0000-0000-00005E9A0000}"/>
    <cellStyle name="Input 9 2 3 2 2 2 2 2" xfId="39728" xr:uid="{00000000-0005-0000-0000-00005F9A0000}"/>
    <cellStyle name="Input 9 2 3 2 2 2 2 2 2" xfId="39729" xr:uid="{00000000-0005-0000-0000-0000609A0000}"/>
    <cellStyle name="Input 9 2 3 2 2 2 2 3" xfId="39730" xr:uid="{00000000-0005-0000-0000-0000619A0000}"/>
    <cellStyle name="Input 9 2 3 2 2 2 2 3 2" xfId="39731" xr:uid="{00000000-0005-0000-0000-0000629A0000}"/>
    <cellStyle name="Input 9 2 3 2 2 2 2 4" xfId="39732" xr:uid="{00000000-0005-0000-0000-0000639A0000}"/>
    <cellStyle name="Input 9 2 3 2 2 2 2 5" xfId="39733" xr:uid="{00000000-0005-0000-0000-0000649A0000}"/>
    <cellStyle name="Input 9 2 3 2 2 2 2 6" xfId="39734" xr:uid="{00000000-0005-0000-0000-0000659A0000}"/>
    <cellStyle name="Input 9 2 3 2 2 2 3" xfId="39735" xr:uid="{00000000-0005-0000-0000-0000669A0000}"/>
    <cellStyle name="Input 9 2 3 2 2 2 3 2" xfId="39736" xr:uid="{00000000-0005-0000-0000-0000679A0000}"/>
    <cellStyle name="Input 9 2 3 2 2 2 4" xfId="39737" xr:uid="{00000000-0005-0000-0000-0000689A0000}"/>
    <cellStyle name="Input 9 2 3 2 2 2 4 2" xfId="39738" xr:uid="{00000000-0005-0000-0000-0000699A0000}"/>
    <cellStyle name="Input 9 2 3 2 2 2 5" xfId="39739" xr:uid="{00000000-0005-0000-0000-00006A9A0000}"/>
    <cellStyle name="Input 9 2 3 2 2 2 6" xfId="39740" xr:uid="{00000000-0005-0000-0000-00006B9A0000}"/>
    <cellStyle name="Input 9 2 3 2 2 2 7" xfId="39741" xr:uid="{00000000-0005-0000-0000-00006C9A0000}"/>
    <cellStyle name="Input 9 2 3 2 2 3" xfId="39742" xr:uid="{00000000-0005-0000-0000-00006D9A0000}"/>
    <cellStyle name="Input 9 2 3 2 2 3 2" xfId="39743" xr:uid="{00000000-0005-0000-0000-00006E9A0000}"/>
    <cellStyle name="Input 9 2 3 2 2 3 2 2" xfId="39744" xr:uid="{00000000-0005-0000-0000-00006F9A0000}"/>
    <cellStyle name="Input 9 2 3 2 2 3 3" xfId="39745" xr:uid="{00000000-0005-0000-0000-0000709A0000}"/>
    <cellStyle name="Input 9 2 3 2 2 3 3 2" xfId="39746" xr:uid="{00000000-0005-0000-0000-0000719A0000}"/>
    <cellStyle name="Input 9 2 3 2 2 3 4" xfId="39747" xr:uid="{00000000-0005-0000-0000-0000729A0000}"/>
    <cellStyle name="Input 9 2 3 2 2 3 5" xfId="39748" xr:uid="{00000000-0005-0000-0000-0000739A0000}"/>
    <cellStyle name="Input 9 2 3 2 2 3 6" xfId="39749" xr:uid="{00000000-0005-0000-0000-0000749A0000}"/>
    <cellStyle name="Input 9 2 3 2 2 4" xfId="39750" xr:uid="{00000000-0005-0000-0000-0000759A0000}"/>
    <cellStyle name="Input 9 2 3 2 2 4 2" xfId="39751" xr:uid="{00000000-0005-0000-0000-0000769A0000}"/>
    <cellStyle name="Input 9 2 3 2 2 5" xfId="39752" xr:uid="{00000000-0005-0000-0000-0000779A0000}"/>
    <cellStyle name="Input 9 2 3 2 2 5 2" xfId="39753" xr:uid="{00000000-0005-0000-0000-0000789A0000}"/>
    <cellStyle name="Input 9 2 3 2 2 6" xfId="39754" xr:uid="{00000000-0005-0000-0000-0000799A0000}"/>
    <cellStyle name="Input 9 2 3 2 2 7" xfId="39755" xr:uid="{00000000-0005-0000-0000-00007A9A0000}"/>
    <cellStyle name="Input 9 2 3 2 2 8" xfId="39756" xr:uid="{00000000-0005-0000-0000-00007B9A0000}"/>
    <cellStyle name="Input 9 2 3 2 3" xfId="39757" xr:uid="{00000000-0005-0000-0000-00007C9A0000}"/>
    <cellStyle name="Input 9 2 3 2 3 2" xfId="39758" xr:uid="{00000000-0005-0000-0000-00007D9A0000}"/>
    <cellStyle name="Input 9 2 3 2 3 2 2" xfId="39759" xr:uid="{00000000-0005-0000-0000-00007E9A0000}"/>
    <cellStyle name="Input 9 2 3 2 3 2 2 2" xfId="39760" xr:uid="{00000000-0005-0000-0000-00007F9A0000}"/>
    <cellStyle name="Input 9 2 3 2 3 2 2 2 2" xfId="39761" xr:uid="{00000000-0005-0000-0000-0000809A0000}"/>
    <cellStyle name="Input 9 2 3 2 3 2 2 3" xfId="39762" xr:uid="{00000000-0005-0000-0000-0000819A0000}"/>
    <cellStyle name="Input 9 2 3 2 3 2 2 3 2" xfId="39763" xr:uid="{00000000-0005-0000-0000-0000829A0000}"/>
    <cellStyle name="Input 9 2 3 2 3 2 2 4" xfId="39764" xr:uid="{00000000-0005-0000-0000-0000839A0000}"/>
    <cellStyle name="Input 9 2 3 2 3 2 2 5" xfId="39765" xr:uid="{00000000-0005-0000-0000-0000849A0000}"/>
    <cellStyle name="Input 9 2 3 2 3 2 2 6" xfId="39766" xr:uid="{00000000-0005-0000-0000-0000859A0000}"/>
    <cellStyle name="Input 9 2 3 2 3 2 3" xfId="39767" xr:uid="{00000000-0005-0000-0000-0000869A0000}"/>
    <cellStyle name="Input 9 2 3 2 3 2 3 2" xfId="39768" xr:uid="{00000000-0005-0000-0000-0000879A0000}"/>
    <cellStyle name="Input 9 2 3 2 3 2 4" xfId="39769" xr:uid="{00000000-0005-0000-0000-0000889A0000}"/>
    <cellStyle name="Input 9 2 3 2 3 2 4 2" xfId="39770" xr:uid="{00000000-0005-0000-0000-0000899A0000}"/>
    <cellStyle name="Input 9 2 3 2 3 2 5" xfId="39771" xr:uid="{00000000-0005-0000-0000-00008A9A0000}"/>
    <cellStyle name="Input 9 2 3 2 3 2 6" xfId="39772" xr:uid="{00000000-0005-0000-0000-00008B9A0000}"/>
    <cellStyle name="Input 9 2 3 2 3 2 7" xfId="39773" xr:uid="{00000000-0005-0000-0000-00008C9A0000}"/>
    <cellStyle name="Input 9 2 3 2 3 3" xfId="39774" xr:uid="{00000000-0005-0000-0000-00008D9A0000}"/>
    <cellStyle name="Input 9 2 3 2 3 3 2" xfId="39775" xr:uid="{00000000-0005-0000-0000-00008E9A0000}"/>
    <cellStyle name="Input 9 2 3 2 3 3 2 2" xfId="39776" xr:uid="{00000000-0005-0000-0000-00008F9A0000}"/>
    <cellStyle name="Input 9 2 3 2 3 3 3" xfId="39777" xr:uid="{00000000-0005-0000-0000-0000909A0000}"/>
    <cellStyle name="Input 9 2 3 2 3 3 3 2" xfId="39778" xr:uid="{00000000-0005-0000-0000-0000919A0000}"/>
    <cellStyle name="Input 9 2 3 2 3 3 4" xfId="39779" xr:uid="{00000000-0005-0000-0000-0000929A0000}"/>
    <cellStyle name="Input 9 2 3 2 3 3 5" xfId="39780" xr:uid="{00000000-0005-0000-0000-0000939A0000}"/>
    <cellStyle name="Input 9 2 3 2 3 3 6" xfId="39781" xr:uid="{00000000-0005-0000-0000-0000949A0000}"/>
    <cellStyle name="Input 9 2 3 2 3 4" xfId="39782" xr:uid="{00000000-0005-0000-0000-0000959A0000}"/>
    <cellStyle name="Input 9 2 3 2 3 4 2" xfId="39783" xr:uid="{00000000-0005-0000-0000-0000969A0000}"/>
    <cellStyle name="Input 9 2 3 2 3 5" xfId="39784" xr:uid="{00000000-0005-0000-0000-0000979A0000}"/>
    <cellStyle name="Input 9 2 3 2 3 5 2" xfId="39785" xr:uid="{00000000-0005-0000-0000-0000989A0000}"/>
    <cellStyle name="Input 9 2 3 2 3 6" xfId="39786" xr:uid="{00000000-0005-0000-0000-0000999A0000}"/>
    <cellStyle name="Input 9 2 3 2 3 7" xfId="39787" xr:uid="{00000000-0005-0000-0000-00009A9A0000}"/>
    <cellStyle name="Input 9 2 3 2 3 8" xfId="39788" xr:uid="{00000000-0005-0000-0000-00009B9A0000}"/>
    <cellStyle name="Input 9 2 3 2 4" xfId="39789" xr:uid="{00000000-0005-0000-0000-00009C9A0000}"/>
    <cellStyle name="Input 9 2 3 2 4 2" xfId="39790" xr:uid="{00000000-0005-0000-0000-00009D9A0000}"/>
    <cellStyle name="Input 9 2 3 2 4 2 2" xfId="39791" xr:uid="{00000000-0005-0000-0000-00009E9A0000}"/>
    <cellStyle name="Input 9 2 3 2 4 2 2 2" xfId="39792" xr:uid="{00000000-0005-0000-0000-00009F9A0000}"/>
    <cellStyle name="Input 9 2 3 2 4 2 3" xfId="39793" xr:uid="{00000000-0005-0000-0000-0000A09A0000}"/>
    <cellStyle name="Input 9 2 3 2 4 2 3 2" xfId="39794" xr:uid="{00000000-0005-0000-0000-0000A19A0000}"/>
    <cellStyle name="Input 9 2 3 2 4 2 4" xfId="39795" xr:uid="{00000000-0005-0000-0000-0000A29A0000}"/>
    <cellStyle name="Input 9 2 3 2 4 2 5" xfId="39796" xr:uid="{00000000-0005-0000-0000-0000A39A0000}"/>
    <cellStyle name="Input 9 2 3 2 4 2 6" xfId="39797" xr:uid="{00000000-0005-0000-0000-0000A49A0000}"/>
    <cellStyle name="Input 9 2 3 2 4 3" xfId="39798" xr:uid="{00000000-0005-0000-0000-0000A59A0000}"/>
    <cellStyle name="Input 9 2 3 2 4 3 2" xfId="39799" xr:uid="{00000000-0005-0000-0000-0000A69A0000}"/>
    <cellStyle name="Input 9 2 3 2 4 4" xfId="39800" xr:uid="{00000000-0005-0000-0000-0000A79A0000}"/>
    <cellStyle name="Input 9 2 3 2 4 4 2" xfId="39801" xr:uid="{00000000-0005-0000-0000-0000A89A0000}"/>
    <cellStyle name="Input 9 2 3 2 4 5" xfId="39802" xr:uid="{00000000-0005-0000-0000-0000A99A0000}"/>
    <cellStyle name="Input 9 2 3 2 4 6" xfId="39803" xr:uid="{00000000-0005-0000-0000-0000AA9A0000}"/>
    <cellStyle name="Input 9 2 3 2 4 7" xfId="39804" xr:uid="{00000000-0005-0000-0000-0000AB9A0000}"/>
    <cellStyle name="Input 9 2 3 2 5" xfId="39805" xr:uid="{00000000-0005-0000-0000-0000AC9A0000}"/>
    <cellStyle name="Input 9 2 3 2 5 2" xfId="39806" xr:uid="{00000000-0005-0000-0000-0000AD9A0000}"/>
    <cellStyle name="Input 9 2 3 2 5 2 2" xfId="39807" xr:uid="{00000000-0005-0000-0000-0000AE9A0000}"/>
    <cellStyle name="Input 9 2 3 2 5 3" xfId="39808" xr:uid="{00000000-0005-0000-0000-0000AF9A0000}"/>
    <cellStyle name="Input 9 2 3 2 5 3 2" xfId="39809" xr:uid="{00000000-0005-0000-0000-0000B09A0000}"/>
    <cellStyle name="Input 9 2 3 2 5 4" xfId="39810" xr:uid="{00000000-0005-0000-0000-0000B19A0000}"/>
    <cellStyle name="Input 9 2 3 2 5 5" xfId="39811" xr:uid="{00000000-0005-0000-0000-0000B29A0000}"/>
    <cellStyle name="Input 9 2 3 2 5 6" xfId="39812" xr:uid="{00000000-0005-0000-0000-0000B39A0000}"/>
    <cellStyle name="Input 9 2 3 2 6" xfId="39813" xr:uid="{00000000-0005-0000-0000-0000B49A0000}"/>
    <cellStyle name="Input 9 2 3 2 6 2" xfId="39814" xr:uid="{00000000-0005-0000-0000-0000B59A0000}"/>
    <cellStyle name="Input 9 2 3 2 7" xfId="39815" xr:uid="{00000000-0005-0000-0000-0000B69A0000}"/>
    <cellStyle name="Input 9 2 3 2 7 2" xfId="39816" xr:uid="{00000000-0005-0000-0000-0000B79A0000}"/>
    <cellStyle name="Input 9 2 3 2 8" xfId="39817" xr:uid="{00000000-0005-0000-0000-0000B89A0000}"/>
    <cellStyle name="Input 9 2 3 2 9" xfId="39818" xr:uid="{00000000-0005-0000-0000-0000B99A0000}"/>
    <cellStyle name="Input 9 2 3 3" xfId="39819" xr:uid="{00000000-0005-0000-0000-0000BA9A0000}"/>
    <cellStyle name="Input 9 2 3 3 2" xfId="39820" xr:uid="{00000000-0005-0000-0000-0000BB9A0000}"/>
    <cellStyle name="Input 9 2 3 3 2 2" xfId="39821" xr:uid="{00000000-0005-0000-0000-0000BC9A0000}"/>
    <cellStyle name="Input 9 2 3 3 2 2 2" xfId="39822" xr:uid="{00000000-0005-0000-0000-0000BD9A0000}"/>
    <cellStyle name="Input 9 2 3 3 2 2 2 2" xfId="39823" xr:uid="{00000000-0005-0000-0000-0000BE9A0000}"/>
    <cellStyle name="Input 9 2 3 3 2 2 3" xfId="39824" xr:uid="{00000000-0005-0000-0000-0000BF9A0000}"/>
    <cellStyle name="Input 9 2 3 3 2 2 3 2" xfId="39825" xr:uid="{00000000-0005-0000-0000-0000C09A0000}"/>
    <cellStyle name="Input 9 2 3 3 2 2 4" xfId="39826" xr:uid="{00000000-0005-0000-0000-0000C19A0000}"/>
    <cellStyle name="Input 9 2 3 3 2 2 5" xfId="39827" xr:uid="{00000000-0005-0000-0000-0000C29A0000}"/>
    <cellStyle name="Input 9 2 3 3 2 2 6" xfId="39828" xr:uid="{00000000-0005-0000-0000-0000C39A0000}"/>
    <cellStyle name="Input 9 2 3 3 2 3" xfId="39829" xr:uid="{00000000-0005-0000-0000-0000C49A0000}"/>
    <cellStyle name="Input 9 2 3 3 2 3 2" xfId="39830" xr:uid="{00000000-0005-0000-0000-0000C59A0000}"/>
    <cellStyle name="Input 9 2 3 3 2 4" xfId="39831" xr:uid="{00000000-0005-0000-0000-0000C69A0000}"/>
    <cellStyle name="Input 9 2 3 3 2 4 2" xfId="39832" xr:uid="{00000000-0005-0000-0000-0000C79A0000}"/>
    <cellStyle name="Input 9 2 3 3 2 5" xfId="39833" xr:uid="{00000000-0005-0000-0000-0000C89A0000}"/>
    <cellStyle name="Input 9 2 3 3 2 6" xfId="39834" xr:uid="{00000000-0005-0000-0000-0000C99A0000}"/>
    <cellStyle name="Input 9 2 3 3 2 7" xfId="39835" xr:uid="{00000000-0005-0000-0000-0000CA9A0000}"/>
    <cellStyle name="Input 9 2 3 3 3" xfId="39836" xr:uid="{00000000-0005-0000-0000-0000CB9A0000}"/>
    <cellStyle name="Input 9 2 3 3 3 2" xfId="39837" xr:uid="{00000000-0005-0000-0000-0000CC9A0000}"/>
    <cellStyle name="Input 9 2 3 3 3 2 2" xfId="39838" xr:uid="{00000000-0005-0000-0000-0000CD9A0000}"/>
    <cellStyle name="Input 9 2 3 3 3 3" xfId="39839" xr:uid="{00000000-0005-0000-0000-0000CE9A0000}"/>
    <cellStyle name="Input 9 2 3 3 3 3 2" xfId="39840" xr:uid="{00000000-0005-0000-0000-0000CF9A0000}"/>
    <cellStyle name="Input 9 2 3 3 3 4" xfId="39841" xr:uid="{00000000-0005-0000-0000-0000D09A0000}"/>
    <cellStyle name="Input 9 2 3 3 3 5" xfId="39842" xr:uid="{00000000-0005-0000-0000-0000D19A0000}"/>
    <cellStyle name="Input 9 2 3 3 3 6" xfId="39843" xr:uid="{00000000-0005-0000-0000-0000D29A0000}"/>
    <cellStyle name="Input 9 2 3 3 4" xfId="39844" xr:uid="{00000000-0005-0000-0000-0000D39A0000}"/>
    <cellStyle name="Input 9 2 3 3 4 2" xfId="39845" xr:uid="{00000000-0005-0000-0000-0000D49A0000}"/>
    <cellStyle name="Input 9 2 3 3 5" xfId="39846" xr:uid="{00000000-0005-0000-0000-0000D59A0000}"/>
    <cellStyle name="Input 9 2 3 3 5 2" xfId="39847" xr:uid="{00000000-0005-0000-0000-0000D69A0000}"/>
    <cellStyle name="Input 9 2 3 3 6" xfId="39848" xr:uid="{00000000-0005-0000-0000-0000D79A0000}"/>
    <cellStyle name="Input 9 2 3 3 7" xfId="39849" xr:uid="{00000000-0005-0000-0000-0000D89A0000}"/>
    <cellStyle name="Input 9 2 3 3 8" xfId="39850" xr:uid="{00000000-0005-0000-0000-0000D99A0000}"/>
    <cellStyle name="Input 9 2 3 4" xfId="39851" xr:uid="{00000000-0005-0000-0000-0000DA9A0000}"/>
    <cellStyle name="Input 9 2 3 4 2" xfId="39852" xr:uid="{00000000-0005-0000-0000-0000DB9A0000}"/>
    <cellStyle name="Input 9 2 3 4 2 2" xfId="39853" xr:uid="{00000000-0005-0000-0000-0000DC9A0000}"/>
    <cellStyle name="Input 9 2 3 4 2 2 2" xfId="39854" xr:uid="{00000000-0005-0000-0000-0000DD9A0000}"/>
    <cellStyle name="Input 9 2 3 4 2 3" xfId="39855" xr:uid="{00000000-0005-0000-0000-0000DE9A0000}"/>
    <cellStyle name="Input 9 2 3 4 2 3 2" xfId="39856" xr:uid="{00000000-0005-0000-0000-0000DF9A0000}"/>
    <cellStyle name="Input 9 2 3 4 2 4" xfId="39857" xr:uid="{00000000-0005-0000-0000-0000E09A0000}"/>
    <cellStyle name="Input 9 2 3 4 2 5" xfId="39858" xr:uid="{00000000-0005-0000-0000-0000E19A0000}"/>
    <cellStyle name="Input 9 2 3 4 2 6" xfId="39859" xr:uid="{00000000-0005-0000-0000-0000E29A0000}"/>
    <cellStyle name="Input 9 2 3 4 3" xfId="39860" xr:uid="{00000000-0005-0000-0000-0000E39A0000}"/>
    <cellStyle name="Input 9 2 3 4 3 2" xfId="39861" xr:uid="{00000000-0005-0000-0000-0000E49A0000}"/>
    <cellStyle name="Input 9 2 3 4 4" xfId="39862" xr:uid="{00000000-0005-0000-0000-0000E59A0000}"/>
    <cellStyle name="Input 9 2 3 4 4 2" xfId="39863" xr:uid="{00000000-0005-0000-0000-0000E69A0000}"/>
    <cellStyle name="Input 9 2 3 4 5" xfId="39864" xr:uid="{00000000-0005-0000-0000-0000E79A0000}"/>
    <cellStyle name="Input 9 2 3 4 6" xfId="39865" xr:uid="{00000000-0005-0000-0000-0000E89A0000}"/>
    <cellStyle name="Input 9 2 3 4 7" xfId="39866" xr:uid="{00000000-0005-0000-0000-0000E99A0000}"/>
    <cellStyle name="Input 9 2 3 5" xfId="39867" xr:uid="{00000000-0005-0000-0000-0000EA9A0000}"/>
    <cellStyle name="Input 9 2 3 5 2" xfId="39868" xr:uid="{00000000-0005-0000-0000-0000EB9A0000}"/>
    <cellStyle name="Input 9 2 3 5 2 2" xfId="39869" xr:uid="{00000000-0005-0000-0000-0000EC9A0000}"/>
    <cellStyle name="Input 9 2 3 5 3" xfId="39870" xr:uid="{00000000-0005-0000-0000-0000ED9A0000}"/>
    <cellStyle name="Input 9 2 3 5 3 2" xfId="39871" xr:uid="{00000000-0005-0000-0000-0000EE9A0000}"/>
    <cellStyle name="Input 9 2 3 5 4" xfId="39872" xr:uid="{00000000-0005-0000-0000-0000EF9A0000}"/>
    <cellStyle name="Input 9 2 3 5 5" xfId="39873" xr:uid="{00000000-0005-0000-0000-0000F09A0000}"/>
    <cellStyle name="Input 9 2 3 5 6" xfId="39874" xr:uid="{00000000-0005-0000-0000-0000F19A0000}"/>
    <cellStyle name="Input 9 2 3 6" xfId="39875" xr:uid="{00000000-0005-0000-0000-0000F29A0000}"/>
    <cellStyle name="Input 9 2 3 6 2" xfId="39876" xr:uid="{00000000-0005-0000-0000-0000F39A0000}"/>
    <cellStyle name="Input 9 2 3 7" xfId="39877" xr:uid="{00000000-0005-0000-0000-0000F49A0000}"/>
    <cellStyle name="Input 9 2 3 7 2" xfId="39878" xr:uid="{00000000-0005-0000-0000-0000F59A0000}"/>
    <cellStyle name="Input 9 2 3 8" xfId="39879" xr:uid="{00000000-0005-0000-0000-0000F69A0000}"/>
    <cellStyle name="Input 9 2 3 9" xfId="39880" xr:uid="{00000000-0005-0000-0000-0000F79A0000}"/>
    <cellStyle name="Input 9 2 4" xfId="39881" xr:uid="{00000000-0005-0000-0000-0000F89A0000}"/>
    <cellStyle name="Input 9 2 4 10" xfId="39882" xr:uid="{00000000-0005-0000-0000-0000F99A0000}"/>
    <cellStyle name="Input 9 2 4 2" xfId="39883" xr:uid="{00000000-0005-0000-0000-0000FA9A0000}"/>
    <cellStyle name="Input 9 2 4 2 2" xfId="39884" xr:uid="{00000000-0005-0000-0000-0000FB9A0000}"/>
    <cellStyle name="Input 9 2 4 2 2 2" xfId="39885" xr:uid="{00000000-0005-0000-0000-0000FC9A0000}"/>
    <cellStyle name="Input 9 2 4 2 2 2 2" xfId="39886" xr:uid="{00000000-0005-0000-0000-0000FD9A0000}"/>
    <cellStyle name="Input 9 2 4 2 2 2 2 2" xfId="39887" xr:uid="{00000000-0005-0000-0000-0000FE9A0000}"/>
    <cellStyle name="Input 9 2 4 2 2 2 3" xfId="39888" xr:uid="{00000000-0005-0000-0000-0000FF9A0000}"/>
    <cellStyle name="Input 9 2 4 2 2 2 3 2" xfId="39889" xr:uid="{00000000-0005-0000-0000-0000009B0000}"/>
    <cellStyle name="Input 9 2 4 2 2 2 4" xfId="39890" xr:uid="{00000000-0005-0000-0000-0000019B0000}"/>
    <cellStyle name="Input 9 2 4 2 2 2 5" xfId="39891" xr:uid="{00000000-0005-0000-0000-0000029B0000}"/>
    <cellStyle name="Input 9 2 4 2 2 2 6" xfId="39892" xr:uid="{00000000-0005-0000-0000-0000039B0000}"/>
    <cellStyle name="Input 9 2 4 2 2 3" xfId="39893" xr:uid="{00000000-0005-0000-0000-0000049B0000}"/>
    <cellStyle name="Input 9 2 4 2 2 3 2" xfId="39894" xr:uid="{00000000-0005-0000-0000-0000059B0000}"/>
    <cellStyle name="Input 9 2 4 2 2 4" xfId="39895" xr:uid="{00000000-0005-0000-0000-0000069B0000}"/>
    <cellStyle name="Input 9 2 4 2 2 4 2" xfId="39896" xr:uid="{00000000-0005-0000-0000-0000079B0000}"/>
    <cellStyle name="Input 9 2 4 2 2 5" xfId="39897" xr:uid="{00000000-0005-0000-0000-0000089B0000}"/>
    <cellStyle name="Input 9 2 4 2 2 6" xfId="39898" xr:uid="{00000000-0005-0000-0000-0000099B0000}"/>
    <cellStyle name="Input 9 2 4 2 2 7" xfId="39899" xr:uid="{00000000-0005-0000-0000-00000A9B0000}"/>
    <cellStyle name="Input 9 2 4 2 3" xfId="39900" xr:uid="{00000000-0005-0000-0000-00000B9B0000}"/>
    <cellStyle name="Input 9 2 4 2 3 2" xfId="39901" xr:uid="{00000000-0005-0000-0000-00000C9B0000}"/>
    <cellStyle name="Input 9 2 4 2 3 2 2" xfId="39902" xr:uid="{00000000-0005-0000-0000-00000D9B0000}"/>
    <cellStyle name="Input 9 2 4 2 3 3" xfId="39903" xr:uid="{00000000-0005-0000-0000-00000E9B0000}"/>
    <cellStyle name="Input 9 2 4 2 3 3 2" xfId="39904" xr:uid="{00000000-0005-0000-0000-00000F9B0000}"/>
    <cellStyle name="Input 9 2 4 2 3 4" xfId="39905" xr:uid="{00000000-0005-0000-0000-0000109B0000}"/>
    <cellStyle name="Input 9 2 4 2 3 5" xfId="39906" xr:uid="{00000000-0005-0000-0000-0000119B0000}"/>
    <cellStyle name="Input 9 2 4 2 3 6" xfId="39907" xr:uid="{00000000-0005-0000-0000-0000129B0000}"/>
    <cellStyle name="Input 9 2 4 2 4" xfId="39908" xr:uid="{00000000-0005-0000-0000-0000139B0000}"/>
    <cellStyle name="Input 9 2 4 2 4 2" xfId="39909" xr:uid="{00000000-0005-0000-0000-0000149B0000}"/>
    <cellStyle name="Input 9 2 4 2 5" xfId="39910" xr:uid="{00000000-0005-0000-0000-0000159B0000}"/>
    <cellStyle name="Input 9 2 4 2 5 2" xfId="39911" xr:uid="{00000000-0005-0000-0000-0000169B0000}"/>
    <cellStyle name="Input 9 2 4 2 6" xfId="39912" xr:uid="{00000000-0005-0000-0000-0000179B0000}"/>
    <cellStyle name="Input 9 2 4 2 7" xfId="39913" xr:uid="{00000000-0005-0000-0000-0000189B0000}"/>
    <cellStyle name="Input 9 2 4 2 8" xfId="39914" xr:uid="{00000000-0005-0000-0000-0000199B0000}"/>
    <cellStyle name="Input 9 2 4 3" xfId="39915" xr:uid="{00000000-0005-0000-0000-00001A9B0000}"/>
    <cellStyle name="Input 9 2 4 3 2" xfId="39916" xr:uid="{00000000-0005-0000-0000-00001B9B0000}"/>
    <cellStyle name="Input 9 2 4 3 2 2" xfId="39917" xr:uid="{00000000-0005-0000-0000-00001C9B0000}"/>
    <cellStyle name="Input 9 2 4 3 2 2 2" xfId="39918" xr:uid="{00000000-0005-0000-0000-00001D9B0000}"/>
    <cellStyle name="Input 9 2 4 3 2 2 2 2" xfId="39919" xr:uid="{00000000-0005-0000-0000-00001E9B0000}"/>
    <cellStyle name="Input 9 2 4 3 2 2 3" xfId="39920" xr:uid="{00000000-0005-0000-0000-00001F9B0000}"/>
    <cellStyle name="Input 9 2 4 3 2 2 3 2" xfId="39921" xr:uid="{00000000-0005-0000-0000-0000209B0000}"/>
    <cellStyle name="Input 9 2 4 3 2 2 4" xfId="39922" xr:uid="{00000000-0005-0000-0000-0000219B0000}"/>
    <cellStyle name="Input 9 2 4 3 2 2 5" xfId="39923" xr:uid="{00000000-0005-0000-0000-0000229B0000}"/>
    <cellStyle name="Input 9 2 4 3 2 2 6" xfId="39924" xr:uid="{00000000-0005-0000-0000-0000239B0000}"/>
    <cellStyle name="Input 9 2 4 3 2 3" xfId="39925" xr:uid="{00000000-0005-0000-0000-0000249B0000}"/>
    <cellStyle name="Input 9 2 4 3 2 3 2" xfId="39926" xr:uid="{00000000-0005-0000-0000-0000259B0000}"/>
    <cellStyle name="Input 9 2 4 3 2 4" xfId="39927" xr:uid="{00000000-0005-0000-0000-0000269B0000}"/>
    <cellStyle name="Input 9 2 4 3 2 4 2" xfId="39928" xr:uid="{00000000-0005-0000-0000-0000279B0000}"/>
    <cellStyle name="Input 9 2 4 3 2 5" xfId="39929" xr:uid="{00000000-0005-0000-0000-0000289B0000}"/>
    <cellStyle name="Input 9 2 4 3 2 6" xfId="39930" xr:uid="{00000000-0005-0000-0000-0000299B0000}"/>
    <cellStyle name="Input 9 2 4 3 2 7" xfId="39931" xr:uid="{00000000-0005-0000-0000-00002A9B0000}"/>
    <cellStyle name="Input 9 2 4 3 3" xfId="39932" xr:uid="{00000000-0005-0000-0000-00002B9B0000}"/>
    <cellStyle name="Input 9 2 4 3 3 2" xfId="39933" xr:uid="{00000000-0005-0000-0000-00002C9B0000}"/>
    <cellStyle name="Input 9 2 4 3 3 2 2" xfId="39934" xr:uid="{00000000-0005-0000-0000-00002D9B0000}"/>
    <cellStyle name="Input 9 2 4 3 3 3" xfId="39935" xr:uid="{00000000-0005-0000-0000-00002E9B0000}"/>
    <cellStyle name="Input 9 2 4 3 3 3 2" xfId="39936" xr:uid="{00000000-0005-0000-0000-00002F9B0000}"/>
    <cellStyle name="Input 9 2 4 3 3 4" xfId="39937" xr:uid="{00000000-0005-0000-0000-0000309B0000}"/>
    <cellStyle name="Input 9 2 4 3 3 5" xfId="39938" xr:uid="{00000000-0005-0000-0000-0000319B0000}"/>
    <cellStyle name="Input 9 2 4 3 3 6" xfId="39939" xr:uid="{00000000-0005-0000-0000-0000329B0000}"/>
    <cellStyle name="Input 9 2 4 3 4" xfId="39940" xr:uid="{00000000-0005-0000-0000-0000339B0000}"/>
    <cellStyle name="Input 9 2 4 3 4 2" xfId="39941" xr:uid="{00000000-0005-0000-0000-0000349B0000}"/>
    <cellStyle name="Input 9 2 4 3 5" xfId="39942" xr:uid="{00000000-0005-0000-0000-0000359B0000}"/>
    <cellStyle name="Input 9 2 4 3 5 2" xfId="39943" xr:uid="{00000000-0005-0000-0000-0000369B0000}"/>
    <cellStyle name="Input 9 2 4 3 6" xfId="39944" xr:uid="{00000000-0005-0000-0000-0000379B0000}"/>
    <cellStyle name="Input 9 2 4 3 7" xfId="39945" xr:uid="{00000000-0005-0000-0000-0000389B0000}"/>
    <cellStyle name="Input 9 2 4 3 8" xfId="39946" xr:uid="{00000000-0005-0000-0000-0000399B0000}"/>
    <cellStyle name="Input 9 2 4 4" xfId="39947" xr:uid="{00000000-0005-0000-0000-00003A9B0000}"/>
    <cellStyle name="Input 9 2 4 4 2" xfId="39948" xr:uid="{00000000-0005-0000-0000-00003B9B0000}"/>
    <cellStyle name="Input 9 2 4 4 2 2" xfId="39949" xr:uid="{00000000-0005-0000-0000-00003C9B0000}"/>
    <cellStyle name="Input 9 2 4 4 2 2 2" xfId="39950" xr:uid="{00000000-0005-0000-0000-00003D9B0000}"/>
    <cellStyle name="Input 9 2 4 4 2 3" xfId="39951" xr:uid="{00000000-0005-0000-0000-00003E9B0000}"/>
    <cellStyle name="Input 9 2 4 4 2 3 2" xfId="39952" xr:uid="{00000000-0005-0000-0000-00003F9B0000}"/>
    <cellStyle name="Input 9 2 4 4 2 4" xfId="39953" xr:uid="{00000000-0005-0000-0000-0000409B0000}"/>
    <cellStyle name="Input 9 2 4 4 2 5" xfId="39954" xr:uid="{00000000-0005-0000-0000-0000419B0000}"/>
    <cellStyle name="Input 9 2 4 4 2 6" xfId="39955" xr:uid="{00000000-0005-0000-0000-0000429B0000}"/>
    <cellStyle name="Input 9 2 4 4 3" xfId="39956" xr:uid="{00000000-0005-0000-0000-0000439B0000}"/>
    <cellStyle name="Input 9 2 4 4 3 2" xfId="39957" xr:uid="{00000000-0005-0000-0000-0000449B0000}"/>
    <cellStyle name="Input 9 2 4 4 4" xfId="39958" xr:uid="{00000000-0005-0000-0000-0000459B0000}"/>
    <cellStyle name="Input 9 2 4 4 4 2" xfId="39959" xr:uid="{00000000-0005-0000-0000-0000469B0000}"/>
    <cellStyle name="Input 9 2 4 4 5" xfId="39960" xr:uid="{00000000-0005-0000-0000-0000479B0000}"/>
    <cellStyle name="Input 9 2 4 4 6" xfId="39961" xr:uid="{00000000-0005-0000-0000-0000489B0000}"/>
    <cellStyle name="Input 9 2 4 4 7" xfId="39962" xr:uid="{00000000-0005-0000-0000-0000499B0000}"/>
    <cellStyle name="Input 9 2 4 5" xfId="39963" xr:uid="{00000000-0005-0000-0000-00004A9B0000}"/>
    <cellStyle name="Input 9 2 4 5 2" xfId="39964" xr:uid="{00000000-0005-0000-0000-00004B9B0000}"/>
    <cellStyle name="Input 9 2 4 5 2 2" xfId="39965" xr:uid="{00000000-0005-0000-0000-00004C9B0000}"/>
    <cellStyle name="Input 9 2 4 5 3" xfId="39966" xr:uid="{00000000-0005-0000-0000-00004D9B0000}"/>
    <cellStyle name="Input 9 2 4 5 3 2" xfId="39967" xr:uid="{00000000-0005-0000-0000-00004E9B0000}"/>
    <cellStyle name="Input 9 2 4 5 4" xfId="39968" xr:uid="{00000000-0005-0000-0000-00004F9B0000}"/>
    <cellStyle name="Input 9 2 4 5 5" xfId="39969" xr:uid="{00000000-0005-0000-0000-0000509B0000}"/>
    <cellStyle name="Input 9 2 4 5 6" xfId="39970" xr:uid="{00000000-0005-0000-0000-0000519B0000}"/>
    <cellStyle name="Input 9 2 4 6" xfId="39971" xr:uid="{00000000-0005-0000-0000-0000529B0000}"/>
    <cellStyle name="Input 9 2 4 6 2" xfId="39972" xr:uid="{00000000-0005-0000-0000-0000539B0000}"/>
    <cellStyle name="Input 9 2 4 7" xfId="39973" xr:uid="{00000000-0005-0000-0000-0000549B0000}"/>
    <cellStyle name="Input 9 2 4 7 2" xfId="39974" xr:uid="{00000000-0005-0000-0000-0000559B0000}"/>
    <cellStyle name="Input 9 2 4 8" xfId="39975" xr:uid="{00000000-0005-0000-0000-0000569B0000}"/>
    <cellStyle name="Input 9 2 4 9" xfId="39976" xr:uid="{00000000-0005-0000-0000-0000579B0000}"/>
    <cellStyle name="Input 9 2 5" xfId="39977" xr:uid="{00000000-0005-0000-0000-0000589B0000}"/>
    <cellStyle name="Input 9 2 5 2" xfId="39978" xr:uid="{00000000-0005-0000-0000-0000599B0000}"/>
    <cellStyle name="Input 9 2 5 2 2" xfId="39979" xr:uid="{00000000-0005-0000-0000-00005A9B0000}"/>
    <cellStyle name="Input 9 2 5 2 2 2" xfId="39980" xr:uid="{00000000-0005-0000-0000-00005B9B0000}"/>
    <cellStyle name="Input 9 2 5 2 2 2 2" xfId="39981" xr:uid="{00000000-0005-0000-0000-00005C9B0000}"/>
    <cellStyle name="Input 9 2 5 2 2 3" xfId="39982" xr:uid="{00000000-0005-0000-0000-00005D9B0000}"/>
    <cellStyle name="Input 9 2 5 2 2 3 2" xfId="39983" xr:uid="{00000000-0005-0000-0000-00005E9B0000}"/>
    <cellStyle name="Input 9 2 5 2 2 4" xfId="39984" xr:uid="{00000000-0005-0000-0000-00005F9B0000}"/>
    <cellStyle name="Input 9 2 5 2 2 5" xfId="39985" xr:uid="{00000000-0005-0000-0000-0000609B0000}"/>
    <cellStyle name="Input 9 2 5 2 2 6" xfId="39986" xr:uid="{00000000-0005-0000-0000-0000619B0000}"/>
    <cellStyle name="Input 9 2 5 2 3" xfId="39987" xr:uid="{00000000-0005-0000-0000-0000629B0000}"/>
    <cellStyle name="Input 9 2 5 2 3 2" xfId="39988" xr:uid="{00000000-0005-0000-0000-0000639B0000}"/>
    <cellStyle name="Input 9 2 5 2 4" xfId="39989" xr:uid="{00000000-0005-0000-0000-0000649B0000}"/>
    <cellStyle name="Input 9 2 5 2 4 2" xfId="39990" xr:uid="{00000000-0005-0000-0000-0000659B0000}"/>
    <cellStyle name="Input 9 2 5 2 5" xfId="39991" xr:uid="{00000000-0005-0000-0000-0000669B0000}"/>
    <cellStyle name="Input 9 2 5 2 6" xfId="39992" xr:uid="{00000000-0005-0000-0000-0000679B0000}"/>
    <cellStyle name="Input 9 2 5 2 7" xfId="39993" xr:uid="{00000000-0005-0000-0000-0000689B0000}"/>
    <cellStyle name="Input 9 2 5 3" xfId="39994" xr:uid="{00000000-0005-0000-0000-0000699B0000}"/>
    <cellStyle name="Input 9 2 5 3 2" xfId="39995" xr:uid="{00000000-0005-0000-0000-00006A9B0000}"/>
    <cellStyle name="Input 9 2 5 3 2 2" xfId="39996" xr:uid="{00000000-0005-0000-0000-00006B9B0000}"/>
    <cellStyle name="Input 9 2 5 3 3" xfId="39997" xr:uid="{00000000-0005-0000-0000-00006C9B0000}"/>
    <cellStyle name="Input 9 2 5 3 3 2" xfId="39998" xr:uid="{00000000-0005-0000-0000-00006D9B0000}"/>
    <cellStyle name="Input 9 2 5 3 4" xfId="39999" xr:uid="{00000000-0005-0000-0000-00006E9B0000}"/>
    <cellStyle name="Input 9 2 5 3 5" xfId="40000" xr:uid="{00000000-0005-0000-0000-00006F9B0000}"/>
    <cellStyle name="Input 9 2 5 3 6" xfId="40001" xr:uid="{00000000-0005-0000-0000-0000709B0000}"/>
    <cellStyle name="Input 9 2 5 4" xfId="40002" xr:uid="{00000000-0005-0000-0000-0000719B0000}"/>
    <cellStyle name="Input 9 2 5 4 2" xfId="40003" xr:uid="{00000000-0005-0000-0000-0000729B0000}"/>
    <cellStyle name="Input 9 2 5 5" xfId="40004" xr:uid="{00000000-0005-0000-0000-0000739B0000}"/>
    <cellStyle name="Input 9 2 5 5 2" xfId="40005" xr:uid="{00000000-0005-0000-0000-0000749B0000}"/>
    <cellStyle name="Input 9 2 5 6" xfId="40006" xr:uid="{00000000-0005-0000-0000-0000759B0000}"/>
    <cellStyle name="Input 9 2 5 7" xfId="40007" xr:uid="{00000000-0005-0000-0000-0000769B0000}"/>
    <cellStyle name="Input 9 2 5 8" xfId="40008" xr:uid="{00000000-0005-0000-0000-0000779B0000}"/>
    <cellStyle name="Input 9 2 6" xfId="40009" xr:uid="{00000000-0005-0000-0000-0000789B0000}"/>
    <cellStyle name="Input 9 2 6 2" xfId="40010" xr:uid="{00000000-0005-0000-0000-0000799B0000}"/>
    <cellStyle name="Input 9 2 6 2 2" xfId="40011" xr:uid="{00000000-0005-0000-0000-00007A9B0000}"/>
    <cellStyle name="Input 9 2 6 2 2 2" xfId="40012" xr:uid="{00000000-0005-0000-0000-00007B9B0000}"/>
    <cellStyle name="Input 9 2 6 2 3" xfId="40013" xr:uid="{00000000-0005-0000-0000-00007C9B0000}"/>
    <cellStyle name="Input 9 2 6 2 3 2" xfId="40014" xr:uid="{00000000-0005-0000-0000-00007D9B0000}"/>
    <cellStyle name="Input 9 2 6 2 4" xfId="40015" xr:uid="{00000000-0005-0000-0000-00007E9B0000}"/>
    <cellStyle name="Input 9 2 6 2 5" xfId="40016" xr:uid="{00000000-0005-0000-0000-00007F9B0000}"/>
    <cellStyle name="Input 9 2 6 2 6" xfId="40017" xr:uid="{00000000-0005-0000-0000-0000809B0000}"/>
    <cellStyle name="Input 9 2 6 3" xfId="40018" xr:uid="{00000000-0005-0000-0000-0000819B0000}"/>
    <cellStyle name="Input 9 2 6 3 2" xfId="40019" xr:uid="{00000000-0005-0000-0000-0000829B0000}"/>
    <cellStyle name="Input 9 2 6 4" xfId="40020" xr:uid="{00000000-0005-0000-0000-0000839B0000}"/>
    <cellStyle name="Input 9 2 6 4 2" xfId="40021" xr:uid="{00000000-0005-0000-0000-0000849B0000}"/>
    <cellStyle name="Input 9 2 6 5" xfId="40022" xr:uid="{00000000-0005-0000-0000-0000859B0000}"/>
    <cellStyle name="Input 9 2 6 6" xfId="40023" xr:uid="{00000000-0005-0000-0000-0000869B0000}"/>
    <cellStyle name="Input 9 2 6 7" xfId="40024" xr:uid="{00000000-0005-0000-0000-0000879B0000}"/>
    <cellStyle name="Input 9 2 7" xfId="40025" xr:uid="{00000000-0005-0000-0000-0000889B0000}"/>
    <cellStyle name="Input 9 2 7 2" xfId="40026" xr:uid="{00000000-0005-0000-0000-0000899B0000}"/>
    <cellStyle name="Input 9 2 7 2 2" xfId="40027" xr:uid="{00000000-0005-0000-0000-00008A9B0000}"/>
    <cellStyle name="Input 9 2 7 3" xfId="40028" xr:uid="{00000000-0005-0000-0000-00008B9B0000}"/>
    <cellStyle name="Input 9 2 7 3 2" xfId="40029" xr:uid="{00000000-0005-0000-0000-00008C9B0000}"/>
    <cellStyle name="Input 9 2 7 4" xfId="40030" xr:uid="{00000000-0005-0000-0000-00008D9B0000}"/>
    <cellStyle name="Input 9 2 7 5" xfId="40031" xr:uid="{00000000-0005-0000-0000-00008E9B0000}"/>
    <cellStyle name="Input 9 2 7 6" xfId="40032" xr:uid="{00000000-0005-0000-0000-00008F9B0000}"/>
    <cellStyle name="Input 9 2 8" xfId="40033" xr:uid="{00000000-0005-0000-0000-0000909B0000}"/>
    <cellStyle name="Input 9 2 8 2" xfId="40034" xr:uid="{00000000-0005-0000-0000-0000919B0000}"/>
    <cellStyle name="Input 9 2 9" xfId="40035" xr:uid="{00000000-0005-0000-0000-0000929B0000}"/>
    <cellStyle name="Input 9 2 9 2" xfId="40036" xr:uid="{00000000-0005-0000-0000-0000939B0000}"/>
    <cellStyle name="Input 9 3" xfId="40037" xr:uid="{00000000-0005-0000-0000-0000949B0000}"/>
    <cellStyle name="Input 9 3 10" xfId="40038" xr:uid="{00000000-0005-0000-0000-0000959B0000}"/>
    <cellStyle name="Input 9 3 11" xfId="40039" xr:uid="{00000000-0005-0000-0000-0000969B0000}"/>
    <cellStyle name="Input 9 3 2" xfId="40040" xr:uid="{00000000-0005-0000-0000-0000979B0000}"/>
    <cellStyle name="Input 9 3 2 10" xfId="40041" xr:uid="{00000000-0005-0000-0000-0000989B0000}"/>
    <cellStyle name="Input 9 3 2 2" xfId="40042" xr:uid="{00000000-0005-0000-0000-0000999B0000}"/>
    <cellStyle name="Input 9 3 2 2 10" xfId="40043" xr:uid="{00000000-0005-0000-0000-00009A9B0000}"/>
    <cellStyle name="Input 9 3 2 2 2" xfId="40044" xr:uid="{00000000-0005-0000-0000-00009B9B0000}"/>
    <cellStyle name="Input 9 3 2 2 2 2" xfId="40045" xr:uid="{00000000-0005-0000-0000-00009C9B0000}"/>
    <cellStyle name="Input 9 3 2 2 2 2 2" xfId="40046" xr:uid="{00000000-0005-0000-0000-00009D9B0000}"/>
    <cellStyle name="Input 9 3 2 2 2 2 2 2" xfId="40047" xr:uid="{00000000-0005-0000-0000-00009E9B0000}"/>
    <cellStyle name="Input 9 3 2 2 2 2 2 2 2" xfId="40048" xr:uid="{00000000-0005-0000-0000-00009F9B0000}"/>
    <cellStyle name="Input 9 3 2 2 2 2 2 3" xfId="40049" xr:uid="{00000000-0005-0000-0000-0000A09B0000}"/>
    <cellStyle name="Input 9 3 2 2 2 2 2 3 2" xfId="40050" xr:uid="{00000000-0005-0000-0000-0000A19B0000}"/>
    <cellStyle name="Input 9 3 2 2 2 2 2 4" xfId="40051" xr:uid="{00000000-0005-0000-0000-0000A29B0000}"/>
    <cellStyle name="Input 9 3 2 2 2 2 2 5" xfId="40052" xr:uid="{00000000-0005-0000-0000-0000A39B0000}"/>
    <cellStyle name="Input 9 3 2 2 2 2 2 6" xfId="40053" xr:uid="{00000000-0005-0000-0000-0000A49B0000}"/>
    <cellStyle name="Input 9 3 2 2 2 2 3" xfId="40054" xr:uid="{00000000-0005-0000-0000-0000A59B0000}"/>
    <cellStyle name="Input 9 3 2 2 2 2 3 2" xfId="40055" xr:uid="{00000000-0005-0000-0000-0000A69B0000}"/>
    <cellStyle name="Input 9 3 2 2 2 2 4" xfId="40056" xr:uid="{00000000-0005-0000-0000-0000A79B0000}"/>
    <cellStyle name="Input 9 3 2 2 2 2 4 2" xfId="40057" xr:uid="{00000000-0005-0000-0000-0000A89B0000}"/>
    <cellStyle name="Input 9 3 2 2 2 2 5" xfId="40058" xr:uid="{00000000-0005-0000-0000-0000A99B0000}"/>
    <cellStyle name="Input 9 3 2 2 2 2 6" xfId="40059" xr:uid="{00000000-0005-0000-0000-0000AA9B0000}"/>
    <cellStyle name="Input 9 3 2 2 2 2 7" xfId="40060" xr:uid="{00000000-0005-0000-0000-0000AB9B0000}"/>
    <cellStyle name="Input 9 3 2 2 2 3" xfId="40061" xr:uid="{00000000-0005-0000-0000-0000AC9B0000}"/>
    <cellStyle name="Input 9 3 2 2 2 3 2" xfId="40062" xr:uid="{00000000-0005-0000-0000-0000AD9B0000}"/>
    <cellStyle name="Input 9 3 2 2 2 3 2 2" xfId="40063" xr:uid="{00000000-0005-0000-0000-0000AE9B0000}"/>
    <cellStyle name="Input 9 3 2 2 2 3 3" xfId="40064" xr:uid="{00000000-0005-0000-0000-0000AF9B0000}"/>
    <cellStyle name="Input 9 3 2 2 2 3 3 2" xfId="40065" xr:uid="{00000000-0005-0000-0000-0000B09B0000}"/>
    <cellStyle name="Input 9 3 2 2 2 3 4" xfId="40066" xr:uid="{00000000-0005-0000-0000-0000B19B0000}"/>
    <cellStyle name="Input 9 3 2 2 2 3 5" xfId="40067" xr:uid="{00000000-0005-0000-0000-0000B29B0000}"/>
    <cellStyle name="Input 9 3 2 2 2 3 6" xfId="40068" xr:uid="{00000000-0005-0000-0000-0000B39B0000}"/>
    <cellStyle name="Input 9 3 2 2 2 4" xfId="40069" xr:uid="{00000000-0005-0000-0000-0000B49B0000}"/>
    <cellStyle name="Input 9 3 2 2 2 4 2" xfId="40070" xr:uid="{00000000-0005-0000-0000-0000B59B0000}"/>
    <cellStyle name="Input 9 3 2 2 2 5" xfId="40071" xr:uid="{00000000-0005-0000-0000-0000B69B0000}"/>
    <cellStyle name="Input 9 3 2 2 2 5 2" xfId="40072" xr:uid="{00000000-0005-0000-0000-0000B79B0000}"/>
    <cellStyle name="Input 9 3 2 2 2 6" xfId="40073" xr:uid="{00000000-0005-0000-0000-0000B89B0000}"/>
    <cellStyle name="Input 9 3 2 2 2 7" xfId="40074" xr:uid="{00000000-0005-0000-0000-0000B99B0000}"/>
    <cellStyle name="Input 9 3 2 2 2 8" xfId="40075" xr:uid="{00000000-0005-0000-0000-0000BA9B0000}"/>
    <cellStyle name="Input 9 3 2 2 3" xfId="40076" xr:uid="{00000000-0005-0000-0000-0000BB9B0000}"/>
    <cellStyle name="Input 9 3 2 2 3 2" xfId="40077" xr:uid="{00000000-0005-0000-0000-0000BC9B0000}"/>
    <cellStyle name="Input 9 3 2 2 3 2 2" xfId="40078" xr:uid="{00000000-0005-0000-0000-0000BD9B0000}"/>
    <cellStyle name="Input 9 3 2 2 3 2 2 2" xfId="40079" xr:uid="{00000000-0005-0000-0000-0000BE9B0000}"/>
    <cellStyle name="Input 9 3 2 2 3 2 2 2 2" xfId="40080" xr:uid="{00000000-0005-0000-0000-0000BF9B0000}"/>
    <cellStyle name="Input 9 3 2 2 3 2 2 3" xfId="40081" xr:uid="{00000000-0005-0000-0000-0000C09B0000}"/>
    <cellStyle name="Input 9 3 2 2 3 2 2 3 2" xfId="40082" xr:uid="{00000000-0005-0000-0000-0000C19B0000}"/>
    <cellStyle name="Input 9 3 2 2 3 2 2 4" xfId="40083" xr:uid="{00000000-0005-0000-0000-0000C29B0000}"/>
    <cellStyle name="Input 9 3 2 2 3 2 2 5" xfId="40084" xr:uid="{00000000-0005-0000-0000-0000C39B0000}"/>
    <cellStyle name="Input 9 3 2 2 3 2 2 6" xfId="40085" xr:uid="{00000000-0005-0000-0000-0000C49B0000}"/>
    <cellStyle name="Input 9 3 2 2 3 2 3" xfId="40086" xr:uid="{00000000-0005-0000-0000-0000C59B0000}"/>
    <cellStyle name="Input 9 3 2 2 3 2 3 2" xfId="40087" xr:uid="{00000000-0005-0000-0000-0000C69B0000}"/>
    <cellStyle name="Input 9 3 2 2 3 2 4" xfId="40088" xr:uid="{00000000-0005-0000-0000-0000C79B0000}"/>
    <cellStyle name="Input 9 3 2 2 3 2 4 2" xfId="40089" xr:uid="{00000000-0005-0000-0000-0000C89B0000}"/>
    <cellStyle name="Input 9 3 2 2 3 2 5" xfId="40090" xr:uid="{00000000-0005-0000-0000-0000C99B0000}"/>
    <cellStyle name="Input 9 3 2 2 3 2 6" xfId="40091" xr:uid="{00000000-0005-0000-0000-0000CA9B0000}"/>
    <cellStyle name="Input 9 3 2 2 3 2 7" xfId="40092" xr:uid="{00000000-0005-0000-0000-0000CB9B0000}"/>
    <cellStyle name="Input 9 3 2 2 3 3" xfId="40093" xr:uid="{00000000-0005-0000-0000-0000CC9B0000}"/>
    <cellStyle name="Input 9 3 2 2 3 3 2" xfId="40094" xr:uid="{00000000-0005-0000-0000-0000CD9B0000}"/>
    <cellStyle name="Input 9 3 2 2 3 3 2 2" xfId="40095" xr:uid="{00000000-0005-0000-0000-0000CE9B0000}"/>
    <cellStyle name="Input 9 3 2 2 3 3 3" xfId="40096" xr:uid="{00000000-0005-0000-0000-0000CF9B0000}"/>
    <cellStyle name="Input 9 3 2 2 3 3 3 2" xfId="40097" xr:uid="{00000000-0005-0000-0000-0000D09B0000}"/>
    <cellStyle name="Input 9 3 2 2 3 3 4" xfId="40098" xr:uid="{00000000-0005-0000-0000-0000D19B0000}"/>
    <cellStyle name="Input 9 3 2 2 3 3 5" xfId="40099" xr:uid="{00000000-0005-0000-0000-0000D29B0000}"/>
    <cellStyle name="Input 9 3 2 2 3 3 6" xfId="40100" xr:uid="{00000000-0005-0000-0000-0000D39B0000}"/>
    <cellStyle name="Input 9 3 2 2 3 4" xfId="40101" xr:uid="{00000000-0005-0000-0000-0000D49B0000}"/>
    <cellStyle name="Input 9 3 2 2 3 4 2" xfId="40102" xr:uid="{00000000-0005-0000-0000-0000D59B0000}"/>
    <cellStyle name="Input 9 3 2 2 3 5" xfId="40103" xr:uid="{00000000-0005-0000-0000-0000D69B0000}"/>
    <cellStyle name="Input 9 3 2 2 3 5 2" xfId="40104" xr:uid="{00000000-0005-0000-0000-0000D79B0000}"/>
    <cellStyle name="Input 9 3 2 2 3 6" xfId="40105" xr:uid="{00000000-0005-0000-0000-0000D89B0000}"/>
    <cellStyle name="Input 9 3 2 2 3 7" xfId="40106" xr:uid="{00000000-0005-0000-0000-0000D99B0000}"/>
    <cellStyle name="Input 9 3 2 2 3 8" xfId="40107" xr:uid="{00000000-0005-0000-0000-0000DA9B0000}"/>
    <cellStyle name="Input 9 3 2 2 4" xfId="40108" xr:uid="{00000000-0005-0000-0000-0000DB9B0000}"/>
    <cellStyle name="Input 9 3 2 2 4 2" xfId="40109" xr:uid="{00000000-0005-0000-0000-0000DC9B0000}"/>
    <cellStyle name="Input 9 3 2 2 4 2 2" xfId="40110" xr:uid="{00000000-0005-0000-0000-0000DD9B0000}"/>
    <cellStyle name="Input 9 3 2 2 4 2 2 2" xfId="40111" xr:uid="{00000000-0005-0000-0000-0000DE9B0000}"/>
    <cellStyle name="Input 9 3 2 2 4 2 3" xfId="40112" xr:uid="{00000000-0005-0000-0000-0000DF9B0000}"/>
    <cellStyle name="Input 9 3 2 2 4 2 3 2" xfId="40113" xr:uid="{00000000-0005-0000-0000-0000E09B0000}"/>
    <cellStyle name="Input 9 3 2 2 4 2 4" xfId="40114" xr:uid="{00000000-0005-0000-0000-0000E19B0000}"/>
    <cellStyle name="Input 9 3 2 2 4 2 5" xfId="40115" xr:uid="{00000000-0005-0000-0000-0000E29B0000}"/>
    <cellStyle name="Input 9 3 2 2 4 2 6" xfId="40116" xr:uid="{00000000-0005-0000-0000-0000E39B0000}"/>
    <cellStyle name="Input 9 3 2 2 4 3" xfId="40117" xr:uid="{00000000-0005-0000-0000-0000E49B0000}"/>
    <cellStyle name="Input 9 3 2 2 4 3 2" xfId="40118" xr:uid="{00000000-0005-0000-0000-0000E59B0000}"/>
    <cellStyle name="Input 9 3 2 2 4 4" xfId="40119" xr:uid="{00000000-0005-0000-0000-0000E69B0000}"/>
    <cellStyle name="Input 9 3 2 2 4 4 2" xfId="40120" xr:uid="{00000000-0005-0000-0000-0000E79B0000}"/>
    <cellStyle name="Input 9 3 2 2 4 5" xfId="40121" xr:uid="{00000000-0005-0000-0000-0000E89B0000}"/>
    <cellStyle name="Input 9 3 2 2 4 6" xfId="40122" xr:uid="{00000000-0005-0000-0000-0000E99B0000}"/>
    <cellStyle name="Input 9 3 2 2 4 7" xfId="40123" xr:uid="{00000000-0005-0000-0000-0000EA9B0000}"/>
    <cellStyle name="Input 9 3 2 2 5" xfId="40124" xr:uid="{00000000-0005-0000-0000-0000EB9B0000}"/>
    <cellStyle name="Input 9 3 2 2 5 2" xfId="40125" xr:uid="{00000000-0005-0000-0000-0000EC9B0000}"/>
    <cellStyle name="Input 9 3 2 2 5 2 2" xfId="40126" xr:uid="{00000000-0005-0000-0000-0000ED9B0000}"/>
    <cellStyle name="Input 9 3 2 2 5 3" xfId="40127" xr:uid="{00000000-0005-0000-0000-0000EE9B0000}"/>
    <cellStyle name="Input 9 3 2 2 5 3 2" xfId="40128" xr:uid="{00000000-0005-0000-0000-0000EF9B0000}"/>
    <cellStyle name="Input 9 3 2 2 5 4" xfId="40129" xr:uid="{00000000-0005-0000-0000-0000F09B0000}"/>
    <cellStyle name="Input 9 3 2 2 5 5" xfId="40130" xr:uid="{00000000-0005-0000-0000-0000F19B0000}"/>
    <cellStyle name="Input 9 3 2 2 5 6" xfId="40131" xr:uid="{00000000-0005-0000-0000-0000F29B0000}"/>
    <cellStyle name="Input 9 3 2 2 6" xfId="40132" xr:uid="{00000000-0005-0000-0000-0000F39B0000}"/>
    <cellStyle name="Input 9 3 2 2 6 2" xfId="40133" xr:uid="{00000000-0005-0000-0000-0000F49B0000}"/>
    <cellStyle name="Input 9 3 2 2 7" xfId="40134" xr:uid="{00000000-0005-0000-0000-0000F59B0000}"/>
    <cellStyle name="Input 9 3 2 2 7 2" xfId="40135" xr:uid="{00000000-0005-0000-0000-0000F69B0000}"/>
    <cellStyle name="Input 9 3 2 2 8" xfId="40136" xr:uid="{00000000-0005-0000-0000-0000F79B0000}"/>
    <cellStyle name="Input 9 3 2 2 9" xfId="40137" xr:uid="{00000000-0005-0000-0000-0000F89B0000}"/>
    <cellStyle name="Input 9 3 2 3" xfId="40138" xr:uid="{00000000-0005-0000-0000-0000F99B0000}"/>
    <cellStyle name="Input 9 3 2 3 2" xfId="40139" xr:uid="{00000000-0005-0000-0000-0000FA9B0000}"/>
    <cellStyle name="Input 9 3 2 3 2 2" xfId="40140" xr:uid="{00000000-0005-0000-0000-0000FB9B0000}"/>
    <cellStyle name="Input 9 3 2 3 2 2 2" xfId="40141" xr:uid="{00000000-0005-0000-0000-0000FC9B0000}"/>
    <cellStyle name="Input 9 3 2 3 2 2 2 2" xfId="40142" xr:uid="{00000000-0005-0000-0000-0000FD9B0000}"/>
    <cellStyle name="Input 9 3 2 3 2 2 3" xfId="40143" xr:uid="{00000000-0005-0000-0000-0000FE9B0000}"/>
    <cellStyle name="Input 9 3 2 3 2 2 3 2" xfId="40144" xr:uid="{00000000-0005-0000-0000-0000FF9B0000}"/>
    <cellStyle name="Input 9 3 2 3 2 2 4" xfId="40145" xr:uid="{00000000-0005-0000-0000-0000009C0000}"/>
    <cellStyle name="Input 9 3 2 3 2 2 5" xfId="40146" xr:uid="{00000000-0005-0000-0000-0000019C0000}"/>
    <cellStyle name="Input 9 3 2 3 2 2 6" xfId="40147" xr:uid="{00000000-0005-0000-0000-0000029C0000}"/>
    <cellStyle name="Input 9 3 2 3 2 3" xfId="40148" xr:uid="{00000000-0005-0000-0000-0000039C0000}"/>
    <cellStyle name="Input 9 3 2 3 2 3 2" xfId="40149" xr:uid="{00000000-0005-0000-0000-0000049C0000}"/>
    <cellStyle name="Input 9 3 2 3 2 4" xfId="40150" xr:uid="{00000000-0005-0000-0000-0000059C0000}"/>
    <cellStyle name="Input 9 3 2 3 2 4 2" xfId="40151" xr:uid="{00000000-0005-0000-0000-0000069C0000}"/>
    <cellStyle name="Input 9 3 2 3 2 5" xfId="40152" xr:uid="{00000000-0005-0000-0000-0000079C0000}"/>
    <cellStyle name="Input 9 3 2 3 2 6" xfId="40153" xr:uid="{00000000-0005-0000-0000-0000089C0000}"/>
    <cellStyle name="Input 9 3 2 3 2 7" xfId="40154" xr:uid="{00000000-0005-0000-0000-0000099C0000}"/>
    <cellStyle name="Input 9 3 2 3 3" xfId="40155" xr:uid="{00000000-0005-0000-0000-00000A9C0000}"/>
    <cellStyle name="Input 9 3 2 3 3 2" xfId="40156" xr:uid="{00000000-0005-0000-0000-00000B9C0000}"/>
    <cellStyle name="Input 9 3 2 3 3 2 2" xfId="40157" xr:uid="{00000000-0005-0000-0000-00000C9C0000}"/>
    <cellStyle name="Input 9 3 2 3 3 3" xfId="40158" xr:uid="{00000000-0005-0000-0000-00000D9C0000}"/>
    <cellStyle name="Input 9 3 2 3 3 3 2" xfId="40159" xr:uid="{00000000-0005-0000-0000-00000E9C0000}"/>
    <cellStyle name="Input 9 3 2 3 3 4" xfId="40160" xr:uid="{00000000-0005-0000-0000-00000F9C0000}"/>
    <cellStyle name="Input 9 3 2 3 3 5" xfId="40161" xr:uid="{00000000-0005-0000-0000-0000109C0000}"/>
    <cellStyle name="Input 9 3 2 3 3 6" xfId="40162" xr:uid="{00000000-0005-0000-0000-0000119C0000}"/>
    <cellStyle name="Input 9 3 2 3 4" xfId="40163" xr:uid="{00000000-0005-0000-0000-0000129C0000}"/>
    <cellStyle name="Input 9 3 2 3 4 2" xfId="40164" xr:uid="{00000000-0005-0000-0000-0000139C0000}"/>
    <cellStyle name="Input 9 3 2 3 5" xfId="40165" xr:uid="{00000000-0005-0000-0000-0000149C0000}"/>
    <cellStyle name="Input 9 3 2 3 5 2" xfId="40166" xr:uid="{00000000-0005-0000-0000-0000159C0000}"/>
    <cellStyle name="Input 9 3 2 3 6" xfId="40167" xr:uid="{00000000-0005-0000-0000-0000169C0000}"/>
    <cellStyle name="Input 9 3 2 3 7" xfId="40168" xr:uid="{00000000-0005-0000-0000-0000179C0000}"/>
    <cellStyle name="Input 9 3 2 3 8" xfId="40169" xr:uid="{00000000-0005-0000-0000-0000189C0000}"/>
    <cellStyle name="Input 9 3 2 4" xfId="40170" xr:uid="{00000000-0005-0000-0000-0000199C0000}"/>
    <cellStyle name="Input 9 3 2 4 2" xfId="40171" xr:uid="{00000000-0005-0000-0000-00001A9C0000}"/>
    <cellStyle name="Input 9 3 2 4 2 2" xfId="40172" xr:uid="{00000000-0005-0000-0000-00001B9C0000}"/>
    <cellStyle name="Input 9 3 2 4 2 2 2" xfId="40173" xr:uid="{00000000-0005-0000-0000-00001C9C0000}"/>
    <cellStyle name="Input 9 3 2 4 2 3" xfId="40174" xr:uid="{00000000-0005-0000-0000-00001D9C0000}"/>
    <cellStyle name="Input 9 3 2 4 2 3 2" xfId="40175" xr:uid="{00000000-0005-0000-0000-00001E9C0000}"/>
    <cellStyle name="Input 9 3 2 4 2 4" xfId="40176" xr:uid="{00000000-0005-0000-0000-00001F9C0000}"/>
    <cellStyle name="Input 9 3 2 4 2 5" xfId="40177" xr:uid="{00000000-0005-0000-0000-0000209C0000}"/>
    <cellStyle name="Input 9 3 2 4 2 6" xfId="40178" xr:uid="{00000000-0005-0000-0000-0000219C0000}"/>
    <cellStyle name="Input 9 3 2 4 3" xfId="40179" xr:uid="{00000000-0005-0000-0000-0000229C0000}"/>
    <cellStyle name="Input 9 3 2 4 3 2" xfId="40180" xr:uid="{00000000-0005-0000-0000-0000239C0000}"/>
    <cellStyle name="Input 9 3 2 4 4" xfId="40181" xr:uid="{00000000-0005-0000-0000-0000249C0000}"/>
    <cellStyle name="Input 9 3 2 4 4 2" xfId="40182" xr:uid="{00000000-0005-0000-0000-0000259C0000}"/>
    <cellStyle name="Input 9 3 2 4 5" xfId="40183" xr:uid="{00000000-0005-0000-0000-0000269C0000}"/>
    <cellStyle name="Input 9 3 2 4 6" xfId="40184" xr:uid="{00000000-0005-0000-0000-0000279C0000}"/>
    <cellStyle name="Input 9 3 2 4 7" xfId="40185" xr:uid="{00000000-0005-0000-0000-0000289C0000}"/>
    <cellStyle name="Input 9 3 2 5" xfId="40186" xr:uid="{00000000-0005-0000-0000-0000299C0000}"/>
    <cellStyle name="Input 9 3 2 5 2" xfId="40187" xr:uid="{00000000-0005-0000-0000-00002A9C0000}"/>
    <cellStyle name="Input 9 3 2 5 2 2" xfId="40188" xr:uid="{00000000-0005-0000-0000-00002B9C0000}"/>
    <cellStyle name="Input 9 3 2 5 3" xfId="40189" xr:uid="{00000000-0005-0000-0000-00002C9C0000}"/>
    <cellStyle name="Input 9 3 2 5 3 2" xfId="40190" xr:uid="{00000000-0005-0000-0000-00002D9C0000}"/>
    <cellStyle name="Input 9 3 2 5 4" xfId="40191" xr:uid="{00000000-0005-0000-0000-00002E9C0000}"/>
    <cellStyle name="Input 9 3 2 5 5" xfId="40192" xr:uid="{00000000-0005-0000-0000-00002F9C0000}"/>
    <cellStyle name="Input 9 3 2 5 6" xfId="40193" xr:uid="{00000000-0005-0000-0000-0000309C0000}"/>
    <cellStyle name="Input 9 3 2 6" xfId="40194" xr:uid="{00000000-0005-0000-0000-0000319C0000}"/>
    <cellStyle name="Input 9 3 2 6 2" xfId="40195" xr:uid="{00000000-0005-0000-0000-0000329C0000}"/>
    <cellStyle name="Input 9 3 2 7" xfId="40196" xr:uid="{00000000-0005-0000-0000-0000339C0000}"/>
    <cellStyle name="Input 9 3 2 7 2" xfId="40197" xr:uid="{00000000-0005-0000-0000-0000349C0000}"/>
    <cellStyle name="Input 9 3 2 8" xfId="40198" xr:uid="{00000000-0005-0000-0000-0000359C0000}"/>
    <cellStyle name="Input 9 3 2 9" xfId="40199" xr:uid="{00000000-0005-0000-0000-0000369C0000}"/>
    <cellStyle name="Input 9 3 3" xfId="40200" xr:uid="{00000000-0005-0000-0000-0000379C0000}"/>
    <cellStyle name="Input 9 3 3 10" xfId="40201" xr:uid="{00000000-0005-0000-0000-0000389C0000}"/>
    <cellStyle name="Input 9 3 3 2" xfId="40202" xr:uid="{00000000-0005-0000-0000-0000399C0000}"/>
    <cellStyle name="Input 9 3 3 2 2" xfId="40203" xr:uid="{00000000-0005-0000-0000-00003A9C0000}"/>
    <cellStyle name="Input 9 3 3 2 2 2" xfId="40204" xr:uid="{00000000-0005-0000-0000-00003B9C0000}"/>
    <cellStyle name="Input 9 3 3 2 2 2 2" xfId="40205" xr:uid="{00000000-0005-0000-0000-00003C9C0000}"/>
    <cellStyle name="Input 9 3 3 2 2 2 2 2" xfId="40206" xr:uid="{00000000-0005-0000-0000-00003D9C0000}"/>
    <cellStyle name="Input 9 3 3 2 2 2 3" xfId="40207" xr:uid="{00000000-0005-0000-0000-00003E9C0000}"/>
    <cellStyle name="Input 9 3 3 2 2 2 3 2" xfId="40208" xr:uid="{00000000-0005-0000-0000-00003F9C0000}"/>
    <cellStyle name="Input 9 3 3 2 2 2 4" xfId="40209" xr:uid="{00000000-0005-0000-0000-0000409C0000}"/>
    <cellStyle name="Input 9 3 3 2 2 2 5" xfId="40210" xr:uid="{00000000-0005-0000-0000-0000419C0000}"/>
    <cellStyle name="Input 9 3 3 2 2 2 6" xfId="40211" xr:uid="{00000000-0005-0000-0000-0000429C0000}"/>
    <cellStyle name="Input 9 3 3 2 2 3" xfId="40212" xr:uid="{00000000-0005-0000-0000-0000439C0000}"/>
    <cellStyle name="Input 9 3 3 2 2 3 2" xfId="40213" xr:uid="{00000000-0005-0000-0000-0000449C0000}"/>
    <cellStyle name="Input 9 3 3 2 2 4" xfId="40214" xr:uid="{00000000-0005-0000-0000-0000459C0000}"/>
    <cellStyle name="Input 9 3 3 2 2 4 2" xfId="40215" xr:uid="{00000000-0005-0000-0000-0000469C0000}"/>
    <cellStyle name="Input 9 3 3 2 2 5" xfId="40216" xr:uid="{00000000-0005-0000-0000-0000479C0000}"/>
    <cellStyle name="Input 9 3 3 2 2 6" xfId="40217" xr:uid="{00000000-0005-0000-0000-0000489C0000}"/>
    <cellStyle name="Input 9 3 3 2 2 7" xfId="40218" xr:uid="{00000000-0005-0000-0000-0000499C0000}"/>
    <cellStyle name="Input 9 3 3 2 3" xfId="40219" xr:uid="{00000000-0005-0000-0000-00004A9C0000}"/>
    <cellStyle name="Input 9 3 3 2 3 2" xfId="40220" xr:uid="{00000000-0005-0000-0000-00004B9C0000}"/>
    <cellStyle name="Input 9 3 3 2 3 2 2" xfId="40221" xr:uid="{00000000-0005-0000-0000-00004C9C0000}"/>
    <cellStyle name="Input 9 3 3 2 3 3" xfId="40222" xr:uid="{00000000-0005-0000-0000-00004D9C0000}"/>
    <cellStyle name="Input 9 3 3 2 3 3 2" xfId="40223" xr:uid="{00000000-0005-0000-0000-00004E9C0000}"/>
    <cellStyle name="Input 9 3 3 2 3 4" xfId="40224" xr:uid="{00000000-0005-0000-0000-00004F9C0000}"/>
    <cellStyle name="Input 9 3 3 2 3 5" xfId="40225" xr:uid="{00000000-0005-0000-0000-0000509C0000}"/>
    <cellStyle name="Input 9 3 3 2 3 6" xfId="40226" xr:uid="{00000000-0005-0000-0000-0000519C0000}"/>
    <cellStyle name="Input 9 3 3 2 4" xfId="40227" xr:uid="{00000000-0005-0000-0000-0000529C0000}"/>
    <cellStyle name="Input 9 3 3 2 4 2" xfId="40228" xr:uid="{00000000-0005-0000-0000-0000539C0000}"/>
    <cellStyle name="Input 9 3 3 2 5" xfId="40229" xr:uid="{00000000-0005-0000-0000-0000549C0000}"/>
    <cellStyle name="Input 9 3 3 2 5 2" xfId="40230" xr:uid="{00000000-0005-0000-0000-0000559C0000}"/>
    <cellStyle name="Input 9 3 3 2 6" xfId="40231" xr:uid="{00000000-0005-0000-0000-0000569C0000}"/>
    <cellStyle name="Input 9 3 3 2 7" xfId="40232" xr:uid="{00000000-0005-0000-0000-0000579C0000}"/>
    <cellStyle name="Input 9 3 3 2 8" xfId="40233" xr:uid="{00000000-0005-0000-0000-0000589C0000}"/>
    <cellStyle name="Input 9 3 3 3" xfId="40234" xr:uid="{00000000-0005-0000-0000-0000599C0000}"/>
    <cellStyle name="Input 9 3 3 3 2" xfId="40235" xr:uid="{00000000-0005-0000-0000-00005A9C0000}"/>
    <cellStyle name="Input 9 3 3 3 2 2" xfId="40236" xr:uid="{00000000-0005-0000-0000-00005B9C0000}"/>
    <cellStyle name="Input 9 3 3 3 2 2 2" xfId="40237" xr:uid="{00000000-0005-0000-0000-00005C9C0000}"/>
    <cellStyle name="Input 9 3 3 3 2 2 2 2" xfId="40238" xr:uid="{00000000-0005-0000-0000-00005D9C0000}"/>
    <cellStyle name="Input 9 3 3 3 2 2 3" xfId="40239" xr:uid="{00000000-0005-0000-0000-00005E9C0000}"/>
    <cellStyle name="Input 9 3 3 3 2 2 3 2" xfId="40240" xr:uid="{00000000-0005-0000-0000-00005F9C0000}"/>
    <cellStyle name="Input 9 3 3 3 2 2 4" xfId="40241" xr:uid="{00000000-0005-0000-0000-0000609C0000}"/>
    <cellStyle name="Input 9 3 3 3 2 2 5" xfId="40242" xr:uid="{00000000-0005-0000-0000-0000619C0000}"/>
    <cellStyle name="Input 9 3 3 3 2 2 6" xfId="40243" xr:uid="{00000000-0005-0000-0000-0000629C0000}"/>
    <cellStyle name="Input 9 3 3 3 2 3" xfId="40244" xr:uid="{00000000-0005-0000-0000-0000639C0000}"/>
    <cellStyle name="Input 9 3 3 3 2 3 2" xfId="40245" xr:uid="{00000000-0005-0000-0000-0000649C0000}"/>
    <cellStyle name="Input 9 3 3 3 2 4" xfId="40246" xr:uid="{00000000-0005-0000-0000-0000659C0000}"/>
    <cellStyle name="Input 9 3 3 3 2 4 2" xfId="40247" xr:uid="{00000000-0005-0000-0000-0000669C0000}"/>
    <cellStyle name="Input 9 3 3 3 2 5" xfId="40248" xr:uid="{00000000-0005-0000-0000-0000679C0000}"/>
    <cellStyle name="Input 9 3 3 3 2 6" xfId="40249" xr:uid="{00000000-0005-0000-0000-0000689C0000}"/>
    <cellStyle name="Input 9 3 3 3 2 7" xfId="40250" xr:uid="{00000000-0005-0000-0000-0000699C0000}"/>
    <cellStyle name="Input 9 3 3 3 3" xfId="40251" xr:uid="{00000000-0005-0000-0000-00006A9C0000}"/>
    <cellStyle name="Input 9 3 3 3 3 2" xfId="40252" xr:uid="{00000000-0005-0000-0000-00006B9C0000}"/>
    <cellStyle name="Input 9 3 3 3 3 2 2" xfId="40253" xr:uid="{00000000-0005-0000-0000-00006C9C0000}"/>
    <cellStyle name="Input 9 3 3 3 3 3" xfId="40254" xr:uid="{00000000-0005-0000-0000-00006D9C0000}"/>
    <cellStyle name="Input 9 3 3 3 3 3 2" xfId="40255" xr:uid="{00000000-0005-0000-0000-00006E9C0000}"/>
    <cellStyle name="Input 9 3 3 3 3 4" xfId="40256" xr:uid="{00000000-0005-0000-0000-00006F9C0000}"/>
    <cellStyle name="Input 9 3 3 3 3 5" xfId="40257" xr:uid="{00000000-0005-0000-0000-0000709C0000}"/>
    <cellStyle name="Input 9 3 3 3 3 6" xfId="40258" xr:uid="{00000000-0005-0000-0000-0000719C0000}"/>
    <cellStyle name="Input 9 3 3 3 4" xfId="40259" xr:uid="{00000000-0005-0000-0000-0000729C0000}"/>
    <cellStyle name="Input 9 3 3 3 4 2" xfId="40260" xr:uid="{00000000-0005-0000-0000-0000739C0000}"/>
    <cellStyle name="Input 9 3 3 3 5" xfId="40261" xr:uid="{00000000-0005-0000-0000-0000749C0000}"/>
    <cellStyle name="Input 9 3 3 3 5 2" xfId="40262" xr:uid="{00000000-0005-0000-0000-0000759C0000}"/>
    <cellStyle name="Input 9 3 3 3 6" xfId="40263" xr:uid="{00000000-0005-0000-0000-0000769C0000}"/>
    <cellStyle name="Input 9 3 3 3 7" xfId="40264" xr:uid="{00000000-0005-0000-0000-0000779C0000}"/>
    <cellStyle name="Input 9 3 3 3 8" xfId="40265" xr:uid="{00000000-0005-0000-0000-0000789C0000}"/>
    <cellStyle name="Input 9 3 3 4" xfId="40266" xr:uid="{00000000-0005-0000-0000-0000799C0000}"/>
    <cellStyle name="Input 9 3 3 4 2" xfId="40267" xr:uid="{00000000-0005-0000-0000-00007A9C0000}"/>
    <cellStyle name="Input 9 3 3 4 2 2" xfId="40268" xr:uid="{00000000-0005-0000-0000-00007B9C0000}"/>
    <cellStyle name="Input 9 3 3 4 2 2 2" xfId="40269" xr:uid="{00000000-0005-0000-0000-00007C9C0000}"/>
    <cellStyle name="Input 9 3 3 4 2 3" xfId="40270" xr:uid="{00000000-0005-0000-0000-00007D9C0000}"/>
    <cellStyle name="Input 9 3 3 4 2 3 2" xfId="40271" xr:uid="{00000000-0005-0000-0000-00007E9C0000}"/>
    <cellStyle name="Input 9 3 3 4 2 4" xfId="40272" xr:uid="{00000000-0005-0000-0000-00007F9C0000}"/>
    <cellStyle name="Input 9 3 3 4 2 5" xfId="40273" xr:uid="{00000000-0005-0000-0000-0000809C0000}"/>
    <cellStyle name="Input 9 3 3 4 2 6" xfId="40274" xr:uid="{00000000-0005-0000-0000-0000819C0000}"/>
    <cellStyle name="Input 9 3 3 4 3" xfId="40275" xr:uid="{00000000-0005-0000-0000-0000829C0000}"/>
    <cellStyle name="Input 9 3 3 4 3 2" xfId="40276" xr:uid="{00000000-0005-0000-0000-0000839C0000}"/>
    <cellStyle name="Input 9 3 3 4 4" xfId="40277" xr:uid="{00000000-0005-0000-0000-0000849C0000}"/>
    <cellStyle name="Input 9 3 3 4 4 2" xfId="40278" xr:uid="{00000000-0005-0000-0000-0000859C0000}"/>
    <cellStyle name="Input 9 3 3 4 5" xfId="40279" xr:uid="{00000000-0005-0000-0000-0000869C0000}"/>
    <cellStyle name="Input 9 3 3 4 6" xfId="40280" xr:uid="{00000000-0005-0000-0000-0000879C0000}"/>
    <cellStyle name="Input 9 3 3 4 7" xfId="40281" xr:uid="{00000000-0005-0000-0000-0000889C0000}"/>
    <cellStyle name="Input 9 3 3 5" xfId="40282" xr:uid="{00000000-0005-0000-0000-0000899C0000}"/>
    <cellStyle name="Input 9 3 3 5 2" xfId="40283" xr:uid="{00000000-0005-0000-0000-00008A9C0000}"/>
    <cellStyle name="Input 9 3 3 5 2 2" xfId="40284" xr:uid="{00000000-0005-0000-0000-00008B9C0000}"/>
    <cellStyle name="Input 9 3 3 5 3" xfId="40285" xr:uid="{00000000-0005-0000-0000-00008C9C0000}"/>
    <cellStyle name="Input 9 3 3 5 3 2" xfId="40286" xr:uid="{00000000-0005-0000-0000-00008D9C0000}"/>
    <cellStyle name="Input 9 3 3 5 4" xfId="40287" xr:uid="{00000000-0005-0000-0000-00008E9C0000}"/>
    <cellStyle name="Input 9 3 3 5 5" xfId="40288" xr:uid="{00000000-0005-0000-0000-00008F9C0000}"/>
    <cellStyle name="Input 9 3 3 5 6" xfId="40289" xr:uid="{00000000-0005-0000-0000-0000909C0000}"/>
    <cellStyle name="Input 9 3 3 6" xfId="40290" xr:uid="{00000000-0005-0000-0000-0000919C0000}"/>
    <cellStyle name="Input 9 3 3 6 2" xfId="40291" xr:uid="{00000000-0005-0000-0000-0000929C0000}"/>
    <cellStyle name="Input 9 3 3 7" xfId="40292" xr:uid="{00000000-0005-0000-0000-0000939C0000}"/>
    <cellStyle name="Input 9 3 3 7 2" xfId="40293" xr:uid="{00000000-0005-0000-0000-0000949C0000}"/>
    <cellStyle name="Input 9 3 3 8" xfId="40294" xr:uid="{00000000-0005-0000-0000-0000959C0000}"/>
    <cellStyle name="Input 9 3 3 9" xfId="40295" xr:uid="{00000000-0005-0000-0000-0000969C0000}"/>
    <cellStyle name="Input 9 3 4" xfId="40296" xr:uid="{00000000-0005-0000-0000-0000979C0000}"/>
    <cellStyle name="Input 9 3 4 2" xfId="40297" xr:uid="{00000000-0005-0000-0000-0000989C0000}"/>
    <cellStyle name="Input 9 3 4 2 2" xfId="40298" xr:uid="{00000000-0005-0000-0000-0000999C0000}"/>
    <cellStyle name="Input 9 3 4 2 2 2" xfId="40299" xr:uid="{00000000-0005-0000-0000-00009A9C0000}"/>
    <cellStyle name="Input 9 3 4 2 2 2 2" xfId="40300" xr:uid="{00000000-0005-0000-0000-00009B9C0000}"/>
    <cellStyle name="Input 9 3 4 2 2 3" xfId="40301" xr:uid="{00000000-0005-0000-0000-00009C9C0000}"/>
    <cellStyle name="Input 9 3 4 2 2 3 2" xfId="40302" xr:uid="{00000000-0005-0000-0000-00009D9C0000}"/>
    <cellStyle name="Input 9 3 4 2 2 4" xfId="40303" xr:uid="{00000000-0005-0000-0000-00009E9C0000}"/>
    <cellStyle name="Input 9 3 4 2 2 5" xfId="40304" xr:uid="{00000000-0005-0000-0000-00009F9C0000}"/>
    <cellStyle name="Input 9 3 4 2 2 6" xfId="40305" xr:uid="{00000000-0005-0000-0000-0000A09C0000}"/>
    <cellStyle name="Input 9 3 4 2 3" xfId="40306" xr:uid="{00000000-0005-0000-0000-0000A19C0000}"/>
    <cellStyle name="Input 9 3 4 2 3 2" xfId="40307" xr:uid="{00000000-0005-0000-0000-0000A29C0000}"/>
    <cellStyle name="Input 9 3 4 2 4" xfId="40308" xr:uid="{00000000-0005-0000-0000-0000A39C0000}"/>
    <cellStyle name="Input 9 3 4 2 4 2" xfId="40309" xr:uid="{00000000-0005-0000-0000-0000A49C0000}"/>
    <cellStyle name="Input 9 3 4 2 5" xfId="40310" xr:uid="{00000000-0005-0000-0000-0000A59C0000}"/>
    <cellStyle name="Input 9 3 4 2 6" xfId="40311" xr:uid="{00000000-0005-0000-0000-0000A69C0000}"/>
    <cellStyle name="Input 9 3 4 2 7" xfId="40312" xr:uid="{00000000-0005-0000-0000-0000A79C0000}"/>
    <cellStyle name="Input 9 3 4 3" xfId="40313" xr:uid="{00000000-0005-0000-0000-0000A89C0000}"/>
    <cellStyle name="Input 9 3 4 3 2" xfId="40314" xr:uid="{00000000-0005-0000-0000-0000A99C0000}"/>
    <cellStyle name="Input 9 3 4 3 2 2" xfId="40315" xr:uid="{00000000-0005-0000-0000-0000AA9C0000}"/>
    <cellStyle name="Input 9 3 4 3 3" xfId="40316" xr:uid="{00000000-0005-0000-0000-0000AB9C0000}"/>
    <cellStyle name="Input 9 3 4 3 3 2" xfId="40317" xr:uid="{00000000-0005-0000-0000-0000AC9C0000}"/>
    <cellStyle name="Input 9 3 4 3 4" xfId="40318" xr:uid="{00000000-0005-0000-0000-0000AD9C0000}"/>
    <cellStyle name="Input 9 3 4 3 5" xfId="40319" xr:uid="{00000000-0005-0000-0000-0000AE9C0000}"/>
    <cellStyle name="Input 9 3 4 3 6" xfId="40320" xr:uid="{00000000-0005-0000-0000-0000AF9C0000}"/>
    <cellStyle name="Input 9 3 4 4" xfId="40321" xr:uid="{00000000-0005-0000-0000-0000B09C0000}"/>
    <cellStyle name="Input 9 3 4 4 2" xfId="40322" xr:uid="{00000000-0005-0000-0000-0000B19C0000}"/>
    <cellStyle name="Input 9 3 4 5" xfId="40323" xr:uid="{00000000-0005-0000-0000-0000B29C0000}"/>
    <cellStyle name="Input 9 3 4 5 2" xfId="40324" xr:uid="{00000000-0005-0000-0000-0000B39C0000}"/>
    <cellStyle name="Input 9 3 4 6" xfId="40325" xr:uid="{00000000-0005-0000-0000-0000B49C0000}"/>
    <cellStyle name="Input 9 3 4 7" xfId="40326" xr:uid="{00000000-0005-0000-0000-0000B59C0000}"/>
    <cellStyle name="Input 9 3 4 8" xfId="40327" xr:uid="{00000000-0005-0000-0000-0000B69C0000}"/>
    <cellStyle name="Input 9 3 5" xfId="40328" xr:uid="{00000000-0005-0000-0000-0000B79C0000}"/>
    <cellStyle name="Input 9 3 5 2" xfId="40329" xr:uid="{00000000-0005-0000-0000-0000B89C0000}"/>
    <cellStyle name="Input 9 3 5 2 2" xfId="40330" xr:uid="{00000000-0005-0000-0000-0000B99C0000}"/>
    <cellStyle name="Input 9 3 5 2 2 2" xfId="40331" xr:uid="{00000000-0005-0000-0000-0000BA9C0000}"/>
    <cellStyle name="Input 9 3 5 2 3" xfId="40332" xr:uid="{00000000-0005-0000-0000-0000BB9C0000}"/>
    <cellStyle name="Input 9 3 5 2 3 2" xfId="40333" xr:uid="{00000000-0005-0000-0000-0000BC9C0000}"/>
    <cellStyle name="Input 9 3 5 2 4" xfId="40334" xr:uid="{00000000-0005-0000-0000-0000BD9C0000}"/>
    <cellStyle name="Input 9 3 5 2 5" xfId="40335" xr:uid="{00000000-0005-0000-0000-0000BE9C0000}"/>
    <cellStyle name="Input 9 3 5 2 6" xfId="40336" xr:uid="{00000000-0005-0000-0000-0000BF9C0000}"/>
    <cellStyle name="Input 9 3 5 3" xfId="40337" xr:uid="{00000000-0005-0000-0000-0000C09C0000}"/>
    <cellStyle name="Input 9 3 5 3 2" xfId="40338" xr:uid="{00000000-0005-0000-0000-0000C19C0000}"/>
    <cellStyle name="Input 9 3 5 4" xfId="40339" xr:uid="{00000000-0005-0000-0000-0000C29C0000}"/>
    <cellStyle name="Input 9 3 5 4 2" xfId="40340" xr:uid="{00000000-0005-0000-0000-0000C39C0000}"/>
    <cellStyle name="Input 9 3 5 5" xfId="40341" xr:uid="{00000000-0005-0000-0000-0000C49C0000}"/>
    <cellStyle name="Input 9 3 5 6" xfId="40342" xr:uid="{00000000-0005-0000-0000-0000C59C0000}"/>
    <cellStyle name="Input 9 3 5 7" xfId="40343" xr:uid="{00000000-0005-0000-0000-0000C69C0000}"/>
    <cellStyle name="Input 9 3 6" xfId="40344" xr:uid="{00000000-0005-0000-0000-0000C79C0000}"/>
    <cellStyle name="Input 9 3 6 2" xfId="40345" xr:uid="{00000000-0005-0000-0000-0000C89C0000}"/>
    <cellStyle name="Input 9 3 6 2 2" xfId="40346" xr:uid="{00000000-0005-0000-0000-0000C99C0000}"/>
    <cellStyle name="Input 9 3 6 3" xfId="40347" xr:uid="{00000000-0005-0000-0000-0000CA9C0000}"/>
    <cellStyle name="Input 9 3 6 3 2" xfId="40348" xr:uid="{00000000-0005-0000-0000-0000CB9C0000}"/>
    <cellStyle name="Input 9 3 6 4" xfId="40349" xr:uid="{00000000-0005-0000-0000-0000CC9C0000}"/>
    <cellStyle name="Input 9 3 6 5" xfId="40350" xr:uid="{00000000-0005-0000-0000-0000CD9C0000}"/>
    <cellStyle name="Input 9 3 6 6" xfId="40351" xr:uid="{00000000-0005-0000-0000-0000CE9C0000}"/>
    <cellStyle name="Input 9 3 7" xfId="40352" xr:uid="{00000000-0005-0000-0000-0000CF9C0000}"/>
    <cellStyle name="Input 9 3 7 2" xfId="40353" xr:uid="{00000000-0005-0000-0000-0000D09C0000}"/>
    <cellStyle name="Input 9 3 8" xfId="40354" xr:uid="{00000000-0005-0000-0000-0000D19C0000}"/>
    <cellStyle name="Input 9 3 8 2" xfId="40355" xr:uid="{00000000-0005-0000-0000-0000D29C0000}"/>
    <cellStyle name="Input 9 3 9" xfId="40356" xr:uid="{00000000-0005-0000-0000-0000D39C0000}"/>
    <cellStyle name="Input 9 4" xfId="40357" xr:uid="{00000000-0005-0000-0000-0000D49C0000}"/>
    <cellStyle name="Input 9 4 10" xfId="40358" xr:uid="{00000000-0005-0000-0000-0000D59C0000}"/>
    <cellStyle name="Input 9 4 11" xfId="40359" xr:uid="{00000000-0005-0000-0000-0000D69C0000}"/>
    <cellStyle name="Input 9 4 2" xfId="40360" xr:uid="{00000000-0005-0000-0000-0000D79C0000}"/>
    <cellStyle name="Input 9 4 2 10" xfId="40361" xr:uid="{00000000-0005-0000-0000-0000D89C0000}"/>
    <cellStyle name="Input 9 4 2 2" xfId="40362" xr:uid="{00000000-0005-0000-0000-0000D99C0000}"/>
    <cellStyle name="Input 9 4 2 2 2" xfId="40363" xr:uid="{00000000-0005-0000-0000-0000DA9C0000}"/>
    <cellStyle name="Input 9 4 2 2 2 2" xfId="40364" xr:uid="{00000000-0005-0000-0000-0000DB9C0000}"/>
    <cellStyle name="Input 9 4 2 2 2 2 2" xfId="40365" xr:uid="{00000000-0005-0000-0000-0000DC9C0000}"/>
    <cellStyle name="Input 9 4 2 2 2 2 2 2" xfId="40366" xr:uid="{00000000-0005-0000-0000-0000DD9C0000}"/>
    <cellStyle name="Input 9 4 2 2 2 2 3" xfId="40367" xr:uid="{00000000-0005-0000-0000-0000DE9C0000}"/>
    <cellStyle name="Input 9 4 2 2 2 2 3 2" xfId="40368" xr:uid="{00000000-0005-0000-0000-0000DF9C0000}"/>
    <cellStyle name="Input 9 4 2 2 2 2 4" xfId="40369" xr:uid="{00000000-0005-0000-0000-0000E09C0000}"/>
    <cellStyle name="Input 9 4 2 2 2 2 5" xfId="40370" xr:uid="{00000000-0005-0000-0000-0000E19C0000}"/>
    <cellStyle name="Input 9 4 2 2 2 2 6" xfId="40371" xr:uid="{00000000-0005-0000-0000-0000E29C0000}"/>
    <cellStyle name="Input 9 4 2 2 2 3" xfId="40372" xr:uid="{00000000-0005-0000-0000-0000E39C0000}"/>
    <cellStyle name="Input 9 4 2 2 2 3 2" xfId="40373" xr:uid="{00000000-0005-0000-0000-0000E49C0000}"/>
    <cellStyle name="Input 9 4 2 2 2 4" xfId="40374" xr:uid="{00000000-0005-0000-0000-0000E59C0000}"/>
    <cellStyle name="Input 9 4 2 2 2 4 2" xfId="40375" xr:uid="{00000000-0005-0000-0000-0000E69C0000}"/>
    <cellStyle name="Input 9 4 2 2 2 5" xfId="40376" xr:uid="{00000000-0005-0000-0000-0000E79C0000}"/>
    <cellStyle name="Input 9 4 2 2 2 6" xfId="40377" xr:uid="{00000000-0005-0000-0000-0000E89C0000}"/>
    <cellStyle name="Input 9 4 2 2 2 7" xfId="40378" xr:uid="{00000000-0005-0000-0000-0000E99C0000}"/>
    <cellStyle name="Input 9 4 2 2 3" xfId="40379" xr:uid="{00000000-0005-0000-0000-0000EA9C0000}"/>
    <cellStyle name="Input 9 4 2 2 3 2" xfId="40380" xr:uid="{00000000-0005-0000-0000-0000EB9C0000}"/>
    <cellStyle name="Input 9 4 2 2 3 2 2" xfId="40381" xr:uid="{00000000-0005-0000-0000-0000EC9C0000}"/>
    <cellStyle name="Input 9 4 2 2 3 3" xfId="40382" xr:uid="{00000000-0005-0000-0000-0000ED9C0000}"/>
    <cellStyle name="Input 9 4 2 2 3 3 2" xfId="40383" xr:uid="{00000000-0005-0000-0000-0000EE9C0000}"/>
    <cellStyle name="Input 9 4 2 2 3 4" xfId="40384" xr:uid="{00000000-0005-0000-0000-0000EF9C0000}"/>
    <cellStyle name="Input 9 4 2 2 3 5" xfId="40385" xr:uid="{00000000-0005-0000-0000-0000F09C0000}"/>
    <cellStyle name="Input 9 4 2 2 3 6" xfId="40386" xr:uid="{00000000-0005-0000-0000-0000F19C0000}"/>
    <cellStyle name="Input 9 4 2 2 4" xfId="40387" xr:uid="{00000000-0005-0000-0000-0000F29C0000}"/>
    <cellStyle name="Input 9 4 2 2 4 2" xfId="40388" xr:uid="{00000000-0005-0000-0000-0000F39C0000}"/>
    <cellStyle name="Input 9 4 2 2 5" xfId="40389" xr:uid="{00000000-0005-0000-0000-0000F49C0000}"/>
    <cellStyle name="Input 9 4 2 2 5 2" xfId="40390" xr:uid="{00000000-0005-0000-0000-0000F59C0000}"/>
    <cellStyle name="Input 9 4 2 2 6" xfId="40391" xr:uid="{00000000-0005-0000-0000-0000F69C0000}"/>
    <cellStyle name="Input 9 4 2 2 7" xfId="40392" xr:uid="{00000000-0005-0000-0000-0000F79C0000}"/>
    <cellStyle name="Input 9 4 2 2 8" xfId="40393" xr:uid="{00000000-0005-0000-0000-0000F89C0000}"/>
    <cellStyle name="Input 9 4 2 3" xfId="40394" xr:uid="{00000000-0005-0000-0000-0000F99C0000}"/>
    <cellStyle name="Input 9 4 2 3 2" xfId="40395" xr:uid="{00000000-0005-0000-0000-0000FA9C0000}"/>
    <cellStyle name="Input 9 4 2 3 2 2" xfId="40396" xr:uid="{00000000-0005-0000-0000-0000FB9C0000}"/>
    <cellStyle name="Input 9 4 2 3 2 2 2" xfId="40397" xr:uid="{00000000-0005-0000-0000-0000FC9C0000}"/>
    <cellStyle name="Input 9 4 2 3 2 2 2 2" xfId="40398" xr:uid="{00000000-0005-0000-0000-0000FD9C0000}"/>
    <cellStyle name="Input 9 4 2 3 2 2 3" xfId="40399" xr:uid="{00000000-0005-0000-0000-0000FE9C0000}"/>
    <cellStyle name="Input 9 4 2 3 2 2 3 2" xfId="40400" xr:uid="{00000000-0005-0000-0000-0000FF9C0000}"/>
    <cellStyle name="Input 9 4 2 3 2 2 4" xfId="40401" xr:uid="{00000000-0005-0000-0000-0000009D0000}"/>
    <cellStyle name="Input 9 4 2 3 2 2 5" xfId="40402" xr:uid="{00000000-0005-0000-0000-0000019D0000}"/>
    <cellStyle name="Input 9 4 2 3 2 2 6" xfId="40403" xr:uid="{00000000-0005-0000-0000-0000029D0000}"/>
    <cellStyle name="Input 9 4 2 3 2 3" xfId="40404" xr:uid="{00000000-0005-0000-0000-0000039D0000}"/>
    <cellStyle name="Input 9 4 2 3 2 3 2" xfId="40405" xr:uid="{00000000-0005-0000-0000-0000049D0000}"/>
    <cellStyle name="Input 9 4 2 3 2 4" xfId="40406" xr:uid="{00000000-0005-0000-0000-0000059D0000}"/>
    <cellStyle name="Input 9 4 2 3 2 4 2" xfId="40407" xr:uid="{00000000-0005-0000-0000-0000069D0000}"/>
    <cellStyle name="Input 9 4 2 3 2 5" xfId="40408" xr:uid="{00000000-0005-0000-0000-0000079D0000}"/>
    <cellStyle name="Input 9 4 2 3 2 6" xfId="40409" xr:uid="{00000000-0005-0000-0000-0000089D0000}"/>
    <cellStyle name="Input 9 4 2 3 2 7" xfId="40410" xr:uid="{00000000-0005-0000-0000-0000099D0000}"/>
    <cellStyle name="Input 9 4 2 3 3" xfId="40411" xr:uid="{00000000-0005-0000-0000-00000A9D0000}"/>
    <cellStyle name="Input 9 4 2 3 3 2" xfId="40412" xr:uid="{00000000-0005-0000-0000-00000B9D0000}"/>
    <cellStyle name="Input 9 4 2 3 3 2 2" xfId="40413" xr:uid="{00000000-0005-0000-0000-00000C9D0000}"/>
    <cellStyle name="Input 9 4 2 3 3 3" xfId="40414" xr:uid="{00000000-0005-0000-0000-00000D9D0000}"/>
    <cellStyle name="Input 9 4 2 3 3 3 2" xfId="40415" xr:uid="{00000000-0005-0000-0000-00000E9D0000}"/>
    <cellStyle name="Input 9 4 2 3 3 4" xfId="40416" xr:uid="{00000000-0005-0000-0000-00000F9D0000}"/>
    <cellStyle name="Input 9 4 2 3 3 5" xfId="40417" xr:uid="{00000000-0005-0000-0000-0000109D0000}"/>
    <cellStyle name="Input 9 4 2 3 3 6" xfId="40418" xr:uid="{00000000-0005-0000-0000-0000119D0000}"/>
    <cellStyle name="Input 9 4 2 3 4" xfId="40419" xr:uid="{00000000-0005-0000-0000-0000129D0000}"/>
    <cellStyle name="Input 9 4 2 3 4 2" xfId="40420" xr:uid="{00000000-0005-0000-0000-0000139D0000}"/>
    <cellStyle name="Input 9 4 2 3 5" xfId="40421" xr:uid="{00000000-0005-0000-0000-0000149D0000}"/>
    <cellStyle name="Input 9 4 2 3 5 2" xfId="40422" xr:uid="{00000000-0005-0000-0000-0000159D0000}"/>
    <cellStyle name="Input 9 4 2 3 6" xfId="40423" xr:uid="{00000000-0005-0000-0000-0000169D0000}"/>
    <cellStyle name="Input 9 4 2 3 7" xfId="40424" xr:uid="{00000000-0005-0000-0000-0000179D0000}"/>
    <cellStyle name="Input 9 4 2 3 8" xfId="40425" xr:uid="{00000000-0005-0000-0000-0000189D0000}"/>
    <cellStyle name="Input 9 4 2 4" xfId="40426" xr:uid="{00000000-0005-0000-0000-0000199D0000}"/>
    <cellStyle name="Input 9 4 2 4 2" xfId="40427" xr:uid="{00000000-0005-0000-0000-00001A9D0000}"/>
    <cellStyle name="Input 9 4 2 4 2 2" xfId="40428" xr:uid="{00000000-0005-0000-0000-00001B9D0000}"/>
    <cellStyle name="Input 9 4 2 4 2 2 2" xfId="40429" xr:uid="{00000000-0005-0000-0000-00001C9D0000}"/>
    <cellStyle name="Input 9 4 2 4 2 3" xfId="40430" xr:uid="{00000000-0005-0000-0000-00001D9D0000}"/>
    <cellStyle name="Input 9 4 2 4 2 3 2" xfId="40431" xr:uid="{00000000-0005-0000-0000-00001E9D0000}"/>
    <cellStyle name="Input 9 4 2 4 2 4" xfId="40432" xr:uid="{00000000-0005-0000-0000-00001F9D0000}"/>
    <cellStyle name="Input 9 4 2 4 2 5" xfId="40433" xr:uid="{00000000-0005-0000-0000-0000209D0000}"/>
    <cellStyle name="Input 9 4 2 4 2 6" xfId="40434" xr:uid="{00000000-0005-0000-0000-0000219D0000}"/>
    <cellStyle name="Input 9 4 2 4 3" xfId="40435" xr:uid="{00000000-0005-0000-0000-0000229D0000}"/>
    <cellStyle name="Input 9 4 2 4 3 2" xfId="40436" xr:uid="{00000000-0005-0000-0000-0000239D0000}"/>
    <cellStyle name="Input 9 4 2 4 4" xfId="40437" xr:uid="{00000000-0005-0000-0000-0000249D0000}"/>
    <cellStyle name="Input 9 4 2 4 4 2" xfId="40438" xr:uid="{00000000-0005-0000-0000-0000259D0000}"/>
    <cellStyle name="Input 9 4 2 4 5" xfId="40439" xr:uid="{00000000-0005-0000-0000-0000269D0000}"/>
    <cellStyle name="Input 9 4 2 4 6" xfId="40440" xr:uid="{00000000-0005-0000-0000-0000279D0000}"/>
    <cellStyle name="Input 9 4 2 4 7" xfId="40441" xr:uid="{00000000-0005-0000-0000-0000289D0000}"/>
    <cellStyle name="Input 9 4 2 5" xfId="40442" xr:uid="{00000000-0005-0000-0000-0000299D0000}"/>
    <cellStyle name="Input 9 4 2 5 2" xfId="40443" xr:uid="{00000000-0005-0000-0000-00002A9D0000}"/>
    <cellStyle name="Input 9 4 2 5 2 2" xfId="40444" xr:uid="{00000000-0005-0000-0000-00002B9D0000}"/>
    <cellStyle name="Input 9 4 2 5 3" xfId="40445" xr:uid="{00000000-0005-0000-0000-00002C9D0000}"/>
    <cellStyle name="Input 9 4 2 5 3 2" xfId="40446" xr:uid="{00000000-0005-0000-0000-00002D9D0000}"/>
    <cellStyle name="Input 9 4 2 5 4" xfId="40447" xr:uid="{00000000-0005-0000-0000-00002E9D0000}"/>
    <cellStyle name="Input 9 4 2 5 5" xfId="40448" xr:uid="{00000000-0005-0000-0000-00002F9D0000}"/>
    <cellStyle name="Input 9 4 2 5 6" xfId="40449" xr:uid="{00000000-0005-0000-0000-0000309D0000}"/>
    <cellStyle name="Input 9 4 2 6" xfId="40450" xr:uid="{00000000-0005-0000-0000-0000319D0000}"/>
    <cellStyle name="Input 9 4 2 6 2" xfId="40451" xr:uid="{00000000-0005-0000-0000-0000329D0000}"/>
    <cellStyle name="Input 9 4 2 7" xfId="40452" xr:uid="{00000000-0005-0000-0000-0000339D0000}"/>
    <cellStyle name="Input 9 4 2 7 2" xfId="40453" xr:uid="{00000000-0005-0000-0000-0000349D0000}"/>
    <cellStyle name="Input 9 4 2 8" xfId="40454" xr:uid="{00000000-0005-0000-0000-0000359D0000}"/>
    <cellStyle name="Input 9 4 2 9" xfId="40455" xr:uid="{00000000-0005-0000-0000-0000369D0000}"/>
    <cellStyle name="Input 9 4 3" xfId="40456" xr:uid="{00000000-0005-0000-0000-0000379D0000}"/>
    <cellStyle name="Input 9 4 3 2" xfId="40457" xr:uid="{00000000-0005-0000-0000-0000389D0000}"/>
    <cellStyle name="Input 9 4 3 2 2" xfId="40458" xr:uid="{00000000-0005-0000-0000-0000399D0000}"/>
    <cellStyle name="Input 9 4 3 2 2 2" xfId="40459" xr:uid="{00000000-0005-0000-0000-00003A9D0000}"/>
    <cellStyle name="Input 9 4 3 2 2 2 2" xfId="40460" xr:uid="{00000000-0005-0000-0000-00003B9D0000}"/>
    <cellStyle name="Input 9 4 3 2 2 3" xfId="40461" xr:uid="{00000000-0005-0000-0000-00003C9D0000}"/>
    <cellStyle name="Input 9 4 3 2 2 3 2" xfId="40462" xr:uid="{00000000-0005-0000-0000-00003D9D0000}"/>
    <cellStyle name="Input 9 4 3 2 2 4" xfId="40463" xr:uid="{00000000-0005-0000-0000-00003E9D0000}"/>
    <cellStyle name="Input 9 4 3 2 2 5" xfId="40464" xr:uid="{00000000-0005-0000-0000-00003F9D0000}"/>
    <cellStyle name="Input 9 4 3 2 2 6" xfId="40465" xr:uid="{00000000-0005-0000-0000-0000409D0000}"/>
    <cellStyle name="Input 9 4 3 2 3" xfId="40466" xr:uid="{00000000-0005-0000-0000-0000419D0000}"/>
    <cellStyle name="Input 9 4 3 2 3 2" xfId="40467" xr:uid="{00000000-0005-0000-0000-0000429D0000}"/>
    <cellStyle name="Input 9 4 3 2 4" xfId="40468" xr:uid="{00000000-0005-0000-0000-0000439D0000}"/>
    <cellStyle name="Input 9 4 3 2 4 2" xfId="40469" xr:uid="{00000000-0005-0000-0000-0000449D0000}"/>
    <cellStyle name="Input 9 4 3 2 5" xfId="40470" xr:uid="{00000000-0005-0000-0000-0000459D0000}"/>
    <cellStyle name="Input 9 4 3 2 6" xfId="40471" xr:uid="{00000000-0005-0000-0000-0000469D0000}"/>
    <cellStyle name="Input 9 4 3 2 7" xfId="40472" xr:uid="{00000000-0005-0000-0000-0000479D0000}"/>
    <cellStyle name="Input 9 4 3 3" xfId="40473" xr:uid="{00000000-0005-0000-0000-0000489D0000}"/>
    <cellStyle name="Input 9 4 3 3 2" xfId="40474" xr:uid="{00000000-0005-0000-0000-0000499D0000}"/>
    <cellStyle name="Input 9 4 3 3 2 2" xfId="40475" xr:uid="{00000000-0005-0000-0000-00004A9D0000}"/>
    <cellStyle name="Input 9 4 3 3 3" xfId="40476" xr:uid="{00000000-0005-0000-0000-00004B9D0000}"/>
    <cellStyle name="Input 9 4 3 3 3 2" xfId="40477" xr:uid="{00000000-0005-0000-0000-00004C9D0000}"/>
    <cellStyle name="Input 9 4 3 3 4" xfId="40478" xr:uid="{00000000-0005-0000-0000-00004D9D0000}"/>
    <cellStyle name="Input 9 4 3 3 5" xfId="40479" xr:uid="{00000000-0005-0000-0000-00004E9D0000}"/>
    <cellStyle name="Input 9 4 3 3 6" xfId="40480" xr:uid="{00000000-0005-0000-0000-00004F9D0000}"/>
    <cellStyle name="Input 9 4 3 4" xfId="40481" xr:uid="{00000000-0005-0000-0000-0000509D0000}"/>
    <cellStyle name="Input 9 4 3 4 2" xfId="40482" xr:uid="{00000000-0005-0000-0000-0000519D0000}"/>
    <cellStyle name="Input 9 4 3 5" xfId="40483" xr:uid="{00000000-0005-0000-0000-0000529D0000}"/>
    <cellStyle name="Input 9 4 3 5 2" xfId="40484" xr:uid="{00000000-0005-0000-0000-0000539D0000}"/>
    <cellStyle name="Input 9 4 3 6" xfId="40485" xr:uid="{00000000-0005-0000-0000-0000549D0000}"/>
    <cellStyle name="Input 9 4 3 7" xfId="40486" xr:uid="{00000000-0005-0000-0000-0000559D0000}"/>
    <cellStyle name="Input 9 4 3 8" xfId="40487" xr:uid="{00000000-0005-0000-0000-0000569D0000}"/>
    <cellStyle name="Input 9 4 4" xfId="40488" xr:uid="{00000000-0005-0000-0000-0000579D0000}"/>
    <cellStyle name="Input 9 4 4 2" xfId="40489" xr:uid="{00000000-0005-0000-0000-0000589D0000}"/>
    <cellStyle name="Input 9 4 4 2 2" xfId="40490" xr:uid="{00000000-0005-0000-0000-0000599D0000}"/>
    <cellStyle name="Input 9 4 4 2 2 2" xfId="40491" xr:uid="{00000000-0005-0000-0000-00005A9D0000}"/>
    <cellStyle name="Input 9 4 4 2 2 2 2" xfId="40492" xr:uid="{00000000-0005-0000-0000-00005B9D0000}"/>
    <cellStyle name="Input 9 4 4 2 2 3" xfId="40493" xr:uid="{00000000-0005-0000-0000-00005C9D0000}"/>
    <cellStyle name="Input 9 4 4 2 2 3 2" xfId="40494" xr:uid="{00000000-0005-0000-0000-00005D9D0000}"/>
    <cellStyle name="Input 9 4 4 2 2 4" xfId="40495" xr:uid="{00000000-0005-0000-0000-00005E9D0000}"/>
    <cellStyle name="Input 9 4 4 2 2 5" xfId="40496" xr:uid="{00000000-0005-0000-0000-00005F9D0000}"/>
    <cellStyle name="Input 9 4 4 2 2 6" xfId="40497" xr:uid="{00000000-0005-0000-0000-0000609D0000}"/>
    <cellStyle name="Input 9 4 4 2 3" xfId="40498" xr:uid="{00000000-0005-0000-0000-0000619D0000}"/>
    <cellStyle name="Input 9 4 4 2 3 2" xfId="40499" xr:uid="{00000000-0005-0000-0000-0000629D0000}"/>
    <cellStyle name="Input 9 4 4 2 4" xfId="40500" xr:uid="{00000000-0005-0000-0000-0000639D0000}"/>
    <cellStyle name="Input 9 4 4 2 4 2" xfId="40501" xr:uid="{00000000-0005-0000-0000-0000649D0000}"/>
    <cellStyle name="Input 9 4 4 2 5" xfId="40502" xr:uid="{00000000-0005-0000-0000-0000659D0000}"/>
    <cellStyle name="Input 9 4 4 2 6" xfId="40503" xr:uid="{00000000-0005-0000-0000-0000669D0000}"/>
    <cellStyle name="Input 9 4 4 2 7" xfId="40504" xr:uid="{00000000-0005-0000-0000-0000679D0000}"/>
    <cellStyle name="Input 9 4 4 3" xfId="40505" xr:uid="{00000000-0005-0000-0000-0000689D0000}"/>
    <cellStyle name="Input 9 4 4 3 2" xfId="40506" xr:uid="{00000000-0005-0000-0000-0000699D0000}"/>
    <cellStyle name="Input 9 4 4 3 2 2" xfId="40507" xr:uid="{00000000-0005-0000-0000-00006A9D0000}"/>
    <cellStyle name="Input 9 4 4 3 3" xfId="40508" xr:uid="{00000000-0005-0000-0000-00006B9D0000}"/>
    <cellStyle name="Input 9 4 4 3 3 2" xfId="40509" xr:uid="{00000000-0005-0000-0000-00006C9D0000}"/>
    <cellStyle name="Input 9 4 4 3 4" xfId="40510" xr:uid="{00000000-0005-0000-0000-00006D9D0000}"/>
    <cellStyle name="Input 9 4 4 3 5" xfId="40511" xr:uid="{00000000-0005-0000-0000-00006E9D0000}"/>
    <cellStyle name="Input 9 4 4 3 6" xfId="40512" xr:uid="{00000000-0005-0000-0000-00006F9D0000}"/>
    <cellStyle name="Input 9 4 4 4" xfId="40513" xr:uid="{00000000-0005-0000-0000-0000709D0000}"/>
    <cellStyle name="Input 9 4 4 4 2" xfId="40514" xr:uid="{00000000-0005-0000-0000-0000719D0000}"/>
    <cellStyle name="Input 9 4 4 5" xfId="40515" xr:uid="{00000000-0005-0000-0000-0000729D0000}"/>
    <cellStyle name="Input 9 4 4 5 2" xfId="40516" xr:uid="{00000000-0005-0000-0000-0000739D0000}"/>
    <cellStyle name="Input 9 4 4 6" xfId="40517" xr:uid="{00000000-0005-0000-0000-0000749D0000}"/>
    <cellStyle name="Input 9 4 4 7" xfId="40518" xr:uid="{00000000-0005-0000-0000-0000759D0000}"/>
    <cellStyle name="Input 9 4 4 8" xfId="40519" xr:uid="{00000000-0005-0000-0000-0000769D0000}"/>
    <cellStyle name="Input 9 4 5" xfId="40520" xr:uid="{00000000-0005-0000-0000-0000779D0000}"/>
    <cellStyle name="Input 9 4 5 2" xfId="40521" xr:uid="{00000000-0005-0000-0000-0000789D0000}"/>
    <cellStyle name="Input 9 4 5 2 2" xfId="40522" xr:uid="{00000000-0005-0000-0000-0000799D0000}"/>
    <cellStyle name="Input 9 4 5 2 2 2" xfId="40523" xr:uid="{00000000-0005-0000-0000-00007A9D0000}"/>
    <cellStyle name="Input 9 4 5 2 3" xfId="40524" xr:uid="{00000000-0005-0000-0000-00007B9D0000}"/>
    <cellStyle name="Input 9 4 5 2 3 2" xfId="40525" xr:uid="{00000000-0005-0000-0000-00007C9D0000}"/>
    <cellStyle name="Input 9 4 5 2 4" xfId="40526" xr:uid="{00000000-0005-0000-0000-00007D9D0000}"/>
    <cellStyle name="Input 9 4 5 2 5" xfId="40527" xr:uid="{00000000-0005-0000-0000-00007E9D0000}"/>
    <cellStyle name="Input 9 4 5 2 6" xfId="40528" xr:uid="{00000000-0005-0000-0000-00007F9D0000}"/>
    <cellStyle name="Input 9 4 5 3" xfId="40529" xr:uid="{00000000-0005-0000-0000-0000809D0000}"/>
    <cellStyle name="Input 9 4 5 3 2" xfId="40530" xr:uid="{00000000-0005-0000-0000-0000819D0000}"/>
    <cellStyle name="Input 9 4 5 4" xfId="40531" xr:uid="{00000000-0005-0000-0000-0000829D0000}"/>
    <cellStyle name="Input 9 4 5 4 2" xfId="40532" xr:uid="{00000000-0005-0000-0000-0000839D0000}"/>
    <cellStyle name="Input 9 4 5 5" xfId="40533" xr:uid="{00000000-0005-0000-0000-0000849D0000}"/>
    <cellStyle name="Input 9 4 5 6" xfId="40534" xr:uid="{00000000-0005-0000-0000-0000859D0000}"/>
    <cellStyle name="Input 9 4 5 7" xfId="40535" xr:uid="{00000000-0005-0000-0000-0000869D0000}"/>
    <cellStyle name="Input 9 4 6" xfId="40536" xr:uid="{00000000-0005-0000-0000-0000879D0000}"/>
    <cellStyle name="Input 9 4 6 2" xfId="40537" xr:uid="{00000000-0005-0000-0000-0000889D0000}"/>
    <cellStyle name="Input 9 4 6 2 2" xfId="40538" xr:uid="{00000000-0005-0000-0000-0000899D0000}"/>
    <cellStyle name="Input 9 4 6 3" xfId="40539" xr:uid="{00000000-0005-0000-0000-00008A9D0000}"/>
    <cellStyle name="Input 9 4 6 3 2" xfId="40540" xr:uid="{00000000-0005-0000-0000-00008B9D0000}"/>
    <cellStyle name="Input 9 4 6 4" xfId="40541" xr:uid="{00000000-0005-0000-0000-00008C9D0000}"/>
    <cellStyle name="Input 9 4 6 5" xfId="40542" xr:uid="{00000000-0005-0000-0000-00008D9D0000}"/>
    <cellStyle name="Input 9 4 6 6" xfId="40543" xr:uid="{00000000-0005-0000-0000-00008E9D0000}"/>
    <cellStyle name="Input 9 4 7" xfId="40544" xr:uid="{00000000-0005-0000-0000-00008F9D0000}"/>
    <cellStyle name="Input 9 4 7 2" xfId="40545" xr:uid="{00000000-0005-0000-0000-0000909D0000}"/>
    <cellStyle name="Input 9 4 8" xfId="40546" xr:uid="{00000000-0005-0000-0000-0000919D0000}"/>
    <cellStyle name="Input 9 4 8 2" xfId="40547" xr:uid="{00000000-0005-0000-0000-0000929D0000}"/>
    <cellStyle name="Input 9 4 9" xfId="40548" xr:uid="{00000000-0005-0000-0000-0000939D0000}"/>
    <cellStyle name="Input 9 5" xfId="40549" xr:uid="{00000000-0005-0000-0000-0000949D0000}"/>
    <cellStyle name="Input 9 5 10" xfId="40550" xr:uid="{00000000-0005-0000-0000-0000959D0000}"/>
    <cellStyle name="Input 9 5 2" xfId="40551" xr:uid="{00000000-0005-0000-0000-0000969D0000}"/>
    <cellStyle name="Input 9 5 2 2" xfId="40552" xr:uid="{00000000-0005-0000-0000-0000979D0000}"/>
    <cellStyle name="Input 9 5 2 2 2" xfId="40553" xr:uid="{00000000-0005-0000-0000-0000989D0000}"/>
    <cellStyle name="Input 9 5 2 2 2 2" xfId="40554" xr:uid="{00000000-0005-0000-0000-0000999D0000}"/>
    <cellStyle name="Input 9 5 2 2 2 2 2" xfId="40555" xr:uid="{00000000-0005-0000-0000-00009A9D0000}"/>
    <cellStyle name="Input 9 5 2 2 2 3" xfId="40556" xr:uid="{00000000-0005-0000-0000-00009B9D0000}"/>
    <cellStyle name="Input 9 5 2 2 2 3 2" xfId="40557" xr:uid="{00000000-0005-0000-0000-00009C9D0000}"/>
    <cellStyle name="Input 9 5 2 2 2 4" xfId="40558" xr:uid="{00000000-0005-0000-0000-00009D9D0000}"/>
    <cellStyle name="Input 9 5 2 2 2 5" xfId="40559" xr:uid="{00000000-0005-0000-0000-00009E9D0000}"/>
    <cellStyle name="Input 9 5 2 2 2 6" xfId="40560" xr:uid="{00000000-0005-0000-0000-00009F9D0000}"/>
    <cellStyle name="Input 9 5 2 2 3" xfId="40561" xr:uid="{00000000-0005-0000-0000-0000A09D0000}"/>
    <cellStyle name="Input 9 5 2 2 3 2" xfId="40562" xr:uid="{00000000-0005-0000-0000-0000A19D0000}"/>
    <cellStyle name="Input 9 5 2 2 4" xfId="40563" xr:uid="{00000000-0005-0000-0000-0000A29D0000}"/>
    <cellStyle name="Input 9 5 2 2 4 2" xfId="40564" xr:uid="{00000000-0005-0000-0000-0000A39D0000}"/>
    <cellStyle name="Input 9 5 2 2 5" xfId="40565" xr:uid="{00000000-0005-0000-0000-0000A49D0000}"/>
    <cellStyle name="Input 9 5 2 2 6" xfId="40566" xr:uid="{00000000-0005-0000-0000-0000A59D0000}"/>
    <cellStyle name="Input 9 5 2 2 7" xfId="40567" xr:uid="{00000000-0005-0000-0000-0000A69D0000}"/>
    <cellStyle name="Input 9 5 2 3" xfId="40568" xr:uid="{00000000-0005-0000-0000-0000A79D0000}"/>
    <cellStyle name="Input 9 5 2 3 2" xfId="40569" xr:uid="{00000000-0005-0000-0000-0000A89D0000}"/>
    <cellStyle name="Input 9 5 2 3 2 2" xfId="40570" xr:uid="{00000000-0005-0000-0000-0000A99D0000}"/>
    <cellStyle name="Input 9 5 2 3 3" xfId="40571" xr:uid="{00000000-0005-0000-0000-0000AA9D0000}"/>
    <cellStyle name="Input 9 5 2 3 3 2" xfId="40572" xr:uid="{00000000-0005-0000-0000-0000AB9D0000}"/>
    <cellStyle name="Input 9 5 2 3 4" xfId="40573" xr:uid="{00000000-0005-0000-0000-0000AC9D0000}"/>
    <cellStyle name="Input 9 5 2 3 5" xfId="40574" xr:uid="{00000000-0005-0000-0000-0000AD9D0000}"/>
    <cellStyle name="Input 9 5 2 3 6" xfId="40575" xr:uid="{00000000-0005-0000-0000-0000AE9D0000}"/>
    <cellStyle name="Input 9 5 2 4" xfId="40576" xr:uid="{00000000-0005-0000-0000-0000AF9D0000}"/>
    <cellStyle name="Input 9 5 2 4 2" xfId="40577" xr:uid="{00000000-0005-0000-0000-0000B09D0000}"/>
    <cellStyle name="Input 9 5 2 5" xfId="40578" xr:uid="{00000000-0005-0000-0000-0000B19D0000}"/>
    <cellStyle name="Input 9 5 2 5 2" xfId="40579" xr:uid="{00000000-0005-0000-0000-0000B29D0000}"/>
    <cellStyle name="Input 9 5 2 6" xfId="40580" xr:uid="{00000000-0005-0000-0000-0000B39D0000}"/>
    <cellStyle name="Input 9 5 2 7" xfId="40581" xr:uid="{00000000-0005-0000-0000-0000B49D0000}"/>
    <cellStyle name="Input 9 5 2 8" xfId="40582" xr:uid="{00000000-0005-0000-0000-0000B59D0000}"/>
    <cellStyle name="Input 9 5 3" xfId="40583" xr:uid="{00000000-0005-0000-0000-0000B69D0000}"/>
    <cellStyle name="Input 9 5 3 2" xfId="40584" xr:uid="{00000000-0005-0000-0000-0000B79D0000}"/>
    <cellStyle name="Input 9 5 3 2 2" xfId="40585" xr:uid="{00000000-0005-0000-0000-0000B89D0000}"/>
    <cellStyle name="Input 9 5 3 2 2 2" xfId="40586" xr:uid="{00000000-0005-0000-0000-0000B99D0000}"/>
    <cellStyle name="Input 9 5 3 2 2 2 2" xfId="40587" xr:uid="{00000000-0005-0000-0000-0000BA9D0000}"/>
    <cellStyle name="Input 9 5 3 2 2 3" xfId="40588" xr:uid="{00000000-0005-0000-0000-0000BB9D0000}"/>
    <cellStyle name="Input 9 5 3 2 2 3 2" xfId="40589" xr:uid="{00000000-0005-0000-0000-0000BC9D0000}"/>
    <cellStyle name="Input 9 5 3 2 2 4" xfId="40590" xr:uid="{00000000-0005-0000-0000-0000BD9D0000}"/>
    <cellStyle name="Input 9 5 3 2 2 5" xfId="40591" xr:uid="{00000000-0005-0000-0000-0000BE9D0000}"/>
    <cellStyle name="Input 9 5 3 2 2 6" xfId="40592" xr:uid="{00000000-0005-0000-0000-0000BF9D0000}"/>
    <cellStyle name="Input 9 5 3 2 3" xfId="40593" xr:uid="{00000000-0005-0000-0000-0000C09D0000}"/>
    <cellStyle name="Input 9 5 3 2 3 2" xfId="40594" xr:uid="{00000000-0005-0000-0000-0000C19D0000}"/>
    <cellStyle name="Input 9 5 3 2 4" xfId="40595" xr:uid="{00000000-0005-0000-0000-0000C29D0000}"/>
    <cellStyle name="Input 9 5 3 2 4 2" xfId="40596" xr:uid="{00000000-0005-0000-0000-0000C39D0000}"/>
    <cellStyle name="Input 9 5 3 2 5" xfId="40597" xr:uid="{00000000-0005-0000-0000-0000C49D0000}"/>
    <cellStyle name="Input 9 5 3 2 6" xfId="40598" xr:uid="{00000000-0005-0000-0000-0000C59D0000}"/>
    <cellStyle name="Input 9 5 3 2 7" xfId="40599" xr:uid="{00000000-0005-0000-0000-0000C69D0000}"/>
    <cellStyle name="Input 9 5 3 3" xfId="40600" xr:uid="{00000000-0005-0000-0000-0000C79D0000}"/>
    <cellStyle name="Input 9 5 3 3 2" xfId="40601" xr:uid="{00000000-0005-0000-0000-0000C89D0000}"/>
    <cellStyle name="Input 9 5 3 3 2 2" xfId="40602" xr:uid="{00000000-0005-0000-0000-0000C99D0000}"/>
    <cellStyle name="Input 9 5 3 3 3" xfId="40603" xr:uid="{00000000-0005-0000-0000-0000CA9D0000}"/>
    <cellStyle name="Input 9 5 3 3 3 2" xfId="40604" xr:uid="{00000000-0005-0000-0000-0000CB9D0000}"/>
    <cellStyle name="Input 9 5 3 3 4" xfId="40605" xr:uid="{00000000-0005-0000-0000-0000CC9D0000}"/>
    <cellStyle name="Input 9 5 3 3 5" xfId="40606" xr:uid="{00000000-0005-0000-0000-0000CD9D0000}"/>
    <cellStyle name="Input 9 5 3 3 6" xfId="40607" xr:uid="{00000000-0005-0000-0000-0000CE9D0000}"/>
    <cellStyle name="Input 9 5 3 4" xfId="40608" xr:uid="{00000000-0005-0000-0000-0000CF9D0000}"/>
    <cellStyle name="Input 9 5 3 4 2" xfId="40609" xr:uid="{00000000-0005-0000-0000-0000D09D0000}"/>
    <cellStyle name="Input 9 5 3 5" xfId="40610" xr:uid="{00000000-0005-0000-0000-0000D19D0000}"/>
    <cellStyle name="Input 9 5 3 5 2" xfId="40611" xr:uid="{00000000-0005-0000-0000-0000D29D0000}"/>
    <cellStyle name="Input 9 5 3 6" xfId="40612" xr:uid="{00000000-0005-0000-0000-0000D39D0000}"/>
    <cellStyle name="Input 9 5 3 7" xfId="40613" xr:uid="{00000000-0005-0000-0000-0000D49D0000}"/>
    <cellStyle name="Input 9 5 3 8" xfId="40614" xr:uid="{00000000-0005-0000-0000-0000D59D0000}"/>
    <cellStyle name="Input 9 5 4" xfId="40615" xr:uid="{00000000-0005-0000-0000-0000D69D0000}"/>
    <cellStyle name="Input 9 5 4 2" xfId="40616" xr:uid="{00000000-0005-0000-0000-0000D79D0000}"/>
    <cellStyle name="Input 9 5 4 2 2" xfId="40617" xr:uid="{00000000-0005-0000-0000-0000D89D0000}"/>
    <cellStyle name="Input 9 5 4 2 2 2" xfId="40618" xr:uid="{00000000-0005-0000-0000-0000D99D0000}"/>
    <cellStyle name="Input 9 5 4 2 3" xfId="40619" xr:uid="{00000000-0005-0000-0000-0000DA9D0000}"/>
    <cellStyle name="Input 9 5 4 2 3 2" xfId="40620" xr:uid="{00000000-0005-0000-0000-0000DB9D0000}"/>
    <cellStyle name="Input 9 5 4 2 4" xfId="40621" xr:uid="{00000000-0005-0000-0000-0000DC9D0000}"/>
    <cellStyle name="Input 9 5 4 2 5" xfId="40622" xr:uid="{00000000-0005-0000-0000-0000DD9D0000}"/>
    <cellStyle name="Input 9 5 4 2 6" xfId="40623" xr:uid="{00000000-0005-0000-0000-0000DE9D0000}"/>
    <cellStyle name="Input 9 5 4 3" xfId="40624" xr:uid="{00000000-0005-0000-0000-0000DF9D0000}"/>
    <cellStyle name="Input 9 5 4 3 2" xfId="40625" xr:uid="{00000000-0005-0000-0000-0000E09D0000}"/>
    <cellStyle name="Input 9 5 4 4" xfId="40626" xr:uid="{00000000-0005-0000-0000-0000E19D0000}"/>
    <cellStyle name="Input 9 5 4 4 2" xfId="40627" xr:uid="{00000000-0005-0000-0000-0000E29D0000}"/>
    <cellStyle name="Input 9 5 4 5" xfId="40628" xr:uid="{00000000-0005-0000-0000-0000E39D0000}"/>
    <cellStyle name="Input 9 5 4 6" xfId="40629" xr:uid="{00000000-0005-0000-0000-0000E49D0000}"/>
    <cellStyle name="Input 9 5 4 7" xfId="40630" xr:uid="{00000000-0005-0000-0000-0000E59D0000}"/>
    <cellStyle name="Input 9 5 5" xfId="40631" xr:uid="{00000000-0005-0000-0000-0000E69D0000}"/>
    <cellStyle name="Input 9 5 5 2" xfId="40632" xr:uid="{00000000-0005-0000-0000-0000E79D0000}"/>
    <cellStyle name="Input 9 5 5 2 2" xfId="40633" xr:uid="{00000000-0005-0000-0000-0000E89D0000}"/>
    <cellStyle name="Input 9 5 5 3" xfId="40634" xr:uid="{00000000-0005-0000-0000-0000E99D0000}"/>
    <cellStyle name="Input 9 5 5 3 2" xfId="40635" xr:uid="{00000000-0005-0000-0000-0000EA9D0000}"/>
    <cellStyle name="Input 9 5 5 4" xfId="40636" xr:uid="{00000000-0005-0000-0000-0000EB9D0000}"/>
    <cellStyle name="Input 9 5 5 5" xfId="40637" xr:uid="{00000000-0005-0000-0000-0000EC9D0000}"/>
    <cellStyle name="Input 9 5 5 6" xfId="40638" xr:uid="{00000000-0005-0000-0000-0000ED9D0000}"/>
    <cellStyle name="Input 9 5 6" xfId="40639" xr:uid="{00000000-0005-0000-0000-0000EE9D0000}"/>
    <cellStyle name="Input 9 5 6 2" xfId="40640" xr:uid="{00000000-0005-0000-0000-0000EF9D0000}"/>
    <cellStyle name="Input 9 5 7" xfId="40641" xr:uid="{00000000-0005-0000-0000-0000F09D0000}"/>
    <cellStyle name="Input 9 5 7 2" xfId="40642" xr:uid="{00000000-0005-0000-0000-0000F19D0000}"/>
    <cellStyle name="Input 9 5 8" xfId="40643" xr:uid="{00000000-0005-0000-0000-0000F29D0000}"/>
    <cellStyle name="Input 9 5 9" xfId="40644" xr:uid="{00000000-0005-0000-0000-0000F39D0000}"/>
    <cellStyle name="Input 9 6" xfId="40645" xr:uid="{00000000-0005-0000-0000-0000F49D0000}"/>
    <cellStyle name="Input 9 6 2" xfId="40646" xr:uid="{00000000-0005-0000-0000-0000F59D0000}"/>
    <cellStyle name="Input 9 6 2 2" xfId="40647" xr:uid="{00000000-0005-0000-0000-0000F69D0000}"/>
    <cellStyle name="Input 9 6 2 2 2" xfId="40648" xr:uid="{00000000-0005-0000-0000-0000F79D0000}"/>
    <cellStyle name="Input 9 6 2 2 2 2" xfId="40649" xr:uid="{00000000-0005-0000-0000-0000F89D0000}"/>
    <cellStyle name="Input 9 6 2 2 3" xfId="40650" xr:uid="{00000000-0005-0000-0000-0000F99D0000}"/>
    <cellStyle name="Input 9 6 2 2 3 2" xfId="40651" xr:uid="{00000000-0005-0000-0000-0000FA9D0000}"/>
    <cellStyle name="Input 9 6 2 2 4" xfId="40652" xr:uid="{00000000-0005-0000-0000-0000FB9D0000}"/>
    <cellStyle name="Input 9 6 2 2 5" xfId="40653" xr:uid="{00000000-0005-0000-0000-0000FC9D0000}"/>
    <cellStyle name="Input 9 6 2 2 6" xfId="40654" xr:uid="{00000000-0005-0000-0000-0000FD9D0000}"/>
    <cellStyle name="Input 9 6 2 3" xfId="40655" xr:uid="{00000000-0005-0000-0000-0000FE9D0000}"/>
    <cellStyle name="Input 9 6 2 3 2" xfId="40656" xr:uid="{00000000-0005-0000-0000-0000FF9D0000}"/>
    <cellStyle name="Input 9 6 2 4" xfId="40657" xr:uid="{00000000-0005-0000-0000-0000009E0000}"/>
    <cellStyle name="Input 9 6 2 4 2" xfId="40658" xr:uid="{00000000-0005-0000-0000-0000019E0000}"/>
    <cellStyle name="Input 9 6 2 5" xfId="40659" xr:uid="{00000000-0005-0000-0000-0000029E0000}"/>
    <cellStyle name="Input 9 6 2 6" xfId="40660" xr:uid="{00000000-0005-0000-0000-0000039E0000}"/>
    <cellStyle name="Input 9 6 2 7" xfId="40661" xr:uid="{00000000-0005-0000-0000-0000049E0000}"/>
    <cellStyle name="Input 9 6 3" xfId="40662" xr:uid="{00000000-0005-0000-0000-0000059E0000}"/>
    <cellStyle name="Input 9 6 3 2" xfId="40663" xr:uid="{00000000-0005-0000-0000-0000069E0000}"/>
    <cellStyle name="Input 9 6 3 2 2" xfId="40664" xr:uid="{00000000-0005-0000-0000-0000079E0000}"/>
    <cellStyle name="Input 9 6 3 3" xfId="40665" xr:uid="{00000000-0005-0000-0000-0000089E0000}"/>
    <cellStyle name="Input 9 6 3 3 2" xfId="40666" xr:uid="{00000000-0005-0000-0000-0000099E0000}"/>
    <cellStyle name="Input 9 6 3 4" xfId="40667" xr:uid="{00000000-0005-0000-0000-00000A9E0000}"/>
    <cellStyle name="Input 9 6 3 5" xfId="40668" xr:uid="{00000000-0005-0000-0000-00000B9E0000}"/>
    <cellStyle name="Input 9 6 3 6" xfId="40669" xr:uid="{00000000-0005-0000-0000-00000C9E0000}"/>
    <cellStyle name="Input 9 6 4" xfId="40670" xr:uid="{00000000-0005-0000-0000-00000D9E0000}"/>
    <cellStyle name="Input 9 6 4 2" xfId="40671" xr:uid="{00000000-0005-0000-0000-00000E9E0000}"/>
    <cellStyle name="Input 9 6 5" xfId="40672" xr:uid="{00000000-0005-0000-0000-00000F9E0000}"/>
    <cellStyle name="Input 9 6 5 2" xfId="40673" xr:uid="{00000000-0005-0000-0000-0000109E0000}"/>
    <cellStyle name="Input 9 6 6" xfId="40674" xr:uid="{00000000-0005-0000-0000-0000119E0000}"/>
    <cellStyle name="Input 9 6 7" xfId="40675" xr:uid="{00000000-0005-0000-0000-0000129E0000}"/>
    <cellStyle name="Input 9 6 8" xfId="40676" xr:uid="{00000000-0005-0000-0000-0000139E0000}"/>
    <cellStyle name="Input 9 7" xfId="40677" xr:uid="{00000000-0005-0000-0000-0000149E0000}"/>
    <cellStyle name="Input 9 7 2" xfId="40678" xr:uid="{00000000-0005-0000-0000-0000159E0000}"/>
    <cellStyle name="Input 9 7 2 2" xfId="40679" xr:uid="{00000000-0005-0000-0000-0000169E0000}"/>
    <cellStyle name="Input 9 7 2 2 2" xfId="40680" xr:uid="{00000000-0005-0000-0000-0000179E0000}"/>
    <cellStyle name="Input 9 7 2 3" xfId="40681" xr:uid="{00000000-0005-0000-0000-0000189E0000}"/>
    <cellStyle name="Input 9 7 2 3 2" xfId="40682" xr:uid="{00000000-0005-0000-0000-0000199E0000}"/>
    <cellStyle name="Input 9 7 2 4" xfId="40683" xr:uid="{00000000-0005-0000-0000-00001A9E0000}"/>
    <cellStyle name="Input 9 7 2 5" xfId="40684" xr:uid="{00000000-0005-0000-0000-00001B9E0000}"/>
    <cellStyle name="Input 9 7 2 6" xfId="40685" xr:uid="{00000000-0005-0000-0000-00001C9E0000}"/>
    <cellStyle name="Input 9 7 3" xfId="40686" xr:uid="{00000000-0005-0000-0000-00001D9E0000}"/>
    <cellStyle name="Input 9 7 3 2" xfId="40687" xr:uid="{00000000-0005-0000-0000-00001E9E0000}"/>
    <cellStyle name="Input 9 7 4" xfId="40688" xr:uid="{00000000-0005-0000-0000-00001F9E0000}"/>
    <cellStyle name="Input 9 7 4 2" xfId="40689" xr:uid="{00000000-0005-0000-0000-0000209E0000}"/>
    <cellStyle name="Input 9 7 5" xfId="40690" xr:uid="{00000000-0005-0000-0000-0000219E0000}"/>
    <cellStyle name="Input 9 7 6" xfId="40691" xr:uid="{00000000-0005-0000-0000-0000229E0000}"/>
    <cellStyle name="Input 9 7 7" xfId="40692" xr:uid="{00000000-0005-0000-0000-0000239E0000}"/>
    <cellStyle name="Input 9 8" xfId="40693" xr:uid="{00000000-0005-0000-0000-0000249E0000}"/>
    <cellStyle name="Input 9 8 2" xfId="40694" xr:uid="{00000000-0005-0000-0000-0000259E0000}"/>
    <cellStyle name="Input 9 9" xfId="40695" xr:uid="{00000000-0005-0000-0000-0000269E0000}"/>
    <cellStyle name="Input 9 9 2" xfId="40696" xr:uid="{00000000-0005-0000-0000-0000279E0000}"/>
    <cellStyle name="Input_05-Z01-SHH Desuperheater" xfId="40697" xr:uid="{00000000-0005-0000-0000-0000289E0000}"/>
    <cellStyle name="Linked Cell" xfId="40698" xr:uid="{00000000-0005-0000-0000-0000299E0000}"/>
    <cellStyle name="Linked Cell 2" xfId="40699" xr:uid="{00000000-0005-0000-0000-00002A9E0000}"/>
    <cellStyle name="Linked Cell 2 2" xfId="40700" xr:uid="{00000000-0005-0000-0000-00002B9E0000}"/>
    <cellStyle name="Linked Cell 2 3" xfId="40701" xr:uid="{00000000-0005-0000-0000-00002C9E0000}"/>
    <cellStyle name="Linked Cell 2 4" xfId="40702" xr:uid="{00000000-0005-0000-0000-00002D9E0000}"/>
    <cellStyle name="Linked Cell 2 5" xfId="40703" xr:uid="{00000000-0005-0000-0000-00002E9E0000}"/>
    <cellStyle name="Linked Cell 3" xfId="40704" xr:uid="{00000000-0005-0000-0000-00002F9E0000}"/>
    <cellStyle name="Linked Cell 4" xfId="40705" xr:uid="{00000000-0005-0000-0000-0000309E0000}"/>
    <cellStyle name="Linked Cell 5" xfId="40706" xr:uid="{00000000-0005-0000-0000-0000319E0000}"/>
    <cellStyle name="Linked Cell 6" xfId="40707" xr:uid="{00000000-0005-0000-0000-0000329E0000}"/>
    <cellStyle name="mhcha" xfId="40708" xr:uid="{00000000-0005-0000-0000-0000339E0000}"/>
    <cellStyle name="mhcha 2" xfId="40709" xr:uid="{00000000-0005-0000-0000-0000349E0000}"/>
    <cellStyle name="mhcha 3" xfId="40710" xr:uid="{00000000-0005-0000-0000-0000359E0000}"/>
    <cellStyle name="mhcha 4" xfId="40711" xr:uid="{00000000-0005-0000-0000-0000369E0000}"/>
    <cellStyle name="mhcha 5" xfId="40712" xr:uid="{00000000-0005-0000-0000-0000379E0000}"/>
    <cellStyle name="Migliaia (0)_alkila" xfId="40713" xr:uid="{00000000-0005-0000-0000-0000389E0000}"/>
    <cellStyle name="Migliaia_alkila" xfId="40714" xr:uid="{00000000-0005-0000-0000-0000399E0000}"/>
    <cellStyle name="Milliers [0]_Arabian Spec" xfId="40715" xr:uid="{00000000-0005-0000-0000-00003A9E0000}"/>
    <cellStyle name="Milliers_Arabian Spec" xfId="40716" xr:uid="{00000000-0005-0000-0000-00003B9E0000}"/>
    <cellStyle name="Model" xfId="40717" xr:uid="{00000000-0005-0000-0000-00003C9E0000}"/>
    <cellStyle name="Model 2" xfId="40718" xr:uid="{00000000-0005-0000-0000-00003D9E0000}"/>
    <cellStyle name="Model 2 2" xfId="40719" xr:uid="{00000000-0005-0000-0000-00003E9E0000}"/>
    <cellStyle name="Model 2 2 2" xfId="40720" xr:uid="{00000000-0005-0000-0000-00003F9E0000}"/>
    <cellStyle name="Model 2 3" xfId="40721" xr:uid="{00000000-0005-0000-0000-0000409E0000}"/>
    <cellStyle name="Model 2 4" xfId="40722" xr:uid="{00000000-0005-0000-0000-0000419E0000}"/>
    <cellStyle name="Model 2 5" xfId="40723" xr:uid="{00000000-0005-0000-0000-0000429E0000}"/>
    <cellStyle name="Model 3" xfId="40724" xr:uid="{00000000-0005-0000-0000-0000439E0000}"/>
    <cellStyle name="Model 3 2" xfId="40725" xr:uid="{00000000-0005-0000-0000-0000449E0000}"/>
    <cellStyle name="Model 4" xfId="40726" xr:uid="{00000000-0005-0000-0000-0000459E0000}"/>
    <cellStyle name="Model 5" xfId="40727" xr:uid="{00000000-0005-0000-0000-0000469E0000}"/>
    <cellStyle name="Model 6" xfId="40728" xr:uid="{00000000-0005-0000-0000-0000479E0000}"/>
    <cellStyle name="Moeda [0]_PLDT" xfId="92" xr:uid="{00000000-0005-0000-0000-0000489E0000}"/>
    <cellStyle name="Moeda_PLDT" xfId="93" xr:uid="{00000000-0005-0000-0000-0000499E0000}"/>
    <cellStyle name="Mon?aire [0]_Arabian Spec" xfId="40729" xr:uid="{00000000-0005-0000-0000-00004A9E0000}"/>
    <cellStyle name="Mon?aire_Arabian Spec" xfId="40730" xr:uid="{00000000-0005-0000-0000-00004B9E0000}"/>
    <cellStyle name="Neutral" xfId="40731" xr:uid="{00000000-0005-0000-0000-00004C9E0000}"/>
    <cellStyle name="Neutral 2" xfId="94" xr:uid="{00000000-0005-0000-0000-00004D9E0000}"/>
    <cellStyle name="Neutral 2 10" xfId="95" xr:uid="{00000000-0005-0000-0000-00004E9E0000}"/>
    <cellStyle name="Neutral 2 11" xfId="96" xr:uid="{00000000-0005-0000-0000-00004F9E0000}"/>
    <cellStyle name="Neutral 2 12" xfId="97" xr:uid="{00000000-0005-0000-0000-0000509E0000}"/>
    <cellStyle name="Neutral 2 13" xfId="98" xr:uid="{00000000-0005-0000-0000-0000519E0000}"/>
    <cellStyle name="Neutral 2 14" xfId="99" xr:uid="{00000000-0005-0000-0000-0000529E0000}"/>
    <cellStyle name="Neutral 2 15" xfId="100" xr:uid="{00000000-0005-0000-0000-0000539E0000}"/>
    <cellStyle name="Neutral 2 16" xfId="101" xr:uid="{00000000-0005-0000-0000-0000549E0000}"/>
    <cellStyle name="Neutral 2 17" xfId="102" xr:uid="{00000000-0005-0000-0000-0000559E0000}"/>
    <cellStyle name="Neutral 2 18" xfId="103" xr:uid="{00000000-0005-0000-0000-0000569E0000}"/>
    <cellStyle name="Neutral 2 19" xfId="104" xr:uid="{00000000-0005-0000-0000-0000579E0000}"/>
    <cellStyle name="Neutral 2 2" xfId="105" xr:uid="{00000000-0005-0000-0000-0000589E0000}"/>
    <cellStyle name="Neutral 2 20" xfId="106" xr:uid="{00000000-0005-0000-0000-0000599E0000}"/>
    <cellStyle name="Neutral 2 21" xfId="300" xr:uid="{00000000-0005-0000-0000-00005A9E0000}"/>
    <cellStyle name="Neutral 2 22" xfId="40732" xr:uid="{00000000-0005-0000-0000-00005B9E0000}"/>
    <cellStyle name="Neutral 2 23" xfId="40733" xr:uid="{00000000-0005-0000-0000-00005C9E0000}"/>
    <cellStyle name="Neutral 2 24" xfId="40734" xr:uid="{00000000-0005-0000-0000-00005D9E0000}"/>
    <cellStyle name="Neutral 2 25" xfId="40735" xr:uid="{00000000-0005-0000-0000-00005E9E0000}"/>
    <cellStyle name="Neutral 2 26" xfId="40736" xr:uid="{00000000-0005-0000-0000-00005F9E0000}"/>
    <cellStyle name="Neutral 2 3" xfId="107" xr:uid="{00000000-0005-0000-0000-0000609E0000}"/>
    <cellStyle name="Neutral 2 4" xfId="108" xr:uid="{00000000-0005-0000-0000-0000619E0000}"/>
    <cellStyle name="Neutral 2 5" xfId="109" xr:uid="{00000000-0005-0000-0000-0000629E0000}"/>
    <cellStyle name="Neutral 2 6" xfId="110" xr:uid="{00000000-0005-0000-0000-0000639E0000}"/>
    <cellStyle name="Neutral 2 7" xfId="111" xr:uid="{00000000-0005-0000-0000-0000649E0000}"/>
    <cellStyle name="Neutral 2 8" xfId="112" xr:uid="{00000000-0005-0000-0000-0000659E0000}"/>
    <cellStyle name="Neutral 2 9" xfId="113" xr:uid="{00000000-0005-0000-0000-0000669E0000}"/>
    <cellStyle name="Neutral 3" xfId="40737" xr:uid="{00000000-0005-0000-0000-0000679E0000}"/>
    <cellStyle name="Neutral 4" xfId="40738" xr:uid="{00000000-0005-0000-0000-0000689E0000}"/>
    <cellStyle name="Neutral 5" xfId="40739" xr:uid="{00000000-0005-0000-0000-0000699E0000}"/>
    <cellStyle name="Neutral 6" xfId="40740" xr:uid="{00000000-0005-0000-0000-00006A9E0000}"/>
    <cellStyle name="no dec" xfId="40741" xr:uid="{00000000-0005-0000-0000-00006B9E0000}"/>
    <cellStyle name="no dec 2" xfId="40742" xr:uid="{00000000-0005-0000-0000-00006C9E0000}"/>
    <cellStyle name="no dec 3" xfId="40743" xr:uid="{00000000-0005-0000-0000-00006D9E0000}"/>
    <cellStyle name="no dec 4" xfId="40744" xr:uid="{00000000-0005-0000-0000-00006E9E0000}"/>
    <cellStyle name="no dec 5" xfId="40745" xr:uid="{00000000-0005-0000-0000-00006F9E0000}"/>
    <cellStyle name="Normal - Style1" xfId="114" xr:uid="{00000000-0005-0000-0000-0000709E0000}"/>
    <cellStyle name="Normal - Style1 2" xfId="115" xr:uid="{00000000-0005-0000-0000-0000719E0000}"/>
    <cellStyle name="Normal - Style1 3" xfId="116" xr:uid="{00000000-0005-0000-0000-0000729E0000}"/>
    <cellStyle name="Normal - Style1 4" xfId="40746" xr:uid="{00000000-0005-0000-0000-0000739E0000}"/>
    <cellStyle name="Normal - Style1 5" xfId="40747" xr:uid="{00000000-0005-0000-0000-0000749E0000}"/>
    <cellStyle name="Normal - Style1 6" xfId="40748" xr:uid="{00000000-0005-0000-0000-0000759E0000}"/>
    <cellStyle name="Normal - Style1 7" xfId="40749" xr:uid="{00000000-0005-0000-0000-0000769E0000}"/>
    <cellStyle name="Normal - Style1 8" xfId="40750" xr:uid="{00000000-0005-0000-0000-0000779E0000}"/>
    <cellStyle name="Normal 2" xfId="117" xr:uid="{00000000-0005-0000-0000-0000789E0000}"/>
    <cellStyle name="Normal 2 2" xfId="118" xr:uid="{00000000-0005-0000-0000-0000799E0000}"/>
    <cellStyle name="Normal 2 2 2" xfId="40751" xr:uid="{00000000-0005-0000-0000-00007A9E0000}"/>
    <cellStyle name="Normal 2 2 3" xfId="40752" xr:uid="{00000000-0005-0000-0000-00007B9E0000}"/>
    <cellStyle name="Normal 2 2 4" xfId="40753" xr:uid="{00000000-0005-0000-0000-00007C9E0000}"/>
    <cellStyle name="Normal 2 2 5" xfId="40754" xr:uid="{00000000-0005-0000-0000-00007D9E0000}"/>
    <cellStyle name="Normal 2 2 6" xfId="40755" xr:uid="{00000000-0005-0000-0000-00007E9E0000}"/>
    <cellStyle name="Normal 2 3" xfId="40756" xr:uid="{00000000-0005-0000-0000-00007F9E0000}"/>
    <cellStyle name="Normal 2 4" xfId="40757" xr:uid="{00000000-0005-0000-0000-0000809E0000}"/>
    <cellStyle name="Normal 2 5" xfId="40758" xr:uid="{00000000-0005-0000-0000-0000819E0000}"/>
    <cellStyle name="Normal 2 6" xfId="40759" xr:uid="{00000000-0005-0000-0000-0000829E0000}"/>
    <cellStyle name="Normal 3" xfId="119" xr:uid="{00000000-0005-0000-0000-0000839E0000}"/>
    <cellStyle name="Normal_ " xfId="120" xr:uid="{00000000-0005-0000-0000-0000849E0000}"/>
    <cellStyle name="Normale_03263_2A" xfId="40760" xr:uid="{00000000-0005-0000-0000-0000859E0000}"/>
    <cellStyle name="Note" xfId="40761" xr:uid="{00000000-0005-0000-0000-0000869E0000}"/>
    <cellStyle name="Note 10" xfId="40762" xr:uid="{00000000-0005-0000-0000-0000879E0000}"/>
    <cellStyle name="Note 11" xfId="40763" xr:uid="{00000000-0005-0000-0000-0000889E0000}"/>
    <cellStyle name="Note 12" xfId="40764" xr:uid="{00000000-0005-0000-0000-0000899E0000}"/>
    <cellStyle name="Note 2" xfId="40765" xr:uid="{00000000-0005-0000-0000-00008A9E0000}"/>
    <cellStyle name="Note 2 10" xfId="40766" xr:uid="{00000000-0005-0000-0000-00008B9E0000}"/>
    <cellStyle name="Note 2 11" xfId="40767" xr:uid="{00000000-0005-0000-0000-00008C9E0000}"/>
    <cellStyle name="Note 2 2" xfId="40768" xr:uid="{00000000-0005-0000-0000-00008D9E0000}"/>
    <cellStyle name="Note 2 2 10" xfId="40769" xr:uid="{00000000-0005-0000-0000-00008E9E0000}"/>
    <cellStyle name="Note 2 2 11" xfId="40770" xr:uid="{00000000-0005-0000-0000-00008F9E0000}"/>
    <cellStyle name="Note 2 2 12" xfId="40771" xr:uid="{00000000-0005-0000-0000-0000909E0000}"/>
    <cellStyle name="Note 2 2 2" xfId="40772" xr:uid="{00000000-0005-0000-0000-0000919E0000}"/>
    <cellStyle name="Note 2 2 2 10" xfId="40773" xr:uid="{00000000-0005-0000-0000-0000929E0000}"/>
    <cellStyle name="Note 2 2 2 11" xfId="40774" xr:uid="{00000000-0005-0000-0000-0000939E0000}"/>
    <cellStyle name="Note 2 2 2 12" xfId="40775" xr:uid="{00000000-0005-0000-0000-0000949E0000}"/>
    <cellStyle name="Note 2 2 2 2" xfId="40776" xr:uid="{00000000-0005-0000-0000-0000959E0000}"/>
    <cellStyle name="Note 2 2 2 2 10" xfId="40777" xr:uid="{00000000-0005-0000-0000-0000969E0000}"/>
    <cellStyle name="Note 2 2 2 2 2" xfId="40778" xr:uid="{00000000-0005-0000-0000-0000979E0000}"/>
    <cellStyle name="Note 2 2 2 2 2 2" xfId="40779" xr:uid="{00000000-0005-0000-0000-0000989E0000}"/>
    <cellStyle name="Note 2 2 2 2 2 2 2" xfId="40780" xr:uid="{00000000-0005-0000-0000-0000999E0000}"/>
    <cellStyle name="Note 2 2 2 2 2 2 2 2" xfId="40781" xr:uid="{00000000-0005-0000-0000-00009A9E0000}"/>
    <cellStyle name="Note 2 2 2 2 2 2 2 2 2" xfId="40782" xr:uid="{00000000-0005-0000-0000-00009B9E0000}"/>
    <cellStyle name="Note 2 2 2 2 2 2 2 2 2 2" xfId="40783" xr:uid="{00000000-0005-0000-0000-00009C9E0000}"/>
    <cellStyle name="Note 2 2 2 2 2 2 2 2 3" xfId="40784" xr:uid="{00000000-0005-0000-0000-00009D9E0000}"/>
    <cellStyle name="Note 2 2 2 2 2 2 2 2 3 2" xfId="40785" xr:uid="{00000000-0005-0000-0000-00009E9E0000}"/>
    <cellStyle name="Note 2 2 2 2 2 2 2 2 4" xfId="40786" xr:uid="{00000000-0005-0000-0000-00009F9E0000}"/>
    <cellStyle name="Note 2 2 2 2 2 2 2 2 5" xfId="40787" xr:uid="{00000000-0005-0000-0000-0000A09E0000}"/>
    <cellStyle name="Note 2 2 2 2 2 2 2 2 6" xfId="40788" xr:uid="{00000000-0005-0000-0000-0000A19E0000}"/>
    <cellStyle name="Note 2 2 2 2 2 2 2 3" xfId="40789" xr:uid="{00000000-0005-0000-0000-0000A29E0000}"/>
    <cellStyle name="Note 2 2 2 2 2 2 2 3 2" xfId="40790" xr:uid="{00000000-0005-0000-0000-0000A39E0000}"/>
    <cellStyle name="Note 2 2 2 2 2 2 2 4" xfId="40791" xr:uid="{00000000-0005-0000-0000-0000A49E0000}"/>
    <cellStyle name="Note 2 2 2 2 2 2 2 4 2" xfId="40792" xr:uid="{00000000-0005-0000-0000-0000A59E0000}"/>
    <cellStyle name="Note 2 2 2 2 2 2 2 5" xfId="40793" xr:uid="{00000000-0005-0000-0000-0000A69E0000}"/>
    <cellStyle name="Note 2 2 2 2 2 2 2 6" xfId="40794" xr:uid="{00000000-0005-0000-0000-0000A79E0000}"/>
    <cellStyle name="Note 2 2 2 2 2 2 2 7" xfId="40795" xr:uid="{00000000-0005-0000-0000-0000A89E0000}"/>
    <cellStyle name="Note 2 2 2 2 2 2 3" xfId="40796" xr:uid="{00000000-0005-0000-0000-0000A99E0000}"/>
    <cellStyle name="Note 2 2 2 2 2 2 3 2" xfId="40797" xr:uid="{00000000-0005-0000-0000-0000AA9E0000}"/>
    <cellStyle name="Note 2 2 2 2 2 2 3 2 2" xfId="40798" xr:uid="{00000000-0005-0000-0000-0000AB9E0000}"/>
    <cellStyle name="Note 2 2 2 2 2 2 3 3" xfId="40799" xr:uid="{00000000-0005-0000-0000-0000AC9E0000}"/>
    <cellStyle name="Note 2 2 2 2 2 2 3 3 2" xfId="40800" xr:uid="{00000000-0005-0000-0000-0000AD9E0000}"/>
    <cellStyle name="Note 2 2 2 2 2 2 3 4" xfId="40801" xr:uid="{00000000-0005-0000-0000-0000AE9E0000}"/>
    <cellStyle name="Note 2 2 2 2 2 2 3 5" xfId="40802" xr:uid="{00000000-0005-0000-0000-0000AF9E0000}"/>
    <cellStyle name="Note 2 2 2 2 2 2 3 6" xfId="40803" xr:uid="{00000000-0005-0000-0000-0000B09E0000}"/>
    <cellStyle name="Note 2 2 2 2 2 2 4" xfId="40804" xr:uid="{00000000-0005-0000-0000-0000B19E0000}"/>
    <cellStyle name="Note 2 2 2 2 2 2 4 2" xfId="40805" xr:uid="{00000000-0005-0000-0000-0000B29E0000}"/>
    <cellStyle name="Note 2 2 2 2 2 2 5" xfId="40806" xr:uid="{00000000-0005-0000-0000-0000B39E0000}"/>
    <cellStyle name="Note 2 2 2 2 2 2 5 2" xfId="40807" xr:uid="{00000000-0005-0000-0000-0000B49E0000}"/>
    <cellStyle name="Note 2 2 2 2 2 2 6" xfId="40808" xr:uid="{00000000-0005-0000-0000-0000B59E0000}"/>
    <cellStyle name="Note 2 2 2 2 2 2 7" xfId="40809" xr:uid="{00000000-0005-0000-0000-0000B69E0000}"/>
    <cellStyle name="Note 2 2 2 2 2 2 8" xfId="40810" xr:uid="{00000000-0005-0000-0000-0000B79E0000}"/>
    <cellStyle name="Note 2 2 2 2 2 3" xfId="40811" xr:uid="{00000000-0005-0000-0000-0000B89E0000}"/>
    <cellStyle name="Note 2 2 2 2 2 3 2" xfId="40812" xr:uid="{00000000-0005-0000-0000-0000B99E0000}"/>
    <cellStyle name="Note 2 2 2 2 2 3 2 2" xfId="40813" xr:uid="{00000000-0005-0000-0000-0000BA9E0000}"/>
    <cellStyle name="Note 2 2 2 2 2 3 2 2 2" xfId="40814" xr:uid="{00000000-0005-0000-0000-0000BB9E0000}"/>
    <cellStyle name="Note 2 2 2 2 2 3 2 3" xfId="40815" xr:uid="{00000000-0005-0000-0000-0000BC9E0000}"/>
    <cellStyle name="Note 2 2 2 2 2 3 2 3 2" xfId="40816" xr:uid="{00000000-0005-0000-0000-0000BD9E0000}"/>
    <cellStyle name="Note 2 2 2 2 2 3 2 4" xfId="40817" xr:uid="{00000000-0005-0000-0000-0000BE9E0000}"/>
    <cellStyle name="Note 2 2 2 2 2 3 2 5" xfId="40818" xr:uid="{00000000-0005-0000-0000-0000BF9E0000}"/>
    <cellStyle name="Note 2 2 2 2 2 3 2 6" xfId="40819" xr:uid="{00000000-0005-0000-0000-0000C09E0000}"/>
    <cellStyle name="Note 2 2 2 2 2 3 3" xfId="40820" xr:uid="{00000000-0005-0000-0000-0000C19E0000}"/>
    <cellStyle name="Note 2 2 2 2 2 3 3 2" xfId="40821" xr:uid="{00000000-0005-0000-0000-0000C29E0000}"/>
    <cellStyle name="Note 2 2 2 2 2 3 4" xfId="40822" xr:uid="{00000000-0005-0000-0000-0000C39E0000}"/>
    <cellStyle name="Note 2 2 2 2 2 3 4 2" xfId="40823" xr:uid="{00000000-0005-0000-0000-0000C49E0000}"/>
    <cellStyle name="Note 2 2 2 2 2 3 5" xfId="40824" xr:uid="{00000000-0005-0000-0000-0000C59E0000}"/>
    <cellStyle name="Note 2 2 2 2 2 3 6" xfId="40825" xr:uid="{00000000-0005-0000-0000-0000C69E0000}"/>
    <cellStyle name="Note 2 2 2 2 2 3 7" xfId="40826" xr:uid="{00000000-0005-0000-0000-0000C79E0000}"/>
    <cellStyle name="Note 2 2 2 2 2 4" xfId="40827" xr:uid="{00000000-0005-0000-0000-0000C89E0000}"/>
    <cellStyle name="Note 2 2 2 2 2 4 2" xfId="40828" xr:uid="{00000000-0005-0000-0000-0000C99E0000}"/>
    <cellStyle name="Note 2 2 2 2 2 4 2 2" xfId="40829" xr:uid="{00000000-0005-0000-0000-0000CA9E0000}"/>
    <cellStyle name="Note 2 2 2 2 2 4 3" xfId="40830" xr:uid="{00000000-0005-0000-0000-0000CB9E0000}"/>
    <cellStyle name="Note 2 2 2 2 2 4 3 2" xfId="40831" xr:uid="{00000000-0005-0000-0000-0000CC9E0000}"/>
    <cellStyle name="Note 2 2 2 2 2 4 4" xfId="40832" xr:uid="{00000000-0005-0000-0000-0000CD9E0000}"/>
    <cellStyle name="Note 2 2 2 2 2 4 5" xfId="40833" xr:uid="{00000000-0005-0000-0000-0000CE9E0000}"/>
    <cellStyle name="Note 2 2 2 2 2 4 6" xfId="40834" xr:uid="{00000000-0005-0000-0000-0000CF9E0000}"/>
    <cellStyle name="Note 2 2 2 2 2 5" xfId="40835" xr:uid="{00000000-0005-0000-0000-0000D09E0000}"/>
    <cellStyle name="Note 2 2 2 2 2 5 2" xfId="40836" xr:uid="{00000000-0005-0000-0000-0000D19E0000}"/>
    <cellStyle name="Note 2 2 2 2 2 6" xfId="40837" xr:uid="{00000000-0005-0000-0000-0000D29E0000}"/>
    <cellStyle name="Note 2 2 2 2 2 6 2" xfId="40838" xr:uid="{00000000-0005-0000-0000-0000D39E0000}"/>
    <cellStyle name="Note 2 2 2 2 2 7" xfId="40839" xr:uid="{00000000-0005-0000-0000-0000D49E0000}"/>
    <cellStyle name="Note 2 2 2 2 2 8" xfId="40840" xr:uid="{00000000-0005-0000-0000-0000D59E0000}"/>
    <cellStyle name="Note 2 2 2 2 2 9" xfId="40841" xr:uid="{00000000-0005-0000-0000-0000D69E0000}"/>
    <cellStyle name="Note 2 2 2 2 3" xfId="40842" xr:uid="{00000000-0005-0000-0000-0000D79E0000}"/>
    <cellStyle name="Note 2 2 2 2 3 2" xfId="40843" xr:uid="{00000000-0005-0000-0000-0000D89E0000}"/>
    <cellStyle name="Note 2 2 2 2 3 2 2" xfId="40844" xr:uid="{00000000-0005-0000-0000-0000D99E0000}"/>
    <cellStyle name="Note 2 2 2 2 3 2 2 2" xfId="40845" xr:uid="{00000000-0005-0000-0000-0000DA9E0000}"/>
    <cellStyle name="Note 2 2 2 2 3 2 2 2 2" xfId="40846" xr:uid="{00000000-0005-0000-0000-0000DB9E0000}"/>
    <cellStyle name="Note 2 2 2 2 3 2 2 3" xfId="40847" xr:uid="{00000000-0005-0000-0000-0000DC9E0000}"/>
    <cellStyle name="Note 2 2 2 2 3 2 2 3 2" xfId="40848" xr:uid="{00000000-0005-0000-0000-0000DD9E0000}"/>
    <cellStyle name="Note 2 2 2 2 3 2 2 4" xfId="40849" xr:uid="{00000000-0005-0000-0000-0000DE9E0000}"/>
    <cellStyle name="Note 2 2 2 2 3 2 2 5" xfId="40850" xr:uid="{00000000-0005-0000-0000-0000DF9E0000}"/>
    <cellStyle name="Note 2 2 2 2 3 2 2 6" xfId="40851" xr:uid="{00000000-0005-0000-0000-0000E09E0000}"/>
    <cellStyle name="Note 2 2 2 2 3 2 3" xfId="40852" xr:uid="{00000000-0005-0000-0000-0000E19E0000}"/>
    <cellStyle name="Note 2 2 2 2 3 2 3 2" xfId="40853" xr:uid="{00000000-0005-0000-0000-0000E29E0000}"/>
    <cellStyle name="Note 2 2 2 2 3 2 4" xfId="40854" xr:uid="{00000000-0005-0000-0000-0000E39E0000}"/>
    <cellStyle name="Note 2 2 2 2 3 2 4 2" xfId="40855" xr:uid="{00000000-0005-0000-0000-0000E49E0000}"/>
    <cellStyle name="Note 2 2 2 2 3 2 5" xfId="40856" xr:uid="{00000000-0005-0000-0000-0000E59E0000}"/>
    <cellStyle name="Note 2 2 2 2 3 2 6" xfId="40857" xr:uid="{00000000-0005-0000-0000-0000E69E0000}"/>
    <cellStyle name="Note 2 2 2 2 3 2 7" xfId="40858" xr:uid="{00000000-0005-0000-0000-0000E79E0000}"/>
    <cellStyle name="Note 2 2 2 2 3 3" xfId="40859" xr:uid="{00000000-0005-0000-0000-0000E89E0000}"/>
    <cellStyle name="Note 2 2 2 2 3 3 2" xfId="40860" xr:uid="{00000000-0005-0000-0000-0000E99E0000}"/>
    <cellStyle name="Note 2 2 2 2 3 3 2 2" xfId="40861" xr:uid="{00000000-0005-0000-0000-0000EA9E0000}"/>
    <cellStyle name="Note 2 2 2 2 3 3 3" xfId="40862" xr:uid="{00000000-0005-0000-0000-0000EB9E0000}"/>
    <cellStyle name="Note 2 2 2 2 3 3 3 2" xfId="40863" xr:uid="{00000000-0005-0000-0000-0000EC9E0000}"/>
    <cellStyle name="Note 2 2 2 2 3 3 4" xfId="40864" xr:uid="{00000000-0005-0000-0000-0000ED9E0000}"/>
    <cellStyle name="Note 2 2 2 2 3 3 5" xfId="40865" xr:uid="{00000000-0005-0000-0000-0000EE9E0000}"/>
    <cellStyle name="Note 2 2 2 2 3 3 6" xfId="40866" xr:uid="{00000000-0005-0000-0000-0000EF9E0000}"/>
    <cellStyle name="Note 2 2 2 2 3 4" xfId="40867" xr:uid="{00000000-0005-0000-0000-0000F09E0000}"/>
    <cellStyle name="Note 2 2 2 2 3 4 2" xfId="40868" xr:uid="{00000000-0005-0000-0000-0000F19E0000}"/>
    <cellStyle name="Note 2 2 2 2 3 5" xfId="40869" xr:uid="{00000000-0005-0000-0000-0000F29E0000}"/>
    <cellStyle name="Note 2 2 2 2 3 5 2" xfId="40870" xr:uid="{00000000-0005-0000-0000-0000F39E0000}"/>
    <cellStyle name="Note 2 2 2 2 3 6" xfId="40871" xr:uid="{00000000-0005-0000-0000-0000F49E0000}"/>
    <cellStyle name="Note 2 2 2 2 3 7" xfId="40872" xr:uid="{00000000-0005-0000-0000-0000F59E0000}"/>
    <cellStyle name="Note 2 2 2 2 3 8" xfId="40873" xr:uid="{00000000-0005-0000-0000-0000F69E0000}"/>
    <cellStyle name="Note 2 2 2 2 4" xfId="40874" xr:uid="{00000000-0005-0000-0000-0000F79E0000}"/>
    <cellStyle name="Note 2 2 2 2 4 2" xfId="40875" xr:uid="{00000000-0005-0000-0000-0000F89E0000}"/>
    <cellStyle name="Note 2 2 2 2 4 2 2" xfId="40876" xr:uid="{00000000-0005-0000-0000-0000F99E0000}"/>
    <cellStyle name="Note 2 2 2 2 4 2 2 2" xfId="40877" xr:uid="{00000000-0005-0000-0000-0000FA9E0000}"/>
    <cellStyle name="Note 2 2 2 2 4 2 3" xfId="40878" xr:uid="{00000000-0005-0000-0000-0000FB9E0000}"/>
    <cellStyle name="Note 2 2 2 2 4 2 3 2" xfId="40879" xr:uid="{00000000-0005-0000-0000-0000FC9E0000}"/>
    <cellStyle name="Note 2 2 2 2 4 2 4" xfId="40880" xr:uid="{00000000-0005-0000-0000-0000FD9E0000}"/>
    <cellStyle name="Note 2 2 2 2 4 2 5" xfId="40881" xr:uid="{00000000-0005-0000-0000-0000FE9E0000}"/>
    <cellStyle name="Note 2 2 2 2 4 2 6" xfId="40882" xr:uid="{00000000-0005-0000-0000-0000FF9E0000}"/>
    <cellStyle name="Note 2 2 2 2 4 3" xfId="40883" xr:uid="{00000000-0005-0000-0000-0000009F0000}"/>
    <cellStyle name="Note 2 2 2 2 4 3 2" xfId="40884" xr:uid="{00000000-0005-0000-0000-0000019F0000}"/>
    <cellStyle name="Note 2 2 2 2 4 4" xfId="40885" xr:uid="{00000000-0005-0000-0000-0000029F0000}"/>
    <cellStyle name="Note 2 2 2 2 4 4 2" xfId="40886" xr:uid="{00000000-0005-0000-0000-0000039F0000}"/>
    <cellStyle name="Note 2 2 2 2 4 5" xfId="40887" xr:uid="{00000000-0005-0000-0000-0000049F0000}"/>
    <cellStyle name="Note 2 2 2 2 4 6" xfId="40888" xr:uid="{00000000-0005-0000-0000-0000059F0000}"/>
    <cellStyle name="Note 2 2 2 2 4 7" xfId="40889" xr:uid="{00000000-0005-0000-0000-0000069F0000}"/>
    <cellStyle name="Note 2 2 2 2 5" xfId="40890" xr:uid="{00000000-0005-0000-0000-0000079F0000}"/>
    <cellStyle name="Note 2 2 2 2 5 2" xfId="40891" xr:uid="{00000000-0005-0000-0000-0000089F0000}"/>
    <cellStyle name="Note 2 2 2 2 5 2 2" xfId="40892" xr:uid="{00000000-0005-0000-0000-0000099F0000}"/>
    <cellStyle name="Note 2 2 2 2 5 3" xfId="40893" xr:uid="{00000000-0005-0000-0000-00000A9F0000}"/>
    <cellStyle name="Note 2 2 2 2 5 3 2" xfId="40894" xr:uid="{00000000-0005-0000-0000-00000B9F0000}"/>
    <cellStyle name="Note 2 2 2 2 5 4" xfId="40895" xr:uid="{00000000-0005-0000-0000-00000C9F0000}"/>
    <cellStyle name="Note 2 2 2 2 5 5" xfId="40896" xr:uid="{00000000-0005-0000-0000-00000D9F0000}"/>
    <cellStyle name="Note 2 2 2 2 5 6" xfId="40897" xr:uid="{00000000-0005-0000-0000-00000E9F0000}"/>
    <cellStyle name="Note 2 2 2 2 6" xfId="40898" xr:uid="{00000000-0005-0000-0000-00000F9F0000}"/>
    <cellStyle name="Note 2 2 2 2 6 2" xfId="40899" xr:uid="{00000000-0005-0000-0000-0000109F0000}"/>
    <cellStyle name="Note 2 2 2 2 7" xfId="40900" xr:uid="{00000000-0005-0000-0000-0000119F0000}"/>
    <cellStyle name="Note 2 2 2 2 7 2" xfId="40901" xr:uid="{00000000-0005-0000-0000-0000129F0000}"/>
    <cellStyle name="Note 2 2 2 2 8" xfId="40902" xr:uid="{00000000-0005-0000-0000-0000139F0000}"/>
    <cellStyle name="Note 2 2 2 2 9" xfId="40903" xr:uid="{00000000-0005-0000-0000-0000149F0000}"/>
    <cellStyle name="Note 2 2 2 3" xfId="40904" xr:uid="{00000000-0005-0000-0000-0000159F0000}"/>
    <cellStyle name="Note 2 2 2 3 10" xfId="40905" xr:uid="{00000000-0005-0000-0000-0000169F0000}"/>
    <cellStyle name="Note 2 2 2 3 2" xfId="40906" xr:uid="{00000000-0005-0000-0000-0000179F0000}"/>
    <cellStyle name="Note 2 2 2 3 2 2" xfId="40907" xr:uid="{00000000-0005-0000-0000-0000189F0000}"/>
    <cellStyle name="Note 2 2 2 3 2 2 2" xfId="40908" xr:uid="{00000000-0005-0000-0000-0000199F0000}"/>
    <cellStyle name="Note 2 2 2 3 2 2 2 2" xfId="40909" xr:uid="{00000000-0005-0000-0000-00001A9F0000}"/>
    <cellStyle name="Note 2 2 2 3 2 2 2 2 2" xfId="40910" xr:uid="{00000000-0005-0000-0000-00001B9F0000}"/>
    <cellStyle name="Note 2 2 2 3 2 2 2 2 2 2" xfId="40911" xr:uid="{00000000-0005-0000-0000-00001C9F0000}"/>
    <cellStyle name="Note 2 2 2 3 2 2 2 2 3" xfId="40912" xr:uid="{00000000-0005-0000-0000-00001D9F0000}"/>
    <cellStyle name="Note 2 2 2 3 2 2 2 2 3 2" xfId="40913" xr:uid="{00000000-0005-0000-0000-00001E9F0000}"/>
    <cellStyle name="Note 2 2 2 3 2 2 2 2 4" xfId="40914" xr:uid="{00000000-0005-0000-0000-00001F9F0000}"/>
    <cellStyle name="Note 2 2 2 3 2 2 2 2 5" xfId="40915" xr:uid="{00000000-0005-0000-0000-0000209F0000}"/>
    <cellStyle name="Note 2 2 2 3 2 2 2 2 6" xfId="40916" xr:uid="{00000000-0005-0000-0000-0000219F0000}"/>
    <cellStyle name="Note 2 2 2 3 2 2 2 3" xfId="40917" xr:uid="{00000000-0005-0000-0000-0000229F0000}"/>
    <cellStyle name="Note 2 2 2 3 2 2 2 3 2" xfId="40918" xr:uid="{00000000-0005-0000-0000-0000239F0000}"/>
    <cellStyle name="Note 2 2 2 3 2 2 2 4" xfId="40919" xr:uid="{00000000-0005-0000-0000-0000249F0000}"/>
    <cellStyle name="Note 2 2 2 3 2 2 2 4 2" xfId="40920" xr:uid="{00000000-0005-0000-0000-0000259F0000}"/>
    <cellStyle name="Note 2 2 2 3 2 2 2 5" xfId="40921" xr:uid="{00000000-0005-0000-0000-0000269F0000}"/>
    <cellStyle name="Note 2 2 2 3 2 2 2 6" xfId="40922" xr:uid="{00000000-0005-0000-0000-0000279F0000}"/>
    <cellStyle name="Note 2 2 2 3 2 2 2 7" xfId="40923" xr:uid="{00000000-0005-0000-0000-0000289F0000}"/>
    <cellStyle name="Note 2 2 2 3 2 2 3" xfId="40924" xr:uid="{00000000-0005-0000-0000-0000299F0000}"/>
    <cellStyle name="Note 2 2 2 3 2 2 3 2" xfId="40925" xr:uid="{00000000-0005-0000-0000-00002A9F0000}"/>
    <cellStyle name="Note 2 2 2 3 2 2 3 2 2" xfId="40926" xr:uid="{00000000-0005-0000-0000-00002B9F0000}"/>
    <cellStyle name="Note 2 2 2 3 2 2 3 3" xfId="40927" xr:uid="{00000000-0005-0000-0000-00002C9F0000}"/>
    <cellStyle name="Note 2 2 2 3 2 2 3 3 2" xfId="40928" xr:uid="{00000000-0005-0000-0000-00002D9F0000}"/>
    <cellStyle name="Note 2 2 2 3 2 2 3 4" xfId="40929" xr:uid="{00000000-0005-0000-0000-00002E9F0000}"/>
    <cellStyle name="Note 2 2 2 3 2 2 3 5" xfId="40930" xr:uid="{00000000-0005-0000-0000-00002F9F0000}"/>
    <cellStyle name="Note 2 2 2 3 2 2 3 6" xfId="40931" xr:uid="{00000000-0005-0000-0000-0000309F0000}"/>
    <cellStyle name="Note 2 2 2 3 2 2 4" xfId="40932" xr:uid="{00000000-0005-0000-0000-0000319F0000}"/>
    <cellStyle name="Note 2 2 2 3 2 2 4 2" xfId="40933" xr:uid="{00000000-0005-0000-0000-0000329F0000}"/>
    <cellStyle name="Note 2 2 2 3 2 2 5" xfId="40934" xr:uid="{00000000-0005-0000-0000-0000339F0000}"/>
    <cellStyle name="Note 2 2 2 3 2 2 5 2" xfId="40935" xr:uid="{00000000-0005-0000-0000-0000349F0000}"/>
    <cellStyle name="Note 2 2 2 3 2 2 6" xfId="40936" xr:uid="{00000000-0005-0000-0000-0000359F0000}"/>
    <cellStyle name="Note 2 2 2 3 2 2 7" xfId="40937" xr:uid="{00000000-0005-0000-0000-0000369F0000}"/>
    <cellStyle name="Note 2 2 2 3 2 2 8" xfId="40938" xr:uid="{00000000-0005-0000-0000-0000379F0000}"/>
    <cellStyle name="Note 2 2 2 3 2 3" xfId="40939" xr:uid="{00000000-0005-0000-0000-0000389F0000}"/>
    <cellStyle name="Note 2 2 2 3 2 3 2" xfId="40940" xr:uid="{00000000-0005-0000-0000-0000399F0000}"/>
    <cellStyle name="Note 2 2 2 3 2 3 2 2" xfId="40941" xr:uid="{00000000-0005-0000-0000-00003A9F0000}"/>
    <cellStyle name="Note 2 2 2 3 2 3 2 2 2" xfId="40942" xr:uid="{00000000-0005-0000-0000-00003B9F0000}"/>
    <cellStyle name="Note 2 2 2 3 2 3 2 3" xfId="40943" xr:uid="{00000000-0005-0000-0000-00003C9F0000}"/>
    <cellStyle name="Note 2 2 2 3 2 3 2 3 2" xfId="40944" xr:uid="{00000000-0005-0000-0000-00003D9F0000}"/>
    <cellStyle name="Note 2 2 2 3 2 3 2 4" xfId="40945" xr:uid="{00000000-0005-0000-0000-00003E9F0000}"/>
    <cellStyle name="Note 2 2 2 3 2 3 2 5" xfId="40946" xr:uid="{00000000-0005-0000-0000-00003F9F0000}"/>
    <cellStyle name="Note 2 2 2 3 2 3 2 6" xfId="40947" xr:uid="{00000000-0005-0000-0000-0000409F0000}"/>
    <cellStyle name="Note 2 2 2 3 2 3 3" xfId="40948" xr:uid="{00000000-0005-0000-0000-0000419F0000}"/>
    <cellStyle name="Note 2 2 2 3 2 3 3 2" xfId="40949" xr:uid="{00000000-0005-0000-0000-0000429F0000}"/>
    <cellStyle name="Note 2 2 2 3 2 3 4" xfId="40950" xr:uid="{00000000-0005-0000-0000-0000439F0000}"/>
    <cellStyle name="Note 2 2 2 3 2 3 4 2" xfId="40951" xr:uid="{00000000-0005-0000-0000-0000449F0000}"/>
    <cellStyle name="Note 2 2 2 3 2 3 5" xfId="40952" xr:uid="{00000000-0005-0000-0000-0000459F0000}"/>
    <cellStyle name="Note 2 2 2 3 2 3 6" xfId="40953" xr:uid="{00000000-0005-0000-0000-0000469F0000}"/>
    <cellStyle name="Note 2 2 2 3 2 3 7" xfId="40954" xr:uid="{00000000-0005-0000-0000-0000479F0000}"/>
    <cellStyle name="Note 2 2 2 3 2 4" xfId="40955" xr:uid="{00000000-0005-0000-0000-0000489F0000}"/>
    <cellStyle name="Note 2 2 2 3 2 4 2" xfId="40956" xr:uid="{00000000-0005-0000-0000-0000499F0000}"/>
    <cellStyle name="Note 2 2 2 3 2 4 2 2" xfId="40957" xr:uid="{00000000-0005-0000-0000-00004A9F0000}"/>
    <cellStyle name="Note 2 2 2 3 2 4 3" xfId="40958" xr:uid="{00000000-0005-0000-0000-00004B9F0000}"/>
    <cellStyle name="Note 2 2 2 3 2 4 3 2" xfId="40959" xr:uid="{00000000-0005-0000-0000-00004C9F0000}"/>
    <cellStyle name="Note 2 2 2 3 2 4 4" xfId="40960" xr:uid="{00000000-0005-0000-0000-00004D9F0000}"/>
    <cellStyle name="Note 2 2 2 3 2 4 5" xfId="40961" xr:uid="{00000000-0005-0000-0000-00004E9F0000}"/>
    <cellStyle name="Note 2 2 2 3 2 4 6" xfId="40962" xr:uid="{00000000-0005-0000-0000-00004F9F0000}"/>
    <cellStyle name="Note 2 2 2 3 2 5" xfId="40963" xr:uid="{00000000-0005-0000-0000-0000509F0000}"/>
    <cellStyle name="Note 2 2 2 3 2 5 2" xfId="40964" xr:uid="{00000000-0005-0000-0000-0000519F0000}"/>
    <cellStyle name="Note 2 2 2 3 2 6" xfId="40965" xr:uid="{00000000-0005-0000-0000-0000529F0000}"/>
    <cellStyle name="Note 2 2 2 3 2 6 2" xfId="40966" xr:uid="{00000000-0005-0000-0000-0000539F0000}"/>
    <cellStyle name="Note 2 2 2 3 2 7" xfId="40967" xr:uid="{00000000-0005-0000-0000-0000549F0000}"/>
    <cellStyle name="Note 2 2 2 3 2 8" xfId="40968" xr:uid="{00000000-0005-0000-0000-0000559F0000}"/>
    <cellStyle name="Note 2 2 2 3 2 9" xfId="40969" xr:uid="{00000000-0005-0000-0000-0000569F0000}"/>
    <cellStyle name="Note 2 2 2 3 3" xfId="40970" xr:uid="{00000000-0005-0000-0000-0000579F0000}"/>
    <cellStyle name="Note 2 2 2 3 3 2" xfId="40971" xr:uid="{00000000-0005-0000-0000-0000589F0000}"/>
    <cellStyle name="Note 2 2 2 3 3 2 2" xfId="40972" xr:uid="{00000000-0005-0000-0000-0000599F0000}"/>
    <cellStyle name="Note 2 2 2 3 3 2 2 2" xfId="40973" xr:uid="{00000000-0005-0000-0000-00005A9F0000}"/>
    <cellStyle name="Note 2 2 2 3 3 2 2 2 2" xfId="40974" xr:uid="{00000000-0005-0000-0000-00005B9F0000}"/>
    <cellStyle name="Note 2 2 2 3 3 2 2 3" xfId="40975" xr:uid="{00000000-0005-0000-0000-00005C9F0000}"/>
    <cellStyle name="Note 2 2 2 3 3 2 2 3 2" xfId="40976" xr:uid="{00000000-0005-0000-0000-00005D9F0000}"/>
    <cellStyle name="Note 2 2 2 3 3 2 2 4" xfId="40977" xr:uid="{00000000-0005-0000-0000-00005E9F0000}"/>
    <cellStyle name="Note 2 2 2 3 3 2 2 5" xfId="40978" xr:uid="{00000000-0005-0000-0000-00005F9F0000}"/>
    <cellStyle name="Note 2 2 2 3 3 2 2 6" xfId="40979" xr:uid="{00000000-0005-0000-0000-0000609F0000}"/>
    <cellStyle name="Note 2 2 2 3 3 2 3" xfId="40980" xr:uid="{00000000-0005-0000-0000-0000619F0000}"/>
    <cellStyle name="Note 2 2 2 3 3 2 3 2" xfId="40981" xr:uid="{00000000-0005-0000-0000-0000629F0000}"/>
    <cellStyle name="Note 2 2 2 3 3 2 4" xfId="40982" xr:uid="{00000000-0005-0000-0000-0000639F0000}"/>
    <cellStyle name="Note 2 2 2 3 3 2 4 2" xfId="40983" xr:uid="{00000000-0005-0000-0000-0000649F0000}"/>
    <cellStyle name="Note 2 2 2 3 3 2 5" xfId="40984" xr:uid="{00000000-0005-0000-0000-0000659F0000}"/>
    <cellStyle name="Note 2 2 2 3 3 2 6" xfId="40985" xr:uid="{00000000-0005-0000-0000-0000669F0000}"/>
    <cellStyle name="Note 2 2 2 3 3 2 7" xfId="40986" xr:uid="{00000000-0005-0000-0000-0000679F0000}"/>
    <cellStyle name="Note 2 2 2 3 3 3" xfId="40987" xr:uid="{00000000-0005-0000-0000-0000689F0000}"/>
    <cellStyle name="Note 2 2 2 3 3 3 2" xfId="40988" xr:uid="{00000000-0005-0000-0000-0000699F0000}"/>
    <cellStyle name="Note 2 2 2 3 3 3 2 2" xfId="40989" xr:uid="{00000000-0005-0000-0000-00006A9F0000}"/>
    <cellStyle name="Note 2 2 2 3 3 3 3" xfId="40990" xr:uid="{00000000-0005-0000-0000-00006B9F0000}"/>
    <cellStyle name="Note 2 2 2 3 3 3 3 2" xfId="40991" xr:uid="{00000000-0005-0000-0000-00006C9F0000}"/>
    <cellStyle name="Note 2 2 2 3 3 3 4" xfId="40992" xr:uid="{00000000-0005-0000-0000-00006D9F0000}"/>
    <cellStyle name="Note 2 2 2 3 3 3 5" xfId="40993" xr:uid="{00000000-0005-0000-0000-00006E9F0000}"/>
    <cellStyle name="Note 2 2 2 3 3 3 6" xfId="40994" xr:uid="{00000000-0005-0000-0000-00006F9F0000}"/>
    <cellStyle name="Note 2 2 2 3 3 4" xfId="40995" xr:uid="{00000000-0005-0000-0000-0000709F0000}"/>
    <cellStyle name="Note 2 2 2 3 3 4 2" xfId="40996" xr:uid="{00000000-0005-0000-0000-0000719F0000}"/>
    <cellStyle name="Note 2 2 2 3 3 5" xfId="40997" xr:uid="{00000000-0005-0000-0000-0000729F0000}"/>
    <cellStyle name="Note 2 2 2 3 3 5 2" xfId="40998" xr:uid="{00000000-0005-0000-0000-0000739F0000}"/>
    <cellStyle name="Note 2 2 2 3 3 6" xfId="40999" xr:uid="{00000000-0005-0000-0000-0000749F0000}"/>
    <cellStyle name="Note 2 2 2 3 3 7" xfId="41000" xr:uid="{00000000-0005-0000-0000-0000759F0000}"/>
    <cellStyle name="Note 2 2 2 3 3 8" xfId="41001" xr:uid="{00000000-0005-0000-0000-0000769F0000}"/>
    <cellStyle name="Note 2 2 2 3 4" xfId="41002" xr:uid="{00000000-0005-0000-0000-0000779F0000}"/>
    <cellStyle name="Note 2 2 2 3 4 2" xfId="41003" xr:uid="{00000000-0005-0000-0000-0000789F0000}"/>
    <cellStyle name="Note 2 2 2 3 4 2 2" xfId="41004" xr:uid="{00000000-0005-0000-0000-0000799F0000}"/>
    <cellStyle name="Note 2 2 2 3 4 2 2 2" xfId="41005" xr:uid="{00000000-0005-0000-0000-00007A9F0000}"/>
    <cellStyle name="Note 2 2 2 3 4 2 3" xfId="41006" xr:uid="{00000000-0005-0000-0000-00007B9F0000}"/>
    <cellStyle name="Note 2 2 2 3 4 2 3 2" xfId="41007" xr:uid="{00000000-0005-0000-0000-00007C9F0000}"/>
    <cellStyle name="Note 2 2 2 3 4 2 4" xfId="41008" xr:uid="{00000000-0005-0000-0000-00007D9F0000}"/>
    <cellStyle name="Note 2 2 2 3 4 2 5" xfId="41009" xr:uid="{00000000-0005-0000-0000-00007E9F0000}"/>
    <cellStyle name="Note 2 2 2 3 4 2 6" xfId="41010" xr:uid="{00000000-0005-0000-0000-00007F9F0000}"/>
    <cellStyle name="Note 2 2 2 3 4 3" xfId="41011" xr:uid="{00000000-0005-0000-0000-0000809F0000}"/>
    <cellStyle name="Note 2 2 2 3 4 3 2" xfId="41012" xr:uid="{00000000-0005-0000-0000-0000819F0000}"/>
    <cellStyle name="Note 2 2 2 3 4 4" xfId="41013" xr:uid="{00000000-0005-0000-0000-0000829F0000}"/>
    <cellStyle name="Note 2 2 2 3 4 4 2" xfId="41014" xr:uid="{00000000-0005-0000-0000-0000839F0000}"/>
    <cellStyle name="Note 2 2 2 3 4 5" xfId="41015" xr:uid="{00000000-0005-0000-0000-0000849F0000}"/>
    <cellStyle name="Note 2 2 2 3 4 6" xfId="41016" xr:uid="{00000000-0005-0000-0000-0000859F0000}"/>
    <cellStyle name="Note 2 2 2 3 4 7" xfId="41017" xr:uid="{00000000-0005-0000-0000-0000869F0000}"/>
    <cellStyle name="Note 2 2 2 3 5" xfId="41018" xr:uid="{00000000-0005-0000-0000-0000879F0000}"/>
    <cellStyle name="Note 2 2 2 3 5 2" xfId="41019" xr:uid="{00000000-0005-0000-0000-0000889F0000}"/>
    <cellStyle name="Note 2 2 2 3 5 2 2" xfId="41020" xr:uid="{00000000-0005-0000-0000-0000899F0000}"/>
    <cellStyle name="Note 2 2 2 3 5 3" xfId="41021" xr:uid="{00000000-0005-0000-0000-00008A9F0000}"/>
    <cellStyle name="Note 2 2 2 3 5 3 2" xfId="41022" xr:uid="{00000000-0005-0000-0000-00008B9F0000}"/>
    <cellStyle name="Note 2 2 2 3 5 4" xfId="41023" xr:uid="{00000000-0005-0000-0000-00008C9F0000}"/>
    <cellStyle name="Note 2 2 2 3 5 5" xfId="41024" xr:uid="{00000000-0005-0000-0000-00008D9F0000}"/>
    <cellStyle name="Note 2 2 2 3 5 6" xfId="41025" xr:uid="{00000000-0005-0000-0000-00008E9F0000}"/>
    <cellStyle name="Note 2 2 2 3 6" xfId="41026" xr:uid="{00000000-0005-0000-0000-00008F9F0000}"/>
    <cellStyle name="Note 2 2 2 3 6 2" xfId="41027" xr:uid="{00000000-0005-0000-0000-0000909F0000}"/>
    <cellStyle name="Note 2 2 2 3 7" xfId="41028" xr:uid="{00000000-0005-0000-0000-0000919F0000}"/>
    <cellStyle name="Note 2 2 2 3 7 2" xfId="41029" xr:uid="{00000000-0005-0000-0000-0000929F0000}"/>
    <cellStyle name="Note 2 2 2 3 8" xfId="41030" xr:uid="{00000000-0005-0000-0000-0000939F0000}"/>
    <cellStyle name="Note 2 2 2 3 9" xfId="41031" xr:uid="{00000000-0005-0000-0000-0000949F0000}"/>
    <cellStyle name="Note 2 2 2 4" xfId="41032" xr:uid="{00000000-0005-0000-0000-0000959F0000}"/>
    <cellStyle name="Note 2 2 2 4 2" xfId="41033" xr:uid="{00000000-0005-0000-0000-0000969F0000}"/>
    <cellStyle name="Note 2 2 2 4 2 2" xfId="41034" xr:uid="{00000000-0005-0000-0000-0000979F0000}"/>
    <cellStyle name="Note 2 2 2 4 2 2 2" xfId="41035" xr:uid="{00000000-0005-0000-0000-0000989F0000}"/>
    <cellStyle name="Note 2 2 2 4 2 2 2 2" xfId="41036" xr:uid="{00000000-0005-0000-0000-0000999F0000}"/>
    <cellStyle name="Note 2 2 2 4 2 2 2 2 2" xfId="41037" xr:uid="{00000000-0005-0000-0000-00009A9F0000}"/>
    <cellStyle name="Note 2 2 2 4 2 2 2 3" xfId="41038" xr:uid="{00000000-0005-0000-0000-00009B9F0000}"/>
    <cellStyle name="Note 2 2 2 4 2 2 2 3 2" xfId="41039" xr:uid="{00000000-0005-0000-0000-00009C9F0000}"/>
    <cellStyle name="Note 2 2 2 4 2 2 2 4" xfId="41040" xr:uid="{00000000-0005-0000-0000-00009D9F0000}"/>
    <cellStyle name="Note 2 2 2 4 2 2 2 5" xfId="41041" xr:uid="{00000000-0005-0000-0000-00009E9F0000}"/>
    <cellStyle name="Note 2 2 2 4 2 2 2 6" xfId="41042" xr:uid="{00000000-0005-0000-0000-00009F9F0000}"/>
    <cellStyle name="Note 2 2 2 4 2 2 3" xfId="41043" xr:uid="{00000000-0005-0000-0000-0000A09F0000}"/>
    <cellStyle name="Note 2 2 2 4 2 2 3 2" xfId="41044" xr:uid="{00000000-0005-0000-0000-0000A19F0000}"/>
    <cellStyle name="Note 2 2 2 4 2 2 4" xfId="41045" xr:uid="{00000000-0005-0000-0000-0000A29F0000}"/>
    <cellStyle name="Note 2 2 2 4 2 2 4 2" xfId="41046" xr:uid="{00000000-0005-0000-0000-0000A39F0000}"/>
    <cellStyle name="Note 2 2 2 4 2 2 5" xfId="41047" xr:uid="{00000000-0005-0000-0000-0000A49F0000}"/>
    <cellStyle name="Note 2 2 2 4 2 2 6" xfId="41048" xr:uid="{00000000-0005-0000-0000-0000A59F0000}"/>
    <cellStyle name="Note 2 2 2 4 2 2 7" xfId="41049" xr:uid="{00000000-0005-0000-0000-0000A69F0000}"/>
    <cellStyle name="Note 2 2 2 4 2 3" xfId="41050" xr:uid="{00000000-0005-0000-0000-0000A79F0000}"/>
    <cellStyle name="Note 2 2 2 4 2 3 2" xfId="41051" xr:uid="{00000000-0005-0000-0000-0000A89F0000}"/>
    <cellStyle name="Note 2 2 2 4 2 3 2 2" xfId="41052" xr:uid="{00000000-0005-0000-0000-0000A99F0000}"/>
    <cellStyle name="Note 2 2 2 4 2 3 3" xfId="41053" xr:uid="{00000000-0005-0000-0000-0000AA9F0000}"/>
    <cellStyle name="Note 2 2 2 4 2 3 3 2" xfId="41054" xr:uid="{00000000-0005-0000-0000-0000AB9F0000}"/>
    <cellStyle name="Note 2 2 2 4 2 3 4" xfId="41055" xr:uid="{00000000-0005-0000-0000-0000AC9F0000}"/>
    <cellStyle name="Note 2 2 2 4 2 3 5" xfId="41056" xr:uid="{00000000-0005-0000-0000-0000AD9F0000}"/>
    <cellStyle name="Note 2 2 2 4 2 3 6" xfId="41057" xr:uid="{00000000-0005-0000-0000-0000AE9F0000}"/>
    <cellStyle name="Note 2 2 2 4 2 4" xfId="41058" xr:uid="{00000000-0005-0000-0000-0000AF9F0000}"/>
    <cellStyle name="Note 2 2 2 4 2 4 2" xfId="41059" xr:uid="{00000000-0005-0000-0000-0000B09F0000}"/>
    <cellStyle name="Note 2 2 2 4 2 5" xfId="41060" xr:uid="{00000000-0005-0000-0000-0000B19F0000}"/>
    <cellStyle name="Note 2 2 2 4 2 5 2" xfId="41061" xr:uid="{00000000-0005-0000-0000-0000B29F0000}"/>
    <cellStyle name="Note 2 2 2 4 2 6" xfId="41062" xr:uid="{00000000-0005-0000-0000-0000B39F0000}"/>
    <cellStyle name="Note 2 2 2 4 2 7" xfId="41063" xr:uid="{00000000-0005-0000-0000-0000B49F0000}"/>
    <cellStyle name="Note 2 2 2 4 2 8" xfId="41064" xr:uid="{00000000-0005-0000-0000-0000B59F0000}"/>
    <cellStyle name="Note 2 2 2 4 3" xfId="41065" xr:uid="{00000000-0005-0000-0000-0000B69F0000}"/>
    <cellStyle name="Note 2 2 2 4 3 2" xfId="41066" xr:uid="{00000000-0005-0000-0000-0000B79F0000}"/>
    <cellStyle name="Note 2 2 2 4 3 2 2" xfId="41067" xr:uid="{00000000-0005-0000-0000-0000B89F0000}"/>
    <cellStyle name="Note 2 2 2 4 3 2 2 2" xfId="41068" xr:uid="{00000000-0005-0000-0000-0000B99F0000}"/>
    <cellStyle name="Note 2 2 2 4 3 2 3" xfId="41069" xr:uid="{00000000-0005-0000-0000-0000BA9F0000}"/>
    <cellStyle name="Note 2 2 2 4 3 2 3 2" xfId="41070" xr:uid="{00000000-0005-0000-0000-0000BB9F0000}"/>
    <cellStyle name="Note 2 2 2 4 3 2 4" xfId="41071" xr:uid="{00000000-0005-0000-0000-0000BC9F0000}"/>
    <cellStyle name="Note 2 2 2 4 3 2 5" xfId="41072" xr:uid="{00000000-0005-0000-0000-0000BD9F0000}"/>
    <cellStyle name="Note 2 2 2 4 3 2 6" xfId="41073" xr:uid="{00000000-0005-0000-0000-0000BE9F0000}"/>
    <cellStyle name="Note 2 2 2 4 3 3" xfId="41074" xr:uid="{00000000-0005-0000-0000-0000BF9F0000}"/>
    <cellStyle name="Note 2 2 2 4 3 3 2" xfId="41075" xr:uid="{00000000-0005-0000-0000-0000C09F0000}"/>
    <cellStyle name="Note 2 2 2 4 3 4" xfId="41076" xr:uid="{00000000-0005-0000-0000-0000C19F0000}"/>
    <cellStyle name="Note 2 2 2 4 3 4 2" xfId="41077" xr:uid="{00000000-0005-0000-0000-0000C29F0000}"/>
    <cellStyle name="Note 2 2 2 4 3 5" xfId="41078" xr:uid="{00000000-0005-0000-0000-0000C39F0000}"/>
    <cellStyle name="Note 2 2 2 4 3 6" xfId="41079" xr:uid="{00000000-0005-0000-0000-0000C49F0000}"/>
    <cellStyle name="Note 2 2 2 4 3 7" xfId="41080" xr:uid="{00000000-0005-0000-0000-0000C59F0000}"/>
    <cellStyle name="Note 2 2 2 4 4" xfId="41081" xr:uid="{00000000-0005-0000-0000-0000C69F0000}"/>
    <cellStyle name="Note 2 2 2 4 4 2" xfId="41082" xr:uid="{00000000-0005-0000-0000-0000C79F0000}"/>
    <cellStyle name="Note 2 2 2 4 4 2 2" xfId="41083" xr:uid="{00000000-0005-0000-0000-0000C89F0000}"/>
    <cellStyle name="Note 2 2 2 4 4 3" xfId="41084" xr:uid="{00000000-0005-0000-0000-0000C99F0000}"/>
    <cellStyle name="Note 2 2 2 4 4 3 2" xfId="41085" xr:uid="{00000000-0005-0000-0000-0000CA9F0000}"/>
    <cellStyle name="Note 2 2 2 4 4 4" xfId="41086" xr:uid="{00000000-0005-0000-0000-0000CB9F0000}"/>
    <cellStyle name="Note 2 2 2 4 4 5" xfId="41087" xr:uid="{00000000-0005-0000-0000-0000CC9F0000}"/>
    <cellStyle name="Note 2 2 2 4 4 6" xfId="41088" xr:uid="{00000000-0005-0000-0000-0000CD9F0000}"/>
    <cellStyle name="Note 2 2 2 4 5" xfId="41089" xr:uid="{00000000-0005-0000-0000-0000CE9F0000}"/>
    <cellStyle name="Note 2 2 2 4 5 2" xfId="41090" xr:uid="{00000000-0005-0000-0000-0000CF9F0000}"/>
    <cellStyle name="Note 2 2 2 4 6" xfId="41091" xr:uid="{00000000-0005-0000-0000-0000D09F0000}"/>
    <cellStyle name="Note 2 2 2 4 6 2" xfId="41092" xr:uid="{00000000-0005-0000-0000-0000D19F0000}"/>
    <cellStyle name="Note 2 2 2 4 7" xfId="41093" xr:uid="{00000000-0005-0000-0000-0000D29F0000}"/>
    <cellStyle name="Note 2 2 2 4 8" xfId="41094" xr:uid="{00000000-0005-0000-0000-0000D39F0000}"/>
    <cellStyle name="Note 2 2 2 4 9" xfId="41095" xr:uid="{00000000-0005-0000-0000-0000D49F0000}"/>
    <cellStyle name="Note 2 2 2 5" xfId="41096" xr:uid="{00000000-0005-0000-0000-0000D59F0000}"/>
    <cellStyle name="Note 2 2 2 5 2" xfId="41097" xr:uid="{00000000-0005-0000-0000-0000D69F0000}"/>
    <cellStyle name="Note 2 2 2 5 2 2" xfId="41098" xr:uid="{00000000-0005-0000-0000-0000D79F0000}"/>
    <cellStyle name="Note 2 2 2 5 2 2 2" xfId="41099" xr:uid="{00000000-0005-0000-0000-0000D89F0000}"/>
    <cellStyle name="Note 2 2 2 5 2 2 2 2" xfId="41100" xr:uid="{00000000-0005-0000-0000-0000D99F0000}"/>
    <cellStyle name="Note 2 2 2 5 2 2 3" xfId="41101" xr:uid="{00000000-0005-0000-0000-0000DA9F0000}"/>
    <cellStyle name="Note 2 2 2 5 2 2 3 2" xfId="41102" xr:uid="{00000000-0005-0000-0000-0000DB9F0000}"/>
    <cellStyle name="Note 2 2 2 5 2 2 4" xfId="41103" xr:uid="{00000000-0005-0000-0000-0000DC9F0000}"/>
    <cellStyle name="Note 2 2 2 5 2 2 5" xfId="41104" xr:uid="{00000000-0005-0000-0000-0000DD9F0000}"/>
    <cellStyle name="Note 2 2 2 5 2 2 6" xfId="41105" xr:uid="{00000000-0005-0000-0000-0000DE9F0000}"/>
    <cellStyle name="Note 2 2 2 5 2 3" xfId="41106" xr:uid="{00000000-0005-0000-0000-0000DF9F0000}"/>
    <cellStyle name="Note 2 2 2 5 2 3 2" xfId="41107" xr:uid="{00000000-0005-0000-0000-0000E09F0000}"/>
    <cellStyle name="Note 2 2 2 5 2 4" xfId="41108" xr:uid="{00000000-0005-0000-0000-0000E19F0000}"/>
    <cellStyle name="Note 2 2 2 5 2 4 2" xfId="41109" xr:uid="{00000000-0005-0000-0000-0000E29F0000}"/>
    <cellStyle name="Note 2 2 2 5 2 5" xfId="41110" xr:uid="{00000000-0005-0000-0000-0000E39F0000}"/>
    <cellStyle name="Note 2 2 2 5 2 6" xfId="41111" xr:uid="{00000000-0005-0000-0000-0000E49F0000}"/>
    <cellStyle name="Note 2 2 2 5 2 7" xfId="41112" xr:uid="{00000000-0005-0000-0000-0000E59F0000}"/>
    <cellStyle name="Note 2 2 2 5 3" xfId="41113" xr:uid="{00000000-0005-0000-0000-0000E69F0000}"/>
    <cellStyle name="Note 2 2 2 5 3 2" xfId="41114" xr:uid="{00000000-0005-0000-0000-0000E79F0000}"/>
    <cellStyle name="Note 2 2 2 5 3 2 2" xfId="41115" xr:uid="{00000000-0005-0000-0000-0000E89F0000}"/>
    <cellStyle name="Note 2 2 2 5 3 3" xfId="41116" xr:uid="{00000000-0005-0000-0000-0000E99F0000}"/>
    <cellStyle name="Note 2 2 2 5 3 3 2" xfId="41117" xr:uid="{00000000-0005-0000-0000-0000EA9F0000}"/>
    <cellStyle name="Note 2 2 2 5 3 4" xfId="41118" xr:uid="{00000000-0005-0000-0000-0000EB9F0000}"/>
    <cellStyle name="Note 2 2 2 5 3 5" xfId="41119" xr:uid="{00000000-0005-0000-0000-0000EC9F0000}"/>
    <cellStyle name="Note 2 2 2 5 3 6" xfId="41120" xr:uid="{00000000-0005-0000-0000-0000ED9F0000}"/>
    <cellStyle name="Note 2 2 2 5 4" xfId="41121" xr:uid="{00000000-0005-0000-0000-0000EE9F0000}"/>
    <cellStyle name="Note 2 2 2 5 4 2" xfId="41122" xr:uid="{00000000-0005-0000-0000-0000EF9F0000}"/>
    <cellStyle name="Note 2 2 2 5 5" xfId="41123" xr:uid="{00000000-0005-0000-0000-0000F09F0000}"/>
    <cellStyle name="Note 2 2 2 5 5 2" xfId="41124" xr:uid="{00000000-0005-0000-0000-0000F19F0000}"/>
    <cellStyle name="Note 2 2 2 5 6" xfId="41125" xr:uid="{00000000-0005-0000-0000-0000F29F0000}"/>
    <cellStyle name="Note 2 2 2 5 7" xfId="41126" xr:uid="{00000000-0005-0000-0000-0000F39F0000}"/>
    <cellStyle name="Note 2 2 2 5 8" xfId="41127" xr:uid="{00000000-0005-0000-0000-0000F49F0000}"/>
    <cellStyle name="Note 2 2 2 6" xfId="41128" xr:uid="{00000000-0005-0000-0000-0000F59F0000}"/>
    <cellStyle name="Note 2 2 2 6 2" xfId="41129" xr:uid="{00000000-0005-0000-0000-0000F69F0000}"/>
    <cellStyle name="Note 2 2 2 6 2 2" xfId="41130" xr:uid="{00000000-0005-0000-0000-0000F79F0000}"/>
    <cellStyle name="Note 2 2 2 6 2 2 2" xfId="41131" xr:uid="{00000000-0005-0000-0000-0000F89F0000}"/>
    <cellStyle name="Note 2 2 2 6 2 3" xfId="41132" xr:uid="{00000000-0005-0000-0000-0000F99F0000}"/>
    <cellStyle name="Note 2 2 2 6 2 3 2" xfId="41133" xr:uid="{00000000-0005-0000-0000-0000FA9F0000}"/>
    <cellStyle name="Note 2 2 2 6 2 4" xfId="41134" xr:uid="{00000000-0005-0000-0000-0000FB9F0000}"/>
    <cellStyle name="Note 2 2 2 6 2 5" xfId="41135" xr:uid="{00000000-0005-0000-0000-0000FC9F0000}"/>
    <cellStyle name="Note 2 2 2 6 2 6" xfId="41136" xr:uid="{00000000-0005-0000-0000-0000FD9F0000}"/>
    <cellStyle name="Note 2 2 2 6 3" xfId="41137" xr:uid="{00000000-0005-0000-0000-0000FE9F0000}"/>
    <cellStyle name="Note 2 2 2 6 3 2" xfId="41138" xr:uid="{00000000-0005-0000-0000-0000FF9F0000}"/>
    <cellStyle name="Note 2 2 2 6 4" xfId="41139" xr:uid="{00000000-0005-0000-0000-000000A00000}"/>
    <cellStyle name="Note 2 2 2 6 4 2" xfId="41140" xr:uid="{00000000-0005-0000-0000-000001A00000}"/>
    <cellStyle name="Note 2 2 2 6 5" xfId="41141" xr:uid="{00000000-0005-0000-0000-000002A00000}"/>
    <cellStyle name="Note 2 2 2 6 6" xfId="41142" xr:uid="{00000000-0005-0000-0000-000003A00000}"/>
    <cellStyle name="Note 2 2 2 6 7" xfId="41143" xr:uid="{00000000-0005-0000-0000-000004A00000}"/>
    <cellStyle name="Note 2 2 2 7" xfId="41144" xr:uid="{00000000-0005-0000-0000-000005A00000}"/>
    <cellStyle name="Note 2 2 2 7 2" xfId="41145" xr:uid="{00000000-0005-0000-0000-000006A00000}"/>
    <cellStyle name="Note 2 2 2 7 2 2" xfId="41146" xr:uid="{00000000-0005-0000-0000-000007A00000}"/>
    <cellStyle name="Note 2 2 2 7 3" xfId="41147" xr:uid="{00000000-0005-0000-0000-000008A00000}"/>
    <cellStyle name="Note 2 2 2 7 3 2" xfId="41148" xr:uid="{00000000-0005-0000-0000-000009A00000}"/>
    <cellStyle name="Note 2 2 2 7 4" xfId="41149" xr:uid="{00000000-0005-0000-0000-00000AA00000}"/>
    <cellStyle name="Note 2 2 2 7 5" xfId="41150" xr:uid="{00000000-0005-0000-0000-00000BA00000}"/>
    <cellStyle name="Note 2 2 2 7 6" xfId="41151" xr:uid="{00000000-0005-0000-0000-00000CA00000}"/>
    <cellStyle name="Note 2 2 2 8" xfId="41152" xr:uid="{00000000-0005-0000-0000-00000DA00000}"/>
    <cellStyle name="Note 2 2 2 8 2" xfId="41153" xr:uid="{00000000-0005-0000-0000-00000EA00000}"/>
    <cellStyle name="Note 2 2 2 9" xfId="41154" xr:uid="{00000000-0005-0000-0000-00000FA00000}"/>
    <cellStyle name="Note 2 2 2 9 2" xfId="41155" xr:uid="{00000000-0005-0000-0000-000010A00000}"/>
    <cellStyle name="Note 2 2 3" xfId="41156" xr:uid="{00000000-0005-0000-0000-000011A00000}"/>
    <cellStyle name="Note 2 2 3 10" xfId="41157" xr:uid="{00000000-0005-0000-0000-000012A00000}"/>
    <cellStyle name="Note 2 2 3 11" xfId="41158" xr:uid="{00000000-0005-0000-0000-000013A00000}"/>
    <cellStyle name="Note 2 2 3 12" xfId="41159" xr:uid="{00000000-0005-0000-0000-000014A00000}"/>
    <cellStyle name="Note 2 2 3 2" xfId="41160" xr:uid="{00000000-0005-0000-0000-000015A00000}"/>
    <cellStyle name="Note 2 2 3 2 10" xfId="41161" xr:uid="{00000000-0005-0000-0000-000016A00000}"/>
    <cellStyle name="Note 2 2 3 2 2" xfId="41162" xr:uid="{00000000-0005-0000-0000-000017A00000}"/>
    <cellStyle name="Note 2 2 3 2 2 2" xfId="41163" xr:uid="{00000000-0005-0000-0000-000018A00000}"/>
    <cellStyle name="Note 2 2 3 2 2 2 2" xfId="41164" xr:uid="{00000000-0005-0000-0000-000019A00000}"/>
    <cellStyle name="Note 2 2 3 2 2 2 2 2" xfId="41165" xr:uid="{00000000-0005-0000-0000-00001AA00000}"/>
    <cellStyle name="Note 2 2 3 2 2 2 2 2 2" xfId="41166" xr:uid="{00000000-0005-0000-0000-00001BA00000}"/>
    <cellStyle name="Note 2 2 3 2 2 2 2 2 2 2" xfId="41167" xr:uid="{00000000-0005-0000-0000-00001CA00000}"/>
    <cellStyle name="Note 2 2 3 2 2 2 2 2 3" xfId="41168" xr:uid="{00000000-0005-0000-0000-00001DA00000}"/>
    <cellStyle name="Note 2 2 3 2 2 2 2 2 3 2" xfId="41169" xr:uid="{00000000-0005-0000-0000-00001EA00000}"/>
    <cellStyle name="Note 2 2 3 2 2 2 2 2 4" xfId="41170" xr:uid="{00000000-0005-0000-0000-00001FA00000}"/>
    <cellStyle name="Note 2 2 3 2 2 2 2 2 5" xfId="41171" xr:uid="{00000000-0005-0000-0000-000020A00000}"/>
    <cellStyle name="Note 2 2 3 2 2 2 2 2 6" xfId="41172" xr:uid="{00000000-0005-0000-0000-000021A00000}"/>
    <cellStyle name="Note 2 2 3 2 2 2 2 3" xfId="41173" xr:uid="{00000000-0005-0000-0000-000022A00000}"/>
    <cellStyle name="Note 2 2 3 2 2 2 2 3 2" xfId="41174" xr:uid="{00000000-0005-0000-0000-000023A00000}"/>
    <cellStyle name="Note 2 2 3 2 2 2 2 4" xfId="41175" xr:uid="{00000000-0005-0000-0000-000024A00000}"/>
    <cellStyle name="Note 2 2 3 2 2 2 2 4 2" xfId="41176" xr:uid="{00000000-0005-0000-0000-000025A00000}"/>
    <cellStyle name="Note 2 2 3 2 2 2 2 5" xfId="41177" xr:uid="{00000000-0005-0000-0000-000026A00000}"/>
    <cellStyle name="Note 2 2 3 2 2 2 2 6" xfId="41178" xr:uid="{00000000-0005-0000-0000-000027A00000}"/>
    <cellStyle name="Note 2 2 3 2 2 2 2 7" xfId="41179" xr:uid="{00000000-0005-0000-0000-000028A00000}"/>
    <cellStyle name="Note 2 2 3 2 2 2 3" xfId="41180" xr:uid="{00000000-0005-0000-0000-000029A00000}"/>
    <cellStyle name="Note 2 2 3 2 2 2 3 2" xfId="41181" xr:uid="{00000000-0005-0000-0000-00002AA00000}"/>
    <cellStyle name="Note 2 2 3 2 2 2 3 2 2" xfId="41182" xr:uid="{00000000-0005-0000-0000-00002BA00000}"/>
    <cellStyle name="Note 2 2 3 2 2 2 3 3" xfId="41183" xr:uid="{00000000-0005-0000-0000-00002CA00000}"/>
    <cellStyle name="Note 2 2 3 2 2 2 3 3 2" xfId="41184" xr:uid="{00000000-0005-0000-0000-00002DA00000}"/>
    <cellStyle name="Note 2 2 3 2 2 2 3 4" xfId="41185" xr:uid="{00000000-0005-0000-0000-00002EA00000}"/>
    <cellStyle name="Note 2 2 3 2 2 2 3 5" xfId="41186" xr:uid="{00000000-0005-0000-0000-00002FA00000}"/>
    <cellStyle name="Note 2 2 3 2 2 2 3 6" xfId="41187" xr:uid="{00000000-0005-0000-0000-000030A00000}"/>
    <cellStyle name="Note 2 2 3 2 2 2 4" xfId="41188" xr:uid="{00000000-0005-0000-0000-000031A00000}"/>
    <cellStyle name="Note 2 2 3 2 2 2 4 2" xfId="41189" xr:uid="{00000000-0005-0000-0000-000032A00000}"/>
    <cellStyle name="Note 2 2 3 2 2 2 5" xfId="41190" xr:uid="{00000000-0005-0000-0000-000033A00000}"/>
    <cellStyle name="Note 2 2 3 2 2 2 5 2" xfId="41191" xr:uid="{00000000-0005-0000-0000-000034A00000}"/>
    <cellStyle name="Note 2 2 3 2 2 2 6" xfId="41192" xr:uid="{00000000-0005-0000-0000-000035A00000}"/>
    <cellStyle name="Note 2 2 3 2 2 2 7" xfId="41193" xr:uid="{00000000-0005-0000-0000-000036A00000}"/>
    <cellStyle name="Note 2 2 3 2 2 2 8" xfId="41194" xr:uid="{00000000-0005-0000-0000-000037A00000}"/>
    <cellStyle name="Note 2 2 3 2 2 3" xfId="41195" xr:uid="{00000000-0005-0000-0000-000038A00000}"/>
    <cellStyle name="Note 2 2 3 2 2 3 2" xfId="41196" xr:uid="{00000000-0005-0000-0000-000039A00000}"/>
    <cellStyle name="Note 2 2 3 2 2 3 2 2" xfId="41197" xr:uid="{00000000-0005-0000-0000-00003AA00000}"/>
    <cellStyle name="Note 2 2 3 2 2 3 2 2 2" xfId="41198" xr:uid="{00000000-0005-0000-0000-00003BA00000}"/>
    <cellStyle name="Note 2 2 3 2 2 3 2 3" xfId="41199" xr:uid="{00000000-0005-0000-0000-00003CA00000}"/>
    <cellStyle name="Note 2 2 3 2 2 3 2 3 2" xfId="41200" xr:uid="{00000000-0005-0000-0000-00003DA00000}"/>
    <cellStyle name="Note 2 2 3 2 2 3 2 4" xfId="41201" xr:uid="{00000000-0005-0000-0000-00003EA00000}"/>
    <cellStyle name="Note 2 2 3 2 2 3 2 5" xfId="41202" xr:uid="{00000000-0005-0000-0000-00003FA00000}"/>
    <cellStyle name="Note 2 2 3 2 2 3 2 6" xfId="41203" xr:uid="{00000000-0005-0000-0000-000040A00000}"/>
    <cellStyle name="Note 2 2 3 2 2 3 3" xfId="41204" xr:uid="{00000000-0005-0000-0000-000041A00000}"/>
    <cellStyle name="Note 2 2 3 2 2 3 3 2" xfId="41205" xr:uid="{00000000-0005-0000-0000-000042A00000}"/>
    <cellStyle name="Note 2 2 3 2 2 3 4" xfId="41206" xr:uid="{00000000-0005-0000-0000-000043A00000}"/>
    <cellStyle name="Note 2 2 3 2 2 3 4 2" xfId="41207" xr:uid="{00000000-0005-0000-0000-000044A00000}"/>
    <cellStyle name="Note 2 2 3 2 2 3 5" xfId="41208" xr:uid="{00000000-0005-0000-0000-000045A00000}"/>
    <cellStyle name="Note 2 2 3 2 2 3 6" xfId="41209" xr:uid="{00000000-0005-0000-0000-000046A00000}"/>
    <cellStyle name="Note 2 2 3 2 2 3 7" xfId="41210" xr:uid="{00000000-0005-0000-0000-000047A00000}"/>
    <cellStyle name="Note 2 2 3 2 2 4" xfId="41211" xr:uid="{00000000-0005-0000-0000-000048A00000}"/>
    <cellStyle name="Note 2 2 3 2 2 4 2" xfId="41212" xr:uid="{00000000-0005-0000-0000-000049A00000}"/>
    <cellStyle name="Note 2 2 3 2 2 4 2 2" xfId="41213" xr:uid="{00000000-0005-0000-0000-00004AA00000}"/>
    <cellStyle name="Note 2 2 3 2 2 4 3" xfId="41214" xr:uid="{00000000-0005-0000-0000-00004BA00000}"/>
    <cellStyle name="Note 2 2 3 2 2 4 3 2" xfId="41215" xr:uid="{00000000-0005-0000-0000-00004CA00000}"/>
    <cellStyle name="Note 2 2 3 2 2 4 4" xfId="41216" xr:uid="{00000000-0005-0000-0000-00004DA00000}"/>
    <cellStyle name="Note 2 2 3 2 2 4 5" xfId="41217" xr:uid="{00000000-0005-0000-0000-00004EA00000}"/>
    <cellStyle name="Note 2 2 3 2 2 4 6" xfId="41218" xr:uid="{00000000-0005-0000-0000-00004FA00000}"/>
    <cellStyle name="Note 2 2 3 2 2 5" xfId="41219" xr:uid="{00000000-0005-0000-0000-000050A00000}"/>
    <cellStyle name="Note 2 2 3 2 2 5 2" xfId="41220" xr:uid="{00000000-0005-0000-0000-000051A00000}"/>
    <cellStyle name="Note 2 2 3 2 2 6" xfId="41221" xr:uid="{00000000-0005-0000-0000-000052A00000}"/>
    <cellStyle name="Note 2 2 3 2 2 6 2" xfId="41222" xr:uid="{00000000-0005-0000-0000-000053A00000}"/>
    <cellStyle name="Note 2 2 3 2 2 7" xfId="41223" xr:uid="{00000000-0005-0000-0000-000054A00000}"/>
    <cellStyle name="Note 2 2 3 2 2 8" xfId="41224" xr:uid="{00000000-0005-0000-0000-000055A00000}"/>
    <cellStyle name="Note 2 2 3 2 2 9" xfId="41225" xr:uid="{00000000-0005-0000-0000-000056A00000}"/>
    <cellStyle name="Note 2 2 3 2 3" xfId="41226" xr:uid="{00000000-0005-0000-0000-000057A00000}"/>
    <cellStyle name="Note 2 2 3 2 3 2" xfId="41227" xr:uid="{00000000-0005-0000-0000-000058A00000}"/>
    <cellStyle name="Note 2 2 3 2 3 2 2" xfId="41228" xr:uid="{00000000-0005-0000-0000-000059A00000}"/>
    <cellStyle name="Note 2 2 3 2 3 2 2 2" xfId="41229" xr:uid="{00000000-0005-0000-0000-00005AA00000}"/>
    <cellStyle name="Note 2 2 3 2 3 2 2 2 2" xfId="41230" xr:uid="{00000000-0005-0000-0000-00005BA00000}"/>
    <cellStyle name="Note 2 2 3 2 3 2 2 3" xfId="41231" xr:uid="{00000000-0005-0000-0000-00005CA00000}"/>
    <cellStyle name="Note 2 2 3 2 3 2 2 3 2" xfId="41232" xr:uid="{00000000-0005-0000-0000-00005DA00000}"/>
    <cellStyle name="Note 2 2 3 2 3 2 2 4" xfId="41233" xr:uid="{00000000-0005-0000-0000-00005EA00000}"/>
    <cellStyle name="Note 2 2 3 2 3 2 2 5" xfId="41234" xr:uid="{00000000-0005-0000-0000-00005FA00000}"/>
    <cellStyle name="Note 2 2 3 2 3 2 2 6" xfId="41235" xr:uid="{00000000-0005-0000-0000-000060A00000}"/>
    <cellStyle name="Note 2 2 3 2 3 2 3" xfId="41236" xr:uid="{00000000-0005-0000-0000-000061A00000}"/>
    <cellStyle name="Note 2 2 3 2 3 2 3 2" xfId="41237" xr:uid="{00000000-0005-0000-0000-000062A00000}"/>
    <cellStyle name="Note 2 2 3 2 3 2 4" xfId="41238" xr:uid="{00000000-0005-0000-0000-000063A00000}"/>
    <cellStyle name="Note 2 2 3 2 3 2 4 2" xfId="41239" xr:uid="{00000000-0005-0000-0000-000064A00000}"/>
    <cellStyle name="Note 2 2 3 2 3 2 5" xfId="41240" xr:uid="{00000000-0005-0000-0000-000065A00000}"/>
    <cellStyle name="Note 2 2 3 2 3 2 6" xfId="41241" xr:uid="{00000000-0005-0000-0000-000066A00000}"/>
    <cellStyle name="Note 2 2 3 2 3 2 7" xfId="41242" xr:uid="{00000000-0005-0000-0000-000067A00000}"/>
    <cellStyle name="Note 2 2 3 2 3 3" xfId="41243" xr:uid="{00000000-0005-0000-0000-000068A00000}"/>
    <cellStyle name="Note 2 2 3 2 3 3 2" xfId="41244" xr:uid="{00000000-0005-0000-0000-000069A00000}"/>
    <cellStyle name="Note 2 2 3 2 3 3 2 2" xfId="41245" xr:uid="{00000000-0005-0000-0000-00006AA00000}"/>
    <cellStyle name="Note 2 2 3 2 3 3 3" xfId="41246" xr:uid="{00000000-0005-0000-0000-00006BA00000}"/>
    <cellStyle name="Note 2 2 3 2 3 3 3 2" xfId="41247" xr:uid="{00000000-0005-0000-0000-00006CA00000}"/>
    <cellStyle name="Note 2 2 3 2 3 3 4" xfId="41248" xr:uid="{00000000-0005-0000-0000-00006DA00000}"/>
    <cellStyle name="Note 2 2 3 2 3 3 5" xfId="41249" xr:uid="{00000000-0005-0000-0000-00006EA00000}"/>
    <cellStyle name="Note 2 2 3 2 3 3 6" xfId="41250" xr:uid="{00000000-0005-0000-0000-00006FA00000}"/>
    <cellStyle name="Note 2 2 3 2 3 4" xfId="41251" xr:uid="{00000000-0005-0000-0000-000070A00000}"/>
    <cellStyle name="Note 2 2 3 2 3 4 2" xfId="41252" xr:uid="{00000000-0005-0000-0000-000071A00000}"/>
    <cellStyle name="Note 2 2 3 2 3 5" xfId="41253" xr:uid="{00000000-0005-0000-0000-000072A00000}"/>
    <cellStyle name="Note 2 2 3 2 3 5 2" xfId="41254" xr:uid="{00000000-0005-0000-0000-000073A00000}"/>
    <cellStyle name="Note 2 2 3 2 3 6" xfId="41255" xr:uid="{00000000-0005-0000-0000-000074A00000}"/>
    <cellStyle name="Note 2 2 3 2 3 7" xfId="41256" xr:uid="{00000000-0005-0000-0000-000075A00000}"/>
    <cellStyle name="Note 2 2 3 2 3 8" xfId="41257" xr:uid="{00000000-0005-0000-0000-000076A00000}"/>
    <cellStyle name="Note 2 2 3 2 4" xfId="41258" xr:uid="{00000000-0005-0000-0000-000077A00000}"/>
    <cellStyle name="Note 2 2 3 2 4 2" xfId="41259" xr:uid="{00000000-0005-0000-0000-000078A00000}"/>
    <cellStyle name="Note 2 2 3 2 4 2 2" xfId="41260" xr:uid="{00000000-0005-0000-0000-000079A00000}"/>
    <cellStyle name="Note 2 2 3 2 4 2 2 2" xfId="41261" xr:uid="{00000000-0005-0000-0000-00007AA00000}"/>
    <cellStyle name="Note 2 2 3 2 4 2 3" xfId="41262" xr:uid="{00000000-0005-0000-0000-00007BA00000}"/>
    <cellStyle name="Note 2 2 3 2 4 2 3 2" xfId="41263" xr:uid="{00000000-0005-0000-0000-00007CA00000}"/>
    <cellStyle name="Note 2 2 3 2 4 2 4" xfId="41264" xr:uid="{00000000-0005-0000-0000-00007DA00000}"/>
    <cellStyle name="Note 2 2 3 2 4 2 5" xfId="41265" xr:uid="{00000000-0005-0000-0000-00007EA00000}"/>
    <cellStyle name="Note 2 2 3 2 4 2 6" xfId="41266" xr:uid="{00000000-0005-0000-0000-00007FA00000}"/>
    <cellStyle name="Note 2 2 3 2 4 3" xfId="41267" xr:uid="{00000000-0005-0000-0000-000080A00000}"/>
    <cellStyle name="Note 2 2 3 2 4 3 2" xfId="41268" xr:uid="{00000000-0005-0000-0000-000081A00000}"/>
    <cellStyle name="Note 2 2 3 2 4 4" xfId="41269" xr:uid="{00000000-0005-0000-0000-000082A00000}"/>
    <cellStyle name="Note 2 2 3 2 4 4 2" xfId="41270" xr:uid="{00000000-0005-0000-0000-000083A00000}"/>
    <cellStyle name="Note 2 2 3 2 4 5" xfId="41271" xr:uid="{00000000-0005-0000-0000-000084A00000}"/>
    <cellStyle name="Note 2 2 3 2 4 6" xfId="41272" xr:uid="{00000000-0005-0000-0000-000085A00000}"/>
    <cellStyle name="Note 2 2 3 2 4 7" xfId="41273" xr:uid="{00000000-0005-0000-0000-000086A00000}"/>
    <cellStyle name="Note 2 2 3 2 5" xfId="41274" xr:uid="{00000000-0005-0000-0000-000087A00000}"/>
    <cellStyle name="Note 2 2 3 2 5 2" xfId="41275" xr:uid="{00000000-0005-0000-0000-000088A00000}"/>
    <cellStyle name="Note 2 2 3 2 5 2 2" xfId="41276" xr:uid="{00000000-0005-0000-0000-000089A00000}"/>
    <cellStyle name="Note 2 2 3 2 5 3" xfId="41277" xr:uid="{00000000-0005-0000-0000-00008AA00000}"/>
    <cellStyle name="Note 2 2 3 2 5 3 2" xfId="41278" xr:uid="{00000000-0005-0000-0000-00008BA00000}"/>
    <cellStyle name="Note 2 2 3 2 5 4" xfId="41279" xr:uid="{00000000-0005-0000-0000-00008CA00000}"/>
    <cellStyle name="Note 2 2 3 2 5 5" xfId="41280" xr:uid="{00000000-0005-0000-0000-00008DA00000}"/>
    <cellStyle name="Note 2 2 3 2 5 6" xfId="41281" xr:uid="{00000000-0005-0000-0000-00008EA00000}"/>
    <cellStyle name="Note 2 2 3 2 6" xfId="41282" xr:uid="{00000000-0005-0000-0000-00008FA00000}"/>
    <cellStyle name="Note 2 2 3 2 6 2" xfId="41283" xr:uid="{00000000-0005-0000-0000-000090A00000}"/>
    <cellStyle name="Note 2 2 3 2 7" xfId="41284" xr:uid="{00000000-0005-0000-0000-000091A00000}"/>
    <cellStyle name="Note 2 2 3 2 7 2" xfId="41285" xr:uid="{00000000-0005-0000-0000-000092A00000}"/>
    <cellStyle name="Note 2 2 3 2 8" xfId="41286" xr:uid="{00000000-0005-0000-0000-000093A00000}"/>
    <cellStyle name="Note 2 2 3 2 9" xfId="41287" xr:uid="{00000000-0005-0000-0000-000094A00000}"/>
    <cellStyle name="Note 2 2 3 3" xfId="41288" xr:uid="{00000000-0005-0000-0000-000095A00000}"/>
    <cellStyle name="Note 2 2 3 3 10" xfId="41289" xr:uid="{00000000-0005-0000-0000-000096A00000}"/>
    <cellStyle name="Note 2 2 3 3 2" xfId="41290" xr:uid="{00000000-0005-0000-0000-000097A00000}"/>
    <cellStyle name="Note 2 2 3 3 2 2" xfId="41291" xr:uid="{00000000-0005-0000-0000-000098A00000}"/>
    <cellStyle name="Note 2 2 3 3 2 2 2" xfId="41292" xr:uid="{00000000-0005-0000-0000-000099A00000}"/>
    <cellStyle name="Note 2 2 3 3 2 2 2 2" xfId="41293" xr:uid="{00000000-0005-0000-0000-00009AA00000}"/>
    <cellStyle name="Note 2 2 3 3 2 2 2 2 2" xfId="41294" xr:uid="{00000000-0005-0000-0000-00009BA00000}"/>
    <cellStyle name="Note 2 2 3 3 2 2 2 2 2 2" xfId="41295" xr:uid="{00000000-0005-0000-0000-00009CA00000}"/>
    <cellStyle name="Note 2 2 3 3 2 2 2 2 3" xfId="41296" xr:uid="{00000000-0005-0000-0000-00009DA00000}"/>
    <cellStyle name="Note 2 2 3 3 2 2 2 2 3 2" xfId="41297" xr:uid="{00000000-0005-0000-0000-00009EA00000}"/>
    <cellStyle name="Note 2 2 3 3 2 2 2 2 4" xfId="41298" xr:uid="{00000000-0005-0000-0000-00009FA00000}"/>
    <cellStyle name="Note 2 2 3 3 2 2 2 2 5" xfId="41299" xr:uid="{00000000-0005-0000-0000-0000A0A00000}"/>
    <cellStyle name="Note 2 2 3 3 2 2 2 2 6" xfId="41300" xr:uid="{00000000-0005-0000-0000-0000A1A00000}"/>
    <cellStyle name="Note 2 2 3 3 2 2 2 3" xfId="41301" xr:uid="{00000000-0005-0000-0000-0000A2A00000}"/>
    <cellStyle name="Note 2 2 3 3 2 2 2 3 2" xfId="41302" xr:uid="{00000000-0005-0000-0000-0000A3A00000}"/>
    <cellStyle name="Note 2 2 3 3 2 2 2 4" xfId="41303" xr:uid="{00000000-0005-0000-0000-0000A4A00000}"/>
    <cellStyle name="Note 2 2 3 3 2 2 2 4 2" xfId="41304" xr:uid="{00000000-0005-0000-0000-0000A5A00000}"/>
    <cellStyle name="Note 2 2 3 3 2 2 2 5" xfId="41305" xr:uid="{00000000-0005-0000-0000-0000A6A00000}"/>
    <cellStyle name="Note 2 2 3 3 2 2 2 6" xfId="41306" xr:uid="{00000000-0005-0000-0000-0000A7A00000}"/>
    <cellStyle name="Note 2 2 3 3 2 2 2 7" xfId="41307" xr:uid="{00000000-0005-0000-0000-0000A8A00000}"/>
    <cellStyle name="Note 2 2 3 3 2 2 3" xfId="41308" xr:uid="{00000000-0005-0000-0000-0000A9A00000}"/>
    <cellStyle name="Note 2 2 3 3 2 2 3 2" xfId="41309" xr:uid="{00000000-0005-0000-0000-0000AAA00000}"/>
    <cellStyle name="Note 2 2 3 3 2 2 3 2 2" xfId="41310" xr:uid="{00000000-0005-0000-0000-0000ABA00000}"/>
    <cellStyle name="Note 2 2 3 3 2 2 3 3" xfId="41311" xr:uid="{00000000-0005-0000-0000-0000ACA00000}"/>
    <cellStyle name="Note 2 2 3 3 2 2 3 3 2" xfId="41312" xr:uid="{00000000-0005-0000-0000-0000ADA00000}"/>
    <cellStyle name="Note 2 2 3 3 2 2 3 4" xfId="41313" xr:uid="{00000000-0005-0000-0000-0000AEA00000}"/>
    <cellStyle name="Note 2 2 3 3 2 2 3 5" xfId="41314" xr:uid="{00000000-0005-0000-0000-0000AFA00000}"/>
    <cellStyle name="Note 2 2 3 3 2 2 3 6" xfId="41315" xr:uid="{00000000-0005-0000-0000-0000B0A00000}"/>
    <cellStyle name="Note 2 2 3 3 2 2 4" xfId="41316" xr:uid="{00000000-0005-0000-0000-0000B1A00000}"/>
    <cellStyle name="Note 2 2 3 3 2 2 4 2" xfId="41317" xr:uid="{00000000-0005-0000-0000-0000B2A00000}"/>
    <cellStyle name="Note 2 2 3 3 2 2 5" xfId="41318" xr:uid="{00000000-0005-0000-0000-0000B3A00000}"/>
    <cellStyle name="Note 2 2 3 3 2 2 5 2" xfId="41319" xr:uid="{00000000-0005-0000-0000-0000B4A00000}"/>
    <cellStyle name="Note 2 2 3 3 2 2 6" xfId="41320" xr:uid="{00000000-0005-0000-0000-0000B5A00000}"/>
    <cellStyle name="Note 2 2 3 3 2 2 7" xfId="41321" xr:uid="{00000000-0005-0000-0000-0000B6A00000}"/>
    <cellStyle name="Note 2 2 3 3 2 2 8" xfId="41322" xr:uid="{00000000-0005-0000-0000-0000B7A00000}"/>
    <cellStyle name="Note 2 2 3 3 2 3" xfId="41323" xr:uid="{00000000-0005-0000-0000-0000B8A00000}"/>
    <cellStyle name="Note 2 2 3 3 2 3 2" xfId="41324" xr:uid="{00000000-0005-0000-0000-0000B9A00000}"/>
    <cellStyle name="Note 2 2 3 3 2 3 2 2" xfId="41325" xr:uid="{00000000-0005-0000-0000-0000BAA00000}"/>
    <cellStyle name="Note 2 2 3 3 2 3 2 2 2" xfId="41326" xr:uid="{00000000-0005-0000-0000-0000BBA00000}"/>
    <cellStyle name="Note 2 2 3 3 2 3 2 3" xfId="41327" xr:uid="{00000000-0005-0000-0000-0000BCA00000}"/>
    <cellStyle name="Note 2 2 3 3 2 3 2 3 2" xfId="41328" xr:uid="{00000000-0005-0000-0000-0000BDA00000}"/>
    <cellStyle name="Note 2 2 3 3 2 3 2 4" xfId="41329" xr:uid="{00000000-0005-0000-0000-0000BEA00000}"/>
    <cellStyle name="Note 2 2 3 3 2 3 2 5" xfId="41330" xr:uid="{00000000-0005-0000-0000-0000BFA00000}"/>
    <cellStyle name="Note 2 2 3 3 2 3 2 6" xfId="41331" xr:uid="{00000000-0005-0000-0000-0000C0A00000}"/>
    <cellStyle name="Note 2 2 3 3 2 3 3" xfId="41332" xr:uid="{00000000-0005-0000-0000-0000C1A00000}"/>
    <cellStyle name="Note 2 2 3 3 2 3 3 2" xfId="41333" xr:uid="{00000000-0005-0000-0000-0000C2A00000}"/>
    <cellStyle name="Note 2 2 3 3 2 3 4" xfId="41334" xr:uid="{00000000-0005-0000-0000-0000C3A00000}"/>
    <cellStyle name="Note 2 2 3 3 2 3 4 2" xfId="41335" xr:uid="{00000000-0005-0000-0000-0000C4A00000}"/>
    <cellStyle name="Note 2 2 3 3 2 3 5" xfId="41336" xr:uid="{00000000-0005-0000-0000-0000C5A00000}"/>
    <cellStyle name="Note 2 2 3 3 2 3 6" xfId="41337" xr:uid="{00000000-0005-0000-0000-0000C6A00000}"/>
    <cellStyle name="Note 2 2 3 3 2 3 7" xfId="41338" xr:uid="{00000000-0005-0000-0000-0000C7A00000}"/>
    <cellStyle name="Note 2 2 3 3 2 4" xfId="41339" xr:uid="{00000000-0005-0000-0000-0000C8A00000}"/>
    <cellStyle name="Note 2 2 3 3 2 4 2" xfId="41340" xr:uid="{00000000-0005-0000-0000-0000C9A00000}"/>
    <cellStyle name="Note 2 2 3 3 2 4 2 2" xfId="41341" xr:uid="{00000000-0005-0000-0000-0000CAA00000}"/>
    <cellStyle name="Note 2 2 3 3 2 4 3" xfId="41342" xr:uid="{00000000-0005-0000-0000-0000CBA00000}"/>
    <cellStyle name="Note 2 2 3 3 2 4 3 2" xfId="41343" xr:uid="{00000000-0005-0000-0000-0000CCA00000}"/>
    <cellStyle name="Note 2 2 3 3 2 4 4" xfId="41344" xr:uid="{00000000-0005-0000-0000-0000CDA00000}"/>
    <cellStyle name="Note 2 2 3 3 2 4 5" xfId="41345" xr:uid="{00000000-0005-0000-0000-0000CEA00000}"/>
    <cellStyle name="Note 2 2 3 3 2 4 6" xfId="41346" xr:uid="{00000000-0005-0000-0000-0000CFA00000}"/>
    <cellStyle name="Note 2 2 3 3 2 5" xfId="41347" xr:uid="{00000000-0005-0000-0000-0000D0A00000}"/>
    <cellStyle name="Note 2 2 3 3 2 5 2" xfId="41348" xr:uid="{00000000-0005-0000-0000-0000D1A00000}"/>
    <cellStyle name="Note 2 2 3 3 2 6" xfId="41349" xr:uid="{00000000-0005-0000-0000-0000D2A00000}"/>
    <cellStyle name="Note 2 2 3 3 2 6 2" xfId="41350" xr:uid="{00000000-0005-0000-0000-0000D3A00000}"/>
    <cellStyle name="Note 2 2 3 3 2 7" xfId="41351" xr:uid="{00000000-0005-0000-0000-0000D4A00000}"/>
    <cellStyle name="Note 2 2 3 3 2 8" xfId="41352" xr:uid="{00000000-0005-0000-0000-0000D5A00000}"/>
    <cellStyle name="Note 2 2 3 3 2 9" xfId="41353" xr:uid="{00000000-0005-0000-0000-0000D6A00000}"/>
    <cellStyle name="Note 2 2 3 3 3" xfId="41354" xr:uid="{00000000-0005-0000-0000-0000D7A00000}"/>
    <cellStyle name="Note 2 2 3 3 3 2" xfId="41355" xr:uid="{00000000-0005-0000-0000-0000D8A00000}"/>
    <cellStyle name="Note 2 2 3 3 3 2 2" xfId="41356" xr:uid="{00000000-0005-0000-0000-0000D9A00000}"/>
    <cellStyle name="Note 2 2 3 3 3 2 2 2" xfId="41357" xr:uid="{00000000-0005-0000-0000-0000DAA00000}"/>
    <cellStyle name="Note 2 2 3 3 3 2 2 2 2" xfId="41358" xr:uid="{00000000-0005-0000-0000-0000DBA00000}"/>
    <cellStyle name="Note 2 2 3 3 3 2 2 3" xfId="41359" xr:uid="{00000000-0005-0000-0000-0000DCA00000}"/>
    <cellStyle name="Note 2 2 3 3 3 2 2 3 2" xfId="41360" xr:uid="{00000000-0005-0000-0000-0000DDA00000}"/>
    <cellStyle name="Note 2 2 3 3 3 2 2 4" xfId="41361" xr:uid="{00000000-0005-0000-0000-0000DEA00000}"/>
    <cellStyle name="Note 2 2 3 3 3 2 2 5" xfId="41362" xr:uid="{00000000-0005-0000-0000-0000DFA00000}"/>
    <cellStyle name="Note 2 2 3 3 3 2 2 6" xfId="41363" xr:uid="{00000000-0005-0000-0000-0000E0A00000}"/>
    <cellStyle name="Note 2 2 3 3 3 2 3" xfId="41364" xr:uid="{00000000-0005-0000-0000-0000E1A00000}"/>
    <cellStyle name="Note 2 2 3 3 3 2 3 2" xfId="41365" xr:uid="{00000000-0005-0000-0000-0000E2A00000}"/>
    <cellStyle name="Note 2 2 3 3 3 2 4" xfId="41366" xr:uid="{00000000-0005-0000-0000-0000E3A00000}"/>
    <cellStyle name="Note 2 2 3 3 3 2 4 2" xfId="41367" xr:uid="{00000000-0005-0000-0000-0000E4A00000}"/>
    <cellStyle name="Note 2 2 3 3 3 2 5" xfId="41368" xr:uid="{00000000-0005-0000-0000-0000E5A00000}"/>
    <cellStyle name="Note 2 2 3 3 3 2 6" xfId="41369" xr:uid="{00000000-0005-0000-0000-0000E6A00000}"/>
    <cellStyle name="Note 2 2 3 3 3 2 7" xfId="41370" xr:uid="{00000000-0005-0000-0000-0000E7A00000}"/>
    <cellStyle name="Note 2 2 3 3 3 3" xfId="41371" xr:uid="{00000000-0005-0000-0000-0000E8A00000}"/>
    <cellStyle name="Note 2 2 3 3 3 3 2" xfId="41372" xr:uid="{00000000-0005-0000-0000-0000E9A00000}"/>
    <cellStyle name="Note 2 2 3 3 3 3 2 2" xfId="41373" xr:uid="{00000000-0005-0000-0000-0000EAA00000}"/>
    <cellStyle name="Note 2 2 3 3 3 3 3" xfId="41374" xr:uid="{00000000-0005-0000-0000-0000EBA00000}"/>
    <cellStyle name="Note 2 2 3 3 3 3 3 2" xfId="41375" xr:uid="{00000000-0005-0000-0000-0000ECA00000}"/>
    <cellStyle name="Note 2 2 3 3 3 3 4" xfId="41376" xr:uid="{00000000-0005-0000-0000-0000EDA00000}"/>
    <cellStyle name="Note 2 2 3 3 3 3 5" xfId="41377" xr:uid="{00000000-0005-0000-0000-0000EEA00000}"/>
    <cellStyle name="Note 2 2 3 3 3 3 6" xfId="41378" xr:uid="{00000000-0005-0000-0000-0000EFA00000}"/>
    <cellStyle name="Note 2 2 3 3 3 4" xfId="41379" xr:uid="{00000000-0005-0000-0000-0000F0A00000}"/>
    <cellStyle name="Note 2 2 3 3 3 4 2" xfId="41380" xr:uid="{00000000-0005-0000-0000-0000F1A00000}"/>
    <cellStyle name="Note 2 2 3 3 3 5" xfId="41381" xr:uid="{00000000-0005-0000-0000-0000F2A00000}"/>
    <cellStyle name="Note 2 2 3 3 3 5 2" xfId="41382" xr:uid="{00000000-0005-0000-0000-0000F3A00000}"/>
    <cellStyle name="Note 2 2 3 3 3 6" xfId="41383" xr:uid="{00000000-0005-0000-0000-0000F4A00000}"/>
    <cellStyle name="Note 2 2 3 3 3 7" xfId="41384" xr:uid="{00000000-0005-0000-0000-0000F5A00000}"/>
    <cellStyle name="Note 2 2 3 3 3 8" xfId="41385" xr:uid="{00000000-0005-0000-0000-0000F6A00000}"/>
    <cellStyle name="Note 2 2 3 3 4" xfId="41386" xr:uid="{00000000-0005-0000-0000-0000F7A00000}"/>
    <cellStyle name="Note 2 2 3 3 4 2" xfId="41387" xr:uid="{00000000-0005-0000-0000-0000F8A00000}"/>
    <cellStyle name="Note 2 2 3 3 4 2 2" xfId="41388" xr:uid="{00000000-0005-0000-0000-0000F9A00000}"/>
    <cellStyle name="Note 2 2 3 3 4 2 2 2" xfId="41389" xr:uid="{00000000-0005-0000-0000-0000FAA00000}"/>
    <cellStyle name="Note 2 2 3 3 4 2 3" xfId="41390" xr:uid="{00000000-0005-0000-0000-0000FBA00000}"/>
    <cellStyle name="Note 2 2 3 3 4 2 3 2" xfId="41391" xr:uid="{00000000-0005-0000-0000-0000FCA00000}"/>
    <cellStyle name="Note 2 2 3 3 4 2 4" xfId="41392" xr:uid="{00000000-0005-0000-0000-0000FDA00000}"/>
    <cellStyle name="Note 2 2 3 3 4 2 5" xfId="41393" xr:uid="{00000000-0005-0000-0000-0000FEA00000}"/>
    <cellStyle name="Note 2 2 3 3 4 2 6" xfId="41394" xr:uid="{00000000-0005-0000-0000-0000FFA00000}"/>
    <cellStyle name="Note 2 2 3 3 4 3" xfId="41395" xr:uid="{00000000-0005-0000-0000-000000A10000}"/>
    <cellStyle name="Note 2 2 3 3 4 3 2" xfId="41396" xr:uid="{00000000-0005-0000-0000-000001A10000}"/>
    <cellStyle name="Note 2 2 3 3 4 4" xfId="41397" xr:uid="{00000000-0005-0000-0000-000002A10000}"/>
    <cellStyle name="Note 2 2 3 3 4 4 2" xfId="41398" xr:uid="{00000000-0005-0000-0000-000003A10000}"/>
    <cellStyle name="Note 2 2 3 3 4 5" xfId="41399" xr:uid="{00000000-0005-0000-0000-000004A10000}"/>
    <cellStyle name="Note 2 2 3 3 4 6" xfId="41400" xr:uid="{00000000-0005-0000-0000-000005A10000}"/>
    <cellStyle name="Note 2 2 3 3 4 7" xfId="41401" xr:uid="{00000000-0005-0000-0000-000006A10000}"/>
    <cellStyle name="Note 2 2 3 3 5" xfId="41402" xr:uid="{00000000-0005-0000-0000-000007A10000}"/>
    <cellStyle name="Note 2 2 3 3 5 2" xfId="41403" xr:uid="{00000000-0005-0000-0000-000008A10000}"/>
    <cellStyle name="Note 2 2 3 3 5 2 2" xfId="41404" xr:uid="{00000000-0005-0000-0000-000009A10000}"/>
    <cellStyle name="Note 2 2 3 3 5 3" xfId="41405" xr:uid="{00000000-0005-0000-0000-00000AA10000}"/>
    <cellStyle name="Note 2 2 3 3 5 3 2" xfId="41406" xr:uid="{00000000-0005-0000-0000-00000BA10000}"/>
    <cellStyle name="Note 2 2 3 3 5 4" xfId="41407" xr:uid="{00000000-0005-0000-0000-00000CA10000}"/>
    <cellStyle name="Note 2 2 3 3 5 5" xfId="41408" xr:uid="{00000000-0005-0000-0000-00000DA10000}"/>
    <cellStyle name="Note 2 2 3 3 5 6" xfId="41409" xr:uid="{00000000-0005-0000-0000-00000EA10000}"/>
    <cellStyle name="Note 2 2 3 3 6" xfId="41410" xr:uid="{00000000-0005-0000-0000-00000FA10000}"/>
    <cellStyle name="Note 2 2 3 3 6 2" xfId="41411" xr:uid="{00000000-0005-0000-0000-000010A10000}"/>
    <cellStyle name="Note 2 2 3 3 7" xfId="41412" xr:uid="{00000000-0005-0000-0000-000011A10000}"/>
    <cellStyle name="Note 2 2 3 3 7 2" xfId="41413" xr:uid="{00000000-0005-0000-0000-000012A10000}"/>
    <cellStyle name="Note 2 2 3 3 8" xfId="41414" xr:uid="{00000000-0005-0000-0000-000013A10000}"/>
    <cellStyle name="Note 2 2 3 3 9" xfId="41415" xr:uid="{00000000-0005-0000-0000-000014A10000}"/>
    <cellStyle name="Note 2 2 3 4" xfId="41416" xr:uid="{00000000-0005-0000-0000-000015A10000}"/>
    <cellStyle name="Note 2 2 3 4 2" xfId="41417" xr:uid="{00000000-0005-0000-0000-000016A10000}"/>
    <cellStyle name="Note 2 2 3 4 2 2" xfId="41418" xr:uid="{00000000-0005-0000-0000-000017A10000}"/>
    <cellStyle name="Note 2 2 3 4 2 2 2" xfId="41419" xr:uid="{00000000-0005-0000-0000-000018A10000}"/>
    <cellStyle name="Note 2 2 3 4 2 2 2 2" xfId="41420" xr:uid="{00000000-0005-0000-0000-000019A10000}"/>
    <cellStyle name="Note 2 2 3 4 2 2 2 2 2" xfId="41421" xr:uid="{00000000-0005-0000-0000-00001AA10000}"/>
    <cellStyle name="Note 2 2 3 4 2 2 2 3" xfId="41422" xr:uid="{00000000-0005-0000-0000-00001BA10000}"/>
    <cellStyle name="Note 2 2 3 4 2 2 2 3 2" xfId="41423" xr:uid="{00000000-0005-0000-0000-00001CA10000}"/>
    <cellStyle name="Note 2 2 3 4 2 2 2 4" xfId="41424" xr:uid="{00000000-0005-0000-0000-00001DA10000}"/>
    <cellStyle name="Note 2 2 3 4 2 2 2 5" xfId="41425" xr:uid="{00000000-0005-0000-0000-00001EA10000}"/>
    <cellStyle name="Note 2 2 3 4 2 2 2 6" xfId="41426" xr:uid="{00000000-0005-0000-0000-00001FA10000}"/>
    <cellStyle name="Note 2 2 3 4 2 2 3" xfId="41427" xr:uid="{00000000-0005-0000-0000-000020A10000}"/>
    <cellStyle name="Note 2 2 3 4 2 2 3 2" xfId="41428" xr:uid="{00000000-0005-0000-0000-000021A10000}"/>
    <cellStyle name="Note 2 2 3 4 2 2 4" xfId="41429" xr:uid="{00000000-0005-0000-0000-000022A10000}"/>
    <cellStyle name="Note 2 2 3 4 2 2 4 2" xfId="41430" xr:uid="{00000000-0005-0000-0000-000023A10000}"/>
    <cellStyle name="Note 2 2 3 4 2 2 5" xfId="41431" xr:uid="{00000000-0005-0000-0000-000024A10000}"/>
    <cellStyle name="Note 2 2 3 4 2 2 6" xfId="41432" xr:uid="{00000000-0005-0000-0000-000025A10000}"/>
    <cellStyle name="Note 2 2 3 4 2 2 7" xfId="41433" xr:uid="{00000000-0005-0000-0000-000026A10000}"/>
    <cellStyle name="Note 2 2 3 4 2 3" xfId="41434" xr:uid="{00000000-0005-0000-0000-000027A10000}"/>
    <cellStyle name="Note 2 2 3 4 2 3 2" xfId="41435" xr:uid="{00000000-0005-0000-0000-000028A10000}"/>
    <cellStyle name="Note 2 2 3 4 2 3 2 2" xfId="41436" xr:uid="{00000000-0005-0000-0000-000029A10000}"/>
    <cellStyle name="Note 2 2 3 4 2 3 3" xfId="41437" xr:uid="{00000000-0005-0000-0000-00002AA10000}"/>
    <cellStyle name="Note 2 2 3 4 2 3 3 2" xfId="41438" xr:uid="{00000000-0005-0000-0000-00002BA10000}"/>
    <cellStyle name="Note 2 2 3 4 2 3 4" xfId="41439" xr:uid="{00000000-0005-0000-0000-00002CA10000}"/>
    <cellStyle name="Note 2 2 3 4 2 3 5" xfId="41440" xr:uid="{00000000-0005-0000-0000-00002DA10000}"/>
    <cellStyle name="Note 2 2 3 4 2 3 6" xfId="41441" xr:uid="{00000000-0005-0000-0000-00002EA10000}"/>
    <cellStyle name="Note 2 2 3 4 2 4" xfId="41442" xr:uid="{00000000-0005-0000-0000-00002FA10000}"/>
    <cellStyle name="Note 2 2 3 4 2 4 2" xfId="41443" xr:uid="{00000000-0005-0000-0000-000030A10000}"/>
    <cellStyle name="Note 2 2 3 4 2 5" xfId="41444" xr:uid="{00000000-0005-0000-0000-000031A10000}"/>
    <cellStyle name="Note 2 2 3 4 2 5 2" xfId="41445" xr:uid="{00000000-0005-0000-0000-000032A10000}"/>
    <cellStyle name="Note 2 2 3 4 2 6" xfId="41446" xr:uid="{00000000-0005-0000-0000-000033A10000}"/>
    <cellStyle name="Note 2 2 3 4 2 7" xfId="41447" xr:uid="{00000000-0005-0000-0000-000034A10000}"/>
    <cellStyle name="Note 2 2 3 4 2 8" xfId="41448" xr:uid="{00000000-0005-0000-0000-000035A10000}"/>
    <cellStyle name="Note 2 2 3 4 3" xfId="41449" xr:uid="{00000000-0005-0000-0000-000036A10000}"/>
    <cellStyle name="Note 2 2 3 4 3 2" xfId="41450" xr:uid="{00000000-0005-0000-0000-000037A10000}"/>
    <cellStyle name="Note 2 2 3 4 3 2 2" xfId="41451" xr:uid="{00000000-0005-0000-0000-000038A10000}"/>
    <cellStyle name="Note 2 2 3 4 3 2 2 2" xfId="41452" xr:uid="{00000000-0005-0000-0000-000039A10000}"/>
    <cellStyle name="Note 2 2 3 4 3 2 3" xfId="41453" xr:uid="{00000000-0005-0000-0000-00003AA10000}"/>
    <cellStyle name="Note 2 2 3 4 3 2 3 2" xfId="41454" xr:uid="{00000000-0005-0000-0000-00003BA10000}"/>
    <cellStyle name="Note 2 2 3 4 3 2 4" xfId="41455" xr:uid="{00000000-0005-0000-0000-00003CA10000}"/>
    <cellStyle name="Note 2 2 3 4 3 2 5" xfId="41456" xr:uid="{00000000-0005-0000-0000-00003DA10000}"/>
    <cellStyle name="Note 2 2 3 4 3 2 6" xfId="41457" xr:uid="{00000000-0005-0000-0000-00003EA10000}"/>
    <cellStyle name="Note 2 2 3 4 3 3" xfId="41458" xr:uid="{00000000-0005-0000-0000-00003FA10000}"/>
    <cellStyle name="Note 2 2 3 4 3 3 2" xfId="41459" xr:uid="{00000000-0005-0000-0000-000040A10000}"/>
    <cellStyle name="Note 2 2 3 4 3 4" xfId="41460" xr:uid="{00000000-0005-0000-0000-000041A10000}"/>
    <cellStyle name="Note 2 2 3 4 3 4 2" xfId="41461" xr:uid="{00000000-0005-0000-0000-000042A10000}"/>
    <cellStyle name="Note 2 2 3 4 3 5" xfId="41462" xr:uid="{00000000-0005-0000-0000-000043A10000}"/>
    <cellStyle name="Note 2 2 3 4 3 6" xfId="41463" xr:uid="{00000000-0005-0000-0000-000044A10000}"/>
    <cellStyle name="Note 2 2 3 4 3 7" xfId="41464" xr:uid="{00000000-0005-0000-0000-000045A10000}"/>
    <cellStyle name="Note 2 2 3 4 4" xfId="41465" xr:uid="{00000000-0005-0000-0000-000046A10000}"/>
    <cellStyle name="Note 2 2 3 4 4 2" xfId="41466" xr:uid="{00000000-0005-0000-0000-000047A10000}"/>
    <cellStyle name="Note 2 2 3 4 4 2 2" xfId="41467" xr:uid="{00000000-0005-0000-0000-000048A10000}"/>
    <cellStyle name="Note 2 2 3 4 4 3" xfId="41468" xr:uid="{00000000-0005-0000-0000-000049A10000}"/>
    <cellStyle name="Note 2 2 3 4 4 3 2" xfId="41469" xr:uid="{00000000-0005-0000-0000-00004AA10000}"/>
    <cellStyle name="Note 2 2 3 4 4 4" xfId="41470" xr:uid="{00000000-0005-0000-0000-00004BA10000}"/>
    <cellStyle name="Note 2 2 3 4 4 5" xfId="41471" xr:uid="{00000000-0005-0000-0000-00004CA10000}"/>
    <cellStyle name="Note 2 2 3 4 4 6" xfId="41472" xr:uid="{00000000-0005-0000-0000-00004DA10000}"/>
    <cellStyle name="Note 2 2 3 4 5" xfId="41473" xr:uid="{00000000-0005-0000-0000-00004EA10000}"/>
    <cellStyle name="Note 2 2 3 4 5 2" xfId="41474" xr:uid="{00000000-0005-0000-0000-00004FA10000}"/>
    <cellStyle name="Note 2 2 3 4 6" xfId="41475" xr:uid="{00000000-0005-0000-0000-000050A10000}"/>
    <cellStyle name="Note 2 2 3 4 6 2" xfId="41476" xr:uid="{00000000-0005-0000-0000-000051A10000}"/>
    <cellStyle name="Note 2 2 3 4 7" xfId="41477" xr:uid="{00000000-0005-0000-0000-000052A10000}"/>
    <cellStyle name="Note 2 2 3 4 8" xfId="41478" xr:uid="{00000000-0005-0000-0000-000053A10000}"/>
    <cellStyle name="Note 2 2 3 4 9" xfId="41479" xr:uid="{00000000-0005-0000-0000-000054A10000}"/>
    <cellStyle name="Note 2 2 3 5" xfId="41480" xr:uid="{00000000-0005-0000-0000-000055A10000}"/>
    <cellStyle name="Note 2 2 3 5 2" xfId="41481" xr:uid="{00000000-0005-0000-0000-000056A10000}"/>
    <cellStyle name="Note 2 2 3 5 2 2" xfId="41482" xr:uid="{00000000-0005-0000-0000-000057A10000}"/>
    <cellStyle name="Note 2 2 3 5 2 2 2" xfId="41483" xr:uid="{00000000-0005-0000-0000-000058A10000}"/>
    <cellStyle name="Note 2 2 3 5 2 2 2 2" xfId="41484" xr:uid="{00000000-0005-0000-0000-000059A10000}"/>
    <cellStyle name="Note 2 2 3 5 2 2 3" xfId="41485" xr:uid="{00000000-0005-0000-0000-00005AA10000}"/>
    <cellStyle name="Note 2 2 3 5 2 2 3 2" xfId="41486" xr:uid="{00000000-0005-0000-0000-00005BA10000}"/>
    <cellStyle name="Note 2 2 3 5 2 2 4" xfId="41487" xr:uid="{00000000-0005-0000-0000-00005CA10000}"/>
    <cellStyle name="Note 2 2 3 5 2 2 5" xfId="41488" xr:uid="{00000000-0005-0000-0000-00005DA10000}"/>
    <cellStyle name="Note 2 2 3 5 2 2 6" xfId="41489" xr:uid="{00000000-0005-0000-0000-00005EA10000}"/>
    <cellStyle name="Note 2 2 3 5 2 3" xfId="41490" xr:uid="{00000000-0005-0000-0000-00005FA10000}"/>
    <cellStyle name="Note 2 2 3 5 2 3 2" xfId="41491" xr:uid="{00000000-0005-0000-0000-000060A10000}"/>
    <cellStyle name="Note 2 2 3 5 2 4" xfId="41492" xr:uid="{00000000-0005-0000-0000-000061A10000}"/>
    <cellStyle name="Note 2 2 3 5 2 4 2" xfId="41493" xr:uid="{00000000-0005-0000-0000-000062A10000}"/>
    <cellStyle name="Note 2 2 3 5 2 5" xfId="41494" xr:uid="{00000000-0005-0000-0000-000063A10000}"/>
    <cellStyle name="Note 2 2 3 5 2 6" xfId="41495" xr:uid="{00000000-0005-0000-0000-000064A10000}"/>
    <cellStyle name="Note 2 2 3 5 2 7" xfId="41496" xr:uid="{00000000-0005-0000-0000-000065A10000}"/>
    <cellStyle name="Note 2 2 3 5 3" xfId="41497" xr:uid="{00000000-0005-0000-0000-000066A10000}"/>
    <cellStyle name="Note 2 2 3 5 3 2" xfId="41498" xr:uid="{00000000-0005-0000-0000-000067A10000}"/>
    <cellStyle name="Note 2 2 3 5 3 2 2" xfId="41499" xr:uid="{00000000-0005-0000-0000-000068A10000}"/>
    <cellStyle name="Note 2 2 3 5 3 3" xfId="41500" xr:uid="{00000000-0005-0000-0000-000069A10000}"/>
    <cellStyle name="Note 2 2 3 5 3 3 2" xfId="41501" xr:uid="{00000000-0005-0000-0000-00006AA10000}"/>
    <cellStyle name="Note 2 2 3 5 3 4" xfId="41502" xr:uid="{00000000-0005-0000-0000-00006BA10000}"/>
    <cellStyle name="Note 2 2 3 5 3 5" xfId="41503" xr:uid="{00000000-0005-0000-0000-00006CA10000}"/>
    <cellStyle name="Note 2 2 3 5 3 6" xfId="41504" xr:uid="{00000000-0005-0000-0000-00006DA10000}"/>
    <cellStyle name="Note 2 2 3 5 4" xfId="41505" xr:uid="{00000000-0005-0000-0000-00006EA10000}"/>
    <cellStyle name="Note 2 2 3 5 4 2" xfId="41506" xr:uid="{00000000-0005-0000-0000-00006FA10000}"/>
    <cellStyle name="Note 2 2 3 5 5" xfId="41507" xr:uid="{00000000-0005-0000-0000-000070A10000}"/>
    <cellStyle name="Note 2 2 3 5 5 2" xfId="41508" xr:uid="{00000000-0005-0000-0000-000071A10000}"/>
    <cellStyle name="Note 2 2 3 5 6" xfId="41509" xr:uid="{00000000-0005-0000-0000-000072A10000}"/>
    <cellStyle name="Note 2 2 3 5 7" xfId="41510" xr:uid="{00000000-0005-0000-0000-000073A10000}"/>
    <cellStyle name="Note 2 2 3 5 8" xfId="41511" xr:uid="{00000000-0005-0000-0000-000074A10000}"/>
    <cellStyle name="Note 2 2 3 6" xfId="41512" xr:uid="{00000000-0005-0000-0000-000075A10000}"/>
    <cellStyle name="Note 2 2 3 6 2" xfId="41513" xr:uid="{00000000-0005-0000-0000-000076A10000}"/>
    <cellStyle name="Note 2 2 3 6 2 2" xfId="41514" xr:uid="{00000000-0005-0000-0000-000077A10000}"/>
    <cellStyle name="Note 2 2 3 6 2 2 2" xfId="41515" xr:uid="{00000000-0005-0000-0000-000078A10000}"/>
    <cellStyle name="Note 2 2 3 6 2 3" xfId="41516" xr:uid="{00000000-0005-0000-0000-000079A10000}"/>
    <cellStyle name="Note 2 2 3 6 2 3 2" xfId="41517" xr:uid="{00000000-0005-0000-0000-00007AA10000}"/>
    <cellStyle name="Note 2 2 3 6 2 4" xfId="41518" xr:uid="{00000000-0005-0000-0000-00007BA10000}"/>
    <cellStyle name="Note 2 2 3 6 2 5" xfId="41519" xr:uid="{00000000-0005-0000-0000-00007CA10000}"/>
    <cellStyle name="Note 2 2 3 6 2 6" xfId="41520" xr:uid="{00000000-0005-0000-0000-00007DA10000}"/>
    <cellStyle name="Note 2 2 3 6 3" xfId="41521" xr:uid="{00000000-0005-0000-0000-00007EA10000}"/>
    <cellStyle name="Note 2 2 3 6 3 2" xfId="41522" xr:uid="{00000000-0005-0000-0000-00007FA10000}"/>
    <cellStyle name="Note 2 2 3 6 4" xfId="41523" xr:uid="{00000000-0005-0000-0000-000080A10000}"/>
    <cellStyle name="Note 2 2 3 6 4 2" xfId="41524" xr:uid="{00000000-0005-0000-0000-000081A10000}"/>
    <cellStyle name="Note 2 2 3 6 5" xfId="41525" xr:uid="{00000000-0005-0000-0000-000082A10000}"/>
    <cellStyle name="Note 2 2 3 6 6" xfId="41526" xr:uid="{00000000-0005-0000-0000-000083A10000}"/>
    <cellStyle name="Note 2 2 3 6 7" xfId="41527" xr:uid="{00000000-0005-0000-0000-000084A10000}"/>
    <cellStyle name="Note 2 2 3 7" xfId="41528" xr:uid="{00000000-0005-0000-0000-000085A10000}"/>
    <cellStyle name="Note 2 2 3 7 2" xfId="41529" xr:uid="{00000000-0005-0000-0000-000086A10000}"/>
    <cellStyle name="Note 2 2 3 7 2 2" xfId="41530" xr:uid="{00000000-0005-0000-0000-000087A10000}"/>
    <cellStyle name="Note 2 2 3 7 3" xfId="41531" xr:uid="{00000000-0005-0000-0000-000088A10000}"/>
    <cellStyle name="Note 2 2 3 7 3 2" xfId="41532" xr:uid="{00000000-0005-0000-0000-000089A10000}"/>
    <cellStyle name="Note 2 2 3 7 4" xfId="41533" xr:uid="{00000000-0005-0000-0000-00008AA10000}"/>
    <cellStyle name="Note 2 2 3 7 5" xfId="41534" xr:uid="{00000000-0005-0000-0000-00008BA10000}"/>
    <cellStyle name="Note 2 2 3 7 6" xfId="41535" xr:uid="{00000000-0005-0000-0000-00008CA10000}"/>
    <cellStyle name="Note 2 2 3 8" xfId="41536" xr:uid="{00000000-0005-0000-0000-00008DA10000}"/>
    <cellStyle name="Note 2 2 3 8 2" xfId="41537" xr:uid="{00000000-0005-0000-0000-00008EA10000}"/>
    <cellStyle name="Note 2 2 3 9" xfId="41538" xr:uid="{00000000-0005-0000-0000-00008FA10000}"/>
    <cellStyle name="Note 2 2 3 9 2" xfId="41539" xr:uid="{00000000-0005-0000-0000-000090A10000}"/>
    <cellStyle name="Note 2 2 4" xfId="41540" xr:uid="{00000000-0005-0000-0000-000091A10000}"/>
    <cellStyle name="Note 2 2 4 10" xfId="41541" xr:uid="{00000000-0005-0000-0000-000092A10000}"/>
    <cellStyle name="Note 2 2 4 11" xfId="41542" xr:uid="{00000000-0005-0000-0000-000093A10000}"/>
    <cellStyle name="Note 2 2 4 2" xfId="41543" xr:uid="{00000000-0005-0000-0000-000094A10000}"/>
    <cellStyle name="Note 2 2 4 2 10" xfId="41544" xr:uid="{00000000-0005-0000-0000-000095A10000}"/>
    <cellStyle name="Note 2 2 4 2 2" xfId="41545" xr:uid="{00000000-0005-0000-0000-000096A10000}"/>
    <cellStyle name="Note 2 2 4 2 2 2" xfId="41546" xr:uid="{00000000-0005-0000-0000-000097A10000}"/>
    <cellStyle name="Note 2 2 4 2 2 2 2" xfId="41547" xr:uid="{00000000-0005-0000-0000-000098A10000}"/>
    <cellStyle name="Note 2 2 4 2 2 2 2 2" xfId="41548" xr:uid="{00000000-0005-0000-0000-000099A10000}"/>
    <cellStyle name="Note 2 2 4 2 2 2 2 2 2" xfId="41549" xr:uid="{00000000-0005-0000-0000-00009AA10000}"/>
    <cellStyle name="Note 2 2 4 2 2 2 2 2 2 2" xfId="41550" xr:uid="{00000000-0005-0000-0000-00009BA10000}"/>
    <cellStyle name="Note 2 2 4 2 2 2 2 2 3" xfId="41551" xr:uid="{00000000-0005-0000-0000-00009CA10000}"/>
    <cellStyle name="Note 2 2 4 2 2 2 2 2 3 2" xfId="41552" xr:uid="{00000000-0005-0000-0000-00009DA10000}"/>
    <cellStyle name="Note 2 2 4 2 2 2 2 2 4" xfId="41553" xr:uid="{00000000-0005-0000-0000-00009EA10000}"/>
    <cellStyle name="Note 2 2 4 2 2 2 2 2 5" xfId="41554" xr:uid="{00000000-0005-0000-0000-00009FA10000}"/>
    <cellStyle name="Note 2 2 4 2 2 2 2 2 6" xfId="41555" xr:uid="{00000000-0005-0000-0000-0000A0A10000}"/>
    <cellStyle name="Note 2 2 4 2 2 2 2 3" xfId="41556" xr:uid="{00000000-0005-0000-0000-0000A1A10000}"/>
    <cellStyle name="Note 2 2 4 2 2 2 2 3 2" xfId="41557" xr:uid="{00000000-0005-0000-0000-0000A2A10000}"/>
    <cellStyle name="Note 2 2 4 2 2 2 2 4" xfId="41558" xr:uid="{00000000-0005-0000-0000-0000A3A10000}"/>
    <cellStyle name="Note 2 2 4 2 2 2 2 4 2" xfId="41559" xr:uid="{00000000-0005-0000-0000-0000A4A10000}"/>
    <cellStyle name="Note 2 2 4 2 2 2 2 5" xfId="41560" xr:uid="{00000000-0005-0000-0000-0000A5A10000}"/>
    <cellStyle name="Note 2 2 4 2 2 2 2 6" xfId="41561" xr:uid="{00000000-0005-0000-0000-0000A6A10000}"/>
    <cellStyle name="Note 2 2 4 2 2 2 2 7" xfId="41562" xr:uid="{00000000-0005-0000-0000-0000A7A10000}"/>
    <cellStyle name="Note 2 2 4 2 2 2 3" xfId="41563" xr:uid="{00000000-0005-0000-0000-0000A8A10000}"/>
    <cellStyle name="Note 2 2 4 2 2 2 3 2" xfId="41564" xr:uid="{00000000-0005-0000-0000-0000A9A10000}"/>
    <cellStyle name="Note 2 2 4 2 2 2 3 2 2" xfId="41565" xr:uid="{00000000-0005-0000-0000-0000AAA10000}"/>
    <cellStyle name="Note 2 2 4 2 2 2 3 3" xfId="41566" xr:uid="{00000000-0005-0000-0000-0000ABA10000}"/>
    <cellStyle name="Note 2 2 4 2 2 2 3 3 2" xfId="41567" xr:uid="{00000000-0005-0000-0000-0000ACA10000}"/>
    <cellStyle name="Note 2 2 4 2 2 2 3 4" xfId="41568" xr:uid="{00000000-0005-0000-0000-0000ADA10000}"/>
    <cellStyle name="Note 2 2 4 2 2 2 3 5" xfId="41569" xr:uid="{00000000-0005-0000-0000-0000AEA10000}"/>
    <cellStyle name="Note 2 2 4 2 2 2 3 6" xfId="41570" xr:uid="{00000000-0005-0000-0000-0000AFA10000}"/>
    <cellStyle name="Note 2 2 4 2 2 2 4" xfId="41571" xr:uid="{00000000-0005-0000-0000-0000B0A10000}"/>
    <cellStyle name="Note 2 2 4 2 2 2 4 2" xfId="41572" xr:uid="{00000000-0005-0000-0000-0000B1A10000}"/>
    <cellStyle name="Note 2 2 4 2 2 2 5" xfId="41573" xr:uid="{00000000-0005-0000-0000-0000B2A10000}"/>
    <cellStyle name="Note 2 2 4 2 2 2 5 2" xfId="41574" xr:uid="{00000000-0005-0000-0000-0000B3A10000}"/>
    <cellStyle name="Note 2 2 4 2 2 2 6" xfId="41575" xr:uid="{00000000-0005-0000-0000-0000B4A10000}"/>
    <cellStyle name="Note 2 2 4 2 2 2 7" xfId="41576" xr:uid="{00000000-0005-0000-0000-0000B5A10000}"/>
    <cellStyle name="Note 2 2 4 2 2 2 8" xfId="41577" xr:uid="{00000000-0005-0000-0000-0000B6A10000}"/>
    <cellStyle name="Note 2 2 4 2 2 3" xfId="41578" xr:uid="{00000000-0005-0000-0000-0000B7A10000}"/>
    <cellStyle name="Note 2 2 4 2 2 3 2" xfId="41579" xr:uid="{00000000-0005-0000-0000-0000B8A10000}"/>
    <cellStyle name="Note 2 2 4 2 2 3 2 2" xfId="41580" xr:uid="{00000000-0005-0000-0000-0000B9A10000}"/>
    <cellStyle name="Note 2 2 4 2 2 3 2 2 2" xfId="41581" xr:uid="{00000000-0005-0000-0000-0000BAA10000}"/>
    <cellStyle name="Note 2 2 4 2 2 3 2 3" xfId="41582" xr:uid="{00000000-0005-0000-0000-0000BBA10000}"/>
    <cellStyle name="Note 2 2 4 2 2 3 2 3 2" xfId="41583" xr:uid="{00000000-0005-0000-0000-0000BCA10000}"/>
    <cellStyle name="Note 2 2 4 2 2 3 2 4" xfId="41584" xr:uid="{00000000-0005-0000-0000-0000BDA10000}"/>
    <cellStyle name="Note 2 2 4 2 2 3 2 5" xfId="41585" xr:uid="{00000000-0005-0000-0000-0000BEA10000}"/>
    <cellStyle name="Note 2 2 4 2 2 3 2 6" xfId="41586" xr:uid="{00000000-0005-0000-0000-0000BFA10000}"/>
    <cellStyle name="Note 2 2 4 2 2 3 3" xfId="41587" xr:uid="{00000000-0005-0000-0000-0000C0A10000}"/>
    <cellStyle name="Note 2 2 4 2 2 3 3 2" xfId="41588" xr:uid="{00000000-0005-0000-0000-0000C1A10000}"/>
    <cellStyle name="Note 2 2 4 2 2 3 4" xfId="41589" xr:uid="{00000000-0005-0000-0000-0000C2A10000}"/>
    <cellStyle name="Note 2 2 4 2 2 3 4 2" xfId="41590" xr:uid="{00000000-0005-0000-0000-0000C3A10000}"/>
    <cellStyle name="Note 2 2 4 2 2 3 5" xfId="41591" xr:uid="{00000000-0005-0000-0000-0000C4A10000}"/>
    <cellStyle name="Note 2 2 4 2 2 3 6" xfId="41592" xr:uid="{00000000-0005-0000-0000-0000C5A10000}"/>
    <cellStyle name="Note 2 2 4 2 2 3 7" xfId="41593" xr:uid="{00000000-0005-0000-0000-0000C6A10000}"/>
    <cellStyle name="Note 2 2 4 2 2 4" xfId="41594" xr:uid="{00000000-0005-0000-0000-0000C7A10000}"/>
    <cellStyle name="Note 2 2 4 2 2 4 2" xfId="41595" xr:uid="{00000000-0005-0000-0000-0000C8A10000}"/>
    <cellStyle name="Note 2 2 4 2 2 4 2 2" xfId="41596" xr:uid="{00000000-0005-0000-0000-0000C9A10000}"/>
    <cellStyle name="Note 2 2 4 2 2 4 3" xfId="41597" xr:uid="{00000000-0005-0000-0000-0000CAA10000}"/>
    <cellStyle name="Note 2 2 4 2 2 4 3 2" xfId="41598" xr:uid="{00000000-0005-0000-0000-0000CBA10000}"/>
    <cellStyle name="Note 2 2 4 2 2 4 4" xfId="41599" xr:uid="{00000000-0005-0000-0000-0000CCA10000}"/>
    <cellStyle name="Note 2 2 4 2 2 4 5" xfId="41600" xr:uid="{00000000-0005-0000-0000-0000CDA10000}"/>
    <cellStyle name="Note 2 2 4 2 2 4 6" xfId="41601" xr:uid="{00000000-0005-0000-0000-0000CEA10000}"/>
    <cellStyle name="Note 2 2 4 2 2 5" xfId="41602" xr:uid="{00000000-0005-0000-0000-0000CFA10000}"/>
    <cellStyle name="Note 2 2 4 2 2 5 2" xfId="41603" xr:uid="{00000000-0005-0000-0000-0000D0A10000}"/>
    <cellStyle name="Note 2 2 4 2 2 6" xfId="41604" xr:uid="{00000000-0005-0000-0000-0000D1A10000}"/>
    <cellStyle name="Note 2 2 4 2 2 6 2" xfId="41605" xr:uid="{00000000-0005-0000-0000-0000D2A10000}"/>
    <cellStyle name="Note 2 2 4 2 2 7" xfId="41606" xr:uid="{00000000-0005-0000-0000-0000D3A10000}"/>
    <cellStyle name="Note 2 2 4 2 2 8" xfId="41607" xr:uid="{00000000-0005-0000-0000-0000D4A10000}"/>
    <cellStyle name="Note 2 2 4 2 2 9" xfId="41608" xr:uid="{00000000-0005-0000-0000-0000D5A10000}"/>
    <cellStyle name="Note 2 2 4 2 3" xfId="41609" xr:uid="{00000000-0005-0000-0000-0000D6A10000}"/>
    <cellStyle name="Note 2 2 4 2 3 2" xfId="41610" xr:uid="{00000000-0005-0000-0000-0000D7A10000}"/>
    <cellStyle name="Note 2 2 4 2 3 2 2" xfId="41611" xr:uid="{00000000-0005-0000-0000-0000D8A10000}"/>
    <cellStyle name="Note 2 2 4 2 3 2 2 2" xfId="41612" xr:uid="{00000000-0005-0000-0000-0000D9A10000}"/>
    <cellStyle name="Note 2 2 4 2 3 2 2 2 2" xfId="41613" xr:uid="{00000000-0005-0000-0000-0000DAA10000}"/>
    <cellStyle name="Note 2 2 4 2 3 2 2 3" xfId="41614" xr:uid="{00000000-0005-0000-0000-0000DBA10000}"/>
    <cellStyle name="Note 2 2 4 2 3 2 2 3 2" xfId="41615" xr:uid="{00000000-0005-0000-0000-0000DCA10000}"/>
    <cellStyle name="Note 2 2 4 2 3 2 2 4" xfId="41616" xr:uid="{00000000-0005-0000-0000-0000DDA10000}"/>
    <cellStyle name="Note 2 2 4 2 3 2 2 5" xfId="41617" xr:uid="{00000000-0005-0000-0000-0000DEA10000}"/>
    <cellStyle name="Note 2 2 4 2 3 2 2 6" xfId="41618" xr:uid="{00000000-0005-0000-0000-0000DFA10000}"/>
    <cellStyle name="Note 2 2 4 2 3 2 3" xfId="41619" xr:uid="{00000000-0005-0000-0000-0000E0A10000}"/>
    <cellStyle name="Note 2 2 4 2 3 2 3 2" xfId="41620" xr:uid="{00000000-0005-0000-0000-0000E1A10000}"/>
    <cellStyle name="Note 2 2 4 2 3 2 4" xfId="41621" xr:uid="{00000000-0005-0000-0000-0000E2A10000}"/>
    <cellStyle name="Note 2 2 4 2 3 2 4 2" xfId="41622" xr:uid="{00000000-0005-0000-0000-0000E3A10000}"/>
    <cellStyle name="Note 2 2 4 2 3 2 5" xfId="41623" xr:uid="{00000000-0005-0000-0000-0000E4A10000}"/>
    <cellStyle name="Note 2 2 4 2 3 2 6" xfId="41624" xr:uid="{00000000-0005-0000-0000-0000E5A10000}"/>
    <cellStyle name="Note 2 2 4 2 3 2 7" xfId="41625" xr:uid="{00000000-0005-0000-0000-0000E6A10000}"/>
    <cellStyle name="Note 2 2 4 2 3 3" xfId="41626" xr:uid="{00000000-0005-0000-0000-0000E7A10000}"/>
    <cellStyle name="Note 2 2 4 2 3 3 2" xfId="41627" xr:uid="{00000000-0005-0000-0000-0000E8A10000}"/>
    <cellStyle name="Note 2 2 4 2 3 3 2 2" xfId="41628" xr:uid="{00000000-0005-0000-0000-0000E9A10000}"/>
    <cellStyle name="Note 2 2 4 2 3 3 3" xfId="41629" xr:uid="{00000000-0005-0000-0000-0000EAA10000}"/>
    <cellStyle name="Note 2 2 4 2 3 3 3 2" xfId="41630" xr:uid="{00000000-0005-0000-0000-0000EBA10000}"/>
    <cellStyle name="Note 2 2 4 2 3 3 4" xfId="41631" xr:uid="{00000000-0005-0000-0000-0000ECA10000}"/>
    <cellStyle name="Note 2 2 4 2 3 3 5" xfId="41632" xr:uid="{00000000-0005-0000-0000-0000EDA10000}"/>
    <cellStyle name="Note 2 2 4 2 3 3 6" xfId="41633" xr:uid="{00000000-0005-0000-0000-0000EEA10000}"/>
    <cellStyle name="Note 2 2 4 2 3 4" xfId="41634" xr:uid="{00000000-0005-0000-0000-0000EFA10000}"/>
    <cellStyle name="Note 2 2 4 2 3 4 2" xfId="41635" xr:uid="{00000000-0005-0000-0000-0000F0A10000}"/>
    <cellStyle name="Note 2 2 4 2 3 5" xfId="41636" xr:uid="{00000000-0005-0000-0000-0000F1A10000}"/>
    <cellStyle name="Note 2 2 4 2 3 5 2" xfId="41637" xr:uid="{00000000-0005-0000-0000-0000F2A10000}"/>
    <cellStyle name="Note 2 2 4 2 3 6" xfId="41638" xr:uid="{00000000-0005-0000-0000-0000F3A10000}"/>
    <cellStyle name="Note 2 2 4 2 3 7" xfId="41639" xr:uid="{00000000-0005-0000-0000-0000F4A10000}"/>
    <cellStyle name="Note 2 2 4 2 3 8" xfId="41640" xr:uid="{00000000-0005-0000-0000-0000F5A10000}"/>
    <cellStyle name="Note 2 2 4 2 4" xfId="41641" xr:uid="{00000000-0005-0000-0000-0000F6A10000}"/>
    <cellStyle name="Note 2 2 4 2 4 2" xfId="41642" xr:uid="{00000000-0005-0000-0000-0000F7A10000}"/>
    <cellStyle name="Note 2 2 4 2 4 2 2" xfId="41643" xr:uid="{00000000-0005-0000-0000-0000F8A10000}"/>
    <cellStyle name="Note 2 2 4 2 4 2 2 2" xfId="41644" xr:uid="{00000000-0005-0000-0000-0000F9A10000}"/>
    <cellStyle name="Note 2 2 4 2 4 2 3" xfId="41645" xr:uid="{00000000-0005-0000-0000-0000FAA10000}"/>
    <cellStyle name="Note 2 2 4 2 4 2 3 2" xfId="41646" xr:uid="{00000000-0005-0000-0000-0000FBA10000}"/>
    <cellStyle name="Note 2 2 4 2 4 2 4" xfId="41647" xr:uid="{00000000-0005-0000-0000-0000FCA10000}"/>
    <cellStyle name="Note 2 2 4 2 4 2 5" xfId="41648" xr:uid="{00000000-0005-0000-0000-0000FDA10000}"/>
    <cellStyle name="Note 2 2 4 2 4 2 6" xfId="41649" xr:uid="{00000000-0005-0000-0000-0000FEA10000}"/>
    <cellStyle name="Note 2 2 4 2 4 3" xfId="41650" xr:uid="{00000000-0005-0000-0000-0000FFA10000}"/>
    <cellStyle name="Note 2 2 4 2 4 3 2" xfId="41651" xr:uid="{00000000-0005-0000-0000-000000A20000}"/>
    <cellStyle name="Note 2 2 4 2 4 4" xfId="41652" xr:uid="{00000000-0005-0000-0000-000001A20000}"/>
    <cellStyle name="Note 2 2 4 2 4 4 2" xfId="41653" xr:uid="{00000000-0005-0000-0000-000002A20000}"/>
    <cellStyle name="Note 2 2 4 2 4 5" xfId="41654" xr:uid="{00000000-0005-0000-0000-000003A20000}"/>
    <cellStyle name="Note 2 2 4 2 4 6" xfId="41655" xr:uid="{00000000-0005-0000-0000-000004A20000}"/>
    <cellStyle name="Note 2 2 4 2 4 7" xfId="41656" xr:uid="{00000000-0005-0000-0000-000005A20000}"/>
    <cellStyle name="Note 2 2 4 2 5" xfId="41657" xr:uid="{00000000-0005-0000-0000-000006A20000}"/>
    <cellStyle name="Note 2 2 4 2 5 2" xfId="41658" xr:uid="{00000000-0005-0000-0000-000007A20000}"/>
    <cellStyle name="Note 2 2 4 2 5 2 2" xfId="41659" xr:uid="{00000000-0005-0000-0000-000008A20000}"/>
    <cellStyle name="Note 2 2 4 2 5 3" xfId="41660" xr:uid="{00000000-0005-0000-0000-000009A20000}"/>
    <cellStyle name="Note 2 2 4 2 5 3 2" xfId="41661" xr:uid="{00000000-0005-0000-0000-00000AA20000}"/>
    <cellStyle name="Note 2 2 4 2 5 4" xfId="41662" xr:uid="{00000000-0005-0000-0000-00000BA20000}"/>
    <cellStyle name="Note 2 2 4 2 5 5" xfId="41663" xr:uid="{00000000-0005-0000-0000-00000CA20000}"/>
    <cellStyle name="Note 2 2 4 2 5 6" xfId="41664" xr:uid="{00000000-0005-0000-0000-00000DA20000}"/>
    <cellStyle name="Note 2 2 4 2 6" xfId="41665" xr:uid="{00000000-0005-0000-0000-00000EA20000}"/>
    <cellStyle name="Note 2 2 4 2 6 2" xfId="41666" xr:uid="{00000000-0005-0000-0000-00000FA20000}"/>
    <cellStyle name="Note 2 2 4 2 7" xfId="41667" xr:uid="{00000000-0005-0000-0000-000010A20000}"/>
    <cellStyle name="Note 2 2 4 2 7 2" xfId="41668" xr:uid="{00000000-0005-0000-0000-000011A20000}"/>
    <cellStyle name="Note 2 2 4 2 8" xfId="41669" xr:uid="{00000000-0005-0000-0000-000012A20000}"/>
    <cellStyle name="Note 2 2 4 2 9" xfId="41670" xr:uid="{00000000-0005-0000-0000-000013A20000}"/>
    <cellStyle name="Note 2 2 4 3" xfId="41671" xr:uid="{00000000-0005-0000-0000-000014A20000}"/>
    <cellStyle name="Note 2 2 4 3 2" xfId="41672" xr:uid="{00000000-0005-0000-0000-000015A20000}"/>
    <cellStyle name="Note 2 2 4 3 2 2" xfId="41673" xr:uid="{00000000-0005-0000-0000-000016A20000}"/>
    <cellStyle name="Note 2 2 4 3 2 2 2" xfId="41674" xr:uid="{00000000-0005-0000-0000-000017A20000}"/>
    <cellStyle name="Note 2 2 4 3 2 2 2 2" xfId="41675" xr:uid="{00000000-0005-0000-0000-000018A20000}"/>
    <cellStyle name="Note 2 2 4 3 2 2 2 2 2" xfId="41676" xr:uid="{00000000-0005-0000-0000-000019A20000}"/>
    <cellStyle name="Note 2 2 4 3 2 2 2 3" xfId="41677" xr:uid="{00000000-0005-0000-0000-00001AA20000}"/>
    <cellStyle name="Note 2 2 4 3 2 2 2 3 2" xfId="41678" xr:uid="{00000000-0005-0000-0000-00001BA20000}"/>
    <cellStyle name="Note 2 2 4 3 2 2 2 4" xfId="41679" xr:uid="{00000000-0005-0000-0000-00001CA20000}"/>
    <cellStyle name="Note 2 2 4 3 2 2 2 5" xfId="41680" xr:uid="{00000000-0005-0000-0000-00001DA20000}"/>
    <cellStyle name="Note 2 2 4 3 2 2 2 6" xfId="41681" xr:uid="{00000000-0005-0000-0000-00001EA20000}"/>
    <cellStyle name="Note 2 2 4 3 2 2 3" xfId="41682" xr:uid="{00000000-0005-0000-0000-00001FA20000}"/>
    <cellStyle name="Note 2 2 4 3 2 2 3 2" xfId="41683" xr:uid="{00000000-0005-0000-0000-000020A20000}"/>
    <cellStyle name="Note 2 2 4 3 2 2 4" xfId="41684" xr:uid="{00000000-0005-0000-0000-000021A20000}"/>
    <cellStyle name="Note 2 2 4 3 2 2 4 2" xfId="41685" xr:uid="{00000000-0005-0000-0000-000022A20000}"/>
    <cellStyle name="Note 2 2 4 3 2 2 5" xfId="41686" xr:uid="{00000000-0005-0000-0000-000023A20000}"/>
    <cellStyle name="Note 2 2 4 3 2 2 6" xfId="41687" xr:uid="{00000000-0005-0000-0000-000024A20000}"/>
    <cellStyle name="Note 2 2 4 3 2 2 7" xfId="41688" xr:uid="{00000000-0005-0000-0000-000025A20000}"/>
    <cellStyle name="Note 2 2 4 3 2 3" xfId="41689" xr:uid="{00000000-0005-0000-0000-000026A20000}"/>
    <cellStyle name="Note 2 2 4 3 2 3 2" xfId="41690" xr:uid="{00000000-0005-0000-0000-000027A20000}"/>
    <cellStyle name="Note 2 2 4 3 2 3 2 2" xfId="41691" xr:uid="{00000000-0005-0000-0000-000028A20000}"/>
    <cellStyle name="Note 2 2 4 3 2 3 3" xfId="41692" xr:uid="{00000000-0005-0000-0000-000029A20000}"/>
    <cellStyle name="Note 2 2 4 3 2 3 3 2" xfId="41693" xr:uid="{00000000-0005-0000-0000-00002AA20000}"/>
    <cellStyle name="Note 2 2 4 3 2 3 4" xfId="41694" xr:uid="{00000000-0005-0000-0000-00002BA20000}"/>
    <cellStyle name="Note 2 2 4 3 2 3 5" xfId="41695" xr:uid="{00000000-0005-0000-0000-00002CA20000}"/>
    <cellStyle name="Note 2 2 4 3 2 3 6" xfId="41696" xr:uid="{00000000-0005-0000-0000-00002DA20000}"/>
    <cellStyle name="Note 2 2 4 3 2 4" xfId="41697" xr:uid="{00000000-0005-0000-0000-00002EA20000}"/>
    <cellStyle name="Note 2 2 4 3 2 4 2" xfId="41698" xr:uid="{00000000-0005-0000-0000-00002FA20000}"/>
    <cellStyle name="Note 2 2 4 3 2 5" xfId="41699" xr:uid="{00000000-0005-0000-0000-000030A20000}"/>
    <cellStyle name="Note 2 2 4 3 2 5 2" xfId="41700" xr:uid="{00000000-0005-0000-0000-000031A20000}"/>
    <cellStyle name="Note 2 2 4 3 2 6" xfId="41701" xr:uid="{00000000-0005-0000-0000-000032A20000}"/>
    <cellStyle name="Note 2 2 4 3 2 7" xfId="41702" xr:uid="{00000000-0005-0000-0000-000033A20000}"/>
    <cellStyle name="Note 2 2 4 3 2 8" xfId="41703" xr:uid="{00000000-0005-0000-0000-000034A20000}"/>
    <cellStyle name="Note 2 2 4 3 3" xfId="41704" xr:uid="{00000000-0005-0000-0000-000035A20000}"/>
    <cellStyle name="Note 2 2 4 3 3 2" xfId="41705" xr:uid="{00000000-0005-0000-0000-000036A20000}"/>
    <cellStyle name="Note 2 2 4 3 3 2 2" xfId="41706" xr:uid="{00000000-0005-0000-0000-000037A20000}"/>
    <cellStyle name="Note 2 2 4 3 3 2 2 2" xfId="41707" xr:uid="{00000000-0005-0000-0000-000038A20000}"/>
    <cellStyle name="Note 2 2 4 3 3 2 3" xfId="41708" xr:uid="{00000000-0005-0000-0000-000039A20000}"/>
    <cellStyle name="Note 2 2 4 3 3 2 3 2" xfId="41709" xr:uid="{00000000-0005-0000-0000-00003AA20000}"/>
    <cellStyle name="Note 2 2 4 3 3 2 4" xfId="41710" xr:uid="{00000000-0005-0000-0000-00003BA20000}"/>
    <cellStyle name="Note 2 2 4 3 3 2 5" xfId="41711" xr:uid="{00000000-0005-0000-0000-00003CA20000}"/>
    <cellStyle name="Note 2 2 4 3 3 2 6" xfId="41712" xr:uid="{00000000-0005-0000-0000-00003DA20000}"/>
    <cellStyle name="Note 2 2 4 3 3 3" xfId="41713" xr:uid="{00000000-0005-0000-0000-00003EA20000}"/>
    <cellStyle name="Note 2 2 4 3 3 3 2" xfId="41714" xr:uid="{00000000-0005-0000-0000-00003FA20000}"/>
    <cellStyle name="Note 2 2 4 3 3 4" xfId="41715" xr:uid="{00000000-0005-0000-0000-000040A20000}"/>
    <cellStyle name="Note 2 2 4 3 3 4 2" xfId="41716" xr:uid="{00000000-0005-0000-0000-000041A20000}"/>
    <cellStyle name="Note 2 2 4 3 3 5" xfId="41717" xr:uid="{00000000-0005-0000-0000-000042A20000}"/>
    <cellStyle name="Note 2 2 4 3 3 6" xfId="41718" xr:uid="{00000000-0005-0000-0000-000043A20000}"/>
    <cellStyle name="Note 2 2 4 3 3 7" xfId="41719" xr:uid="{00000000-0005-0000-0000-000044A20000}"/>
    <cellStyle name="Note 2 2 4 3 4" xfId="41720" xr:uid="{00000000-0005-0000-0000-000045A20000}"/>
    <cellStyle name="Note 2 2 4 3 4 2" xfId="41721" xr:uid="{00000000-0005-0000-0000-000046A20000}"/>
    <cellStyle name="Note 2 2 4 3 4 2 2" xfId="41722" xr:uid="{00000000-0005-0000-0000-000047A20000}"/>
    <cellStyle name="Note 2 2 4 3 4 3" xfId="41723" xr:uid="{00000000-0005-0000-0000-000048A20000}"/>
    <cellStyle name="Note 2 2 4 3 4 3 2" xfId="41724" xr:uid="{00000000-0005-0000-0000-000049A20000}"/>
    <cellStyle name="Note 2 2 4 3 4 4" xfId="41725" xr:uid="{00000000-0005-0000-0000-00004AA20000}"/>
    <cellStyle name="Note 2 2 4 3 4 5" xfId="41726" xr:uid="{00000000-0005-0000-0000-00004BA20000}"/>
    <cellStyle name="Note 2 2 4 3 4 6" xfId="41727" xr:uid="{00000000-0005-0000-0000-00004CA20000}"/>
    <cellStyle name="Note 2 2 4 3 5" xfId="41728" xr:uid="{00000000-0005-0000-0000-00004DA20000}"/>
    <cellStyle name="Note 2 2 4 3 5 2" xfId="41729" xr:uid="{00000000-0005-0000-0000-00004EA20000}"/>
    <cellStyle name="Note 2 2 4 3 6" xfId="41730" xr:uid="{00000000-0005-0000-0000-00004FA20000}"/>
    <cellStyle name="Note 2 2 4 3 6 2" xfId="41731" xr:uid="{00000000-0005-0000-0000-000050A20000}"/>
    <cellStyle name="Note 2 2 4 3 7" xfId="41732" xr:uid="{00000000-0005-0000-0000-000051A20000}"/>
    <cellStyle name="Note 2 2 4 3 8" xfId="41733" xr:uid="{00000000-0005-0000-0000-000052A20000}"/>
    <cellStyle name="Note 2 2 4 3 9" xfId="41734" xr:uid="{00000000-0005-0000-0000-000053A20000}"/>
    <cellStyle name="Note 2 2 4 4" xfId="41735" xr:uid="{00000000-0005-0000-0000-000054A20000}"/>
    <cellStyle name="Note 2 2 4 4 2" xfId="41736" xr:uid="{00000000-0005-0000-0000-000055A20000}"/>
    <cellStyle name="Note 2 2 4 4 2 2" xfId="41737" xr:uid="{00000000-0005-0000-0000-000056A20000}"/>
    <cellStyle name="Note 2 2 4 4 2 2 2" xfId="41738" xr:uid="{00000000-0005-0000-0000-000057A20000}"/>
    <cellStyle name="Note 2 2 4 4 2 2 2 2" xfId="41739" xr:uid="{00000000-0005-0000-0000-000058A20000}"/>
    <cellStyle name="Note 2 2 4 4 2 2 3" xfId="41740" xr:uid="{00000000-0005-0000-0000-000059A20000}"/>
    <cellStyle name="Note 2 2 4 4 2 2 3 2" xfId="41741" xr:uid="{00000000-0005-0000-0000-00005AA20000}"/>
    <cellStyle name="Note 2 2 4 4 2 2 4" xfId="41742" xr:uid="{00000000-0005-0000-0000-00005BA20000}"/>
    <cellStyle name="Note 2 2 4 4 2 2 5" xfId="41743" xr:uid="{00000000-0005-0000-0000-00005CA20000}"/>
    <cellStyle name="Note 2 2 4 4 2 2 6" xfId="41744" xr:uid="{00000000-0005-0000-0000-00005DA20000}"/>
    <cellStyle name="Note 2 2 4 4 2 3" xfId="41745" xr:uid="{00000000-0005-0000-0000-00005EA20000}"/>
    <cellStyle name="Note 2 2 4 4 2 3 2" xfId="41746" xr:uid="{00000000-0005-0000-0000-00005FA20000}"/>
    <cellStyle name="Note 2 2 4 4 2 4" xfId="41747" xr:uid="{00000000-0005-0000-0000-000060A20000}"/>
    <cellStyle name="Note 2 2 4 4 2 4 2" xfId="41748" xr:uid="{00000000-0005-0000-0000-000061A20000}"/>
    <cellStyle name="Note 2 2 4 4 2 5" xfId="41749" xr:uid="{00000000-0005-0000-0000-000062A20000}"/>
    <cellStyle name="Note 2 2 4 4 2 6" xfId="41750" xr:uid="{00000000-0005-0000-0000-000063A20000}"/>
    <cellStyle name="Note 2 2 4 4 2 7" xfId="41751" xr:uid="{00000000-0005-0000-0000-000064A20000}"/>
    <cellStyle name="Note 2 2 4 4 3" xfId="41752" xr:uid="{00000000-0005-0000-0000-000065A20000}"/>
    <cellStyle name="Note 2 2 4 4 3 2" xfId="41753" xr:uid="{00000000-0005-0000-0000-000066A20000}"/>
    <cellStyle name="Note 2 2 4 4 3 2 2" xfId="41754" xr:uid="{00000000-0005-0000-0000-000067A20000}"/>
    <cellStyle name="Note 2 2 4 4 3 3" xfId="41755" xr:uid="{00000000-0005-0000-0000-000068A20000}"/>
    <cellStyle name="Note 2 2 4 4 3 3 2" xfId="41756" xr:uid="{00000000-0005-0000-0000-000069A20000}"/>
    <cellStyle name="Note 2 2 4 4 3 4" xfId="41757" xr:uid="{00000000-0005-0000-0000-00006AA20000}"/>
    <cellStyle name="Note 2 2 4 4 3 5" xfId="41758" xr:uid="{00000000-0005-0000-0000-00006BA20000}"/>
    <cellStyle name="Note 2 2 4 4 3 6" xfId="41759" xr:uid="{00000000-0005-0000-0000-00006CA20000}"/>
    <cellStyle name="Note 2 2 4 4 4" xfId="41760" xr:uid="{00000000-0005-0000-0000-00006DA20000}"/>
    <cellStyle name="Note 2 2 4 4 4 2" xfId="41761" xr:uid="{00000000-0005-0000-0000-00006EA20000}"/>
    <cellStyle name="Note 2 2 4 4 5" xfId="41762" xr:uid="{00000000-0005-0000-0000-00006FA20000}"/>
    <cellStyle name="Note 2 2 4 4 5 2" xfId="41763" xr:uid="{00000000-0005-0000-0000-000070A20000}"/>
    <cellStyle name="Note 2 2 4 4 6" xfId="41764" xr:uid="{00000000-0005-0000-0000-000071A20000}"/>
    <cellStyle name="Note 2 2 4 4 7" xfId="41765" xr:uid="{00000000-0005-0000-0000-000072A20000}"/>
    <cellStyle name="Note 2 2 4 4 8" xfId="41766" xr:uid="{00000000-0005-0000-0000-000073A20000}"/>
    <cellStyle name="Note 2 2 4 5" xfId="41767" xr:uid="{00000000-0005-0000-0000-000074A20000}"/>
    <cellStyle name="Note 2 2 4 5 2" xfId="41768" xr:uid="{00000000-0005-0000-0000-000075A20000}"/>
    <cellStyle name="Note 2 2 4 5 2 2" xfId="41769" xr:uid="{00000000-0005-0000-0000-000076A20000}"/>
    <cellStyle name="Note 2 2 4 5 2 2 2" xfId="41770" xr:uid="{00000000-0005-0000-0000-000077A20000}"/>
    <cellStyle name="Note 2 2 4 5 2 3" xfId="41771" xr:uid="{00000000-0005-0000-0000-000078A20000}"/>
    <cellStyle name="Note 2 2 4 5 2 3 2" xfId="41772" xr:uid="{00000000-0005-0000-0000-000079A20000}"/>
    <cellStyle name="Note 2 2 4 5 2 4" xfId="41773" xr:uid="{00000000-0005-0000-0000-00007AA20000}"/>
    <cellStyle name="Note 2 2 4 5 2 5" xfId="41774" xr:uid="{00000000-0005-0000-0000-00007BA20000}"/>
    <cellStyle name="Note 2 2 4 5 2 6" xfId="41775" xr:uid="{00000000-0005-0000-0000-00007CA20000}"/>
    <cellStyle name="Note 2 2 4 5 3" xfId="41776" xr:uid="{00000000-0005-0000-0000-00007DA20000}"/>
    <cellStyle name="Note 2 2 4 5 3 2" xfId="41777" xr:uid="{00000000-0005-0000-0000-00007EA20000}"/>
    <cellStyle name="Note 2 2 4 5 4" xfId="41778" xr:uid="{00000000-0005-0000-0000-00007FA20000}"/>
    <cellStyle name="Note 2 2 4 5 4 2" xfId="41779" xr:uid="{00000000-0005-0000-0000-000080A20000}"/>
    <cellStyle name="Note 2 2 4 5 5" xfId="41780" xr:uid="{00000000-0005-0000-0000-000081A20000}"/>
    <cellStyle name="Note 2 2 4 5 6" xfId="41781" xr:uid="{00000000-0005-0000-0000-000082A20000}"/>
    <cellStyle name="Note 2 2 4 5 7" xfId="41782" xr:uid="{00000000-0005-0000-0000-000083A20000}"/>
    <cellStyle name="Note 2 2 4 6" xfId="41783" xr:uid="{00000000-0005-0000-0000-000084A20000}"/>
    <cellStyle name="Note 2 2 4 6 2" xfId="41784" xr:uid="{00000000-0005-0000-0000-000085A20000}"/>
    <cellStyle name="Note 2 2 4 6 2 2" xfId="41785" xr:uid="{00000000-0005-0000-0000-000086A20000}"/>
    <cellStyle name="Note 2 2 4 6 3" xfId="41786" xr:uid="{00000000-0005-0000-0000-000087A20000}"/>
    <cellStyle name="Note 2 2 4 6 3 2" xfId="41787" xr:uid="{00000000-0005-0000-0000-000088A20000}"/>
    <cellStyle name="Note 2 2 4 6 4" xfId="41788" xr:uid="{00000000-0005-0000-0000-000089A20000}"/>
    <cellStyle name="Note 2 2 4 6 5" xfId="41789" xr:uid="{00000000-0005-0000-0000-00008AA20000}"/>
    <cellStyle name="Note 2 2 4 6 6" xfId="41790" xr:uid="{00000000-0005-0000-0000-00008BA20000}"/>
    <cellStyle name="Note 2 2 4 7" xfId="41791" xr:uid="{00000000-0005-0000-0000-00008CA20000}"/>
    <cellStyle name="Note 2 2 4 7 2" xfId="41792" xr:uid="{00000000-0005-0000-0000-00008DA20000}"/>
    <cellStyle name="Note 2 2 4 8" xfId="41793" xr:uid="{00000000-0005-0000-0000-00008EA20000}"/>
    <cellStyle name="Note 2 2 4 8 2" xfId="41794" xr:uid="{00000000-0005-0000-0000-00008FA20000}"/>
    <cellStyle name="Note 2 2 4 9" xfId="41795" xr:uid="{00000000-0005-0000-0000-000090A20000}"/>
    <cellStyle name="Note 2 2 5" xfId="41796" xr:uid="{00000000-0005-0000-0000-000091A20000}"/>
    <cellStyle name="Note 2 2 5 2" xfId="41797" xr:uid="{00000000-0005-0000-0000-000092A20000}"/>
    <cellStyle name="Note 2 2 5 2 2" xfId="41798" xr:uid="{00000000-0005-0000-0000-000093A20000}"/>
    <cellStyle name="Note 2 2 5 2 2 2" xfId="41799" xr:uid="{00000000-0005-0000-0000-000094A20000}"/>
    <cellStyle name="Note 2 2 5 2 2 2 2" xfId="41800" xr:uid="{00000000-0005-0000-0000-000095A20000}"/>
    <cellStyle name="Note 2 2 5 2 2 2 2 2" xfId="41801" xr:uid="{00000000-0005-0000-0000-000096A20000}"/>
    <cellStyle name="Note 2 2 5 2 2 2 3" xfId="41802" xr:uid="{00000000-0005-0000-0000-000097A20000}"/>
    <cellStyle name="Note 2 2 5 2 2 2 3 2" xfId="41803" xr:uid="{00000000-0005-0000-0000-000098A20000}"/>
    <cellStyle name="Note 2 2 5 2 2 2 4" xfId="41804" xr:uid="{00000000-0005-0000-0000-000099A20000}"/>
    <cellStyle name="Note 2 2 5 2 2 2 5" xfId="41805" xr:uid="{00000000-0005-0000-0000-00009AA20000}"/>
    <cellStyle name="Note 2 2 5 2 2 2 6" xfId="41806" xr:uid="{00000000-0005-0000-0000-00009BA20000}"/>
    <cellStyle name="Note 2 2 5 2 2 3" xfId="41807" xr:uid="{00000000-0005-0000-0000-00009CA20000}"/>
    <cellStyle name="Note 2 2 5 2 2 3 2" xfId="41808" xr:uid="{00000000-0005-0000-0000-00009DA20000}"/>
    <cellStyle name="Note 2 2 5 2 2 4" xfId="41809" xr:uid="{00000000-0005-0000-0000-00009EA20000}"/>
    <cellStyle name="Note 2 2 5 2 2 4 2" xfId="41810" xr:uid="{00000000-0005-0000-0000-00009FA20000}"/>
    <cellStyle name="Note 2 2 5 2 2 5" xfId="41811" xr:uid="{00000000-0005-0000-0000-0000A0A20000}"/>
    <cellStyle name="Note 2 2 5 2 2 6" xfId="41812" xr:uid="{00000000-0005-0000-0000-0000A1A20000}"/>
    <cellStyle name="Note 2 2 5 2 2 7" xfId="41813" xr:uid="{00000000-0005-0000-0000-0000A2A20000}"/>
    <cellStyle name="Note 2 2 5 2 3" xfId="41814" xr:uid="{00000000-0005-0000-0000-0000A3A20000}"/>
    <cellStyle name="Note 2 2 5 2 3 2" xfId="41815" xr:uid="{00000000-0005-0000-0000-0000A4A20000}"/>
    <cellStyle name="Note 2 2 5 2 3 2 2" xfId="41816" xr:uid="{00000000-0005-0000-0000-0000A5A20000}"/>
    <cellStyle name="Note 2 2 5 2 3 3" xfId="41817" xr:uid="{00000000-0005-0000-0000-0000A6A20000}"/>
    <cellStyle name="Note 2 2 5 2 3 3 2" xfId="41818" xr:uid="{00000000-0005-0000-0000-0000A7A20000}"/>
    <cellStyle name="Note 2 2 5 2 3 4" xfId="41819" xr:uid="{00000000-0005-0000-0000-0000A8A20000}"/>
    <cellStyle name="Note 2 2 5 2 3 5" xfId="41820" xr:uid="{00000000-0005-0000-0000-0000A9A20000}"/>
    <cellStyle name="Note 2 2 5 2 3 6" xfId="41821" xr:uid="{00000000-0005-0000-0000-0000AAA20000}"/>
    <cellStyle name="Note 2 2 5 2 4" xfId="41822" xr:uid="{00000000-0005-0000-0000-0000ABA20000}"/>
    <cellStyle name="Note 2 2 5 2 4 2" xfId="41823" xr:uid="{00000000-0005-0000-0000-0000ACA20000}"/>
    <cellStyle name="Note 2 2 5 2 5" xfId="41824" xr:uid="{00000000-0005-0000-0000-0000ADA20000}"/>
    <cellStyle name="Note 2 2 5 2 5 2" xfId="41825" xr:uid="{00000000-0005-0000-0000-0000AEA20000}"/>
    <cellStyle name="Note 2 2 5 2 6" xfId="41826" xr:uid="{00000000-0005-0000-0000-0000AFA20000}"/>
    <cellStyle name="Note 2 2 5 2 7" xfId="41827" xr:uid="{00000000-0005-0000-0000-0000B0A20000}"/>
    <cellStyle name="Note 2 2 5 2 8" xfId="41828" xr:uid="{00000000-0005-0000-0000-0000B1A20000}"/>
    <cellStyle name="Note 2 2 5 3" xfId="41829" xr:uid="{00000000-0005-0000-0000-0000B2A20000}"/>
    <cellStyle name="Note 2 2 5 3 2" xfId="41830" xr:uid="{00000000-0005-0000-0000-0000B3A20000}"/>
    <cellStyle name="Note 2 2 5 3 2 2" xfId="41831" xr:uid="{00000000-0005-0000-0000-0000B4A20000}"/>
    <cellStyle name="Note 2 2 5 3 2 2 2" xfId="41832" xr:uid="{00000000-0005-0000-0000-0000B5A20000}"/>
    <cellStyle name="Note 2 2 5 3 2 3" xfId="41833" xr:uid="{00000000-0005-0000-0000-0000B6A20000}"/>
    <cellStyle name="Note 2 2 5 3 2 3 2" xfId="41834" xr:uid="{00000000-0005-0000-0000-0000B7A20000}"/>
    <cellStyle name="Note 2 2 5 3 2 4" xfId="41835" xr:uid="{00000000-0005-0000-0000-0000B8A20000}"/>
    <cellStyle name="Note 2 2 5 3 2 5" xfId="41836" xr:uid="{00000000-0005-0000-0000-0000B9A20000}"/>
    <cellStyle name="Note 2 2 5 3 2 6" xfId="41837" xr:uid="{00000000-0005-0000-0000-0000BAA20000}"/>
    <cellStyle name="Note 2 2 5 3 3" xfId="41838" xr:uid="{00000000-0005-0000-0000-0000BBA20000}"/>
    <cellStyle name="Note 2 2 5 3 3 2" xfId="41839" xr:uid="{00000000-0005-0000-0000-0000BCA20000}"/>
    <cellStyle name="Note 2 2 5 3 4" xfId="41840" xr:uid="{00000000-0005-0000-0000-0000BDA20000}"/>
    <cellStyle name="Note 2 2 5 3 4 2" xfId="41841" xr:uid="{00000000-0005-0000-0000-0000BEA20000}"/>
    <cellStyle name="Note 2 2 5 3 5" xfId="41842" xr:uid="{00000000-0005-0000-0000-0000BFA20000}"/>
    <cellStyle name="Note 2 2 5 3 6" xfId="41843" xr:uid="{00000000-0005-0000-0000-0000C0A20000}"/>
    <cellStyle name="Note 2 2 5 3 7" xfId="41844" xr:uid="{00000000-0005-0000-0000-0000C1A20000}"/>
    <cellStyle name="Note 2 2 5 4" xfId="41845" xr:uid="{00000000-0005-0000-0000-0000C2A20000}"/>
    <cellStyle name="Note 2 2 5 4 2" xfId="41846" xr:uid="{00000000-0005-0000-0000-0000C3A20000}"/>
    <cellStyle name="Note 2 2 5 4 2 2" xfId="41847" xr:uid="{00000000-0005-0000-0000-0000C4A20000}"/>
    <cellStyle name="Note 2 2 5 4 3" xfId="41848" xr:uid="{00000000-0005-0000-0000-0000C5A20000}"/>
    <cellStyle name="Note 2 2 5 4 3 2" xfId="41849" xr:uid="{00000000-0005-0000-0000-0000C6A20000}"/>
    <cellStyle name="Note 2 2 5 4 4" xfId="41850" xr:uid="{00000000-0005-0000-0000-0000C7A20000}"/>
    <cellStyle name="Note 2 2 5 4 5" xfId="41851" xr:uid="{00000000-0005-0000-0000-0000C8A20000}"/>
    <cellStyle name="Note 2 2 5 4 6" xfId="41852" xr:uid="{00000000-0005-0000-0000-0000C9A20000}"/>
    <cellStyle name="Note 2 2 5 5" xfId="41853" xr:uid="{00000000-0005-0000-0000-0000CAA20000}"/>
    <cellStyle name="Note 2 2 5 5 2" xfId="41854" xr:uid="{00000000-0005-0000-0000-0000CBA20000}"/>
    <cellStyle name="Note 2 2 5 6" xfId="41855" xr:uid="{00000000-0005-0000-0000-0000CCA20000}"/>
    <cellStyle name="Note 2 2 5 6 2" xfId="41856" xr:uid="{00000000-0005-0000-0000-0000CDA20000}"/>
    <cellStyle name="Note 2 2 5 7" xfId="41857" xr:uid="{00000000-0005-0000-0000-0000CEA20000}"/>
    <cellStyle name="Note 2 2 5 8" xfId="41858" xr:uid="{00000000-0005-0000-0000-0000CFA20000}"/>
    <cellStyle name="Note 2 2 5 9" xfId="41859" xr:uid="{00000000-0005-0000-0000-0000D0A20000}"/>
    <cellStyle name="Note 2 2 6" xfId="41860" xr:uid="{00000000-0005-0000-0000-0000D1A20000}"/>
    <cellStyle name="Note 2 2 6 2" xfId="41861" xr:uid="{00000000-0005-0000-0000-0000D2A20000}"/>
    <cellStyle name="Note 2 2 6 2 2" xfId="41862" xr:uid="{00000000-0005-0000-0000-0000D3A20000}"/>
    <cellStyle name="Note 2 2 6 2 2 2" xfId="41863" xr:uid="{00000000-0005-0000-0000-0000D4A20000}"/>
    <cellStyle name="Note 2 2 6 2 2 2 2" xfId="41864" xr:uid="{00000000-0005-0000-0000-0000D5A20000}"/>
    <cellStyle name="Note 2 2 6 2 2 3" xfId="41865" xr:uid="{00000000-0005-0000-0000-0000D6A20000}"/>
    <cellStyle name="Note 2 2 6 2 2 3 2" xfId="41866" xr:uid="{00000000-0005-0000-0000-0000D7A20000}"/>
    <cellStyle name="Note 2 2 6 2 2 4" xfId="41867" xr:uid="{00000000-0005-0000-0000-0000D8A20000}"/>
    <cellStyle name="Note 2 2 6 2 2 5" xfId="41868" xr:uid="{00000000-0005-0000-0000-0000D9A20000}"/>
    <cellStyle name="Note 2 2 6 2 2 6" xfId="41869" xr:uid="{00000000-0005-0000-0000-0000DAA20000}"/>
    <cellStyle name="Note 2 2 6 2 3" xfId="41870" xr:uid="{00000000-0005-0000-0000-0000DBA20000}"/>
    <cellStyle name="Note 2 2 6 2 3 2" xfId="41871" xr:uid="{00000000-0005-0000-0000-0000DCA20000}"/>
    <cellStyle name="Note 2 2 6 2 4" xfId="41872" xr:uid="{00000000-0005-0000-0000-0000DDA20000}"/>
    <cellStyle name="Note 2 2 6 2 4 2" xfId="41873" xr:uid="{00000000-0005-0000-0000-0000DEA20000}"/>
    <cellStyle name="Note 2 2 6 2 5" xfId="41874" xr:uid="{00000000-0005-0000-0000-0000DFA20000}"/>
    <cellStyle name="Note 2 2 6 2 6" xfId="41875" xr:uid="{00000000-0005-0000-0000-0000E0A20000}"/>
    <cellStyle name="Note 2 2 6 2 7" xfId="41876" xr:uid="{00000000-0005-0000-0000-0000E1A20000}"/>
    <cellStyle name="Note 2 2 6 3" xfId="41877" xr:uid="{00000000-0005-0000-0000-0000E2A20000}"/>
    <cellStyle name="Note 2 2 6 3 2" xfId="41878" xr:uid="{00000000-0005-0000-0000-0000E3A20000}"/>
    <cellStyle name="Note 2 2 6 3 2 2" xfId="41879" xr:uid="{00000000-0005-0000-0000-0000E4A20000}"/>
    <cellStyle name="Note 2 2 6 3 3" xfId="41880" xr:uid="{00000000-0005-0000-0000-0000E5A20000}"/>
    <cellStyle name="Note 2 2 6 3 3 2" xfId="41881" xr:uid="{00000000-0005-0000-0000-0000E6A20000}"/>
    <cellStyle name="Note 2 2 6 3 4" xfId="41882" xr:uid="{00000000-0005-0000-0000-0000E7A20000}"/>
    <cellStyle name="Note 2 2 6 3 5" xfId="41883" xr:uid="{00000000-0005-0000-0000-0000E8A20000}"/>
    <cellStyle name="Note 2 2 6 3 6" xfId="41884" xr:uid="{00000000-0005-0000-0000-0000E9A20000}"/>
    <cellStyle name="Note 2 2 6 4" xfId="41885" xr:uid="{00000000-0005-0000-0000-0000EAA20000}"/>
    <cellStyle name="Note 2 2 6 4 2" xfId="41886" xr:uid="{00000000-0005-0000-0000-0000EBA20000}"/>
    <cellStyle name="Note 2 2 6 5" xfId="41887" xr:uid="{00000000-0005-0000-0000-0000ECA20000}"/>
    <cellStyle name="Note 2 2 6 5 2" xfId="41888" xr:uid="{00000000-0005-0000-0000-0000EDA20000}"/>
    <cellStyle name="Note 2 2 6 6" xfId="41889" xr:uid="{00000000-0005-0000-0000-0000EEA20000}"/>
    <cellStyle name="Note 2 2 6 7" xfId="41890" xr:uid="{00000000-0005-0000-0000-0000EFA20000}"/>
    <cellStyle name="Note 2 2 6 8" xfId="41891" xr:uid="{00000000-0005-0000-0000-0000F0A20000}"/>
    <cellStyle name="Note 2 2 7" xfId="41892" xr:uid="{00000000-0005-0000-0000-0000F1A20000}"/>
    <cellStyle name="Note 2 2 7 2" xfId="41893" xr:uid="{00000000-0005-0000-0000-0000F2A20000}"/>
    <cellStyle name="Note 2 2 7 2 2" xfId="41894" xr:uid="{00000000-0005-0000-0000-0000F3A20000}"/>
    <cellStyle name="Note 2 2 7 2 2 2" xfId="41895" xr:uid="{00000000-0005-0000-0000-0000F4A20000}"/>
    <cellStyle name="Note 2 2 7 2 3" xfId="41896" xr:uid="{00000000-0005-0000-0000-0000F5A20000}"/>
    <cellStyle name="Note 2 2 7 2 3 2" xfId="41897" xr:uid="{00000000-0005-0000-0000-0000F6A20000}"/>
    <cellStyle name="Note 2 2 7 2 4" xfId="41898" xr:uid="{00000000-0005-0000-0000-0000F7A20000}"/>
    <cellStyle name="Note 2 2 7 2 5" xfId="41899" xr:uid="{00000000-0005-0000-0000-0000F8A20000}"/>
    <cellStyle name="Note 2 2 7 2 6" xfId="41900" xr:uid="{00000000-0005-0000-0000-0000F9A20000}"/>
    <cellStyle name="Note 2 2 7 3" xfId="41901" xr:uid="{00000000-0005-0000-0000-0000FAA20000}"/>
    <cellStyle name="Note 2 2 7 3 2" xfId="41902" xr:uid="{00000000-0005-0000-0000-0000FBA20000}"/>
    <cellStyle name="Note 2 2 7 4" xfId="41903" xr:uid="{00000000-0005-0000-0000-0000FCA20000}"/>
    <cellStyle name="Note 2 2 7 4 2" xfId="41904" xr:uid="{00000000-0005-0000-0000-0000FDA20000}"/>
    <cellStyle name="Note 2 2 7 5" xfId="41905" xr:uid="{00000000-0005-0000-0000-0000FEA20000}"/>
    <cellStyle name="Note 2 2 7 6" xfId="41906" xr:uid="{00000000-0005-0000-0000-0000FFA20000}"/>
    <cellStyle name="Note 2 2 7 7" xfId="41907" xr:uid="{00000000-0005-0000-0000-000000A30000}"/>
    <cellStyle name="Note 2 2 8" xfId="41908" xr:uid="{00000000-0005-0000-0000-000001A30000}"/>
    <cellStyle name="Note 2 2 8 2" xfId="41909" xr:uid="{00000000-0005-0000-0000-000002A30000}"/>
    <cellStyle name="Note 2 2 9" xfId="41910" xr:uid="{00000000-0005-0000-0000-000003A30000}"/>
    <cellStyle name="Note 2 2 9 2" xfId="41911" xr:uid="{00000000-0005-0000-0000-000004A30000}"/>
    <cellStyle name="Note 2 3" xfId="41912" xr:uid="{00000000-0005-0000-0000-000005A30000}"/>
    <cellStyle name="Note 2 3 10" xfId="41913" xr:uid="{00000000-0005-0000-0000-000006A30000}"/>
    <cellStyle name="Note 2 3 11" xfId="41914" xr:uid="{00000000-0005-0000-0000-000007A30000}"/>
    <cellStyle name="Note 2 3 12" xfId="41915" xr:uid="{00000000-0005-0000-0000-000008A30000}"/>
    <cellStyle name="Note 2 3 2" xfId="41916" xr:uid="{00000000-0005-0000-0000-000009A30000}"/>
    <cellStyle name="Note 2 3 2 10" xfId="41917" xr:uid="{00000000-0005-0000-0000-00000AA30000}"/>
    <cellStyle name="Note 2 3 2 2" xfId="41918" xr:uid="{00000000-0005-0000-0000-00000BA30000}"/>
    <cellStyle name="Note 2 3 2 2 2" xfId="41919" xr:uid="{00000000-0005-0000-0000-00000CA30000}"/>
    <cellStyle name="Note 2 3 2 2 2 2" xfId="41920" xr:uid="{00000000-0005-0000-0000-00000DA30000}"/>
    <cellStyle name="Note 2 3 2 2 2 2 2" xfId="41921" xr:uid="{00000000-0005-0000-0000-00000EA30000}"/>
    <cellStyle name="Note 2 3 2 2 2 2 2 2" xfId="41922" xr:uid="{00000000-0005-0000-0000-00000FA30000}"/>
    <cellStyle name="Note 2 3 2 2 2 2 2 2 2" xfId="41923" xr:uid="{00000000-0005-0000-0000-000010A30000}"/>
    <cellStyle name="Note 2 3 2 2 2 2 2 3" xfId="41924" xr:uid="{00000000-0005-0000-0000-000011A30000}"/>
    <cellStyle name="Note 2 3 2 2 2 2 2 3 2" xfId="41925" xr:uid="{00000000-0005-0000-0000-000012A30000}"/>
    <cellStyle name="Note 2 3 2 2 2 2 2 4" xfId="41926" xr:uid="{00000000-0005-0000-0000-000013A30000}"/>
    <cellStyle name="Note 2 3 2 2 2 2 2 5" xfId="41927" xr:uid="{00000000-0005-0000-0000-000014A30000}"/>
    <cellStyle name="Note 2 3 2 2 2 2 2 6" xfId="41928" xr:uid="{00000000-0005-0000-0000-000015A30000}"/>
    <cellStyle name="Note 2 3 2 2 2 2 3" xfId="41929" xr:uid="{00000000-0005-0000-0000-000016A30000}"/>
    <cellStyle name="Note 2 3 2 2 2 2 3 2" xfId="41930" xr:uid="{00000000-0005-0000-0000-000017A30000}"/>
    <cellStyle name="Note 2 3 2 2 2 2 4" xfId="41931" xr:uid="{00000000-0005-0000-0000-000018A30000}"/>
    <cellStyle name="Note 2 3 2 2 2 2 4 2" xfId="41932" xr:uid="{00000000-0005-0000-0000-000019A30000}"/>
    <cellStyle name="Note 2 3 2 2 2 2 5" xfId="41933" xr:uid="{00000000-0005-0000-0000-00001AA30000}"/>
    <cellStyle name="Note 2 3 2 2 2 2 6" xfId="41934" xr:uid="{00000000-0005-0000-0000-00001BA30000}"/>
    <cellStyle name="Note 2 3 2 2 2 2 7" xfId="41935" xr:uid="{00000000-0005-0000-0000-00001CA30000}"/>
    <cellStyle name="Note 2 3 2 2 2 3" xfId="41936" xr:uid="{00000000-0005-0000-0000-00001DA30000}"/>
    <cellStyle name="Note 2 3 2 2 2 3 2" xfId="41937" xr:uid="{00000000-0005-0000-0000-00001EA30000}"/>
    <cellStyle name="Note 2 3 2 2 2 3 2 2" xfId="41938" xr:uid="{00000000-0005-0000-0000-00001FA30000}"/>
    <cellStyle name="Note 2 3 2 2 2 3 3" xfId="41939" xr:uid="{00000000-0005-0000-0000-000020A30000}"/>
    <cellStyle name="Note 2 3 2 2 2 3 3 2" xfId="41940" xr:uid="{00000000-0005-0000-0000-000021A30000}"/>
    <cellStyle name="Note 2 3 2 2 2 3 4" xfId="41941" xr:uid="{00000000-0005-0000-0000-000022A30000}"/>
    <cellStyle name="Note 2 3 2 2 2 3 5" xfId="41942" xr:uid="{00000000-0005-0000-0000-000023A30000}"/>
    <cellStyle name="Note 2 3 2 2 2 3 6" xfId="41943" xr:uid="{00000000-0005-0000-0000-000024A30000}"/>
    <cellStyle name="Note 2 3 2 2 2 4" xfId="41944" xr:uid="{00000000-0005-0000-0000-000025A30000}"/>
    <cellStyle name="Note 2 3 2 2 2 4 2" xfId="41945" xr:uid="{00000000-0005-0000-0000-000026A30000}"/>
    <cellStyle name="Note 2 3 2 2 2 5" xfId="41946" xr:uid="{00000000-0005-0000-0000-000027A30000}"/>
    <cellStyle name="Note 2 3 2 2 2 5 2" xfId="41947" xr:uid="{00000000-0005-0000-0000-000028A30000}"/>
    <cellStyle name="Note 2 3 2 2 2 6" xfId="41948" xr:uid="{00000000-0005-0000-0000-000029A30000}"/>
    <cellStyle name="Note 2 3 2 2 2 7" xfId="41949" xr:uid="{00000000-0005-0000-0000-00002AA30000}"/>
    <cellStyle name="Note 2 3 2 2 2 8" xfId="41950" xr:uid="{00000000-0005-0000-0000-00002BA30000}"/>
    <cellStyle name="Note 2 3 2 2 3" xfId="41951" xr:uid="{00000000-0005-0000-0000-00002CA30000}"/>
    <cellStyle name="Note 2 3 2 2 3 2" xfId="41952" xr:uid="{00000000-0005-0000-0000-00002DA30000}"/>
    <cellStyle name="Note 2 3 2 2 3 2 2" xfId="41953" xr:uid="{00000000-0005-0000-0000-00002EA30000}"/>
    <cellStyle name="Note 2 3 2 2 3 2 2 2" xfId="41954" xr:uid="{00000000-0005-0000-0000-00002FA30000}"/>
    <cellStyle name="Note 2 3 2 2 3 2 3" xfId="41955" xr:uid="{00000000-0005-0000-0000-000030A30000}"/>
    <cellStyle name="Note 2 3 2 2 3 2 3 2" xfId="41956" xr:uid="{00000000-0005-0000-0000-000031A30000}"/>
    <cellStyle name="Note 2 3 2 2 3 2 4" xfId="41957" xr:uid="{00000000-0005-0000-0000-000032A30000}"/>
    <cellStyle name="Note 2 3 2 2 3 2 5" xfId="41958" xr:uid="{00000000-0005-0000-0000-000033A30000}"/>
    <cellStyle name="Note 2 3 2 2 3 2 6" xfId="41959" xr:uid="{00000000-0005-0000-0000-000034A30000}"/>
    <cellStyle name="Note 2 3 2 2 3 3" xfId="41960" xr:uid="{00000000-0005-0000-0000-000035A30000}"/>
    <cellStyle name="Note 2 3 2 2 3 3 2" xfId="41961" xr:uid="{00000000-0005-0000-0000-000036A30000}"/>
    <cellStyle name="Note 2 3 2 2 3 4" xfId="41962" xr:uid="{00000000-0005-0000-0000-000037A30000}"/>
    <cellStyle name="Note 2 3 2 2 3 4 2" xfId="41963" xr:uid="{00000000-0005-0000-0000-000038A30000}"/>
    <cellStyle name="Note 2 3 2 2 3 5" xfId="41964" xr:uid="{00000000-0005-0000-0000-000039A30000}"/>
    <cellStyle name="Note 2 3 2 2 3 6" xfId="41965" xr:uid="{00000000-0005-0000-0000-00003AA30000}"/>
    <cellStyle name="Note 2 3 2 2 3 7" xfId="41966" xr:uid="{00000000-0005-0000-0000-00003BA30000}"/>
    <cellStyle name="Note 2 3 2 2 4" xfId="41967" xr:uid="{00000000-0005-0000-0000-00003CA30000}"/>
    <cellStyle name="Note 2 3 2 2 4 2" xfId="41968" xr:uid="{00000000-0005-0000-0000-00003DA30000}"/>
    <cellStyle name="Note 2 3 2 2 4 2 2" xfId="41969" xr:uid="{00000000-0005-0000-0000-00003EA30000}"/>
    <cellStyle name="Note 2 3 2 2 4 3" xfId="41970" xr:uid="{00000000-0005-0000-0000-00003FA30000}"/>
    <cellStyle name="Note 2 3 2 2 4 3 2" xfId="41971" xr:uid="{00000000-0005-0000-0000-000040A30000}"/>
    <cellStyle name="Note 2 3 2 2 4 4" xfId="41972" xr:uid="{00000000-0005-0000-0000-000041A30000}"/>
    <cellStyle name="Note 2 3 2 2 4 5" xfId="41973" xr:uid="{00000000-0005-0000-0000-000042A30000}"/>
    <cellStyle name="Note 2 3 2 2 4 6" xfId="41974" xr:uid="{00000000-0005-0000-0000-000043A30000}"/>
    <cellStyle name="Note 2 3 2 2 5" xfId="41975" xr:uid="{00000000-0005-0000-0000-000044A30000}"/>
    <cellStyle name="Note 2 3 2 2 5 2" xfId="41976" xr:uid="{00000000-0005-0000-0000-000045A30000}"/>
    <cellStyle name="Note 2 3 2 2 6" xfId="41977" xr:uid="{00000000-0005-0000-0000-000046A30000}"/>
    <cellStyle name="Note 2 3 2 2 6 2" xfId="41978" xr:uid="{00000000-0005-0000-0000-000047A30000}"/>
    <cellStyle name="Note 2 3 2 2 7" xfId="41979" xr:uid="{00000000-0005-0000-0000-000048A30000}"/>
    <cellStyle name="Note 2 3 2 2 8" xfId="41980" xr:uid="{00000000-0005-0000-0000-000049A30000}"/>
    <cellStyle name="Note 2 3 2 2 9" xfId="41981" xr:uid="{00000000-0005-0000-0000-00004AA30000}"/>
    <cellStyle name="Note 2 3 2 3" xfId="41982" xr:uid="{00000000-0005-0000-0000-00004BA30000}"/>
    <cellStyle name="Note 2 3 2 3 2" xfId="41983" xr:uid="{00000000-0005-0000-0000-00004CA30000}"/>
    <cellStyle name="Note 2 3 2 3 2 2" xfId="41984" xr:uid="{00000000-0005-0000-0000-00004DA30000}"/>
    <cellStyle name="Note 2 3 2 3 2 2 2" xfId="41985" xr:uid="{00000000-0005-0000-0000-00004EA30000}"/>
    <cellStyle name="Note 2 3 2 3 2 2 2 2" xfId="41986" xr:uid="{00000000-0005-0000-0000-00004FA30000}"/>
    <cellStyle name="Note 2 3 2 3 2 2 3" xfId="41987" xr:uid="{00000000-0005-0000-0000-000050A30000}"/>
    <cellStyle name="Note 2 3 2 3 2 2 3 2" xfId="41988" xr:uid="{00000000-0005-0000-0000-000051A30000}"/>
    <cellStyle name="Note 2 3 2 3 2 2 4" xfId="41989" xr:uid="{00000000-0005-0000-0000-000052A30000}"/>
    <cellStyle name="Note 2 3 2 3 2 2 5" xfId="41990" xr:uid="{00000000-0005-0000-0000-000053A30000}"/>
    <cellStyle name="Note 2 3 2 3 2 2 6" xfId="41991" xr:uid="{00000000-0005-0000-0000-000054A30000}"/>
    <cellStyle name="Note 2 3 2 3 2 3" xfId="41992" xr:uid="{00000000-0005-0000-0000-000055A30000}"/>
    <cellStyle name="Note 2 3 2 3 2 3 2" xfId="41993" xr:uid="{00000000-0005-0000-0000-000056A30000}"/>
    <cellStyle name="Note 2 3 2 3 2 4" xfId="41994" xr:uid="{00000000-0005-0000-0000-000057A30000}"/>
    <cellStyle name="Note 2 3 2 3 2 4 2" xfId="41995" xr:uid="{00000000-0005-0000-0000-000058A30000}"/>
    <cellStyle name="Note 2 3 2 3 2 5" xfId="41996" xr:uid="{00000000-0005-0000-0000-000059A30000}"/>
    <cellStyle name="Note 2 3 2 3 2 6" xfId="41997" xr:uid="{00000000-0005-0000-0000-00005AA30000}"/>
    <cellStyle name="Note 2 3 2 3 2 7" xfId="41998" xr:uid="{00000000-0005-0000-0000-00005BA30000}"/>
    <cellStyle name="Note 2 3 2 3 3" xfId="41999" xr:uid="{00000000-0005-0000-0000-00005CA30000}"/>
    <cellStyle name="Note 2 3 2 3 3 2" xfId="42000" xr:uid="{00000000-0005-0000-0000-00005DA30000}"/>
    <cellStyle name="Note 2 3 2 3 3 2 2" xfId="42001" xr:uid="{00000000-0005-0000-0000-00005EA30000}"/>
    <cellStyle name="Note 2 3 2 3 3 3" xfId="42002" xr:uid="{00000000-0005-0000-0000-00005FA30000}"/>
    <cellStyle name="Note 2 3 2 3 3 3 2" xfId="42003" xr:uid="{00000000-0005-0000-0000-000060A30000}"/>
    <cellStyle name="Note 2 3 2 3 3 4" xfId="42004" xr:uid="{00000000-0005-0000-0000-000061A30000}"/>
    <cellStyle name="Note 2 3 2 3 3 5" xfId="42005" xr:uid="{00000000-0005-0000-0000-000062A30000}"/>
    <cellStyle name="Note 2 3 2 3 3 6" xfId="42006" xr:uid="{00000000-0005-0000-0000-000063A30000}"/>
    <cellStyle name="Note 2 3 2 3 4" xfId="42007" xr:uid="{00000000-0005-0000-0000-000064A30000}"/>
    <cellStyle name="Note 2 3 2 3 4 2" xfId="42008" xr:uid="{00000000-0005-0000-0000-000065A30000}"/>
    <cellStyle name="Note 2 3 2 3 5" xfId="42009" xr:uid="{00000000-0005-0000-0000-000066A30000}"/>
    <cellStyle name="Note 2 3 2 3 5 2" xfId="42010" xr:uid="{00000000-0005-0000-0000-000067A30000}"/>
    <cellStyle name="Note 2 3 2 3 6" xfId="42011" xr:uid="{00000000-0005-0000-0000-000068A30000}"/>
    <cellStyle name="Note 2 3 2 3 7" xfId="42012" xr:uid="{00000000-0005-0000-0000-000069A30000}"/>
    <cellStyle name="Note 2 3 2 3 8" xfId="42013" xr:uid="{00000000-0005-0000-0000-00006AA30000}"/>
    <cellStyle name="Note 2 3 2 4" xfId="42014" xr:uid="{00000000-0005-0000-0000-00006BA30000}"/>
    <cellStyle name="Note 2 3 2 4 2" xfId="42015" xr:uid="{00000000-0005-0000-0000-00006CA30000}"/>
    <cellStyle name="Note 2 3 2 4 2 2" xfId="42016" xr:uid="{00000000-0005-0000-0000-00006DA30000}"/>
    <cellStyle name="Note 2 3 2 4 2 2 2" xfId="42017" xr:uid="{00000000-0005-0000-0000-00006EA30000}"/>
    <cellStyle name="Note 2 3 2 4 2 3" xfId="42018" xr:uid="{00000000-0005-0000-0000-00006FA30000}"/>
    <cellStyle name="Note 2 3 2 4 2 3 2" xfId="42019" xr:uid="{00000000-0005-0000-0000-000070A30000}"/>
    <cellStyle name="Note 2 3 2 4 2 4" xfId="42020" xr:uid="{00000000-0005-0000-0000-000071A30000}"/>
    <cellStyle name="Note 2 3 2 4 2 5" xfId="42021" xr:uid="{00000000-0005-0000-0000-000072A30000}"/>
    <cellStyle name="Note 2 3 2 4 2 6" xfId="42022" xr:uid="{00000000-0005-0000-0000-000073A30000}"/>
    <cellStyle name="Note 2 3 2 4 3" xfId="42023" xr:uid="{00000000-0005-0000-0000-000074A30000}"/>
    <cellStyle name="Note 2 3 2 4 3 2" xfId="42024" xr:uid="{00000000-0005-0000-0000-000075A30000}"/>
    <cellStyle name="Note 2 3 2 4 4" xfId="42025" xr:uid="{00000000-0005-0000-0000-000076A30000}"/>
    <cellStyle name="Note 2 3 2 4 4 2" xfId="42026" xr:uid="{00000000-0005-0000-0000-000077A30000}"/>
    <cellStyle name="Note 2 3 2 4 5" xfId="42027" xr:uid="{00000000-0005-0000-0000-000078A30000}"/>
    <cellStyle name="Note 2 3 2 4 6" xfId="42028" xr:uid="{00000000-0005-0000-0000-000079A30000}"/>
    <cellStyle name="Note 2 3 2 4 7" xfId="42029" xr:uid="{00000000-0005-0000-0000-00007AA30000}"/>
    <cellStyle name="Note 2 3 2 5" xfId="42030" xr:uid="{00000000-0005-0000-0000-00007BA30000}"/>
    <cellStyle name="Note 2 3 2 5 2" xfId="42031" xr:uid="{00000000-0005-0000-0000-00007CA30000}"/>
    <cellStyle name="Note 2 3 2 5 2 2" xfId="42032" xr:uid="{00000000-0005-0000-0000-00007DA30000}"/>
    <cellStyle name="Note 2 3 2 5 3" xfId="42033" xr:uid="{00000000-0005-0000-0000-00007EA30000}"/>
    <cellStyle name="Note 2 3 2 5 3 2" xfId="42034" xr:uid="{00000000-0005-0000-0000-00007FA30000}"/>
    <cellStyle name="Note 2 3 2 5 4" xfId="42035" xr:uid="{00000000-0005-0000-0000-000080A30000}"/>
    <cellStyle name="Note 2 3 2 5 5" xfId="42036" xr:uid="{00000000-0005-0000-0000-000081A30000}"/>
    <cellStyle name="Note 2 3 2 5 6" xfId="42037" xr:uid="{00000000-0005-0000-0000-000082A30000}"/>
    <cellStyle name="Note 2 3 2 6" xfId="42038" xr:uid="{00000000-0005-0000-0000-000083A30000}"/>
    <cellStyle name="Note 2 3 2 6 2" xfId="42039" xr:uid="{00000000-0005-0000-0000-000084A30000}"/>
    <cellStyle name="Note 2 3 2 7" xfId="42040" xr:uid="{00000000-0005-0000-0000-000085A30000}"/>
    <cellStyle name="Note 2 3 2 7 2" xfId="42041" xr:uid="{00000000-0005-0000-0000-000086A30000}"/>
    <cellStyle name="Note 2 3 2 8" xfId="42042" xr:uid="{00000000-0005-0000-0000-000087A30000}"/>
    <cellStyle name="Note 2 3 2 9" xfId="42043" xr:uid="{00000000-0005-0000-0000-000088A30000}"/>
    <cellStyle name="Note 2 3 3" xfId="42044" xr:uid="{00000000-0005-0000-0000-000089A30000}"/>
    <cellStyle name="Note 2 3 3 10" xfId="42045" xr:uid="{00000000-0005-0000-0000-00008AA30000}"/>
    <cellStyle name="Note 2 3 3 2" xfId="42046" xr:uid="{00000000-0005-0000-0000-00008BA30000}"/>
    <cellStyle name="Note 2 3 3 2 2" xfId="42047" xr:uid="{00000000-0005-0000-0000-00008CA30000}"/>
    <cellStyle name="Note 2 3 3 2 2 2" xfId="42048" xr:uid="{00000000-0005-0000-0000-00008DA30000}"/>
    <cellStyle name="Note 2 3 3 2 2 2 2" xfId="42049" xr:uid="{00000000-0005-0000-0000-00008EA30000}"/>
    <cellStyle name="Note 2 3 3 2 2 2 2 2" xfId="42050" xr:uid="{00000000-0005-0000-0000-00008FA30000}"/>
    <cellStyle name="Note 2 3 3 2 2 2 2 2 2" xfId="42051" xr:uid="{00000000-0005-0000-0000-000090A30000}"/>
    <cellStyle name="Note 2 3 3 2 2 2 2 3" xfId="42052" xr:uid="{00000000-0005-0000-0000-000091A30000}"/>
    <cellStyle name="Note 2 3 3 2 2 2 2 3 2" xfId="42053" xr:uid="{00000000-0005-0000-0000-000092A30000}"/>
    <cellStyle name="Note 2 3 3 2 2 2 2 4" xfId="42054" xr:uid="{00000000-0005-0000-0000-000093A30000}"/>
    <cellStyle name="Note 2 3 3 2 2 2 2 5" xfId="42055" xr:uid="{00000000-0005-0000-0000-000094A30000}"/>
    <cellStyle name="Note 2 3 3 2 2 2 2 6" xfId="42056" xr:uid="{00000000-0005-0000-0000-000095A30000}"/>
    <cellStyle name="Note 2 3 3 2 2 2 3" xfId="42057" xr:uid="{00000000-0005-0000-0000-000096A30000}"/>
    <cellStyle name="Note 2 3 3 2 2 2 3 2" xfId="42058" xr:uid="{00000000-0005-0000-0000-000097A30000}"/>
    <cellStyle name="Note 2 3 3 2 2 2 4" xfId="42059" xr:uid="{00000000-0005-0000-0000-000098A30000}"/>
    <cellStyle name="Note 2 3 3 2 2 2 4 2" xfId="42060" xr:uid="{00000000-0005-0000-0000-000099A30000}"/>
    <cellStyle name="Note 2 3 3 2 2 2 5" xfId="42061" xr:uid="{00000000-0005-0000-0000-00009AA30000}"/>
    <cellStyle name="Note 2 3 3 2 2 2 6" xfId="42062" xr:uid="{00000000-0005-0000-0000-00009BA30000}"/>
    <cellStyle name="Note 2 3 3 2 2 2 7" xfId="42063" xr:uid="{00000000-0005-0000-0000-00009CA30000}"/>
    <cellStyle name="Note 2 3 3 2 2 3" xfId="42064" xr:uid="{00000000-0005-0000-0000-00009DA30000}"/>
    <cellStyle name="Note 2 3 3 2 2 3 2" xfId="42065" xr:uid="{00000000-0005-0000-0000-00009EA30000}"/>
    <cellStyle name="Note 2 3 3 2 2 3 2 2" xfId="42066" xr:uid="{00000000-0005-0000-0000-00009FA30000}"/>
    <cellStyle name="Note 2 3 3 2 2 3 3" xfId="42067" xr:uid="{00000000-0005-0000-0000-0000A0A30000}"/>
    <cellStyle name="Note 2 3 3 2 2 3 3 2" xfId="42068" xr:uid="{00000000-0005-0000-0000-0000A1A30000}"/>
    <cellStyle name="Note 2 3 3 2 2 3 4" xfId="42069" xr:uid="{00000000-0005-0000-0000-0000A2A30000}"/>
    <cellStyle name="Note 2 3 3 2 2 3 5" xfId="42070" xr:uid="{00000000-0005-0000-0000-0000A3A30000}"/>
    <cellStyle name="Note 2 3 3 2 2 3 6" xfId="42071" xr:uid="{00000000-0005-0000-0000-0000A4A30000}"/>
    <cellStyle name="Note 2 3 3 2 2 4" xfId="42072" xr:uid="{00000000-0005-0000-0000-0000A5A30000}"/>
    <cellStyle name="Note 2 3 3 2 2 4 2" xfId="42073" xr:uid="{00000000-0005-0000-0000-0000A6A30000}"/>
    <cellStyle name="Note 2 3 3 2 2 5" xfId="42074" xr:uid="{00000000-0005-0000-0000-0000A7A30000}"/>
    <cellStyle name="Note 2 3 3 2 2 5 2" xfId="42075" xr:uid="{00000000-0005-0000-0000-0000A8A30000}"/>
    <cellStyle name="Note 2 3 3 2 2 6" xfId="42076" xr:uid="{00000000-0005-0000-0000-0000A9A30000}"/>
    <cellStyle name="Note 2 3 3 2 2 7" xfId="42077" xr:uid="{00000000-0005-0000-0000-0000AAA30000}"/>
    <cellStyle name="Note 2 3 3 2 2 8" xfId="42078" xr:uid="{00000000-0005-0000-0000-0000ABA30000}"/>
    <cellStyle name="Note 2 3 3 2 3" xfId="42079" xr:uid="{00000000-0005-0000-0000-0000ACA30000}"/>
    <cellStyle name="Note 2 3 3 2 3 2" xfId="42080" xr:uid="{00000000-0005-0000-0000-0000ADA30000}"/>
    <cellStyle name="Note 2 3 3 2 3 2 2" xfId="42081" xr:uid="{00000000-0005-0000-0000-0000AEA30000}"/>
    <cellStyle name="Note 2 3 3 2 3 2 2 2" xfId="42082" xr:uid="{00000000-0005-0000-0000-0000AFA30000}"/>
    <cellStyle name="Note 2 3 3 2 3 2 3" xfId="42083" xr:uid="{00000000-0005-0000-0000-0000B0A30000}"/>
    <cellStyle name="Note 2 3 3 2 3 2 3 2" xfId="42084" xr:uid="{00000000-0005-0000-0000-0000B1A30000}"/>
    <cellStyle name="Note 2 3 3 2 3 2 4" xfId="42085" xr:uid="{00000000-0005-0000-0000-0000B2A30000}"/>
    <cellStyle name="Note 2 3 3 2 3 2 5" xfId="42086" xr:uid="{00000000-0005-0000-0000-0000B3A30000}"/>
    <cellStyle name="Note 2 3 3 2 3 2 6" xfId="42087" xr:uid="{00000000-0005-0000-0000-0000B4A30000}"/>
    <cellStyle name="Note 2 3 3 2 3 3" xfId="42088" xr:uid="{00000000-0005-0000-0000-0000B5A30000}"/>
    <cellStyle name="Note 2 3 3 2 3 3 2" xfId="42089" xr:uid="{00000000-0005-0000-0000-0000B6A30000}"/>
    <cellStyle name="Note 2 3 3 2 3 4" xfId="42090" xr:uid="{00000000-0005-0000-0000-0000B7A30000}"/>
    <cellStyle name="Note 2 3 3 2 3 4 2" xfId="42091" xr:uid="{00000000-0005-0000-0000-0000B8A30000}"/>
    <cellStyle name="Note 2 3 3 2 3 5" xfId="42092" xr:uid="{00000000-0005-0000-0000-0000B9A30000}"/>
    <cellStyle name="Note 2 3 3 2 3 6" xfId="42093" xr:uid="{00000000-0005-0000-0000-0000BAA30000}"/>
    <cellStyle name="Note 2 3 3 2 3 7" xfId="42094" xr:uid="{00000000-0005-0000-0000-0000BBA30000}"/>
    <cellStyle name="Note 2 3 3 2 4" xfId="42095" xr:uid="{00000000-0005-0000-0000-0000BCA30000}"/>
    <cellStyle name="Note 2 3 3 2 4 2" xfId="42096" xr:uid="{00000000-0005-0000-0000-0000BDA30000}"/>
    <cellStyle name="Note 2 3 3 2 4 2 2" xfId="42097" xr:uid="{00000000-0005-0000-0000-0000BEA30000}"/>
    <cellStyle name="Note 2 3 3 2 4 3" xfId="42098" xr:uid="{00000000-0005-0000-0000-0000BFA30000}"/>
    <cellStyle name="Note 2 3 3 2 4 3 2" xfId="42099" xr:uid="{00000000-0005-0000-0000-0000C0A30000}"/>
    <cellStyle name="Note 2 3 3 2 4 4" xfId="42100" xr:uid="{00000000-0005-0000-0000-0000C1A30000}"/>
    <cellStyle name="Note 2 3 3 2 4 5" xfId="42101" xr:uid="{00000000-0005-0000-0000-0000C2A30000}"/>
    <cellStyle name="Note 2 3 3 2 4 6" xfId="42102" xr:uid="{00000000-0005-0000-0000-0000C3A30000}"/>
    <cellStyle name="Note 2 3 3 2 5" xfId="42103" xr:uid="{00000000-0005-0000-0000-0000C4A30000}"/>
    <cellStyle name="Note 2 3 3 2 5 2" xfId="42104" xr:uid="{00000000-0005-0000-0000-0000C5A30000}"/>
    <cellStyle name="Note 2 3 3 2 6" xfId="42105" xr:uid="{00000000-0005-0000-0000-0000C6A30000}"/>
    <cellStyle name="Note 2 3 3 2 6 2" xfId="42106" xr:uid="{00000000-0005-0000-0000-0000C7A30000}"/>
    <cellStyle name="Note 2 3 3 2 7" xfId="42107" xr:uid="{00000000-0005-0000-0000-0000C8A30000}"/>
    <cellStyle name="Note 2 3 3 2 8" xfId="42108" xr:uid="{00000000-0005-0000-0000-0000C9A30000}"/>
    <cellStyle name="Note 2 3 3 2 9" xfId="42109" xr:uid="{00000000-0005-0000-0000-0000CAA30000}"/>
    <cellStyle name="Note 2 3 3 3" xfId="42110" xr:uid="{00000000-0005-0000-0000-0000CBA30000}"/>
    <cellStyle name="Note 2 3 3 3 2" xfId="42111" xr:uid="{00000000-0005-0000-0000-0000CCA30000}"/>
    <cellStyle name="Note 2 3 3 3 2 2" xfId="42112" xr:uid="{00000000-0005-0000-0000-0000CDA30000}"/>
    <cellStyle name="Note 2 3 3 3 2 2 2" xfId="42113" xr:uid="{00000000-0005-0000-0000-0000CEA30000}"/>
    <cellStyle name="Note 2 3 3 3 2 2 2 2" xfId="42114" xr:uid="{00000000-0005-0000-0000-0000CFA30000}"/>
    <cellStyle name="Note 2 3 3 3 2 2 3" xfId="42115" xr:uid="{00000000-0005-0000-0000-0000D0A30000}"/>
    <cellStyle name="Note 2 3 3 3 2 2 3 2" xfId="42116" xr:uid="{00000000-0005-0000-0000-0000D1A30000}"/>
    <cellStyle name="Note 2 3 3 3 2 2 4" xfId="42117" xr:uid="{00000000-0005-0000-0000-0000D2A30000}"/>
    <cellStyle name="Note 2 3 3 3 2 2 5" xfId="42118" xr:uid="{00000000-0005-0000-0000-0000D3A30000}"/>
    <cellStyle name="Note 2 3 3 3 2 2 6" xfId="42119" xr:uid="{00000000-0005-0000-0000-0000D4A30000}"/>
    <cellStyle name="Note 2 3 3 3 2 3" xfId="42120" xr:uid="{00000000-0005-0000-0000-0000D5A30000}"/>
    <cellStyle name="Note 2 3 3 3 2 3 2" xfId="42121" xr:uid="{00000000-0005-0000-0000-0000D6A30000}"/>
    <cellStyle name="Note 2 3 3 3 2 4" xfId="42122" xr:uid="{00000000-0005-0000-0000-0000D7A30000}"/>
    <cellStyle name="Note 2 3 3 3 2 4 2" xfId="42123" xr:uid="{00000000-0005-0000-0000-0000D8A30000}"/>
    <cellStyle name="Note 2 3 3 3 2 5" xfId="42124" xr:uid="{00000000-0005-0000-0000-0000D9A30000}"/>
    <cellStyle name="Note 2 3 3 3 2 6" xfId="42125" xr:uid="{00000000-0005-0000-0000-0000DAA30000}"/>
    <cellStyle name="Note 2 3 3 3 2 7" xfId="42126" xr:uid="{00000000-0005-0000-0000-0000DBA30000}"/>
    <cellStyle name="Note 2 3 3 3 3" xfId="42127" xr:uid="{00000000-0005-0000-0000-0000DCA30000}"/>
    <cellStyle name="Note 2 3 3 3 3 2" xfId="42128" xr:uid="{00000000-0005-0000-0000-0000DDA30000}"/>
    <cellStyle name="Note 2 3 3 3 3 2 2" xfId="42129" xr:uid="{00000000-0005-0000-0000-0000DEA30000}"/>
    <cellStyle name="Note 2 3 3 3 3 3" xfId="42130" xr:uid="{00000000-0005-0000-0000-0000DFA30000}"/>
    <cellStyle name="Note 2 3 3 3 3 3 2" xfId="42131" xr:uid="{00000000-0005-0000-0000-0000E0A30000}"/>
    <cellStyle name="Note 2 3 3 3 3 4" xfId="42132" xr:uid="{00000000-0005-0000-0000-0000E1A30000}"/>
    <cellStyle name="Note 2 3 3 3 3 5" xfId="42133" xr:uid="{00000000-0005-0000-0000-0000E2A30000}"/>
    <cellStyle name="Note 2 3 3 3 3 6" xfId="42134" xr:uid="{00000000-0005-0000-0000-0000E3A30000}"/>
    <cellStyle name="Note 2 3 3 3 4" xfId="42135" xr:uid="{00000000-0005-0000-0000-0000E4A30000}"/>
    <cellStyle name="Note 2 3 3 3 4 2" xfId="42136" xr:uid="{00000000-0005-0000-0000-0000E5A30000}"/>
    <cellStyle name="Note 2 3 3 3 5" xfId="42137" xr:uid="{00000000-0005-0000-0000-0000E6A30000}"/>
    <cellStyle name="Note 2 3 3 3 5 2" xfId="42138" xr:uid="{00000000-0005-0000-0000-0000E7A30000}"/>
    <cellStyle name="Note 2 3 3 3 6" xfId="42139" xr:uid="{00000000-0005-0000-0000-0000E8A30000}"/>
    <cellStyle name="Note 2 3 3 3 7" xfId="42140" xr:uid="{00000000-0005-0000-0000-0000E9A30000}"/>
    <cellStyle name="Note 2 3 3 3 8" xfId="42141" xr:uid="{00000000-0005-0000-0000-0000EAA30000}"/>
    <cellStyle name="Note 2 3 3 4" xfId="42142" xr:uid="{00000000-0005-0000-0000-0000EBA30000}"/>
    <cellStyle name="Note 2 3 3 4 2" xfId="42143" xr:uid="{00000000-0005-0000-0000-0000ECA30000}"/>
    <cellStyle name="Note 2 3 3 4 2 2" xfId="42144" xr:uid="{00000000-0005-0000-0000-0000EDA30000}"/>
    <cellStyle name="Note 2 3 3 4 2 2 2" xfId="42145" xr:uid="{00000000-0005-0000-0000-0000EEA30000}"/>
    <cellStyle name="Note 2 3 3 4 2 3" xfId="42146" xr:uid="{00000000-0005-0000-0000-0000EFA30000}"/>
    <cellStyle name="Note 2 3 3 4 2 3 2" xfId="42147" xr:uid="{00000000-0005-0000-0000-0000F0A30000}"/>
    <cellStyle name="Note 2 3 3 4 2 4" xfId="42148" xr:uid="{00000000-0005-0000-0000-0000F1A30000}"/>
    <cellStyle name="Note 2 3 3 4 2 5" xfId="42149" xr:uid="{00000000-0005-0000-0000-0000F2A30000}"/>
    <cellStyle name="Note 2 3 3 4 2 6" xfId="42150" xr:uid="{00000000-0005-0000-0000-0000F3A30000}"/>
    <cellStyle name="Note 2 3 3 4 3" xfId="42151" xr:uid="{00000000-0005-0000-0000-0000F4A30000}"/>
    <cellStyle name="Note 2 3 3 4 3 2" xfId="42152" xr:uid="{00000000-0005-0000-0000-0000F5A30000}"/>
    <cellStyle name="Note 2 3 3 4 4" xfId="42153" xr:uid="{00000000-0005-0000-0000-0000F6A30000}"/>
    <cellStyle name="Note 2 3 3 4 4 2" xfId="42154" xr:uid="{00000000-0005-0000-0000-0000F7A30000}"/>
    <cellStyle name="Note 2 3 3 4 5" xfId="42155" xr:uid="{00000000-0005-0000-0000-0000F8A30000}"/>
    <cellStyle name="Note 2 3 3 4 6" xfId="42156" xr:uid="{00000000-0005-0000-0000-0000F9A30000}"/>
    <cellStyle name="Note 2 3 3 4 7" xfId="42157" xr:uid="{00000000-0005-0000-0000-0000FAA30000}"/>
    <cellStyle name="Note 2 3 3 5" xfId="42158" xr:uid="{00000000-0005-0000-0000-0000FBA30000}"/>
    <cellStyle name="Note 2 3 3 5 2" xfId="42159" xr:uid="{00000000-0005-0000-0000-0000FCA30000}"/>
    <cellStyle name="Note 2 3 3 5 2 2" xfId="42160" xr:uid="{00000000-0005-0000-0000-0000FDA30000}"/>
    <cellStyle name="Note 2 3 3 5 3" xfId="42161" xr:uid="{00000000-0005-0000-0000-0000FEA30000}"/>
    <cellStyle name="Note 2 3 3 5 3 2" xfId="42162" xr:uid="{00000000-0005-0000-0000-0000FFA30000}"/>
    <cellStyle name="Note 2 3 3 5 4" xfId="42163" xr:uid="{00000000-0005-0000-0000-000000A40000}"/>
    <cellStyle name="Note 2 3 3 5 5" xfId="42164" xr:uid="{00000000-0005-0000-0000-000001A40000}"/>
    <cellStyle name="Note 2 3 3 5 6" xfId="42165" xr:uid="{00000000-0005-0000-0000-000002A40000}"/>
    <cellStyle name="Note 2 3 3 6" xfId="42166" xr:uid="{00000000-0005-0000-0000-000003A40000}"/>
    <cellStyle name="Note 2 3 3 6 2" xfId="42167" xr:uid="{00000000-0005-0000-0000-000004A40000}"/>
    <cellStyle name="Note 2 3 3 7" xfId="42168" xr:uid="{00000000-0005-0000-0000-000005A40000}"/>
    <cellStyle name="Note 2 3 3 7 2" xfId="42169" xr:uid="{00000000-0005-0000-0000-000006A40000}"/>
    <cellStyle name="Note 2 3 3 8" xfId="42170" xr:uid="{00000000-0005-0000-0000-000007A40000}"/>
    <cellStyle name="Note 2 3 3 9" xfId="42171" xr:uid="{00000000-0005-0000-0000-000008A40000}"/>
    <cellStyle name="Note 2 3 4" xfId="42172" xr:uid="{00000000-0005-0000-0000-000009A40000}"/>
    <cellStyle name="Note 2 3 4 2" xfId="42173" xr:uid="{00000000-0005-0000-0000-00000AA40000}"/>
    <cellStyle name="Note 2 3 4 2 2" xfId="42174" xr:uid="{00000000-0005-0000-0000-00000BA40000}"/>
    <cellStyle name="Note 2 3 4 2 2 2" xfId="42175" xr:uid="{00000000-0005-0000-0000-00000CA40000}"/>
    <cellStyle name="Note 2 3 4 2 2 2 2" xfId="42176" xr:uid="{00000000-0005-0000-0000-00000DA40000}"/>
    <cellStyle name="Note 2 3 4 2 2 2 2 2" xfId="42177" xr:uid="{00000000-0005-0000-0000-00000EA40000}"/>
    <cellStyle name="Note 2 3 4 2 2 2 3" xfId="42178" xr:uid="{00000000-0005-0000-0000-00000FA40000}"/>
    <cellStyle name="Note 2 3 4 2 2 2 3 2" xfId="42179" xr:uid="{00000000-0005-0000-0000-000010A40000}"/>
    <cellStyle name="Note 2 3 4 2 2 2 4" xfId="42180" xr:uid="{00000000-0005-0000-0000-000011A40000}"/>
    <cellStyle name="Note 2 3 4 2 2 2 5" xfId="42181" xr:uid="{00000000-0005-0000-0000-000012A40000}"/>
    <cellStyle name="Note 2 3 4 2 2 2 6" xfId="42182" xr:uid="{00000000-0005-0000-0000-000013A40000}"/>
    <cellStyle name="Note 2 3 4 2 2 3" xfId="42183" xr:uid="{00000000-0005-0000-0000-000014A40000}"/>
    <cellStyle name="Note 2 3 4 2 2 3 2" xfId="42184" xr:uid="{00000000-0005-0000-0000-000015A40000}"/>
    <cellStyle name="Note 2 3 4 2 2 4" xfId="42185" xr:uid="{00000000-0005-0000-0000-000016A40000}"/>
    <cellStyle name="Note 2 3 4 2 2 4 2" xfId="42186" xr:uid="{00000000-0005-0000-0000-000017A40000}"/>
    <cellStyle name="Note 2 3 4 2 2 5" xfId="42187" xr:uid="{00000000-0005-0000-0000-000018A40000}"/>
    <cellStyle name="Note 2 3 4 2 2 6" xfId="42188" xr:uid="{00000000-0005-0000-0000-000019A40000}"/>
    <cellStyle name="Note 2 3 4 2 2 7" xfId="42189" xr:uid="{00000000-0005-0000-0000-00001AA40000}"/>
    <cellStyle name="Note 2 3 4 2 3" xfId="42190" xr:uid="{00000000-0005-0000-0000-00001BA40000}"/>
    <cellStyle name="Note 2 3 4 2 3 2" xfId="42191" xr:uid="{00000000-0005-0000-0000-00001CA40000}"/>
    <cellStyle name="Note 2 3 4 2 3 2 2" xfId="42192" xr:uid="{00000000-0005-0000-0000-00001DA40000}"/>
    <cellStyle name="Note 2 3 4 2 3 3" xfId="42193" xr:uid="{00000000-0005-0000-0000-00001EA40000}"/>
    <cellStyle name="Note 2 3 4 2 3 3 2" xfId="42194" xr:uid="{00000000-0005-0000-0000-00001FA40000}"/>
    <cellStyle name="Note 2 3 4 2 3 4" xfId="42195" xr:uid="{00000000-0005-0000-0000-000020A40000}"/>
    <cellStyle name="Note 2 3 4 2 3 5" xfId="42196" xr:uid="{00000000-0005-0000-0000-000021A40000}"/>
    <cellStyle name="Note 2 3 4 2 3 6" xfId="42197" xr:uid="{00000000-0005-0000-0000-000022A40000}"/>
    <cellStyle name="Note 2 3 4 2 4" xfId="42198" xr:uid="{00000000-0005-0000-0000-000023A40000}"/>
    <cellStyle name="Note 2 3 4 2 4 2" xfId="42199" xr:uid="{00000000-0005-0000-0000-000024A40000}"/>
    <cellStyle name="Note 2 3 4 2 5" xfId="42200" xr:uid="{00000000-0005-0000-0000-000025A40000}"/>
    <cellStyle name="Note 2 3 4 2 5 2" xfId="42201" xr:uid="{00000000-0005-0000-0000-000026A40000}"/>
    <cellStyle name="Note 2 3 4 2 6" xfId="42202" xr:uid="{00000000-0005-0000-0000-000027A40000}"/>
    <cellStyle name="Note 2 3 4 2 7" xfId="42203" xr:uid="{00000000-0005-0000-0000-000028A40000}"/>
    <cellStyle name="Note 2 3 4 2 8" xfId="42204" xr:uid="{00000000-0005-0000-0000-000029A40000}"/>
    <cellStyle name="Note 2 3 4 3" xfId="42205" xr:uid="{00000000-0005-0000-0000-00002AA40000}"/>
    <cellStyle name="Note 2 3 4 3 2" xfId="42206" xr:uid="{00000000-0005-0000-0000-00002BA40000}"/>
    <cellStyle name="Note 2 3 4 3 2 2" xfId="42207" xr:uid="{00000000-0005-0000-0000-00002CA40000}"/>
    <cellStyle name="Note 2 3 4 3 2 2 2" xfId="42208" xr:uid="{00000000-0005-0000-0000-00002DA40000}"/>
    <cellStyle name="Note 2 3 4 3 2 3" xfId="42209" xr:uid="{00000000-0005-0000-0000-00002EA40000}"/>
    <cellStyle name="Note 2 3 4 3 2 3 2" xfId="42210" xr:uid="{00000000-0005-0000-0000-00002FA40000}"/>
    <cellStyle name="Note 2 3 4 3 2 4" xfId="42211" xr:uid="{00000000-0005-0000-0000-000030A40000}"/>
    <cellStyle name="Note 2 3 4 3 2 5" xfId="42212" xr:uid="{00000000-0005-0000-0000-000031A40000}"/>
    <cellStyle name="Note 2 3 4 3 2 6" xfId="42213" xr:uid="{00000000-0005-0000-0000-000032A40000}"/>
    <cellStyle name="Note 2 3 4 3 3" xfId="42214" xr:uid="{00000000-0005-0000-0000-000033A40000}"/>
    <cellStyle name="Note 2 3 4 3 3 2" xfId="42215" xr:uid="{00000000-0005-0000-0000-000034A40000}"/>
    <cellStyle name="Note 2 3 4 3 4" xfId="42216" xr:uid="{00000000-0005-0000-0000-000035A40000}"/>
    <cellStyle name="Note 2 3 4 3 4 2" xfId="42217" xr:uid="{00000000-0005-0000-0000-000036A40000}"/>
    <cellStyle name="Note 2 3 4 3 5" xfId="42218" xr:uid="{00000000-0005-0000-0000-000037A40000}"/>
    <cellStyle name="Note 2 3 4 3 6" xfId="42219" xr:uid="{00000000-0005-0000-0000-000038A40000}"/>
    <cellStyle name="Note 2 3 4 3 7" xfId="42220" xr:uid="{00000000-0005-0000-0000-000039A40000}"/>
    <cellStyle name="Note 2 3 4 4" xfId="42221" xr:uid="{00000000-0005-0000-0000-00003AA40000}"/>
    <cellStyle name="Note 2 3 4 4 2" xfId="42222" xr:uid="{00000000-0005-0000-0000-00003BA40000}"/>
    <cellStyle name="Note 2 3 4 4 2 2" xfId="42223" xr:uid="{00000000-0005-0000-0000-00003CA40000}"/>
    <cellStyle name="Note 2 3 4 4 3" xfId="42224" xr:uid="{00000000-0005-0000-0000-00003DA40000}"/>
    <cellStyle name="Note 2 3 4 4 3 2" xfId="42225" xr:uid="{00000000-0005-0000-0000-00003EA40000}"/>
    <cellStyle name="Note 2 3 4 4 4" xfId="42226" xr:uid="{00000000-0005-0000-0000-00003FA40000}"/>
    <cellStyle name="Note 2 3 4 4 5" xfId="42227" xr:uid="{00000000-0005-0000-0000-000040A40000}"/>
    <cellStyle name="Note 2 3 4 4 6" xfId="42228" xr:uid="{00000000-0005-0000-0000-000041A40000}"/>
    <cellStyle name="Note 2 3 4 5" xfId="42229" xr:uid="{00000000-0005-0000-0000-000042A40000}"/>
    <cellStyle name="Note 2 3 4 5 2" xfId="42230" xr:uid="{00000000-0005-0000-0000-000043A40000}"/>
    <cellStyle name="Note 2 3 4 6" xfId="42231" xr:uid="{00000000-0005-0000-0000-000044A40000}"/>
    <cellStyle name="Note 2 3 4 6 2" xfId="42232" xr:uid="{00000000-0005-0000-0000-000045A40000}"/>
    <cellStyle name="Note 2 3 4 7" xfId="42233" xr:uid="{00000000-0005-0000-0000-000046A40000}"/>
    <cellStyle name="Note 2 3 4 8" xfId="42234" xr:uid="{00000000-0005-0000-0000-000047A40000}"/>
    <cellStyle name="Note 2 3 4 9" xfId="42235" xr:uid="{00000000-0005-0000-0000-000048A40000}"/>
    <cellStyle name="Note 2 3 5" xfId="42236" xr:uid="{00000000-0005-0000-0000-000049A40000}"/>
    <cellStyle name="Note 2 3 5 2" xfId="42237" xr:uid="{00000000-0005-0000-0000-00004AA40000}"/>
    <cellStyle name="Note 2 3 5 2 2" xfId="42238" xr:uid="{00000000-0005-0000-0000-00004BA40000}"/>
    <cellStyle name="Note 2 3 5 2 2 2" xfId="42239" xr:uid="{00000000-0005-0000-0000-00004CA40000}"/>
    <cellStyle name="Note 2 3 5 2 2 2 2" xfId="42240" xr:uid="{00000000-0005-0000-0000-00004DA40000}"/>
    <cellStyle name="Note 2 3 5 2 2 3" xfId="42241" xr:uid="{00000000-0005-0000-0000-00004EA40000}"/>
    <cellStyle name="Note 2 3 5 2 2 3 2" xfId="42242" xr:uid="{00000000-0005-0000-0000-00004FA40000}"/>
    <cellStyle name="Note 2 3 5 2 2 4" xfId="42243" xr:uid="{00000000-0005-0000-0000-000050A40000}"/>
    <cellStyle name="Note 2 3 5 2 2 5" xfId="42244" xr:uid="{00000000-0005-0000-0000-000051A40000}"/>
    <cellStyle name="Note 2 3 5 2 2 6" xfId="42245" xr:uid="{00000000-0005-0000-0000-000052A40000}"/>
    <cellStyle name="Note 2 3 5 2 3" xfId="42246" xr:uid="{00000000-0005-0000-0000-000053A40000}"/>
    <cellStyle name="Note 2 3 5 2 3 2" xfId="42247" xr:uid="{00000000-0005-0000-0000-000054A40000}"/>
    <cellStyle name="Note 2 3 5 2 4" xfId="42248" xr:uid="{00000000-0005-0000-0000-000055A40000}"/>
    <cellStyle name="Note 2 3 5 2 4 2" xfId="42249" xr:uid="{00000000-0005-0000-0000-000056A40000}"/>
    <cellStyle name="Note 2 3 5 2 5" xfId="42250" xr:uid="{00000000-0005-0000-0000-000057A40000}"/>
    <cellStyle name="Note 2 3 5 2 6" xfId="42251" xr:uid="{00000000-0005-0000-0000-000058A40000}"/>
    <cellStyle name="Note 2 3 5 2 7" xfId="42252" xr:uid="{00000000-0005-0000-0000-000059A40000}"/>
    <cellStyle name="Note 2 3 5 3" xfId="42253" xr:uid="{00000000-0005-0000-0000-00005AA40000}"/>
    <cellStyle name="Note 2 3 5 3 2" xfId="42254" xr:uid="{00000000-0005-0000-0000-00005BA40000}"/>
    <cellStyle name="Note 2 3 5 3 2 2" xfId="42255" xr:uid="{00000000-0005-0000-0000-00005CA40000}"/>
    <cellStyle name="Note 2 3 5 3 3" xfId="42256" xr:uid="{00000000-0005-0000-0000-00005DA40000}"/>
    <cellStyle name="Note 2 3 5 3 3 2" xfId="42257" xr:uid="{00000000-0005-0000-0000-00005EA40000}"/>
    <cellStyle name="Note 2 3 5 3 4" xfId="42258" xr:uid="{00000000-0005-0000-0000-00005FA40000}"/>
    <cellStyle name="Note 2 3 5 3 5" xfId="42259" xr:uid="{00000000-0005-0000-0000-000060A40000}"/>
    <cellStyle name="Note 2 3 5 3 6" xfId="42260" xr:uid="{00000000-0005-0000-0000-000061A40000}"/>
    <cellStyle name="Note 2 3 5 4" xfId="42261" xr:uid="{00000000-0005-0000-0000-000062A40000}"/>
    <cellStyle name="Note 2 3 5 4 2" xfId="42262" xr:uid="{00000000-0005-0000-0000-000063A40000}"/>
    <cellStyle name="Note 2 3 5 5" xfId="42263" xr:uid="{00000000-0005-0000-0000-000064A40000}"/>
    <cellStyle name="Note 2 3 5 5 2" xfId="42264" xr:uid="{00000000-0005-0000-0000-000065A40000}"/>
    <cellStyle name="Note 2 3 5 6" xfId="42265" xr:uid="{00000000-0005-0000-0000-000066A40000}"/>
    <cellStyle name="Note 2 3 5 7" xfId="42266" xr:uid="{00000000-0005-0000-0000-000067A40000}"/>
    <cellStyle name="Note 2 3 5 8" xfId="42267" xr:uid="{00000000-0005-0000-0000-000068A40000}"/>
    <cellStyle name="Note 2 3 6" xfId="42268" xr:uid="{00000000-0005-0000-0000-000069A40000}"/>
    <cellStyle name="Note 2 3 6 2" xfId="42269" xr:uid="{00000000-0005-0000-0000-00006AA40000}"/>
    <cellStyle name="Note 2 3 6 2 2" xfId="42270" xr:uid="{00000000-0005-0000-0000-00006BA40000}"/>
    <cellStyle name="Note 2 3 6 2 2 2" xfId="42271" xr:uid="{00000000-0005-0000-0000-00006CA40000}"/>
    <cellStyle name="Note 2 3 6 2 3" xfId="42272" xr:uid="{00000000-0005-0000-0000-00006DA40000}"/>
    <cellStyle name="Note 2 3 6 2 3 2" xfId="42273" xr:uid="{00000000-0005-0000-0000-00006EA40000}"/>
    <cellStyle name="Note 2 3 6 2 4" xfId="42274" xr:uid="{00000000-0005-0000-0000-00006FA40000}"/>
    <cellStyle name="Note 2 3 6 2 5" xfId="42275" xr:uid="{00000000-0005-0000-0000-000070A40000}"/>
    <cellStyle name="Note 2 3 6 2 6" xfId="42276" xr:uid="{00000000-0005-0000-0000-000071A40000}"/>
    <cellStyle name="Note 2 3 6 3" xfId="42277" xr:uid="{00000000-0005-0000-0000-000072A40000}"/>
    <cellStyle name="Note 2 3 6 3 2" xfId="42278" xr:uid="{00000000-0005-0000-0000-000073A40000}"/>
    <cellStyle name="Note 2 3 6 4" xfId="42279" xr:uid="{00000000-0005-0000-0000-000074A40000}"/>
    <cellStyle name="Note 2 3 6 4 2" xfId="42280" xr:uid="{00000000-0005-0000-0000-000075A40000}"/>
    <cellStyle name="Note 2 3 6 5" xfId="42281" xr:uid="{00000000-0005-0000-0000-000076A40000}"/>
    <cellStyle name="Note 2 3 6 6" xfId="42282" xr:uid="{00000000-0005-0000-0000-000077A40000}"/>
    <cellStyle name="Note 2 3 6 7" xfId="42283" xr:uid="{00000000-0005-0000-0000-000078A40000}"/>
    <cellStyle name="Note 2 3 7" xfId="42284" xr:uid="{00000000-0005-0000-0000-000079A40000}"/>
    <cellStyle name="Note 2 3 7 2" xfId="42285" xr:uid="{00000000-0005-0000-0000-00007AA40000}"/>
    <cellStyle name="Note 2 3 7 2 2" xfId="42286" xr:uid="{00000000-0005-0000-0000-00007BA40000}"/>
    <cellStyle name="Note 2 3 7 3" xfId="42287" xr:uid="{00000000-0005-0000-0000-00007CA40000}"/>
    <cellStyle name="Note 2 3 7 3 2" xfId="42288" xr:uid="{00000000-0005-0000-0000-00007DA40000}"/>
    <cellStyle name="Note 2 3 7 4" xfId="42289" xr:uid="{00000000-0005-0000-0000-00007EA40000}"/>
    <cellStyle name="Note 2 3 7 5" xfId="42290" xr:uid="{00000000-0005-0000-0000-00007FA40000}"/>
    <cellStyle name="Note 2 3 7 6" xfId="42291" xr:uid="{00000000-0005-0000-0000-000080A40000}"/>
    <cellStyle name="Note 2 3 8" xfId="42292" xr:uid="{00000000-0005-0000-0000-000081A40000}"/>
    <cellStyle name="Note 2 3 8 2" xfId="42293" xr:uid="{00000000-0005-0000-0000-000082A40000}"/>
    <cellStyle name="Note 2 3 9" xfId="42294" xr:uid="{00000000-0005-0000-0000-000083A40000}"/>
    <cellStyle name="Note 2 3 9 2" xfId="42295" xr:uid="{00000000-0005-0000-0000-000084A40000}"/>
    <cellStyle name="Note 2 4" xfId="42296" xr:uid="{00000000-0005-0000-0000-000085A40000}"/>
    <cellStyle name="Note 2 4 10" xfId="42297" xr:uid="{00000000-0005-0000-0000-000086A40000}"/>
    <cellStyle name="Note 2 4 11" xfId="42298" xr:uid="{00000000-0005-0000-0000-000087A40000}"/>
    <cellStyle name="Note 2 4 2" xfId="42299" xr:uid="{00000000-0005-0000-0000-000088A40000}"/>
    <cellStyle name="Note 2 4 2 10" xfId="42300" xr:uid="{00000000-0005-0000-0000-000089A40000}"/>
    <cellStyle name="Note 2 4 2 2" xfId="42301" xr:uid="{00000000-0005-0000-0000-00008AA40000}"/>
    <cellStyle name="Note 2 4 2 2 2" xfId="42302" xr:uid="{00000000-0005-0000-0000-00008BA40000}"/>
    <cellStyle name="Note 2 4 2 2 2 2" xfId="42303" xr:uid="{00000000-0005-0000-0000-00008CA40000}"/>
    <cellStyle name="Note 2 4 2 2 2 2 2" xfId="42304" xr:uid="{00000000-0005-0000-0000-00008DA40000}"/>
    <cellStyle name="Note 2 4 2 2 2 2 2 2" xfId="42305" xr:uid="{00000000-0005-0000-0000-00008EA40000}"/>
    <cellStyle name="Note 2 4 2 2 2 2 2 2 2" xfId="42306" xr:uid="{00000000-0005-0000-0000-00008FA40000}"/>
    <cellStyle name="Note 2 4 2 2 2 2 2 3" xfId="42307" xr:uid="{00000000-0005-0000-0000-000090A40000}"/>
    <cellStyle name="Note 2 4 2 2 2 2 2 3 2" xfId="42308" xr:uid="{00000000-0005-0000-0000-000091A40000}"/>
    <cellStyle name="Note 2 4 2 2 2 2 2 4" xfId="42309" xr:uid="{00000000-0005-0000-0000-000092A40000}"/>
    <cellStyle name="Note 2 4 2 2 2 2 2 5" xfId="42310" xr:uid="{00000000-0005-0000-0000-000093A40000}"/>
    <cellStyle name="Note 2 4 2 2 2 2 2 6" xfId="42311" xr:uid="{00000000-0005-0000-0000-000094A40000}"/>
    <cellStyle name="Note 2 4 2 2 2 2 3" xfId="42312" xr:uid="{00000000-0005-0000-0000-000095A40000}"/>
    <cellStyle name="Note 2 4 2 2 2 2 3 2" xfId="42313" xr:uid="{00000000-0005-0000-0000-000096A40000}"/>
    <cellStyle name="Note 2 4 2 2 2 2 4" xfId="42314" xr:uid="{00000000-0005-0000-0000-000097A40000}"/>
    <cellStyle name="Note 2 4 2 2 2 2 4 2" xfId="42315" xr:uid="{00000000-0005-0000-0000-000098A40000}"/>
    <cellStyle name="Note 2 4 2 2 2 2 5" xfId="42316" xr:uid="{00000000-0005-0000-0000-000099A40000}"/>
    <cellStyle name="Note 2 4 2 2 2 2 6" xfId="42317" xr:uid="{00000000-0005-0000-0000-00009AA40000}"/>
    <cellStyle name="Note 2 4 2 2 2 2 7" xfId="42318" xr:uid="{00000000-0005-0000-0000-00009BA40000}"/>
    <cellStyle name="Note 2 4 2 2 2 3" xfId="42319" xr:uid="{00000000-0005-0000-0000-00009CA40000}"/>
    <cellStyle name="Note 2 4 2 2 2 3 2" xfId="42320" xr:uid="{00000000-0005-0000-0000-00009DA40000}"/>
    <cellStyle name="Note 2 4 2 2 2 3 2 2" xfId="42321" xr:uid="{00000000-0005-0000-0000-00009EA40000}"/>
    <cellStyle name="Note 2 4 2 2 2 3 3" xfId="42322" xr:uid="{00000000-0005-0000-0000-00009FA40000}"/>
    <cellStyle name="Note 2 4 2 2 2 3 3 2" xfId="42323" xr:uid="{00000000-0005-0000-0000-0000A0A40000}"/>
    <cellStyle name="Note 2 4 2 2 2 3 4" xfId="42324" xr:uid="{00000000-0005-0000-0000-0000A1A40000}"/>
    <cellStyle name="Note 2 4 2 2 2 3 5" xfId="42325" xr:uid="{00000000-0005-0000-0000-0000A2A40000}"/>
    <cellStyle name="Note 2 4 2 2 2 3 6" xfId="42326" xr:uid="{00000000-0005-0000-0000-0000A3A40000}"/>
    <cellStyle name="Note 2 4 2 2 2 4" xfId="42327" xr:uid="{00000000-0005-0000-0000-0000A4A40000}"/>
    <cellStyle name="Note 2 4 2 2 2 4 2" xfId="42328" xr:uid="{00000000-0005-0000-0000-0000A5A40000}"/>
    <cellStyle name="Note 2 4 2 2 2 5" xfId="42329" xr:uid="{00000000-0005-0000-0000-0000A6A40000}"/>
    <cellStyle name="Note 2 4 2 2 2 5 2" xfId="42330" xr:uid="{00000000-0005-0000-0000-0000A7A40000}"/>
    <cellStyle name="Note 2 4 2 2 2 6" xfId="42331" xr:uid="{00000000-0005-0000-0000-0000A8A40000}"/>
    <cellStyle name="Note 2 4 2 2 2 7" xfId="42332" xr:uid="{00000000-0005-0000-0000-0000A9A40000}"/>
    <cellStyle name="Note 2 4 2 2 2 8" xfId="42333" xr:uid="{00000000-0005-0000-0000-0000AAA40000}"/>
    <cellStyle name="Note 2 4 2 2 3" xfId="42334" xr:uid="{00000000-0005-0000-0000-0000ABA40000}"/>
    <cellStyle name="Note 2 4 2 2 3 2" xfId="42335" xr:uid="{00000000-0005-0000-0000-0000ACA40000}"/>
    <cellStyle name="Note 2 4 2 2 3 2 2" xfId="42336" xr:uid="{00000000-0005-0000-0000-0000ADA40000}"/>
    <cellStyle name="Note 2 4 2 2 3 2 2 2" xfId="42337" xr:uid="{00000000-0005-0000-0000-0000AEA40000}"/>
    <cellStyle name="Note 2 4 2 2 3 2 3" xfId="42338" xr:uid="{00000000-0005-0000-0000-0000AFA40000}"/>
    <cellStyle name="Note 2 4 2 2 3 2 3 2" xfId="42339" xr:uid="{00000000-0005-0000-0000-0000B0A40000}"/>
    <cellStyle name="Note 2 4 2 2 3 2 4" xfId="42340" xr:uid="{00000000-0005-0000-0000-0000B1A40000}"/>
    <cellStyle name="Note 2 4 2 2 3 2 5" xfId="42341" xr:uid="{00000000-0005-0000-0000-0000B2A40000}"/>
    <cellStyle name="Note 2 4 2 2 3 2 6" xfId="42342" xr:uid="{00000000-0005-0000-0000-0000B3A40000}"/>
    <cellStyle name="Note 2 4 2 2 3 3" xfId="42343" xr:uid="{00000000-0005-0000-0000-0000B4A40000}"/>
    <cellStyle name="Note 2 4 2 2 3 3 2" xfId="42344" xr:uid="{00000000-0005-0000-0000-0000B5A40000}"/>
    <cellStyle name="Note 2 4 2 2 3 4" xfId="42345" xr:uid="{00000000-0005-0000-0000-0000B6A40000}"/>
    <cellStyle name="Note 2 4 2 2 3 4 2" xfId="42346" xr:uid="{00000000-0005-0000-0000-0000B7A40000}"/>
    <cellStyle name="Note 2 4 2 2 3 5" xfId="42347" xr:uid="{00000000-0005-0000-0000-0000B8A40000}"/>
    <cellStyle name="Note 2 4 2 2 3 6" xfId="42348" xr:uid="{00000000-0005-0000-0000-0000B9A40000}"/>
    <cellStyle name="Note 2 4 2 2 3 7" xfId="42349" xr:uid="{00000000-0005-0000-0000-0000BAA40000}"/>
    <cellStyle name="Note 2 4 2 2 4" xfId="42350" xr:uid="{00000000-0005-0000-0000-0000BBA40000}"/>
    <cellStyle name="Note 2 4 2 2 4 2" xfId="42351" xr:uid="{00000000-0005-0000-0000-0000BCA40000}"/>
    <cellStyle name="Note 2 4 2 2 4 2 2" xfId="42352" xr:uid="{00000000-0005-0000-0000-0000BDA40000}"/>
    <cellStyle name="Note 2 4 2 2 4 3" xfId="42353" xr:uid="{00000000-0005-0000-0000-0000BEA40000}"/>
    <cellStyle name="Note 2 4 2 2 4 3 2" xfId="42354" xr:uid="{00000000-0005-0000-0000-0000BFA40000}"/>
    <cellStyle name="Note 2 4 2 2 4 4" xfId="42355" xr:uid="{00000000-0005-0000-0000-0000C0A40000}"/>
    <cellStyle name="Note 2 4 2 2 4 5" xfId="42356" xr:uid="{00000000-0005-0000-0000-0000C1A40000}"/>
    <cellStyle name="Note 2 4 2 2 4 6" xfId="42357" xr:uid="{00000000-0005-0000-0000-0000C2A40000}"/>
    <cellStyle name="Note 2 4 2 2 5" xfId="42358" xr:uid="{00000000-0005-0000-0000-0000C3A40000}"/>
    <cellStyle name="Note 2 4 2 2 5 2" xfId="42359" xr:uid="{00000000-0005-0000-0000-0000C4A40000}"/>
    <cellStyle name="Note 2 4 2 2 6" xfId="42360" xr:uid="{00000000-0005-0000-0000-0000C5A40000}"/>
    <cellStyle name="Note 2 4 2 2 6 2" xfId="42361" xr:uid="{00000000-0005-0000-0000-0000C6A40000}"/>
    <cellStyle name="Note 2 4 2 2 7" xfId="42362" xr:uid="{00000000-0005-0000-0000-0000C7A40000}"/>
    <cellStyle name="Note 2 4 2 2 8" xfId="42363" xr:uid="{00000000-0005-0000-0000-0000C8A40000}"/>
    <cellStyle name="Note 2 4 2 2 9" xfId="42364" xr:uid="{00000000-0005-0000-0000-0000C9A40000}"/>
    <cellStyle name="Note 2 4 2 3" xfId="42365" xr:uid="{00000000-0005-0000-0000-0000CAA40000}"/>
    <cellStyle name="Note 2 4 2 3 2" xfId="42366" xr:uid="{00000000-0005-0000-0000-0000CBA40000}"/>
    <cellStyle name="Note 2 4 2 3 2 2" xfId="42367" xr:uid="{00000000-0005-0000-0000-0000CCA40000}"/>
    <cellStyle name="Note 2 4 2 3 2 2 2" xfId="42368" xr:uid="{00000000-0005-0000-0000-0000CDA40000}"/>
    <cellStyle name="Note 2 4 2 3 2 2 2 2" xfId="42369" xr:uid="{00000000-0005-0000-0000-0000CEA40000}"/>
    <cellStyle name="Note 2 4 2 3 2 2 3" xfId="42370" xr:uid="{00000000-0005-0000-0000-0000CFA40000}"/>
    <cellStyle name="Note 2 4 2 3 2 2 3 2" xfId="42371" xr:uid="{00000000-0005-0000-0000-0000D0A40000}"/>
    <cellStyle name="Note 2 4 2 3 2 2 4" xfId="42372" xr:uid="{00000000-0005-0000-0000-0000D1A40000}"/>
    <cellStyle name="Note 2 4 2 3 2 2 5" xfId="42373" xr:uid="{00000000-0005-0000-0000-0000D2A40000}"/>
    <cellStyle name="Note 2 4 2 3 2 2 6" xfId="42374" xr:uid="{00000000-0005-0000-0000-0000D3A40000}"/>
    <cellStyle name="Note 2 4 2 3 2 3" xfId="42375" xr:uid="{00000000-0005-0000-0000-0000D4A40000}"/>
    <cellStyle name="Note 2 4 2 3 2 3 2" xfId="42376" xr:uid="{00000000-0005-0000-0000-0000D5A40000}"/>
    <cellStyle name="Note 2 4 2 3 2 4" xfId="42377" xr:uid="{00000000-0005-0000-0000-0000D6A40000}"/>
    <cellStyle name="Note 2 4 2 3 2 4 2" xfId="42378" xr:uid="{00000000-0005-0000-0000-0000D7A40000}"/>
    <cellStyle name="Note 2 4 2 3 2 5" xfId="42379" xr:uid="{00000000-0005-0000-0000-0000D8A40000}"/>
    <cellStyle name="Note 2 4 2 3 2 6" xfId="42380" xr:uid="{00000000-0005-0000-0000-0000D9A40000}"/>
    <cellStyle name="Note 2 4 2 3 2 7" xfId="42381" xr:uid="{00000000-0005-0000-0000-0000DAA40000}"/>
    <cellStyle name="Note 2 4 2 3 3" xfId="42382" xr:uid="{00000000-0005-0000-0000-0000DBA40000}"/>
    <cellStyle name="Note 2 4 2 3 3 2" xfId="42383" xr:uid="{00000000-0005-0000-0000-0000DCA40000}"/>
    <cellStyle name="Note 2 4 2 3 3 2 2" xfId="42384" xr:uid="{00000000-0005-0000-0000-0000DDA40000}"/>
    <cellStyle name="Note 2 4 2 3 3 3" xfId="42385" xr:uid="{00000000-0005-0000-0000-0000DEA40000}"/>
    <cellStyle name="Note 2 4 2 3 3 3 2" xfId="42386" xr:uid="{00000000-0005-0000-0000-0000DFA40000}"/>
    <cellStyle name="Note 2 4 2 3 3 4" xfId="42387" xr:uid="{00000000-0005-0000-0000-0000E0A40000}"/>
    <cellStyle name="Note 2 4 2 3 3 5" xfId="42388" xr:uid="{00000000-0005-0000-0000-0000E1A40000}"/>
    <cellStyle name="Note 2 4 2 3 3 6" xfId="42389" xr:uid="{00000000-0005-0000-0000-0000E2A40000}"/>
    <cellStyle name="Note 2 4 2 3 4" xfId="42390" xr:uid="{00000000-0005-0000-0000-0000E3A40000}"/>
    <cellStyle name="Note 2 4 2 3 4 2" xfId="42391" xr:uid="{00000000-0005-0000-0000-0000E4A40000}"/>
    <cellStyle name="Note 2 4 2 3 5" xfId="42392" xr:uid="{00000000-0005-0000-0000-0000E5A40000}"/>
    <cellStyle name="Note 2 4 2 3 5 2" xfId="42393" xr:uid="{00000000-0005-0000-0000-0000E6A40000}"/>
    <cellStyle name="Note 2 4 2 3 6" xfId="42394" xr:uid="{00000000-0005-0000-0000-0000E7A40000}"/>
    <cellStyle name="Note 2 4 2 3 7" xfId="42395" xr:uid="{00000000-0005-0000-0000-0000E8A40000}"/>
    <cellStyle name="Note 2 4 2 3 8" xfId="42396" xr:uid="{00000000-0005-0000-0000-0000E9A40000}"/>
    <cellStyle name="Note 2 4 2 4" xfId="42397" xr:uid="{00000000-0005-0000-0000-0000EAA40000}"/>
    <cellStyle name="Note 2 4 2 4 2" xfId="42398" xr:uid="{00000000-0005-0000-0000-0000EBA40000}"/>
    <cellStyle name="Note 2 4 2 4 2 2" xfId="42399" xr:uid="{00000000-0005-0000-0000-0000ECA40000}"/>
    <cellStyle name="Note 2 4 2 4 2 2 2" xfId="42400" xr:uid="{00000000-0005-0000-0000-0000EDA40000}"/>
    <cellStyle name="Note 2 4 2 4 2 3" xfId="42401" xr:uid="{00000000-0005-0000-0000-0000EEA40000}"/>
    <cellStyle name="Note 2 4 2 4 2 3 2" xfId="42402" xr:uid="{00000000-0005-0000-0000-0000EFA40000}"/>
    <cellStyle name="Note 2 4 2 4 2 4" xfId="42403" xr:uid="{00000000-0005-0000-0000-0000F0A40000}"/>
    <cellStyle name="Note 2 4 2 4 2 5" xfId="42404" xr:uid="{00000000-0005-0000-0000-0000F1A40000}"/>
    <cellStyle name="Note 2 4 2 4 2 6" xfId="42405" xr:uid="{00000000-0005-0000-0000-0000F2A40000}"/>
    <cellStyle name="Note 2 4 2 4 3" xfId="42406" xr:uid="{00000000-0005-0000-0000-0000F3A40000}"/>
    <cellStyle name="Note 2 4 2 4 3 2" xfId="42407" xr:uid="{00000000-0005-0000-0000-0000F4A40000}"/>
    <cellStyle name="Note 2 4 2 4 4" xfId="42408" xr:uid="{00000000-0005-0000-0000-0000F5A40000}"/>
    <cellStyle name="Note 2 4 2 4 4 2" xfId="42409" xr:uid="{00000000-0005-0000-0000-0000F6A40000}"/>
    <cellStyle name="Note 2 4 2 4 5" xfId="42410" xr:uid="{00000000-0005-0000-0000-0000F7A40000}"/>
    <cellStyle name="Note 2 4 2 4 6" xfId="42411" xr:uid="{00000000-0005-0000-0000-0000F8A40000}"/>
    <cellStyle name="Note 2 4 2 4 7" xfId="42412" xr:uid="{00000000-0005-0000-0000-0000F9A40000}"/>
    <cellStyle name="Note 2 4 2 5" xfId="42413" xr:uid="{00000000-0005-0000-0000-0000FAA40000}"/>
    <cellStyle name="Note 2 4 2 5 2" xfId="42414" xr:uid="{00000000-0005-0000-0000-0000FBA40000}"/>
    <cellStyle name="Note 2 4 2 5 2 2" xfId="42415" xr:uid="{00000000-0005-0000-0000-0000FCA40000}"/>
    <cellStyle name="Note 2 4 2 5 3" xfId="42416" xr:uid="{00000000-0005-0000-0000-0000FDA40000}"/>
    <cellStyle name="Note 2 4 2 5 3 2" xfId="42417" xr:uid="{00000000-0005-0000-0000-0000FEA40000}"/>
    <cellStyle name="Note 2 4 2 5 4" xfId="42418" xr:uid="{00000000-0005-0000-0000-0000FFA40000}"/>
    <cellStyle name="Note 2 4 2 5 5" xfId="42419" xr:uid="{00000000-0005-0000-0000-000000A50000}"/>
    <cellStyle name="Note 2 4 2 5 6" xfId="42420" xr:uid="{00000000-0005-0000-0000-000001A50000}"/>
    <cellStyle name="Note 2 4 2 6" xfId="42421" xr:uid="{00000000-0005-0000-0000-000002A50000}"/>
    <cellStyle name="Note 2 4 2 6 2" xfId="42422" xr:uid="{00000000-0005-0000-0000-000003A50000}"/>
    <cellStyle name="Note 2 4 2 7" xfId="42423" xr:uid="{00000000-0005-0000-0000-000004A50000}"/>
    <cellStyle name="Note 2 4 2 7 2" xfId="42424" xr:uid="{00000000-0005-0000-0000-000005A50000}"/>
    <cellStyle name="Note 2 4 2 8" xfId="42425" xr:uid="{00000000-0005-0000-0000-000006A50000}"/>
    <cellStyle name="Note 2 4 2 9" xfId="42426" xr:uid="{00000000-0005-0000-0000-000007A50000}"/>
    <cellStyle name="Note 2 4 3" xfId="42427" xr:uid="{00000000-0005-0000-0000-000008A50000}"/>
    <cellStyle name="Note 2 4 3 2" xfId="42428" xr:uid="{00000000-0005-0000-0000-000009A50000}"/>
    <cellStyle name="Note 2 4 3 2 2" xfId="42429" xr:uid="{00000000-0005-0000-0000-00000AA50000}"/>
    <cellStyle name="Note 2 4 3 2 2 2" xfId="42430" xr:uid="{00000000-0005-0000-0000-00000BA50000}"/>
    <cellStyle name="Note 2 4 3 2 2 2 2" xfId="42431" xr:uid="{00000000-0005-0000-0000-00000CA50000}"/>
    <cellStyle name="Note 2 4 3 2 2 2 2 2" xfId="42432" xr:uid="{00000000-0005-0000-0000-00000DA50000}"/>
    <cellStyle name="Note 2 4 3 2 2 2 3" xfId="42433" xr:uid="{00000000-0005-0000-0000-00000EA50000}"/>
    <cellStyle name="Note 2 4 3 2 2 2 3 2" xfId="42434" xr:uid="{00000000-0005-0000-0000-00000FA50000}"/>
    <cellStyle name="Note 2 4 3 2 2 2 4" xfId="42435" xr:uid="{00000000-0005-0000-0000-000010A50000}"/>
    <cellStyle name="Note 2 4 3 2 2 2 5" xfId="42436" xr:uid="{00000000-0005-0000-0000-000011A50000}"/>
    <cellStyle name="Note 2 4 3 2 2 2 6" xfId="42437" xr:uid="{00000000-0005-0000-0000-000012A50000}"/>
    <cellStyle name="Note 2 4 3 2 2 3" xfId="42438" xr:uid="{00000000-0005-0000-0000-000013A50000}"/>
    <cellStyle name="Note 2 4 3 2 2 3 2" xfId="42439" xr:uid="{00000000-0005-0000-0000-000014A50000}"/>
    <cellStyle name="Note 2 4 3 2 2 4" xfId="42440" xr:uid="{00000000-0005-0000-0000-000015A50000}"/>
    <cellStyle name="Note 2 4 3 2 2 4 2" xfId="42441" xr:uid="{00000000-0005-0000-0000-000016A50000}"/>
    <cellStyle name="Note 2 4 3 2 2 5" xfId="42442" xr:uid="{00000000-0005-0000-0000-000017A50000}"/>
    <cellStyle name="Note 2 4 3 2 2 6" xfId="42443" xr:uid="{00000000-0005-0000-0000-000018A50000}"/>
    <cellStyle name="Note 2 4 3 2 2 7" xfId="42444" xr:uid="{00000000-0005-0000-0000-000019A50000}"/>
    <cellStyle name="Note 2 4 3 2 3" xfId="42445" xr:uid="{00000000-0005-0000-0000-00001AA50000}"/>
    <cellStyle name="Note 2 4 3 2 3 2" xfId="42446" xr:uid="{00000000-0005-0000-0000-00001BA50000}"/>
    <cellStyle name="Note 2 4 3 2 3 2 2" xfId="42447" xr:uid="{00000000-0005-0000-0000-00001CA50000}"/>
    <cellStyle name="Note 2 4 3 2 3 3" xfId="42448" xr:uid="{00000000-0005-0000-0000-00001DA50000}"/>
    <cellStyle name="Note 2 4 3 2 3 3 2" xfId="42449" xr:uid="{00000000-0005-0000-0000-00001EA50000}"/>
    <cellStyle name="Note 2 4 3 2 3 4" xfId="42450" xr:uid="{00000000-0005-0000-0000-00001FA50000}"/>
    <cellStyle name="Note 2 4 3 2 3 5" xfId="42451" xr:uid="{00000000-0005-0000-0000-000020A50000}"/>
    <cellStyle name="Note 2 4 3 2 3 6" xfId="42452" xr:uid="{00000000-0005-0000-0000-000021A50000}"/>
    <cellStyle name="Note 2 4 3 2 4" xfId="42453" xr:uid="{00000000-0005-0000-0000-000022A50000}"/>
    <cellStyle name="Note 2 4 3 2 4 2" xfId="42454" xr:uid="{00000000-0005-0000-0000-000023A50000}"/>
    <cellStyle name="Note 2 4 3 2 5" xfId="42455" xr:uid="{00000000-0005-0000-0000-000024A50000}"/>
    <cellStyle name="Note 2 4 3 2 5 2" xfId="42456" xr:uid="{00000000-0005-0000-0000-000025A50000}"/>
    <cellStyle name="Note 2 4 3 2 6" xfId="42457" xr:uid="{00000000-0005-0000-0000-000026A50000}"/>
    <cellStyle name="Note 2 4 3 2 7" xfId="42458" xr:uid="{00000000-0005-0000-0000-000027A50000}"/>
    <cellStyle name="Note 2 4 3 2 8" xfId="42459" xr:uid="{00000000-0005-0000-0000-000028A50000}"/>
    <cellStyle name="Note 2 4 3 3" xfId="42460" xr:uid="{00000000-0005-0000-0000-000029A50000}"/>
    <cellStyle name="Note 2 4 3 3 2" xfId="42461" xr:uid="{00000000-0005-0000-0000-00002AA50000}"/>
    <cellStyle name="Note 2 4 3 3 2 2" xfId="42462" xr:uid="{00000000-0005-0000-0000-00002BA50000}"/>
    <cellStyle name="Note 2 4 3 3 2 2 2" xfId="42463" xr:uid="{00000000-0005-0000-0000-00002CA50000}"/>
    <cellStyle name="Note 2 4 3 3 2 3" xfId="42464" xr:uid="{00000000-0005-0000-0000-00002DA50000}"/>
    <cellStyle name="Note 2 4 3 3 2 3 2" xfId="42465" xr:uid="{00000000-0005-0000-0000-00002EA50000}"/>
    <cellStyle name="Note 2 4 3 3 2 4" xfId="42466" xr:uid="{00000000-0005-0000-0000-00002FA50000}"/>
    <cellStyle name="Note 2 4 3 3 2 5" xfId="42467" xr:uid="{00000000-0005-0000-0000-000030A50000}"/>
    <cellStyle name="Note 2 4 3 3 2 6" xfId="42468" xr:uid="{00000000-0005-0000-0000-000031A50000}"/>
    <cellStyle name="Note 2 4 3 3 3" xfId="42469" xr:uid="{00000000-0005-0000-0000-000032A50000}"/>
    <cellStyle name="Note 2 4 3 3 3 2" xfId="42470" xr:uid="{00000000-0005-0000-0000-000033A50000}"/>
    <cellStyle name="Note 2 4 3 3 4" xfId="42471" xr:uid="{00000000-0005-0000-0000-000034A50000}"/>
    <cellStyle name="Note 2 4 3 3 4 2" xfId="42472" xr:uid="{00000000-0005-0000-0000-000035A50000}"/>
    <cellStyle name="Note 2 4 3 3 5" xfId="42473" xr:uid="{00000000-0005-0000-0000-000036A50000}"/>
    <cellStyle name="Note 2 4 3 3 6" xfId="42474" xr:uid="{00000000-0005-0000-0000-000037A50000}"/>
    <cellStyle name="Note 2 4 3 3 7" xfId="42475" xr:uid="{00000000-0005-0000-0000-000038A50000}"/>
    <cellStyle name="Note 2 4 3 4" xfId="42476" xr:uid="{00000000-0005-0000-0000-000039A50000}"/>
    <cellStyle name="Note 2 4 3 4 2" xfId="42477" xr:uid="{00000000-0005-0000-0000-00003AA50000}"/>
    <cellStyle name="Note 2 4 3 4 2 2" xfId="42478" xr:uid="{00000000-0005-0000-0000-00003BA50000}"/>
    <cellStyle name="Note 2 4 3 4 3" xfId="42479" xr:uid="{00000000-0005-0000-0000-00003CA50000}"/>
    <cellStyle name="Note 2 4 3 4 3 2" xfId="42480" xr:uid="{00000000-0005-0000-0000-00003DA50000}"/>
    <cellStyle name="Note 2 4 3 4 4" xfId="42481" xr:uid="{00000000-0005-0000-0000-00003EA50000}"/>
    <cellStyle name="Note 2 4 3 4 5" xfId="42482" xr:uid="{00000000-0005-0000-0000-00003FA50000}"/>
    <cellStyle name="Note 2 4 3 4 6" xfId="42483" xr:uid="{00000000-0005-0000-0000-000040A50000}"/>
    <cellStyle name="Note 2 4 3 5" xfId="42484" xr:uid="{00000000-0005-0000-0000-000041A50000}"/>
    <cellStyle name="Note 2 4 3 5 2" xfId="42485" xr:uid="{00000000-0005-0000-0000-000042A50000}"/>
    <cellStyle name="Note 2 4 3 6" xfId="42486" xr:uid="{00000000-0005-0000-0000-000043A50000}"/>
    <cellStyle name="Note 2 4 3 6 2" xfId="42487" xr:uid="{00000000-0005-0000-0000-000044A50000}"/>
    <cellStyle name="Note 2 4 3 7" xfId="42488" xr:uid="{00000000-0005-0000-0000-000045A50000}"/>
    <cellStyle name="Note 2 4 3 8" xfId="42489" xr:uid="{00000000-0005-0000-0000-000046A50000}"/>
    <cellStyle name="Note 2 4 3 9" xfId="42490" xr:uid="{00000000-0005-0000-0000-000047A50000}"/>
    <cellStyle name="Note 2 4 4" xfId="42491" xr:uid="{00000000-0005-0000-0000-000048A50000}"/>
    <cellStyle name="Note 2 4 4 2" xfId="42492" xr:uid="{00000000-0005-0000-0000-000049A50000}"/>
    <cellStyle name="Note 2 4 4 2 2" xfId="42493" xr:uid="{00000000-0005-0000-0000-00004AA50000}"/>
    <cellStyle name="Note 2 4 4 2 2 2" xfId="42494" xr:uid="{00000000-0005-0000-0000-00004BA50000}"/>
    <cellStyle name="Note 2 4 4 2 2 2 2" xfId="42495" xr:uid="{00000000-0005-0000-0000-00004CA50000}"/>
    <cellStyle name="Note 2 4 4 2 2 3" xfId="42496" xr:uid="{00000000-0005-0000-0000-00004DA50000}"/>
    <cellStyle name="Note 2 4 4 2 2 3 2" xfId="42497" xr:uid="{00000000-0005-0000-0000-00004EA50000}"/>
    <cellStyle name="Note 2 4 4 2 2 4" xfId="42498" xr:uid="{00000000-0005-0000-0000-00004FA50000}"/>
    <cellStyle name="Note 2 4 4 2 2 5" xfId="42499" xr:uid="{00000000-0005-0000-0000-000050A50000}"/>
    <cellStyle name="Note 2 4 4 2 2 6" xfId="42500" xr:uid="{00000000-0005-0000-0000-000051A50000}"/>
    <cellStyle name="Note 2 4 4 2 3" xfId="42501" xr:uid="{00000000-0005-0000-0000-000052A50000}"/>
    <cellStyle name="Note 2 4 4 2 3 2" xfId="42502" xr:uid="{00000000-0005-0000-0000-000053A50000}"/>
    <cellStyle name="Note 2 4 4 2 4" xfId="42503" xr:uid="{00000000-0005-0000-0000-000054A50000}"/>
    <cellStyle name="Note 2 4 4 2 4 2" xfId="42504" xr:uid="{00000000-0005-0000-0000-000055A50000}"/>
    <cellStyle name="Note 2 4 4 2 5" xfId="42505" xr:uid="{00000000-0005-0000-0000-000056A50000}"/>
    <cellStyle name="Note 2 4 4 2 6" xfId="42506" xr:uid="{00000000-0005-0000-0000-000057A50000}"/>
    <cellStyle name="Note 2 4 4 2 7" xfId="42507" xr:uid="{00000000-0005-0000-0000-000058A50000}"/>
    <cellStyle name="Note 2 4 4 3" xfId="42508" xr:uid="{00000000-0005-0000-0000-000059A50000}"/>
    <cellStyle name="Note 2 4 4 3 2" xfId="42509" xr:uid="{00000000-0005-0000-0000-00005AA50000}"/>
    <cellStyle name="Note 2 4 4 3 2 2" xfId="42510" xr:uid="{00000000-0005-0000-0000-00005BA50000}"/>
    <cellStyle name="Note 2 4 4 3 3" xfId="42511" xr:uid="{00000000-0005-0000-0000-00005CA50000}"/>
    <cellStyle name="Note 2 4 4 3 3 2" xfId="42512" xr:uid="{00000000-0005-0000-0000-00005DA50000}"/>
    <cellStyle name="Note 2 4 4 3 4" xfId="42513" xr:uid="{00000000-0005-0000-0000-00005EA50000}"/>
    <cellStyle name="Note 2 4 4 3 5" xfId="42514" xr:uid="{00000000-0005-0000-0000-00005FA50000}"/>
    <cellStyle name="Note 2 4 4 3 6" xfId="42515" xr:uid="{00000000-0005-0000-0000-000060A50000}"/>
    <cellStyle name="Note 2 4 4 4" xfId="42516" xr:uid="{00000000-0005-0000-0000-000061A50000}"/>
    <cellStyle name="Note 2 4 4 4 2" xfId="42517" xr:uid="{00000000-0005-0000-0000-000062A50000}"/>
    <cellStyle name="Note 2 4 4 5" xfId="42518" xr:uid="{00000000-0005-0000-0000-000063A50000}"/>
    <cellStyle name="Note 2 4 4 5 2" xfId="42519" xr:uid="{00000000-0005-0000-0000-000064A50000}"/>
    <cellStyle name="Note 2 4 4 6" xfId="42520" xr:uid="{00000000-0005-0000-0000-000065A50000}"/>
    <cellStyle name="Note 2 4 4 7" xfId="42521" xr:uid="{00000000-0005-0000-0000-000066A50000}"/>
    <cellStyle name="Note 2 4 4 8" xfId="42522" xr:uid="{00000000-0005-0000-0000-000067A50000}"/>
    <cellStyle name="Note 2 4 5" xfId="42523" xr:uid="{00000000-0005-0000-0000-000068A50000}"/>
    <cellStyle name="Note 2 4 5 2" xfId="42524" xr:uid="{00000000-0005-0000-0000-000069A50000}"/>
    <cellStyle name="Note 2 4 5 2 2" xfId="42525" xr:uid="{00000000-0005-0000-0000-00006AA50000}"/>
    <cellStyle name="Note 2 4 5 2 2 2" xfId="42526" xr:uid="{00000000-0005-0000-0000-00006BA50000}"/>
    <cellStyle name="Note 2 4 5 2 3" xfId="42527" xr:uid="{00000000-0005-0000-0000-00006CA50000}"/>
    <cellStyle name="Note 2 4 5 2 3 2" xfId="42528" xr:uid="{00000000-0005-0000-0000-00006DA50000}"/>
    <cellStyle name="Note 2 4 5 2 4" xfId="42529" xr:uid="{00000000-0005-0000-0000-00006EA50000}"/>
    <cellStyle name="Note 2 4 5 2 5" xfId="42530" xr:uid="{00000000-0005-0000-0000-00006FA50000}"/>
    <cellStyle name="Note 2 4 5 2 6" xfId="42531" xr:uid="{00000000-0005-0000-0000-000070A50000}"/>
    <cellStyle name="Note 2 4 5 3" xfId="42532" xr:uid="{00000000-0005-0000-0000-000071A50000}"/>
    <cellStyle name="Note 2 4 5 3 2" xfId="42533" xr:uid="{00000000-0005-0000-0000-000072A50000}"/>
    <cellStyle name="Note 2 4 5 4" xfId="42534" xr:uid="{00000000-0005-0000-0000-000073A50000}"/>
    <cellStyle name="Note 2 4 5 4 2" xfId="42535" xr:uid="{00000000-0005-0000-0000-000074A50000}"/>
    <cellStyle name="Note 2 4 5 5" xfId="42536" xr:uid="{00000000-0005-0000-0000-000075A50000}"/>
    <cellStyle name="Note 2 4 5 6" xfId="42537" xr:uid="{00000000-0005-0000-0000-000076A50000}"/>
    <cellStyle name="Note 2 4 5 7" xfId="42538" xr:uid="{00000000-0005-0000-0000-000077A50000}"/>
    <cellStyle name="Note 2 4 6" xfId="42539" xr:uid="{00000000-0005-0000-0000-000078A50000}"/>
    <cellStyle name="Note 2 4 6 2" xfId="42540" xr:uid="{00000000-0005-0000-0000-000079A50000}"/>
    <cellStyle name="Note 2 4 6 2 2" xfId="42541" xr:uid="{00000000-0005-0000-0000-00007AA50000}"/>
    <cellStyle name="Note 2 4 6 3" xfId="42542" xr:uid="{00000000-0005-0000-0000-00007BA50000}"/>
    <cellStyle name="Note 2 4 6 3 2" xfId="42543" xr:uid="{00000000-0005-0000-0000-00007CA50000}"/>
    <cellStyle name="Note 2 4 6 4" xfId="42544" xr:uid="{00000000-0005-0000-0000-00007DA50000}"/>
    <cellStyle name="Note 2 4 6 5" xfId="42545" xr:uid="{00000000-0005-0000-0000-00007EA50000}"/>
    <cellStyle name="Note 2 4 6 6" xfId="42546" xr:uid="{00000000-0005-0000-0000-00007FA50000}"/>
    <cellStyle name="Note 2 4 7" xfId="42547" xr:uid="{00000000-0005-0000-0000-000080A50000}"/>
    <cellStyle name="Note 2 4 7 2" xfId="42548" xr:uid="{00000000-0005-0000-0000-000081A50000}"/>
    <cellStyle name="Note 2 4 8" xfId="42549" xr:uid="{00000000-0005-0000-0000-000082A50000}"/>
    <cellStyle name="Note 2 4 8 2" xfId="42550" xr:uid="{00000000-0005-0000-0000-000083A50000}"/>
    <cellStyle name="Note 2 4 9" xfId="42551" xr:uid="{00000000-0005-0000-0000-000084A50000}"/>
    <cellStyle name="Note 2 5" xfId="42552" xr:uid="{00000000-0005-0000-0000-000085A50000}"/>
    <cellStyle name="Note 2 5 10" xfId="42553" xr:uid="{00000000-0005-0000-0000-000086A50000}"/>
    <cellStyle name="Note 2 5 2" xfId="42554" xr:uid="{00000000-0005-0000-0000-000087A50000}"/>
    <cellStyle name="Note 2 5 2 2" xfId="42555" xr:uid="{00000000-0005-0000-0000-000088A50000}"/>
    <cellStyle name="Note 2 5 2 2 2" xfId="42556" xr:uid="{00000000-0005-0000-0000-000089A50000}"/>
    <cellStyle name="Note 2 5 2 2 2 2" xfId="42557" xr:uid="{00000000-0005-0000-0000-00008AA50000}"/>
    <cellStyle name="Note 2 5 2 2 2 2 2" xfId="42558" xr:uid="{00000000-0005-0000-0000-00008BA50000}"/>
    <cellStyle name="Note 2 5 2 2 2 2 2 2" xfId="42559" xr:uid="{00000000-0005-0000-0000-00008CA50000}"/>
    <cellStyle name="Note 2 5 2 2 2 2 3" xfId="42560" xr:uid="{00000000-0005-0000-0000-00008DA50000}"/>
    <cellStyle name="Note 2 5 2 2 2 2 3 2" xfId="42561" xr:uid="{00000000-0005-0000-0000-00008EA50000}"/>
    <cellStyle name="Note 2 5 2 2 2 2 4" xfId="42562" xr:uid="{00000000-0005-0000-0000-00008FA50000}"/>
    <cellStyle name="Note 2 5 2 2 2 2 5" xfId="42563" xr:uid="{00000000-0005-0000-0000-000090A50000}"/>
    <cellStyle name="Note 2 5 2 2 2 2 6" xfId="42564" xr:uid="{00000000-0005-0000-0000-000091A50000}"/>
    <cellStyle name="Note 2 5 2 2 2 3" xfId="42565" xr:uid="{00000000-0005-0000-0000-000092A50000}"/>
    <cellStyle name="Note 2 5 2 2 2 3 2" xfId="42566" xr:uid="{00000000-0005-0000-0000-000093A50000}"/>
    <cellStyle name="Note 2 5 2 2 2 4" xfId="42567" xr:uid="{00000000-0005-0000-0000-000094A50000}"/>
    <cellStyle name="Note 2 5 2 2 2 4 2" xfId="42568" xr:uid="{00000000-0005-0000-0000-000095A50000}"/>
    <cellStyle name="Note 2 5 2 2 2 5" xfId="42569" xr:uid="{00000000-0005-0000-0000-000096A50000}"/>
    <cellStyle name="Note 2 5 2 2 2 6" xfId="42570" xr:uid="{00000000-0005-0000-0000-000097A50000}"/>
    <cellStyle name="Note 2 5 2 2 2 7" xfId="42571" xr:uid="{00000000-0005-0000-0000-000098A50000}"/>
    <cellStyle name="Note 2 5 2 2 3" xfId="42572" xr:uid="{00000000-0005-0000-0000-000099A50000}"/>
    <cellStyle name="Note 2 5 2 2 3 2" xfId="42573" xr:uid="{00000000-0005-0000-0000-00009AA50000}"/>
    <cellStyle name="Note 2 5 2 2 3 2 2" xfId="42574" xr:uid="{00000000-0005-0000-0000-00009BA50000}"/>
    <cellStyle name="Note 2 5 2 2 3 3" xfId="42575" xr:uid="{00000000-0005-0000-0000-00009CA50000}"/>
    <cellStyle name="Note 2 5 2 2 3 3 2" xfId="42576" xr:uid="{00000000-0005-0000-0000-00009DA50000}"/>
    <cellStyle name="Note 2 5 2 2 3 4" xfId="42577" xr:uid="{00000000-0005-0000-0000-00009EA50000}"/>
    <cellStyle name="Note 2 5 2 2 3 5" xfId="42578" xr:uid="{00000000-0005-0000-0000-00009FA50000}"/>
    <cellStyle name="Note 2 5 2 2 3 6" xfId="42579" xr:uid="{00000000-0005-0000-0000-0000A0A50000}"/>
    <cellStyle name="Note 2 5 2 2 4" xfId="42580" xr:uid="{00000000-0005-0000-0000-0000A1A50000}"/>
    <cellStyle name="Note 2 5 2 2 4 2" xfId="42581" xr:uid="{00000000-0005-0000-0000-0000A2A50000}"/>
    <cellStyle name="Note 2 5 2 2 5" xfId="42582" xr:uid="{00000000-0005-0000-0000-0000A3A50000}"/>
    <cellStyle name="Note 2 5 2 2 5 2" xfId="42583" xr:uid="{00000000-0005-0000-0000-0000A4A50000}"/>
    <cellStyle name="Note 2 5 2 2 6" xfId="42584" xr:uid="{00000000-0005-0000-0000-0000A5A50000}"/>
    <cellStyle name="Note 2 5 2 2 7" xfId="42585" xr:uid="{00000000-0005-0000-0000-0000A6A50000}"/>
    <cellStyle name="Note 2 5 2 2 8" xfId="42586" xr:uid="{00000000-0005-0000-0000-0000A7A50000}"/>
    <cellStyle name="Note 2 5 2 3" xfId="42587" xr:uid="{00000000-0005-0000-0000-0000A8A50000}"/>
    <cellStyle name="Note 2 5 2 3 2" xfId="42588" xr:uid="{00000000-0005-0000-0000-0000A9A50000}"/>
    <cellStyle name="Note 2 5 2 3 2 2" xfId="42589" xr:uid="{00000000-0005-0000-0000-0000AAA50000}"/>
    <cellStyle name="Note 2 5 2 3 2 2 2" xfId="42590" xr:uid="{00000000-0005-0000-0000-0000ABA50000}"/>
    <cellStyle name="Note 2 5 2 3 2 3" xfId="42591" xr:uid="{00000000-0005-0000-0000-0000ACA50000}"/>
    <cellStyle name="Note 2 5 2 3 2 3 2" xfId="42592" xr:uid="{00000000-0005-0000-0000-0000ADA50000}"/>
    <cellStyle name="Note 2 5 2 3 2 4" xfId="42593" xr:uid="{00000000-0005-0000-0000-0000AEA50000}"/>
    <cellStyle name="Note 2 5 2 3 2 5" xfId="42594" xr:uid="{00000000-0005-0000-0000-0000AFA50000}"/>
    <cellStyle name="Note 2 5 2 3 2 6" xfId="42595" xr:uid="{00000000-0005-0000-0000-0000B0A50000}"/>
    <cellStyle name="Note 2 5 2 3 3" xfId="42596" xr:uid="{00000000-0005-0000-0000-0000B1A50000}"/>
    <cellStyle name="Note 2 5 2 3 3 2" xfId="42597" xr:uid="{00000000-0005-0000-0000-0000B2A50000}"/>
    <cellStyle name="Note 2 5 2 3 4" xfId="42598" xr:uid="{00000000-0005-0000-0000-0000B3A50000}"/>
    <cellStyle name="Note 2 5 2 3 4 2" xfId="42599" xr:uid="{00000000-0005-0000-0000-0000B4A50000}"/>
    <cellStyle name="Note 2 5 2 3 5" xfId="42600" xr:uid="{00000000-0005-0000-0000-0000B5A50000}"/>
    <cellStyle name="Note 2 5 2 3 6" xfId="42601" xr:uid="{00000000-0005-0000-0000-0000B6A50000}"/>
    <cellStyle name="Note 2 5 2 3 7" xfId="42602" xr:uid="{00000000-0005-0000-0000-0000B7A50000}"/>
    <cellStyle name="Note 2 5 2 4" xfId="42603" xr:uid="{00000000-0005-0000-0000-0000B8A50000}"/>
    <cellStyle name="Note 2 5 2 4 2" xfId="42604" xr:uid="{00000000-0005-0000-0000-0000B9A50000}"/>
    <cellStyle name="Note 2 5 2 4 2 2" xfId="42605" xr:uid="{00000000-0005-0000-0000-0000BAA50000}"/>
    <cellStyle name="Note 2 5 2 4 3" xfId="42606" xr:uid="{00000000-0005-0000-0000-0000BBA50000}"/>
    <cellStyle name="Note 2 5 2 4 3 2" xfId="42607" xr:uid="{00000000-0005-0000-0000-0000BCA50000}"/>
    <cellStyle name="Note 2 5 2 4 4" xfId="42608" xr:uid="{00000000-0005-0000-0000-0000BDA50000}"/>
    <cellStyle name="Note 2 5 2 4 5" xfId="42609" xr:uid="{00000000-0005-0000-0000-0000BEA50000}"/>
    <cellStyle name="Note 2 5 2 4 6" xfId="42610" xr:uid="{00000000-0005-0000-0000-0000BFA50000}"/>
    <cellStyle name="Note 2 5 2 5" xfId="42611" xr:uid="{00000000-0005-0000-0000-0000C0A50000}"/>
    <cellStyle name="Note 2 5 2 5 2" xfId="42612" xr:uid="{00000000-0005-0000-0000-0000C1A50000}"/>
    <cellStyle name="Note 2 5 2 6" xfId="42613" xr:uid="{00000000-0005-0000-0000-0000C2A50000}"/>
    <cellStyle name="Note 2 5 2 6 2" xfId="42614" xr:uid="{00000000-0005-0000-0000-0000C3A50000}"/>
    <cellStyle name="Note 2 5 2 7" xfId="42615" xr:uid="{00000000-0005-0000-0000-0000C4A50000}"/>
    <cellStyle name="Note 2 5 2 8" xfId="42616" xr:uid="{00000000-0005-0000-0000-0000C5A50000}"/>
    <cellStyle name="Note 2 5 2 9" xfId="42617" xr:uid="{00000000-0005-0000-0000-0000C6A50000}"/>
    <cellStyle name="Note 2 5 3" xfId="42618" xr:uid="{00000000-0005-0000-0000-0000C7A50000}"/>
    <cellStyle name="Note 2 5 3 2" xfId="42619" xr:uid="{00000000-0005-0000-0000-0000C8A50000}"/>
    <cellStyle name="Note 2 5 3 2 2" xfId="42620" xr:uid="{00000000-0005-0000-0000-0000C9A50000}"/>
    <cellStyle name="Note 2 5 3 2 2 2" xfId="42621" xr:uid="{00000000-0005-0000-0000-0000CAA50000}"/>
    <cellStyle name="Note 2 5 3 2 2 2 2" xfId="42622" xr:uid="{00000000-0005-0000-0000-0000CBA50000}"/>
    <cellStyle name="Note 2 5 3 2 2 3" xfId="42623" xr:uid="{00000000-0005-0000-0000-0000CCA50000}"/>
    <cellStyle name="Note 2 5 3 2 2 3 2" xfId="42624" xr:uid="{00000000-0005-0000-0000-0000CDA50000}"/>
    <cellStyle name="Note 2 5 3 2 2 4" xfId="42625" xr:uid="{00000000-0005-0000-0000-0000CEA50000}"/>
    <cellStyle name="Note 2 5 3 2 2 5" xfId="42626" xr:uid="{00000000-0005-0000-0000-0000CFA50000}"/>
    <cellStyle name="Note 2 5 3 2 2 6" xfId="42627" xr:uid="{00000000-0005-0000-0000-0000D0A50000}"/>
    <cellStyle name="Note 2 5 3 2 3" xfId="42628" xr:uid="{00000000-0005-0000-0000-0000D1A50000}"/>
    <cellStyle name="Note 2 5 3 2 3 2" xfId="42629" xr:uid="{00000000-0005-0000-0000-0000D2A50000}"/>
    <cellStyle name="Note 2 5 3 2 4" xfId="42630" xr:uid="{00000000-0005-0000-0000-0000D3A50000}"/>
    <cellStyle name="Note 2 5 3 2 4 2" xfId="42631" xr:uid="{00000000-0005-0000-0000-0000D4A50000}"/>
    <cellStyle name="Note 2 5 3 2 5" xfId="42632" xr:uid="{00000000-0005-0000-0000-0000D5A50000}"/>
    <cellStyle name="Note 2 5 3 2 6" xfId="42633" xr:uid="{00000000-0005-0000-0000-0000D6A50000}"/>
    <cellStyle name="Note 2 5 3 2 7" xfId="42634" xr:uid="{00000000-0005-0000-0000-0000D7A50000}"/>
    <cellStyle name="Note 2 5 3 3" xfId="42635" xr:uid="{00000000-0005-0000-0000-0000D8A50000}"/>
    <cellStyle name="Note 2 5 3 3 2" xfId="42636" xr:uid="{00000000-0005-0000-0000-0000D9A50000}"/>
    <cellStyle name="Note 2 5 3 3 2 2" xfId="42637" xr:uid="{00000000-0005-0000-0000-0000DAA50000}"/>
    <cellStyle name="Note 2 5 3 3 3" xfId="42638" xr:uid="{00000000-0005-0000-0000-0000DBA50000}"/>
    <cellStyle name="Note 2 5 3 3 3 2" xfId="42639" xr:uid="{00000000-0005-0000-0000-0000DCA50000}"/>
    <cellStyle name="Note 2 5 3 3 4" xfId="42640" xr:uid="{00000000-0005-0000-0000-0000DDA50000}"/>
    <cellStyle name="Note 2 5 3 3 5" xfId="42641" xr:uid="{00000000-0005-0000-0000-0000DEA50000}"/>
    <cellStyle name="Note 2 5 3 3 6" xfId="42642" xr:uid="{00000000-0005-0000-0000-0000DFA50000}"/>
    <cellStyle name="Note 2 5 3 4" xfId="42643" xr:uid="{00000000-0005-0000-0000-0000E0A50000}"/>
    <cellStyle name="Note 2 5 3 4 2" xfId="42644" xr:uid="{00000000-0005-0000-0000-0000E1A50000}"/>
    <cellStyle name="Note 2 5 3 5" xfId="42645" xr:uid="{00000000-0005-0000-0000-0000E2A50000}"/>
    <cellStyle name="Note 2 5 3 5 2" xfId="42646" xr:uid="{00000000-0005-0000-0000-0000E3A50000}"/>
    <cellStyle name="Note 2 5 3 6" xfId="42647" xr:uid="{00000000-0005-0000-0000-0000E4A50000}"/>
    <cellStyle name="Note 2 5 3 7" xfId="42648" xr:uid="{00000000-0005-0000-0000-0000E5A50000}"/>
    <cellStyle name="Note 2 5 3 8" xfId="42649" xr:uid="{00000000-0005-0000-0000-0000E6A50000}"/>
    <cellStyle name="Note 2 5 4" xfId="42650" xr:uid="{00000000-0005-0000-0000-0000E7A50000}"/>
    <cellStyle name="Note 2 5 4 2" xfId="42651" xr:uid="{00000000-0005-0000-0000-0000E8A50000}"/>
    <cellStyle name="Note 2 5 4 2 2" xfId="42652" xr:uid="{00000000-0005-0000-0000-0000E9A50000}"/>
    <cellStyle name="Note 2 5 4 2 2 2" xfId="42653" xr:uid="{00000000-0005-0000-0000-0000EAA50000}"/>
    <cellStyle name="Note 2 5 4 2 3" xfId="42654" xr:uid="{00000000-0005-0000-0000-0000EBA50000}"/>
    <cellStyle name="Note 2 5 4 2 3 2" xfId="42655" xr:uid="{00000000-0005-0000-0000-0000ECA50000}"/>
    <cellStyle name="Note 2 5 4 2 4" xfId="42656" xr:uid="{00000000-0005-0000-0000-0000EDA50000}"/>
    <cellStyle name="Note 2 5 4 2 5" xfId="42657" xr:uid="{00000000-0005-0000-0000-0000EEA50000}"/>
    <cellStyle name="Note 2 5 4 2 6" xfId="42658" xr:uid="{00000000-0005-0000-0000-0000EFA50000}"/>
    <cellStyle name="Note 2 5 4 3" xfId="42659" xr:uid="{00000000-0005-0000-0000-0000F0A50000}"/>
    <cellStyle name="Note 2 5 4 3 2" xfId="42660" xr:uid="{00000000-0005-0000-0000-0000F1A50000}"/>
    <cellStyle name="Note 2 5 4 4" xfId="42661" xr:uid="{00000000-0005-0000-0000-0000F2A50000}"/>
    <cellStyle name="Note 2 5 4 4 2" xfId="42662" xr:uid="{00000000-0005-0000-0000-0000F3A50000}"/>
    <cellStyle name="Note 2 5 4 5" xfId="42663" xr:uid="{00000000-0005-0000-0000-0000F4A50000}"/>
    <cellStyle name="Note 2 5 4 6" xfId="42664" xr:uid="{00000000-0005-0000-0000-0000F5A50000}"/>
    <cellStyle name="Note 2 5 4 7" xfId="42665" xr:uid="{00000000-0005-0000-0000-0000F6A50000}"/>
    <cellStyle name="Note 2 5 5" xfId="42666" xr:uid="{00000000-0005-0000-0000-0000F7A50000}"/>
    <cellStyle name="Note 2 5 5 2" xfId="42667" xr:uid="{00000000-0005-0000-0000-0000F8A50000}"/>
    <cellStyle name="Note 2 5 5 2 2" xfId="42668" xr:uid="{00000000-0005-0000-0000-0000F9A50000}"/>
    <cellStyle name="Note 2 5 5 3" xfId="42669" xr:uid="{00000000-0005-0000-0000-0000FAA50000}"/>
    <cellStyle name="Note 2 5 5 3 2" xfId="42670" xr:uid="{00000000-0005-0000-0000-0000FBA50000}"/>
    <cellStyle name="Note 2 5 5 4" xfId="42671" xr:uid="{00000000-0005-0000-0000-0000FCA50000}"/>
    <cellStyle name="Note 2 5 5 5" xfId="42672" xr:uid="{00000000-0005-0000-0000-0000FDA50000}"/>
    <cellStyle name="Note 2 5 5 6" xfId="42673" xr:uid="{00000000-0005-0000-0000-0000FEA50000}"/>
    <cellStyle name="Note 2 5 6" xfId="42674" xr:uid="{00000000-0005-0000-0000-0000FFA50000}"/>
    <cellStyle name="Note 2 5 6 2" xfId="42675" xr:uid="{00000000-0005-0000-0000-000000A60000}"/>
    <cellStyle name="Note 2 5 7" xfId="42676" xr:uid="{00000000-0005-0000-0000-000001A60000}"/>
    <cellStyle name="Note 2 5 7 2" xfId="42677" xr:uid="{00000000-0005-0000-0000-000002A60000}"/>
    <cellStyle name="Note 2 5 8" xfId="42678" xr:uid="{00000000-0005-0000-0000-000003A60000}"/>
    <cellStyle name="Note 2 5 9" xfId="42679" xr:uid="{00000000-0005-0000-0000-000004A60000}"/>
    <cellStyle name="Note 2 6" xfId="42680" xr:uid="{00000000-0005-0000-0000-000005A60000}"/>
    <cellStyle name="Note 2 6 2" xfId="42681" xr:uid="{00000000-0005-0000-0000-000006A60000}"/>
    <cellStyle name="Note 2 6 2 2" xfId="42682" xr:uid="{00000000-0005-0000-0000-000007A60000}"/>
    <cellStyle name="Note 2 6 2 2 2" xfId="42683" xr:uid="{00000000-0005-0000-0000-000008A60000}"/>
    <cellStyle name="Note 2 6 2 3" xfId="42684" xr:uid="{00000000-0005-0000-0000-000009A60000}"/>
    <cellStyle name="Note 2 6 2 3 2" xfId="42685" xr:uid="{00000000-0005-0000-0000-00000AA60000}"/>
    <cellStyle name="Note 2 6 2 4" xfId="42686" xr:uid="{00000000-0005-0000-0000-00000BA60000}"/>
    <cellStyle name="Note 2 6 2 5" xfId="42687" xr:uid="{00000000-0005-0000-0000-00000CA60000}"/>
    <cellStyle name="Note 2 6 2 6" xfId="42688" xr:uid="{00000000-0005-0000-0000-00000DA60000}"/>
    <cellStyle name="Note 2 6 3" xfId="42689" xr:uid="{00000000-0005-0000-0000-00000EA60000}"/>
    <cellStyle name="Note 2 6 3 2" xfId="42690" xr:uid="{00000000-0005-0000-0000-00000FA60000}"/>
    <cellStyle name="Note 2 6 4" xfId="42691" xr:uid="{00000000-0005-0000-0000-000010A60000}"/>
    <cellStyle name="Note 2 6 4 2" xfId="42692" xr:uid="{00000000-0005-0000-0000-000011A60000}"/>
    <cellStyle name="Note 2 6 5" xfId="42693" xr:uid="{00000000-0005-0000-0000-000012A60000}"/>
    <cellStyle name="Note 2 6 6" xfId="42694" xr:uid="{00000000-0005-0000-0000-000013A60000}"/>
    <cellStyle name="Note 2 6 7" xfId="42695" xr:uid="{00000000-0005-0000-0000-000014A60000}"/>
    <cellStyle name="Note 2 7" xfId="42696" xr:uid="{00000000-0005-0000-0000-000015A60000}"/>
    <cellStyle name="Note 2 7 2" xfId="42697" xr:uid="{00000000-0005-0000-0000-000016A60000}"/>
    <cellStyle name="Note 2 8" xfId="42698" xr:uid="{00000000-0005-0000-0000-000017A60000}"/>
    <cellStyle name="Note 2 8 2" xfId="42699" xr:uid="{00000000-0005-0000-0000-000018A60000}"/>
    <cellStyle name="Note 2 9" xfId="42700" xr:uid="{00000000-0005-0000-0000-000019A60000}"/>
    <cellStyle name="Note 3" xfId="42701" xr:uid="{00000000-0005-0000-0000-00001AA60000}"/>
    <cellStyle name="Note 3 10" xfId="42702" xr:uid="{00000000-0005-0000-0000-00001BA60000}"/>
    <cellStyle name="Note 3 11" xfId="42703" xr:uid="{00000000-0005-0000-0000-00001CA60000}"/>
    <cellStyle name="Note 3 12" xfId="42704" xr:uid="{00000000-0005-0000-0000-00001DA60000}"/>
    <cellStyle name="Note 3 2" xfId="42705" xr:uid="{00000000-0005-0000-0000-00001EA60000}"/>
    <cellStyle name="Note 3 2 10" xfId="42706" xr:uid="{00000000-0005-0000-0000-00001FA60000}"/>
    <cellStyle name="Note 3 2 2" xfId="42707" xr:uid="{00000000-0005-0000-0000-000020A60000}"/>
    <cellStyle name="Note 3 2 2 2" xfId="42708" xr:uid="{00000000-0005-0000-0000-000021A60000}"/>
    <cellStyle name="Note 3 2 2 2 2" xfId="42709" xr:uid="{00000000-0005-0000-0000-000022A60000}"/>
    <cellStyle name="Note 3 2 2 2 2 2" xfId="42710" xr:uid="{00000000-0005-0000-0000-000023A60000}"/>
    <cellStyle name="Note 3 2 2 2 2 2 2" xfId="42711" xr:uid="{00000000-0005-0000-0000-000024A60000}"/>
    <cellStyle name="Note 3 2 2 2 2 2 2 2" xfId="42712" xr:uid="{00000000-0005-0000-0000-000025A60000}"/>
    <cellStyle name="Note 3 2 2 2 2 2 3" xfId="42713" xr:uid="{00000000-0005-0000-0000-000026A60000}"/>
    <cellStyle name="Note 3 2 2 2 2 2 3 2" xfId="42714" xr:uid="{00000000-0005-0000-0000-000027A60000}"/>
    <cellStyle name="Note 3 2 2 2 2 2 4" xfId="42715" xr:uid="{00000000-0005-0000-0000-000028A60000}"/>
    <cellStyle name="Note 3 2 2 2 2 2 5" xfId="42716" xr:uid="{00000000-0005-0000-0000-000029A60000}"/>
    <cellStyle name="Note 3 2 2 2 2 2 6" xfId="42717" xr:uid="{00000000-0005-0000-0000-00002AA60000}"/>
    <cellStyle name="Note 3 2 2 2 2 3" xfId="42718" xr:uid="{00000000-0005-0000-0000-00002BA60000}"/>
    <cellStyle name="Note 3 2 2 2 2 3 2" xfId="42719" xr:uid="{00000000-0005-0000-0000-00002CA60000}"/>
    <cellStyle name="Note 3 2 2 2 2 4" xfId="42720" xr:uid="{00000000-0005-0000-0000-00002DA60000}"/>
    <cellStyle name="Note 3 2 2 2 2 4 2" xfId="42721" xr:uid="{00000000-0005-0000-0000-00002EA60000}"/>
    <cellStyle name="Note 3 2 2 2 2 5" xfId="42722" xr:uid="{00000000-0005-0000-0000-00002FA60000}"/>
    <cellStyle name="Note 3 2 2 2 2 6" xfId="42723" xr:uid="{00000000-0005-0000-0000-000030A60000}"/>
    <cellStyle name="Note 3 2 2 2 2 7" xfId="42724" xr:uid="{00000000-0005-0000-0000-000031A60000}"/>
    <cellStyle name="Note 3 2 2 2 3" xfId="42725" xr:uid="{00000000-0005-0000-0000-000032A60000}"/>
    <cellStyle name="Note 3 2 2 2 3 2" xfId="42726" xr:uid="{00000000-0005-0000-0000-000033A60000}"/>
    <cellStyle name="Note 3 2 2 2 3 2 2" xfId="42727" xr:uid="{00000000-0005-0000-0000-000034A60000}"/>
    <cellStyle name="Note 3 2 2 2 3 3" xfId="42728" xr:uid="{00000000-0005-0000-0000-000035A60000}"/>
    <cellStyle name="Note 3 2 2 2 3 3 2" xfId="42729" xr:uid="{00000000-0005-0000-0000-000036A60000}"/>
    <cellStyle name="Note 3 2 2 2 3 4" xfId="42730" xr:uid="{00000000-0005-0000-0000-000037A60000}"/>
    <cellStyle name="Note 3 2 2 2 3 5" xfId="42731" xr:uid="{00000000-0005-0000-0000-000038A60000}"/>
    <cellStyle name="Note 3 2 2 2 3 6" xfId="42732" xr:uid="{00000000-0005-0000-0000-000039A60000}"/>
    <cellStyle name="Note 3 2 2 2 4" xfId="42733" xr:uid="{00000000-0005-0000-0000-00003AA60000}"/>
    <cellStyle name="Note 3 2 2 2 4 2" xfId="42734" xr:uid="{00000000-0005-0000-0000-00003BA60000}"/>
    <cellStyle name="Note 3 2 2 2 5" xfId="42735" xr:uid="{00000000-0005-0000-0000-00003CA60000}"/>
    <cellStyle name="Note 3 2 2 2 5 2" xfId="42736" xr:uid="{00000000-0005-0000-0000-00003DA60000}"/>
    <cellStyle name="Note 3 2 2 2 6" xfId="42737" xr:uid="{00000000-0005-0000-0000-00003EA60000}"/>
    <cellStyle name="Note 3 2 2 2 7" xfId="42738" xr:uid="{00000000-0005-0000-0000-00003FA60000}"/>
    <cellStyle name="Note 3 2 2 2 8" xfId="42739" xr:uid="{00000000-0005-0000-0000-000040A60000}"/>
    <cellStyle name="Note 3 2 2 3" xfId="42740" xr:uid="{00000000-0005-0000-0000-000041A60000}"/>
    <cellStyle name="Note 3 2 2 3 2" xfId="42741" xr:uid="{00000000-0005-0000-0000-000042A60000}"/>
    <cellStyle name="Note 3 2 2 3 2 2" xfId="42742" xr:uid="{00000000-0005-0000-0000-000043A60000}"/>
    <cellStyle name="Note 3 2 2 3 2 2 2" xfId="42743" xr:uid="{00000000-0005-0000-0000-000044A60000}"/>
    <cellStyle name="Note 3 2 2 3 2 3" xfId="42744" xr:uid="{00000000-0005-0000-0000-000045A60000}"/>
    <cellStyle name="Note 3 2 2 3 2 3 2" xfId="42745" xr:uid="{00000000-0005-0000-0000-000046A60000}"/>
    <cellStyle name="Note 3 2 2 3 2 4" xfId="42746" xr:uid="{00000000-0005-0000-0000-000047A60000}"/>
    <cellStyle name="Note 3 2 2 3 2 5" xfId="42747" xr:uid="{00000000-0005-0000-0000-000048A60000}"/>
    <cellStyle name="Note 3 2 2 3 2 6" xfId="42748" xr:uid="{00000000-0005-0000-0000-000049A60000}"/>
    <cellStyle name="Note 3 2 2 3 3" xfId="42749" xr:uid="{00000000-0005-0000-0000-00004AA60000}"/>
    <cellStyle name="Note 3 2 2 3 3 2" xfId="42750" xr:uid="{00000000-0005-0000-0000-00004BA60000}"/>
    <cellStyle name="Note 3 2 2 3 4" xfId="42751" xr:uid="{00000000-0005-0000-0000-00004CA60000}"/>
    <cellStyle name="Note 3 2 2 3 4 2" xfId="42752" xr:uid="{00000000-0005-0000-0000-00004DA60000}"/>
    <cellStyle name="Note 3 2 2 3 5" xfId="42753" xr:uid="{00000000-0005-0000-0000-00004EA60000}"/>
    <cellStyle name="Note 3 2 2 3 6" xfId="42754" xr:uid="{00000000-0005-0000-0000-00004FA60000}"/>
    <cellStyle name="Note 3 2 2 3 7" xfId="42755" xr:uid="{00000000-0005-0000-0000-000050A60000}"/>
    <cellStyle name="Note 3 2 2 4" xfId="42756" xr:uid="{00000000-0005-0000-0000-000051A60000}"/>
    <cellStyle name="Note 3 2 2 4 2" xfId="42757" xr:uid="{00000000-0005-0000-0000-000052A60000}"/>
    <cellStyle name="Note 3 2 2 4 2 2" xfId="42758" xr:uid="{00000000-0005-0000-0000-000053A60000}"/>
    <cellStyle name="Note 3 2 2 4 3" xfId="42759" xr:uid="{00000000-0005-0000-0000-000054A60000}"/>
    <cellStyle name="Note 3 2 2 4 3 2" xfId="42760" xr:uid="{00000000-0005-0000-0000-000055A60000}"/>
    <cellStyle name="Note 3 2 2 4 4" xfId="42761" xr:uid="{00000000-0005-0000-0000-000056A60000}"/>
    <cellStyle name="Note 3 2 2 4 5" xfId="42762" xr:uid="{00000000-0005-0000-0000-000057A60000}"/>
    <cellStyle name="Note 3 2 2 4 6" xfId="42763" xr:uid="{00000000-0005-0000-0000-000058A60000}"/>
    <cellStyle name="Note 3 2 2 5" xfId="42764" xr:uid="{00000000-0005-0000-0000-000059A60000}"/>
    <cellStyle name="Note 3 2 2 5 2" xfId="42765" xr:uid="{00000000-0005-0000-0000-00005AA60000}"/>
    <cellStyle name="Note 3 2 2 6" xfId="42766" xr:uid="{00000000-0005-0000-0000-00005BA60000}"/>
    <cellStyle name="Note 3 2 2 6 2" xfId="42767" xr:uid="{00000000-0005-0000-0000-00005CA60000}"/>
    <cellStyle name="Note 3 2 2 7" xfId="42768" xr:uid="{00000000-0005-0000-0000-00005DA60000}"/>
    <cellStyle name="Note 3 2 2 8" xfId="42769" xr:uid="{00000000-0005-0000-0000-00005EA60000}"/>
    <cellStyle name="Note 3 2 2 9" xfId="42770" xr:uid="{00000000-0005-0000-0000-00005FA60000}"/>
    <cellStyle name="Note 3 2 3" xfId="42771" xr:uid="{00000000-0005-0000-0000-000060A60000}"/>
    <cellStyle name="Note 3 2 3 2" xfId="42772" xr:uid="{00000000-0005-0000-0000-000061A60000}"/>
    <cellStyle name="Note 3 2 3 2 2" xfId="42773" xr:uid="{00000000-0005-0000-0000-000062A60000}"/>
    <cellStyle name="Note 3 2 3 2 2 2" xfId="42774" xr:uid="{00000000-0005-0000-0000-000063A60000}"/>
    <cellStyle name="Note 3 2 3 2 2 2 2" xfId="42775" xr:uid="{00000000-0005-0000-0000-000064A60000}"/>
    <cellStyle name="Note 3 2 3 2 2 3" xfId="42776" xr:uid="{00000000-0005-0000-0000-000065A60000}"/>
    <cellStyle name="Note 3 2 3 2 2 3 2" xfId="42777" xr:uid="{00000000-0005-0000-0000-000066A60000}"/>
    <cellStyle name="Note 3 2 3 2 2 4" xfId="42778" xr:uid="{00000000-0005-0000-0000-000067A60000}"/>
    <cellStyle name="Note 3 2 3 2 2 5" xfId="42779" xr:uid="{00000000-0005-0000-0000-000068A60000}"/>
    <cellStyle name="Note 3 2 3 2 2 6" xfId="42780" xr:uid="{00000000-0005-0000-0000-000069A60000}"/>
    <cellStyle name="Note 3 2 3 2 3" xfId="42781" xr:uid="{00000000-0005-0000-0000-00006AA60000}"/>
    <cellStyle name="Note 3 2 3 2 3 2" xfId="42782" xr:uid="{00000000-0005-0000-0000-00006BA60000}"/>
    <cellStyle name="Note 3 2 3 2 4" xfId="42783" xr:uid="{00000000-0005-0000-0000-00006CA60000}"/>
    <cellStyle name="Note 3 2 3 2 4 2" xfId="42784" xr:uid="{00000000-0005-0000-0000-00006DA60000}"/>
    <cellStyle name="Note 3 2 3 2 5" xfId="42785" xr:uid="{00000000-0005-0000-0000-00006EA60000}"/>
    <cellStyle name="Note 3 2 3 2 6" xfId="42786" xr:uid="{00000000-0005-0000-0000-00006FA60000}"/>
    <cellStyle name="Note 3 2 3 2 7" xfId="42787" xr:uid="{00000000-0005-0000-0000-000070A60000}"/>
    <cellStyle name="Note 3 2 3 3" xfId="42788" xr:uid="{00000000-0005-0000-0000-000071A60000}"/>
    <cellStyle name="Note 3 2 3 3 2" xfId="42789" xr:uid="{00000000-0005-0000-0000-000072A60000}"/>
    <cellStyle name="Note 3 2 3 3 2 2" xfId="42790" xr:uid="{00000000-0005-0000-0000-000073A60000}"/>
    <cellStyle name="Note 3 2 3 3 3" xfId="42791" xr:uid="{00000000-0005-0000-0000-000074A60000}"/>
    <cellStyle name="Note 3 2 3 3 3 2" xfId="42792" xr:uid="{00000000-0005-0000-0000-000075A60000}"/>
    <cellStyle name="Note 3 2 3 3 4" xfId="42793" xr:uid="{00000000-0005-0000-0000-000076A60000}"/>
    <cellStyle name="Note 3 2 3 3 5" xfId="42794" xr:uid="{00000000-0005-0000-0000-000077A60000}"/>
    <cellStyle name="Note 3 2 3 3 6" xfId="42795" xr:uid="{00000000-0005-0000-0000-000078A60000}"/>
    <cellStyle name="Note 3 2 3 4" xfId="42796" xr:uid="{00000000-0005-0000-0000-000079A60000}"/>
    <cellStyle name="Note 3 2 3 4 2" xfId="42797" xr:uid="{00000000-0005-0000-0000-00007AA60000}"/>
    <cellStyle name="Note 3 2 3 5" xfId="42798" xr:uid="{00000000-0005-0000-0000-00007BA60000}"/>
    <cellStyle name="Note 3 2 3 5 2" xfId="42799" xr:uid="{00000000-0005-0000-0000-00007CA60000}"/>
    <cellStyle name="Note 3 2 3 6" xfId="42800" xr:uid="{00000000-0005-0000-0000-00007DA60000}"/>
    <cellStyle name="Note 3 2 3 7" xfId="42801" xr:uid="{00000000-0005-0000-0000-00007EA60000}"/>
    <cellStyle name="Note 3 2 3 8" xfId="42802" xr:uid="{00000000-0005-0000-0000-00007FA60000}"/>
    <cellStyle name="Note 3 2 4" xfId="42803" xr:uid="{00000000-0005-0000-0000-000080A60000}"/>
    <cellStyle name="Note 3 2 4 2" xfId="42804" xr:uid="{00000000-0005-0000-0000-000081A60000}"/>
    <cellStyle name="Note 3 2 4 2 2" xfId="42805" xr:uid="{00000000-0005-0000-0000-000082A60000}"/>
    <cellStyle name="Note 3 2 4 2 2 2" xfId="42806" xr:uid="{00000000-0005-0000-0000-000083A60000}"/>
    <cellStyle name="Note 3 2 4 2 3" xfId="42807" xr:uid="{00000000-0005-0000-0000-000084A60000}"/>
    <cellStyle name="Note 3 2 4 2 3 2" xfId="42808" xr:uid="{00000000-0005-0000-0000-000085A60000}"/>
    <cellStyle name="Note 3 2 4 2 4" xfId="42809" xr:uid="{00000000-0005-0000-0000-000086A60000}"/>
    <cellStyle name="Note 3 2 4 2 5" xfId="42810" xr:uid="{00000000-0005-0000-0000-000087A60000}"/>
    <cellStyle name="Note 3 2 4 2 6" xfId="42811" xr:uid="{00000000-0005-0000-0000-000088A60000}"/>
    <cellStyle name="Note 3 2 4 3" xfId="42812" xr:uid="{00000000-0005-0000-0000-000089A60000}"/>
    <cellStyle name="Note 3 2 4 3 2" xfId="42813" xr:uid="{00000000-0005-0000-0000-00008AA60000}"/>
    <cellStyle name="Note 3 2 4 4" xfId="42814" xr:uid="{00000000-0005-0000-0000-00008BA60000}"/>
    <cellStyle name="Note 3 2 4 4 2" xfId="42815" xr:uid="{00000000-0005-0000-0000-00008CA60000}"/>
    <cellStyle name="Note 3 2 4 5" xfId="42816" xr:uid="{00000000-0005-0000-0000-00008DA60000}"/>
    <cellStyle name="Note 3 2 4 6" xfId="42817" xr:uid="{00000000-0005-0000-0000-00008EA60000}"/>
    <cellStyle name="Note 3 2 4 7" xfId="42818" xr:uid="{00000000-0005-0000-0000-00008FA60000}"/>
    <cellStyle name="Note 3 2 5" xfId="42819" xr:uid="{00000000-0005-0000-0000-000090A60000}"/>
    <cellStyle name="Note 3 2 5 2" xfId="42820" xr:uid="{00000000-0005-0000-0000-000091A60000}"/>
    <cellStyle name="Note 3 2 5 2 2" xfId="42821" xr:uid="{00000000-0005-0000-0000-000092A60000}"/>
    <cellStyle name="Note 3 2 5 3" xfId="42822" xr:uid="{00000000-0005-0000-0000-000093A60000}"/>
    <cellStyle name="Note 3 2 5 3 2" xfId="42823" xr:uid="{00000000-0005-0000-0000-000094A60000}"/>
    <cellStyle name="Note 3 2 5 4" xfId="42824" xr:uid="{00000000-0005-0000-0000-000095A60000}"/>
    <cellStyle name="Note 3 2 5 5" xfId="42825" xr:uid="{00000000-0005-0000-0000-000096A60000}"/>
    <cellStyle name="Note 3 2 5 6" xfId="42826" xr:uid="{00000000-0005-0000-0000-000097A60000}"/>
    <cellStyle name="Note 3 2 6" xfId="42827" xr:uid="{00000000-0005-0000-0000-000098A60000}"/>
    <cellStyle name="Note 3 2 6 2" xfId="42828" xr:uid="{00000000-0005-0000-0000-000099A60000}"/>
    <cellStyle name="Note 3 2 7" xfId="42829" xr:uid="{00000000-0005-0000-0000-00009AA60000}"/>
    <cellStyle name="Note 3 2 7 2" xfId="42830" xr:uid="{00000000-0005-0000-0000-00009BA60000}"/>
    <cellStyle name="Note 3 2 8" xfId="42831" xr:uid="{00000000-0005-0000-0000-00009CA60000}"/>
    <cellStyle name="Note 3 2 9" xfId="42832" xr:uid="{00000000-0005-0000-0000-00009DA60000}"/>
    <cellStyle name="Note 3 3" xfId="42833" xr:uid="{00000000-0005-0000-0000-00009EA60000}"/>
    <cellStyle name="Note 3 3 10" xfId="42834" xr:uid="{00000000-0005-0000-0000-00009FA60000}"/>
    <cellStyle name="Note 3 3 2" xfId="42835" xr:uid="{00000000-0005-0000-0000-0000A0A60000}"/>
    <cellStyle name="Note 3 3 2 2" xfId="42836" xr:uid="{00000000-0005-0000-0000-0000A1A60000}"/>
    <cellStyle name="Note 3 3 2 2 2" xfId="42837" xr:uid="{00000000-0005-0000-0000-0000A2A60000}"/>
    <cellStyle name="Note 3 3 2 2 2 2" xfId="42838" xr:uid="{00000000-0005-0000-0000-0000A3A60000}"/>
    <cellStyle name="Note 3 3 2 2 2 2 2" xfId="42839" xr:uid="{00000000-0005-0000-0000-0000A4A60000}"/>
    <cellStyle name="Note 3 3 2 2 2 2 2 2" xfId="42840" xr:uid="{00000000-0005-0000-0000-0000A5A60000}"/>
    <cellStyle name="Note 3 3 2 2 2 2 3" xfId="42841" xr:uid="{00000000-0005-0000-0000-0000A6A60000}"/>
    <cellStyle name="Note 3 3 2 2 2 2 3 2" xfId="42842" xr:uid="{00000000-0005-0000-0000-0000A7A60000}"/>
    <cellStyle name="Note 3 3 2 2 2 2 4" xfId="42843" xr:uid="{00000000-0005-0000-0000-0000A8A60000}"/>
    <cellStyle name="Note 3 3 2 2 2 2 5" xfId="42844" xr:uid="{00000000-0005-0000-0000-0000A9A60000}"/>
    <cellStyle name="Note 3 3 2 2 2 2 6" xfId="42845" xr:uid="{00000000-0005-0000-0000-0000AAA60000}"/>
    <cellStyle name="Note 3 3 2 2 2 3" xfId="42846" xr:uid="{00000000-0005-0000-0000-0000ABA60000}"/>
    <cellStyle name="Note 3 3 2 2 2 3 2" xfId="42847" xr:uid="{00000000-0005-0000-0000-0000ACA60000}"/>
    <cellStyle name="Note 3 3 2 2 2 4" xfId="42848" xr:uid="{00000000-0005-0000-0000-0000ADA60000}"/>
    <cellStyle name="Note 3 3 2 2 2 4 2" xfId="42849" xr:uid="{00000000-0005-0000-0000-0000AEA60000}"/>
    <cellStyle name="Note 3 3 2 2 2 5" xfId="42850" xr:uid="{00000000-0005-0000-0000-0000AFA60000}"/>
    <cellStyle name="Note 3 3 2 2 2 6" xfId="42851" xr:uid="{00000000-0005-0000-0000-0000B0A60000}"/>
    <cellStyle name="Note 3 3 2 2 2 7" xfId="42852" xr:uid="{00000000-0005-0000-0000-0000B1A60000}"/>
    <cellStyle name="Note 3 3 2 2 3" xfId="42853" xr:uid="{00000000-0005-0000-0000-0000B2A60000}"/>
    <cellStyle name="Note 3 3 2 2 3 2" xfId="42854" xr:uid="{00000000-0005-0000-0000-0000B3A60000}"/>
    <cellStyle name="Note 3 3 2 2 3 2 2" xfId="42855" xr:uid="{00000000-0005-0000-0000-0000B4A60000}"/>
    <cellStyle name="Note 3 3 2 2 3 3" xfId="42856" xr:uid="{00000000-0005-0000-0000-0000B5A60000}"/>
    <cellStyle name="Note 3 3 2 2 3 3 2" xfId="42857" xr:uid="{00000000-0005-0000-0000-0000B6A60000}"/>
    <cellStyle name="Note 3 3 2 2 3 4" xfId="42858" xr:uid="{00000000-0005-0000-0000-0000B7A60000}"/>
    <cellStyle name="Note 3 3 2 2 3 5" xfId="42859" xr:uid="{00000000-0005-0000-0000-0000B8A60000}"/>
    <cellStyle name="Note 3 3 2 2 3 6" xfId="42860" xr:uid="{00000000-0005-0000-0000-0000B9A60000}"/>
    <cellStyle name="Note 3 3 2 2 4" xfId="42861" xr:uid="{00000000-0005-0000-0000-0000BAA60000}"/>
    <cellStyle name="Note 3 3 2 2 4 2" xfId="42862" xr:uid="{00000000-0005-0000-0000-0000BBA60000}"/>
    <cellStyle name="Note 3 3 2 2 5" xfId="42863" xr:uid="{00000000-0005-0000-0000-0000BCA60000}"/>
    <cellStyle name="Note 3 3 2 2 5 2" xfId="42864" xr:uid="{00000000-0005-0000-0000-0000BDA60000}"/>
    <cellStyle name="Note 3 3 2 2 6" xfId="42865" xr:uid="{00000000-0005-0000-0000-0000BEA60000}"/>
    <cellStyle name="Note 3 3 2 2 7" xfId="42866" xr:uid="{00000000-0005-0000-0000-0000BFA60000}"/>
    <cellStyle name="Note 3 3 2 2 8" xfId="42867" xr:uid="{00000000-0005-0000-0000-0000C0A60000}"/>
    <cellStyle name="Note 3 3 2 3" xfId="42868" xr:uid="{00000000-0005-0000-0000-0000C1A60000}"/>
    <cellStyle name="Note 3 3 2 3 2" xfId="42869" xr:uid="{00000000-0005-0000-0000-0000C2A60000}"/>
    <cellStyle name="Note 3 3 2 3 2 2" xfId="42870" xr:uid="{00000000-0005-0000-0000-0000C3A60000}"/>
    <cellStyle name="Note 3 3 2 3 2 2 2" xfId="42871" xr:uid="{00000000-0005-0000-0000-0000C4A60000}"/>
    <cellStyle name="Note 3 3 2 3 2 3" xfId="42872" xr:uid="{00000000-0005-0000-0000-0000C5A60000}"/>
    <cellStyle name="Note 3 3 2 3 2 3 2" xfId="42873" xr:uid="{00000000-0005-0000-0000-0000C6A60000}"/>
    <cellStyle name="Note 3 3 2 3 2 4" xfId="42874" xr:uid="{00000000-0005-0000-0000-0000C7A60000}"/>
    <cellStyle name="Note 3 3 2 3 2 5" xfId="42875" xr:uid="{00000000-0005-0000-0000-0000C8A60000}"/>
    <cellStyle name="Note 3 3 2 3 2 6" xfId="42876" xr:uid="{00000000-0005-0000-0000-0000C9A60000}"/>
    <cellStyle name="Note 3 3 2 3 3" xfId="42877" xr:uid="{00000000-0005-0000-0000-0000CAA60000}"/>
    <cellStyle name="Note 3 3 2 3 3 2" xfId="42878" xr:uid="{00000000-0005-0000-0000-0000CBA60000}"/>
    <cellStyle name="Note 3 3 2 3 4" xfId="42879" xr:uid="{00000000-0005-0000-0000-0000CCA60000}"/>
    <cellStyle name="Note 3 3 2 3 4 2" xfId="42880" xr:uid="{00000000-0005-0000-0000-0000CDA60000}"/>
    <cellStyle name="Note 3 3 2 3 5" xfId="42881" xr:uid="{00000000-0005-0000-0000-0000CEA60000}"/>
    <cellStyle name="Note 3 3 2 3 6" xfId="42882" xr:uid="{00000000-0005-0000-0000-0000CFA60000}"/>
    <cellStyle name="Note 3 3 2 3 7" xfId="42883" xr:uid="{00000000-0005-0000-0000-0000D0A60000}"/>
    <cellStyle name="Note 3 3 2 4" xfId="42884" xr:uid="{00000000-0005-0000-0000-0000D1A60000}"/>
    <cellStyle name="Note 3 3 2 4 2" xfId="42885" xr:uid="{00000000-0005-0000-0000-0000D2A60000}"/>
    <cellStyle name="Note 3 3 2 4 2 2" xfId="42886" xr:uid="{00000000-0005-0000-0000-0000D3A60000}"/>
    <cellStyle name="Note 3 3 2 4 3" xfId="42887" xr:uid="{00000000-0005-0000-0000-0000D4A60000}"/>
    <cellStyle name="Note 3 3 2 4 3 2" xfId="42888" xr:uid="{00000000-0005-0000-0000-0000D5A60000}"/>
    <cellStyle name="Note 3 3 2 4 4" xfId="42889" xr:uid="{00000000-0005-0000-0000-0000D6A60000}"/>
    <cellStyle name="Note 3 3 2 4 5" xfId="42890" xr:uid="{00000000-0005-0000-0000-0000D7A60000}"/>
    <cellStyle name="Note 3 3 2 4 6" xfId="42891" xr:uid="{00000000-0005-0000-0000-0000D8A60000}"/>
    <cellStyle name="Note 3 3 2 5" xfId="42892" xr:uid="{00000000-0005-0000-0000-0000D9A60000}"/>
    <cellStyle name="Note 3 3 2 5 2" xfId="42893" xr:uid="{00000000-0005-0000-0000-0000DAA60000}"/>
    <cellStyle name="Note 3 3 2 6" xfId="42894" xr:uid="{00000000-0005-0000-0000-0000DBA60000}"/>
    <cellStyle name="Note 3 3 2 6 2" xfId="42895" xr:uid="{00000000-0005-0000-0000-0000DCA60000}"/>
    <cellStyle name="Note 3 3 2 7" xfId="42896" xr:uid="{00000000-0005-0000-0000-0000DDA60000}"/>
    <cellStyle name="Note 3 3 2 8" xfId="42897" xr:uid="{00000000-0005-0000-0000-0000DEA60000}"/>
    <cellStyle name="Note 3 3 2 9" xfId="42898" xr:uid="{00000000-0005-0000-0000-0000DFA60000}"/>
    <cellStyle name="Note 3 3 3" xfId="42899" xr:uid="{00000000-0005-0000-0000-0000E0A60000}"/>
    <cellStyle name="Note 3 3 3 2" xfId="42900" xr:uid="{00000000-0005-0000-0000-0000E1A60000}"/>
    <cellStyle name="Note 3 3 3 2 2" xfId="42901" xr:uid="{00000000-0005-0000-0000-0000E2A60000}"/>
    <cellStyle name="Note 3 3 3 2 2 2" xfId="42902" xr:uid="{00000000-0005-0000-0000-0000E3A60000}"/>
    <cellStyle name="Note 3 3 3 2 2 2 2" xfId="42903" xr:uid="{00000000-0005-0000-0000-0000E4A60000}"/>
    <cellStyle name="Note 3 3 3 2 2 3" xfId="42904" xr:uid="{00000000-0005-0000-0000-0000E5A60000}"/>
    <cellStyle name="Note 3 3 3 2 2 3 2" xfId="42905" xr:uid="{00000000-0005-0000-0000-0000E6A60000}"/>
    <cellStyle name="Note 3 3 3 2 2 4" xfId="42906" xr:uid="{00000000-0005-0000-0000-0000E7A60000}"/>
    <cellStyle name="Note 3 3 3 2 2 5" xfId="42907" xr:uid="{00000000-0005-0000-0000-0000E8A60000}"/>
    <cellStyle name="Note 3 3 3 2 2 6" xfId="42908" xr:uid="{00000000-0005-0000-0000-0000E9A60000}"/>
    <cellStyle name="Note 3 3 3 2 3" xfId="42909" xr:uid="{00000000-0005-0000-0000-0000EAA60000}"/>
    <cellStyle name="Note 3 3 3 2 3 2" xfId="42910" xr:uid="{00000000-0005-0000-0000-0000EBA60000}"/>
    <cellStyle name="Note 3 3 3 2 4" xfId="42911" xr:uid="{00000000-0005-0000-0000-0000ECA60000}"/>
    <cellStyle name="Note 3 3 3 2 4 2" xfId="42912" xr:uid="{00000000-0005-0000-0000-0000EDA60000}"/>
    <cellStyle name="Note 3 3 3 2 5" xfId="42913" xr:uid="{00000000-0005-0000-0000-0000EEA60000}"/>
    <cellStyle name="Note 3 3 3 2 6" xfId="42914" xr:uid="{00000000-0005-0000-0000-0000EFA60000}"/>
    <cellStyle name="Note 3 3 3 2 7" xfId="42915" xr:uid="{00000000-0005-0000-0000-0000F0A60000}"/>
    <cellStyle name="Note 3 3 3 3" xfId="42916" xr:uid="{00000000-0005-0000-0000-0000F1A60000}"/>
    <cellStyle name="Note 3 3 3 3 2" xfId="42917" xr:uid="{00000000-0005-0000-0000-0000F2A60000}"/>
    <cellStyle name="Note 3 3 3 3 2 2" xfId="42918" xr:uid="{00000000-0005-0000-0000-0000F3A60000}"/>
    <cellStyle name="Note 3 3 3 3 3" xfId="42919" xr:uid="{00000000-0005-0000-0000-0000F4A60000}"/>
    <cellStyle name="Note 3 3 3 3 3 2" xfId="42920" xr:uid="{00000000-0005-0000-0000-0000F5A60000}"/>
    <cellStyle name="Note 3 3 3 3 4" xfId="42921" xr:uid="{00000000-0005-0000-0000-0000F6A60000}"/>
    <cellStyle name="Note 3 3 3 3 5" xfId="42922" xr:uid="{00000000-0005-0000-0000-0000F7A60000}"/>
    <cellStyle name="Note 3 3 3 3 6" xfId="42923" xr:uid="{00000000-0005-0000-0000-0000F8A60000}"/>
    <cellStyle name="Note 3 3 3 4" xfId="42924" xr:uid="{00000000-0005-0000-0000-0000F9A60000}"/>
    <cellStyle name="Note 3 3 3 4 2" xfId="42925" xr:uid="{00000000-0005-0000-0000-0000FAA60000}"/>
    <cellStyle name="Note 3 3 3 5" xfId="42926" xr:uid="{00000000-0005-0000-0000-0000FBA60000}"/>
    <cellStyle name="Note 3 3 3 5 2" xfId="42927" xr:uid="{00000000-0005-0000-0000-0000FCA60000}"/>
    <cellStyle name="Note 3 3 3 6" xfId="42928" xr:uid="{00000000-0005-0000-0000-0000FDA60000}"/>
    <cellStyle name="Note 3 3 3 7" xfId="42929" xr:uid="{00000000-0005-0000-0000-0000FEA60000}"/>
    <cellStyle name="Note 3 3 3 8" xfId="42930" xr:uid="{00000000-0005-0000-0000-0000FFA60000}"/>
    <cellStyle name="Note 3 3 4" xfId="42931" xr:uid="{00000000-0005-0000-0000-000000A70000}"/>
    <cellStyle name="Note 3 3 4 2" xfId="42932" xr:uid="{00000000-0005-0000-0000-000001A70000}"/>
    <cellStyle name="Note 3 3 4 2 2" xfId="42933" xr:uid="{00000000-0005-0000-0000-000002A70000}"/>
    <cellStyle name="Note 3 3 4 2 2 2" xfId="42934" xr:uid="{00000000-0005-0000-0000-000003A70000}"/>
    <cellStyle name="Note 3 3 4 2 3" xfId="42935" xr:uid="{00000000-0005-0000-0000-000004A70000}"/>
    <cellStyle name="Note 3 3 4 2 3 2" xfId="42936" xr:uid="{00000000-0005-0000-0000-000005A70000}"/>
    <cellStyle name="Note 3 3 4 2 4" xfId="42937" xr:uid="{00000000-0005-0000-0000-000006A70000}"/>
    <cellStyle name="Note 3 3 4 2 5" xfId="42938" xr:uid="{00000000-0005-0000-0000-000007A70000}"/>
    <cellStyle name="Note 3 3 4 2 6" xfId="42939" xr:uid="{00000000-0005-0000-0000-000008A70000}"/>
    <cellStyle name="Note 3 3 4 3" xfId="42940" xr:uid="{00000000-0005-0000-0000-000009A70000}"/>
    <cellStyle name="Note 3 3 4 3 2" xfId="42941" xr:uid="{00000000-0005-0000-0000-00000AA70000}"/>
    <cellStyle name="Note 3 3 4 4" xfId="42942" xr:uid="{00000000-0005-0000-0000-00000BA70000}"/>
    <cellStyle name="Note 3 3 4 4 2" xfId="42943" xr:uid="{00000000-0005-0000-0000-00000CA70000}"/>
    <cellStyle name="Note 3 3 4 5" xfId="42944" xr:uid="{00000000-0005-0000-0000-00000DA70000}"/>
    <cellStyle name="Note 3 3 4 6" xfId="42945" xr:uid="{00000000-0005-0000-0000-00000EA70000}"/>
    <cellStyle name="Note 3 3 4 7" xfId="42946" xr:uid="{00000000-0005-0000-0000-00000FA70000}"/>
    <cellStyle name="Note 3 3 5" xfId="42947" xr:uid="{00000000-0005-0000-0000-000010A70000}"/>
    <cellStyle name="Note 3 3 5 2" xfId="42948" xr:uid="{00000000-0005-0000-0000-000011A70000}"/>
    <cellStyle name="Note 3 3 5 2 2" xfId="42949" xr:uid="{00000000-0005-0000-0000-000012A70000}"/>
    <cellStyle name="Note 3 3 5 3" xfId="42950" xr:uid="{00000000-0005-0000-0000-000013A70000}"/>
    <cellStyle name="Note 3 3 5 3 2" xfId="42951" xr:uid="{00000000-0005-0000-0000-000014A70000}"/>
    <cellStyle name="Note 3 3 5 4" xfId="42952" xr:uid="{00000000-0005-0000-0000-000015A70000}"/>
    <cellStyle name="Note 3 3 5 5" xfId="42953" xr:uid="{00000000-0005-0000-0000-000016A70000}"/>
    <cellStyle name="Note 3 3 5 6" xfId="42954" xr:uid="{00000000-0005-0000-0000-000017A70000}"/>
    <cellStyle name="Note 3 3 6" xfId="42955" xr:uid="{00000000-0005-0000-0000-000018A70000}"/>
    <cellStyle name="Note 3 3 6 2" xfId="42956" xr:uid="{00000000-0005-0000-0000-000019A70000}"/>
    <cellStyle name="Note 3 3 7" xfId="42957" xr:uid="{00000000-0005-0000-0000-00001AA70000}"/>
    <cellStyle name="Note 3 3 7 2" xfId="42958" xr:uid="{00000000-0005-0000-0000-00001BA70000}"/>
    <cellStyle name="Note 3 3 8" xfId="42959" xr:uid="{00000000-0005-0000-0000-00001CA70000}"/>
    <cellStyle name="Note 3 3 9" xfId="42960" xr:uid="{00000000-0005-0000-0000-00001DA70000}"/>
    <cellStyle name="Note 3 4" xfId="42961" xr:uid="{00000000-0005-0000-0000-00001EA70000}"/>
    <cellStyle name="Note 3 4 2" xfId="42962" xr:uid="{00000000-0005-0000-0000-00001FA70000}"/>
    <cellStyle name="Note 3 4 2 2" xfId="42963" xr:uid="{00000000-0005-0000-0000-000020A70000}"/>
    <cellStyle name="Note 3 4 2 2 2" xfId="42964" xr:uid="{00000000-0005-0000-0000-000021A70000}"/>
    <cellStyle name="Note 3 4 2 2 2 2" xfId="42965" xr:uid="{00000000-0005-0000-0000-000022A70000}"/>
    <cellStyle name="Note 3 4 2 2 2 2 2" xfId="42966" xr:uid="{00000000-0005-0000-0000-000023A70000}"/>
    <cellStyle name="Note 3 4 2 2 2 3" xfId="42967" xr:uid="{00000000-0005-0000-0000-000024A70000}"/>
    <cellStyle name="Note 3 4 2 2 2 3 2" xfId="42968" xr:uid="{00000000-0005-0000-0000-000025A70000}"/>
    <cellStyle name="Note 3 4 2 2 2 4" xfId="42969" xr:uid="{00000000-0005-0000-0000-000026A70000}"/>
    <cellStyle name="Note 3 4 2 2 2 5" xfId="42970" xr:uid="{00000000-0005-0000-0000-000027A70000}"/>
    <cellStyle name="Note 3 4 2 2 2 6" xfId="42971" xr:uid="{00000000-0005-0000-0000-000028A70000}"/>
    <cellStyle name="Note 3 4 2 2 3" xfId="42972" xr:uid="{00000000-0005-0000-0000-000029A70000}"/>
    <cellStyle name="Note 3 4 2 2 3 2" xfId="42973" xr:uid="{00000000-0005-0000-0000-00002AA70000}"/>
    <cellStyle name="Note 3 4 2 2 4" xfId="42974" xr:uid="{00000000-0005-0000-0000-00002BA70000}"/>
    <cellStyle name="Note 3 4 2 2 4 2" xfId="42975" xr:uid="{00000000-0005-0000-0000-00002CA70000}"/>
    <cellStyle name="Note 3 4 2 2 5" xfId="42976" xr:uid="{00000000-0005-0000-0000-00002DA70000}"/>
    <cellStyle name="Note 3 4 2 2 6" xfId="42977" xr:uid="{00000000-0005-0000-0000-00002EA70000}"/>
    <cellStyle name="Note 3 4 2 2 7" xfId="42978" xr:uid="{00000000-0005-0000-0000-00002FA70000}"/>
    <cellStyle name="Note 3 4 2 3" xfId="42979" xr:uid="{00000000-0005-0000-0000-000030A70000}"/>
    <cellStyle name="Note 3 4 2 3 2" xfId="42980" xr:uid="{00000000-0005-0000-0000-000031A70000}"/>
    <cellStyle name="Note 3 4 2 3 2 2" xfId="42981" xr:uid="{00000000-0005-0000-0000-000032A70000}"/>
    <cellStyle name="Note 3 4 2 3 3" xfId="42982" xr:uid="{00000000-0005-0000-0000-000033A70000}"/>
    <cellStyle name="Note 3 4 2 3 3 2" xfId="42983" xr:uid="{00000000-0005-0000-0000-000034A70000}"/>
    <cellStyle name="Note 3 4 2 3 4" xfId="42984" xr:uid="{00000000-0005-0000-0000-000035A70000}"/>
    <cellStyle name="Note 3 4 2 3 5" xfId="42985" xr:uid="{00000000-0005-0000-0000-000036A70000}"/>
    <cellStyle name="Note 3 4 2 3 6" xfId="42986" xr:uid="{00000000-0005-0000-0000-000037A70000}"/>
    <cellStyle name="Note 3 4 2 4" xfId="42987" xr:uid="{00000000-0005-0000-0000-000038A70000}"/>
    <cellStyle name="Note 3 4 2 4 2" xfId="42988" xr:uid="{00000000-0005-0000-0000-000039A70000}"/>
    <cellStyle name="Note 3 4 2 5" xfId="42989" xr:uid="{00000000-0005-0000-0000-00003AA70000}"/>
    <cellStyle name="Note 3 4 2 5 2" xfId="42990" xr:uid="{00000000-0005-0000-0000-00003BA70000}"/>
    <cellStyle name="Note 3 4 2 6" xfId="42991" xr:uid="{00000000-0005-0000-0000-00003CA70000}"/>
    <cellStyle name="Note 3 4 2 7" xfId="42992" xr:uid="{00000000-0005-0000-0000-00003DA70000}"/>
    <cellStyle name="Note 3 4 2 8" xfId="42993" xr:uid="{00000000-0005-0000-0000-00003EA70000}"/>
    <cellStyle name="Note 3 4 3" xfId="42994" xr:uid="{00000000-0005-0000-0000-00003FA70000}"/>
    <cellStyle name="Note 3 4 3 2" xfId="42995" xr:uid="{00000000-0005-0000-0000-000040A70000}"/>
    <cellStyle name="Note 3 4 3 2 2" xfId="42996" xr:uid="{00000000-0005-0000-0000-000041A70000}"/>
    <cellStyle name="Note 3 4 3 2 2 2" xfId="42997" xr:uid="{00000000-0005-0000-0000-000042A70000}"/>
    <cellStyle name="Note 3 4 3 2 3" xfId="42998" xr:uid="{00000000-0005-0000-0000-000043A70000}"/>
    <cellStyle name="Note 3 4 3 2 3 2" xfId="42999" xr:uid="{00000000-0005-0000-0000-000044A70000}"/>
    <cellStyle name="Note 3 4 3 2 4" xfId="43000" xr:uid="{00000000-0005-0000-0000-000045A70000}"/>
    <cellStyle name="Note 3 4 3 2 5" xfId="43001" xr:uid="{00000000-0005-0000-0000-000046A70000}"/>
    <cellStyle name="Note 3 4 3 2 6" xfId="43002" xr:uid="{00000000-0005-0000-0000-000047A70000}"/>
    <cellStyle name="Note 3 4 3 3" xfId="43003" xr:uid="{00000000-0005-0000-0000-000048A70000}"/>
    <cellStyle name="Note 3 4 3 3 2" xfId="43004" xr:uid="{00000000-0005-0000-0000-000049A70000}"/>
    <cellStyle name="Note 3 4 3 4" xfId="43005" xr:uid="{00000000-0005-0000-0000-00004AA70000}"/>
    <cellStyle name="Note 3 4 3 4 2" xfId="43006" xr:uid="{00000000-0005-0000-0000-00004BA70000}"/>
    <cellStyle name="Note 3 4 3 5" xfId="43007" xr:uid="{00000000-0005-0000-0000-00004CA70000}"/>
    <cellStyle name="Note 3 4 3 6" xfId="43008" xr:uid="{00000000-0005-0000-0000-00004DA70000}"/>
    <cellStyle name="Note 3 4 3 7" xfId="43009" xr:uid="{00000000-0005-0000-0000-00004EA70000}"/>
    <cellStyle name="Note 3 4 4" xfId="43010" xr:uid="{00000000-0005-0000-0000-00004FA70000}"/>
    <cellStyle name="Note 3 4 4 2" xfId="43011" xr:uid="{00000000-0005-0000-0000-000050A70000}"/>
    <cellStyle name="Note 3 4 4 2 2" xfId="43012" xr:uid="{00000000-0005-0000-0000-000051A70000}"/>
    <cellStyle name="Note 3 4 4 3" xfId="43013" xr:uid="{00000000-0005-0000-0000-000052A70000}"/>
    <cellStyle name="Note 3 4 4 3 2" xfId="43014" xr:uid="{00000000-0005-0000-0000-000053A70000}"/>
    <cellStyle name="Note 3 4 4 4" xfId="43015" xr:uid="{00000000-0005-0000-0000-000054A70000}"/>
    <cellStyle name="Note 3 4 4 5" xfId="43016" xr:uid="{00000000-0005-0000-0000-000055A70000}"/>
    <cellStyle name="Note 3 4 4 6" xfId="43017" xr:uid="{00000000-0005-0000-0000-000056A70000}"/>
    <cellStyle name="Note 3 4 5" xfId="43018" xr:uid="{00000000-0005-0000-0000-000057A70000}"/>
    <cellStyle name="Note 3 4 5 2" xfId="43019" xr:uid="{00000000-0005-0000-0000-000058A70000}"/>
    <cellStyle name="Note 3 4 6" xfId="43020" xr:uid="{00000000-0005-0000-0000-000059A70000}"/>
    <cellStyle name="Note 3 4 6 2" xfId="43021" xr:uid="{00000000-0005-0000-0000-00005AA70000}"/>
    <cellStyle name="Note 3 4 7" xfId="43022" xr:uid="{00000000-0005-0000-0000-00005BA70000}"/>
    <cellStyle name="Note 3 4 8" xfId="43023" xr:uid="{00000000-0005-0000-0000-00005CA70000}"/>
    <cellStyle name="Note 3 4 9" xfId="43024" xr:uid="{00000000-0005-0000-0000-00005DA70000}"/>
    <cellStyle name="Note 3 5" xfId="43025" xr:uid="{00000000-0005-0000-0000-00005EA70000}"/>
    <cellStyle name="Note 3 5 2" xfId="43026" xr:uid="{00000000-0005-0000-0000-00005FA70000}"/>
    <cellStyle name="Note 3 5 2 2" xfId="43027" xr:uid="{00000000-0005-0000-0000-000060A70000}"/>
    <cellStyle name="Note 3 5 2 2 2" xfId="43028" xr:uid="{00000000-0005-0000-0000-000061A70000}"/>
    <cellStyle name="Note 3 5 2 2 2 2" xfId="43029" xr:uid="{00000000-0005-0000-0000-000062A70000}"/>
    <cellStyle name="Note 3 5 2 2 3" xfId="43030" xr:uid="{00000000-0005-0000-0000-000063A70000}"/>
    <cellStyle name="Note 3 5 2 2 3 2" xfId="43031" xr:uid="{00000000-0005-0000-0000-000064A70000}"/>
    <cellStyle name="Note 3 5 2 2 4" xfId="43032" xr:uid="{00000000-0005-0000-0000-000065A70000}"/>
    <cellStyle name="Note 3 5 2 2 5" xfId="43033" xr:uid="{00000000-0005-0000-0000-000066A70000}"/>
    <cellStyle name="Note 3 5 2 2 6" xfId="43034" xr:uid="{00000000-0005-0000-0000-000067A70000}"/>
    <cellStyle name="Note 3 5 2 3" xfId="43035" xr:uid="{00000000-0005-0000-0000-000068A70000}"/>
    <cellStyle name="Note 3 5 2 3 2" xfId="43036" xr:uid="{00000000-0005-0000-0000-000069A70000}"/>
    <cellStyle name="Note 3 5 2 4" xfId="43037" xr:uid="{00000000-0005-0000-0000-00006AA70000}"/>
    <cellStyle name="Note 3 5 2 4 2" xfId="43038" xr:uid="{00000000-0005-0000-0000-00006BA70000}"/>
    <cellStyle name="Note 3 5 2 5" xfId="43039" xr:uid="{00000000-0005-0000-0000-00006CA70000}"/>
    <cellStyle name="Note 3 5 2 6" xfId="43040" xr:uid="{00000000-0005-0000-0000-00006DA70000}"/>
    <cellStyle name="Note 3 5 2 7" xfId="43041" xr:uid="{00000000-0005-0000-0000-00006EA70000}"/>
    <cellStyle name="Note 3 5 3" xfId="43042" xr:uid="{00000000-0005-0000-0000-00006FA70000}"/>
    <cellStyle name="Note 3 5 3 2" xfId="43043" xr:uid="{00000000-0005-0000-0000-000070A70000}"/>
    <cellStyle name="Note 3 5 3 2 2" xfId="43044" xr:uid="{00000000-0005-0000-0000-000071A70000}"/>
    <cellStyle name="Note 3 5 3 3" xfId="43045" xr:uid="{00000000-0005-0000-0000-000072A70000}"/>
    <cellStyle name="Note 3 5 3 3 2" xfId="43046" xr:uid="{00000000-0005-0000-0000-000073A70000}"/>
    <cellStyle name="Note 3 5 3 4" xfId="43047" xr:uid="{00000000-0005-0000-0000-000074A70000}"/>
    <cellStyle name="Note 3 5 3 5" xfId="43048" xr:uid="{00000000-0005-0000-0000-000075A70000}"/>
    <cellStyle name="Note 3 5 3 6" xfId="43049" xr:uid="{00000000-0005-0000-0000-000076A70000}"/>
    <cellStyle name="Note 3 5 4" xfId="43050" xr:uid="{00000000-0005-0000-0000-000077A70000}"/>
    <cellStyle name="Note 3 5 4 2" xfId="43051" xr:uid="{00000000-0005-0000-0000-000078A70000}"/>
    <cellStyle name="Note 3 5 5" xfId="43052" xr:uid="{00000000-0005-0000-0000-000079A70000}"/>
    <cellStyle name="Note 3 5 5 2" xfId="43053" xr:uid="{00000000-0005-0000-0000-00007AA70000}"/>
    <cellStyle name="Note 3 5 6" xfId="43054" xr:uid="{00000000-0005-0000-0000-00007BA70000}"/>
    <cellStyle name="Note 3 5 7" xfId="43055" xr:uid="{00000000-0005-0000-0000-00007CA70000}"/>
    <cellStyle name="Note 3 5 8" xfId="43056" xr:uid="{00000000-0005-0000-0000-00007DA70000}"/>
    <cellStyle name="Note 3 6" xfId="43057" xr:uid="{00000000-0005-0000-0000-00007EA70000}"/>
    <cellStyle name="Note 3 6 2" xfId="43058" xr:uid="{00000000-0005-0000-0000-00007FA70000}"/>
    <cellStyle name="Note 3 6 2 2" xfId="43059" xr:uid="{00000000-0005-0000-0000-000080A70000}"/>
    <cellStyle name="Note 3 6 2 2 2" xfId="43060" xr:uid="{00000000-0005-0000-0000-000081A70000}"/>
    <cellStyle name="Note 3 6 2 3" xfId="43061" xr:uid="{00000000-0005-0000-0000-000082A70000}"/>
    <cellStyle name="Note 3 6 2 3 2" xfId="43062" xr:uid="{00000000-0005-0000-0000-000083A70000}"/>
    <cellStyle name="Note 3 6 2 4" xfId="43063" xr:uid="{00000000-0005-0000-0000-000084A70000}"/>
    <cellStyle name="Note 3 6 2 5" xfId="43064" xr:uid="{00000000-0005-0000-0000-000085A70000}"/>
    <cellStyle name="Note 3 6 2 6" xfId="43065" xr:uid="{00000000-0005-0000-0000-000086A70000}"/>
    <cellStyle name="Note 3 6 3" xfId="43066" xr:uid="{00000000-0005-0000-0000-000087A70000}"/>
    <cellStyle name="Note 3 6 3 2" xfId="43067" xr:uid="{00000000-0005-0000-0000-000088A70000}"/>
    <cellStyle name="Note 3 6 4" xfId="43068" xr:uid="{00000000-0005-0000-0000-000089A70000}"/>
    <cellStyle name="Note 3 6 4 2" xfId="43069" xr:uid="{00000000-0005-0000-0000-00008AA70000}"/>
    <cellStyle name="Note 3 6 5" xfId="43070" xr:uid="{00000000-0005-0000-0000-00008BA70000}"/>
    <cellStyle name="Note 3 6 6" xfId="43071" xr:uid="{00000000-0005-0000-0000-00008CA70000}"/>
    <cellStyle name="Note 3 6 7" xfId="43072" xr:uid="{00000000-0005-0000-0000-00008DA70000}"/>
    <cellStyle name="Note 3 7" xfId="43073" xr:uid="{00000000-0005-0000-0000-00008EA70000}"/>
    <cellStyle name="Note 3 7 2" xfId="43074" xr:uid="{00000000-0005-0000-0000-00008FA70000}"/>
    <cellStyle name="Note 3 7 2 2" xfId="43075" xr:uid="{00000000-0005-0000-0000-000090A70000}"/>
    <cellStyle name="Note 3 7 3" xfId="43076" xr:uid="{00000000-0005-0000-0000-000091A70000}"/>
    <cellStyle name="Note 3 7 3 2" xfId="43077" xr:uid="{00000000-0005-0000-0000-000092A70000}"/>
    <cellStyle name="Note 3 7 4" xfId="43078" xr:uid="{00000000-0005-0000-0000-000093A70000}"/>
    <cellStyle name="Note 3 7 5" xfId="43079" xr:uid="{00000000-0005-0000-0000-000094A70000}"/>
    <cellStyle name="Note 3 7 6" xfId="43080" xr:uid="{00000000-0005-0000-0000-000095A70000}"/>
    <cellStyle name="Note 3 8" xfId="43081" xr:uid="{00000000-0005-0000-0000-000096A70000}"/>
    <cellStyle name="Note 3 8 2" xfId="43082" xr:uid="{00000000-0005-0000-0000-000097A70000}"/>
    <cellStyle name="Note 3 9" xfId="43083" xr:uid="{00000000-0005-0000-0000-000098A70000}"/>
    <cellStyle name="Note 3 9 2" xfId="43084" xr:uid="{00000000-0005-0000-0000-000099A70000}"/>
    <cellStyle name="Note 4" xfId="43085" xr:uid="{00000000-0005-0000-0000-00009AA70000}"/>
    <cellStyle name="Note 4 10" xfId="43086" xr:uid="{00000000-0005-0000-0000-00009BA70000}"/>
    <cellStyle name="Note 4 11" xfId="43087" xr:uid="{00000000-0005-0000-0000-00009CA70000}"/>
    <cellStyle name="Note 4 2" xfId="43088" xr:uid="{00000000-0005-0000-0000-00009DA70000}"/>
    <cellStyle name="Note 4 2 10" xfId="43089" xr:uid="{00000000-0005-0000-0000-00009EA70000}"/>
    <cellStyle name="Note 4 2 2" xfId="43090" xr:uid="{00000000-0005-0000-0000-00009FA70000}"/>
    <cellStyle name="Note 4 2 2 2" xfId="43091" xr:uid="{00000000-0005-0000-0000-0000A0A70000}"/>
    <cellStyle name="Note 4 2 2 2 2" xfId="43092" xr:uid="{00000000-0005-0000-0000-0000A1A70000}"/>
    <cellStyle name="Note 4 2 2 2 2 2" xfId="43093" xr:uid="{00000000-0005-0000-0000-0000A2A70000}"/>
    <cellStyle name="Note 4 2 2 2 2 2 2" xfId="43094" xr:uid="{00000000-0005-0000-0000-0000A3A70000}"/>
    <cellStyle name="Note 4 2 2 2 2 2 2 2" xfId="43095" xr:uid="{00000000-0005-0000-0000-0000A4A70000}"/>
    <cellStyle name="Note 4 2 2 2 2 2 3" xfId="43096" xr:uid="{00000000-0005-0000-0000-0000A5A70000}"/>
    <cellStyle name="Note 4 2 2 2 2 2 3 2" xfId="43097" xr:uid="{00000000-0005-0000-0000-0000A6A70000}"/>
    <cellStyle name="Note 4 2 2 2 2 2 4" xfId="43098" xr:uid="{00000000-0005-0000-0000-0000A7A70000}"/>
    <cellStyle name="Note 4 2 2 2 2 2 5" xfId="43099" xr:uid="{00000000-0005-0000-0000-0000A8A70000}"/>
    <cellStyle name="Note 4 2 2 2 2 2 6" xfId="43100" xr:uid="{00000000-0005-0000-0000-0000A9A70000}"/>
    <cellStyle name="Note 4 2 2 2 2 3" xfId="43101" xr:uid="{00000000-0005-0000-0000-0000AAA70000}"/>
    <cellStyle name="Note 4 2 2 2 2 3 2" xfId="43102" xr:uid="{00000000-0005-0000-0000-0000ABA70000}"/>
    <cellStyle name="Note 4 2 2 2 2 4" xfId="43103" xr:uid="{00000000-0005-0000-0000-0000ACA70000}"/>
    <cellStyle name="Note 4 2 2 2 2 4 2" xfId="43104" xr:uid="{00000000-0005-0000-0000-0000ADA70000}"/>
    <cellStyle name="Note 4 2 2 2 2 5" xfId="43105" xr:uid="{00000000-0005-0000-0000-0000AEA70000}"/>
    <cellStyle name="Note 4 2 2 2 2 6" xfId="43106" xr:uid="{00000000-0005-0000-0000-0000AFA70000}"/>
    <cellStyle name="Note 4 2 2 2 2 7" xfId="43107" xr:uid="{00000000-0005-0000-0000-0000B0A70000}"/>
    <cellStyle name="Note 4 2 2 2 3" xfId="43108" xr:uid="{00000000-0005-0000-0000-0000B1A70000}"/>
    <cellStyle name="Note 4 2 2 2 3 2" xfId="43109" xr:uid="{00000000-0005-0000-0000-0000B2A70000}"/>
    <cellStyle name="Note 4 2 2 2 3 2 2" xfId="43110" xr:uid="{00000000-0005-0000-0000-0000B3A70000}"/>
    <cellStyle name="Note 4 2 2 2 3 3" xfId="43111" xr:uid="{00000000-0005-0000-0000-0000B4A70000}"/>
    <cellStyle name="Note 4 2 2 2 3 3 2" xfId="43112" xr:uid="{00000000-0005-0000-0000-0000B5A70000}"/>
    <cellStyle name="Note 4 2 2 2 3 4" xfId="43113" xr:uid="{00000000-0005-0000-0000-0000B6A70000}"/>
    <cellStyle name="Note 4 2 2 2 3 5" xfId="43114" xr:uid="{00000000-0005-0000-0000-0000B7A70000}"/>
    <cellStyle name="Note 4 2 2 2 3 6" xfId="43115" xr:uid="{00000000-0005-0000-0000-0000B8A70000}"/>
    <cellStyle name="Note 4 2 2 2 4" xfId="43116" xr:uid="{00000000-0005-0000-0000-0000B9A70000}"/>
    <cellStyle name="Note 4 2 2 2 4 2" xfId="43117" xr:uid="{00000000-0005-0000-0000-0000BAA70000}"/>
    <cellStyle name="Note 4 2 2 2 5" xfId="43118" xr:uid="{00000000-0005-0000-0000-0000BBA70000}"/>
    <cellStyle name="Note 4 2 2 2 5 2" xfId="43119" xr:uid="{00000000-0005-0000-0000-0000BCA70000}"/>
    <cellStyle name="Note 4 2 2 2 6" xfId="43120" xr:uid="{00000000-0005-0000-0000-0000BDA70000}"/>
    <cellStyle name="Note 4 2 2 2 7" xfId="43121" xr:uid="{00000000-0005-0000-0000-0000BEA70000}"/>
    <cellStyle name="Note 4 2 2 2 8" xfId="43122" xr:uid="{00000000-0005-0000-0000-0000BFA70000}"/>
    <cellStyle name="Note 4 2 2 3" xfId="43123" xr:uid="{00000000-0005-0000-0000-0000C0A70000}"/>
    <cellStyle name="Note 4 2 2 3 2" xfId="43124" xr:uid="{00000000-0005-0000-0000-0000C1A70000}"/>
    <cellStyle name="Note 4 2 2 3 2 2" xfId="43125" xr:uid="{00000000-0005-0000-0000-0000C2A70000}"/>
    <cellStyle name="Note 4 2 2 3 2 2 2" xfId="43126" xr:uid="{00000000-0005-0000-0000-0000C3A70000}"/>
    <cellStyle name="Note 4 2 2 3 2 3" xfId="43127" xr:uid="{00000000-0005-0000-0000-0000C4A70000}"/>
    <cellStyle name="Note 4 2 2 3 2 3 2" xfId="43128" xr:uid="{00000000-0005-0000-0000-0000C5A70000}"/>
    <cellStyle name="Note 4 2 2 3 2 4" xfId="43129" xr:uid="{00000000-0005-0000-0000-0000C6A70000}"/>
    <cellStyle name="Note 4 2 2 3 2 5" xfId="43130" xr:uid="{00000000-0005-0000-0000-0000C7A70000}"/>
    <cellStyle name="Note 4 2 2 3 2 6" xfId="43131" xr:uid="{00000000-0005-0000-0000-0000C8A70000}"/>
    <cellStyle name="Note 4 2 2 3 3" xfId="43132" xr:uid="{00000000-0005-0000-0000-0000C9A70000}"/>
    <cellStyle name="Note 4 2 2 3 3 2" xfId="43133" xr:uid="{00000000-0005-0000-0000-0000CAA70000}"/>
    <cellStyle name="Note 4 2 2 3 4" xfId="43134" xr:uid="{00000000-0005-0000-0000-0000CBA70000}"/>
    <cellStyle name="Note 4 2 2 3 4 2" xfId="43135" xr:uid="{00000000-0005-0000-0000-0000CCA70000}"/>
    <cellStyle name="Note 4 2 2 3 5" xfId="43136" xr:uid="{00000000-0005-0000-0000-0000CDA70000}"/>
    <cellStyle name="Note 4 2 2 3 6" xfId="43137" xr:uid="{00000000-0005-0000-0000-0000CEA70000}"/>
    <cellStyle name="Note 4 2 2 3 7" xfId="43138" xr:uid="{00000000-0005-0000-0000-0000CFA70000}"/>
    <cellStyle name="Note 4 2 2 4" xfId="43139" xr:uid="{00000000-0005-0000-0000-0000D0A70000}"/>
    <cellStyle name="Note 4 2 2 4 2" xfId="43140" xr:uid="{00000000-0005-0000-0000-0000D1A70000}"/>
    <cellStyle name="Note 4 2 2 4 2 2" xfId="43141" xr:uid="{00000000-0005-0000-0000-0000D2A70000}"/>
    <cellStyle name="Note 4 2 2 4 3" xfId="43142" xr:uid="{00000000-0005-0000-0000-0000D3A70000}"/>
    <cellStyle name="Note 4 2 2 4 3 2" xfId="43143" xr:uid="{00000000-0005-0000-0000-0000D4A70000}"/>
    <cellStyle name="Note 4 2 2 4 4" xfId="43144" xr:uid="{00000000-0005-0000-0000-0000D5A70000}"/>
    <cellStyle name="Note 4 2 2 4 5" xfId="43145" xr:uid="{00000000-0005-0000-0000-0000D6A70000}"/>
    <cellStyle name="Note 4 2 2 4 6" xfId="43146" xr:uid="{00000000-0005-0000-0000-0000D7A70000}"/>
    <cellStyle name="Note 4 2 2 5" xfId="43147" xr:uid="{00000000-0005-0000-0000-0000D8A70000}"/>
    <cellStyle name="Note 4 2 2 5 2" xfId="43148" xr:uid="{00000000-0005-0000-0000-0000D9A70000}"/>
    <cellStyle name="Note 4 2 2 6" xfId="43149" xr:uid="{00000000-0005-0000-0000-0000DAA70000}"/>
    <cellStyle name="Note 4 2 2 6 2" xfId="43150" xr:uid="{00000000-0005-0000-0000-0000DBA70000}"/>
    <cellStyle name="Note 4 2 2 7" xfId="43151" xr:uid="{00000000-0005-0000-0000-0000DCA70000}"/>
    <cellStyle name="Note 4 2 2 8" xfId="43152" xr:uid="{00000000-0005-0000-0000-0000DDA70000}"/>
    <cellStyle name="Note 4 2 2 9" xfId="43153" xr:uid="{00000000-0005-0000-0000-0000DEA70000}"/>
    <cellStyle name="Note 4 2 3" xfId="43154" xr:uid="{00000000-0005-0000-0000-0000DFA70000}"/>
    <cellStyle name="Note 4 2 3 2" xfId="43155" xr:uid="{00000000-0005-0000-0000-0000E0A70000}"/>
    <cellStyle name="Note 4 2 3 2 2" xfId="43156" xr:uid="{00000000-0005-0000-0000-0000E1A70000}"/>
    <cellStyle name="Note 4 2 3 2 2 2" xfId="43157" xr:uid="{00000000-0005-0000-0000-0000E2A70000}"/>
    <cellStyle name="Note 4 2 3 2 2 2 2" xfId="43158" xr:uid="{00000000-0005-0000-0000-0000E3A70000}"/>
    <cellStyle name="Note 4 2 3 2 2 3" xfId="43159" xr:uid="{00000000-0005-0000-0000-0000E4A70000}"/>
    <cellStyle name="Note 4 2 3 2 2 3 2" xfId="43160" xr:uid="{00000000-0005-0000-0000-0000E5A70000}"/>
    <cellStyle name="Note 4 2 3 2 2 4" xfId="43161" xr:uid="{00000000-0005-0000-0000-0000E6A70000}"/>
    <cellStyle name="Note 4 2 3 2 2 5" xfId="43162" xr:uid="{00000000-0005-0000-0000-0000E7A70000}"/>
    <cellStyle name="Note 4 2 3 2 2 6" xfId="43163" xr:uid="{00000000-0005-0000-0000-0000E8A70000}"/>
    <cellStyle name="Note 4 2 3 2 3" xfId="43164" xr:uid="{00000000-0005-0000-0000-0000E9A70000}"/>
    <cellStyle name="Note 4 2 3 2 3 2" xfId="43165" xr:uid="{00000000-0005-0000-0000-0000EAA70000}"/>
    <cellStyle name="Note 4 2 3 2 4" xfId="43166" xr:uid="{00000000-0005-0000-0000-0000EBA70000}"/>
    <cellStyle name="Note 4 2 3 2 4 2" xfId="43167" xr:uid="{00000000-0005-0000-0000-0000ECA70000}"/>
    <cellStyle name="Note 4 2 3 2 5" xfId="43168" xr:uid="{00000000-0005-0000-0000-0000EDA70000}"/>
    <cellStyle name="Note 4 2 3 2 6" xfId="43169" xr:uid="{00000000-0005-0000-0000-0000EEA70000}"/>
    <cellStyle name="Note 4 2 3 2 7" xfId="43170" xr:uid="{00000000-0005-0000-0000-0000EFA70000}"/>
    <cellStyle name="Note 4 2 3 3" xfId="43171" xr:uid="{00000000-0005-0000-0000-0000F0A70000}"/>
    <cellStyle name="Note 4 2 3 3 2" xfId="43172" xr:uid="{00000000-0005-0000-0000-0000F1A70000}"/>
    <cellStyle name="Note 4 2 3 3 2 2" xfId="43173" xr:uid="{00000000-0005-0000-0000-0000F2A70000}"/>
    <cellStyle name="Note 4 2 3 3 3" xfId="43174" xr:uid="{00000000-0005-0000-0000-0000F3A70000}"/>
    <cellStyle name="Note 4 2 3 3 3 2" xfId="43175" xr:uid="{00000000-0005-0000-0000-0000F4A70000}"/>
    <cellStyle name="Note 4 2 3 3 4" xfId="43176" xr:uid="{00000000-0005-0000-0000-0000F5A70000}"/>
    <cellStyle name="Note 4 2 3 3 5" xfId="43177" xr:uid="{00000000-0005-0000-0000-0000F6A70000}"/>
    <cellStyle name="Note 4 2 3 3 6" xfId="43178" xr:uid="{00000000-0005-0000-0000-0000F7A70000}"/>
    <cellStyle name="Note 4 2 3 4" xfId="43179" xr:uid="{00000000-0005-0000-0000-0000F8A70000}"/>
    <cellStyle name="Note 4 2 3 4 2" xfId="43180" xr:uid="{00000000-0005-0000-0000-0000F9A70000}"/>
    <cellStyle name="Note 4 2 3 5" xfId="43181" xr:uid="{00000000-0005-0000-0000-0000FAA70000}"/>
    <cellStyle name="Note 4 2 3 5 2" xfId="43182" xr:uid="{00000000-0005-0000-0000-0000FBA70000}"/>
    <cellStyle name="Note 4 2 3 6" xfId="43183" xr:uid="{00000000-0005-0000-0000-0000FCA70000}"/>
    <cellStyle name="Note 4 2 3 7" xfId="43184" xr:uid="{00000000-0005-0000-0000-0000FDA70000}"/>
    <cellStyle name="Note 4 2 3 8" xfId="43185" xr:uid="{00000000-0005-0000-0000-0000FEA70000}"/>
    <cellStyle name="Note 4 2 4" xfId="43186" xr:uid="{00000000-0005-0000-0000-0000FFA70000}"/>
    <cellStyle name="Note 4 2 4 2" xfId="43187" xr:uid="{00000000-0005-0000-0000-000000A80000}"/>
    <cellStyle name="Note 4 2 4 2 2" xfId="43188" xr:uid="{00000000-0005-0000-0000-000001A80000}"/>
    <cellStyle name="Note 4 2 4 2 2 2" xfId="43189" xr:uid="{00000000-0005-0000-0000-000002A80000}"/>
    <cellStyle name="Note 4 2 4 2 3" xfId="43190" xr:uid="{00000000-0005-0000-0000-000003A80000}"/>
    <cellStyle name="Note 4 2 4 2 3 2" xfId="43191" xr:uid="{00000000-0005-0000-0000-000004A80000}"/>
    <cellStyle name="Note 4 2 4 2 4" xfId="43192" xr:uid="{00000000-0005-0000-0000-000005A80000}"/>
    <cellStyle name="Note 4 2 4 2 5" xfId="43193" xr:uid="{00000000-0005-0000-0000-000006A80000}"/>
    <cellStyle name="Note 4 2 4 2 6" xfId="43194" xr:uid="{00000000-0005-0000-0000-000007A80000}"/>
    <cellStyle name="Note 4 2 4 3" xfId="43195" xr:uid="{00000000-0005-0000-0000-000008A80000}"/>
    <cellStyle name="Note 4 2 4 3 2" xfId="43196" xr:uid="{00000000-0005-0000-0000-000009A80000}"/>
    <cellStyle name="Note 4 2 4 4" xfId="43197" xr:uid="{00000000-0005-0000-0000-00000AA80000}"/>
    <cellStyle name="Note 4 2 4 4 2" xfId="43198" xr:uid="{00000000-0005-0000-0000-00000BA80000}"/>
    <cellStyle name="Note 4 2 4 5" xfId="43199" xr:uid="{00000000-0005-0000-0000-00000CA80000}"/>
    <cellStyle name="Note 4 2 4 6" xfId="43200" xr:uid="{00000000-0005-0000-0000-00000DA80000}"/>
    <cellStyle name="Note 4 2 4 7" xfId="43201" xr:uid="{00000000-0005-0000-0000-00000EA80000}"/>
    <cellStyle name="Note 4 2 5" xfId="43202" xr:uid="{00000000-0005-0000-0000-00000FA80000}"/>
    <cellStyle name="Note 4 2 5 2" xfId="43203" xr:uid="{00000000-0005-0000-0000-000010A80000}"/>
    <cellStyle name="Note 4 2 5 2 2" xfId="43204" xr:uid="{00000000-0005-0000-0000-000011A80000}"/>
    <cellStyle name="Note 4 2 5 3" xfId="43205" xr:uid="{00000000-0005-0000-0000-000012A80000}"/>
    <cellStyle name="Note 4 2 5 3 2" xfId="43206" xr:uid="{00000000-0005-0000-0000-000013A80000}"/>
    <cellStyle name="Note 4 2 5 4" xfId="43207" xr:uid="{00000000-0005-0000-0000-000014A80000}"/>
    <cellStyle name="Note 4 2 5 5" xfId="43208" xr:uid="{00000000-0005-0000-0000-000015A80000}"/>
    <cellStyle name="Note 4 2 5 6" xfId="43209" xr:uid="{00000000-0005-0000-0000-000016A80000}"/>
    <cellStyle name="Note 4 2 6" xfId="43210" xr:uid="{00000000-0005-0000-0000-000017A80000}"/>
    <cellStyle name="Note 4 2 6 2" xfId="43211" xr:uid="{00000000-0005-0000-0000-000018A80000}"/>
    <cellStyle name="Note 4 2 7" xfId="43212" xr:uid="{00000000-0005-0000-0000-000019A80000}"/>
    <cellStyle name="Note 4 2 7 2" xfId="43213" xr:uid="{00000000-0005-0000-0000-00001AA80000}"/>
    <cellStyle name="Note 4 2 8" xfId="43214" xr:uid="{00000000-0005-0000-0000-00001BA80000}"/>
    <cellStyle name="Note 4 2 9" xfId="43215" xr:uid="{00000000-0005-0000-0000-00001CA80000}"/>
    <cellStyle name="Note 4 3" xfId="43216" xr:uid="{00000000-0005-0000-0000-00001DA80000}"/>
    <cellStyle name="Note 4 3 2" xfId="43217" xr:uid="{00000000-0005-0000-0000-00001EA80000}"/>
    <cellStyle name="Note 4 3 2 2" xfId="43218" xr:uid="{00000000-0005-0000-0000-00001FA80000}"/>
    <cellStyle name="Note 4 3 2 2 2" xfId="43219" xr:uid="{00000000-0005-0000-0000-000020A80000}"/>
    <cellStyle name="Note 4 3 2 2 2 2" xfId="43220" xr:uid="{00000000-0005-0000-0000-000021A80000}"/>
    <cellStyle name="Note 4 3 2 2 2 2 2" xfId="43221" xr:uid="{00000000-0005-0000-0000-000022A80000}"/>
    <cellStyle name="Note 4 3 2 2 2 3" xfId="43222" xr:uid="{00000000-0005-0000-0000-000023A80000}"/>
    <cellStyle name="Note 4 3 2 2 2 3 2" xfId="43223" xr:uid="{00000000-0005-0000-0000-000024A80000}"/>
    <cellStyle name="Note 4 3 2 2 2 4" xfId="43224" xr:uid="{00000000-0005-0000-0000-000025A80000}"/>
    <cellStyle name="Note 4 3 2 2 2 5" xfId="43225" xr:uid="{00000000-0005-0000-0000-000026A80000}"/>
    <cellStyle name="Note 4 3 2 2 2 6" xfId="43226" xr:uid="{00000000-0005-0000-0000-000027A80000}"/>
    <cellStyle name="Note 4 3 2 2 3" xfId="43227" xr:uid="{00000000-0005-0000-0000-000028A80000}"/>
    <cellStyle name="Note 4 3 2 2 3 2" xfId="43228" xr:uid="{00000000-0005-0000-0000-000029A80000}"/>
    <cellStyle name="Note 4 3 2 2 4" xfId="43229" xr:uid="{00000000-0005-0000-0000-00002AA80000}"/>
    <cellStyle name="Note 4 3 2 2 4 2" xfId="43230" xr:uid="{00000000-0005-0000-0000-00002BA80000}"/>
    <cellStyle name="Note 4 3 2 2 5" xfId="43231" xr:uid="{00000000-0005-0000-0000-00002CA80000}"/>
    <cellStyle name="Note 4 3 2 2 6" xfId="43232" xr:uid="{00000000-0005-0000-0000-00002DA80000}"/>
    <cellStyle name="Note 4 3 2 2 7" xfId="43233" xr:uid="{00000000-0005-0000-0000-00002EA80000}"/>
    <cellStyle name="Note 4 3 2 3" xfId="43234" xr:uid="{00000000-0005-0000-0000-00002FA80000}"/>
    <cellStyle name="Note 4 3 2 3 2" xfId="43235" xr:uid="{00000000-0005-0000-0000-000030A80000}"/>
    <cellStyle name="Note 4 3 2 3 2 2" xfId="43236" xr:uid="{00000000-0005-0000-0000-000031A80000}"/>
    <cellStyle name="Note 4 3 2 3 3" xfId="43237" xr:uid="{00000000-0005-0000-0000-000032A80000}"/>
    <cellStyle name="Note 4 3 2 3 3 2" xfId="43238" xr:uid="{00000000-0005-0000-0000-000033A80000}"/>
    <cellStyle name="Note 4 3 2 3 4" xfId="43239" xr:uid="{00000000-0005-0000-0000-000034A80000}"/>
    <cellStyle name="Note 4 3 2 3 5" xfId="43240" xr:uid="{00000000-0005-0000-0000-000035A80000}"/>
    <cellStyle name="Note 4 3 2 3 6" xfId="43241" xr:uid="{00000000-0005-0000-0000-000036A80000}"/>
    <cellStyle name="Note 4 3 2 4" xfId="43242" xr:uid="{00000000-0005-0000-0000-000037A80000}"/>
    <cellStyle name="Note 4 3 2 4 2" xfId="43243" xr:uid="{00000000-0005-0000-0000-000038A80000}"/>
    <cellStyle name="Note 4 3 2 5" xfId="43244" xr:uid="{00000000-0005-0000-0000-000039A80000}"/>
    <cellStyle name="Note 4 3 2 5 2" xfId="43245" xr:uid="{00000000-0005-0000-0000-00003AA80000}"/>
    <cellStyle name="Note 4 3 2 6" xfId="43246" xr:uid="{00000000-0005-0000-0000-00003BA80000}"/>
    <cellStyle name="Note 4 3 2 7" xfId="43247" xr:uid="{00000000-0005-0000-0000-00003CA80000}"/>
    <cellStyle name="Note 4 3 2 8" xfId="43248" xr:uid="{00000000-0005-0000-0000-00003DA80000}"/>
    <cellStyle name="Note 4 3 3" xfId="43249" xr:uid="{00000000-0005-0000-0000-00003EA80000}"/>
    <cellStyle name="Note 4 3 3 2" xfId="43250" xr:uid="{00000000-0005-0000-0000-00003FA80000}"/>
    <cellStyle name="Note 4 3 3 2 2" xfId="43251" xr:uid="{00000000-0005-0000-0000-000040A80000}"/>
    <cellStyle name="Note 4 3 3 2 2 2" xfId="43252" xr:uid="{00000000-0005-0000-0000-000041A80000}"/>
    <cellStyle name="Note 4 3 3 2 3" xfId="43253" xr:uid="{00000000-0005-0000-0000-000042A80000}"/>
    <cellStyle name="Note 4 3 3 2 3 2" xfId="43254" xr:uid="{00000000-0005-0000-0000-000043A80000}"/>
    <cellStyle name="Note 4 3 3 2 4" xfId="43255" xr:uid="{00000000-0005-0000-0000-000044A80000}"/>
    <cellStyle name="Note 4 3 3 2 5" xfId="43256" xr:uid="{00000000-0005-0000-0000-000045A80000}"/>
    <cellStyle name="Note 4 3 3 2 6" xfId="43257" xr:uid="{00000000-0005-0000-0000-000046A80000}"/>
    <cellStyle name="Note 4 3 3 3" xfId="43258" xr:uid="{00000000-0005-0000-0000-000047A80000}"/>
    <cellStyle name="Note 4 3 3 3 2" xfId="43259" xr:uid="{00000000-0005-0000-0000-000048A80000}"/>
    <cellStyle name="Note 4 3 3 4" xfId="43260" xr:uid="{00000000-0005-0000-0000-000049A80000}"/>
    <cellStyle name="Note 4 3 3 4 2" xfId="43261" xr:uid="{00000000-0005-0000-0000-00004AA80000}"/>
    <cellStyle name="Note 4 3 3 5" xfId="43262" xr:uid="{00000000-0005-0000-0000-00004BA80000}"/>
    <cellStyle name="Note 4 3 3 6" xfId="43263" xr:uid="{00000000-0005-0000-0000-00004CA80000}"/>
    <cellStyle name="Note 4 3 3 7" xfId="43264" xr:uid="{00000000-0005-0000-0000-00004DA80000}"/>
    <cellStyle name="Note 4 3 4" xfId="43265" xr:uid="{00000000-0005-0000-0000-00004EA80000}"/>
    <cellStyle name="Note 4 3 4 2" xfId="43266" xr:uid="{00000000-0005-0000-0000-00004FA80000}"/>
    <cellStyle name="Note 4 3 4 2 2" xfId="43267" xr:uid="{00000000-0005-0000-0000-000050A80000}"/>
    <cellStyle name="Note 4 3 4 3" xfId="43268" xr:uid="{00000000-0005-0000-0000-000051A80000}"/>
    <cellStyle name="Note 4 3 4 3 2" xfId="43269" xr:uid="{00000000-0005-0000-0000-000052A80000}"/>
    <cellStyle name="Note 4 3 4 4" xfId="43270" xr:uid="{00000000-0005-0000-0000-000053A80000}"/>
    <cellStyle name="Note 4 3 4 5" xfId="43271" xr:uid="{00000000-0005-0000-0000-000054A80000}"/>
    <cellStyle name="Note 4 3 4 6" xfId="43272" xr:uid="{00000000-0005-0000-0000-000055A80000}"/>
    <cellStyle name="Note 4 3 5" xfId="43273" xr:uid="{00000000-0005-0000-0000-000056A80000}"/>
    <cellStyle name="Note 4 3 5 2" xfId="43274" xr:uid="{00000000-0005-0000-0000-000057A80000}"/>
    <cellStyle name="Note 4 3 6" xfId="43275" xr:uid="{00000000-0005-0000-0000-000058A80000}"/>
    <cellStyle name="Note 4 3 6 2" xfId="43276" xr:uid="{00000000-0005-0000-0000-000059A80000}"/>
    <cellStyle name="Note 4 3 7" xfId="43277" xr:uid="{00000000-0005-0000-0000-00005AA80000}"/>
    <cellStyle name="Note 4 3 8" xfId="43278" xr:uid="{00000000-0005-0000-0000-00005BA80000}"/>
    <cellStyle name="Note 4 3 9" xfId="43279" xr:uid="{00000000-0005-0000-0000-00005CA80000}"/>
    <cellStyle name="Note 4 4" xfId="43280" xr:uid="{00000000-0005-0000-0000-00005DA80000}"/>
    <cellStyle name="Note 4 4 2" xfId="43281" xr:uid="{00000000-0005-0000-0000-00005EA80000}"/>
    <cellStyle name="Note 4 4 2 2" xfId="43282" xr:uid="{00000000-0005-0000-0000-00005FA80000}"/>
    <cellStyle name="Note 4 4 2 2 2" xfId="43283" xr:uid="{00000000-0005-0000-0000-000060A80000}"/>
    <cellStyle name="Note 4 4 2 2 2 2" xfId="43284" xr:uid="{00000000-0005-0000-0000-000061A80000}"/>
    <cellStyle name="Note 4 4 2 2 3" xfId="43285" xr:uid="{00000000-0005-0000-0000-000062A80000}"/>
    <cellStyle name="Note 4 4 2 2 3 2" xfId="43286" xr:uid="{00000000-0005-0000-0000-000063A80000}"/>
    <cellStyle name="Note 4 4 2 2 4" xfId="43287" xr:uid="{00000000-0005-0000-0000-000064A80000}"/>
    <cellStyle name="Note 4 4 2 2 5" xfId="43288" xr:uid="{00000000-0005-0000-0000-000065A80000}"/>
    <cellStyle name="Note 4 4 2 2 6" xfId="43289" xr:uid="{00000000-0005-0000-0000-000066A80000}"/>
    <cellStyle name="Note 4 4 2 3" xfId="43290" xr:uid="{00000000-0005-0000-0000-000067A80000}"/>
    <cellStyle name="Note 4 4 2 3 2" xfId="43291" xr:uid="{00000000-0005-0000-0000-000068A80000}"/>
    <cellStyle name="Note 4 4 2 4" xfId="43292" xr:uid="{00000000-0005-0000-0000-000069A80000}"/>
    <cellStyle name="Note 4 4 2 4 2" xfId="43293" xr:uid="{00000000-0005-0000-0000-00006AA80000}"/>
    <cellStyle name="Note 4 4 2 5" xfId="43294" xr:uid="{00000000-0005-0000-0000-00006BA80000}"/>
    <cellStyle name="Note 4 4 2 6" xfId="43295" xr:uid="{00000000-0005-0000-0000-00006CA80000}"/>
    <cellStyle name="Note 4 4 2 7" xfId="43296" xr:uid="{00000000-0005-0000-0000-00006DA80000}"/>
    <cellStyle name="Note 4 4 3" xfId="43297" xr:uid="{00000000-0005-0000-0000-00006EA80000}"/>
    <cellStyle name="Note 4 4 3 2" xfId="43298" xr:uid="{00000000-0005-0000-0000-00006FA80000}"/>
    <cellStyle name="Note 4 4 3 2 2" xfId="43299" xr:uid="{00000000-0005-0000-0000-000070A80000}"/>
    <cellStyle name="Note 4 4 3 3" xfId="43300" xr:uid="{00000000-0005-0000-0000-000071A80000}"/>
    <cellStyle name="Note 4 4 3 3 2" xfId="43301" xr:uid="{00000000-0005-0000-0000-000072A80000}"/>
    <cellStyle name="Note 4 4 3 4" xfId="43302" xr:uid="{00000000-0005-0000-0000-000073A80000}"/>
    <cellStyle name="Note 4 4 3 5" xfId="43303" xr:uid="{00000000-0005-0000-0000-000074A80000}"/>
    <cellStyle name="Note 4 4 3 6" xfId="43304" xr:uid="{00000000-0005-0000-0000-000075A80000}"/>
    <cellStyle name="Note 4 4 4" xfId="43305" xr:uid="{00000000-0005-0000-0000-000076A80000}"/>
    <cellStyle name="Note 4 4 4 2" xfId="43306" xr:uid="{00000000-0005-0000-0000-000077A80000}"/>
    <cellStyle name="Note 4 4 5" xfId="43307" xr:uid="{00000000-0005-0000-0000-000078A80000}"/>
    <cellStyle name="Note 4 4 5 2" xfId="43308" xr:uid="{00000000-0005-0000-0000-000079A80000}"/>
    <cellStyle name="Note 4 4 6" xfId="43309" xr:uid="{00000000-0005-0000-0000-00007AA80000}"/>
    <cellStyle name="Note 4 4 7" xfId="43310" xr:uid="{00000000-0005-0000-0000-00007BA80000}"/>
    <cellStyle name="Note 4 4 8" xfId="43311" xr:uid="{00000000-0005-0000-0000-00007CA80000}"/>
    <cellStyle name="Note 4 5" xfId="43312" xr:uid="{00000000-0005-0000-0000-00007DA80000}"/>
    <cellStyle name="Note 4 5 2" xfId="43313" xr:uid="{00000000-0005-0000-0000-00007EA80000}"/>
    <cellStyle name="Note 4 5 2 2" xfId="43314" xr:uid="{00000000-0005-0000-0000-00007FA80000}"/>
    <cellStyle name="Note 4 5 2 2 2" xfId="43315" xr:uid="{00000000-0005-0000-0000-000080A80000}"/>
    <cellStyle name="Note 4 5 2 3" xfId="43316" xr:uid="{00000000-0005-0000-0000-000081A80000}"/>
    <cellStyle name="Note 4 5 2 3 2" xfId="43317" xr:uid="{00000000-0005-0000-0000-000082A80000}"/>
    <cellStyle name="Note 4 5 2 4" xfId="43318" xr:uid="{00000000-0005-0000-0000-000083A80000}"/>
    <cellStyle name="Note 4 5 2 5" xfId="43319" xr:uid="{00000000-0005-0000-0000-000084A80000}"/>
    <cellStyle name="Note 4 5 2 6" xfId="43320" xr:uid="{00000000-0005-0000-0000-000085A80000}"/>
    <cellStyle name="Note 4 5 3" xfId="43321" xr:uid="{00000000-0005-0000-0000-000086A80000}"/>
    <cellStyle name="Note 4 5 3 2" xfId="43322" xr:uid="{00000000-0005-0000-0000-000087A80000}"/>
    <cellStyle name="Note 4 5 4" xfId="43323" xr:uid="{00000000-0005-0000-0000-000088A80000}"/>
    <cellStyle name="Note 4 5 4 2" xfId="43324" xr:uid="{00000000-0005-0000-0000-000089A80000}"/>
    <cellStyle name="Note 4 5 5" xfId="43325" xr:uid="{00000000-0005-0000-0000-00008AA80000}"/>
    <cellStyle name="Note 4 5 6" xfId="43326" xr:uid="{00000000-0005-0000-0000-00008BA80000}"/>
    <cellStyle name="Note 4 5 7" xfId="43327" xr:uid="{00000000-0005-0000-0000-00008CA80000}"/>
    <cellStyle name="Note 4 6" xfId="43328" xr:uid="{00000000-0005-0000-0000-00008DA80000}"/>
    <cellStyle name="Note 4 6 2" xfId="43329" xr:uid="{00000000-0005-0000-0000-00008EA80000}"/>
    <cellStyle name="Note 4 6 2 2" xfId="43330" xr:uid="{00000000-0005-0000-0000-00008FA80000}"/>
    <cellStyle name="Note 4 6 3" xfId="43331" xr:uid="{00000000-0005-0000-0000-000090A80000}"/>
    <cellStyle name="Note 4 6 3 2" xfId="43332" xr:uid="{00000000-0005-0000-0000-000091A80000}"/>
    <cellStyle name="Note 4 6 4" xfId="43333" xr:uid="{00000000-0005-0000-0000-000092A80000}"/>
    <cellStyle name="Note 4 6 5" xfId="43334" xr:uid="{00000000-0005-0000-0000-000093A80000}"/>
    <cellStyle name="Note 4 6 6" xfId="43335" xr:uid="{00000000-0005-0000-0000-000094A80000}"/>
    <cellStyle name="Note 4 7" xfId="43336" xr:uid="{00000000-0005-0000-0000-000095A80000}"/>
    <cellStyle name="Note 4 7 2" xfId="43337" xr:uid="{00000000-0005-0000-0000-000096A80000}"/>
    <cellStyle name="Note 4 8" xfId="43338" xr:uid="{00000000-0005-0000-0000-000097A80000}"/>
    <cellStyle name="Note 4 8 2" xfId="43339" xr:uid="{00000000-0005-0000-0000-000098A80000}"/>
    <cellStyle name="Note 4 9" xfId="43340" xr:uid="{00000000-0005-0000-0000-000099A80000}"/>
    <cellStyle name="Note 5" xfId="43341" xr:uid="{00000000-0005-0000-0000-00009AA80000}"/>
    <cellStyle name="Note 5 2" xfId="43342" xr:uid="{00000000-0005-0000-0000-00009BA80000}"/>
    <cellStyle name="Note 5 2 2" xfId="43343" xr:uid="{00000000-0005-0000-0000-00009CA80000}"/>
    <cellStyle name="Note 5 2 2 2" xfId="43344" xr:uid="{00000000-0005-0000-0000-00009DA80000}"/>
    <cellStyle name="Note 5 2 2 2 2" xfId="43345" xr:uid="{00000000-0005-0000-0000-00009EA80000}"/>
    <cellStyle name="Note 5 2 2 2 2 2" xfId="43346" xr:uid="{00000000-0005-0000-0000-00009FA80000}"/>
    <cellStyle name="Note 5 2 2 2 3" xfId="43347" xr:uid="{00000000-0005-0000-0000-0000A0A80000}"/>
    <cellStyle name="Note 5 2 2 2 3 2" xfId="43348" xr:uid="{00000000-0005-0000-0000-0000A1A80000}"/>
    <cellStyle name="Note 5 2 2 2 4" xfId="43349" xr:uid="{00000000-0005-0000-0000-0000A2A80000}"/>
    <cellStyle name="Note 5 2 2 2 5" xfId="43350" xr:uid="{00000000-0005-0000-0000-0000A3A80000}"/>
    <cellStyle name="Note 5 2 2 2 6" xfId="43351" xr:uid="{00000000-0005-0000-0000-0000A4A80000}"/>
    <cellStyle name="Note 5 2 2 3" xfId="43352" xr:uid="{00000000-0005-0000-0000-0000A5A80000}"/>
    <cellStyle name="Note 5 2 2 3 2" xfId="43353" xr:uid="{00000000-0005-0000-0000-0000A6A80000}"/>
    <cellStyle name="Note 5 2 2 4" xfId="43354" xr:uid="{00000000-0005-0000-0000-0000A7A80000}"/>
    <cellStyle name="Note 5 2 2 4 2" xfId="43355" xr:uid="{00000000-0005-0000-0000-0000A8A80000}"/>
    <cellStyle name="Note 5 2 2 5" xfId="43356" xr:uid="{00000000-0005-0000-0000-0000A9A80000}"/>
    <cellStyle name="Note 5 2 2 6" xfId="43357" xr:uid="{00000000-0005-0000-0000-0000AAA80000}"/>
    <cellStyle name="Note 5 2 2 7" xfId="43358" xr:uid="{00000000-0005-0000-0000-0000ABA80000}"/>
    <cellStyle name="Note 5 2 3" xfId="43359" xr:uid="{00000000-0005-0000-0000-0000ACA80000}"/>
    <cellStyle name="Note 5 2 3 2" xfId="43360" xr:uid="{00000000-0005-0000-0000-0000ADA80000}"/>
    <cellStyle name="Note 5 2 3 2 2" xfId="43361" xr:uid="{00000000-0005-0000-0000-0000AEA80000}"/>
    <cellStyle name="Note 5 2 3 3" xfId="43362" xr:uid="{00000000-0005-0000-0000-0000AFA80000}"/>
    <cellStyle name="Note 5 2 3 3 2" xfId="43363" xr:uid="{00000000-0005-0000-0000-0000B0A80000}"/>
    <cellStyle name="Note 5 2 3 4" xfId="43364" xr:uid="{00000000-0005-0000-0000-0000B1A80000}"/>
    <cellStyle name="Note 5 2 3 5" xfId="43365" xr:uid="{00000000-0005-0000-0000-0000B2A80000}"/>
    <cellStyle name="Note 5 2 3 6" xfId="43366" xr:uid="{00000000-0005-0000-0000-0000B3A80000}"/>
    <cellStyle name="Note 5 2 4" xfId="43367" xr:uid="{00000000-0005-0000-0000-0000B4A80000}"/>
    <cellStyle name="Note 5 2 4 2" xfId="43368" xr:uid="{00000000-0005-0000-0000-0000B5A80000}"/>
    <cellStyle name="Note 5 2 5" xfId="43369" xr:uid="{00000000-0005-0000-0000-0000B6A80000}"/>
    <cellStyle name="Note 5 2 5 2" xfId="43370" xr:uid="{00000000-0005-0000-0000-0000B7A80000}"/>
    <cellStyle name="Note 5 2 6" xfId="43371" xr:uid="{00000000-0005-0000-0000-0000B8A80000}"/>
    <cellStyle name="Note 5 2 7" xfId="43372" xr:uid="{00000000-0005-0000-0000-0000B9A80000}"/>
    <cellStyle name="Note 5 2 8" xfId="43373" xr:uid="{00000000-0005-0000-0000-0000BAA80000}"/>
    <cellStyle name="Note 5 3" xfId="43374" xr:uid="{00000000-0005-0000-0000-0000BBA80000}"/>
    <cellStyle name="Note 5 3 2" xfId="43375" xr:uid="{00000000-0005-0000-0000-0000BCA80000}"/>
    <cellStyle name="Note 5 3 2 2" xfId="43376" xr:uid="{00000000-0005-0000-0000-0000BDA80000}"/>
    <cellStyle name="Note 5 3 2 2 2" xfId="43377" xr:uid="{00000000-0005-0000-0000-0000BEA80000}"/>
    <cellStyle name="Note 5 3 2 3" xfId="43378" xr:uid="{00000000-0005-0000-0000-0000BFA80000}"/>
    <cellStyle name="Note 5 3 2 3 2" xfId="43379" xr:uid="{00000000-0005-0000-0000-0000C0A80000}"/>
    <cellStyle name="Note 5 3 2 4" xfId="43380" xr:uid="{00000000-0005-0000-0000-0000C1A80000}"/>
    <cellStyle name="Note 5 3 2 5" xfId="43381" xr:uid="{00000000-0005-0000-0000-0000C2A80000}"/>
    <cellStyle name="Note 5 3 2 6" xfId="43382" xr:uid="{00000000-0005-0000-0000-0000C3A80000}"/>
    <cellStyle name="Note 5 3 3" xfId="43383" xr:uid="{00000000-0005-0000-0000-0000C4A80000}"/>
    <cellStyle name="Note 5 3 3 2" xfId="43384" xr:uid="{00000000-0005-0000-0000-0000C5A80000}"/>
    <cellStyle name="Note 5 3 4" xfId="43385" xr:uid="{00000000-0005-0000-0000-0000C6A80000}"/>
    <cellStyle name="Note 5 3 4 2" xfId="43386" xr:uid="{00000000-0005-0000-0000-0000C7A80000}"/>
    <cellStyle name="Note 5 3 5" xfId="43387" xr:uid="{00000000-0005-0000-0000-0000C8A80000}"/>
    <cellStyle name="Note 5 3 6" xfId="43388" xr:uid="{00000000-0005-0000-0000-0000C9A80000}"/>
    <cellStyle name="Note 5 3 7" xfId="43389" xr:uid="{00000000-0005-0000-0000-0000CAA80000}"/>
    <cellStyle name="Note 5 4" xfId="43390" xr:uid="{00000000-0005-0000-0000-0000CBA80000}"/>
    <cellStyle name="Note 5 4 2" xfId="43391" xr:uid="{00000000-0005-0000-0000-0000CCA80000}"/>
    <cellStyle name="Note 5 4 2 2" xfId="43392" xr:uid="{00000000-0005-0000-0000-0000CDA80000}"/>
    <cellStyle name="Note 5 4 3" xfId="43393" xr:uid="{00000000-0005-0000-0000-0000CEA80000}"/>
    <cellStyle name="Note 5 4 3 2" xfId="43394" xr:uid="{00000000-0005-0000-0000-0000CFA80000}"/>
    <cellStyle name="Note 5 4 4" xfId="43395" xr:uid="{00000000-0005-0000-0000-0000D0A80000}"/>
    <cellStyle name="Note 5 4 5" xfId="43396" xr:uid="{00000000-0005-0000-0000-0000D1A80000}"/>
    <cellStyle name="Note 5 4 6" xfId="43397" xr:uid="{00000000-0005-0000-0000-0000D2A80000}"/>
    <cellStyle name="Note 5 5" xfId="43398" xr:uid="{00000000-0005-0000-0000-0000D3A80000}"/>
    <cellStyle name="Note 5 5 2" xfId="43399" xr:uid="{00000000-0005-0000-0000-0000D4A80000}"/>
    <cellStyle name="Note 5 6" xfId="43400" xr:uid="{00000000-0005-0000-0000-0000D5A80000}"/>
    <cellStyle name="Note 5 6 2" xfId="43401" xr:uid="{00000000-0005-0000-0000-0000D6A80000}"/>
    <cellStyle name="Note 5 7" xfId="43402" xr:uid="{00000000-0005-0000-0000-0000D7A80000}"/>
    <cellStyle name="Note 5 8" xfId="43403" xr:uid="{00000000-0005-0000-0000-0000D8A80000}"/>
    <cellStyle name="Note 5 9" xfId="43404" xr:uid="{00000000-0005-0000-0000-0000D9A80000}"/>
    <cellStyle name="Note 6" xfId="43405" xr:uid="{00000000-0005-0000-0000-0000DAA80000}"/>
    <cellStyle name="Note 6 2" xfId="43406" xr:uid="{00000000-0005-0000-0000-0000DBA80000}"/>
    <cellStyle name="Note 6 2 2" xfId="43407" xr:uid="{00000000-0005-0000-0000-0000DCA80000}"/>
    <cellStyle name="Note 6 2 2 2" xfId="43408" xr:uid="{00000000-0005-0000-0000-0000DDA80000}"/>
    <cellStyle name="Note 6 2 2 2 2" xfId="43409" xr:uid="{00000000-0005-0000-0000-0000DEA80000}"/>
    <cellStyle name="Note 6 2 2 3" xfId="43410" xr:uid="{00000000-0005-0000-0000-0000DFA80000}"/>
    <cellStyle name="Note 6 2 2 3 2" xfId="43411" xr:uid="{00000000-0005-0000-0000-0000E0A80000}"/>
    <cellStyle name="Note 6 2 2 4" xfId="43412" xr:uid="{00000000-0005-0000-0000-0000E1A80000}"/>
    <cellStyle name="Note 6 2 2 5" xfId="43413" xr:uid="{00000000-0005-0000-0000-0000E2A80000}"/>
    <cellStyle name="Note 6 2 2 6" xfId="43414" xr:uid="{00000000-0005-0000-0000-0000E3A80000}"/>
    <cellStyle name="Note 6 2 3" xfId="43415" xr:uid="{00000000-0005-0000-0000-0000E4A80000}"/>
    <cellStyle name="Note 6 2 3 2" xfId="43416" xr:uid="{00000000-0005-0000-0000-0000E5A80000}"/>
    <cellStyle name="Note 6 2 4" xfId="43417" xr:uid="{00000000-0005-0000-0000-0000E6A80000}"/>
    <cellStyle name="Note 6 2 4 2" xfId="43418" xr:uid="{00000000-0005-0000-0000-0000E7A80000}"/>
    <cellStyle name="Note 6 2 5" xfId="43419" xr:uid="{00000000-0005-0000-0000-0000E8A80000}"/>
    <cellStyle name="Note 6 2 6" xfId="43420" xr:uid="{00000000-0005-0000-0000-0000E9A80000}"/>
    <cellStyle name="Note 6 2 7" xfId="43421" xr:uid="{00000000-0005-0000-0000-0000EAA80000}"/>
    <cellStyle name="Note 6 3" xfId="43422" xr:uid="{00000000-0005-0000-0000-0000EBA80000}"/>
    <cellStyle name="Note 6 3 2" xfId="43423" xr:uid="{00000000-0005-0000-0000-0000ECA80000}"/>
    <cellStyle name="Note 6 3 2 2" xfId="43424" xr:uid="{00000000-0005-0000-0000-0000EDA80000}"/>
    <cellStyle name="Note 6 3 3" xfId="43425" xr:uid="{00000000-0005-0000-0000-0000EEA80000}"/>
    <cellStyle name="Note 6 3 3 2" xfId="43426" xr:uid="{00000000-0005-0000-0000-0000EFA80000}"/>
    <cellStyle name="Note 6 3 4" xfId="43427" xr:uid="{00000000-0005-0000-0000-0000F0A80000}"/>
    <cellStyle name="Note 6 3 5" xfId="43428" xr:uid="{00000000-0005-0000-0000-0000F1A80000}"/>
    <cellStyle name="Note 6 3 6" xfId="43429" xr:uid="{00000000-0005-0000-0000-0000F2A80000}"/>
    <cellStyle name="Note 6 4" xfId="43430" xr:uid="{00000000-0005-0000-0000-0000F3A80000}"/>
    <cellStyle name="Note 6 4 2" xfId="43431" xr:uid="{00000000-0005-0000-0000-0000F4A80000}"/>
    <cellStyle name="Note 6 5" xfId="43432" xr:uid="{00000000-0005-0000-0000-0000F5A80000}"/>
    <cellStyle name="Note 6 5 2" xfId="43433" xr:uid="{00000000-0005-0000-0000-0000F6A80000}"/>
    <cellStyle name="Note 6 6" xfId="43434" xr:uid="{00000000-0005-0000-0000-0000F7A80000}"/>
    <cellStyle name="Note 6 7" xfId="43435" xr:uid="{00000000-0005-0000-0000-0000F8A80000}"/>
    <cellStyle name="Note 6 8" xfId="43436" xr:uid="{00000000-0005-0000-0000-0000F9A80000}"/>
    <cellStyle name="Note 7" xfId="43437" xr:uid="{00000000-0005-0000-0000-0000FAA80000}"/>
    <cellStyle name="Note 7 2" xfId="43438" xr:uid="{00000000-0005-0000-0000-0000FBA80000}"/>
    <cellStyle name="Note 7 2 2" xfId="43439" xr:uid="{00000000-0005-0000-0000-0000FCA80000}"/>
    <cellStyle name="Note 7 2 2 2" xfId="43440" xr:uid="{00000000-0005-0000-0000-0000FDA80000}"/>
    <cellStyle name="Note 7 2 3" xfId="43441" xr:uid="{00000000-0005-0000-0000-0000FEA80000}"/>
    <cellStyle name="Note 7 2 3 2" xfId="43442" xr:uid="{00000000-0005-0000-0000-0000FFA80000}"/>
    <cellStyle name="Note 7 2 4" xfId="43443" xr:uid="{00000000-0005-0000-0000-000000A90000}"/>
    <cellStyle name="Note 7 2 5" xfId="43444" xr:uid="{00000000-0005-0000-0000-000001A90000}"/>
    <cellStyle name="Note 7 2 6" xfId="43445" xr:uid="{00000000-0005-0000-0000-000002A90000}"/>
    <cellStyle name="Note 7 3" xfId="43446" xr:uid="{00000000-0005-0000-0000-000003A90000}"/>
    <cellStyle name="Note 7 3 2" xfId="43447" xr:uid="{00000000-0005-0000-0000-000004A90000}"/>
    <cellStyle name="Note 7 4" xfId="43448" xr:uid="{00000000-0005-0000-0000-000005A90000}"/>
    <cellStyle name="Note 7 4 2" xfId="43449" xr:uid="{00000000-0005-0000-0000-000006A90000}"/>
    <cellStyle name="Note 7 5" xfId="43450" xr:uid="{00000000-0005-0000-0000-000007A90000}"/>
    <cellStyle name="Note 7 6" xfId="43451" xr:uid="{00000000-0005-0000-0000-000008A90000}"/>
    <cellStyle name="Note 7 7" xfId="43452" xr:uid="{00000000-0005-0000-0000-000009A90000}"/>
    <cellStyle name="Note 8" xfId="43453" xr:uid="{00000000-0005-0000-0000-00000AA90000}"/>
    <cellStyle name="Note 8 2" xfId="43454" xr:uid="{00000000-0005-0000-0000-00000BA90000}"/>
    <cellStyle name="Note 9" xfId="43455" xr:uid="{00000000-0005-0000-0000-00000CA90000}"/>
    <cellStyle name="Note 9 2" xfId="43456" xr:uid="{00000000-0005-0000-0000-00000DA90000}"/>
    <cellStyle name="NOTEWRAP" xfId="121" xr:uid="{00000000-0005-0000-0000-00000EA90000}"/>
    <cellStyle name="NOTEWRAP 2" xfId="43457" xr:uid="{00000000-0005-0000-0000-00000FA90000}"/>
    <cellStyle name="NOTEWRAP 3" xfId="43458" xr:uid="{00000000-0005-0000-0000-000010A90000}"/>
    <cellStyle name="NOTEWRAP 4" xfId="43459" xr:uid="{00000000-0005-0000-0000-000011A90000}"/>
    <cellStyle name="Output" xfId="43460" xr:uid="{00000000-0005-0000-0000-000012A90000}"/>
    <cellStyle name="Output 10" xfId="43461" xr:uid="{00000000-0005-0000-0000-000013A90000}"/>
    <cellStyle name="Output 11" xfId="43462" xr:uid="{00000000-0005-0000-0000-000014A90000}"/>
    <cellStyle name="Output 12" xfId="43463" xr:uid="{00000000-0005-0000-0000-000015A90000}"/>
    <cellStyle name="Output 2" xfId="43464" xr:uid="{00000000-0005-0000-0000-000016A90000}"/>
    <cellStyle name="Output 2 10" xfId="43465" xr:uid="{00000000-0005-0000-0000-000017A90000}"/>
    <cellStyle name="Output 2 11" xfId="43466" xr:uid="{00000000-0005-0000-0000-000018A90000}"/>
    <cellStyle name="Output 2 2" xfId="43467" xr:uid="{00000000-0005-0000-0000-000019A90000}"/>
    <cellStyle name="Output 2 2 10" xfId="43468" xr:uid="{00000000-0005-0000-0000-00001AA90000}"/>
    <cellStyle name="Output 2 2 11" xfId="43469" xr:uid="{00000000-0005-0000-0000-00001BA90000}"/>
    <cellStyle name="Output 2 2 12" xfId="43470" xr:uid="{00000000-0005-0000-0000-00001CA90000}"/>
    <cellStyle name="Output 2 2 2" xfId="43471" xr:uid="{00000000-0005-0000-0000-00001DA90000}"/>
    <cellStyle name="Output 2 2 2 10" xfId="43472" xr:uid="{00000000-0005-0000-0000-00001EA90000}"/>
    <cellStyle name="Output 2 2 2 11" xfId="43473" xr:uid="{00000000-0005-0000-0000-00001FA90000}"/>
    <cellStyle name="Output 2 2 2 12" xfId="43474" xr:uid="{00000000-0005-0000-0000-000020A90000}"/>
    <cellStyle name="Output 2 2 2 2" xfId="43475" xr:uid="{00000000-0005-0000-0000-000021A90000}"/>
    <cellStyle name="Output 2 2 2 2 10" xfId="43476" xr:uid="{00000000-0005-0000-0000-000022A90000}"/>
    <cellStyle name="Output 2 2 2 2 2" xfId="43477" xr:uid="{00000000-0005-0000-0000-000023A90000}"/>
    <cellStyle name="Output 2 2 2 2 2 2" xfId="43478" xr:uid="{00000000-0005-0000-0000-000024A90000}"/>
    <cellStyle name="Output 2 2 2 2 2 2 2" xfId="43479" xr:uid="{00000000-0005-0000-0000-000025A90000}"/>
    <cellStyle name="Output 2 2 2 2 2 2 2 2" xfId="43480" xr:uid="{00000000-0005-0000-0000-000026A90000}"/>
    <cellStyle name="Output 2 2 2 2 2 2 2 2 2" xfId="43481" xr:uid="{00000000-0005-0000-0000-000027A90000}"/>
    <cellStyle name="Output 2 2 2 2 2 2 2 2 2 2" xfId="43482" xr:uid="{00000000-0005-0000-0000-000028A90000}"/>
    <cellStyle name="Output 2 2 2 2 2 2 2 2 3" xfId="43483" xr:uid="{00000000-0005-0000-0000-000029A90000}"/>
    <cellStyle name="Output 2 2 2 2 2 2 2 2 3 2" xfId="43484" xr:uid="{00000000-0005-0000-0000-00002AA90000}"/>
    <cellStyle name="Output 2 2 2 2 2 2 2 2 4" xfId="43485" xr:uid="{00000000-0005-0000-0000-00002BA90000}"/>
    <cellStyle name="Output 2 2 2 2 2 2 2 2 5" xfId="43486" xr:uid="{00000000-0005-0000-0000-00002CA90000}"/>
    <cellStyle name="Output 2 2 2 2 2 2 2 2 6" xfId="43487" xr:uid="{00000000-0005-0000-0000-00002DA90000}"/>
    <cellStyle name="Output 2 2 2 2 2 2 2 3" xfId="43488" xr:uid="{00000000-0005-0000-0000-00002EA90000}"/>
    <cellStyle name="Output 2 2 2 2 2 2 2 3 2" xfId="43489" xr:uid="{00000000-0005-0000-0000-00002FA90000}"/>
    <cellStyle name="Output 2 2 2 2 2 2 2 4" xfId="43490" xr:uid="{00000000-0005-0000-0000-000030A90000}"/>
    <cellStyle name="Output 2 2 2 2 2 2 2 4 2" xfId="43491" xr:uid="{00000000-0005-0000-0000-000031A90000}"/>
    <cellStyle name="Output 2 2 2 2 2 2 2 5" xfId="43492" xr:uid="{00000000-0005-0000-0000-000032A90000}"/>
    <cellStyle name="Output 2 2 2 2 2 2 2 6" xfId="43493" xr:uid="{00000000-0005-0000-0000-000033A90000}"/>
    <cellStyle name="Output 2 2 2 2 2 2 2 7" xfId="43494" xr:uid="{00000000-0005-0000-0000-000034A90000}"/>
    <cellStyle name="Output 2 2 2 2 2 2 3" xfId="43495" xr:uid="{00000000-0005-0000-0000-000035A90000}"/>
    <cellStyle name="Output 2 2 2 2 2 2 3 2" xfId="43496" xr:uid="{00000000-0005-0000-0000-000036A90000}"/>
    <cellStyle name="Output 2 2 2 2 2 2 3 2 2" xfId="43497" xr:uid="{00000000-0005-0000-0000-000037A90000}"/>
    <cellStyle name="Output 2 2 2 2 2 2 3 3" xfId="43498" xr:uid="{00000000-0005-0000-0000-000038A90000}"/>
    <cellStyle name="Output 2 2 2 2 2 2 3 3 2" xfId="43499" xr:uid="{00000000-0005-0000-0000-000039A90000}"/>
    <cellStyle name="Output 2 2 2 2 2 2 3 4" xfId="43500" xr:uid="{00000000-0005-0000-0000-00003AA90000}"/>
    <cellStyle name="Output 2 2 2 2 2 2 3 5" xfId="43501" xr:uid="{00000000-0005-0000-0000-00003BA90000}"/>
    <cellStyle name="Output 2 2 2 2 2 2 3 6" xfId="43502" xr:uid="{00000000-0005-0000-0000-00003CA90000}"/>
    <cellStyle name="Output 2 2 2 2 2 2 4" xfId="43503" xr:uid="{00000000-0005-0000-0000-00003DA90000}"/>
    <cellStyle name="Output 2 2 2 2 2 2 4 2" xfId="43504" xr:uid="{00000000-0005-0000-0000-00003EA90000}"/>
    <cellStyle name="Output 2 2 2 2 2 2 5" xfId="43505" xr:uid="{00000000-0005-0000-0000-00003FA90000}"/>
    <cellStyle name="Output 2 2 2 2 2 2 5 2" xfId="43506" xr:uid="{00000000-0005-0000-0000-000040A90000}"/>
    <cellStyle name="Output 2 2 2 2 2 2 6" xfId="43507" xr:uid="{00000000-0005-0000-0000-000041A90000}"/>
    <cellStyle name="Output 2 2 2 2 2 2 7" xfId="43508" xr:uid="{00000000-0005-0000-0000-000042A90000}"/>
    <cellStyle name="Output 2 2 2 2 2 2 8" xfId="43509" xr:uid="{00000000-0005-0000-0000-000043A90000}"/>
    <cellStyle name="Output 2 2 2 2 2 3" xfId="43510" xr:uid="{00000000-0005-0000-0000-000044A90000}"/>
    <cellStyle name="Output 2 2 2 2 2 3 2" xfId="43511" xr:uid="{00000000-0005-0000-0000-000045A90000}"/>
    <cellStyle name="Output 2 2 2 2 2 3 2 2" xfId="43512" xr:uid="{00000000-0005-0000-0000-000046A90000}"/>
    <cellStyle name="Output 2 2 2 2 2 3 2 2 2" xfId="43513" xr:uid="{00000000-0005-0000-0000-000047A90000}"/>
    <cellStyle name="Output 2 2 2 2 2 3 2 3" xfId="43514" xr:uid="{00000000-0005-0000-0000-000048A90000}"/>
    <cellStyle name="Output 2 2 2 2 2 3 2 3 2" xfId="43515" xr:uid="{00000000-0005-0000-0000-000049A90000}"/>
    <cellStyle name="Output 2 2 2 2 2 3 2 4" xfId="43516" xr:uid="{00000000-0005-0000-0000-00004AA90000}"/>
    <cellStyle name="Output 2 2 2 2 2 3 2 5" xfId="43517" xr:uid="{00000000-0005-0000-0000-00004BA90000}"/>
    <cellStyle name="Output 2 2 2 2 2 3 2 6" xfId="43518" xr:uid="{00000000-0005-0000-0000-00004CA90000}"/>
    <cellStyle name="Output 2 2 2 2 2 3 3" xfId="43519" xr:uid="{00000000-0005-0000-0000-00004DA90000}"/>
    <cellStyle name="Output 2 2 2 2 2 3 3 2" xfId="43520" xr:uid="{00000000-0005-0000-0000-00004EA90000}"/>
    <cellStyle name="Output 2 2 2 2 2 3 4" xfId="43521" xr:uid="{00000000-0005-0000-0000-00004FA90000}"/>
    <cellStyle name="Output 2 2 2 2 2 3 4 2" xfId="43522" xr:uid="{00000000-0005-0000-0000-000050A90000}"/>
    <cellStyle name="Output 2 2 2 2 2 3 5" xfId="43523" xr:uid="{00000000-0005-0000-0000-000051A90000}"/>
    <cellStyle name="Output 2 2 2 2 2 3 6" xfId="43524" xr:uid="{00000000-0005-0000-0000-000052A90000}"/>
    <cellStyle name="Output 2 2 2 2 2 3 7" xfId="43525" xr:uid="{00000000-0005-0000-0000-000053A90000}"/>
    <cellStyle name="Output 2 2 2 2 2 4" xfId="43526" xr:uid="{00000000-0005-0000-0000-000054A90000}"/>
    <cellStyle name="Output 2 2 2 2 2 4 2" xfId="43527" xr:uid="{00000000-0005-0000-0000-000055A90000}"/>
    <cellStyle name="Output 2 2 2 2 2 4 2 2" xfId="43528" xr:uid="{00000000-0005-0000-0000-000056A90000}"/>
    <cellStyle name="Output 2 2 2 2 2 4 3" xfId="43529" xr:uid="{00000000-0005-0000-0000-000057A90000}"/>
    <cellStyle name="Output 2 2 2 2 2 4 3 2" xfId="43530" xr:uid="{00000000-0005-0000-0000-000058A90000}"/>
    <cellStyle name="Output 2 2 2 2 2 4 4" xfId="43531" xr:uid="{00000000-0005-0000-0000-000059A90000}"/>
    <cellStyle name="Output 2 2 2 2 2 4 5" xfId="43532" xr:uid="{00000000-0005-0000-0000-00005AA90000}"/>
    <cellStyle name="Output 2 2 2 2 2 4 6" xfId="43533" xr:uid="{00000000-0005-0000-0000-00005BA90000}"/>
    <cellStyle name="Output 2 2 2 2 2 5" xfId="43534" xr:uid="{00000000-0005-0000-0000-00005CA90000}"/>
    <cellStyle name="Output 2 2 2 2 2 5 2" xfId="43535" xr:uid="{00000000-0005-0000-0000-00005DA90000}"/>
    <cellStyle name="Output 2 2 2 2 2 6" xfId="43536" xr:uid="{00000000-0005-0000-0000-00005EA90000}"/>
    <cellStyle name="Output 2 2 2 2 2 6 2" xfId="43537" xr:uid="{00000000-0005-0000-0000-00005FA90000}"/>
    <cellStyle name="Output 2 2 2 2 2 7" xfId="43538" xr:uid="{00000000-0005-0000-0000-000060A90000}"/>
    <cellStyle name="Output 2 2 2 2 2 8" xfId="43539" xr:uid="{00000000-0005-0000-0000-000061A90000}"/>
    <cellStyle name="Output 2 2 2 2 2 9" xfId="43540" xr:uid="{00000000-0005-0000-0000-000062A90000}"/>
    <cellStyle name="Output 2 2 2 2 3" xfId="43541" xr:uid="{00000000-0005-0000-0000-000063A90000}"/>
    <cellStyle name="Output 2 2 2 2 3 2" xfId="43542" xr:uid="{00000000-0005-0000-0000-000064A90000}"/>
    <cellStyle name="Output 2 2 2 2 3 2 2" xfId="43543" xr:uid="{00000000-0005-0000-0000-000065A90000}"/>
    <cellStyle name="Output 2 2 2 2 3 2 2 2" xfId="43544" xr:uid="{00000000-0005-0000-0000-000066A90000}"/>
    <cellStyle name="Output 2 2 2 2 3 2 2 2 2" xfId="43545" xr:uid="{00000000-0005-0000-0000-000067A90000}"/>
    <cellStyle name="Output 2 2 2 2 3 2 2 3" xfId="43546" xr:uid="{00000000-0005-0000-0000-000068A90000}"/>
    <cellStyle name="Output 2 2 2 2 3 2 2 3 2" xfId="43547" xr:uid="{00000000-0005-0000-0000-000069A90000}"/>
    <cellStyle name="Output 2 2 2 2 3 2 2 4" xfId="43548" xr:uid="{00000000-0005-0000-0000-00006AA90000}"/>
    <cellStyle name="Output 2 2 2 2 3 2 2 5" xfId="43549" xr:uid="{00000000-0005-0000-0000-00006BA90000}"/>
    <cellStyle name="Output 2 2 2 2 3 2 2 6" xfId="43550" xr:uid="{00000000-0005-0000-0000-00006CA90000}"/>
    <cellStyle name="Output 2 2 2 2 3 2 3" xfId="43551" xr:uid="{00000000-0005-0000-0000-00006DA90000}"/>
    <cellStyle name="Output 2 2 2 2 3 2 3 2" xfId="43552" xr:uid="{00000000-0005-0000-0000-00006EA90000}"/>
    <cellStyle name="Output 2 2 2 2 3 2 4" xfId="43553" xr:uid="{00000000-0005-0000-0000-00006FA90000}"/>
    <cellStyle name="Output 2 2 2 2 3 2 4 2" xfId="43554" xr:uid="{00000000-0005-0000-0000-000070A90000}"/>
    <cellStyle name="Output 2 2 2 2 3 2 5" xfId="43555" xr:uid="{00000000-0005-0000-0000-000071A90000}"/>
    <cellStyle name="Output 2 2 2 2 3 2 6" xfId="43556" xr:uid="{00000000-0005-0000-0000-000072A90000}"/>
    <cellStyle name="Output 2 2 2 2 3 2 7" xfId="43557" xr:uid="{00000000-0005-0000-0000-000073A90000}"/>
    <cellStyle name="Output 2 2 2 2 3 3" xfId="43558" xr:uid="{00000000-0005-0000-0000-000074A90000}"/>
    <cellStyle name="Output 2 2 2 2 3 3 2" xfId="43559" xr:uid="{00000000-0005-0000-0000-000075A90000}"/>
    <cellStyle name="Output 2 2 2 2 3 3 2 2" xfId="43560" xr:uid="{00000000-0005-0000-0000-000076A90000}"/>
    <cellStyle name="Output 2 2 2 2 3 3 3" xfId="43561" xr:uid="{00000000-0005-0000-0000-000077A90000}"/>
    <cellStyle name="Output 2 2 2 2 3 3 3 2" xfId="43562" xr:uid="{00000000-0005-0000-0000-000078A90000}"/>
    <cellStyle name="Output 2 2 2 2 3 3 4" xfId="43563" xr:uid="{00000000-0005-0000-0000-000079A90000}"/>
    <cellStyle name="Output 2 2 2 2 3 3 5" xfId="43564" xr:uid="{00000000-0005-0000-0000-00007AA90000}"/>
    <cellStyle name="Output 2 2 2 2 3 3 6" xfId="43565" xr:uid="{00000000-0005-0000-0000-00007BA90000}"/>
    <cellStyle name="Output 2 2 2 2 3 4" xfId="43566" xr:uid="{00000000-0005-0000-0000-00007CA90000}"/>
    <cellStyle name="Output 2 2 2 2 3 4 2" xfId="43567" xr:uid="{00000000-0005-0000-0000-00007DA90000}"/>
    <cellStyle name="Output 2 2 2 2 3 5" xfId="43568" xr:uid="{00000000-0005-0000-0000-00007EA90000}"/>
    <cellStyle name="Output 2 2 2 2 3 5 2" xfId="43569" xr:uid="{00000000-0005-0000-0000-00007FA90000}"/>
    <cellStyle name="Output 2 2 2 2 3 6" xfId="43570" xr:uid="{00000000-0005-0000-0000-000080A90000}"/>
    <cellStyle name="Output 2 2 2 2 3 7" xfId="43571" xr:uid="{00000000-0005-0000-0000-000081A90000}"/>
    <cellStyle name="Output 2 2 2 2 3 8" xfId="43572" xr:uid="{00000000-0005-0000-0000-000082A90000}"/>
    <cellStyle name="Output 2 2 2 2 4" xfId="43573" xr:uid="{00000000-0005-0000-0000-000083A90000}"/>
    <cellStyle name="Output 2 2 2 2 4 2" xfId="43574" xr:uid="{00000000-0005-0000-0000-000084A90000}"/>
    <cellStyle name="Output 2 2 2 2 4 2 2" xfId="43575" xr:uid="{00000000-0005-0000-0000-000085A90000}"/>
    <cellStyle name="Output 2 2 2 2 4 2 2 2" xfId="43576" xr:uid="{00000000-0005-0000-0000-000086A90000}"/>
    <cellStyle name="Output 2 2 2 2 4 2 3" xfId="43577" xr:uid="{00000000-0005-0000-0000-000087A90000}"/>
    <cellStyle name="Output 2 2 2 2 4 2 3 2" xfId="43578" xr:uid="{00000000-0005-0000-0000-000088A90000}"/>
    <cellStyle name="Output 2 2 2 2 4 2 4" xfId="43579" xr:uid="{00000000-0005-0000-0000-000089A90000}"/>
    <cellStyle name="Output 2 2 2 2 4 2 5" xfId="43580" xr:uid="{00000000-0005-0000-0000-00008AA90000}"/>
    <cellStyle name="Output 2 2 2 2 4 2 6" xfId="43581" xr:uid="{00000000-0005-0000-0000-00008BA90000}"/>
    <cellStyle name="Output 2 2 2 2 4 3" xfId="43582" xr:uid="{00000000-0005-0000-0000-00008CA90000}"/>
    <cellStyle name="Output 2 2 2 2 4 3 2" xfId="43583" xr:uid="{00000000-0005-0000-0000-00008DA90000}"/>
    <cellStyle name="Output 2 2 2 2 4 4" xfId="43584" xr:uid="{00000000-0005-0000-0000-00008EA90000}"/>
    <cellStyle name="Output 2 2 2 2 4 4 2" xfId="43585" xr:uid="{00000000-0005-0000-0000-00008FA90000}"/>
    <cellStyle name="Output 2 2 2 2 4 5" xfId="43586" xr:uid="{00000000-0005-0000-0000-000090A90000}"/>
    <cellStyle name="Output 2 2 2 2 4 6" xfId="43587" xr:uid="{00000000-0005-0000-0000-000091A90000}"/>
    <cellStyle name="Output 2 2 2 2 4 7" xfId="43588" xr:uid="{00000000-0005-0000-0000-000092A90000}"/>
    <cellStyle name="Output 2 2 2 2 5" xfId="43589" xr:uid="{00000000-0005-0000-0000-000093A90000}"/>
    <cellStyle name="Output 2 2 2 2 5 2" xfId="43590" xr:uid="{00000000-0005-0000-0000-000094A90000}"/>
    <cellStyle name="Output 2 2 2 2 5 2 2" xfId="43591" xr:uid="{00000000-0005-0000-0000-000095A90000}"/>
    <cellStyle name="Output 2 2 2 2 5 3" xfId="43592" xr:uid="{00000000-0005-0000-0000-000096A90000}"/>
    <cellStyle name="Output 2 2 2 2 5 3 2" xfId="43593" xr:uid="{00000000-0005-0000-0000-000097A90000}"/>
    <cellStyle name="Output 2 2 2 2 5 4" xfId="43594" xr:uid="{00000000-0005-0000-0000-000098A90000}"/>
    <cellStyle name="Output 2 2 2 2 5 5" xfId="43595" xr:uid="{00000000-0005-0000-0000-000099A90000}"/>
    <cellStyle name="Output 2 2 2 2 5 6" xfId="43596" xr:uid="{00000000-0005-0000-0000-00009AA90000}"/>
    <cellStyle name="Output 2 2 2 2 6" xfId="43597" xr:uid="{00000000-0005-0000-0000-00009BA90000}"/>
    <cellStyle name="Output 2 2 2 2 6 2" xfId="43598" xr:uid="{00000000-0005-0000-0000-00009CA90000}"/>
    <cellStyle name="Output 2 2 2 2 7" xfId="43599" xr:uid="{00000000-0005-0000-0000-00009DA90000}"/>
    <cellStyle name="Output 2 2 2 2 7 2" xfId="43600" xr:uid="{00000000-0005-0000-0000-00009EA90000}"/>
    <cellStyle name="Output 2 2 2 2 8" xfId="43601" xr:uid="{00000000-0005-0000-0000-00009FA90000}"/>
    <cellStyle name="Output 2 2 2 2 9" xfId="43602" xr:uid="{00000000-0005-0000-0000-0000A0A90000}"/>
    <cellStyle name="Output 2 2 2 3" xfId="43603" xr:uid="{00000000-0005-0000-0000-0000A1A90000}"/>
    <cellStyle name="Output 2 2 2 3 2" xfId="43604" xr:uid="{00000000-0005-0000-0000-0000A2A90000}"/>
    <cellStyle name="Output 2 2 2 3 2 2" xfId="43605" xr:uid="{00000000-0005-0000-0000-0000A3A90000}"/>
    <cellStyle name="Output 2 2 2 3 2 2 2" xfId="43606" xr:uid="{00000000-0005-0000-0000-0000A4A90000}"/>
    <cellStyle name="Output 2 2 2 3 2 2 2 2" xfId="43607" xr:uid="{00000000-0005-0000-0000-0000A5A90000}"/>
    <cellStyle name="Output 2 2 2 3 2 2 2 2 2" xfId="43608" xr:uid="{00000000-0005-0000-0000-0000A6A90000}"/>
    <cellStyle name="Output 2 2 2 3 2 2 2 3" xfId="43609" xr:uid="{00000000-0005-0000-0000-0000A7A90000}"/>
    <cellStyle name="Output 2 2 2 3 2 2 2 3 2" xfId="43610" xr:uid="{00000000-0005-0000-0000-0000A8A90000}"/>
    <cellStyle name="Output 2 2 2 3 2 2 2 4" xfId="43611" xr:uid="{00000000-0005-0000-0000-0000A9A90000}"/>
    <cellStyle name="Output 2 2 2 3 2 2 2 5" xfId="43612" xr:uid="{00000000-0005-0000-0000-0000AAA90000}"/>
    <cellStyle name="Output 2 2 2 3 2 2 2 6" xfId="43613" xr:uid="{00000000-0005-0000-0000-0000ABA90000}"/>
    <cellStyle name="Output 2 2 2 3 2 2 3" xfId="43614" xr:uid="{00000000-0005-0000-0000-0000ACA90000}"/>
    <cellStyle name="Output 2 2 2 3 2 2 3 2" xfId="43615" xr:uid="{00000000-0005-0000-0000-0000ADA90000}"/>
    <cellStyle name="Output 2 2 2 3 2 2 4" xfId="43616" xr:uid="{00000000-0005-0000-0000-0000AEA90000}"/>
    <cellStyle name="Output 2 2 2 3 2 2 4 2" xfId="43617" xr:uid="{00000000-0005-0000-0000-0000AFA90000}"/>
    <cellStyle name="Output 2 2 2 3 2 2 5" xfId="43618" xr:uid="{00000000-0005-0000-0000-0000B0A90000}"/>
    <cellStyle name="Output 2 2 2 3 2 2 6" xfId="43619" xr:uid="{00000000-0005-0000-0000-0000B1A90000}"/>
    <cellStyle name="Output 2 2 2 3 2 2 7" xfId="43620" xr:uid="{00000000-0005-0000-0000-0000B2A90000}"/>
    <cellStyle name="Output 2 2 2 3 2 3" xfId="43621" xr:uid="{00000000-0005-0000-0000-0000B3A90000}"/>
    <cellStyle name="Output 2 2 2 3 2 3 2" xfId="43622" xr:uid="{00000000-0005-0000-0000-0000B4A90000}"/>
    <cellStyle name="Output 2 2 2 3 2 3 2 2" xfId="43623" xr:uid="{00000000-0005-0000-0000-0000B5A90000}"/>
    <cellStyle name="Output 2 2 2 3 2 3 3" xfId="43624" xr:uid="{00000000-0005-0000-0000-0000B6A90000}"/>
    <cellStyle name="Output 2 2 2 3 2 3 3 2" xfId="43625" xr:uid="{00000000-0005-0000-0000-0000B7A90000}"/>
    <cellStyle name="Output 2 2 2 3 2 3 4" xfId="43626" xr:uid="{00000000-0005-0000-0000-0000B8A90000}"/>
    <cellStyle name="Output 2 2 2 3 2 3 5" xfId="43627" xr:uid="{00000000-0005-0000-0000-0000B9A90000}"/>
    <cellStyle name="Output 2 2 2 3 2 3 6" xfId="43628" xr:uid="{00000000-0005-0000-0000-0000BAA90000}"/>
    <cellStyle name="Output 2 2 2 3 2 4" xfId="43629" xr:uid="{00000000-0005-0000-0000-0000BBA90000}"/>
    <cellStyle name="Output 2 2 2 3 2 4 2" xfId="43630" xr:uid="{00000000-0005-0000-0000-0000BCA90000}"/>
    <cellStyle name="Output 2 2 2 3 2 5" xfId="43631" xr:uid="{00000000-0005-0000-0000-0000BDA90000}"/>
    <cellStyle name="Output 2 2 2 3 2 5 2" xfId="43632" xr:uid="{00000000-0005-0000-0000-0000BEA90000}"/>
    <cellStyle name="Output 2 2 2 3 2 6" xfId="43633" xr:uid="{00000000-0005-0000-0000-0000BFA90000}"/>
    <cellStyle name="Output 2 2 2 3 2 7" xfId="43634" xr:uid="{00000000-0005-0000-0000-0000C0A90000}"/>
    <cellStyle name="Output 2 2 2 3 2 8" xfId="43635" xr:uid="{00000000-0005-0000-0000-0000C1A90000}"/>
    <cellStyle name="Output 2 2 2 3 3" xfId="43636" xr:uid="{00000000-0005-0000-0000-0000C2A90000}"/>
    <cellStyle name="Output 2 2 2 3 3 2" xfId="43637" xr:uid="{00000000-0005-0000-0000-0000C3A90000}"/>
    <cellStyle name="Output 2 2 2 3 3 2 2" xfId="43638" xr:uid="{00000000-0005-0000-0000-0000C4A90000}"/>
    <cellStyle name="Output 2 2 2 3 3 2 2 2" xfId="43639" xr:uid="{00000000-0005-0000-0000-0000C5A90000}"/>
    <cellStyle name="Output 2 2 2 3 3 2 3" xfId="43640" xr:uid="{00000000-0005-0000-0000-0000C6A90000}"/>
    <cellStyle name="Output 2 2 2 3 3 2 3 2" xfId="43641" xr:uid="{00000000-0005-0000-0000-0000C7A90000}"/>
    <cellStyle name="Output 2 2 2 3 3 2 4" xfId="43642" xr:uid="{00000000-0005-0000-0000-0000C8A90000}"/>
    <cellStyle name="Output 2 2 2 3 3 2 5" xfId="43643" xr:uid="{00000000-0005-0000-0000-0000C9A90000}"/>
    <cellStyle name="Output 2 2 2 3 3 2 6" xfId="43644" xr:uid="{00000000-0005-0000-0000-0000CAA90000}"/>
    <cellStyle name="Output 2 2 2 3 3 3" xfId="43645" xr:uid="{00000000-0005-0000-0000-0000CBA90000}"/>
    <cellStyle name="Output 2 2 2 3 3 3 2" xfId="43646" xr:uid="{00000000-0005-0000-0000-0000CCA90000}"/>
    <cellStyle name="Output 2 2 2 3 3 4" xfId="43647" xr:uid="{00000000-0005-0000-0000-0000CDA90000}"/>
    <cellStyle name="Output 2 2 2 3 3 4 2" xfId="43648" xr:uid="{00000000-0005-0000-0000-0000CEA90000}"/>
    <cellStyle name="Output 2 2 2 3 3 5" xfId="43649" xr:uid="{00000000-0005-0000-0000-0000CFA90000}"/>
    <cellStyle name="Output 2 2 2 3 3 6" xfId="43650" xr:uid="{00000000-0005-0000-0000-0000D0A90000}"/>
    <cellStyle name="Output 2 2 2 3 3 7" xfId="43651" xr:uid="{00000000-0005-0000-0000-0000D1A90000}"/>
    <cellStyle name="Output 2 2 2 3 4" xfId="43652" xr:uid="{00000000-0005-0000-0000-0000D2A90000}"/>
    <cellStyle name="Output 2 2 2 3 4 2" xfId="43653" xr:uid="{00000000-0005-0000-0000-0000D3A90000}"/>
    <cellStyle name="Output 2 2 2 3 4 2 2" xfId="43654" xr:uid="{00000000-0005-0000-0000-0000D4A90000}"/>
    <cellStyle name="Output 2 2 2 3 4 3" xfId="43655" xr:uid="{00000000-0005-0000-0000-0000D5A90000}"/>
    <cellStyle name="Output 2 2 2 3 4 3 2" xfId="43656" xr:uid="{00000000-0005-0000-0000-0000D6A90000}"/>
    <cellStyle name="Output 2 2 2 3 4 4" xfId="43657" xr:uid="{00000000-0005-0000-0000-0000D7A90000}"/>
    <cellStyle name="Output 2 2 2 3 4 5" xfId="43658" xr:uid="{00000000-0005-0000-0000-0000D8A90000}"/>
    <cellStyle name="Output 2 2 2 3 4 6" xfId="43659" xr:uid="{00000000-0005-0000-0000-0000D9A90000}"/>
    <cellStyle name="Output 2 2 2 3 5" xfId="43660" xr:uid="{00000000-0005-0000-0000-0000DAA90000}"/>
    <cellStyle name="Output 2 2 2 3 5 2" xfId="43661" xr:uid="{00000000-0005-0000-0000-0000DBA90000}"/>
    <cellStyle name="Output 2 2 2 3 6" xfId="43662" xr:uid="{00000000-0005-0000-0000-0000DCA90000}"/>
    <cellStyle name="Output 2 2 2 3 6 2" xfId="43663" xr:uid="{00000000-0005-0000-0000-0000DDA90000}"/>
    <cellStyle name="Output 2 2 2 3 7" xfId="43664" xr:uid="{00000000-0005-0000-0000-0000DEA90000}"/>
    <cellStyle name="Output 2 2 2 3 8" xfId="43665" xr:uid="{00000000-0005-0000-0000-0000DFA90000}"/>
    <cellStyle name="Output 2 2 2 3 9" xfId="43666" xr:uid="{00000000-0005-0000-0000-0000E0A90000}"/>
    <cellStyle name="Output 2 2 2 4" xfId="43667" xr:uid="{00000000-0005-0000-0000-0000E1A90000}"/>
    <cellStyle name="Output 2 2 2 4 10" xfId="43668" xr:uid="{00000000-0005-0000-0000-0000E2A90000}"/>
    <cellStyle name="Output 2 2 2 4 2" xfId="43669" xr:uid="{00000000-0005-0000-0000-0000E3A90000}"/>
    <cellStyle name="Output 2 2 2 4 2 2" xfId="43670" xr:uid="{00000000-0005-0000-0000-0000E4A90000}"/>
    <cellStyle name="Output 2 2 2 4 2 2 2" xfId="43671" xr:uid="{00000000-0005-0000-0000-0000E5A90000}"/>
    <cellStyle name="Output 2 2 2 4 2 2 2 2" xfId="43672" xr:uid="{00000000-0005-0000-0000-0000E6A90000}"/>
    <cellStyle name="Output 2 2 2 4 2 2 2 2 2" xfId="43673" xr:uid="{00000000-0005-0000-0000-0000E7A90000}"/>
    <cellStyle name="Output 2 2 2 4 2 2 2 2 2 2" xfId="43674" xr:uid="{00000000-0005-0000-0000-0000E8A90000}"/>
    <cellStyle name="Output 2 2 2 4 2 2 2 2 3" xfId="43675" xr:uid="{00000000-0005-0000-0000-0000E9A90000}"/>
    <cellStyle name="Output 2 2 2 4 2 2 2 2 3 2" xfId="43676" xr:uid="{00000000-0005-0000-0000-0000EAA90000}"/>
    <cellStyle name="Output 2 2 2 4 2 2 2 2 4" xfId="43677" xr:uid="{00000000-0005-0000-0000-0000EBA90000}"/>
    <cellStyle name="Output 2 2 2 4 2 2 2 2 5" xfId="43678" xr:uid="{00000000-0005-0000-0000-0000ECA90000}"/>
    <cellStyle name="Output 2 2 2 4 2 2 2 2 6" xfId="43679" xr:uid="{00000000-0005-0000-0000-0000EDA90000}"/>
    <cellStyle name="Output 2 2 2 4 2 2 2 3" xfId="43680" xr:uid="{00000000-0005-0000-0000-0000EEA90000}"/>
    <cellStyle name="Output 2 2 2 4 2 2 2 3 2" xfId="43681" xr:uid="{00000000-0005-0000-0000-0000EFA90000}"/>
    <cellStyle name="Output 2 2 2 4 2 2 2 4" xfId="43682" xr:uid="{00000000-0005-0000-0000-0000F0A90000}"/>
    <cellStyle name="Output 2 2 2 4 2 2 2 4 2" xfId="43683" xr:uid="{00000000-0005-0000-0000-0000F1A90000}"/>
    <cellStyle name="Output 2 2 2 4 2 2 2 5" xfId="43684" xr:uid="{00000000-0005-0000-0000-0000F2A90000}"/>
    <cellStyle name="Output 2 2 2 4 2 2 2 6" xfId="43685" xr:uid="{00000000-0005-0000-0000-0000F3A90000}"/>
    <cellStyle name="Output 2 2 2 4 2 2 2 7" xfId="43686" xr:uid="{00000000-0005-0000-0000-0000F4A90000}"/>
    <cellStyle name="Output 2 2 2 4 2 2 3" xfId="43687" xr:uid="{00000000-0005-0000-0000-0000F5A90000}"/>
    <cellStyle name="Output 2 2 2 4 2 2 3 2" xfId="43688" xr:uid="{00000000-0005-0000-0000-0000F6A90000}"/>
    <cellStyle name="Output 2 2 2 4 2 2 3 2 2" xfId="43689" xr:uid="{00000000-0005-0000-0000-0000F7A90000}"/>
    <cellStyle name="Output 2 2 2 4 2 2 3 3" xfId="43690" xr:uid="{00000000-0005-0000-0000-0000F8A90000}"/>
    <cellStyle name="Output 2 2 2 4 2 2 3 3 2" xfId="43691" xr:uid="{00000000-0005-0000-0000-0000F9A90000}"/>
    <cellStyle name="Output 2 2 2 4 2 2 3 4" xfId="43692" xr:uid="{00000000-0005-0000-0000-0000FAA90000}"/>
    <cellStyle name="Output 2 2 2 4 2 2 3 5" xfId="43693" xr:uid="{00000000-0005-0000-0000-0000FBA90000}"/>
    <cellStyle name="Output 2 2 2 4 2 2 3 6" xfId="43694" xr:uid="{00000000-0005-0000-0000-0000FCA90000}"/>
    <cellStyle name="Output 2 2 2 4 2 2 4" xfId="43695" xr:uid="{00000000-0005-0000-0000-0000FDA90000}"/>
    <cellStyle name="Output 2 2 2 4 2 2 4 2" xfId="43696" xr:uid="{00000000-0005-0000-0000-0000FEA90000}"/>
    <cellStyle name="Output 2 2 2 4 2 2 5" xfId="43697" xr:uid="{00000000-0005-0000-0000-0000FFA90000}"/>
    <cellStyle name="Output 2 2 2 4 2 2 5 2" xfId="43698" xr:uid="{00000000-0005-0000-0000-000000AA0000}"/>
    <cellStyle name="Output 2 2 2 4 2 2 6" xfId="43699" xr:uid="{00000000-0005-0000-0000-000001AA0000}"/>
    <cellStyle name="Output 2 2 2 4 2 2 7" xfId="43700" xr:uid="{00000000-0005-0000-0000-000002AA0000}"/>
    <cellStyle name="Output 2 2 2 4 2 2 8" xfId="43701" xr:uid="{00000000-0005-0000-0000-000003AA0000}"/>
    <cellStyle name="Output 2 2 2 4 2 3" xfId="43702" xr:uid="{00000000-0005-0000-0000-000004AA0000}"/>
    <cellStyle name="Output 2 2 2 4 2 3 2" xfId="43703" xr:uid="{00000000-0005-0000-0000-000005AA0000}"/>
    <cellStyle name="Output 2 2 2 4 2 3 2 2" xfId="43704" xr:uid="{00000000-0005-0000-0000-000006AA0000}"/>
    <cellStyle name="Output 2 2 2 4 2 3 2 2 2" xfId="43705" xr:uid="{00000000-0005-0000-0000-000007AA0000}"/>
    <cellStyle name="Output 2 2 2 4 2 3 2 3" xfId="43706" xr:uid="{00000000-0005-0000-0000-000008AA0000}"/>
    <cellStyle name="Output 2 2 2 4 2 3 2 3 2" xfId="43707" xr:uid="{00000000-0005-0000-0000-000009AA0000}"/>
    <cellStyle name="Output 2 2 2 4 2 3 2 4" xfId="43708" xr:uid="{00000000-0005-0000-0000-00000AAA0000}"/>
    <cellStyle name="Output 2 2 2 4 2 3 2 5" xfId="43709" xr:uid="{00000000-0005-0000-0000-00000BAA0000}"/>
    <cellStyle name="Output 2 2 2 4 2 3 2 6" xfId="43710" xr:uid="{00000000-0005-0000-0000-00000CAA0000}"/>
    <cellStyle name="Output 2 2 2 4 2 3 3" xfId="43711" xr:uid="{00000000-0005-0000-0000-00000DAA0000}"/>
    <cellStyle name="Output 2 2 2 4 2 3 3 2" xfId="43712" xr:uid="{00000000-0005-0000-0000-00000EAA0000}"/>
    <cellStyle name="Output 2 2 2 4 2 3 4" xfId="43713" xr:uid="{00000000-0005-0000-0000-00000FAA0000}"/>
    <cellStyle name="Output 2 2 2 4 2 3 4 2" xfId="43714" xr:uid="{00000000-0005-0000-0000-000010AA0000}"/>
    <cellStyle name="Output 2 2 2 4 2 3 5" xfId="43715" xr:uid="{00000000-0005-0000-0000-000011AA0000}"/>
    <cellStyle name="Output 2 2 2 4 2 3 6" xfId="43716" xr:uid="{00000000-0005-0000-0000-000012AA0000}"/>
    <cellStyle name="Output 2 2 2 4 2 3 7" xfId="43717" xr:uid="{00000000-0005-0000-0000-000013AA0000}"/>
    <cellStyle name="Output 2 2 2 4 2 4" xfId="43718" xr:uid="{00000000-0005-0000-0000-000014AA0000}"/>
    <cellStyle name="Output 2 2 2 4 2 4 2" xfId="43719" xr:uid="{00000000-0005-0000-0000-000015AA0000}"/>
    <cellStyle name="Output 2 2 2 4 2 4 2 2" xfId="43720" xr:uid="{00000000-0005-0000-0000-000016AA0000}"/>
    <cellStyle name="Output 2 2 2 4 2 4 3" xfId="43721" xr:uid="{00000000-0005-0000-0000-000017AA0000}"/>
    <cellStyle name="Output 2 2 2 4 2 4 3 2" xfId="43722" xr:uid="{00000000-0005-0000-0000-000018AA0000}"/>
    <cellStyle name="Output 2 2 2 4 2 4 4" xfId="43723" xr:uid="{00000000-0005-0000-0000-000019AA0000}"/>
    <cellStyle name="Output 2 2 2 4 2 4 5" xfId="43724" xr:uid="{00000000-0005-0000-0000-00001AAA0000}"/>
    <cellStyle name="Output 2 2 2 4 2 4 6" xfId="43725" xr:uid="{00000000-0005-0000-0000-00001BAA0000}"/>
    <cellStyle name="Output 2 2 2 4 2 5" xfId="43726" xr:uid="{00000000-0005-0000-0000-00001CAA0000}"/>
    <cellStyle name="Output 2 2 2 4 2 5 2" xfId="43727" xr:uid="{00000000-0005-0000-0000-00001DAA0000}"/>
    <cellStyle name="Output 2 2 2 4 2 6" xfId="43728" xr:uid="{00000000-0005-0000-0000-00001EAA0000}"/>
    <cellStyle name="Output 2 2 2 4 2 6 2" xfId="43729" xr:uid="{00000000-0005-0000-0000-00001FAA0000}"/>
    <cellStyle name="Output 2 2 2 4 2 7" xfId="43730" xr:uid="{00000000-0005-0000-0000-000020AA0000}"/>
    <cellStyle name="Output 2 2 2 4 2 8" xfId="43731" xr:uid="{00000000-0005-0000-0000-000021AA0000}"/>
    <cellStyle name="Output 2 2 2 4 2 9" xfId="43732" xr:uid="{00000000-0005-0000-0000-000022AA0000}"/>
    <cellStyle name="Output 2 2 2 4 3" xfId="43733" xr:uid="{00000000-0005-0000-0000-000023AA0000}"/>
    <cellStyle name="Output 2 2 2 4 3 2" xfId="43734" xr:uid="{00000000-0005-0000-0000-000024AA0000}"/>
    <cellStyle name="Output 2 2 2 4 3 2 2" xfId="43735" xr:uid="{00000000-0005-0000-0000-000025AA0000}"/>
    <cellStyle name="Output 2 2 2 4 3 2 2 2" xfId="43736" xr:uid="{00000000-0005-0000-0000-000026AA0000}"/>
    <cellStyle name="Output 2 2 2 4 3 2 2 2 2" xfId="43737" xr:uid="{00000000-0005-0000-0000-000027AA0000}"/>
    <cellStyle name="Output 2 2 2 4 3 2 2 3" xfId="43738" xr:uid="{00000000-0005-0000-0000-000028AA0000}"/>
    <cellStyle name="Output 2 2 2 4 3 2 2 3 2" xfId="43739" xr:uid="{00000000-0005-0000-0000-000029AA0000}"/>
    <cellStyle name="Output 2 2 2 4 3 2 2 4" xfId="43740" xr:uid="{00000000-0005-0000-0000-00002AAA0000}"/>
    <cellStyle name="Output 2 2 2 4 3 2 2 5" xfId="43741" xr:uid="{00000000-0005-0000-0000-00002BAA0000}"/>
    <cellStyle name="Output 2 2 2 4 3 2 2 6" xfId="43742" xr:uid="{00000000-0005-0000-0000-00002CAA0000}"/>
    <cellStyle name="Output 2 2 2 4 3 2 3" xfId="43743" xr:uid="{00000000-0005-0000-0000-00002DAA0000}"/>
    <cellStyle name="Output 2 2 2 4 3 2 3 2" xfId="43744" xr:uid="{00000000-0005-0000-0000-00002EAA0000}"/>
    <cellStyle name="Output 2 2 2 4 3 2 4" xfId="43745" xr:uid="{00000000-0005-0000-0000-00002FAA0000}"/>
    <cellStyle name="Output 2 2 2 4 3 2 4 2" xfId="43746" xr:uid="{00000000-0005-0000-0000-000030AA0000}"/>
    <cellStyle name="Output 2 2 2 4 3 2 5" xfId="43747" xr:uid="{00000000-0005-0000-0000-000031AA0000}"/>
    <cellStyle name="Output 2 2 2 4 3 2 6" xfId="43748" xr:uid="{00000000-0005-0000-0000-000032AA0000}"/>
    <cellStyle name="Output 2 2 2 4 3 2 7" xfId="43749" xr:uid="{00000000-0005-0000-0000-000033AA0000}"/>
    <cellStyle name="Output 2 2 2 4 3 3" xfId="43750" xr:uid="{00000000-0005-0000-0000-000034AA0000}"/>
    <cellStyle name="Output 2 2 2 4 3 3 2" xfId="43751" xr:uid="{00000000-0005-0000-0000-000035AA0000}"/>
    <cellStyle name="Output 2 2 2 4 3 3 2 2" xfId="43752" xr:uid="{00000000-0005-0000-0000-000036AA0000}"/>
    <cellStyle name="Output 2 2 2 4 3 3 3" xfId="43753" xr:uid="{00000000-0005-0000-0000-000037AA0000}"/>
    <cellStyle name="Output 2 2 2 4 3 3 3 2" xfId="43754" xr:uid="{00000000-0005-0000-0000-000038AA0000}"/>
    <cellStyle name="Output 2 2 2 4 3 3 4" xfId="43755" xr:uid="{00000000-0005-0000-0000-000039AA0000}"/>
    <cellStyle name="Output 2 2 2 4 3 3 5" xfId="43756" xr:uid="{00000000-0005-0000-0000-00003AAA0000}"/>
    <cellStyle name="Output 2 2 2 4 3 3 6" xfId="43757" xr:uid="{00000000-0005-0000-0000-00003BAA0000}"/>
    <cellStyle name="Output 2 2 2 4 3 4" xfId="43758" xr:uid="{00000000-0005-0000-0000-00003CAA0000}"/>
    <cellStyle name="Output 2 2 2 4 3 4 2" xfId="43759" xr:uid="{00000000-0005-0000-0000-00003DAA0000}"/>
    <cellStyle name="Output 2 2 2 4 3 5" xfId="43760" xr:uid="{00000000-0005-0000-0000-00003EAA0000}"/>
    <cellStyle name="Output 2 2 2 4 3 5 2" xfId="43761" xr:uid="{00000000-0005-0000-0000-00003FAA0000}"/>
    <cellStyle name="Output 2 2 2 4 3 6" xfId="43762" xr:uid="{00000000-0005-0000-0000-000040AA0000}"/>
    <cellStyle name="Output 2 2 2 4 3 7" xfId="43763" xr:uid="{00000000-0005-0000-0000-000041AA0000}"/>
    <cellStyle name="Output 2 2 2 4 3 8" xfId="43764" xr:uid="{00000000-0005-0000-0000-000042AA0000}"/>
    <cellStyle name="Output 2 2 2 4 4" xfId="43765" xr:uid="{00000000-0005-0000-0000-000043AA0000}"/>
    <cellStyle name="Output 2 2 2 4 4 2" xfId="43766" xr:uid="{00000000-0005-0000-0000-000044AA0000}"/>
    <cellStyle name="Output 2 2 2 4 4 2 2" xfId="43767" xr:uid="{00000000-0005-0000-0000-000045AA0000}"/>
    <cellStyle name="Output 2 2 2 4 4 2 2 2" xfId="43768" xr:uid="{00000000-0005-0000-0000-000046AA0000}"/>
    <cellStyle name="Output 2 2 2 4 4 2 3" xfId="43769" xr:uid="{00000000-0005-0000-0000-000047AA0000}"/>
    <cellStyle name="Output 2 2 2 4 4 2 3 2" xfId="43770" xr:uid="{00000000-0005-0000-0000-000048AA0000}"/>
    <cellStyle name="Output 2 2 2 4 4 2 4" xfId="43771" xr:uid="{00000000-0005-0000-0000-000049AA0000}"/>
    <cellStyle name="Output 2 2 2 4 4 2 5" xfId="43772" xr:uid="{00000000-0005-0000-0000-00004AAA0000}"/>
    <cellStyle name="Output 2 2 2 4 4 2 6" xfId="43773" xr:uid="{00000000-0005-0000-0000-00004BAA0000}"/>
    <cellStyle name="Output 2 2 2 4 4 3" xfId="43774" xr:uid="{00000000-0005-0000-0000-00004CAA0000}"/>
    <cellStyle name="Output 2 2 2 4 4 3 2" xfId="43775" xr:uid="{00000000-0005-0000-0000-00004DAA0000}"/>
    <cellStyle name="Output 2 2 2 4 4 4" xfId="43776" xr:uid="{00000000-0005-0000-0000-00004EAA0000}"/>
    <cellStyle name="Output 2 2 2 4 4 4 2" xfId="43777" xr:uid="{00000000-0005-0000-0000-00004FAA0000}"/>
    <cellStyle name="Output 2 2 2 4 4 5" xfId="43778" xr:uid="{00000000-0005-0000-0000-000050AA0000}"/>
    <cellStyle name="Output 2 2 2 4 4 6" xfId="43779" xr:uid="{00000000-0005-0000-0000-000051AA0000}"/>
    <cellStyle name="Output 2 2 2 4 4 7" xfId="43780" xr:uid="{00000000-0005-0000-0000-000052AA0000}"/>
    <cellStyle name="Output 2 2 2 4 5" xfId="43781" xr:uid="{00000000-0005-0000-0000-000053AA0000}"/>
    <cellStyle name="Output 2 2 2 4 5 2" xfId="43782" xr:uid="{00000000-0005-0000-0000-000054AA0000}"/>
    <cellStyle name="Output 2 2 2 4 5 2 2" xfId="43783" xr:uid="{00000000-0005-0000-0000-000055AA0000}"/>
    <cellStyle name="Output 2 2 2 4 5 3" xfId="43784" xr:uid="{00000000-0005-0000-0000-000056AA0000}"/>
    <cellStyle name="Output 2 2 2 4 5 3 2" xfId="43785" xr:uid="{00000000-0005-0000-0000-000057AA0000}"/>
    <cellStyle name="Output 2 2 2 4 5 4" xfId="43786" xr:uid="{00000000-0005-0000-0000-000058AA0000}"/>
    <cellStyle name="Output 2 2 2 4 5 5" xfId="43787" xr:uid="{00000000-0005-0000-0000-000059AA0000}"/>
    <cellStyle name="Output 2 2 2 4 5 6" xfId="43788" xr:uid="{00000000-0005-0000-0000-00005AAA0000}"/>
    <cellStyle name="Output 2 2 2 4 6" xfId="43789" xr:uid="{00000000-0005-0000-0000-00005BAA0000}"/>
    <cellStyle name="Output 2 2 2 4 6 2" xfId="43790" xr:uid="{00000000-0005-0000-0000-00005CAA0000}"/>
    <cellStyle name="Output 2 2 2 4 7" xfId="43791" xr:uid="{00000000-0005-0000-0000-00005DAA0000}"/>
    <cellStyle name="Output 2 2 2 4 7 2" xfId="43792" xr:uid="{00000000-0005-0000-0000-00005EAA0000}"/>
    <cellStyle name="Output 2 2 2 4 8" xfId="43793" xr:uid="{00000000-0005-0000-0000-00005FAA0000}"/>
    <cellStyle name="Output 2 2 2 4 9" xfId="43794" xr:uid="{00000000-0005-0000-0000-000060AA0000}"/>
    <cellStyle name="Output 2 2 2 5" xfId="43795" xr:uid="{00000000-0005-0000-0000-000061AA0000}"/>
    <cellStyle name="Output 2 2 2 5 2" xfId="43796" xr:uid="{00000000-0005-0000-0000-000062AA0000}"/>
    <cellStyle name="Output 2 2 2 5 2 2" xfId="43797" xr:uid="{00000000-0005-0000-0000-000063AA0000}"/>
    <cellStyle name="Output 2 2 2 5 2 2 2" xfId="43798" xr:uid="{00000000-0005-0000-0000-000064AA0000}"/>
    <cellStyle name="Output 2 2 2 5 2 2 2 2" xfId="43799" xr:uid="{00000000-0005-0000-0000-000065AA0000}"/>
    <cellStyle name="Output 2 2 2 5 2 2 3" xfId="43800" xr:uid="{00000000-0005-0000-0000-000066AA0000}"/>
    <cellStyle name="Output 2 2 2 5 2 2 3 2" xfId="43801" xr:uid="{00000000-0005-0000-0000-000067AA0000}"/>
    <cellStyle name="Output 2 2 2 5 2 2 4" xfId="43802" xr:uid="{00000000-0005-0000-0000-000068AA0000}"/>
    <cellStyle name="Output 2 2 2 5 2 2 5" xfId="43803" xr:uid="{00000000-0005-0000-0000-000069AA0000}"/>
    <cellStyle name="Output 2 2 2 5 2 2 6" xfId="43804" xr:uid="{00000000-0005-0000-0000-00006AAA0000}"/>
    <cellStyle name="Output 2 2 2 5 2 3" xfId="43805" xr:uid="{00000000-0005-0000-0000-00006BAA0000}"/>
    <cellStyle name="Output 2 2 2 5 2 3 2" xfId="43806" xr:uid="{00000000-0005-0000-0000-00006CAA0000}"/>
    <cellStyle name="Output 2 2 2 5 2 4" xfId="43807" xr:uid="{00000000-0005-0000-0000-00006DAA0000}"/>
    <cellStyle name="Output 2 2 2 5 2 4 2" xfId="43808" xr:uid="{00000000-0005-0000-0000-00006EAA0000}"/>
    <cellStyle name="Output 2 2 2 5 2 5" xfId="43809" xr:uid="{00000000-0005-0000-0000-00006FAA0000}"/>
    <cellStyle name="Output 2 2 2 5 2 6" xfId="43810" xr:uid="{00000000-0005-0000-0000-000070AA0000}"/>
    <cellStyle name="Output 2 2 2 5 2 7" xfId="43811" xr:uid="{00000000-0005-0000-0000-000071AA0000}"/>
    <cellStyle name="Output 2 2 2 5 3" xfId="43812" xr:uid="{00000000-0005-0000-0000-000072AA0000}"/>
    <cellStyle name="Output 2 2 2 5 3 2" xfId="43813" xr:uid="{00000000-0005-0000-0000-000073AA0000}"/>
    <cellStyle name="Output 2 2 2 5 3 2 2" xfId="43814" xr:uid="{00000000-0005-0000-0000-000074AA0000}"/>
    <cellStyle name="Output 2 2 2 5 3 3" xfId="43815" xr:uid="{00000000-0005-0000-0000-000075AA0000}"/>
    <cellStyle name="Output 2 2 2 5 3 3 2" xfId="43816" xr:uid="{00000000-0005-0000-0000-000076AA0000}"/>
    <cellStyle name="Output 2 2 2 5 3 4" xfId="43817" xr:uid="{00000000-0005-0000-0000-000077AA0000}"/>
    <cellStyle name="Output 2 2 2 5 3 5" xfId="43818" xr:uid="{00000000-0005-0000-0000-000078AA0000}"/>
    <cellStyle name="Output 2 2 2 5 3 6" xfId="43819" xr:uid="{00000000-0005-0000-0000-000079AA0000}"/>
    <cellStyle name="Output 2 2 2 5 4" xfId="43820" xr:uid="{00000000-0005-0000-0000-00007AAA0000}"/>
    <cellStyle name="Output 2 2 2 5 4 2" xfId="43821" xr:uid="{00000000-0005-0000-0000-00007BAA0000}"/>
    <cellStyle name="Output 2 2 2 5 5" xfId="43822" xr:uid="{00000000-0005-0000-0000-00007CAA0000}"/>
    <cellStyle name="Output 2 2 2 5 5 2" xfId="43823" xr:uid="{00000000-0005-0000-0000-00007DAA0000}"/>
    <cellStyle name="Output 2 2 2 5 6" xfId="43824" xr:uid="{00000000-0005-0000-0000-00007EAA0000}"/>
    <cellStyle name="Output 2 2 2 5 7" xfId="43825" xr:uid="{00000000-0005-0000-0000-00007FAA0000}"/>
    <cellStyle name="Output 2 2 2 5 8" xfId="43826" xr:uid="{00000000-0005-0000-0000-000080AA0000}"/>
    <cellStyle name="Output 2 2 2 6" xfId="43827" xr:uid="{00000000-0005-0000-0000-000081AA0000}"/>
    <cellStyle name="Output 2 2 2 6 2" xfId="43828" xr:uid="{00000000-0005-0000-0000-000082AA0000}"/>
    <cellStyle name="Output 2 2 2 6 2 2" xfId="43829" xr:uid="{00000000-0005-0000-0000-000083AA0000}"/>
    <cellStyle name="Output 2 2 2 6 2 2 2" xfId="43830" xr:uid="{00000000-0005-0000-0000-000084AA0000}"/>
    <cellStyle name="Output 2 2 2 6 2 3" xfId="43831" xr:uid="{00000000-0005-0000-0000-000085AA0000}"/>
    <cellStyle name="Output 2 2 2 6 2 3 2" xfId="43832" xr:uid="{00000000-0005-0000-0000-000086AA0000}"/>
    <cellStyle name="Output 2 2 2 6 2 4" xfId="43833" xr:uid="{00000000-0005-0000-0000-000087AA0000}"/>
    <cellStyle name="Output 2 2 2 6 2 5" xfId="43834" xr:uid="{00000000-0005-0000-0000-000088AA0000}"/>
    <cellStyle name="Output 2 2 2 6 2 6" xfId="43835" xr:uid="{00000000-0005-0000-0000-000089AA0000}"/>
    <cellStyle name="Output 2 2 2 6 3" xfId="43836" xr:uid="{00000000-0005-0000-0000-00008AAA0000}"/>
    <cellStyle name="Output 2 2 2 6 3 2" xfId="43837" xr:uid="{00000000-0005-0000-0000-00008BAA0000}"/>
    <cellStyle name="Output 2 2 2 6 4" xfId="43838" xr:uid="{00000000-0005-0000-0000-00008CAA0000}"/>
    <cellStyle name="Output 2 2 2 6 4 2" xfId="43839" xr:uid="{00000000-0005-0000-0000-00008DAA0000}"/>
    <cellStyle name="Output 2 2 2 6 5" xfId="43840" xr:uid="{00000000-0005-0000-0000-00008EAA0000}"/>
    <cellStyle name="Output 2 2 2 6 6" xfId="43841" xr:uid="{00000000-0005-0000-0000-00008FAA0000}"/>
    <cellStyle name="Output 2 2 2 6 7" xfId="43842" xr:uid="{00000000-0005-0000-0000-000090AA0000}"/>
    <cellStyle name="Output 2 2 2 7" xfId="43843" xr:uid="{00000000-0005-0000-0000-000091AA0000}"/>
    <cellStyle name="Output 2 2 2 7 2" xfId="43844" xr:uid="{00000000-0005-0000-0000-000092AA0000}"/>
    <cellStyle name="Output 2 2 2 7 2 2" xfId="43845" xr:uid="{00000000-0005-0000-0000-000093AA0000}"/>
    <cellStyle name="Output 2 2 2 7 3" xfId="43846" xr:uid="{00000000-0005-0000-0000-000094AA0000}"/>
    <cellStyle name="Output 2 2 2 7 3 2" xfId="43847" xr:uid="{00000000-0005-0000-0000-000095AA0000}"/>
    <cellStyle name="Output 2 2 2 7 4" xfId="43848" xr:uid="{00000000-0005-0000-0000-000096AA0000}"/>
    <cellStyle name="Output 2 2 2 7 5" xfId="43849" xr:uid="{00000000-0005-0000-0000-000097AA0000}"/>
    <cellStyle name="Output 2 2 2 7 6" xfId="43850" xr:uid="{00000000-0005-0000-0000-000098AA0000}"/>
    <cellStyle name="Output 2 2 2 8" xfId="43851" xr:uid="{00000000-0005-0000-0000-000099AA0000}"/>
    <cellStyle name="Output 2 2 2 8 2" xfId="43852" xr:uid="{00000000-0005-0000-0000-00009AAA0000}"/>
    <cellStyle name="Output 2 2 2 9" xfId="43853" xr:uid="{00000000-0005-0000-0000-00009BAA0000}"/>
    <cellStyle name="Output 2 2 2 9 2" xfId="43854" xr:uid="{00000000-0005-0000-0000-00009CAA0000}"/>
    <cellStyle name="Output 2 2 3" xfId="43855" xr:uid="{00000000-0005-0000-0000-00009DAA0000}"/>
    <cellStyle name="Output 2 2 3 10" xfId="43856" xr:uid="{00000000-0005-0000-0000-00009EAA0000}"/>
    <cellStyle name="Output 2 2 3 11" xfId="43857" xr:uid="{00000000-0005-0000-0000-00009FAA0000}"/>
    <cellStyle name="Output 2 2 3 12" xfId="43858" xr:uid="{00000000-0005-0000-0000-0000A0AA0000}"/>
    <cellStyle name="Output 2 2 3 2" xfId="43859" xr:uid="{00000000-0005-0000-0000-0000A1AA0000}"/>
    <cellStyle name="Output 2 2 3 2 10" xfId="43860" xr:uid="{00000000-0005-0000-0000-0000A2AA0000}"/>
    <cellStyle name="Output 2 2 3 2 2" xfId="43861" xr:uid="{00000000-0005-0000-0000-0000A3AA0000}"/>
    <cellStyle name="Output 2 2 3 2 2 2" xfId="43862" xr:uid="{00000000-0005-0000-0000-0000A4AA0000}"/>
    <cellStyle name="Output 2 2 3 2 2 2 2" xfId="43863" xr:uid="{00000000-0005-0000-0000-0000A5AA0000}"/>
    <cellStyle name="Output 2 2 3 2 2 2 2 2" xfId="43864" xr:uid="{00000000-0005-0000-0000-0000A6AA0000}"/>
    <cellStyle name="Output 2 2 3 2 2 2 2 2 2" xfId="43865" xr:uid="{00000000-0005-0000-0000-0000A7AA0000}"/>
    <cellStyle name="Output 2 2 3 2 2 2 2 2 2 2" xfId="43866" xr:uid="{00000000-0005-0000-0000-0000A8AA0000}"/>
    <cellStyle name="Output 2 2 3 2 2 2 2 2 3" xfId="43867" xr:uid="{00000000-0005-0000-0000-0000A9AA0000}"/>
    <cellStyle name="Output 2 2 3 2 2 2 2 2 3 2" xfId="43868" xr:uid="{00000000-0005-0000-0000-0000AAAA0000}"/>
    <cellStyle name="Output 2 2 3 2 2 2 2 2 4" xfId="43869" xr:uid="{00000000-0005-0000-0000-0000ABAA0000}"/>
    <cellStyle name="Output 2 2 3 2 2 2 2 2 5" xfId="43870" xr:uid="{00000000-0005-0000-0000-0000ACAA0000}"/>
    <cellStyle name="Output 2 2 3 2 2 2 2 2 6" xfId="43871" xr:uid="{00000000-0005-0000-0000-0000ADAA0000}"/>
    <cellStyle name="Output 2 2 3 2 2 2 2 3" xfId="43872" xr:uid="{00000000-0005-0000-0000-0000AEAA0000}"/>
    <cellStyle name="Output 2 2 3 2 2 2 2 3 2" xfId="43873" xr:uid="{00000000-0005-0000-0000-0000AFAA0000}"/>
    <cellStyle name="Output 2 2 3 2 2 2 2 4" xfId="43874" xr:uid="{00000000-0005-0000-0000-0000B0AA0000}"/>
    <cellStyle name="Output 2 2 3 2 2 2 2 4 2" xfId="43875" xr:uid="{00000000-0005-0000-0000-0000B1AA0000}"/>
    <cellStyle name="Output 2 2 3 2 2 2 2 5" xfId="43876" xr:uid="{00000000-0005-0000-0000-0000B2AA0000}"/>
    <cellStyle name="Output 2 2 3 2 2 2 2 6" xfId="43877" xr:uid="{00000000-0005-0000-0000-0000B3AA0000}"/>
    <cellStyle name="Output 2 2 3 2 2 2 2 7" xfId="43878" xr:uid="{00000000-0005-0000-0000-0000B4AA0000}"/>
    <cellStyle name="Output 2 2 3 2 2 2 3" xfId="43879" xr:uid="{00000000-0005-0000-0000-0000B5AA0000}"/>
    <cellStyle name="Output 2 2 3 2 2 2 3 2" xfId="43880" xr:uid="{00000000-0005-0000-0000-0000B6AA0000}"/>
    <cellStyle name="Output 2 2 3 2 2 2 3 2 2" xfId="43881" xr:uid="{00000000-0005-0000-0000-0000B7AA0000}"/>
    <cellStyle name="Output 2 2 3 2 2 2 3 3" xfId="43882" xr:uid="{00000000-0005-0000-0000-0000B8AA0000}"/>
    <cellStyle name="Output 2 2 3 2 2 2 3 3 2" xfId="43883" xr:uid="{00000000-0005-0000-0000-0000B9AA0000}"/>
    <cellStyle name="Output 2 2 3 2 2 2 3 4" xfId="43884" xr:uid="{00000000-0005-0000-0000-0000BAAA0000}"/>
    <cellStyle name="Output 2 2 3 2 2 2 3 5" xfId="43885" xr:uid="{00000000-0005-0000-0000-0000BBAA0000}"/>
    <cellStyle name="Output 2 2 3 2 2 2 3 6" xfId="43886" xr:uid="{00000000-0005-0000-0000-0000BCAA0000}"/>
    <cellStyle name="Output 2 2 3 2 2 2 4" xfId="43887" xr:uid="{00000000-0005-0000-0000-0000BDAA0000}"/>
    <cellStyle name="Output 2 2 3 2 2 2 4 2" xfId="43888" xr:uid="{00000000-0005-0000-0000-0000BEAA0000}"/>
    <cellStyle name="Output 2 2 3 2 2 2 5" xfId="43889" xr:uid="{00000000-0005-0000-0000-0000BFAA0000}"/>
    <cellStyle name="Output 2 2 3 2 2 2 5 2" xfId="43890" xr:uid="{00000000-0005-0000-0000-0000C0AA0000}"/>
    <cellStyle name="Output 2 2 3 2 2 2 6" xfId="43891" xr:uid="{00000000-0005-0000-0000-0000C1AA0000}"/>
    <cellStyle name="Output 2 2 3 2 2 2 7" xfId="43892" xr:uid="{00000000-0005-0000-0000-0000C2AA0000}"/>
    <cellStyle name="Output 2 2 3 2 2 2 8" xfId="43893" xr:uid="{00000000-0005-0000-0000-0000C3AA0000}"/>
    <cellStyle name="Output 2 2 3 2 2 3" xfId="43894" xr:uid="{00000000-0005-0000-0000-0000C4AA0000}"/>
    <cellStyle name="Output 2 2 3 2 2 3 2" xfId="43895" xr:uid="{00000000-0005-0000-0000-0000C5AA0000}"/>
    <cellStyle name="Output 2 2 3 2 2 3 2 2" xfId="43896" xr:uid="{00000000-0005-0000-0000-0000C6AA0000}"/>
    <cellStyle name="Output 2 2 3 2 2 3 2 2 2" xfId="43897" xr:uid="{00000000-0005-0000-0000-0000C7AA0000}"/>
    <cellStyle name="Output 2 2 3 2 2 3 2 3" xfId="43898" xr:uid="{00000000-0005-0000-0000-0000C8AA0000}"/>
    <cellStyle name="Output 2 2 3 2 2 3 2 3 2" xfId="43899" xr:uid="{00000000-0005-0000-0000-0000C9AA0000}"/>
    <cellStyle name="Output 2 2 3 2 2 3 2 4" xfId="43900" xr:uid="{00000000-0005-0000-0000-0000CAAA0000}"/>
    <cellStyle name="Output 2 2 3 2 2 3 2 5" xfId="43901" xr:uid="{00000000-0005-0000-0000-0000CBAA0000}"/>
    <cellStyle name="Output 2 2 3 2 2 3 2 6" xfId="43902" xr:uid="{00000000-0005-0000-0000-0000CCAA0000}"/>
    <cellStyle name="Output 2 2 3 2 2 3 3" xfId="43903" xr:uid="{00000000-0005-0000-0000-0000CDAA0000}"/>
    <cellStyle name="Output 2 2 3 2 2 3 3 2" xfId="43904" xr:uid="{00000000-0005-0000-0000-0000CEAA0000}"/>
    <cellStyle name="Output 2 2 3 2 2 3 4" xfId="43905" xr:uid="{00000000-0005-0000-0000-0000CFAA0000}"/>
    <cellStyle name="Output 2 2 3 2 2 3 4 2" xfId="43906" xr:uid="{00000000-0005-0000-0000-0000D0AA0000}"/>
    <cellStyle name="Output 2 2 3 2 2 3 5" xfId="43907" xr:uid="{00000000-0005-0000-0000-0000D1AA0000}"/>
    <cellStyle name="Output 2 2 3 2 2 3 6" xfId="43908" xr:uid="{00000000-0005-0000-0000-0000D2AA0000}"/>
    <cellStyle name="Output 2 2 3 2 2 3 7" xfId="43909" xr:uid="{00000000-0005-0000-0000-0000D3AA0000}"/>
    <cellStyle name="Output 2 2 3 2 2 4" xfId="43910" xr:uid="{00000000-0005-0000-0000-0000D4AA0000}"/>
    <cellStyle name="Output 2 2 3 2 2 4 2" xfId="43911" xr:uid="{00000000-0005-0000-0000-0000D5AA0000}"/>
    <cellStyle name="Output 2 2 3 2 2 4 2 2" xfId="43912" xr:uid="{00000000-0005-0000-0000-0000D6AA0000}"/>
    <cellStyle name="Output 2 2 3 2 2 4 3" xfId="43913" xr:uid="{00000000-0005-0000-0000-0000D7AA0000}"/>
    <cellStyle name="Output 2 2 3 2 2 4 3 2" xfId="43914" xr:uid="{00000000-0005-0000-0000-0000D8AA0000}"/>
    <cellStyle name="Output 2 2 3 2 2 4 4" xfId="43915" xr:uid="{00000000-0005-0000-0000-0000D9AA0000}"/>
    <cellStyle name="Output 2 2 3 2 2 4 5" xfId="43916" xr:uid="{00000000-0005-0000-0000-0000DAAA0000}"/>
    <cellStyle name="Output 2 2 3 2 2 4 6" xfId="43917" xr:uid="{00000000-0005-0000-0000-0000DBAA0000}"/>
    <cellStyle name="Output 2 2 3 2 2 5" xfId="43918" xr:uid="{00000000-0005-0000-0000-0000DCAA0000}"/>
    <cellStyle name="Output 2 2 3 2 2 5 2" xfId="43919" xr:uid="{00000000-0005-0000-0000-0000DDAA0000}"/>
    <cellStyle name="Output 2 2 3 2 2 6" xfId="43920" xr:uid="{00000000-0005-0000-0000-0000DEAA0000}"/>
    <cellStyle name="Output 2 2 3 2 2 6 2" xfId="43921" xr:uid="{00000000-0005-0000-0000-0000DFAA0000}"/>
    <cellStyle name="Output 2 2 3 2 2 7" xfId="43922" xr:uid="{00000000-0005-0000-0000-0000E0AA0000}"/>
    <cellStyle name="Output 2 2 3 2 2 8" xfId="43923" xr:uid="{00000000-0005-0000-0000-0000E1AA0000}"/>
    <cellStyle name="Output 2 2 3 2 2 9" xfId="43924" xr:uid="{00000000-0005-0000-0000-0000E2AA0000}"/>
    <cellStyle name="Output 2 2 3 2 3" xfId="43925" xr:uid="{00000000-0005-0000-0000-0000E3AA0000}"/>
    <cellStyle name="Output 2 2 3 2 3 2" xfId="43926" xr:uid="{00000000-0005-0000-0000-0000E4AA0000}"/>
    <cellStyle name="Output 2 2 3 2 3 2 2" xfId="43927" xr:uid="{00000000-0005-0000-0000-0000E5AA0000}"/>
    <cellStyle name="Output 2 2 3 2 3 2 2 2" xfId="43928" xr:uid="{00000000-0005-0000-0000-0000E6AA0000}"/>
    <cellStyle name="Output 2 2 3 2 3 2 2 2 2" xfId="43929" xr:uid="{00000000-0005-0000-0000-0000E7AA0000}"/>
    <cellStyle name="Output 2 2 3 2 3 2 2 3" xfId="43930" xr:uid="{00000000-0005-0000-0000-0000E8AA0000}"/>
    <cellStyle name="Output 2 2 3 2 3 2 2 3 2" xfId="43931" xr:uid="{00000000-0005-0000-0000-0000E9AA0000}"/>
    <cellStyle name="Output 2 2 3 2 3 2 2 4" xfId="43932" xr:uid="{00000000-0005-0000-0000-0000EAAA0000}"/>
    <cellStyle name="Output 2 2 3 2 3 2 2 5" xfId="43933" xr:uid="{00000000-0005-0000-0000-0000EBAA0000}"/>
    <cellStyle name="Output 2 2 3 2 3 2 2 6" xfId="43934" xr:uid="{00000000-0005-0000-0000-0000ECAA0000}"/>
    <cellStyle name="Output 2 2 3 2 3 2 3" xfId="43935" xr:uid="{00000000-0005-0000-0000-0000EDAA0000}"/>
    <cellStyle name="Output 2 2 3 2 3 2 3 2" xfId="43936" xr:uid="{00000000-0005-0000-0000-0000EEAA0000}"/>
    <cellStyle name="Output 2 2 3 2 3 2 4" xfId="43937" xr:uid="{00000000-0005-0000-0000-0000EFAA0000}"/>
    <cellStyle name="Output 2 2 3 2 3 2 4 2" xfId="43938" xr:uid="{00000000-0005-0000-0000-0000F0AA0000}"/>
    <cellStyle name="Output 2 2 3 2 3 2 5" xfId="43939" xr:uid="{00000000-0005-0000-0000-0000F1AA0000}"/>
    <cellStyle name="Output 2 2 3 2 3 2 6" xfId="43940" xr:uid="{00000000-0005-0000-0000-0000F2AA0000}"/>
    <cellStyle name="Output 2 2 3 2 3 2 7" xfId="43941" xr:uid="{00000000-0005-0000-0000-0000F3AA0000}"/>
    <cellStyle name="Output 2 2 3 2 3 3" xfId="43942" xr:uid="{00000000-0005-0000-0000-0000F4AA0000}"/>
    <cellStyle name="Output 2 2 3 2 3 3 2" xfId="43943" xr:uid="{00000000-0005-0000-0000-0000F5AA0000}"/>
    <cellStyle name="Output 2 2 3 2 3 3 2 2" xfId="43944" xr:uid="{00000000-0005-0000-0000-0000F6AA0000}"/>
    <cellStyle name="Output 2 2 3 2 3 3 3" xfId="43945" xr:uid="{00000000-0005-0000-0000-0000F7AA0000}"/>
    <cellStyle name="Output 2 2 3 2 3 3 3 2" xfId="43946" xr:uid="{00000000-0005-0000-0000-0000F8AA0000}"/>
    <cellStyle name="Output 2 2 3 2 3 3 4" xfId="43947" xr:uid="{00000000-0005-0000-0000-0000F9AA0000}"/>
    <cellStyle name="Output 2 2 3 2 3 3 5" xfId="43948" xr:uid="{00000000-0005-0000-0000-0000FAAA0000}"/>
    <cellStyle name="Output 2 2 3 2 3 3 6" xfId="43949" xr:uid="{00000000-0005-0000-0000-0000FBAA0000}"/>
    <cellStyle name="Output 2 2 3 2 3 4" xfId="43950" xr:uid="{00000000-0005-0000-0000-0000FCAA0000}"/>
    <cellStyle name="Output 2 2 3 2 3 4 2" xfId="43951" xr:uid="{00000000-0005-0000-0000-0000FDAA0000}"/>
    <cellStyle name="Output 2 2 3 2 3 5" xfId="43952" xr:uid="{00000000-0005-0000-0000-0000FEAA0000}"/>
    <cellStyle name="Output 2 2 3 2 3 5 2" xfId="43953" xr:uid="{00000000-0005-0000-0000-0000FFAA0000}"/>
    <cellStyle name="Output 2 2 3 2 3 6" xfId="43954" xr:uid="{00000000-0005-0000-0000-000000AB0000}"/>
    <cellStyle name="Output 2 2 3 2 3 7" xfId="43955" xr:uid="{00000000-0005-0000-0000-000001AB0000}"/>
    <cellStyle name="Output 2 2 3 2 3 8" xfId="43956" xr:uid="{00000000-0005-0000-0000-000002AB0000}"/>
    <cellStyle name="Output 2 2 3 2 4" xfId="43957" xr:uid="{00000000-0005-0000-0000-000003AB0000}"/>
    <cellStyle name="Output 2 2 3 2 4 2" xfId="43958" xr:uid="{00000000-0005-0000-0000-000004AB0000}"/>
    <cellStyle name="Output 2 2 3 2 4 2 2" xfId="43959" xr:uid="{00000000-0005-0000-0000-000005AB0000}"/>
    <cellStyle name="Output 2 2 3 2 4 2 2 2" xfId="43960" xr:uid="{00000000-0005-0000-0000-000006AB0000}"/>
    <cellStyle name="Output 2 2 3 2 4 2 3" xfId="43961" xr:uid="{00000000-0005-0000-0000-000007AB0000}"/>
    <cellStyle name="Output 2 2 3 2 4 2 3 2" xfId="43962" xr:uid="{00000000-0005-0000-0000-000008AB0000}"/>
    <cellStyle name="Output 2 2 3 2 4 2 4" xfId="43963" xr:uid="{00000000-0005-0000-0000-000009AB0000}"/>
    <cellStyle name="Output 2 2 3 2 4 2 5" xfId="43964" xr:uid="{00000000-0005-0000-0000-00000AAB0000}"/>
    <cellStyle name="Output 2 2 3 2 4 2 6" xfId="43965" xr:uid="{00000000-0005-0000-0000-00000BAB0000}"/>
    <cellStyle name="Output 2 2 3 2 4 3" xfId="43966" xr:uid="{00000000-0005-0000-0000-00000CAB0000}"/>
    <cellStyle name="Output 2 2 3 2 4 3 2" xfId="43967" xr:uid="{00000000-0005-0000-0000-00000DAB0000}"/>
    <cellStyle name="Output 2 2 3 2 4 4" xfId="43968" xr:uid="{00000000-0005-0000-0000-00000EAB0000}"/>
    <cellStyle name="Output 2 2 3 2 4 4 2" xfId="43969" xr:uid="{00000000-0005-0000-0000-00000FAB0000}"/>
    <cellStyle name="Output 2 2 3 2 4 5" xfId="43970" xr:uid="{00000000-0005-0000-0000-000010AB0000}"/>
    <cellStyle name="Output 2 2 3 2 4 6" xfId="43971" xr:uid="{00000000-0005-0000-0000-000011AB0000}"/>
    <cellStyle name="Output 2 2 3 2 4 7" xfId="43972" xr:uid="{00000000-0005-0000-0000-000012AB0000}"/>
    <cellStyle name="Output 2 2 3 2 5" xfId="43973" xr:uid="{00000000-0005-0000-0000-000013AB0000}"/>
    <cellStyle name="Output 2 2 3 2 5 2" xfId="43974" xr:uid="{00000000-0005-0000-0000-000014AB0000}"/>
    <cellStyle name="Output 2 2 3 2 5 2 2" xfId="43975" xr:uid="{00000000-0005-0000-0000-000015AB0000}"/>
    <cellStyle name="Output 2 2 3 2 5 3" xfId="43976" xr:uid="{00000000-0005-0000-0000-000016AB0000}"/>
    <cellStyle name="Output 2 2 3 2 5 3 2" xfId="43977" xr:uid="{00000000-0005-0000-0000-000017AB0000}"/>
    <cellStyle name="Output 2 2 3 2 5 4" xfId="43978" xr:uid="{00000000-0005-0000-0000-000018AB0000}"/>
    <cellStyle name="Output 2 2 3 2 5 5" xfId="43979" xr:uid="{00000000-0005-0000-0000-000019AB0000}"/>
    <cellStyle name="Output 2 2 3 2 5 6" xfId="43980" xr:uid="{00000000-0005-0000-0000-00001AAB0000}"/>
    <cellStyle name="Output 2 2 3 2 6" xfId="43981" xr:uid="{00000000-0005-0000-0000-00001BAB0000}"/>
    <cellStyle name="Output 2 2 3 2 6 2" xfId="43982" xr:uid="{00000000-0005-0000-0000-00001CAB0000}"/>
    <cellStyle name="Output 2 2 3 2 7" xfId="43983" xr:uid="{00000000-0005-0000-0000-00001DAB0000}"/>
    <cellStyle name="Output 2 2 3 2 7 2" xfId="43984" xr:uid="{00000000-0005-0000-0000-00001EAB0000}"/>
    <cellStyle name="Output 2 2 3 2 8" xfId="43985" xr:uid="{00000000-0005-0000-0000-00001FAB0000}"/>
    <cellStyle name="Output 2 2 3 2 9" xfId="43986" xr:uid="{00000000-0005-0000-0000-000020AB0000}"/>
    <cellStyle name="Output 2 2 3 3" xfId="43987" xr:uid="{00000000-0005-0000-0000-000021AB0000}"/>
    <cellStyle name="Output 2 2 3 3 2" xfId="43988" xr:uid="{00000000-0005-0000-0000-000022AB0000}"/>
    <cellStyle name="Output 2 2 3 3 2 2" xfId="43989" xr:uid="{00000000-0005-0000-0000-000023AB0000}"/>
    <cellStyle name="Output 2 2 3 3 2 2 2" xfId="43990" xr:uid="{00000000-0005-0000-0000-000024AB0000}"/>
    <cellStyle name="Output 2 2 3 3 2 2 2 2" xfId="43991" xr:uid="{00000000-0005-0000-0000-000025AB0000}"/>
    <cellStyle name="Output 2 2 3 3 2 2 2 2 2" xfId="43992" xr:uid="{00000000-0005-0000-0000-000026AB0000}"/>
    <cellStyle name="Output 2 2 3 3 2 2 2 3" xfId="43993" xr:uid="{00000000-0005-0000-0000-000027AB0000}"/>
    <cellStyle name="Output 2 2 3 3 2 2 2 3 2" xfId="43994" xr:uid="{00000000-0005-0000-0000-000028AB0000}"/>
    <cellStyle name="Output 2 2 3 3 2 2 2 4" xfId="43995" xr:uid="{00000000-0005-0000-0000-000029AB0000}"/>
    <cellStyle name="Output 2 2 3 3 2 2 2 5" xfId="43996" xr:uid="{00000000-0005-0000-0000-00002AAB0000}"/>
    <cellStyle name="Output 2 2 3 3 2 2 2 6" xfId="43997" xr:uid="{00000000-0005-0000-0000-00002BAB0000}"/>
    <cellStyle name="Output 2 2 3 3 2 2 3" xfId="43998" xr:uid="{00000000-0005-0000-0000-00002CAB0000}"/>
    <cellStyle name="Output 2 2 3 3 2 2 3 2" xfId="43999" xr:uid="{00000000-0005-0000-0000-00002DAB0000}"/>
    <cellStyle name="Output 2 2 3 3 2 2 4" xfId="44000" xr:uid="{00000000-0005-0000-0000-00002EAB0000}"/>
    <cellStyle name="Output 2 2 3 3 2 2 4 2" xfId="44001" xr:uid="{00000000-0005-0000-0000-00002FAB0000}"/>
    <cellStyle name="Output 2 2 3 3 2 2 5" xfId="44002" xr:uid="{00000000-0005-0000-0000-000030AB0000}"/>
    <cellStyle name="Output 2 2 3 3 2 2 6" xfId="44003" xr:uid="{00000000-0005-0000-0000-000031AB0000}"/>
    <cellStyle name="Output 2 2 3 3 2 2 7" xfId="44004" xr:uid="{00000000-0005-0000-0000-000032AB0000}"/>
    <cellStyle name="Output 2 2 3 3 2 3" xfId="44005" xr:uid="{00000000-0005-0000-0000-000033AB0000}"/>
    <cellStyle name="Output 2 2 3 3 2 3 2" xfId="44006" xr:uid="{00000000-0005-0000-0000-000034AB0000}"/>
    <cellStyle name="Output 2 2 3 3 2 3 2 2" xfId="44007" xr:uid="{00000000-0005-0000-0000-000035AB0000}"/>
    <cellStyle name="Output 2 2 3 3 2 3 3" xfId="44008" xr:uid="{00000000-0005-0000-0000-000036AB0000}"/>
    <cellStyle name="Output 2 2 3 3 2 3 3 2" xfId="44009" xr:uid="{00000000-0005-0000-0000-000037AB0000}"/>
    <cellStyle name="Output 2 2 3 3 2 3 4" xfId="44010" xr:uid="{00000000-0005-0000-0000-000038AB0000}"/>
    <cellStyle name="Output 2 2 3 3 2 3 5" xfId="44011" xr:uid="{00000000-0005-0000-0000-000039AB0000}"/>
    <cellStyle name="Output 2 2 3 3 2 3 6" xfId="44012" xr:uid="{00000000-0005-0000-0000-00003AAB0000}"/>
    <cellStyle name="Output 2 2 3 3 2 4" xfId="44013" xr:uid="{00000000-0005-0000-0000-00003BAB0000}"/>
    <cellStyle name="Output 2 2 3 3 2 4 2" xfId="44014" xr:uid="{00000000-0005-0000-0000-00003CAB0000}"/>
    <cellStyle name="Output 2 2 3 3 2 5" xfId="44015" xr:uid="{00000000-0005-0000-0000-00003DAB0000}"/>
    <cellStyle name="Output 2 2 3 3 2 5 2" xfId="44016" xr:uid="{00000000-0005-0000-0000-00003EAB0000}"/>
    <cellStyle name="Output 2 2 3 3 2 6" xfId="44017" xr:uid="{00000000-0005-0000-0000-00003FAB0000}"/>
    <cellStyle name="Output 2 2 3 3 2 7" xfId="44018" xr:uid="{00000000-0005-0000-0000-000040AB0000}"/>
    <cellStyle name="Output 2 2 3 3 2 8" xfId="44019" xr:uid="{00000000-0005-0000-0000-000041AB0000}"/>
    <cellStyle name="Output 2 2 3 3 3" xfId="44020" xr:uid="{00000000-0005-0000-0000-000042AB0000}"/>
    <cellStyle name="Output 2 2 3 3 3 2" xfId="44021" xr:uid="{00000000-0005-0000-0000-000043AB0000}"/>
    <cellStyle name="Output 2 2 3 3 3 2 2" xfId="44022" xr:uid="{00000000-0005-0000-0000-000044AB0000}"/>
    <cellStyle name="Output 2 2 3 3 3 2 2 2" xfId="44023" xr:uid="{00000000-0005-0000-0000-000045AB0000}"/>
    <cellStyle name="Output 2 2 3 3 3 2 3" xfId="44024" xr:uid="{00000000-0005-0000-0000-000046AB0000}"/>
    <cellStyle name="Output 2 2 3 3 3 2 3 2" xfId="44025" xr:uid="{00000000-0005-0000-0000-000047AB0000}"/>
    <cellStyle name="Output 2 2 3 3 3 2 4" xfId="44026" xr:uid="{00000000-0005-0000-0000-000048AB0000}"/>
    <cellStyle name="Output 2 2 3 3 3 2 5" xfId="44027" xr:uid="{00000000-0005-0000-0000-000049AB0000}"/>
    <cellStyle name="Output 2 2 3 3 3 2 6" xfId="44028" xr:uid="{00000000-0005-0000-0000-00004AAB0000}"/>
    <cellStyle name="Output 2 2 3 3 3 3" xfId="44029" xr:uid="{00000000-0005-0000-0000-00004BAB0000}"/>
    <cellStyle name="Output 2 2 3 3 3 3 2" xfId="44030" xr:uid="{00000000-0005-0000-0000-00004CAB0000}"/>
    <cellStyle name="Output 2 2 3 3 3 4" xfId="44031" xr:uid="{00000000-0005-0000-0000-00004DAB0000}"/>
    <cellStyle name="Output 2 2 3 3 3 4 2" xfId="44032" xr:uid="{00000000-0005-0000-0000-00004EAB0000}"/>
    <cellStyle name="Output 2 2 3 3 3 5" xfId="44033" xr:uid="{00000000-0005-0000-0000-00004FAB0000}"/>
    <cellStyle name="Output 2 2 3 3 3 6" xfId="44034" xr:uid="{00000000-0005-0000-0000-000050AB0000}"/>
    <cellStyle name="Output 2 2 3 3 3 7" xfId="44035" xr:uid="{00000000-0005-0000-0000-000051AB0000}"/>
    <cellStyle name="Output 2 2 3 3 4" xfId="44036" xr:uid="{00000000-0005-0000-0000-000052AB0000}"/>
    <cellStyle name="Output 2 2 3 3 4 2" xfId="44037" xr:uid="{00000000-0005-0000-0000-000053AB0000}"/>
    <cellStyle name="Output 2 2 3 3 4 2 2" xfId="44038" xr:uid="{00000000-0005-0000-0000-000054AB0000}"/>
    <cellStyle name="Output 2 2 3 3 4 3" xfId="44039" xr:uid="{00000000-0005-0000-0000-000055AB0000}"/>
    <cellStyle name="Output 2 2 3 3 4 3 2" xfId="44040" xr:uid="{00000000-0005-0000-0000-000056AB0000}"/>
    <cellStyle name="Output 2 2 3 3 4 4" xfId="44041" xr:uid="{00000000-0005-0000-0000-000057AB0000}"/>
    <cellStyle name="Output 2 2 3 3 4 5" xfId="44042" xr:uid="{00000000-0005-0000-0000-000058AB0000}"/>
    <cellStyle name="Output 2 2 3 3 4 6" xfId="44043" xr:uid="{00000000-0005-0000-0000-000059AB0000}"/>
    <cellStyle name="Output 2 2 3 3 5" xfId="44044" xr:uid="{00000000-0005-0000-0000-00005AAB0000}"/>
    <cellStyle name="Output 2 2 3 3 5 2" xfId="44045" xr:uid="{00000000-0005-0000-0000-00005BAB0000}"/>
    <cellStyle name="Output 2 2 3 3 6" xfId="44046" xr:uid="{00000000-0005-0000-0000-00005CAB0000}"/>
    <cellStyle name="Output 2 2 3 3 6 2" xfId="44047" xr:uid="{00000000-0005-0000-0000-00005DAB0000}"/>
    <cellStyle name="Output 2 2 3 3 7" xfId="44048" xr:uid="{00000000-0005-0000-0000-00005EAB0000}"/>
    <cellStyle name="Output 2 2 3 3 8" xfId="44049" xr:uid="{00000000-0005-0000-0000-00005FAB0000}"/>
    <cellStyle name="Output 2 2 3 3 9" xfId="44050" xr:uid="{00000000-0005-0000-0000-000060AB0000}"/>
    <cellStyle name="Output 2 2 3 4" xfId="44051" xr:uid="{00000000-0005-0000-0000-000061AB0000}"/>
    <cellStyle name="Output 2 2 3 4 10" xfId="44052" xr:uid="{00000000-0005-0000-0000-000062AB0000}"/>
    <cellStyle name="Output 2 2 3 4 2" xfId="44053" xr:uid="{00000000-0005-0000-0000-000063AB0000}"/>
    <cellStyle name="Output 2 2 3 4 2 2" xfId="44054" xr:uid="{00000000-0005-0000-0000-000064AB0000}"/>
    <cellStyle name="Output 2 2 3 4 2 2 2" xfId="44055" xr:uid="{00000000-0005-0000-0000-000065AB0000}"/>
    <cellStyle name="Output 2 2 3 4 2 2 2 2" xfId="44056" xr:uid="{00000000-0005-0000-0000-000066AB0000}"/>
    <cellStyle name="Output 2 2 3 4 2 2 2 2 2" xfId="44057" xr:uid="{00000000-0005-0000-0000-000067AB0000}"/>
    <cellStyle name="Output 2 2 3 4 2 2 2 2 2 2" xfId="44058" xr:uid="{00000000-0005-0000-0000-000068AB0000}"/>
    <cellStyle name="Output 2 2 3 4 2 2 2 2 3" xfId="44059" xr:uid="{00000000-0005-0000-0000-000069AB0000}"/>
    <cellStyle name="Output 2 2 3 4 2 2 2 2 3 2" xfId="44060" xr:uid="{00000000-0005-0000-0000-00006AAB0000}"/>
    <cellStyle name="Output 2 2 3 4 2 2 2 2 4" xfId="44061" xr:uid="{00000000-0005-0000-0000-00006BAB0000}"/>
    <cellStyle name="Output 2 2 3 4 2 2 2 2 5" xfId="44062" xr:uid="{00000000-0005-0000-0000-00006CAB0000}"/>
    <cellStyle name="Output 2 2 3 4 2 2 2 2 6" xfId="44063" xr:uid="{00000000-0005-0000-0000-00006DAB0000}"/>
    <cellStyle name="Output 2 2 3 4 2 2 2 3" xfId="44064" xr:uid="{00000000-0005-0000-0000-00006EAB0000}"/>
    <cellStyle name="Output 2 2 3 4 2 2 2 3 2" xfId="44065" xr:uid="{00000000-0005-0000-0000-00006FAB0000}"/>
    <cellStyle name="Output 2 2 3 4 2 2 2 4" xfId="44066" xr:uid="{00000000-0005-0000-0000-000070AB0000}"/>
    <cellStyle name="Output 2 2 3 4 2 2 2 4 2" xfId="44067" xr:uid="{00000000-0005-0000-0000-000071AB0000}"/>
    <cellStyle name="Output 2 2 3 4 2 2 2 5" xfId="44068" xr:uid="{00000000-0005-0000-0000-000072AB0000}"/>
    <cellStyle name="Output 2 2 3 4 2 2 2 6" xfId="44069" xr:uid="{00000000-0005-0000-0000-000073AB0000}"/>
    <cellStyle name="Output 2 2 3 4 2 2 2 7" xfId="44070" xr:uid="{00000000-0005-0000-0000-000074AB0000}"/>
    <cellStyle name="Output 2 2 3 4 2 2 3" xfId="44071" xr:uid="{00000000-0005-0000-0000-000075AB0000}"/>
    <cellStyle name="Output 2 2 3 4 2 2 3 2" xfId="44072" xr:uid="{00000000-0005-0000-0000-000076AB0000}"/>
    <cellStyle name="Output 2 2 3 4 2 2 3 2 2" xfId="44073" xr:uid="{00000000-0005-0000-0000-000077AB0000}"/>
    <cellStyle name="Output 2 2 3 4 2 2 3 3" xfId="44074" xr:uid="{00000000-0005-0000-0000-000078AB0000}"/>
    <cellStyle name="Output 2 2 3 4 2 2 3 3 2" xfId="44075" xr:uid="{00000000-0005-0000-0000-000079AB0000}"/>
    <cellStyle name="Output 2 2 3 4 2 2 3 4" xfId="44076" xr:uid="{00000000-0005-0000-0000-00007AAB0000}"/>
    <cellStyle name="Output 2 2 3 4 2 2 3 5" xfId="44077" xr:uid="{00000000-0005-0000-0000-00007BAB0000}"/>
    <cellStyle name="Output 2 2 3 4 2 2 3 6" xfId="44078" xr:uid="{00000000-0005-0000-0000-00007CAB0000}"/>
    <cellStyle name="Output 2 2 3 4 2 2 4" xfId="44079" xr:uid="{00000000-0005-0000-0000-00007DAB0000}"/>
    <cellStyle name="Output 2 2 3 4 2 2 4 2" xfId="44080" xr:uid="{00000000-0005-0000-0000-00007EAB0000}"/>
    <cellStyle name="Output 2 2 3 4 2 2 5" xfId="44081" xr:uid="{00000000-0005-0000-0000-00007FAB0000}"/>
    <cellStyle name="Output 2 2 3 4 2 2 5 2" xfId="44082" xr:uid="{00000000-0005-0000-0000-000080AB0000}"/>
    <cellStyle name="Output 2 2 3 4 2 2 6" xfId="44083" xr:uid="{00000000-0005-0000-0000-000081AB0000}"/>
    <cellStyle name="Output 2 2 3 4 2 2 7" xfId="44084" xr:uid="{00000000-0005-0000-0000-000082AB0000}"/>
    <cellStyle name="Output 2 2 3 4 2 2 8" xfId="44085" xr:uid="{00000000-0005-0000-0000-000083AB0000}"/>
    <cellStyle name="Output 2 2 3 4 2 3" xfId="44086" xr:uid="{00000000-0005-0000-0000-000084AB0000}"/>
    <cellStyle name="Output 2 2 3 4 2 3 2" xfId="44087" xr:uid="{00000000-0005-0000-0000-000085AB0000}"/>
    <cellStyle name="Output 2 2 3 4 2 3 2 2" xfId="44088" xr:uid="{00000000-0005-0000-0000-000086AB0000}"/>
    <cellStyle name="Output 2 2 3 4 2 3 2 2 2" xfId="44089" xr:uid="{00000000-0005-0000-0000-000087AB0000}"/>
    <cellStyle name="Output 2 2 3 4 2 3 2 3" xfId="44090" xr:uid="{00000000-0005-0000-0000-000088AB0000}"/>
    <cellStyle name="Output 2 2 3 4 2 3 2 3 2" xfId="44091" xr:uid="{00000000-0005-0000-0000-000089AB0000}"/>
    <cellStyle name="Output 2 2 3 4 2 3 2 4" xfId="44092" xr:uid="{00000000-0005-0000-0000-00008AAB0000}"/>
    <cellStyle name="Output 2 2 3 4 2 3 2 5" xfId="44093" xr:uid="{00000000-0005-0000-0000-00008BAB0000}"/>
    <cellStyle name="Output 2 2 3 4 2 3 2 6" xfId="44094" xr:uid="{00000000-0005-0000-0000-00008CAB0000}"/>
    <cellStyle name="Output 2 2 3 4 2 3 3" xfId="44095" xr:uid="{00000000-0005-0000-0000-00008DAB0000}"/>
    <cellStyle name="Output 2 2 3 4 2 3 3 2" xfId="44096" xr:uid="{00000000-0005-0000-0000-00008EAB0000}"/>
    <cellStyle name="Output 2 2 3 4 2 3 4" xfId="44097" xr:uid="{00000000-0005-0000-0000-00008FAB0000}"/>
    <cellStyle name="Output 2 2 3 4 2 3 4 2" xfId="44098" xr:uid="{00000000-0005-0000-0000-000090AB0000}"/>
    <cellStyle name="Output 2 2 3 4 2 3 5" xfId="44099" xr:uid="{00000000-0005-0000-0000-000091AB0000}"/>
    <cellStyle name="Output 2 2 3 4 2 3 6" xfId="44100" xr:uid="{00000000-0005-0000-0000-000092AB0000}"/>
    <cellStyle name="Output 2 2 3 4 2 3 7" xfId="44101" xr:uid="{00000000-0005-0000-0000-000093AB0000}"/>
    <cellStyle name="Output 2 2 3 4 2 4" xfId="44102" xr:uid="{00000000-0005-0000-0000-000094AB0000}"/>
    <cellStyle name="Output 2 2 3 4 2 4 2" xfId="44103" xr:uid="{00000000-0005-0000-0000-000095AB0000}"/>
    <cellStyle name="Output 2 2 3 4 2 4 2 2" xfId="44104" xr:uid="{00000000-0005-0000-0000-000096AB0000}"/>
    <cellStyle name="Output 2 2 3 4 2 4 3" xfId="44105" xr:uid="{00000000-0005-0000-0000-000097AB0000}"/>
    <cellStyle name="Output 2 2 3 4 2 4 3 2" xfId="44106" xr:uid="{00000000-0005-0000-0000-000098AB0000}"/>
    <cellStyle name="Output 2 2 3 4 2 4 4" xfId="44107" xr:uid="{00000000-0005-0000-0000-000099AB0000}"/>
    <cellStyle name="Output 2 2 3 4 2 4 5" xfId="44108" xr:uid="{00000000-0005-0000-0000-00009AAB0000}"/>
    <cellStyle name="Output 2 2 3 4 2 4 6" xfId="44109" xr:uid="{00000000-0005-0000-0000-00009BAB0000}"/>
    <cellStyle name="Output 2 2 3 4 2 5" xfId="44110" xr:uid="{00000000-0005-0000-0000-00009CAB0000}"/>
    <cellStyle name="Output 2 2 3 4 2 5 2" xfId="44111" xr:uid="{00000000-0005-0000-0000-00009DAB0000}"/>
    <cellStyle name="Output 2 2 3 4 2 6" xfId="44112" xr:uid="{00000000-0005-0000-0000-00009EAB0000}"/>
    <cellStyle name="Output 2 2 3 4 2 6 2" xfId="44113" xr:uid="{00000000-0005-0000-0000-00009FAB0000}"/>
    <cellStyle name="Output 2 2 3 4 2 7" xfId="44114" xr:uid="{00000000-0005-0000-0000-0000A0AB0000}"/>
    <cellStyle name="Output 2 2 3 4 2 8" xfId="44115" xr:uid="{00000000-0005-0000-0000-0000A1AB0000}"/>
    <cellStyle name="Output 2 2 3 4 2 9" xfId="44116" xr:uid="{00000000-0005-0000-0000-0000A2AB0000}"/>
    <cellStyle name="Output 2 2 3 4 3" xfId="44117" xr:uid="{00000000-0005-0000-0000-0000A3AB0000}"/>
    <cellStyle name="Output 2 2 3 4 3 2" xfId="44118" xr:uid="{00000000-0005-0000-0000-0000A4AB0000}"/>
    <cellStyle name="Output 2 2 3 4 3 2 2" xfId="44119" xr:uid="{00000000-0005-0000-0000-0000A5AB0000}"/>
    <cellStyle name="Output 2 2 3 4 3 2 2 2" xfId="44120" xr:uid="{00000000-0005-0000-0000-0000A6AB0000}"/>
    <cellStyle name="Output 2 2 3 4 3 2 2 2 2" xfId="44121" xr:uid="{00000000-0005-0000-0000-0000A7AB0000}"/>
    <cellStyle name="Output 2 2 3 4 3 2 2 3" xfId="44122" xr:uid="{00000000-0005-0000-0000-0000A8AB0000}"/>
    <cellStyle name="Output 2 2 3 4 3 2 2 3 2" xfId="44123" xr:uid="{00000000-0005-0000-0000-0000A9AB0000}"/>
    <cellStyle name="Output 2 2 3 4 3 2 2 4" xfId="44124" xr:uid="{00000000-0005-0000-0000-0000AAAB0000}"/>
    <cellStyle name="Output 2 2 3 4 3 2 2 5" xfId="44125" xr:uid="{00000000-0005-0000-0000-0000ABAB0000}"/>
    <cellStyle name="Output 2 2 3 4 3 2 2 6" xfId="44126" xr:uid="{00000000-0005-0000-0000-0000ACAB0000}"/>
    <cellStyle name="Output 2 2 3 4 3 2 3" xfId="44127" xr:uid="{00000000-0005-0000-0000-0000ADAB0000}"/>
    <cellStyle name="Output 2 2 3 4 3 2 3 2" xfId="44128" xr:uid="{00000000-0005-0000-0000-0000AEAB0000}"/>
    <cellStyle name="Output 2 2 3 4 3 2 4" xfId="44129" xr:uid="{00000000-0005-0000-0000-0000AFAB0000}"/>
    <cellStyle name="Output 2 2 3 4 3 2 4 2" xfId="44130" xr:uid="{00000000-0005-0000-0000-0000B0AB0000}"/>
    <cellStyle name="Output 2 2 3 4 3 2 5" xfId="44131" xr:uid="{00000000-0005-0000-0000-0000B1AB0000}"/>
    <cellStyle name="Output 2 2 3 4 3 2 6" xfId="44132" xr:uid="{00000000-0005-0000-0000-0000B2AB0000}"/>
    <cellStyle name="Output 2 2 3 4 3 2 7" xfId="44133" xr:uid="{00000000-0005-0000-0000-0000B3AB0000}"/>
    <cellStyle name="Output 2 2 3 4 3 3" xfId="44134" xr:uid="{00000000-0005-0000-0000-0000B4AB0000}"/>
    <cellStyle name="Output 2 2 3 4 3 3 2" xfId="44135" xr:uid="{00000000-0005-0000-0000-0000B5AB0000}"/>
    <cellStyle name="Output 2 2 3 4 3 3 2 2" xfId="44136" xr:uid="{00000000-0005-0000-0000-0000B6AB0000}"/>
    <cellStyle name="Output 2 2 3 4 3 3 3" xfId="44137" xr:uid="{00000000-0005-0000-0000-0000B7AB0000}"/>
    <cellStyle name="Output 2 2 3 4 3 3 3 2" xfId="44138" xr:uid="{00000000-0005-0000-0000-0000B8AB0000}"/>
    <cellStyle name="Output 2 2 3 4 3 3 4" xfId="44139" xr:uid="{00000000-0005-0000-0000-0000B9AB0000}"/>
    <cellStyle name="Output 2 2 3 4 3 3 5" xfId="44140" xr:uid="{00000000-0005-0000-0000-0000BAAB0000}"/>
    <cellStyle name="Output 2 2 3 4 3 3 6" xfId="44141" xr:uid="{00000000-0005-0000-0000-0000BBAB0000}"/>
    <cellStyle name="Output 2 2 3 4 3 4" xfId="44142" xr:uid="{00000000-0005-0000-0000-0000BCAB0000}"/>
    <cellStyle name="Output 2 2 3 4 3 4 2" xfId="44143" xr:uid="{00000000-0005-0000-0000-0000BDAB0000}"/>
    <cellStyle name="Output 2 2 3 4 3 5" xfId="44144" xr:uid="{00000000-0005-0000-0000-0000BEAB0000}"/>
    <cellStyle name="Output 2 2 3 4 3 5 2" xfId="44145" xr:uid="{00000000-0005-0000-0000-0000BFAB0000}"/>
    <cellStyle name="Output 2 2 3 4 3 6" xfId="44146" xr:uid="{00000000-0005-0000-0000-0000C0AB0000}"/>
    <cellStyle name="Output 2 2 3 4 3 7" xfId="44147" xr:uid="{00000000-0005-0000-0000-0000C1AB0000}"/>
    <cellStyle name="Output 2 2 3 4 3 8" xfId="44148" xr:uid="{00000000-0005-0000-0000-0000C2AB0000}"/>
    <cellStyle name="Output 2 2 3 4 4" xfId="44149" xr:uid="{00000000-0005-0000-0000-0000C3AB0000}"/>
    <cellStyle name="Output 2 2 3 4 4 2" xfId="44150" xr:uid="{00000000-0005-0000-0000-0000C4AB0000}"/>
    <cellStyle name="Output 2 2 3 4 4 2 2" xfId="44151" xr:uid="{00000000-0005-0000-0000-0000C5AB0000}"/>
    <cellStyle name="Output 2 2 3 4 4 2 2 2" xfId="44152" xr:uid="{00000000-0005-0000-0000-0000C6AB0000}"/>
    <cellStyle name="Output 2 2 3 4 4 2 3" xfId="44153" xr:uid="{00000000-0005-0000-0000-0000C7AB0000}"/>
    <cellStyle name="Output 2 2 3 4 4 2 3 2" xfId="44154" xr:uid="{00000000-0005-0000-0000-0000C8AB0000}"/>
    <cellStyle name="Output 2 2 3 4 4 2 4" xfId="44155" xr:uid="{00000000-0005-0000-0000-0000C9AB0000}"/>
    <cellStyle name="Output 2 2 3 4 4 2 5" xfId="44156" xr:uid="{00000000-0005-0000-0000-0000CAAB0000}"/>
    <cellStyle name="Output 2 2 3 4 4 2 6" xfId="44157" xr:uid="{00000000-0005-0000-0000-0000CBAB0000}"/>
    <cellStyle name="Output 2 2 3 4 4 3" xfId="44158" xr:uid="{00000000-0005-0000-0000-0000CCAB0000}"/>
    <cellStyle name="Output 2 2 3 4 4 3 2" xfId="44159" xr:uid="{00000000-0005-0000-0000-0000CDAB0000}"/>
    <cellStyle name="Output 2 2 3 4 4 4" xfId="44160" xr:uid="{00000000-0005-0000-0000-0000CEAB0000}"/>
    <cellStyle name="Output 2 2 3 4 4 4 2" xfId="44161" xr:uid="{00000000-0005-0000-0000-0000CFAB0000}"/>
    <cellStyle name="Output 2 2 3 4 4 5" xfId="44162" xr:uid="{00000000-0005-0000-0000-0000D0AB0000}"/>
    <cellStyle name="Output 2 2 3 4 4 6" xfId="44163" xr:uid="{00000000-0005-0000-0000-0000D1AB0000}"/>
    <cellStyle name="Output 2 2 3 4 4 7" xfId="44164" xr:uid="{00000000-0005-0000-0000-0000D2AB0000}"/>
    <cellStyle name="Output 2 2 3 4 5" xfId="44165" xr:uid="{00000000-0005-0000-0000-0000D3AB0000}"/>
    <cellStyle name="Output 2 2 3 4 5 2" xfId="44166" xr:uid="{00000000-0005-0000-0000-0000D4AB0000}"/>
    <cellStyle name="Output 2 2 3 4 5 2 2" xfId="44167" xr:uid="{00000000-0005-0000-0000-0000D5AB0000}"/>
    <cellStyle name="Output 2 2 3 4 5 3" xfId="44168" xr:uid="{00000000-0005-0000-0000-0000D6AB0000}"/>
    <cellStyle name="Output 2 2 3 4 5 3 2" xfId="44169" xr:uid="{00000000-0005-0000-0000-0000D7AB0000}"/>
    <cellStyle name="Output 2 2 3 4 5 4" xfId="44170" xr:uid="{00000000-0005-0000-0000-0000D8AB0000}"/>
    <cellStyle name="Output 2 2 3 4 5 5" xfId="44171" xr:uid="{00000000-0005-0000-0000-0000D9AB0000}"/>
    <cellStyle name="Output 2 2 3 4 5 6" xfId="44172" xr:uid="{00000000-0005-0000-0000-0000DAAB0000}"/>
    <cellStyle name="Output 2 2 3 4 6" xfId="44173" xr:uid="{00000000-0005-0000-0000-0000DBAB0000}"/>
    <cellStyle name="Output 2 2 3 4 6 2" xfId="44174" xr:uid="{00000000-0005-0000-0000-0000DCAB0000}"/>
    <cellStyle name="Output 2 2 3 4 7" xfId="44175" xr:uid="{00000000-0005-0000-0000-0000DDAB0000}"/>
    <cellStyle name="Output 2 2 3 4 7 2" xfId="44176" xr:uid="{00000000-0005-0000-0000-0000DEAB0000}"/>
    <cellStyle name="Output 2 2 3 4 8" xfId="44177" xr:uid="{00000000-0005-0000-0000-0000DFAB0000}"/>
    <cellStyle name="Output 2 2 3 4 9" xfId="44178" xr:uid="{00000000-0005-0000-0000-0000E0AB0000}"/>
    <cellStyle name="Output 2 2 3 5" xfId="44179" xr:uid="{00000000-0005-0000-0000-0000E1AB0000}"/>
    <cellStyle name="Output 2 2 3 5 2" xfId="44180" xr:uid="{00000000-0005-0000-0000-0000E2AB0000}"/>
    <cellStyle name="Output 2 2 3 5 2 2" xfId="44181" xr:uid="{00000000-0005-0000-0000-0000E3AB0000}"/>
    <cellStyle name="Output 2 2 3 5 2 2 2" xfId="44182" xr:uid="{00000000-0005-0000-0000-0000E4AB0000}"/>
    <cellStyle name="Output 2 2 3 5 2 2 2 2" xfId="44183" xr:uid="{00000000-0005-0000-0000-0000E5AB0000}"/>
    <cellStyle name="Output 2 2 3 5 2 2 3" xfId="44184" xr:uid="{00000000-0005-0000-0000-0000E6AB0000}"/>
    <cellStyle name="Output 2 2 3 5 2 2 3 2" xfId="44185" xr:uid="{00000000-0005-0000-0000-0000E7AB0000}"/>
    <cellStyle name="Output 2 2 3 5 2 2 4" xfId="44186" xr:uid="{00000000-0005-0000-0000-0000E8AB0000}"/>
    <cellStyle name="Output 2 2 3 5 2 2 5" xfId="44187" xr:uid="{00000000-0005-0000-0000-0000E9AB0000}"/>
    <cellStyle name="Output 2 2 3 5 2 2 6" xfId="44188" xr:uid="{00000000-0005-0000-0000-0000EAAB0000}"/>
    <cellStyle name="Output 2 2 3 5 2 3" xfId="44189" xr:uid="{00000000-0005-0000-0000-0000EBAB0000}"/>
    <cellStyle name="Output 2 2 3 5 2 3 2" xfId="44190" xr:uid="{00000000-0005-0000-0000-0000ECAB0000}"/>
    <cellStyle name="Output 2 2 3 5 2 4" xfId="44191" xr:uid="{00000000-0005-0000-0000-0000EDAB0000}"/>
    <cellStyle name="Output 2 2 3 5 2 4 2" xfId="44192" xr:uid="{00000000-0005-0000-0000-0000EEAB0000}"/>
    <cellStyle name="Output 2 2 3 5 2 5" xfId="44193" xr:uid="{00000000-0005-0000-0000-0000EFAB0000}"/>
    <cellStyle name="Output 2 2 3 5 2 6" xfId="44194" xr:uid="{00000000-0005-0000-0000-0000F0AB0000}"/>
    <cellStyle name="Output 2 2 3 5 2 7" xfId="44195" xr:uid="{00000000-0005-0000-0000-0000F1AB0000}"/>
    <cellStyle name="Output 2 2 3 5 3" xfId="44196" xr:uid="{00000000-0005-0000-0000-0000F2AB0000}"/>
    <cellStyle name="Output 2 2 3 5 3 2" xfId="44197" xr:uid="{00000000-0005-0000-0000-0000F3AB0000}"/>
    <cellStyle name="Output 2 2 3 5 3 2 2" xfId="44198" xr:uid="{00000000-0005-0000-0000-0000F4AB0000}"/>
    <cellStyle name="Output 2 2 3 5 3 3" xfId="44199" xr:uid="{00000000-0005-0000-0000-0000F5AB0000}"/>
    <cellStyle name="Output 2 2 3 5 3 3 2" xfId="44200" xr:uid="{00000000-0005-0000-0000-0000F6AB0000}"/>
    <cellStyle name="Output 2 2 3 5 3 4" xfId="44201" xr:uid="{00000000-0005-0000-0000-0000F7AB0000}"/>
    <cellStyle name="Output 2 2 3 5 3 5" xfId="44202" xr:uid="{00000000-0005-0000-0000-0000F8AB0000}"/>
    <cellStyle name="Output 2 2 3 5 3 6" xfId="44203" xr:uid="{00000000-0005-0000-0000-0000F9AB0000}"/>
    <cellStyle name="Output 2 2 3 5 4" xfId="44204" xr:uid="{00000000-0005-0000-0000-0000FAAB0000}"/>
    <cellStyle name="Output 2 2 3 5 4 2" xfId="44205" xr:uid="{00000000-0005-0000-0000-0000FBAB0000}"/>
    <cellStyle name="Output 2 2 3 5 5" xfId="44206" xr:uid="{00000000-0005-0000-0000-0000FCAB0000}"/>
    <cellStyle name="Output 2 2 3 5 5 2" xfId="44207" xr:uid="{00000000-0005-0000-0000-0000FDAB0000}"/>
    <cellStyle name="Output 2 2 3 5 6" xfId="44208" xr:uid="{00000000-0005-0000-0000-0000FEAB0000}"/>
    <cellStyle name="Output 2 2 3 5 7" xfId="44209" xr:uid="{00000000-0005-0000-0000-0000FFAB0000}"/>
    <cellStyle name="Output 2 2 3 5 8" xfId="44210" xr:uid="{00000000-0005-0000-0000-000000AC0000}"/>
    <cellStyle name="Output 2 2 3 6" xfId="44211" xr:uid="{00000000-0005-0000-0000-000001AC0000}"/>
    <cellStyle name="Output 2 2 3 6 2" xfId="44212" xr:uid="{00000000-0005-0000-0000-000002AC0000}"/>
    <cellStyle name="Output 2 2 3 6 2 2" xfId="44213" xr:uid="{00000000-0005-0000-0000-000003AC0000}"/>
    <cellStyle name="Output 2 2 3 6 2 2 2" xfId="44214" xr:uid="{00000000-0005-0000-0000-000004AC0000}"/>
    <cellStyle name="Output 2 2 3 6 2 3" xfId="44215" xr:uid="{00000000-0005-0000-0000-000005AC0000}"/>
    <cellStyle name="Output 2 2 3 6 2 3 2" xfId="44216" xr:uid="{00000000-0005-0000-0000-000006AC0000}"/>
    <cellStyle name="Output 2 2 3 6 2 4" xfId="44217" xr:uid="{00000000-0005-0000-0000-000007AC0000}"/>
    <cellStyle name="Output 2 2 3 6 2 5" xfId="44218" xr:uid="{00000000-0005-0000-0000-000008AC0000}"/>
    <cellStyle name="Output 2 2 3 6 2 6" xfId="44219" xr:uid="{00000000-0005-0000-0000-000009AC0000}"/>
    <cellStyle name="Output 2 2 3 6 3" xfId="44220" xr:uid="{00000000-0005-0000-0000-00000AAC0000}"/>
    <cellStyle name="Output 2 2 3 6 3 2" xfId="44221" xr:uid="{00000000-0005-0000-0000-00000BAC0000}"/>
    <cellStyle name="Output 2 2 3 6 4" xfId="44222" xr:uid="{00000000-0005-0000-0000-00000CAC0000}"/>
    <cellStyle name="Output 2 2 3 6 4 2" xfId="44223" xr:uid="{00000000-0005-0000-0000-00000DAC0000}"/>
    <cellStyle name="Output 2 2 3 6 5" xfId="44224" xr:uid="{00000000-0005-0000-0000-00000EAC0000}"/>
    <cellStyle name="Output 2 2 3 6 6" xfId="44225" xr:uid="{00000000-0005-0000-0000-00000FAC0000}"/>
    <cellStyle name="Output 2 2 3 6 7" xfId="44226" xr:uid="{00000000-0005-0000-0000-000010AC0000}"/>
    <cellStyle name="Output 2 2 3 7" xfId="44227" xr:uid="{00000000-0005-0000-0000-000011AC0000}"/>
    <cellStyle name="Output 2 2 3 7 2" xfId="44228" xr:uid="{00000000-0005-0000-0000-000012AC0000}"/>
    <cellStyle name="Output 2 2 3 7 2 2" xfId="44229" xr:uid="{00000000-0005-0000-0000-000013AC0000}"/>
    <cellStyle name="Output 2 2 3 7 3" xfId="44230" xr:uid="{00000000-0005-0000-0000-000014AC0000}"/>
    <cellStyle name="Output 2 2 3 7 3 2" xfId="44231" xr:uid="{00000000-0005-0000-0000-000015AC0000}"/>
    <cellStyle name="Output 2 2 3 7 4" xfId="44232" xr:uid="{00000000-0005-0000-0000-000016AC0000}"/>
    <cellStyle name="Output 2 2 3 7 5" xfId="44233" xr:uid="{00000000-0005-0000-0000-000017AC0000}"/>
    <cellStyle name="Output 2 2 3 7 6" xfId="44234" xr:uid="{00000000-0005-0000-0000-000018AC0000}"/>
    <cellStyle name="Output 2 2 3 8" xfId="44235" xr:uid="{00000000-0005-0000-0000-000019AC0000}"/>
    <cellStyle name="Output 2 2 3 8 2" xfId="44236" xr:uid="{00000000-0005-0000-0000-00001AAC0000}"/>
    <cellStyle name="Output 2 2 3 9" xfId="44237" xr:uid="{00000000-0005-0000-0000-00001BAC0000}"/>
    <cellStyle name="Output 2 2 3 9 2" xfId="44238" xr:uid="{00000000-0005-0000-0000-00001CAC0000}"/>
    <cellStyle name="Output 2 2 4" xfId="44239" xr:uid="{00000000-0005-0000-0000-00001DAC0000}"/>
    <cellStyle name="Output 2 2 4 10" xfId="44240" xr:uid="{00000000-0005-0000-0000-00001EAC0000}"/>
    <cellStyle name="Output 2 2 4 11" xfId="44241" xr:uid="{00000000-0005-0000-0000-00001FAC0000}"/>
    <cellStyle name="Output 2 2 4 2" xfId="44242" xr:uid="{00000000-0005-0000-0000-000020AC0000}"/>
    <cellStyle name="Output 2 2 4 2 2" xfId="44243" xr:uid="{00000000-0005-0000-0000-000021AC0000}"/>
    <cellStyle name="Output 2 2 4 2 2 2" xfId="44244" xr:uid="{00000000-0005-0000-0000-000022AC0000}"/>
    <cellStyle name="Output 2 2 4 2 2 2 2" xfId="44245" xr:uid="{00000000-0005-0000-0000-000023AC0000}"/>
    <cellStyle name="Output 2 2 4 2 2 2 2 2" xfId="44246" xr:uid="{00000000-0005-0000-0000-000024AC0000}"/>
    <cellStyle name="Output 2 2 4 2 2 2 2 2 2" xfId="44247" xr:uid="{00000000-0005-0000-0000-000025AC0000}"/>
    <cellStyle name="Output 2 2 4 2 2 2 2 3" xfId="44248" xr:uid="{00000000-0005-0000-0000-000026AC0000}"/>
    <cellStyle name="Output 2 2 4 2 2 2 2 3 2" xfId="44249" xr:uid="{00000000-0005-0000-0000-000027AC0000}"/>
    <cellStyle name="Output 2 2 4 2 2 2 2 4" xfId="44250" xr:uid="{00000000-0005-0000-0000-000028AC0000}"/>
    <cellStyle name="Output 2 2 4 2 2 2 2 5" xfId="44251" xr:uid="{00000000-0005-0000-0000-000029AC0000}"/>
    <cellStyle name="Output 2 2 4 2 2 2 2 6" xfId="44252" xr:uid="{00000000-0005-0000-0000-00002AAC0000}"/>
    <cellStyle name="Output 2 2 4 2 2 2 3" xfId="44253" xr:uid="{00000000-0005-0000-0000-00002BAC0000}"/>
    <cellStyle name="Output 2 2 4 2 2 2 3 2" xfId="44254" xr:uid="{00000000-0005-0000-0000-00002CAC0000}"/>
    <cellStyle name="Output 2 2 4 2 2 2 4" xfId="44255" xr:uid="{00000000-0005-0000-0000-00002DAC0000}"/>
    <cellStyle name="Output 2 2 4 2 2 2 4 2" xfId="44256" xr:uid="{00000000-0005-0000-0000-00002EAC0000}"/>
    <cellStyle name="Output 2 2 4 2 2 2 5" xfId="44257" xr:uid="{00000000-0005-0000-0000-00002FAC0000}"/>
    <cellStyle name="Output 2 2 4 2 2 2 6" xfId="44258" xr:uid="{00000000-0005-0000-0000-000030AC0000}"/>
    <cellStyle name="Output 2 2 4 2 2 2 7" xfId="44259" xr:uid="{00000000-0005-0000-0000-000031AC0000}"/>
    <cellStyle name="Output 2 2 4 2 2 3" xfId="44260" xr:uid="{00000000-0005-0000-0000-000032AC0000}"/>
    <cellStyle name="Output 2 2 4 2 2 3 2" xfId="44261" xr:uid="{00000000-0005-0000-0000-000033AC0000}"/>
    <cellStyle name="Output 2 2 4 2 2 3 2 2" xfId="44262" xr:uid="{00000000-0005-0000-0000-000034AC0000}"/>
    <cellStyle name="Output 2 2 4 2 2 3 3" xfId="44263" xr:uid="{00000000-0005-0000-0000-000035AC0000}"/>
    <cellStyle name="Output 2 2 4 2 2 3 3 2" xfId="44264" xr:uid="{00000000-0005-0000-0000-000036AC0000}"/>
    <cellStyle name="Output 2 2 4 2 2 3 4" xfId="44265" xr:uid="{00000000-0005-0000-0000-000037AC0000}"/>
    <cellStyle name="Output 2 2 4 2 2 3 5" xfId="44266" xr:uid="{00000000-0005-0000-0000-000038AC0000}"/>
    <cellStyle name="Output 2 2 4 2 2 3 6" xfId="44267" xr:uid="{00000000-0005-0000-0000-000039AC0000}"/>
    <cellStyle name="Output 2 2 4 2 2 4" xfId="44268" xr:uid="{00000000-0005-0000-0000-00003AAC0000}"/>
    <cellStyle name="Output 2 2 4 2 2 4 2" xfId="44269" xr:uid="{00000000-0005-0000-0000-00003BAC0000}"/>
    <cellStyle name="Output 2 2 4 2 2 5" xfId="44270" xr:uid="{00000000-0005-0000-0000-00003CAC0000}"/>
    <cellStyle name="Output 2 2 4 2 2 5 2" xfId="44271" xr:uid="{00000000-0005-0000-0000-00003DAC0000}"/>
    <cellStyle name="Output 2 2 4 2 2 6" xfId="44272" xr:uid="{00000000-0005-0000-0000-00003EAC0000}"/>
    <cellStyle name="Output 2 2 4 2 2 7" xfId="44273" xr:uid="{00000000-0005-0000-0000-00003FAC0000}"/>
    <cellStyle name="Output 2 2 4 2 2 8" xfId="44274" xr:uid="{00000000-0005-0000-0000-000040AC0000}"/>
    <cellStyle name="Output 2 2 4 2 3" xfId="44275" xr:uid="{00000000-0005-0000-0000-000041AC0000}"/>
    <cellStyle name="Output 2 2 4 2 3 2" xfId="44276" xr:uid="{00000000-0005-0000-0000-000042AC0000}"/>
    <cellStyle name="Output 2 2 4 2 3 2 2" xfId="44277" xr:uid="{00000000-0005-0000-0000-000043AC0000}"/>
    <cellStyle name="Output 2 2 4 2 3 2 2 2" xfId="44278" xr:uid="{00000000-0005-0000-0000-000044AC0000}"/>
    <cellStyle name="Output 2 2 4 2 3 2 3" xfId="44279" xr:uid="{00000000-0005-0000-0000-000045AC0000}"/>
    <cellStyle name="Output 2 2 4 2 3 2 3 2" xfId="44280" xr:uid="{00000000-0005-0000-0000-000046AC0000}"/>
    <cellStyle name="Output 2 2 4 2 3 2 4" xfId="44281" xr:uid="{00000000-0005-0000-0000-000047AC0000}"/>
    <cellStyle name="Output 2 2 4 2 3 2 5" xfId="44282" xr:uid="{00000000-0005-0000-0000-000048AC0000}"/>
    <cellStyle name="Output 2 2 4 2 3 2 6" xfId="44283" xr:uid="{00000000-0005-0000-0000-000049AC0000}"/>
    <cellStyle name="Output 2 2 4 2 3 3" xfId="44284" xr:uid="{00000000-0005-0000-0000-00004AAC0000}"/>
    <cellStyle name="Output 2 2 4 2 3 3 2" xfId="44285" xr:uid="{00000000-0005-0000-0000-00004BAC0000}"/>
    <cellStyle name="Output 2 2 4 2 3 4" xfId="44286" xr:uid="{00000000-0005-0000-0000-00004CAC0000}"/>
    <cellStyle name="Output 2 2 4 2 3 4 2" xfId="44287" xr:uid="{00000000-0005-0000-0000-00004DAC0000}"/>
    <cellStyle name="Output 2 2 4 2 3 5" xfId="44288" xr:uid="{00000000-0005-0000-0000-00004EAC0000}"/>
    <cellStyle name="Output 2 2 4 2 3 6" xfId="44289" xr:uid="{00000000-0005-0000-0000-00004FAC0000}"/>
    <cellStyle name="Output 2 2 4 2 3 7" xfId="44290" xr:uid="{00000000-0005-0000-0000-000050AC0000}"/>
    <cellStyle name="Output 2 2 4 2 4" xfId="44291" xr:uid="{00000000-0005-0000-0000-000051AC0000}"/>
    <cellStyle name="Output 2 2 4 2 4 2" xfId="44292" xr:uid="{00000000-0005-0000-0000-000052AC0000}"/>
    <cellStyle name="Output 2 2 4 2 4 2 2" xfId="44293" xr:uid="{00000000-0005-0000-0000-000053AC0000}"/>
    <cellStyle name="Output 2 2 4 2 4 3" xfId="44294" xr:uid="{00000000-0005-0000-0000-000054AC0000}"/>
    <cellStyle name="Output 2 2 4 2 4 3 2" xfId="44295" xr:uid="{00000000-0005-0000-0000-000055AC0000}"/>
    <cellStyle name="Output 2 2 4 2 4 4" xfId="44296" xr:uid="{00000000-0005-0000-0000-000056AC0000}"/>
    <cellStyle name="Output 2 2 4 2 4 5" xfId="44297" xr:uid="{00000000-0005-0000-0000-000057AC0000}"/>
    <cellStyle name="Output 2 2 4 2 4 6" xfId="44298" xr:uid="{00000000-0005-0000-0000-000058AC0000}"/>
    <cellStyle name="Output 2 2 4 2 5" xfId="44299" xr:uid="{00000000-0005-0000-0000-000059AC0000}"/>
    <cellStyle name="Output 2 2 4 2 5 2" xfId="44300" xr:uid="{00000000-0005-0000-0000-00005AAC0000}"/>
    <cellStyle name="Output 2 2 4 2 6" xfId="44301" xr:uid="{00000000-0005-0000-0000-00005BAC0000}"/>
    <cellStyle name="Output 2 2 4 2 6 2" xfId="44302" xr:uid="{00000000-0005-0000-0000-00005CAC0000}"/>
    <cellStyle name="Output 2 2 4 2 7" xfId="44303" xr:uid="{00000000-0005-0000-0000-00005DAC0000}"/>
    <cellStyle name="Output 2 2 4 2 8" xfId="44304" xr:uid="{00000000-0005-0000-0000-00005EAC0000}"/>
    <cellStyle name="Output 2 2 4 2 9" xfId="44305" xr:uid="{00000000-0005-0000-0000-00005FAC0000}"/>
    <cellStyle name="Output 2 2 4 3" xfId="44306" xr:uid="{00000000-0005-0000-0000-000060AC0000}"/>
    <cellStyle name="Output 2 2 4 3 10" xfId="44307" xr:uid="{00000000-0005-0000-0000-000061AC0000}"/>
    <cellStyle name="Output 2 2 4 3 2" xfId="44308" xr:uid="{00000000-0005-0000-0000-000062AC0000}"/>
    <cellStyle name="Output 2 2 4 3 2 2" xfId="44309" xr:uid="{00000000-0005-0000-0000-000063AC0000}"/>
    <cellStyle name="Output 2 2 4 3 2 2 2" xfId="44310" xr:uid="{00000000-0005-0000-0000-000064AC0000}"/>
    <cellStyle name="Output 2 2 4 3 2 2 2 2" xfId="44311" xr:uid="{00000000-0005-0000-0000-000065AC0000}"/>
    <cellStyle name="Output 2 2 4 3 2 2 2 2 2" xfId="44312" xr:uid="{00000000-0005-0000-0000-000066AC0000}"/>
    <cellStyle name="Output 2 2 4 3 2 2 2 2 2 2" xfId="44313" xr:uid="{00000000-0005-0000-0000-000067AC0000}"/>
    <cellStyle name="Output 2 2 4 3 2 2 2 2 3" xfId="44314" xr:uid="{00000000-0005-0000-0000-000068AC0000}"/>
    <cellStyle name="Output 2 2 4 3 2 2 2 2 3 2" xfId="44315" xr:uid="{00000000-0005-0000-0000-000069AC0000}"/>
    <cellStyle name="Output 2 2 4 3 2 2 2 2 4" xfId="44316" xr:uid="{00000000-0005-0000-0000-00006AAC0000}"/>
    <cellStyle name="Output 2 2 4 3 2 2 2 2 5" xfId="44317" xr:uid="{00000000-0005-0000-0000-00006BAC0000}"/>
    <cellStyle name="Output 2 2 4 3 2 2 2 2 6" xfId="44318" xr:uid="{00000000-0005-0000-0000-00006CAC0000}"/>
    <cellStyle name="Output 2 2 4 3 2 2 2 3" xfId="44319" xr:uid="{00000000-0005-0000-0000-00006DAC0000}"/>
    <cellStyle name="Output 2 2 4 3 2 2 2 3 2" xfId="44320" xr:uid="{00000000-0005-0000-0000-00006EAC0000}"/>
    <cellStyle name="Output 2 2 4 3 2 2 2 4" xfId="44321" xr:uid="{00000000-0005-0000-0000-00006FAC0000}"/>
    <cellStyle name="Output 2 2 4 3 2 2 2 4 2" xfId="44322" xr:uid="{00000000-0005-0000-0000-000070AC0000}"/>
    <cellStyle name="Output 2 2 4 3 2 2 2 5" xfId="44323" xr:uid="{00000000-0005-0000-0000-000071AC0000}"/>
    <cellStyle name="Output 2 2 4 3 2 2 2 6" xfId="44324" xr:uid="{00000000-0005-0000-0000-000072AC0000}"/>
    <cellStyle name="Output 2 2 4 3 2 2 2 7" xfId="44325" xr:uid="{00000000-0005-0000-0000-000073AC0000}"/>
    <cellStyle name="Output 2 2 4 3 2 2 3" xfId="44326" xr:uid="{00000000-0005-0000-0000-000074AC0000}"/>
    <cellStyle name="Output 2 2 4 3 2 2 3 2" xfId="44327" xr:uid="{00000000-0005-0000-0000-000075AC0000}"/>
    <cellStyle name="Output 2 2 4 3 2 2 3 2 2" xfId="44328" xr:uid="{00000000-0005-0000-0000-000076AC0000}"/>
    <cellStyle name="Output 2 2 4 3 2 2 3 3" xfId="44329" xr:uid="{00000000-0005-0000-0000-000077AC0000}"/>
    <cellStyle name="Output 2 2 4 3 2 2 3 3 2" xfId="44330" xr:uid="{00000000-0005-0000-0000-000078AC0000}"/>
    <cellStyle name="Output 2 2 4 3 2 2 3 4" xfId="44331" xr:uid="{00000000-0005-0000-0000-000079AC0000}"/>
    <cellStyle name="Output 2 2 4 3 2 2 3 5" xfId="44332" xr:uid="{00000000-0005-0000-0000-00007AAC0000}"/>
    <cellStyle name="Output 2 2 4 3 2 2 3 6" xfId="44333" xr:uid="{00000000-0005-0000-0000-00007BAC0000}"/>
    <cellStyle name="Output 2 2 4 3 2 2 4" xfId="44334" xr:uid="{00000000-0005-0000-0000-00007CAC0000}"/>
    <cellStyle name="Output 2 2 4 3 2 2 4 2" xfId="44335" xr:uid="{00000000-0005-0000-0000-00007DAC0000}"/>
    <cellStyle name="Output 2 2 4 3 2 2 5" xfId="44336" xr:uid="{00000000-0005-0000-0000-00007EAC0000}"/>
    <cellStyle name="Output 2 2 4 3 2 2 5 2" xfId="44337" xr:uid="{00000000-0005-0000-0000-00007FAC0000}"/>
    <cellStyle name="Output 2 2 4 3 2 2 6" xfId="44338" xr:uid="{00000000-0005-0000-0000-000080AC0000}"/>
    <cellStyle name="Output 2 2 4 3 2 2 7" xfId="44339" xr:uid="{00000000-0005-0000-0000-000081AC0000}"/>
    <cellStyle name="Output 2 2 4 3 2 2 8" xfId="44340" xr:uid="{00000000-0005-0000-0000-000082AC0000}"/>
    <cellStyle name="Output 2 2 4 3 2 3" xfId="44341" xr:uid="{00000000-0005-0000-0000-000083AC0000}"/>
    <cellStyle name="Output 2 2 4 3 2 3 2" xfId="44342" xr:uid="{00000000-0005-0000-0000-000084AC0000}"/>
    <cellStyle name="Output 2 2 4 3 2 3 2 2" xfId="44343" xr:uid="{00000000-0005-0000-0000-000085AC0000}"/>
    <cellStyle name="Output 2 2 4 3 2 3 2 2 2" xfId="44344" xr:uid="{00000000-0005-0000-0000-000086AC0000}"/>
    <cellStyle name="Output 2 2 4 3 2 3 2 3" xfId="44345" xr:uid="{00000000-0005-0000-0000-000087AC0000}"/>
    <cellStyle name="Output 2 2 4 3 2 3 2 3 2" xfId="44346" xr:uid="{00000000-0005-0000-0000-000088AC0000}"/>
    <cellStyle name="Output 2 2 4 3 2 3 2 4" xfId="44347" xr:uid="{00000000-0005-0000-0000-000089AC0000}"/>
    <cellStyle name="Output 2 2 4 3 2 3 2 5" xfId="44348" xr:uid="{00000000-0005-0000-0000-00008AAC0000}"/>
    <cellStyle name="Output 2 2 4 3 2 3 2 6" xfId="44349" xr:uid="{00000000-0005-0000-0000-00008BAC0000}"/>
    <cellStyle name="Output 2 2 4 3 2 3 3" xfId="44350" xr:uid="{00000000-0005-0000-0000-00008CAC0000}"/>
    <cellStyle name="Output 2 2 4 3 2 3 3 2" xfId="44351" xr:uid="{00000000-0005-0000-0000-00008DAC0000}"/>
    <cellStyle name="Output 2 2 4 3 2 3 4" xfId="44352" xr:uid="{00000000-0005-0000-0000-00008EAC0000}"/>
    <cellStyle name="Output 2 2 4 3 2 3 4 2" xfId="44353" xr:uid="{00000000-0005-0000-0000-00008FAC0000}"/>
    <cellStyle name="Output 2 2 4 3 2 3 5" xfId="44354" xr:uid="{00000000-0005-0000-0000-000090AC0000}"/>
    <cellStyle name="Output 2 2 4 3 2 3 6" xfId="44355" xr:uid="{00000000-0005-0000-0000-000091AC0000}"/>
    <cellStyle name="Output 2 2 4 3 2 3 7" xfId="44356" xr:uid="{00000000-0005-0000-0000-000092AC0000}"/>
    <cellStyle name="Output 2 2 4 3 2 4" xfId="44357" xr:uid="{00000000-0005-0000-0000-000093AC0000}"/>
    <cellStyle name="Output 2 2 4 3 2 4 2" xfId="44358" xr:uid="{00000000-0005-0000-0000-000094AC0000}"/>
    <cellStyle name="Output 2 2 4 3 2 4 2 2" xfId="44359" xr:uid="{00000000-0005-0000-0000-000095AC0000}"/>
    <cellStyle name="Output 2 2 4 3 2 4 3" xfId="44360" xr:uid="{00000000-0005-0000-0000-000096AC0000}"/>
    <cellStyle name="Output 2 2 4 3 2 4 3 2" xfId="44361" xr:uid="{00000000-0005-0000-0000-000097AC0000}"/>
    <cellStyle name="Output 2 2 4 3 2 4 4" xfId="44362" xr:uid="{00000000-0005-0000-0000-000098AC0000}"/>
    <cellStyle name="Output 2 2 4 3 2 4 5" xfId="44363" xr:uid="{00000000-0005-0000-0000-000099AC0000}"/>
    <cellStyle name="Output 2 2 4 3 2 4 6" xfId="44364" xr:uid="{00000000-0005-0000-0000-00009AAC0000}"/>
    <cellStyle name="Output 2 2 4 3 2 5" xfId="44365" xr:uid="{00000000-0005-0000-0000-00009BAC0000}"/>
    <cellStyle name="Output 2 2 4 3 2 5 2" xfId="44366" xr:uid="{00000000-0005-0000-0000-00009CAC0000}"/>
    <cellStyle name="Output 2 2 4 3 2 6" xfId="44367" xr:uid="{00000000-0005-0000-0000-00009DAC0000}"/>
    <cellStyle name="Output 2 2 4 3 2 6 2" xfId="44368" xr:uid="{00000000-0005-0000-0000-00009EAC0000}"/>
    <cellStyle name="Output 2 2 4 3 2 7" xfId="44369" xr:uid="{00000000-0005-0000-0000-00009FAC0000}"/>
    <cellStyle name="Output 2 2 4 3 2 8" xfId="44370" xr:uid="{00000000-0005-0000-0000-0000A0AC0000}"/>
    <cellStyle name="Output 2 2 4 3 2 9" xfId="44371" xr:uid="{00000000-0005-0000-0000-0000A1AC0000}"/>
    <cellStyle name="Output 2 2 4 3 3" xfId="44372" xr:uid="{00000000-0005-0000-0000-0000A2AC0000}"/>
    <cellStyle name="Output 2 2 4 3 3 2" xfId="44373" xr:uid="{00000000-0005-0000-0000-0000A3AC0000}"/>
    <cellStyle name="Output 2 2 4 3 3 2 2" xfId="44374" xr:uid="{00000000-0005-0000-0000-0000A4AC0000}"/>
    <cellStyle name="Output 2 2 4 3 3 2 2 2" xfId="44375" xr:uid="{00000000-0005-0000-0000-0000A5AC0000}"/>
    <cellStyle name="Output 2 2 4 3 3 2 2 2 2" xfId="44376" xr:uid="{00000000-0005-0000-0000-0000A6AC0000}"/>
    <cellStyle name="Output 2 2 4 3 3 2 2 3" xfId="44377" xr:uid="{00000000-0005-0000-0000-0000A7AC0000}"/>
    <cellStyle name="Output 2 2 4 3 3 2 2 3 2" xfId="44378" xr:uid="{00000000-0005-0000-0000-0000A8AC0000}"/>
    <cellStyle name="Output 2 2 4 3 3 2 2 4" xfId="44379" xr:uid="{00000000-0005-0000-0000-0000A9AC0000}"/>
    <cellStyle name="Output 2 2 4 3 3 2 2 5" xfId="44380" xr:uid="{00000000-0005-0000-0000-0000AAAC0000}"/>
    <cellStyle name="Output 2 2 4 3 3 2 2 6" xfId="44381" xr:uid="{00000000-0005-0000-0000-0000ABAC0000}"/>
    <cellStyle name="Output 2 2 4 3 3 2 3" xfId="44382" xr:uid="{00000000-0005-0000-0000-0000ACAC0000}"/>
    <cellStyle name="Output 2 2 4 3 3 2 3 2" xfId="44383" xr:uid="{00000000-0005-0000-0000-0000ADAC0000}"/>
    <cellStyle name="Output 2 2 4 3 3 2 4" xfId="44384" xr:uid="{00000000-0005-0000-0000-0000AEAC0000}"/>
    <cellStyle name="Output 2 2 4 3 3 2 4 2" xfId="44385" xr:uid="{00000000-0005-0000-0000-0000AFAC0000}"/>
    <cellStyle name="Output 2 2 4 3 3 2 5" xfId="44386" xr:uid="{00000000-0005-0000-0000-0000B0AC0000}"/>
    <cellStyle name="Output 2 2 4 3 3 2 6" xfId="44387" xr:uid="{00000000-0005-0000-0000-0000B1AC0000}"/>
    <cellStyle name="Output 2 2 4 3 3 2 7" xfId="44388" xr:uid="{00000000-0005-0000-0000-0000B2AC0000}"/>
    <cellStyle name="Output 2 2 4 3 3 3" xfId="44389" xr:uid="{00000000-0005-0000-0000-0000B3AC0000}"/>
    <cellStyle name="Output 2 2 4 3 3 3 2" xfId="44390" xr:uid="{00000000-0005-0000-0000-0000B4AC0000}"/>
    <cellStyle name="Output 2 2 4 3 3 3 2 2" xfId="44391" xr:uid="{00000000-0005-0000-0000-0000B5AC0000}"/>
    <cellStyle name="Output 2 2 4 3 3 3 3" xfId="44392" xr:uid="{00000000-0005-0000-0000-0000B6AC0000}"/>
    <cellStyle name="Output 2 2 4 3 3 3 3 2" xfId="44393" xr:uid="{00000000-0005-0000-0000-0000B7AC0000}"/>
    <cellStyle name="Output 2 2 4 3 3 3 4" xfId="44394" xr:uid="{00000000-0005-0000-0000-0000B8AC0000}"/>
    <cellStyle name="Output 2 2 4 3 3 3 5" xfId="44395" xr:uid="{00000000-0005-0000-0000-0000B9AC0000}"/>
    <cellStyle name="Output 2 2 4 3 3 3 6" xfId="44396" xr:uid="{00000000-0005-0000-0000-0000BAAC0000}"/>
    <cellStyle name="Output 2 2 4 3 3 4" xfId="44397" xr:uid="{00000000-0005-0000-0000-0000BBAC0000}"/>
    <cellStyle name="Output 2 2 4 3 3 4 2" xfId="44398" xr:uid="{00000000-0005-0000-0000-0000BCAC0000}"/>
    <cellStyle name="Output 2 2 4 3 3 5" xfId="44399" xr:uid="{00000000-0005-0000-0000-0000BDAC0000}"/>
    <cellStyle name="Output 2 2 4 3 3 5 2" xfId="44400" xr:uid="{00000000-0005-0000-0000-0000BEAC0000}"/>
    <cellStyle name="Output 2 2 4 3 3 6" xfId="44401" xr:uid="{00000000-0005-0000-0000-0000BFAC0000}"/>
    <cellStyle name="Output 2 2 4 3 3 7" xfId="44402" xr:uid="{00000000-0005-0000-0000-0000C0AC0000}"/>
    <cellStyle name="Output 2 2 4 3 3 8" xfId="44403" xr:uid="{00000000-0005-0000-0000-0000C1AC0000}"/>
    <cellStyle name="Output 2 2 4 3 4" xfId="44404" xr:uid="{00000000-0005-0000-0000-0000C2AC0000}"/>
    <cellStyle name="Output 2 2 4 3 4 2" xfId="44405" xr:uid="{00000000-0005-0000-0000-0000C3AC0000}"/>
    <cellStyle name="Output 2 2 4 3 4 2 2" xfId="44406" xr:uid="{00000000-0005-0000-0000-0000C4AC0000}"/>
    <cellStyle name="Output 2 2 4 3 4 2 2 2" xfId="44407" xr:uid="{00000000-0005-0000-0000-0000C5AC0000}"/>
    <cellStyle name="Output 2 2 4 3 4 2 3" xfId="44408" xr:uid="{00000000-0005-0000-0000-0000C6AC0000}"/>
    <cellStyle name="Output 2 2 4 3 4 2 3 2" xfId="44409" xr:uid="{00000000-0005-0000-0000-0000C7AC0000}"/>
    <cellStyle name="Output 2 2 4 3 4 2 4" xfId="44410" xr:uid="{00000000-0005-0000-0000-0000C8AC0000}"/>
    <cellStyle name="Output 2 2 4 3 4 2 5" xfId="44411" xr:uid="{00000000-0005-0000-0000-0000C9AC0000}"/>
    <cellStyle name="Output 2 2 4 3 4 2 6" xfId="44412" xr:uid="{00000000-0005-0000-0000-0000CAAC0000}"/>
    <cellStyle name="Output 2 2 4 3 4 3" xfId="44413" xr:uid="{00000000-0005-0000-0000-0000CBAC0000}"/>
    <cellStyle name="Output 2 2 4 3 4 3 2" xfId="44414" xr:uid="{00000000-0005-0000-0000-0000CCAC0000}"/>
    <cellStyle name="Output 2 2 4 3 4 4" xfId="44415" xr:uid="{00000000-0005-0000-0000-0000CDAC0000}"/>
    <cellStyle name="Output 2 2 4 3 4 4 2" xfId="44416" xr:uid="{00000000-0005-0000-0000-0000CEAC0000}"/>
    <cellStyle name="Output 2 2 4 3 4 5" xfId="44417" xr:uid="{00000000-0005-0000-0000-0000CFAC0000}"/>
    <cellStyle name="Output 2 2 4 3 4 6" xfId="44418" xr:uid="{00000000-0005-0000-0000-0000D0AC0000}"/>
    <cellStyle name="Output 2 2 4 3 4 7" xfId="44419" xr:uid="{00000000-0005-0000-0000-0000D1AC0000}"/>
    <cellStyle name="Output 2 2 4 3 5" xfId="44420" xr:uid="{00000000-0005-0000-0000-0000D2AC0000}"/>
    <cellStyle name="Output 2 2 4 3 5 2" xfId="44421" xr:uid="{00000000-0005-0000-0000-0000D3AC0000}"/>
    <cellStyle name="Output 2 2 4 3 5 2 2" xfId="44422" xr:uid="{00000000-0005-0000-0000-0000D4AC0000}"/>
    <cellStyle name="Output 2 2 4 3 5 3" xfId="44423" xr:uid="{00000000-0005-0000-0000-0000D5AC0000}"/>
    <cellStyle name="Output 2 2 4 3 5 3 2" xfId="44424" xr:uid="{00000000-0005-0000-0000-0000D6AC0000}"/>
    <cellStyle name="Output 2 2 4 3 5 4" xfId="44425" xr:uid="{00000000-0005-0000-0000-0000D7AC0000}"/>
    <cellStyle name="Output 2 2 4 3 5 5" xfId="44426" xr:uid="{00000000-0005-0000-0000-0000D8AC0000}"/>
    <cellStyle name="Output 2 2 4 3 5 6" xfId="44427" xr:uid="{00000000-0005-0000-0000-0000D9AC0000}"/>
    <cellStyle name="Output 2 2 4 3 6" xfId="44428" xr:uid="{00000000-0005-0000-0000-0000DAAC0000}"/>
    <cellStyle name="Output 2 2 4 3 6 2" xfId="44429" xr:uid="{00000000-0005-0000-0000-0000DBAC0000}"/>
    <cellStyle name="Output 2 2 4 3 7" xfId="44430" xr:uid="{00000000-0005-0000-0000-0000DCAC0000}"/>
    <cellStyle name="Output 2 2 4 3 7 2" xfId="44431" xr:uid="{00000000-0005-0000-0000-0000DDAC0000}"/>
    <cellStyle name="Output 2 2 4 3 8" xfId="44432" xr:uid="{00000000-0005-0000-0000-0000DEAC0000}"/>
    <cellStyle name="Output 2 2 4 3 9" xfId="44433" xr:uid="{00000000-0005-0000-0000-0000DFAC0000}"/>
    <cellStyle name="Output 2 2 4 4" xfId="44434" xr:uid="{00000000-0005-0000-0000-0000E0AC0000}"/>
    <cellStyle name="Output 2 2 4 4 2" xfId="44435" xr:uid="{00000000-0005-0000-0000-0000E1AC0000}"/>
    <cellStyle name="Output 2 2 4 4 2 2" xfId="44436" xr:uid="{00000000-0005-0000-0000-0000E2AC0000}"/>
    <cellStyle name="Output 2 2 4 4 2 2 2" xfId="44437" xr:uid="{00000000-0005-0000-0000-0000E3AC0000}"/>
    <cellStyle name="Output 2 2 4 4 2 2 2 2" xfId="44438" xr:uid="{00000000-0005-0000-0000-0000E4AC0000}"/>
    <cellStyle name="Output 2 2 4 4 2 2 3" xfId="44439" xr:uid="{00000000-0005-0000-0000-0000E5AC0000}"/>
    <cellStyle name="Output 2 2 4 4 2 2 3 2" xfId="44440" xr:uid="{00000000-0005-0000-0000-0000E6AC0000}"/>
    <cellStyle name="Output 2 2 4 4 2 2 4" xfId="44441" xr:uid="{00000000-0005-0000-0000-0000E7AC0000}"/>
    <cellStyle name="Output 2 2 4 4 2 2 5" xfId="44442" xr:uid="{00000000-0005-0000-0000-0000E8AC0000}"/>
    <cellStyle name="Output 2 2 4 4 2 2 6" xfId="44443" xr:uid="{00000000-0005-0000-0000-0000E9AC0000}"/>
    <cellStyle name="Output 2 2 4 4 2 3" xfId="44444" xr:uid="{00000000-0005-0000-0000-0000EAAC0000}"/>
    <cellStyle name="Output 2 2 4 4 2 3 2" xfId="44445" xr:uid="{00000000-0005-0000-0000-0000EBAC0000}"/>
    <cellStyle name="Output 2 2 4 4 2 4" xfId="44446" xr:uid="{00000000-0005-0000-0000-0000ECAC0000}"/>
    <cellStyle name="Output 2 2 4 4 2 4 2" xfId="44447" xr:uid="{00000000-0005-0000-0000-0000EDAC0000}"/>
    <cellStyle name="Output 2 2 4 4 2 5" xfId="44448" xr:uid="{00000000-0005-0000-0000-0000EEAC0000}"/>
    <cellStyle name="Output 2 2 4 4 2 6" xfId="44449" xr:uid="{00000000-0005-0000-0000-0000EFAC0000}"/>
    <cellStyle name="Output 2 2 4 4 2 7" xfId="44450" xr:uid="{00000000-0005-0000-0000-0000F0AC0000}"/>
    <cellStyle name="Output 2 2 4 4 3" xfId="44451" xr:uid="{00000000-0005-0000-0000-0000F1AC0000}"/>
    <cellStyle name="Output 2 2 4 4 3 2" xfId="44452" xr:uid="{00000000-0005-0000-0000-0000F2AC0000}"/>
    <cellStyle name="Output 2 2 4 4 3 2 2" xfId="44453" xr:uid="{00000000-0005-0000-0000-0000F3AC0000}"/>
    <cellStyle name="Output 2 2 4 4 3 3" xfId="44454" xr:uid="{00000000-0005-0000-0000-0000F4AC0000}"/>
    <cellStyle name="Output 2 2 4 4 3 3 2" xfId="44455" xr:uid="{00000000-0005-0000-0000-0000F5AC0000}"/>
    <cellStyle name="Output 2 2 4 4 3 4" xfId="44456" xr:uid="{00000000-0005-0000-0000-0000F6AC0000}"/>
    <cellStyle name="Output 2 2 4 4 3 5" xfId="44457" xr:uid="{00000000-0005-0000-0000-0000F7AC0000}"/>
    <cellStyle name="Output 2 2 4 4 3 6" xfId="44458" xr:uid="{00000000-0005-0000-0000-0000F8AC0000}"/>
    <cellStyle name="Output 2 2 4 4 4" xfId="44459" xr:uid="{00000000-0005-0000-0000-0000F9AC0000}"/>
    <cellStyle name="Output 2 2 4 4 4 2" xfId="44460" xr:uid="{00000000-0005-0000-0000-0000FAAC0000}"/>
    <cellStyle name="Output 2 2 4 4 5" xfId="44461" xr:uid="{00000000-0005-0000-0000-0000FBAC0000}"/>
    <cellStyle name="Output 2 2 4 4 5 2" xfId="44462" xr:uid="{00000000-0005-0000-0000-0000FCAC0000}"/>
    <cellStyle name="Output 2 2 4 4 6" xfId="44463" xr:uid="{00000000-0005-0000-0000-0000FDAC0000}"/>
    <cellStyle name="Output 2 2 4 4 7" xfId="44464" xr:uid="{00000000-0005-0000-0000-0000FEAC0000}"/>
    <cellStyle name="Output 2 2 4 4 8" xfId="44465" xr:uid="{00000000-0005-0000-0000-0000FFAC0000}"/>
    <cellStyle name="Output 2 2 4 5" xfId="44466" xr:uid="{00000000-0005-0000-0000-000000AD0000}"/>
    <cellStyle name="Output 2 2 4 5 2" xfId="44467" xr:uid="{00000000-0005-0000-0000-000001AD0000}"/>
    <cellStyle name="Output 2 2 4 5 2 2" xfId="44468" xr:uid="{00000000-0005-0000-0000-000002AD0000}"/>
    <cellStyle name="Output 2 2 4 5 2 2 2" xfId="44469" xr:uid="{00000000-0005-0000-0000-000003AD0000}"/>
    <cellStyle name="Output 2 2 4 5 2 3" xfId="44470" xr:uid="{00000000-0005-0000-0000-000004AD0000}"/>
    <cellStyle name="Output 2 2 4 5 2 3 2" xfId="44471" xr:uid="{00000000-0005-0000-0000-000005AD0000}"/>
    <cellStyle name="Output 2 2 4 5 2 4" xfId="44472" xr:uid="{00000000-0005-0000-0000-000006AD0000}"/>
    <cellStyle name="Output 2 2 4 5 2 5" xfId="44473" xr:uid="{00000000-0005-0000-0000-000007AD0000}"/>
    <cellStyle name="Output 2 2 4 5 2 6" xfId="44474" xr:uid="{00000000-0005-0000-0000-000008AD0000}"/>
    <cellStyle name="Output 2 2 4 5 3" xfId="44475" xr:uid="{00000000-0005-0000-0000-000009AD0000}"/>
    <cellStyle name="Output 2 2 4 5 3 2" xfId="44476" xr:uid="{00000000-0005-0000-0000-00000AAD0000}"/>
    <cellStyle name="Output 2 2 4 5 4" xfId="44477" xr:uid="{00000000-0005-0000-0000-00000BAD0000}"/>
    <cellStyle name="Output 2 2 4 5 4 2" xfId="44478" xr:uid="{00000000-0005-0000-0000-00000CAD0000}"/>
    <cellStyle name="Output 2 2 4 5 5" xfId="44479" xr:uid="{00000000-0005-0000-0000-00000DAD0000}"/>
    <cellStyle name="Output 2 2 4 5 6" xfId="44480" xr:uid="{00000000-0005-0000-0000-00000EAD0000}"/>
    <cellStyle name="Output 2 2 4 5 7" xfId="44481" xr:uid="{00000000-0005-0000-0000-00000FAD0000}"/>
    <cellStyle name="Output 2 2 4 6" xfId="44482" xr:uid="{00000000-0005-0000-0000-000010AD0000}"/>
    <cellStyle name="Output 2 2 4 6 2" xfId="44483" xr:uid="{00000000-0005-0000-0000-000011AD0000}"/>
    <cellStyle name="Output 2 2 4 6 2 2" xfId="44484" xr:uid="{00000000-0005-0000-0000-000012AD0000}"/>
    <cellStyle name="Output 2 2 4 6 3" xfId="44485" xr:uid="{00000000-0005-0000-0000-000013AD0000}"/>
    <cellStyle name="Output 2 2 4 6 3 2" xfId="44486" xr:uid="{00000000-0005-0000-0000-000014AD0000}"/>
    <cellStyle name="Output 2 2 4 6 4" xfId="44487" xr:uid="{00000000-0005-0000-0000-000015AD0000}"/>
    <cellStyle name="Output 2 2 4 6 5" xfId="44488" xr:uid="{00000000-0005-0000-0000-000016AD0000}"/>
    <cellStyle name="Output 2 2 4 6 6" xfId="44489" xr:uid="{00000000-0005-0000-0000-000017AD0000}"/>
    <cellStyle name="Output 2 2 4 7" xfId="44490" xr:uid="{00000000-0005-0000-0000-000018AD0000}"/>
    <cellStyle name="Output 2 2 4 7 2" xfId="44491" xr:uid="{00000000-0005-0000-0000-000019AD0000}"/>
    <cellStyle name="Output 2 2 4 8" xfId="44492" xr:uid="{00000000-0005-0000-0000-00001AAD0000}"/>
    <cellStyle name="Output 2 2 4 8 2" xfId="44493" xr:uid="{00000000-0005-0000-0000-00001BAD0000}"/>
    <cellStyle name="Output 2 2 4 9" xfId="44494" xr:uid="{00000000-0005-0000-0000-00001CAD0000}"/>
    <cellStyle name="Output 2 2 5" xfId="44495" xr:uid="{00000000-0005-0000-0000-00001DAD0000}"/>
    <cellStyle name="Output 2 2 5 10" xfId="44496" xr:uid="{00000000-0005-0000-0000-00001EAD0000}"/>
    <cellStyle name="Output 2 2 5 2" xfId="44497" xr:uid="{00000000-0005-0000-0000-00001FAD0000}"/>
    <cellStyle name="Output 2 2 5 2 2" xfId="44498" xr:uid="{00000000-0005-0000-0000-000020AD0000}"/>
    <cellStyle name="Output 2 2 5 2 2 2" xfId="44499" xr:uid="{00000000-0005-0000-0000-000021AD0000}"/>
    <cellStyle name="Output 2 2 5 2 2 2 2" xfId="44500" xr:uid="{00000000-0005-0000-0000-000022AD0000}"/>
    <cellStyle name="Output 2 2 5 2 2 2 2 2" xfId="44501" xr:uid="{00000000-0005-0000-0000-000023AD0000}"/>
    <cellStyle name="Output 2 2 5 2 2 2 2 2 2" xfId="44502" xr:uid="{00000000-0005-0000-0000-000024AD0000}"/>
    <cellStyle name="Output 2 2 5 2 2 2 2 3" xfId="44503" xr:uid="{00000000-0005-0000-0000-000025AD0000}"/>
    <cellStyle name="Output 2 2 5 2 2 2 2 3 2" xfId="44504" xr:uid="{00000000-0005-0000-0000-000026AD0000}"/>
    <cellStyle name="Output 2 2 5 2 2 2 2 4" xfId="44505" xr:uid="{00000000-0005-0000-0000-000027AD0000}"/>
    <cellStyle name="Output 2 2 5 2 2 2 2 5" xfId="44506" xr:uid="{00000000-0005-0000-0000-000028AD0000}"/>
    <cellStyle name="Output 2 2 5 2 2 2 2 6" xfId="44507" xr:uid="{00000000-0005-0000-0000-000029AD0000}"/>
    <cellStyle name="Output 2 2 5 2 2 2 3" xfId="44508" xr:uid="{00000000-0005-0000-0000-00002AAD0000}"/>
    <cellStyle name="Output 2 2 5 2 2 2 3 2" xfId="44509" xr:uid="{00000000-0005-0000-0000-00002BAD0000}"/>
    <cellStyle name="Output 2 2 5 2 2 2 4" xfId="44510" xr:uid="{00000000-0005-0000-0000-00002CAD0000}"/>
    <cellStyle name="Output 2 2 5 2 2 2 4 2" xfId="44511" xr:uid="{00000000-0005-0000-0000-00002DAD0000}"/>
    <cellStyle name="Output 2 2 5 2 2 2 5" xfId="44512" xr:uid="{00000000-0005-0000-0000-00002EAD0000}"/>
    <cellStyle name="Output 2 2 5 2 2 2 6" xfId="44513" xr:uid="{00000000-0005-0000-0000-00002FAD0000}"/>
    <cellStyle name="Output 2 2 5 2 2 2 7" xfId="44514" xr:uid="{00000000-0005-0000-0000-000030AD0000}"/>
    <cellStyle name="Output 2 2 5 2 2 3" xfId="44515" xr:uid="{00000000-0005-0000-0000-000031AD0000}"/>
    <cellStyle name="Output 2 2 5 2 2 3 2" xfId="44516" xr:uid="{00000000-0005-0000-0000-000032AD0000}"/>
    <cellStyle name="Output 2 2 5 2 2 3 2 2" xfId="44517" xr:uid="{00000000-0005-0000-0000-000033AD0000}"/>
    <cellStyle name="Output 2 2 5 2 2 3 3" xfId="44518" xr:uid="{00000000-0005-0000-0000-000034AD0000}"/>
    <cellStyle name="Output 2 2 5 2 2 3 3 2" xfId="44519" xr:uid="{00000000-0005-0000-0000-000035AD0000}"/>
    <cellStyle name="Output 2 2 5 2 2 3 4" xfId="44520" xr:uid="{00000000-0005-0000-0000-000036AD0000}"/>
    <cellStyle name="Output 2 2 5 2 2 3 5" xfId="44521" xr:uid="{00000000-0005-0000-0000-000037AD0000}"/>
    <cellStyle name="Output 2 2 5 2 2 3 6" xfId="44522" xr:uid="{00000000-0005-0000-0000-000038AD0000}"/>
    <cellStyle name="Output 2 2 5 2 2 4" xfId="44523" xr:uid="{00000000-0005-0000-0000-000039AD0000}"/>
    <cellStyle name="Output 2 2 5 2 2 4 2" xfId="44524" xr:uid="{00000000-0005-0000-0000-00003AAD0000}"/>
    <cellStyle name="Output 2 2 5 2 2 5" xfId="44525" xr:uid="{00000000-0005-0000-0000-00003BAD0000}"/>
    <cellStyle name="Output 2 2 5 2 2 5 2" xfId="44526" xr:uid="{00000000-0005-0000-0000-00003CAD0000}"/>
    <cellStyle name="Output 2 2 5 2 2 6" xfId="44527" xr:uid="{00000000-0005-0000-0000-00003DAD0000}"/>
    <cellStyle name="Output 2 2 5 2 2 7" xfId="44528" xr:uid="{00000000-0005-0000-0000-00003EAD0000}"/>
    <cellStyle name="Output 2 2 5 2 2 8" xfId="44529" xr:uid="{00000000-0005-0000-0000-00003FAD0000}"/>
    <cellStyle name="Output 2 2 5 2 3" xfId="44530" xr:uid="{00000000-0005-0000-0000-000040AD0000}"/>
    <cellStyle name="Output 2 2 5 2 3 2" xfId="44531" xr:uid="{00000000-0005-0000-0000-000041AD0000}"/>
    <cellStyle name="Output 2 2 5 2 3 2 2" xfId="44532" xr:uid="{00000000-0005-0000-0000-000042AD0000}"/>
    <cellStyle name="Output 2 2 5 2 3 2 2 2" xfId="44533" xr:uid="{00000000-0005-0000-0000-000043AD0000}"/>
    <cellStyle name="Output 2 2 5 2 3 2 3" xfId="44534" xr:uid="{00000000-0005-0000-0000-000044AD0000}"/>
    <cellStyle name="Output 2 2 5 2 3 2 3 2" xfId="44535" xr:uid="{00000000-0005-0000-0000-000045AD0000}"/>
    <cellStyle name="Output 2 2 5 2 3 2 4" xfId="44536" xr:uid="{00000000-0005-0000-0000-000046AD0000}"/>
    <cellStyle name="Output 2 2 5 2 3 2 5" xfId="44537" xr:uid="{00000000-0005-0000-0000-000047AD0000}"/>
    <cellStyle name="Output 2 2 5 2 3 2 6" xfId="44538" xr:uid="{00000000-0005-0000-0000-000048AD0000}"/>
    <cellStyle name="Output 2 2 5 2 3 3" xfId="44539" xr:uid="{00000000-0005-0000-0000-000049AD0000}"/>
    <cellStyle name="Output 2 2 5 2 3 3 2" xfId="44540" xr:uid="{00000000-0005-0000-0000-00004AAD0000}"/>
    <cellStyle name="Output 2 2 5 2 3 4" xfId="44541" xr:uid="{00000000-0005-0000-0000-00004BAD0000}"/>
    <cellStyle name="Output 2 2 5 2 3 4 2" xfId="44542" xr:uid="{00000000-0005-0000-0000-00004CAD0000}"/>
    <cellStyle name="Output 2 2 5 2 3 5" xfId="44543" xr:uid="{00000000-0005-0000-0000-00004DAD0000}"/>
    <cellStyle name="Output 2 2 5 2 3 6" xfId="44544" xr:uid="{00000000-0005-0000-0000-00004EAD0000}"/>
    <cellStyle name="Output 2 2 5 2 3 7" xfId="44545" xr:uid="{00000000-0005-0000-0000-00004FAD0000}"/>
    <cellStyle name="Output 2 2 5 2 4" xfId="44546" xr:uid="{00000000-0005-0000-0000-000050AD0000}"/>
    <cellStyle name="Output 2 2 5 2 4 2" xfId="44547" xr:uid="{00000000-0005-0000-0000-000051AD0000}"/>
    <cellStyle name="Output 2 2 5 2 4 2 2" xfId="44548" xr:uid="{00000000-0005-0000-0000-000052AD0000}"/>
    <cellStyle name="Output 2 2 5 2 4 3" xfId="44549" xr:uid="{00000000-0005-0000-0000-000053AD0000}"/>
    <cellStyle name="Output 2 2 5 2 4 3 2" xfId="44550" xr:uid="{00000000-0005-0000-0000-000054AD0000}"/>
    <cellStyle name="Output 2 2 5 2 4 4" xfId="44551" xr:uid="{00000000-0005-0000-0000-000055AD0000}"/>
    <cellStyle name="Output 2 2 5 2 4 5" xfId="44552" xr:uid="{00000000-0005-0000-0000-000056AD0000}"/>
    <cellStyle name="Output 2 2 5 2 4 6" xfId="44553" xr:uid="{00000000-0005-0000-0000-000057AD0000}"/>
    <cellStyle name="Output 2 2 5 2 5" xfId="44554" xr:uid="{00000000-0005-0000-0000-000058AD0000}"/>
    <cellStyle name="Output 2 2 5 2 5 2" xfId="44555" xr:uid="{00000000-0005-0000-0000-000059AD0000}"/>
    <cellStyle name="Output 2 2 5 2 6" xfId="44556" xr:uid="{00000000-0005-0000-0000-00005AAD0000}"/>
    <cellStyle name="Output 2 2 5 2 6 2" xfId="44557" xr:uid="{00000000-0005-0000-0000-00005BAD0000}"/>
    <cellStyle name="Output 2 2 5 2 7" xfId="44558" xr:uid="{00000000-0005-0000-0000-00005CAD0000}"/>
    <cellStyle name="Output 2 2 5 2 8" xfId="44559" xr:uid="{00000000-0005-0000-0000-00005DAD0000}"/>
    <cellStyle name="Output 2 2 5 2 9" xfId="44560" xr:uid="{00000000-0005-0000-0000-00005EAD0000}"/>
    <cellStyle name="Output 2 2 5 3" xfId="44561" xr:uid="{00000000-0005-0000-0000-00005FAD0000}"/>
    <cellStyle name="Output 2 2 5 3 2" xfId="44562" xr:uid="{00000000-0005-0000-0000-000060AD0000}"/>
    <cellStyle name="Output 2 2 5 3 2 2" xfId="44563" xr:uid="{00000000-0005-0000-0000-000061AD0000}"/>
    <cellStyle name="Output 2 2 5 3 2 2 2" xfId="44564" xr:uid="{00000000-0005-0000-0000-000062AD0000}"/>
    <cellStyle name="Output 2 2 5 3 2 2 2 2" xfId="44565" xr:uid="{00000000-0005-0000-0000-000063AD0000}"/>
    <cellStyle name="Output 2 2 5 3 2 2 3" xfId="44566" xr:uid="{00000000-0005-0000-0000-000064AD0000}"/>
    <cellStyle name="Output 2 2 5 3 2 2 3 2" xfId="44567" xr:uid="{00000000-0005-0000-0000-000065AD0000}"/>
    <cellStyle name="Output 2 2 5 3 2 2 4" xfId="44568" xr:uid="{00000000-0005-0000-0000-000066AD0000}"/>
    <cellStyle name="Output 2 2 5 3 2 2 5" xfId="44569" xr:uid="{00000000-0005-0000-0000-000067AD0000}"/>
    <cellStyle name="Output 2 2 5 3 2 2 6" xfId="44570" xr:uid="{00000000-0005-0000-0000-000068AD0000}"/>
    <cellStyle name="Output 2 2 5 3 2 3" xfId="44571" xr:uid="{00000000-0005-0000-0000-000069AD0000}"/>
    <cellStyle name="Output 2 2 5 3 2 3 2" xfId="44572" xr:uid="{00000000-0005-0000-0000-00006AAD0000}"/>
    <cellStyle name="Output 2 2 5 3 2 4" xfId="44573" xr:uid="{00000000-0005-0000-0000-00006BAD0000}"/>
    <cellStyle name="Output 2 2 5 3 2 4 2" xfId="44574" xr:uid="{00000000-0005-0000-0000-00006CAD0000}"/>
    <cellStyle name="Output 2 2 5 3 2 5" xfId="44575" xr:uid="{00000000-0005-0000-0000-00006DAD0000}"/>
    <cellStyle name="Output 2 2 5 3 2 6" xfId="44576" xr:uid="{00000000-0005-0000-0000-00006EAD0000}"/>
    <cellStyle name="Output 2 2 5 3 2 7" xfId="44577" xr:uid="{00000000-0005-0000-0000-00006FAD0000}"/>
    <cellStyle name="Output 2 2 5 3 3" xfId="44578" xr:uid="{00000000-0005-0000-0000-000070AD0000}"/>
    <cellStyle name="Output 2 2 5 3 3 2" xfId="44579" xr:uid="{00000000-0005-0000-0000-000071AD0000}"/>
    <cellStyle name="Output 2 2 5 3 3 2 2" xfId="44580" xr:uid="{00000000-0005-0000-0000-000072AD0000}"/>
    <cellStyle name="Output 2 2 5 3 3 3" xfId="44581" xr:uid="{00000000-0005-0000-0000-000073AD0000}"/>
    <cellStyle name="Output 2 2 5 3 3 3 2" xfId="44582" xr:uid="{00000000-0005-0000-0000-000074AD0000}"/>
    <cellStyle name="Output 2 2 5 3 3 4" xfId="44583" xr:uid="{00000000-0005-0000-0000-000075AD0000}"/>
    <cellStyle name="Output 2 2 5 3 3 5" xfId="44584" xr:uid="{00000000-0005-0000-0000-000076AD0000}"/>
    <cellStyle name="Output 2 2 5 3 3 6" xfId="44585" xr:uid="{00000000-0005-0000-0000-000077AD0000}"/>
    <cellStyle name="Output 2 2 5 3 4" xfId="44586" xr:uid="{00000000-0005-0000-0000-000078AD0000}"/>
    <cellStyle name="Output 2 2 5 3 4 2" xfId="44587" xr:uid="{00000000-0005-0000-0000-000079AD0000}"/>
    <cellStyle name="Output 2 2 5 3 5" xfId="44588" xr:uid="{00000000-0005-0000-0000-00007AAD0000}"/>
    <cellStyle name="Output 2 2 5 3 5 2" xfId="44589" xr:uid="{00000000-0005-0000-0000-00007BAD0000}"/>
    <cellStyle name="Output 2 2 5 3 6" xfId="44590" xr:uid="{00000000-0005-0000-0000-00007CAD0000}"/>
    <cellStyle name="Output 2 2 5 3 7" xfId="44591" xr:uid="{00000000-0005-0000-0000-00007DAD0000}"/>
    <cellStyle name="Output 2 2 5 3 8" xfId="44592" xr:uid="{00000000-0005-0000-0000-00007EAD0000}"/>
    <cellStyle name="Output 2 2 5 4" xfId="44593" xr:uid="{00000000-0005-0000-0000-00007FAD0000}"/>
    <cellStyle name="Output 2 2 5 4 2" xfId="44594" xr:uid="{00000000-0005-0000-0000-000080AD0000}"/>
    <cellStyle name="Output 2 2 5 4 2 2" xfId="44595" xr:uid="{00000000-0005-0000-0000-000081AD0000}"/>
    <cellStyle name="Output 2 2 5 4 2 2 2" xfId="44596" xr:uid="{00000000-0005-0000-0000-000082AD0000}"/>
    <cellStyle name="Output 2 2 5 4 2 3" xfId="44597" xr:uid="{00000000-0005-0000-0000-000083AD0000}"/>
    <cellStyle name="Output 2 2 5 4 2 3 2" xfId="44598" xr:uid="{00000000-0005-0000-0000-000084AD0000}"/>
    <cellStyle name="Output 2 2 5 4 2 4" xfId="44599" xr:uid="{00000000-0005-0000-0000-000085AD0000}"/>
    <cellStyle name="Output 2 2 5 4 2 5" xfId="44600" xr:uid="{00000000-0005-0000-0000-000086AD0000}"/>
    <cellStyle name="Output 2 2 5 4 2 6" xfId="44601" xr:uid="{00000000-0005-0000-0000-000087AD0000}"/>
    <cellStyle name="Output 2 2 5 4 3" xfId="44602" xr:uid="{00000000-0005-0000-0000-000088AD0000}"/>
    <cellStyle name="Output 2 2 5 4 3 2" xfId="44603" xr:uid="{00000000-0005-0000-0000-000089AD0000}"/>
    <cellStyle name="Output 2 2 5 4 4" xfId="44604" xr:uid="{00000000-0005-0000-0000-00008AAD0000}"/>
    <cellStyle name="Output 2 2 5 4 4 2" xfId="44605" xr:uid="{00000000-0005-0000-0000-00008BAD0000}"/>
    <cellStyle name="Output 2 2 5 4 5" xfId="44606" xr:uid="{00000000-0005-0000-0000-00008CAD0000}"/>
    <cellStyle name="Output 2 2 5 4 6" xfId="44607" xr:uid="{00000000-0005-0000-0000-00008DAD0000}"/>
    <cellStyle name="Output 2 2 5 4 7" xfId="44608" xr:uid="{00000000-0005-0000-0000-00008EAD0000}"/>
    <cellStyle name="Output 2 2 5 5" xfId="44609" xr:uid="{00000000-0005-0000-0000-00008FAD0000}"/>
    <cellStyle name="Output 2 2 5 5 2" xfId="44610" xr:uid="{00000000-0005-0000-0000-000090AD0000}"/>
    <cellStyle name="Output 2 2 5 5 2 2" xfId="44611" xr:uid="{00000000-0005-0000-0000-000091AD0000}"/>
    <cellStyle name="Output 2 2 5 5 3" xfId="44612" xr:uid="{00000000-0005-0000-0000-000092AD0000}"/>
    <cellStyle name="Output 2 2 5 5 3 2" xfId="44613" xr:uid="{00000000-0005-0000-0000-000093AD0000}"/>
    <cellStyle name="Output 2 2 5 5 4" xfId="44614" xr:uid="{00000000-0005-0000-0000-000094AD0000}"/>
    <cellStyle name="Output 2 2 5 5 5" xfId="44615" xr:uid="{00000000-0005-0000-0000-000095AD0000}"/>
    <cellStyle name="Output 2 2 5 5 6" xfId="44616" xr:uid="{00000000-0005-0000-0000-000096AD0000}"/>
    <cellStyle name="Output 2 2 5 6" xfId="44617" xr:uid="{00000000-0005-0000-0000-000097AD0000}"/>
    <cellStyle name="Output 2 2 5 6 2" xfId="44618" xr:uid="{00000000-0005-0000-0000-000098AD0000}"/>
    <cellStyle name="Output 2 2 5 7" xfId="44619" xr:uid="{00000000-0005-0000-0000-000099AD0000}"/>
    <cellStyle name="Output 2 2 5 7 2" xfId="44620" xr:uid="{00000000-0005-0000-0000-00009AAD0000}"/>
    <cellStyle name="Output 2 2 5 8" xfId="44621" xr:uid="{00000000-0005-0000-0000-00009BAD0000}"/>
    <cellStyle name="Output 2 2 5 9" xfId="44622" xr:uid="{00000000-0005-0000-0000-00009CAD0000}"/>
    <cellStyle name="Output 2 2 6" xfId="44623" xr:uid="{00000000-0005-0000-0000-00009DAD0000}"/>
    <cellStyle name="Output 2 2 6 2" xfId="44624" xr:uid="{00000000-0005-0000-0000-00009EAD0000}"/>
    <cellStyle name="Output 2 2 6 2 2" xfId="44625" xr:uid="{00000000-0005-0000-0000-00009FAD0000}"/>
    <cellStyle name="Output 2 2 6 2 2 2" xfId="44626" xr:uid="{00000000-0005-0000-0000-0000A0AD0000}"/>
    <cellStyle name="Output 2 2 6 2 2 2 2" xfId="44627" xr:uid="{00000000-0005-0000-0000-0000A1AD0000}"/>
    <cellStyle name="Output 2 2 6 2 2 3" xfId="44628" xr:uid="{00000000-0005-0000-0000-0000A2AD0000}"/>
    <cellStyle name="Output 2 2 6 2 2 3 2" xfId="44629" xr:uid="{00000000-0005-0000-0000-0000A3AD0000}"/>
    <cellStyle name="Output 2 2 6 2 2 4" xfId="44630" xr:uid="{00000000-0005-0000-0000-0000A4AD0000}"/>
    <cellStyle name="Output 2 2 6 2 2 5" xfId="44631" xr:uid="{00000000-0005-0000-0000-0000A5AD0000}"/>
    <cellStyle name="Output 2 2 6 2 2 6" xfId="44632" xr:uid="{00000000-0005-0000-0000-0000A6AD0000}"/>
    <cellStyle name="Output 2 2 6 2 3" xfId="44633" xr:uid="{00000000-0005-0000-0000-0000A7AD0000}"/>
    <cellStyle name="Output 2 2 6 2 3 2" xfId="44634" xr:uid="{00000000-0005-0000-0000-0000A8AD0000}"/>
    <cellStyle name="Output 2 2 6 2 4" xfId="44635" xr:uid="{00000000-0005-0000-0000-0000A9AD0000}"/>
    <cellStyle name="Output 2 2 6 2 4 2" xfId="44636" xr:uid="{00000000-0005-0000-0000-0000AAAD0000}"/>
    <cellStyle name="Output 2 2 6 2 5" xfId="44637" xr:uid="{00000000-0005-0000-0000-0000ABAD0000}"/>
    <cellStyle name="Output 2 2 6 2 6" xfId="44638" xr:uid="{00000000-0005-0000-0000-0000ACAD0000}"/>
    <cellStyle name="Output 2 2 6 2 7" xfId="44639" xr:uid="{00000000-0005-0000-0000-0000ADAD0000}"/>
    <cellStyle name="Output 2 2 6 3" xfId="44640" xr:uid="{00000000-0005-0000-0000-0000AEAD0000}"/>
    <cellStyle name="Output 2 2 6 3 2" xfId="44641" xr:uid="{00000000-0005-0000-0000-0000AFAD0000}"/>
    <cellStyle name="Output 2 2 6 3 2 2" xfId="44642" xr:uid="{00000000-0005-0000-0000-0000B0AD0000}"/>
    <cellStyle name="Output 2 2 6 3 3" xfId="44643" xr:uid="{00000000-0005-0000-0000-0000B1AD0000}"/>
    <cellStyle name="Output 2 2 6 3 3 2" xfId="44644" xr:uid="{00000000-0005-0000-0000-0000B2AD0000}"/>
    <cellStyle name="Output 2 2 6 3 4" xfId="44645" xr:uid="{00000000-0005-0000-0000-0000B3AD0000}"/>
    <cellStyle name="Output 2 2 6 3 5" xfId="44646" xr:uid="{00000000-0005-0000-0000-0000B4AD0000}"/>
    <cellStyle name="Output 2 2 6 3 6" xfId="44647" xr:uid="{00000000-0005-0000-0000-0000B5AD0000}"/>
    <cellStyle name="Output 2 2 6 4" xfId="44648" xr:uid="{00000000-0005-0000-0000-0000B6AD0000}"/>
    <cellStyle name="Output 2 2 6 4 2" xfId="44649" xr:uid="{00000000-0005-0000-0000-0000B7AD0000}"/>
    <cellStyle name="Output 2 2 6 5" xfId="44650" xr:uid="{00000000-0005-0000-0000-0000B8AD0000}"/>
    <cellStyle name="Output 2 2 6 5 2" xfId="44651" xr:uid="{00000000-0005-0000-0000-0000B9AD0000}"/>
    <cellStyle name="Output 2 2 6 6" xfId="44652" xr:uid="{00000000-0005-0000-0000-0000BAAD0000}"/>
    <cellStyle name="Output 2 2 6 7" xfId="44653" xr:uid="{00000000-0005-0000-0000-0000BBAD0000}"/>
    <cellStyle name="Output 2 2 6 8" xfId="44654" xr:uid="{00000000-0005-0000-0000-0000BCAD0000}"/>
    <cellStyle name="Output 2 2 7" xfId="44655" xr:uid="{00000000-0005-0000-0000-0000BDAD0000}"/>
    <cellStyle name="Output 2 2 7 2" xfId="44656" xr:uid="{00000000-0005-0000-0000-0000BEAD0000}"/>
    <cellStyle name="Output 2 2 7 2 2" xfId="44657" xr:uid="{00000000-0005-0000-0000-0000BFAD0000}"/>
    <cellStyle name="Output 2 2 7 2 2 2" xfId="44658" xr:uid="{00000000-0005-0000-0000-0000C0AD0000}"/>
    <cellStyle name="Output 2 2 7 2 3" xfId="44659" xr:uid="{00000000-0005-0000-0000-0000C1AD0000}"/>
    <cellStyle name="Output 2 2 7 2 3 2" xfId="44660" xr:uid="{00000000-0005-0000-0000-0000C2AD0000}"/>
    <cellStyle name="Output 2 2 7 2 4" xfId="44661" xr:uid="{00000000-0005-0000-0000-0000C3AD0000}"/>
    <cellStyle name="Output 2 2 7 2 5" xfId="44662" xr:uid="{00000000-0005-0000-0000-0000C4AD0000}"/>
    <cellStyle name="Output 2 2 7 2 6" xfId="44663" xr:uid="{00000000-0005-0000-0000-0000C5AD0000}"/>
    <cellStyle name="Output 2 2 7 3" xfId="44664" xr:uid="{00000000-0005-0000-0000-0000C6AD0000}"/>
    <cellStyle name="Output 2 2 7 3 2" xfId="44665" xr:uid="{00000000-0005-0000-0000-0000C7AD0000}"/>
    <cellStyle name="Output 2 2 7 4" xfId="44666" xr:uid="{00000000-0005-0000-0000-0000C8AD0000}"/>
    <cellStyle name="Output 2 2 7 4 2" xfId="44667" xr:uid="{00000000-0005-0000-0000-0000C9AD0000}"/>
    <cellStyle name="Output 2 2 7 5" xfId="44668" xr:uid="{00000000-0005-0000-0000-0000CAAD0000}"/>
    <cellStyle name="Output 2 2 7 6" xfId="44669" xr:uid="{00000000-0005-0000-0000-0000CBAD0000}"/>
    <cellStyle name="Output 2 2 7 7" xfId="44670" xr:uid="{00000000-0005-0000-0000-0000CCAD0000}"/>
    <cellStyle name="Output 2 2 8" xfId="44671" xr:uid="{00000000-0005-0000-0000-0000CDAD0000}"/>
    <cellStyle name="Output 2 2 8 2" xfId="44672" xr:uid="{00000000-0005-0000-0000-0000CEAD0000}"/>
    <cellStyle name="Output 2 2 9" xfId="44673" xr:uid="{00000000-0005-0000-0000-0000CFAD0000}"/>
    <cellStyle name="Output 2 2 9 2" xfId="44674" xr:uid="{00000000-0005-0000-0000-0000D0AD0000}"/>
    <cellStyle name="Output 2 3" xfId="44675" xr:uid="{00000000-0005-0000-0000-0000D1AD0000}"/>
    <cellStyle name="Output 2 3 10" xfId="44676" xr:uid="{00000000-0005-0000-0000-0000D2AD0000}"/>
    <cellStyle name="Output 2 3 11" xfId="44677" xr:uid="{00000000-0005-0000-0000-0000D3AD0000}"/>
    <cellStyle name="Output 2 3 12" xfId="44678" xr:uid="{00000000-0005-0000-0000-0000D4AD0000}"/>
    <cellStyle name="Output 2 3 2" xfId="44679" xr:uid="{00000000-0005-0000-0000-0000D5AD0000}"/>
    <cellStyle name="Output 2 3 2 10" xfId="44680" xr:uid="{00000000-0005-0000-0000-0000D6AD0000}"/>
    <cellStyle name="Output 2 3 2 2" xfId="44681" xr:uid="{00000000-0005-0000-0000-0000D7AD0000}"/>
    <cellStyle name="Output 2 3 2 2 2" xfId="44682" xr:uid="{00000000-0005-0000-0000-0000D8AD0000}"/>
    <cellStyle name="Output 2 3 2 2 2 2" xfId="44683" xr:uid="{00000000-0005-0000-0000-0000D9AD0000}"/>
    <cellStyle name="Output 2 3 2 2 2 2 2" xfId="44684" xr:uid="{00000000-0005-0000-0000-0000DAAD0000}"/>
    <cellStyle name="Output 2 3 2 2 2 2 2 2" xfId="44685" xr:uid="{00000000-0005-0000-0000-0000DBAD0000}"/>
    <cellStyle name="Output 2 3 2 2 2 2 2 2 2" xfId="44686" xr:uid="{00000000-0005-0000-0000-0000DCAD0000}"/>
    <cellStyle name="Output 2 3 2 2 2 2 2 3" xfId="44687" xr:uid="{00000000-0005-0000-0000-0000DDAD0000}"/>
    <cellStyle name="Output 2 3 2 2 2 2 2 3 2" xfId="44688" xr:uid="{00000000-0005-0000-0000-0000DEAD0000}"/>
    <cellStyle name="Output 2 3 2 2 2 2 2 4" xfId="44689" xr:uid="{00000000-0005-0000-0000-0000DFAD0000}"/>
    <cellStyle name="Output 2 3 2 2 2 2 2 5" xfId="44690" xr:uid="{00000000-0005-0000-0000-0000E0AD0000}"/>
    <cellStyle name="Output 2 3 2 2 2 2 2 6" xfId="44691" xr:uid="{00000000-0005-0000-0000-0000E1AD0000}"/>
    <cellStyle name="Output 2 3 2 2 2 2 3" xfId="44692" xr:uid="{00000000-0005-0000-0000-0000E2AD0000}"/>
    <cellStyle name="Output 2 3 2 2 2 2 3 2" xfId="44693" xr:uid="{00000000-0005-0000-0000-0000E3AD0000}"/>
    <cellStyle name="Output 2 3 2 2 2 2 4" xfId="44694" xr:uid="{00000000-0005-0000-0000-0000E4AD0000}"/>
    <cellStyle name="Output 2 3 2 2 2 2 4 2" xfId="44695" xr:uid="{00000000-0005-0000-0000-0000E5AD0000}"/>
    <cellStyle name="Output 2 3 2 2 2 2 5" xfId="44696" xr:uid="{00000000-0005-0000-0000-0000E6AD0000}"/>
    <cellStyle name="Output 2 3 2 2 2 2 6" xfId="44697" xr:uid="{00000000-0005-0000-0000-0000E7AD0000}"/>
    <cellStyle name="Output 2 3 2 2 2 2 7" xfId="44698" xr:uid="{00000000-0005-0000-0000-0000E8AD0000}"/>
    <cellStyle name="Output 2 3 2 2 2 3" xfId="44699" xr:uid="{00000000-0005-0000-0000-0000E9AD0000}"/>
    <cellStyle name="Output 2 3 2 2 2 3 2" xfId="44700" xr:uid="{00000000-0005-0000-0000-0000EAAD0000}"/>
    <cellStyle name="Output 2 3 2 2 2 3 2 2" xfId="44701" xr:uid="{00000000-0005-0000-0000-0000EBAD0000}"/>
    <cellStyle name="Output 2 3 2 2 2 3 3" xfId="44702" xr:uid="{00000000-0005-0000-0000-0000ECAD0000}"/>
    <cellStyle name="Output 2 3 2 2 2 3 3 2" xfId="44703" xr:uid="{00000000-0005-0000-0000-0000EDAD0000}"/>
    <cellStyle name="Output 2 3 2 2 2 3 4" xfId="44704" xr:uid="{00000000-0005-0000-0000-0000EEAD0000}"/>
    <cellStyle name="Output 2 3 2 2 2 3 5" xfId="44705" xr:uid="{00000000-0005-0000-0000-0000EFAD0000}"/>
    <cellStyle name="Output 2 3 2 2 2 3 6" xfId="44706" xr:uid="{00000000-0005-0000-0000-0000F0AD0000}"/>
    <cellStyle name="Output 2 3 2 2 2 4" xfId="44707" xr:uid="{00000000-0005-0000-0000-0000F1AD0000}"/>
    <cellStyle name="Output 2 3 2 2 2 4 2" xfId="44708" xr:uid="{00000000-0005-0000-0000-0000F2AD0000}"/>
    <cellStyle name="Output 2 3 2 2 2 5" xfId="44709" xr:uid="{00000000-0005-0000-0000-0000F3AD0000}"/>
    <cellStyle name="Output 2 3 2 2 2 5 2" xfId="44710" xr:uid="{00000000-0005-0000-0000-0000F4AD0000}"/>
    <cellStyle name="Output 2 3 2 2 2 6" xfId="44711" xr:uid="{00000000-0005-0000-0000-0000F5AD0000}"/>
    <cellStyle name="Output 2 3 2 2 2 7" xfId="44712" xr:uid="{00000000-0005-0000-0000-0000F6AD0000}"/>
    <cellStyle name="Output 2 3 2 2 2 8" xfId="44713" xr:uid="{00000000-0005-0000-0000-0000F7AD0000}"/>
    <cellStyle name="Output 2 3 2 2 3" xfId="44714" xr:uid="{00000000-0005-0000-0000-0000F8AD0000}"/>
    <cellStyle name="Output 2 3 2 2 3 2" xfId="44715" xr:uid="{00000000-0005-0000-0000-0000F9AD0000}"/>
    <cellStyle name="Output 2 3 2 2 3 2 2" xfId="44716" xr:uid="{00000000-0005-0000-0000-0000FAAD0000}"/>
    <cellStyle name="Output 2 3 2 2 3 2 2 2" xfId="44717" xr:uid="{00000000-0005-0000-0000-0000FBAD0000}"/>
    <cellStyle name="Output 2 3 2 2 3 2 3" xfId="44718" xr:uid="{00000000-0005-0000-0000-0000FCAD0000}"/>
    <cellStyle name="Output 2 3 2 2 3 2 3 2" xfId="44719" xr:uid="{00000000-0005-0000-0000-0000FDAD0000}"/>
    <cellStyle name="Output 2 3 2 2 3 2 4" xfId="44720" xr:uid="{00000000-0005-0000-0000-0000FEAD0000}"/>
    <cellStyle name="Output 2 3 2 2 3 2 5" xfId="44721" xr:uid="{00000000-0005-0000-0000-0000FFAD0000}"/>
    <cellStyle name="Output 2 3 2 2 3 2 6" xfId="44722" xr:uid="{00000000-0005-0000-0000-000000AE0000}"/>
    <cellStyle name="Output 2 3 2 2 3 3" xfId="44723" xr:uid="{00000000-0005-0000-0000-000001AE0000}"/>
    <cellStyle name="Output 2 3 2 2 3 3 2" xfId="44724" xr:uid="{00000000-0005-0000-0000-000002AE0000}"/>
    <cellStyle name="Output 2 3 2 2 3 4" xfId="44725" xr:uid="{00000000-0005-0000-0000-000003AE0000}"/>
    <cellStyle name="Output 2 3 2 2 3 4 2" xfId="44726" xr:uid="{00000000-0005-0000-0000-000004AE0000}"/>
    <cellStyle name="Output 2 3 2 2 3 5" xfId="44727" xr:uid="{00000000-0005-0000-0000-000005AE0000}"/>
    <cellStyle name="Output 2 3 2 2 3 6" xfId="44728" xr:uid="{00000000-0005-0000-0000-000006AE0000}"/>
    <cellStyle name="Output 2 3 2 2 3 7" xfId="44729" xr:uid="{00000000-0005-0000-0000-000007AE0000}"/>
    <cellStyle name="Output 2 3 2 2 4" xfId="44730" xr:uid="{00000000-0005-0000-0000-000008AE0000}"/>
    <cellStyle name="Output 2 3 2 2 4 2" xfId="44731" xr:uid="{00000000-0005-0000-0000-000009AE0000}"/>
    <cellStyle name="Output 2 3 2 2 4 2 2" xfId="44732" xr:uid="{00000000-0005-0000-0000-00000AAE0000}"/>
    <cellStyle name="Output 2 3 2 2 4 3" xfId="44733" xr:uid="{00000000-0005-0000-0000-00000BAE0000}"/>
    <cellStyle name="Output 2 3 2 2 4 3 2" xfId="44734" xr:uid="{00000000-0005-0000-0000-00000CAE0000}"/>
    <cellStyle name="Output 2 3 2 2 4 4" xfId="44735" xr:uid="{00000000-0005-0000-0000-00000DAE0000}"/>
    <cellStyle name="Output 2 3 2 2 4 5" xfId="44736" xr:uid="{00000000-0005-0000-0000-00000EAE0000}"/>
    <cellStyle name="Output 2 3 2 2 4 6" xfId="44737" xr:uid="{00000000-0005-0000-0000-00000FAE0000}"/>
    <cellStyle name="Output 2 3 2 2 5" xfId="44738" xr:uid="{00000000-0005-0000-0000-000010AE0000}"/>
    <cellStyle name="Output 2 3 2 2 5 2" xfId="44739" xr:uid="{00000000-0005-0000-0000-000011AE0000}"/>
    <cellStyle name="Output 2 3 2 2 6" xfId="44740" xr:uid="{00000000-0005-0000-0000-000012AE0000}"/>
    <cellStyle name="Output 2 3 2 2 6 2" xfId="44741" xr:uid="{00000000-0005-0000-0000-000013AE0000}"/>
    <cellStyle name="Output 2 3 2 2 7" xfId="44742" xr:uid="{00000000-0005-0000-0000-000014AE0000}"/>
    <cellStyle name="Output 2 3 2 2 8" xfId="44743" xr:uid="{00000000-0005-0000-0000-000015AE0000}"/>
    <cellStyle name="Output 2 3 2 2 9" xfId="44744" xr:uid="{00000000-0005-0000-0000-000016AE0000}"/>
    <cellStyle name="Output 2 3 2 3" xfId="44745" xr:uid="{00000000-0005-0000-0000-000017AE0000}"/>
    <cellStyle name="Output 2 3 2 3 2" xfId="44746" xr:uid="{00000000-0005-0000-0000-000018AE0000}"/>
    <cellStyle name="Output 2 3 2 3 2 2" xfId="44747" xr:uid="{00000000-0005-0000-0000-000019AE0000}"/>
    <cellStyle name="Output 2 3 2 3 2 2 2" xfId="44748" xr:uid="{00000000-0005-0000-0000-00001AAE0000}"/>
    <cellStyle name="Output 2 3 2 3 2 2 2 2" xfId="44749" xr:uid="{00000000-0005-0000-0000-00001BAE0000}"/>
    <cellStyle name="Output 2 3 2 3 2 2 3" xfId="44750" xr:uid="{00000000-0005-0000-0000-00001CAE0000}"/>
    <cellStyle name="Output 2 3 2 3 2 2 3 2" xfId="44751" xr:uid="{00000000-0005-0000-0000-00001DAE0000}"/>
    <cellStyle name="Output 2 3 2 3 2 2 4" xfId="44752" xr:uid="{00000000-0005-0000-0000-00001EAE0000}"/>
    <cellStyle name="Output 2 3 2 3 2 2 5" xfId="44753" xr:uid="{00000000-0005-0000-0000-00001FAE0000}"/>
    <cellStyle name="Output 2 3 2 3 2 2 6" xfId="44754" xr:uid="{00000000-0005-0000-0000-000020AE0000}"/>
    <cellStyle name="Output 2 3 2 3 2 3" xfId="44755" xr:uid="{00000000-0005-0000-0000-000021AE0000}"/>
    <cellStyle name="Output 2 3 2 3 2 3 2" xfId="44756" xr:uid="{00000000-0005-0000-0000-000022AE0000}"/>
    <cellStyle name="Output 2 3 2 3 2 4" xfId="44757" xr:uid="{00000000-0005-0000-0000-000023AE0000}"/>
    <cellStyle name="Output 2 3 2 3 2 4 2" xfId="44758" xr:uid="{00000000-0005-0000-0000-000024AE0000}"/>
    <cellStyle name="Output 2 3 2 3 2 5" xfId="44759" xr:uid="{00000000-0005-0000-0000-000025AE0000}"/>
    <cellStyle name="Output 2 3 2 3 2 6" xfId="44760" xr:uid="{00000000-0005-0000-0000-000026AE0000}"/>
    <cellStyle name="Output 2 3 2 3 2 7" xfId="44761" xr:uid="{00000000-0005-0000-0000-000027AE0000}"/>
    <cellStyle name="Output 2 3 2 3 3" xfId="44762" xr:uid="{00000000-0005-0000-0000-000028AE0000}"/>
    <cellStyle name="Output 2 3 2 3 3 2" xfId="44763" xr:uid="{00000000-0005-0000-0000-000029AE0000}"/>
    <cellStyle name="Output 2 3 2 3 3 2 2" xfId="44764" xr:uid="{00000000-0005-0000-0000-00002AAE0000}"/>
    <cellStyle name="Output 2 3 2 3 3 3" xfId="44765" xr:uid="{00000000-0005-0000-0000-00002BAE0000}"/>
    <cellStyle name="Output 2 3 2 3 3 3 2" xfId="44766" xr:uid="{00000000-0005-0000-0000-00002CAE0000}"/>
    <cellStyle name="Output 2 3 2 3 3 4" xfId="44767" xr:uid="{00000000-0005-0000-0000-00002DAE0000}"/>
    <cellStyle name="Output 2 3 2 3 3 5" xfId="44768" xr:uid="{00000000-0005-0000-0000-00002EAE0000}"/>
    <cellStyle name="Output 2 3 2 3 3 6" xfId="44769" xr:uid="{00000000-0005-0000-0000-00002FAE0000}"/>
    <cellStyle name="Output 2 3 2 3 4" xfId="44770" xr:uid="{00000000-0005-0000-0000-000030AE0000}"/>
    <cellStyle name="Output 2 3 2 3 4 2" xfId="44771" xr:uid="{00000000-0005-0000-0000-000031AE0000}"/>
    <cellStyle name="Output 2 3 2 3 5" xfId="44772" xr:uid="{00000000-0005-0000-0000-000032AE0000}"/>
    <cellStyle name="Output 2 3 2 3 5 2" xfId="44773" xr:uid="{00000000-0005-0000-0000-000033AE0000}"/>
    <cellStyle name="Output 2 3 2 3 6" xfId="44774" xr:uid="{00000000-0005-0000-0000-000034AE0000}"/>
    <cellStyle name="Output 2 3 2 3 7" xfId="44775" xr:uid="{00000000-0005-0000-0000-000035AE0000}"/>
    <cellStyle name="Output 2 3 2 3 8" xfId="44776" xr:uid="{00000000-0005-0000-0000-000036AE0000}"/>
    <cellStyle name="Output 2 3 2 4" xfId="44777" xr:uid="{00000000-0005-0000-0000-000037AE0000}"/>
    <cellStyle name="Output 2 3 2 4 2" xfId="44778" xr:uid="{00000000-0005-0000-0000-000038AE0000}"/>
    <cellStyle name="Output 2 3 2 4 2 2" xfId="44779" xr:uid="{00000000-0005-0000-0000-000039AE0000}"/>
    <cellStyle name="Output 2 3 2 4 2 2 2" xfId="44780" xr:uid="{00000000-0005-0000-0000-00003AAE0000}"/>
    <cellStyle name="Output 2 3 2 4 2 3" xfId="44781" xr:uid="{00000000-0005-0000-0000-00003BAE0000}"/>
    <cellStyle name="Output 2 3 2 4 2 3 2" xfId="44782" xr:uid="{00000000-0005-0000-0000-00003CAE0000}"/>
    <cellStyle name="Output 2 3 2 4 2 4" xfId="44783" xr:uid="{00000000-0005-0000-0000-00003DAE0000}"/>
    <cellStyle name="Output 2 3 2 4 2 5" xfId="44784" xr:uid="{00000000-0005-0000-0000-00003EAE0000}"/>
    <cellStyle name="Output 2 3 2 4 2 6" xfId="44785" xr:uid="{00000000-0005-0000-0000-00003FAE0000}"/>
    <cellStyle name="Output 2 3 2 4 3" xfId="44786" xr:uid="{00000000-0005-0000-0000-000040AE0000}"/>
    <cellStyle name="Output 2 3 2 4 3 2" xfId="44787" xr:uid="{00000000-0005-0000-0000-000041AE0000}"/>
    <cellStyle name="Output 2 3 2 4 4" xfId="44788" xr:uid="{00000000-0005-0000-0000-000042AE0000}"/>
    <cellStyle name="Output 2 3 2 4 4 2" xfId="44789" xr:uid="{00000000-0005-0000-0000-000043AE0000}"/>
    <cellStyle name="Output 2 3 2 4 5" xfId="44790" xr:uid="{00000000-0005-0000-0000-000044AE0000}"/>
    <cellStyle name="Output 2 3 2 4 6" xfId="44791" xr:uid="{00000000-0005-0000-0000-000045AE0000}"/>
    <cellStyle name="Output 2 3 2 4 7" xfId="44792" xr:uid="{00000000-0005-0000-0000-000046AE0000}"/>
    <cellStyle name="Output 2 3 2 5" xfId="44793" xr:uid="{00000000-0005-0000-0000-000047AE0000}"/>
    <cellStyle name="Output 2 3 2 5 2" xfId="44794" xr:uid="{00000000-0005-0000-0000-000048AE0000}"/>
    <cellStyle name="Output 2 3 2 5 2 2" xfId="44795" xr:uid="{00000000-0005-0000-0000-000049AE0000}"/>
    <cellStyle name="Output 2 3 2 5 3" xfId="44796" xr:uid="{00000000-0005-0000-0000-00004AAE0000}"/>
    <cellStyle name="Output 2 3 2 5 3 2" xfId="44797" xr:uid="{00000000-0005-0000-0000-00004BAE0000}"/>
    <cellStyle name="Output 2 3 2 5 4" xfId="44798" xr:uid="{00000000-0005-0000-0000-00004CAE0000}"/>
    <cellStyle name="Output 2 3 2 5 5" xfId="44799" xr:uid="{00000000-0005-0000-0000-00004DAE0000}"/>
    <cellStyle name="Output 2 3 2 5 6" xfId="44800" xr:uid="{00000000-0005-0000-0000-00004EAE0000}"/>
    <cellStyle name="Output 2 3 2 6" xfId="44801" xr:uid="{00000000-0005-0000-0000-00004FAE0000}"/>
    <cellStyle name="Output 2 3 2 6 2" xfId="44802" xr:uid="{00000000-0005-0000-0000-000050AE0000}"/>
    <cellStyle name="Output 2 3 2 7" xfId="44803" xr:uid="{00000000-0005-0000-0000-000051AE0000}"/>
    <cellStyle name="Output 2 3 2 7 2" xfId="44804" xr:uid="{00000000-0005-0000-0000-000052AE0000}"/>
    <cellStyle name="Output 2 3 2 8" xfId="44805" xr:uid="{00000000-0005-0000-0000-000053AE0000}"/>
    <cellStyle name="Output 2 3 2 9" xfId="44806" xr:uid="{00000000-0005-0000-0000-000054AE0000}"/>
    <cellStyle name="Output 2 3 3" xfId="44807" xr:uid="{00000000-0005-0000-0000-000055AE0000}"/>
    <cellStyle name="Output 2 3 3 2" xfId="44808" xr:uid="{00000000-0005-0000-0000-000056AE0000}"/>
    <cellStyle name="Output 2 3 3 2 2" xfId="44809" xr:uid="{00000000-0005-0000-0000-000057AE0000}"/>
    <cellStyle name="Output 2 3 3 2 2 2" xfId="44810" xr:uid="{00000000-0005-0000-0000-000058AE0000}"/>
    <cellStyle name="Output 2 3 3 2 2 2 2" xfId="44811" xr:uid="{00000000-0005-0000-0000-000059AE0000}"/>
    <cellStyle name="Output 2 3 3 2 2 2 2 2" xfId="44812" xr:uid="{00000000-0005-0000-0000-00005AAE0000}"/>
    <cellStyle name="Output 2 3 3 2 2 2 3" xfId="44813" xr:uid="{00000000-0005-0000-0000-00005BAE0000}"/>
    <cellStyle name="Output 2 3 3 2 2 2 3 2" xfId="44814" xr:uid="{00000000-0005-0000-0000-00005CAE0000}"/>
    <cellStyle name="Output 2 3 3 2 2 2 4" xfId="44815" xr:uid="{00000000-0005-0000-0000-00005DAE0000}"/>
    <cellStyle name="Output 2 3 3 2 2 2 5" xfId="44816" xr:uid="{00000000-0005-0000-0000-00005EAE0000}"/>
    <cellStyle name="Output 2 3 3 2 2 2 6" xfId="44817" xr:uid="{00000000-0005-0000-0000-00005FAE0000}"/>
    <cellStyle name="Output 2 3 3 2 2 3" xfId="44818" xr:uid="{00000000-0005-0000-0000-000060AE0000}"/>
    <cellStyle name="Output 2 3 3 2 2 3 2" xfId="44819" xr:uid="{00000000-0005-0000-0000-000061AE0000}"/>
    <cellStyle name="Output 2 3 3 2 2 4" xfId="44820" xr:uid="{00000000-0005-0000-0000-000062AE0000}"/>
    <cellStyle name="Output 2 3 3 2 2 4 2" xfId="44821" xr:uid="{00000000-0005-0000-0000-000063AE0000}"/>
    <cellStyle name="Output 2 3 3 2 2 5" xfId="44822" xr:uid="{00000000-0005-0000-0000-000064AE0000}"/>
    <cellStyle name="Output 2 3 3 2 2 6" xfId="44823" xr:uid="{00000000-0005-0000-0000-000065AE0000}"/>
    <cellStyle name="Output 2 3 3 2 2 7" xfId="44824" xr:uid="{00000000-0005-0000-0000-000066AE0000}"/>
    <cellStyle name="Output 2 3 3 2 3" xfId="44825" xr:uid="{00000000-0005-0000-0000-000067AE0000}"/>
    <cellStyle name="Output 2 3 3 2 3 2" xfId="44826" xr:uid="{00000000-0005-0000-0000-000068AE0000}"/>
    <cellStyle name="Output 2 3 3 2 3 2 2" xfId="44827" xr:uid="{00000000-0005-0000-0000-000069AE0000}"/>
    <cellStyle name="Output 2 3 3 2 3 3" xfId="44828" xr:uid="{00000000-0005-0000-0000-00006AAE0000}"/>
    <cellStyle name="Output 2 3 3 2 3 3 2" xfId="44829" xr:uid="{00000000-0005-0000-0000-00006BAE0000}"/>
    <cellStyle name="Output 2 3 3 2 3 4" xfId="44830" xr:uid="{00000000-0005-0000-0000-00006CAE0000}"/>
    <cellStyle name="Output 2 3 3 2 3 5" xfId="44831" xr:uid="{00000000-0005-0000-0000-00006DAE0000}"/>
    <cellStyle name="Output 2 3 3 2 3 6" xfId="44832" xr:uid="{00000000-0005-0000-0000-00006EAE0000}"/>
    <cellStyle name="Output 2 3 3 2 4" xfId="44833" xr:uid="{00000000-0005-0000-0000-00006FAE0000}"/>
    <cellStyle name="Output 2 3 3 2 4 2" xfId="44834" xr:uid="{00000000-0005-0000-0000-000070AE0000}"/>
    <cellStyle name="Output 2 3 3 2 5" xfId="44835" xr:uid="{00000000-0005-0000-0000-000071AE0000}"/>
    <cellStyle name="Output 2 3 3 2 5 2" xfId="44836" xr:uid="{00000000-0005-0000-0000-000072AE0000}"/>
    <cellStyle name="Output 2 3 3 2 6" xfId="44837" xr:uid="{00000000-0005-0000-0000-000073AE0000}"/>
    <cellStyle name="Output 2 3 3 2 7" xfId="44838" xr:uid="{00000000-0005-0000-0000-000074AE0000}"/>
    <cellStyle name="Output 2 3 3 2 8" xfId="44839" xr:uid="{00000000-0005-0000-0000-000075AE0000}"/>
    <cellStyle name="Output 2 3 3 3" xfId="44840" xr:uid="{00000000-0005-0000-0000-000076AE0000}"/>
    <cellStyle name="Output 2 3 3 3 2" xfId="44841" xr:uid="{00000000-0005-0000-0000-000077AE0000}"/>
    <cellStyle name="Output 2 3 3 3 2 2" xfId="44842" xr:uid="{00000000-0005-0000-0000-000078AE0000}"/>
    <cellStyle name="Output 2 3 3 3 2 2 2" xfId="44843" xr:uid="{00000000-0005-0000-0000-000079AE0000}"/>
    <cellStyle name="Output 2 3 3 3 2 3" xfId="44844" xr:uid="{00000000-0005-0000-0000-00007AAE0000}"/>
    <cellStyle name="Output 2 3 3 3 2 3 2" xfId="44845" xr:uid="{00000000-0005-0000-0000-00007BAE0000}"/>
    <cellStyle name="Output 2 3 3 3 2 4" xfId="44846" xr:uid="{00000000-0005-0000-0000-00007CAE0000}"/>
    <cellStyle name="Output 2 3 3 3 2 5" xfId="44847" xr:uid="{00000000-0005-0000-0000-00007DAE0000}"/>
    <cellStyle name="Output 2 3 3 3 2 6" xfId="44848" xr:uid="{00000000-0005-0000-0000-00007EAE0000}"/>
    <cellStyle name="Output 2 3 3 3 3" xfId="44849" xr:uid="{00000000-0005-0000-0000-00007FAE0000}"/>
    <cellStyle name="Output 2 3 3 3 3 2" xfId="44850" xr:uid="{00000000-0005-0000-0000-000080AE0000}"/>
    <cellStyle name="Output 2 3 3 3 4" xfId="44851" xr:uid="{00000000-0005-0000-0000-000081AE0000}"/>
    <cellStyle name="Output 2 3 3 3 4 2" xfId="44852" xr:uid="{00000000-0005-0000-0000-000082AE0000}"/>
    <cellStyle name="Output 2 3 3 3 5" xfId="44853" xr:uid="{00000000-0005-0000-0000-000083AE0000}"/>
    <cellStyle name="Output 2 3 3 3 6" xfId="44854" xr:uid="{00000000-0005-0000-0000-000084AE0000}"/>
    <cellStyle name="Output 2 3 3 3 7" xfId="44855" xr:uid="{00000000-0005-0000-0000-000085AE0000}"/>
    <cellStyle name="Output 2 3 3 4" xfId="44856" xr:uid="{00000000-0005-0000-0000-000086AE0000}"/>
    <cellStyle name="Output 2 3 3 4 2" xfId="44857" xr:uid="{00000000-0005-0000-0000-000087AE0000}"/>
    <cellStyle name="Output 2 3 3 4 2 2" xfId="44858" xr:uid="{00000000-0005-0000-0000-000088AE0000}"/>
    <cellStyle name="Output 2 3 3 4 3" xfId="44859" xr:uid="{00000000-0005-0000-0000-000089AE0000}"/>
    <cellStyle name="Output 2 3 3 4 3 2" xfId="44860" xr:uid="{00000000-0005-0000-0000-00008AAE0000}"/>
    <cellStyle name="Output 2 3 3 4 4" xfId="44861" xr:uid="{00000000-0005-0000-0000-00008BAE0000}"/>
    <cellStyle name="Output 2 3 3 4 5" xfId="44862" xr:uid="{00000000-0005-0000-0000-00008CAE0000}"/>
    <cellStyle name="Output 2 3 3 4 6" xfId="44863" xr:uid="{00000000-0005-0000-0000-00008DAE0000}"/>
    <cellStyle name="Output 2 3 3 5" xfId="44864" xr:uid="{00000000-0005-0000-0000-00008EAE0000}"/>
    <cellStyle name="Output 2 3 3 5 2" xfId="44865" xr:uid="{00000000-0005-0000-0000-00008FAE0000}"/>
    <cellStyle name="Output 2 3 3 6" xfId="44866" xr:uid="{00000000-0005-0000-0000-000090AE0000}"/>
    <cellStyle name="Output 2 3 3 6 2" xfId="44867" xr:uid="{00000000-0005-0000-0000-000091AE0000}"/>
    <cellStyle name="Output 2 3 3 7" xfId="44868" xr:uid="{00000000-0005-0000-0000-000092AE0000}"/>
    <cellStyle name="Output 2 3 3 8" xfId="44869" xr:uid="{00000000-0005-0000-0000-000093AE0000}"/>
    <cellStyle name="Output 2 3 3 9" xfId="44870" xr:uid="{00000000-0005-0000-0000-000094AE0000}"/>
    <cellStyle name="Output 2 3 4" xfId="44871" xr:uid="{00000000-0005-0000-0000-000095AE0000}"/>
    <cellStyle name="Output 2 3 4 10" xfId="44872" xr:uid="{00000000-0005-0000-0000-000096AE0000}"/>
    <cellStyle name="Output 2 3 4 2" xfId="44873" xr:uid="{00000000-0005-0000-0000-000097AE0000}"/>
    <cellStyle name="Output 2 3 4 2 2" xfId="44874" xr:uid="{00000000-0005-0000-0000-000098AE0000}"/>
    <cellStyle name="Output 2 3 4 2 2 2" xfId="44875" xr:uid="{00000000-0005-0000-0000-000099AE0000}"/>
    <cellStyle name="Output 2 3 4 2 2 2 2" xfId="44876" xr:uid="{00000000-0005-0000-0000-00009AAE0000}"/>
    <cellStyle name="Output 2 3 4 2 2 2 2 2" xfId="44877" xr:uid="{00000000-0005-0000-0000-00009BAE0000}"/>
    <cellStyle name="Output 2 3 4 2 2 2 2 2 2" xfId="44878" xr:uid="{00000000-0005-0000-0000-00009CAE0000}"/>
    <cellStyle name="Output 2 3 4 2 2 2 2 3" xfId="44879" xr:uid="{00000000-0005-0000-0000-00009DAE0000}"/>
    <cellStyle name="Output 2 3 4 2 2 2 2 3 2" xfId="44880" xr:uid="{00000000-0005-0000-0000-00009EAE0000}"/>
    <cellStyle name="Output 2 3 4 2 2 2 2 4" xfId="44881" xr:uid="{00000000-0005-0000-0000-00009FAE0000}"/>
    <cellStyle name="Output 2 3 4 2 2 2 2 5" xfId="44882" xr:uid="{00000000-0005-0000-0000-0000A0AE0000}"/>
    <cellStyle name="Output 2 3 4 2 2 2 2 6" xfId="44883" xr:uid="{00000000-0005-0000-0000-0000A1AE0000}"/>
    <cellStyle name="Output 2 3 4 2 2 2 3" xfId="44884" xr:uid="{00000000-0005-0000-0000-0000A2AE0000}"/>
    <cellStyle name="Output 2 3 4 2 2 2 3 2" xfId="44885" xr:uid="{00000000-0005-0000-0000-0000A3AE0000}"/>
    <cellStyle name="Output 2 3 4 2 2 2 4" xfId="44886" xr:uid="{00000000-0005-0000-0000-0000A4AE0000}"/>
    <cellStyle name="Output 2 3 4 2 2 2 4 2" xfId="44887" xr:uid="{00000000-0005-0000-0000-0000A5AE0000}"/>
    <cellStyle name="Output 2 3 4 2 2 2 5" xfId="44888" xr:uid="{00000000-0005-0000-0000-0000A6AE0000}"/>
    <cellStyle name="Output 2 3 4 2 2 2 6" xfId="44889" xr:uid="{00000000-0005-0000-0000-0000A7AE0000}"/>
    <cellStyle name="Output 2 3 4 2 2 2 7" xfId="44890" xr:uid="{00000000-0005-0000-0000-0000A8AE0000}"/>
    <cellStyle name="Output 2 3 4 2 2 3" xfId="44891" xr:uid="{00000000-0005-0000-0000-0000A9AE0000}"/>
    <cellStyle name="Output 2 3 4 2 2 3 2" xfId="44892" xr:uid="{00000000-0005-0000-0000-0000AAAE0000}"/>
    <cellStyle name="Output 2 3 4 2 2 3 2 2" xfId="44893" xr:uid="{00000000-0005-0000-0000-0000ABAE0000}"/>
    <cellStyle name="Output 2 3 4 2 2 3 3" xfId="44894" xr:uid="{00000000-0005-0000-0000-0000ACAE0000}"/>
    <cellStyle name="Output 2 3 4 2 2 3 3 2" xfId="44895" xr:uid="{00000000-0005-0000-0000-0000ADAE0000}"/>
    <cellStyle name="Output 2 3 4 2 2 3 4" xfId="44896" xr:uid="{00000000-0005-0000-0000-0000AEAE0000}"/>
    <cellStyle name="Output 2 3 4 2 2 3 5" xfId="44897" xr:uid="{00000000-0005-0000-0000-0000AFAE0000}"/>
    <cellStyle name="Output 2 3 4 2 2 3 6" xfId="44898" xr:uid="{00000000-0005-0000-0000-0000B0AE0000}"/>
    <cellStyle name="Output 2 3 4 2 2 4" xfId="44899" xr:uid="{00000000-0005-0000-0000-0000B1AE0000}"/>
    <cellStyle name="Output 2 3 4 2 2 4 2" xfId="44900" xr:uid="{00000000-0005-0000-0000-0000B2AE0000}"/>
    <cellStyle name="Output 2 3 4 2 2 5" xfId="44901" xr:uid="{00000000-0005-0000-0000-0000B3AE0000}"/>
    <cellStyle name="Output 2 3 4 2 2 5 2" xfId="44902" xr:uid="{00000000-0005-0000-0000-0000B4AE0000}"/>
    <cellStyle name="Output 2 3 4 2 2 6" xfId="44903" xr:uid="{00000000-0005-0000-0000-0000B5AE0000}"/>
    <cellStyle name="Output 2 3 4 2 2 7" xfId="44904" xr:uid="{00000000-0005-0000-0000-0000B6AE0000}"/>
    <cellStyle name="Output 2 3 4 2 2 8" xfId="44905" xr:uid="{00000000-0005-0000-0000-0000B7AE0000}"/>
    <cellStyle name="Output 2 3 4 2 3" xfId="44906" xr:uid="{00000000-0005-0000-0000-0000B8AE0000}"/>
    <cellStyle name="Output 2 3 4 2 3 2" xfId="44907" xr:uid="{00000000-0005-0000-0000-0000B9AE0000}"/>
    <cellStyle name="Output 2 3 4 2 3 2 2" xfId="44908" xr:uid="{00000000-0005-0000-0000-0000BAAE0000}"/>
    <cellStyle name="Output 2 3 4 2 3 2 2 2" xfId="44909" xr:uid="{00000000-0005-0000-0000-0000BBAE0000}"/>
    <cellStyle name="Output 2 3 4 2 3 2 3" xfId="44910" xr:uid="{00000000-0005-0000-0000-0000BCAE0000}"/>
    <cellStyle name="Output 2 3 4 2 3 2 3 2" xfId="44911" xr:uid="{00000000-0005-0000-0000-0000BDAE0000}"/>
    <cellStyle name="Output 2 3 4 2 3 2 4" xfId="44912" xr:uid="{00000000-0005-0000-0000-0000BEAE0000}"/>
    <cellStyle name="Output 2 3 4 2 3 2 5" xfId="44913" xr:uid="{00000000-0005-0000-0000-0000BFAE0000}"/>
    <cellStyle name="Output 2 3 4 2 3 2 6" xfId="44914" xr:uid="{00000000-0005-0000-0000-0000C0AE0000}"/>
    <cellStyle name="Output 2 3 4 2 3 3" xfId="44915" xr:uid="{00000000-0005-0000-0000-0000C1AE0000}"/>
    <cellStyle name="Output 2 3 4 2 3 3 2" xfId="44916" xr:uid="{00000000-0005-0000-0000-0000C2AE0000}"/>
    <cellStyle name="Output 2 3 4 2 3 4" xfId="44917" xr:uid="{00000000-0005-0000-0000-0000C3AE0000}"/>
    <cellStyle name="Output 2 3 4 2 3 4 2" xfId="44918" xr:uid="{00000000-0005-0000-0000-0000C4AE0000}"/>
    <cellStyle name="Output 2 3 4 2 3 5" xfId="44919" xr:uid="{00000000-0005-0000-0000-0000C5AE0000}"/>
    <cellStyle name="Output 2 3 4 2 3 6" xfId="44920" xr:uid="{00000000-0005-0000-0000-0000C6AE0000}"/>
    <cellStyle name="Output 2 3 4 2 3 7" xfId="44921" xr:uid="{00000000-0005-0000-0000-0000C7AE0000}"/>
    <cellStyle name="Output 2 3 4 2 4" xfId="44922" xr:uid="{00000000-0005-0000-0000-0000C8AE0000}"/>
    <cellStyle name="Output 2 3 4 2 4 2" xfId="44923" xr:uid="{00000000-0005-0000-0000-0000C9AE0000}"/>
    <cellStyle name="Output 2 3 4 2 4 2 2" xfId="44924" xr:uid="{00000000-0005-0000-0000-0000CAAE0000}"/>
    <cellStyle name="Output 2 3 4 2 4 3" xfId="44925" xr:uid="{00000000-0005-0000-0000-0000CBAE0000}"/>
    <cellStyle name="Output 2 3 4 2 4 3 2" xfId="44926" xr:uid="{00000000-0005-0000-0000-0000CCAE0000}"/>
    <cellStyle name="Output 2 3 4 2 4 4" xfId="44927" xr:uid="{00000000-0005-0000-0000-0000CDAE0000}"/>
    <cellStyle name="Output 2 3 4 2 4 5" xfId="44928" xr:uid="{00000000-0005-0000-0000-0000CEAE0000}"/>
    <cellStyle name="Output 2 3 4 2 4 6" xfId="44929" xr:uid="{00000000-0005-0000-0000-0000CFAE0000}"/>
    <cellStyle name="Output 2 3 4 2 5" xfId="44930" xr:uid="{00000000-0005-0000-0000-0000D0AE0000}"/>
    <cellStyle name="Output 2 3 4 2 5 2" xfId="44931" xr:uid="{00000000-0005-0000-0000-0000D1AE0000}"/>
    <cellStyle name="Output 2 3 4 2 6" xfId="44932" xr:uid="{00000000-0005-0000-0000-0000D2AE0000}"/>
    <cellStyle name="Output 2 3 4 2 6 2" xfId="44933" xr:uid="{00000000-0005-0000-0000-0000D3AE0000}"/>
    <cellStyle name="Output 2 3 4 2 7" xfId="44934" xr:uid="{00000000-0005-0000-0000-0000D4AE0000}"/>
    <cellStyle name="Output 2 3 4 2 8" xfId="44935" xr:uid="{00000000-0005-0000-0000-0000D5AE0000}"/>
    <cellStyle name="Output 2 3 4 2 9" xfId="44936" xr:uid="{00000000-0005-0000-0000-0000D6AE0000}"/>
    <cellStyle name="Output 2 3 4 3" xfId="44937" xr:uid="{00000000-0005-0000-0000-0000D7AE0000}"/>
    <cellStyle name="Output 2 3 4 3 2" xfId="44938" xr:uid="{00000000-0005-0000-0000-0000D8AE0000}"/>
    <cellStyle name="Output 2 3 4 3 2 2" xfId="44939" xr:uid="{00000000-0005-0000-0000-0000D9AE0000}"/>
    <cellStyle name="Output 2 3 4 3 2 2 2" xfId="44940" xr:uid="{00000000-0005-0000-0000-0000DAAE0000}"/>
    <cellStyle name="Output 2 3 4 3 2 2 2 2" xfId="44941" xr:uid="{00000000-0005-0000-0000-0000DBAE0000}"/>
    <cellStyle name="Output 2 3 4 3 2 2 3" xfId="44942" xr:uid="{00000000-0005-0000-0000-0000DCAE0000}"/>
    <cellStyle name="Output 2 3 4 3 2 2 3 2" xfId="44943" xr:uid="{00000000-0005-0000-0000-0000DDAE0000}"/>
    <cellStyle name="Output 2 3 4 3 2 2 4" xfId="44944" xr:uid="{00000000-0005-0000-0000-0000DEAE0000}"/>
    <cellStyle name="Output 2 3 4 3 2 2 5" xfId="44945" xr:uid="{00000000-0005-0000-0000-0000DFAE0000}"/>
    <cellStyle name="Output 2 3 4 3 2 2 6" xfId="44946" xr:uid="{00000000-0005-0000-0000-0000E0AE0000}"/>
    <cellStyle name="Output 2 3 4 3 2 3" xfId="44947" xr:uid="{00000000-0005-0000-0000-0000E1AE0000}"/>
    <cellStyle name="Output 2 3 4 3 2 3 2" xfId="44948" xr:uid="{00000000-0005-0000-0000-0000E2AE0000}"/>
    <cellStyle name="Output 2 3 4 3 2 4" xfId="44949" xr:uid="{00000000-0005-0000-0000-0000E3AE0000}"/>
    <cellStyle name="Output 2 3 4 3 2 4 2" xfId="44950" xr:uid="{00000000-0005-0000-0000-0000E4AE0000}"/>
    <cellStyle name="Output 2 3 4 3 2 5" xfId="44951" xr:uid="{00000000-0005-0000-0000-0000E5AE0000}"/>
    <cellStyle name="Output 2 3 4 3 2 6" xfId="44952" xr:uid="{00000000-0005-0000-0000-0000E6AE0000}"/>
    <cellStyle name="Output 2 3 4 3 2 7" xfId="44953" xr:uid="{00000000-0005-0000-0000-0000E7AE0000}"/>
    <cellStyle name="Output 2 3 4 3 3" xfId="44954" xr:uid="{00000000-0005-0000-0000-0000E8AE0000}"/>
    <cellStyle name="Output 2 3 4 3 3 2" xfId="44955" xr:uid="{00000000-0005-0000-0000-0000E9AE0000}"/>
    <cellStyle name="Output 2 3 4 3 3 2 2" xfId="44956" xr:uid="{00000000-0005-0000-0000-0000EAAE0000}"/>
    <cellStyle name="Output 2 3 4 3 3 3" xfId="44957" xr:uid="{00000000-0005-0000-0000-0000EBAE0000}"/>
    <cellStyle name="Output 2 3 4 3 3 3 2" xfId="44958" xr:uid="{00000000-0005-0000-0000-0000ECAE0000}"/>
    <cellStyle name="Output 2 3 4 3 3 4" xfId="44959" xr:uid="{00000000-0005-0000-0000-0000EDAE0000}"/>
    <cellStyle name="Output 2 3 4 3 3 5" xfId="44960" xr:uid="{00000000-0005-0000-0000-0000EEAE0000}"/>
    <cellStyle name="Output 2 3 4 3 3 6" xfId="44961" xr:uid="{00000000-0005-0000-0000-0000EFAE0000}"/>
    <cellStyle name="Output 2 3 4 3 4" xfId="44962" xr:uid="{00000000-0005-0000-0000-0000F0AE0000}"/>
    <cellStyle name="Output 2 3 4 3 4 2" xfId="44963" xr:uid="{00000000-0005-0000-0000-0000F1AE0000}"/>
    <cellStyle name="Output 2 3 4 3 5" xfId="44964" xr:uid="{00000000-0005-0000-0000-0000F2AE0000}"/>
    <cellStyle name="Output 2 3 4 3 5 2" xfId="44965" xr:uid="{00000000-0005-0000-0000-0000F3AE0000}"/>
    <cellStyle name="Output 2 3 4 3 6" xfId="44966" xr:uid="{00000000-0005-0000-0000-0000F4AE0000}"/>
    <cellStyle name="Output 2 3 4 3 7" xfId="44967" xr:uid="{00000000-0005-0000-0000-0000F5AE0000}"/>
    <cellStyle name="Output 2 3 4 3 8" xfId="44968" xr:uid="{00000000-0005-0000-0000-0000F6AE0000}"/>
    <cellStyle name="Output 2 3 4 4" xfId="44969" xr:uid="{00000000-0005-0000-0000-0000F7AE0000}"/>
    <cellStyle name="Output 2 3 4 4 2" xfId="44970" xr:uid="{00000000-0005-0000-0000-0000F8AE0000}"/>
    <cellStyle name="Output 2 3 4 4 2 2" xfId="44971" xr:uid="{00000000-0005-0000-0000-0000F9AE0000}"/>
    <cellStyle name="Output 2 3 4 4 2 2 2" xfId="44972" xr:uid="{00000000-0005-0000-0000-0000FAAE0000}"/>
    <cellStyle name="Output 2 3 4 4 2 3" xfId="44973" xr:uid="{00000000-0005-0000-0000-0000FBAE0000}"/>
    <cellStyle name="Output 2 3 4 4 2 3 2" xfId="44974" xr:uid="{00000000-0005-0000-0000-0000FCAE0000}"/>
    <cellStyle name="Output 2 3 4 4 2 4" xfId="44975" xr:uid="{00000000-0005-0000-0000-0000FDAE0000}"/>
    <cellStyle name="Output 2 3 4 4 2 5" xfId="44976" xr:uid="{00000000-0005-0000-0000-0000FEAE0000}"/>
    <cellStyle name="Output 2 3 4 4 2 6" xfId="44977" xr:uid="{00000000-0005-0000-0000-0000FFAE0000}"/>
    <cellStyle name="Output 2 3 4 4 3" xfId="44978" xr:uid="{00000000-0005-0000-0000-000000AF0000}"/>
    <cellStyle name="Output 2 3 4 4 3 2" xfId="44979" xr:uid="{00000000-0005-0000-0000-000001AF0000}"/>
    <cellStyle name="Output 2 3 4 4 4" xfId="44980" xr:uid="{00000000-0005-0000-0000-000002AF0000}"/>
    <cellStyle name="Output 2 3 4 4 4 2" xfId="44981" xr:uid="{00000000-0005-0000-0000-000003AF0000}"/>
    <cellStyle name="Output 2 3 4 4 5" xfId="44982" xr:uid="{00000000-0005-0000-0000-000004AF0000}"/>
    <cellStyle name="Output 2 3 4 4 6" xfId="44983" xr:uid="{00000000-0005-0000-0000-000005AF0000}"/>
    <cellStyle name="Output 2 3 4 4 7" xfId="44984" xr:uid="{00000000-0005-0000-0000-000006AF0000}"/>
    <cellStyle name="Output 2 3 4 5" xfId="44985" xr:uid="{00000000-0005-0000-0000-000007AF0000}"/>
    <cellStyle name="Output 2 3 4 5 2" xfId="44986" xr:uid="{00000000-0005-0000-0000-000008AF0000}"/>
    <cellStyle name="Output 2 3 4 5 2 2" xfId="44987" xr:uid="{00000000-0005-0000-0000-000009AF0000}"/>
    <cellStyle name="Output 2 3 4 5 3" xfId="44988" xr:uid="{00000000-0005-0000-0000-00000AAF0000}"/>
    <cellStyle name="Output 2 3 4 5 3 2" xfId="44989" xr:uid="{00000000-0005-0000-0000-00000BAF0000}"/>
    <cellStyle name="Output 2 3 4 5 4" xfId="44990" xr:uid="{00000000-0005-0000-0000-00000CAF0000}"/>
    <cellStyle name="Output 2 3 4 5 5" xfId="44991" xr:uid="{00000000-0005-0000-0000-00000DAF0000}"/>
    <cellStyle name="Output 2 3 4 5 6" xfId="44992" xr:uid="{00000000-0005-0000-0000-00000EAF0000}"/>
    <cellStyle name="Output 2 3 4 6" xfId="44993" xr:uid="{00000000-0005-0000-0000-00000FAF0000}"/>
    <cellStyle name="Output 2 3 4 6 2" xfId="44994" xr:uid="{00000000-0005-0000-0000-000010AF0000}"/>
    <cellStyle name="Output 2 3 4 7" xfId="44995" xr:uid="{00000000-0005-0000-0000-000011AF0000}"/>
    <cellStyle name="Output 2 3 4 7 2" xfId="44996" xr:uid="{00000000-0005-0000-0000-000012AF0000}"/>
    <cellStyle name="Output 2 3 4 8" xfId="44997" xr:uid="{00000000-0005-0000-0000-000013AF0000}"/>
    <cellStyle name="Output 2 3 4 9" xfId="44998" xr:uid="{00000000-0005-0000-0000-000014AF0000}"/>
    <cellStyle name="Output 2 3 5" xfId="44999" xr:uid="{00000000-0005-0000-0000-000015AF0000}"/>
    <cellStyle name="Output 2 3 5 2" xfId="45000" xr:uid="{00000000-0005-0000-0000-000016AF0000}"/>
    <cellStyle name="Output 2 3 5 2 2" xfId="45001" xr:uid="{00000000-0005-0000-0000-000017AF0000}"/>
    <cellStyle name="Output 2 3 5 2 2 2" xfId="45002" xr:uid="{00000000-0005-0000-0000-000018AF0000}"/>
    <cellStyle name="Output 2 3 5 2 2 2 2" xfId="45003" xr:uid="{00000000-0005-0000-0000-000019AF0000}"/>
    <cellStyle name="Output 2 3 5 2 2 3" xfId="45004" xr:uid="{00000000-0005-0000-0000-00001AAF0000}"/>
    <cellStyle name="Output 2 3 5 2 2 3 2" xfId="45005" xr:uid="{00000000-0005-0000-0000-00001BAF0000}"/>
    <cellStyle name="Output 2 3 5 2 2 4" xfId="45006" xr:uid="{00000000-0005-0000-0000-00001CAF0000}"/>
    <cellStyle name="Output 2 3 5 2 2 5" xfId="45007" xr:uid="{00000000-0005-0000-0000-00001DAF0000}"/>
    <cellStyle name="Output 2 3 5 2 2 6" xfId="45008" xr:uid="{00000000-0005-0000-0000-00001EAF0000}"/>
    <cellStyle name="Output 2 3 5 2 3" xfId="45009" xr:uid="{00000000-0005-0000-0000-00001FAF0000}"/>
    <cellStyle name="Output 2 3 5 2 3 2" xfId="45010" xr:uid="{00000000-0005-0000-0000-000020AF0000}"/>
    <cellStyle name="Output 2 3 5 2 4" xfId="45011" xr:uid="{00000000-0005-0000-0000-000021AF0000}"/>
    <cellStyle name="Output 2 3 5 2 4 2" xfId="45012" xr:uid="{00000000-0005-0000-0000-000022AF0000}"/>
    <cellStyle name="Output 2 3 5 2 5" xfId="45013" xr:uid="{00000000-0005-0000-0000-000023AF0000}"/>
    <cellStyle name="Output 2 3 5 2 6" xfId="45014" xr:uid="{00000000-0005-0000-0000-000024AF0000}"/>
    <cellStyle name="Output 2 3 5 2 7" xfId="45015" xr:uid="{00000000-0005-0000-0000-000025AF0000}"/>
    <cellStyle name="Output 2 3 5 3" xfId="45016" xr:uid="{00000000-0005-0000-0000-000026AF0000}"/>
    <cellStyle name="Output 2 3 5 3 2" xfId="45017" xr:uid="{00000000-0005-0000-0000-000027AF0000}"/>
    <cellStyle name="Output 2 3 5 3 2 2" xfId="45018" xr:uid="{00000000-0005-0000-0000-000028AF0000}"/>
    <cellStyle name="Output 2 3 5 3 3" xfId="45019" xr:uid="{00000000-0005-0000-0000-000029AF0000}"/>
    <cellStyle name="Output 2 3 5 3 3 2" xfId="45020" xr:uid="{00000000-0005-0000-0000-00002AAF0000}"/>
    <cellStyle name="Output 2 3 5 3 4" xfId="45021" xr:uid="{00000000-0005-0000-0000-00002BAF0000}"/>
    <cellStyle name="Output 2 3 5 3 5" xfId="45022" xr:uid="{00000000-0005-0000-0000-00002CAF0000}"/>
    <cellStyle name="Output 2 3 5 3 6" xfId="45023" xr:uid="{00000000-0005-0000-0000-00002DAF0000}"/>
    <cellStyle name="Output 2 3 5 4" xfId="45024" xr:uid="{00000000-0005-0000-0000-00002EAF0000}"/>
    <cellStyle name="Output 2 3 5 4 2" xfId="45025" xr:uid="{00000000-0005-0000-0000-00002FAF0000}"/>
    <cellStyle name="Output 2 3 5 5" xfId="45026" xr:uid="{00000000-0005-0000-0000-000030AF0000}"/>
    <cellStyle name="Output 2 3 5 5 2" xfId="45027" xr:uid="{00000000-0005-0000-0000-000031AF0000}"/>
    <cellStyle name="Output 2 3 5 6" xfId="45028" xr:uid="{00000000-0005-0000-0000-000032AF0000}"/>
    <cellStyle name="Output 2 3 5 7" xfId="45029" xr:uid="{00000000-0005-0000-0000-000033AF0000}"/>
    <cellStyle name="Output 2 3 5 8" xfId="45030" xr:uid="{00000000-0005-0000-0000-000034AF0000}"/>
    <cellStyle name="Output 2 3 6" xfId="45031" xr:uid="{00000000-0005-0000-0000-000035AF0000}"/>
    <cellStyle name="Output 2 3 6 2" xfId="45032" xr:uid="{00000000-0005-0000-0000-000036AF0000}"/>
    <cellStyle name="Output 2 3 6 2 2" xfId="45033" xr:uid="{00000000-0005-0000-0000-000037AF0000}"/>
    <cellStyle name="Output 2 3 6 2 2 2" xfId="45034" xr:uid="{00000000-0005-0000-0000-000038AF0000}"/>
    <cellStyle name="Output 2 3 6 2 3" xfId="45035" xr:uid="{00000000-0005-0000-0000-000039AF0000}"/>
    <cellStyle name="Output 2 3 6 2 3 2" xfId="45036" xr:uid="{00000000-0005-0000-0000-00003AAF0000}"/>
    <cellStyle name="Output 2 3 6 2 4" xfId="45037" xr:uid="{00000000-0005-0000-0000-00003BAF0000}"/>
    <cellStyle name="Output 2 3 6 2 5" xfId="45038" xr:uid="{00000000-0005-0000-0000-00003CAF0000}"/>
    <cellStyle name="Output 2 3 6 2 6" xfId="45039" xr:uid="{00000000-0005-0000-0000-00003DAF0000}"/>
    <cellStyle name="Output 2 3 6 3" xfId="45040" xr:uid="{00000000-0005-0000-0000-00003EAF0000}"/>
    <cellStyle name="Output 2 3 6 3 2" xfId="45041" xr:uid="{00000000-0005-0000-0000-00003FAF0000}"/>
    <cellStyle name="Output 2 3 6 4" xfId="45042" xr:uid="{00000000-0005-0000-0000-000040AF0000}"/>
    <cellStyle name="Output 2 3 6 4 2" xfId="45043" xr:uid="{00000000-0005-0000-0000-000041AF0000}"/>
    <cellStyle name="Output 2 3 6 5" xfId="45044" xr:uid="{00000000-0005-0000-0000-000042AF0000}"/>
    <cellStyle name="Output 2 3 6 6" xfId="45045" xr:uid="{00000000-0005-0000-0000-000043AF0000}"/>
    <cellStyle name="Output 2 3 6 7" xfId="45046" xr:uid="{00000000-0005-0000-0000-000044AF0000}"/>
    <cellStyle name="Output 2 3 7" xfId="45047" xr:uid="{00000000-0005-0000-0000-000045AF0000}"/>
    <cellStyle name="Output 2 3 7 2" xfId="45048" xr:uid="{00000000-0005-0000-0000-000046AF0000}"/>
    <cellStyle name="Output 2 3 7 2 2" xfId="45049" xr:uid="{00000000-0005-0000-0000-000047AF0000}"/>
    <cellStyle name="Output 2 3 7 3" xfId="45050" xr:uid="{00000000-0005-0000-0000-000048AF0000}"/>
    <cellStyle name="Output 2 3 7 3 2" xfId="45051" xr:uid="{00000000-0005-0000-0000-000049AF0000}"/>
    <cellStyle name="Output 2 3 7 4" xfId="45052" xr:uid="{00000000-0005-0000-0000-00004AAF0000}"/>
    <cellStyle name="Output 2 3 7 5" xfId="45053" xr:uid="{00000000-0005-0000-0000-00004BAF0000}"/>
    <cellStyle name="Output 2 3 7 6" xfId="45054" xr:uid="{00000000-0005-0000-0000-00004CAF0000}"/>
    <cellStyle name="Output 2 3 8" xfId="45055" xr:uid="{00000000-0005-0000-0000-00004DAF0000}"/>
    <cellStyle name="Output 2 3 8 2" xfId="45056" xr:uid="{00000000-0005-0000-0000-00004EAF0000}"/>
    <cellStyle name="Output 2 3 9" xfId="45057" xr:uid="{00000000-0005-0000-0000-00004FAF0000}"/>
    <cellStyle name="Output 2 3 9 2" xfId="45058" xr:uid="{00000000-0005-0000-0000-000050AF0000}"/>
    <cellStyle name="Output 2 4" xfId="45059" xr:uid="{00000000-0005-0000-0000-000051AF0000}"/>
    <cellStyle name="Output 2 4 10" xfId="45060" xr:uid="{00000000-0005-0000-0000-000052AF0000}"/>
    <cellStyle name="Output 2 4 11" xfId="45061" xr:uid="{00000000-0005-0000-0000-000053AF0000}"/>
    <cellStyle name="Output 2 4 2" xfId="45062" xr:uid="{00000000-0005-0000-0000-000054AF0000}"/>
    <cellStyle name="Output 2 4 2 2" xfId="45063" xr:uid="{00000000-0005-0000-0000-000055AF0000}"/>
    <cellStyle name="Output 2 4 2 2 2" xfId="45064" xr:uid="{00000000-0005-0000-0000-000056AF0000}"/>
    <cellStyle name="Output 2 4 2 2 2 2" xfId="45065" xr:uid="{00000000-0005-0000-0000-000057AF0000}"/>
    <cellStyle name="Output 2 4 2 2 2 2 2" xfId="45066" xr:uid="{00000000-0005-0000-0000-000058AF0000}"/>
    <cellStyle name="Output 2 4 2 2 2 2 2 2" xfId="45067" xr:uid="{00000000-0005-0000-0000-000059AF0000}"/>
    <cellStyle name="Output 2 4 2 2 2 2 3" xfId="45068" xr:uid="{00000000-0005-0000-0000-00005AAF0000}"/>
    <cellStyle name="Output 2 4 2 2 2 2 3 2" xfId="45069" xr:uid="{00000000-0005-0000-0000-00005BAF0000}"/>
    <cellStyle name="Output 2 4 2 2 2 2 4" xfId="45070" xr:uid="{00000000-0005-0000-0000-00005CAF0000}"/>
    <cellStyle name="Output 2 4 2 2 2 2 5" xfId="45071" xr:uid="{00000000-0005-0000-0000-00005DAF0000}"/>
    <cellStyle name="Output 2 4 2 2 2 2 6" xfId="45072" xr:uid="{00000000-0005-0000-0000-00005EAF0000}"/>
    <cellStyle name="Output 2 4 2 2 2 3" xfId="45073" xr:uid="{00000000-0005-0000-0000-00005FAF0000}"/>
    <cellStyle name="Output 2 4 2 2 2 3 2" xfId="45074" xr:uid="{00000000-0005-0000-0000-000060AF0000}"/>
    <cellStyle name="Output 2 4 2 2 2 4" xfId="45075" xr:uid="{00000000-0005-0000-0000-000061AF0000}"/>
    <cellStyle name="Output 2 4 2 2 2 4 2" xfId="45076" xr:uid="{00000000-0005-0000-0000-000062AF0000}"/>
    <cellStyle name="Output 2 4 2 2 2 5" xfId="45077" xr:uid="{00000000-0005-0000-0000-000063AF0000}"/>
    <cellStyle name="Output 2 4 2 2 2 6" xfId="45078" xr:uid="{00000000-0005-0000-0000-000064AF0000}"/>
    <cellStyle name="Output 2 4 2 2 2 7" xfId="45079" xr:uid="{00000000-0005-0000-0000-000065AF0000}"/>
    <cellStyle name="Output 2 4 2 2 3" xfId="45080" xr:uid="{00000000-0005-0000-0000-000066AF0000}"/>
    <cellStyle name="Output 2 4 2 2 3 2" xfId="45081" xr:uid="{00000000-0005-0000-0000-000067AF0000}"/>
    <cellStyle name="Output 2 4 2 2 3 2 2" xfId="45082" xr:uid="{00000000-0005-0000-0000-000068AF0000}"/>
    <cellStyle name="Output 2 4 2 2 3 3" xfId="45083" xr:uid="{00000000-0005-0000-0000-000069AF0000}"/>
    <cellStyle name="Output 2 4 2 2 3 3 2" xfId="45084" xr:uid="{00000000-0005-0000-0000-00006AAF0000}"/>
    <cellStyle name="Output 2 4 2 2 3 4" xfId="45085" xr:uid="{00000000-0005-0000-0000-00006BAF0000}"/>
    <cellStyle name="Output 2 4 2 2 3 5" xfId="45086" xr:uid="{00000000-0005-0000-0000-00006CAF0000}"/>
    <cellStyle name="Output 2 4 2 2 3 6" xfId="45087" xr:uid="{00000000-0005-0000-0000-00006DAF0000}"/>
    <cellStyle name="Output 2 4 2 2 4" xfId="45088" xr:uid="{00000000-0005-0000-0000-00006EAF0000}"/>
    <cellStyle name="Output 2 4 2 2 4 2" xfId="45089" xr:uid="{00000000-0005-0000-0000-00006FAF0000}"/>
    <cellStyle name="Output 2 4 2 2 5" xfId="45090" xr:uid="{00000000-0005-0000-0000-000070AF0000}"/>
    <cellStyle name="Output 2 4 2 2 5 2" xfId="45091" xr:uid="{00000000-0005-0000-0000-000071AF0000}"/>
    <cellStyle name="Output 2 4 2 2 6" xfId="45092" xr:uid="{00000000-0005-0000-0000-000072AF0000}"/>
    <cellStyle name="Output 2 4 2 2 7" xfId="45093" xr:uid="{00000000-0005-0000-0000-000073AF0000}"/>
    <cellStyle name="Output 2 4 2 2 8" xfId="45094" xr:uid="{00000000-0005-0000-0000-000074AF0000}"/>
    <cellStyle name="Output 2 4 2 3" xfId="45095" xr:uid="{00000000-0005-0000-0000-000075AF0000}"/>
    <cellStyle name="Output 2 4 2 3 2" xfId="45096" xr:uid="{00000000-0005-0000-0000-000076AF0000}"/>
    <cellStyle name="Output 2 4 2 3 2 2" xfId="45097" xr:uid="{00000000-0005-0000-0000-000077AF0000}"/>
    <cellStyle name="Output 2 4 2 3 2 2 2" xfId="45098" xr:uid="{00000000-0005-0000-0000-000078AF0000}"/>
    <cellStyle name="Output 2 4 2 3 2 3" xfId="45099" xr:uid="{00000000-0005-0000-0000-000079AF0000}"/>
    <cellStyle name="Output 2 4 2 3 2 3 2" xfId="45100" xr:uid="{00000000-0005-0000-0000-00007AAF0000}"/>
    <cellStyle name="Output 2 4 2 3 2 4" xfId="45101" xr:uid="{00000000-0005-0000-0000-00007BAF0000}"/>
    <cellStyle name="Output 2 4 2 3 2 5" xfId="45102" xr:uid="{00000000-0005-0000-0000-00007CAF0000}"/>
    <cellStyle name="Output 2 4 2 3 2 6" xfId="45103" xr:uid="{00000000-0005-0000-0000-00007DAF0000}"/>
    <cellStyle name="Output 2 4 2 3 3" xfId="45104" xr:uid="{00000000-0005-0000-0000-00007EAF0000}"/>
    <cellStyle name="Output 2 4 2 3 3 2" xfId="45105" xr:uid="{00000000-0005-0000-0000-00007FAF0000}"/>
    <cellStyle name="Output 2 4 2 3 4" xfId="45106" xr:uid="{00000000-0005-0000-0000-000080AF0000}"/>
    <cellStyle name="Output 2 4 2 3 4 2" xfId="45107" xr:uid="{00000000-0005-0000-0000-000081AF0000}"/>
    <cellStyle name="Output 2 4 2 3 5" xfId="45108" xr:uid="{00000000-0005-0000-0000-000082AF0000}"/>
    <cellStyle name="Output 2 4 2 3 6" xfId="45109" xr:uid="{00000000-0005-0000-0000-000083AF0000}"/>
    <cellStyle name="Output 2 4 2 3 7" xfId="45110" xr:uid="{00000000-0005-0000-0000-000084AF0000}"/>
    <cellStyle name="Output 2 4 2 4" xfId="45111" xr:uid="{00000000-0005-0000-0000-000085AF0000}"/>
    <cellStyle name="Output 2 4 2 4 2" xfId="45112" xr:uid="{00000000-0005-0000-0000-000086AF0000}"/>
    <cellStyle name="Output 2 4 2 4 2 2" xfId="45113" xr:uid="{00000000-0005-0000-0000-000087AF0000}"/>
    <cellStyle name="Output 2 4 2 4 3" xfId="45114" xr:uid="{00000000-0005-0000-0000-000088AF0000}"/>
    <cellStyle name="Output 2 4 2 4 3 2" xfId="45115" xr:uid="{00000000-0005-0000-0000-000089AF0000}"/>
    <cellStyle name="Output 2 4 2 4 4" xfId="45116" xr:uid="{00000000-0005-0000-0000-00008AAF0000}"/>
    <cellStyle name="Output 2 4 2 4 5" xfId="45117" xr:uid="{00000000-0005-0000-0000-00008BAF0000}"/>
    <cellStyle name="Output 2 4 2 4 6" xfId="45118" xr:uid="{00000000-0005-0000-0000-00008CAF0000}"/>
    <cellStyle name="Output 2 4 2 5" xfId="45119" xr:uid="{00000000-0005-0000-0000-00008DAF0000}"/>
    <cellStyle name="Output 2 4 2 5 2" xfId="45120" xr:uid="{00000000-0005-0000-0000-00008EAF0000}"/>
    <cellStyle name="Output 2 4 2 6" xfId="45121" xr:uid="{00000000-0005-0000-0000-00008FAF0000}"/>
    <cellStyle name="Output 2 4 2 6 2" xfId="45122" xr:uid="{00000000-0005-0000-0000-000090AF0000}"/>
    <cellStyle name="Output 2 4 2 7" xfId="45123" xr:uid="{00000000-0005-0000-0000-000091AF0000}"/>
    <cellStyle name="Output 2 4 2 8" xfId="45124" xr:uid="{00000000-0005-0000-0000-000092AF0000}"/>
    <cellStyle name="Output 2 4 2 9" xfId="45125" xr:uid="{00000000-0005-0000-0000-000093AF0000}"/>
    <cellStyle name="Output 2 4 3" xfId="45126" xr:uid="{00000000-0005-0000-0000-000094AF0000}"/>
    <cellStyle name="Output 2 4 3 10" xfId="45127" xr:uid="{00000000-0005-0000-0000-000095AF0000}"/>
    <cellStyle name="Output 2 4 3 2" xfId="45128" xr:uid="{00000000-0005-0000-0000-000096AF0000}"/>
    <cellStyle name="Output 2 4 3 2 2" xfId="45129" xr:uid="{00000000-0005-0000-0000-000097AF0000}"/>
    <cellStyle name="Output 2 4 3 2 2 2" xfId="45130" xr:uid="{00000000-0005-0000-0000-000098AF0000}"/>
    <cellStyle name="Output 2 4 3 2 2 2 2" xfId="45131" xr:uid="{00000000-0005-0000-0000-000099AF0000}"/>
    <cellStyle name="Output 2 4 3 2 2 2 2 2" xfId="45132" xr:uid="{00000000-0005-0000-0000-00009AAF0000}"/>
    <cellStyle name="Output 2 4 3 2 2 2 2 2 2" xfId="45133" xr:uid="{00000000-0005-0000-0000-00009BAF0000}"/>
    <cellStyle name="Output 2 4 3 2 2 2 2 3" xfId="45134" xr:uid="{00000000-0005-0000-0000-00009CAF0000}"/>
    <cellStyle name="Output 2 4 3 2 2 2 2 3 2" xfId="45135" xr:uid="{00000000-0005-0000-0000-00009DAF0000}"/>
    <cellStyle name="Output 2 4 3 2 2 2 2 4" xfId="45136" xr:uid="{00000000-0005-0000-0000-00009EAF0000}"/>
    <cellStyle name="Output 2 4 3 2 2 2 2 5" xfId="45137" xr:uid="{00000000-0005-0000-0000-00009FAF0000}"/>
    <cellStyle name="Output 2 4 3 2 2 2 2 6" xfId="45138" xr:uid="{00000000-0005-0000-0000-0000A0AF0000}"/>
    <cellStyle name="Output 2 4 3 2 2 2 3" xfId="45139" xr:uid="{00000000-0005-0000-0000-0000A1AF0000}"/>
    <cellStyle name="Output 2 4 3 2 2 2 3 2" xfId="45140" xr:uid="{00000000-0005-0000-0000-0000A2AF0000}"/>
    <cellStyle name="Output 2 4 3 2 2 2 4" xfId="45141" xr:uid="{00000000-0005-0000-0000-0000A3AF0000}"/>
    <cellStyle name="Output 2 4 3 2 2 2 4 2" xfId="45142" xr:uid="{00000000-0005-0000-0000-0000A4AF0000}"/>
    <cellStyle name="Output 2 4 3 2 2 2 5" xfId="45143" xr:uid="{00000000-0005-0000-0000-0000A5AF0000}"/>
    <cellStyle name="Output 2 4 3 2 2 2 6" xfId="45144" xr:uid="{00000000-0005-0000-0000-0000A6AF0000}"/>
    <cellStyle name="Output 2 4 3 2 2 2 7" xfId="45145" xr:uid="{00000000-0005-0000-0000-0000A7AF0000}"/>
    <cellStyle name="Output 2 4 3 2 2 3" xfId="45146" xr:uid="{00000000-0005-0000-0000-0000A8AF0000}"/>
    <cellStyle name="Output 2 4 3 2 2 3 2" xfId="45147" xr:uid="{00000000-0005-0000-0000-0000A9AF0000}"/>
    <cellStyle name="Output 2 4 3 2 2 3 2 2" xfId="45148" xr:uid="{00000000-0005-0000-0000-0000AAAF0000}"/>
    <cellStyle name="Output 2 4 3 2 2 3 3" xfId="45149" xr:uid="{00000000-0005-0000-0000-0000ABAF0000}"/>
    <cellStyle name="Output 2 4 3 2 2 3 3 2" xfId="45150" xr:uid="{00000000-0005-0000-0000-0000ACAF0000}"/>
    <cellStyle name="Output 2 4 3 2 2 3 4" xfId="45151" xr:uid="{00000000-0005-0000-0000-0000ADAF0000}"/>
    <cellStyle name="Output 2 4 3 2 2 3 5" xfId="45152" xr:uid="{00000000-0005-0000-0000-0000AEAF0000}"/>
    <cellStyle name="Output 2 4 3 2 2 3 6" xfId="45153" xr:uid="{00000000-0005-0000-0000-0000AFAF0000}"/>
    <cellStyle name="Output 2 4 3 2 2 4" xfId="45154" xr:uid="{00000000-0005-0000-0000-0000B0AF0000}"/>
    <cellStyle name="Output 2 4 3 2 2 4 2" xfId="45155" xr:uid="{00000000-0005-0000-0000-0000B1AF0000}"/>
    <cellStyle name="Output 2 4 3 2 2 5" xfId="45156" xr:uid="{00000000-0005-0000-0000-0000B2AF0000}"/>
    <cellStyle name="Output 2 4 3 2 2 5 2" xfId="45157" xr:uid="{00000000-0005-0000-0000-0000B3AF0000}"/>
    <cellStyle name="Output 2 4 3 2 2 6" xfId="45158" xr:uid="{00000000-0005-0000-0000-0000B4AF0000}"/>
    <cellStyle name="Output 2 4 3 2 2 7" xfId="45159" xr:uid="{00000000-0005-0000-0000-0000B5AF0000}"/>
    <cellStyle name="Output 2 4 3 2 2 8" xfId="45160" xr:uid="{00000000-0005-0000-0000-0000B6AF0000}"/>
    <cellStyle name="Output 2 4 3 2 3" xfId="45161" xr:uid="{00000000-0005-0000-0000-0000B7AF0000}"/>
    <cellStyle name="Output 2 4 3 2 3 2" xfId="45162" xr:uid="{00000000-0005-0000-0000-0000B8AF0000}"/>
    <cellStyle name="Output 2 4 3 2 3 2 2" xfId="45163" xr:uid="{00000000-0005-0000-0000-0000B9AF0000}"/>
    <cellStyle name="Output 2 4 3 2 3 2 2 2" xfId="45164" xr:uid="{00000000-0005-0000-0000-0000BAAF0000}"/>
    <cellStyle name="Output 2 4 3 2 3 2 3" xfId="45165" xr:uid="{00000000-0005-0000-0000-0000BBAF0000}"/>
    <cellStyle name="Output 2 4 3 2 3 2 3 2" xfId="45166" xr:uid="{00000000-0005-0000-0000-0000BCAF0000}"/>
    <cellStyle name="Output 2 4 3 2 3 2 4" xfId="45167" xr:uid="{00000000-0005-0000-0000-0000BDAF0000}"/>
    <cellStyle name="Output 2 4 3 2 3 2 5" xfId="45168" xr:uid="{00000000-0005-0000-0000-0000BEAF0000}"/>
    <cellStyle name="Output 2 4 3 2 3 2 6" xfId="45169" xr:uid="{00000000-0005-0000-0000-0000BFAF0000}"/>
    <cellStyle name="Output 2 4 3 2 3 3" xfId="45170" xr:uid="{00000000-0005-0000-0000-0000C0AF0000}"/>
    <cellStyle name="Output 2 4 3 2 3 3 2" xfId="45171" xr:uid="{00000000-0005-0000-0000-0000C1AF0000}"/>
    <cellStyle name="Output 2 4 3 2 3 4" xfId="45172" xr:uid="{00000000-0005-0000-0000-0000C2AF0000}"/>
    <cellStyle name="Output 2 4 3 2 3 4 2" xfId="45173" xr:uid="{00000000-0005-0000-0000-0000C3AF0000}"/>
    <cellStyle name="Output 2 4 3 2 3 5" xfId="45174" xr:uid="{00000000-0005-0000-0000-0000C4AF0000}"/>
    <cellStyle name="Output 2 4 3 2 3 6" xfId="45175" xr:uid="{00000000-0005-0000-0000-0000C5AF0000}"/>
    <cellStyle name="Output 2 4 3 2 3 7" xfId="45176" xr:uid="{00000000-0005-0000-0000-0000C6AF0000}"/>
    <cellStyle name="Output 2 4 3 2 4" xfId="45177" xr:uid="{00000000-0005-0000-0000-0000C7AF0000}"/>
    <cellStyle name="Output 2 4 3 2 4 2" xfId="45178" xr:uid="{00000000-0005-0000-0000-0000C8AF0000}"/>
    <cellStyle name="Output 2 4 3 2 4 2 2" xfId="45179" xr:uid="{00000000-0005-0000-0000-0000C9AF0000}"/>
    <cellStyle name="Output 2 4 3 2 4 3" xfId="45180" xr:uid="{00000000-0005-0000-0000-0000CAAF0000}"/>
    <cellStyle name="Output 2 4 3 2 4 3 2" xfId="45181" xr:uid="{00000000-0005-0000-0000-0000CBAF0000}"/>
    <cellStyle name="Output 2 4 3 2 4 4" xfId="45182" xr:uid="{00000000-0005-0000-0000-0000CCAF0000}"/>
    <cellStyle name="Output 2 4 3 2 4 5" xfId="45183" xr:uid="{00000000-0005-0000-0000-0000CDAF0000}"/>
    <cellStyle name="Output 2 4 3 2 4 6" xfId="45184" xr:uid="{00000000-0005-0000-0000-0000CEAF0000}"/>
    <cellStyle name="Output 2 4 3 2 5" xfId="45185" xr:uid="{00000000-0005-0000-0000-0000CFAF0000}"/>
    <cellStyle name="Output 2 4 3 2 5 2" xfId="45186" xr:uid="{00000000-0005-0000-0000-0000D0AF0000}"/>
    <cellStyle name="Output 2 4 3 2 6" xfId="45187" xr:uid="{00000000-0005-0000-0000-0000D1AF0000}"/>
    <cellStyle name="Output 2 4 3 2 6 2" xfId="45188" xr:uid="{00000000-0005-0000-0000-0000D2AF0000}"/>
    <cellStyle name="Output 2 4 3 2 7" xfId="45189" xr:uid="{00000000-0005-0000-0000-0000D3AF0000}"/>
    <cellStyle name="Output 2 4 3 2 8" xfId="45190" xr:uid="{00000000-0005-0000-0000-0000D4AF0000}"/>
    <cellStyle name="Output 2 4 3 2 9" xfId="45191" xr:uid="{00000000-0005-0000-0000-0000D5AF0000}"/>
    <cellStyle name="Output 2 4 3 3" xfId="45192" xr:uid="{00000000-0005-0000-0000-0000D6AF0000}"/>
    <cellStyle name="Output 2 4 3 3 2" xfId="45193" xr:uid="{00000000-0005-0000-0000-0000D7AF0000}"/>
    <cellStyle name="Output 2 4 3 3 2 2" xfId="45194" xr:uid="{00000000-0005-0000-0000-0000D8AF0000}"/>
    <cellStyle name="Output 2 4 3 3 2 2 2" xfId="45195" xr:uid="{00000000-0005-0000-0000-0000D9AF0000}"/>
    <cellStyle name="Output 2 4 3 3 2 2 2 2" xfId="45196" xr:uid="{00000000-0005-0000-0000-0000DAAF0000}"/>
    <cellStyle name="Output 2 4 3 3 2 2 3" xfId="45197" xr:uid="{00000000-0005-0000-0000-0000DBAF0000}"/>
    <cellStyle name="Output 2 4 3 3 2 2 3 2" xfId="45198" xr:uid="{00000000-0005-0000-0000-0000DCAF0000}"/>
    <cellStyle name="Output 2 4 3 3 2 2 4" xfId="45199" xr:uid="{00000000-0005-0000-0000-0000DDAF0000}"/>
    <cellStyle name="Output 2 4 3 3 2 2 5" xfId="45200" xr:uid="{00000000-0005-0000-0000-0000DEAF0000}"/>
    <cellStyle name="Output 2 4 3 3 2 2 6" xfId="45201" xr:uid="{00000000-0005-0000-0000-0000DFAF0000}"/>
    <cellStyle name="Output 2 4 3 3 2 3" xfId="45202" xr:uid="{00000000-0005-0000-0000-0000E0AF0000}"/>
    <cellStyle name="Output 2 4 3 3 2 3 2" xfId="45203" xr:uid="{00000000-0005-0000-0000-0000E1AF0000}"/>
    <cellStyle name="Output 2 4 3 3 2 4" xfId="45204" xr:uid="{00000000-0005-0000-0000-0000E2AF0000}"/>
    <cellStyle name="Output 2 4 3 3 2 4 2" xfId="45205" xr:uid="{00000000-0005-0000-0000-0000E3AF0000}"/>
    <cellStyle name="Output 2 4 3 3 2 5" xfId="45206" xr:uid="{00000000-0005-0000-0000-0000E4AF0000}"/>
    <cellStyle name="Output 2 4 3 3 2 6" xfId="45207" xr:uid="{00000000-0005-0000-0000-0000E5AF0000}"/>
    <cellStyle name="Output 2 4 3 3 2 7" xfId="45208" xr:uid="{00000000-0005-0000-0000-0000E6AF0000}"/>
    <cellStyle name="Output 2 4 3 3 3" xfId="45209" xr:uid="{00000000-0005-0000-0000-0000E7AF0000}"/>
    <cellStyle name="Output 2 4 3 3 3 2" xfId="45210" xr:uid="{00000000-0005-0000-0000-0000E8AF0000}"/>
    <cellStyle name="Output 2 4 3 3 3 2 2" xfId="45211" xr:uid="{00000000-0005-0000-0000-0000E9AF0000}"/>
    <cellStyle name="Output 2 4 3 3 3 3" xfId="45212" xr:uid="{00000000-0005-0000-0000-0000EAAF0000}"/>
    <cellStyle name="Output 2 4 3 3 3 3 2" xfId="45213" xr:uid="{00000000-0005-0000-0000-0000EBAF0000}"/>
    <cellStyle name="Output 2 4 3 3 3 4" xfId="45214" xr:uid="{00000000-0005-0000-0000-0000ECAF0000}"/>
    <cellStyle name="Output 2 4 3 3 3 5" xfId="45215" xr:uid="{00000000-0005-0000-0000-0000EDAF0000}"/>
    <cellStyle name="Output 2 4 3 3 3 6" xfId="45216" xr:uid="{00000000-0005-0000-0000-0000EEAF0000}"/>
    <cellStyle name="Output 2 4 3 3 4" xfId="45217" xr:uid="{00000000-0005-0000-0000-0000EFAF0000}"/>
    <cellStyle name="Output 2 4 3 3 4 2" xfId="45218" xr:uid="{00000000-0005-0000-0000-0000F0AF0000}"/>
    <cellStyle name="Output 2 4 3 3 5" xfId="45219" xr:uid="{00000000-0005-0000-0000-0000F1AF0000}"/>
    <cellStyle name="Output 2 4 3 3 5 2" xfId="45220" xr:uid="{00000000-0005-0000-0000-0000F2AF0000}"/>
    <cellStyle name="Output 2 4 3 3 6" xfId="45221" xr:uid="{00000000-0005-0000-0000-0000F3AF0000}"/>
    <cellStyle name="Output 2 4 3 3 7" xfId="45222" xr:uid="{00000000-0005-0000-0000-0000F4AF0000}"/>
    <cellStyle name="Output 2 4 3 3 8" xfId="45223" xr:uid="{00000000-0005-0000-0000-0000F5AF0000}"/>
    <cellStyle name="Output 2 4 3 4" xfId="45224" xr:uid="{00000000-0005-0000-0000-0000F6AF0000}"/>
    <cellStyle name="Output 2 4 3 4 2" xfId="45225" xr:uid="{00000000-0005-0000-0000-0000F7AF0000}"/>
    <cellStyle name="Output 2 4 3 4 2 2" xfId="45226" xr:uid="{00000000-0005-0000-0000-0000F8AF0000}"/>
    <cellStyle name="Output 2 4 3 4 2 2 2" xfId="45227" xr:uid="{00000000-0005-0000-0000-0000F9AF0000}"/>
    <cellStyle name="Output 2 4 3 4 2 3" xfId="45228" xr:uid="{00000000-0005-0000-0000-0000FAAF0000}"/>
    <cellStyle name="Output 2 4 3 4 2 3 2" xfId="45229" xr:uid="{00000000-0005-0000-0000-0000FBAF0000}"/>
    <cellStyle name="Output 2 4 3 4 2 4" xfId="45230" xr:uid="{00000000-0005-0000-0000-0000FCAF0000}"/>
    <cellStyle name="Output 2 4 3 4 2 5" xfId="45231" xr:uid="{00000000-0005-0000-0000-0000FDAF0000}"/>
    <cellStyle name="Output 2 4 3 4 2 6" xfId="45232" xr:uid="{00000000-0005-0000-0000-0000FEAF0000}"/>
    <cellStyle name="Output 2 4 3 4 3" xfId="45233" xr:uid="{00000000-0005-0000-0000-0000FFAF0000}"/>
    <cellStyle name="Output 2 4 3 4 3 2" xfId="45234" xr:uid="{00000000-0005-0000-0000-000000B00000}"/>
    <cellStyle name="Output 2 4 3 4 4" xfId="45235" xr:uid="{00000000-0005-0000-0000-000001B00000}"/>
    <cellStyle name="Output 2 4 3 4 4 2" xfId="45236" xr:uid="{00000000-0005-0000-0000-000002B00000}"/>
    <cellStyle name="Output 2 4 3 4 5" xfId="45237" xr:uid="{00000000-0005-0000-0000-000003B00000}"/>
    <cellStyle name="Output 2 4 3 4 6" xfId="45238" xr:uid="{00000000-0005-0000-0000-000004B00000}"/>
    <cellStyle name="Output 2 4 3 4 7" xfId="45239" xr:uid="{00000000-0005-0000-0000-000005B00000}"/>
    <cellStyle name="Output 2 4 3 5" xfId="45240" xr:uid="{00000000-0005-0000-0000-000006B00000}"/>
    <cellStyle name="Output 2 4 3 5 2" xfId="45241" xr:uid="{00000000-0005-0000-0000-000007B00000}"/>
    <cellStyle name="Output 2 4 3 5 2 2" xfId="45242" xr:uid="{00000000-0005-0000-0000-000008B00000}"/>
    <cellStyle name="Output 2 4 3 5 3" xfId="45243" xr:uid="{00000000-0005-0000-0000-000009B00000}"/>
    <cellStyle name="Output 2 4 3 5 3 2" xfId="45244" xr:uid="{00000000-0005-0000-0000-00000AB00000}"/>
    <cellStyle name="Output 2 4 3 5 4" xfId="45245" xr:uid="{00000000-0005-0000-0000-00000BB00000}"/>
    <cellStyle name="Output 2 4 3 5 5" xfId="45246" xr:uid="{00000000-0005-0000-0000-00000CB00000}"/>
    <cellStyle name="Output 2 4 3 5 6" xfId="45247" xr:uid="{00000000-0005-0000-0000-00000DB00000}"/>
    <cellStyle name="Output 2 4 3 6" xfId="45248" xr:uid="{00000000-0005-0000-0000-00000EB00000}"/>
    <cellStyle name="Output 2 4 3 6 2" xfId="45249" xr:uid="{00000000-0005-0000-0000-00000FB00000}"/>
    <cellStyle name="Output 2 4 3 7" xfId="45250" xr:uid="{00000000-0005-0000-0000-000010B00000}"/>
    <cellStyle name="Output 2 4 3 7 2" xfId="45251" xr:uid="{00000000-0005-0000-0000-000011B00000}"/>
    <cellStyle name="Output 2 4 3 8" xfId="45252" xr:uid="{00000000-0005-0000-0000-000012B00000}"/>
    <cellStyle name="Output 2 4 3 9" xfId="45253" xr:uid="{00000000-0005-0000-0000-000013B00000}"/>
    <cellStyle name="Output 2 4 4" xfId="45254" xr:uid="{00000000-0005-0000-0000-000014B00000}"/>
    <cellStyle name="Output 2 4 4 2" xfId="45255" xr:uid="{00000000-0005-0000-0000-000015B00000}"/>
    <cellStyle name="Output 2 4 4 2 2" xfId="45256" xr:uid="{00000000-0005-0000-0000-000016B00000}"/>
    <cellStyle name="Output 2 4 4 2 2 2" xfId="45257" xr:uid="{00000000-0005-0000-0000-000017B00000}"/>
    <cellStyle name="Output 2 4 4 2 2 2 2" xfId="45258" xr:uid="{00000000-0005-0000-0000-000018B00000}"/>
    <cellStyle name="Output 2 4 4 2 2 3" xfId="45259" xr:uid="{00000000-0005-0000-0000-000019B00000}"/>
    <cellStyle name="Output 2 4 4 2 2 3 2" xfId="45260" xr:uid="{00000000-0005-0000-0000-00001AB00000}"/>
    <cellStyle name="Output 2 4 4 2 2 4" xfId="45261" xr:uid="{00000000-0005-0000-0000-00001BB00000}"/>
    <cellStyle name="Output 2 4 4 2 2 5" xfId="45262" xr:uid="{00000000-0005-0000-0000-00001CB00000}"/>
    <cellStyle name="Output 2 4 4 2 2 6" xfId="45263" xr:uid="{00000000-0005-0000-0000-00001DB00000}"/>
    <cellStyle name="Output 2 4 4 2 3" xfId="45264" xr:uid="{00000000-0005-0000-0000-00001EB00000}"/>
    <cellStyle name="Output 2 4 4 2 3 2" xfId="45265" xr:uid="{00000000-0005-0000-0000-00001FB00000}"/>
    <cellStyle name="Output 2 4 4 2 4" xfId="45266" xr:uid="{00000000-0005-0000-0000-000020B00000}"/>
    <cellStyle name="Output 2 4 4 2 4 2" xfId="45267" xr:uid="{00000000-0005-0000-0000-000021B00000}"/>
    <cellStyle name="Output 2 4 4 2 5" xfId="45268" xr:uid="{00000000-0005-0000-0000-000022B00000}"/>
    <cellStyle name="Output 2 4 4 2 6" xfId="45269" xr:uid="{00000000-0005-0000-0000-000023B00000}"/>
    <cellStyle name="Output 2 4 4 2 7" xfId="45270" xr:uid="{00000000-0005-0000-0000-000024B00000}"/>
    <cellStyle name="Output 2 4 4 3" xfId="45271" xr:uid="{00000000-0005-0000-0000-000025B00000}"/>
    <cellStyle name="Output 2 4 4 3 2" xfId="45272" xr:uid="{00000000-0005-0000-0000-000026B00000}"/>
    <cellStyle name="Output 2 4 4 3 2 2" xfId="45273" xr:uid="{00000000-0005-0000-0000-000027B00000}"/>
    <cellStyle name="Output 2 4 4 3 3" xfId="45274" xr:uid="{00000000-0005-0000-0000-000028B00000}"/>
    <cellStyle name="Output 2 4 4 3 3 2" xfId="45275" xr:uid="{00000000-0005-0000-0000-000029B00000}"/>
    <cellStyle name="Output 2 4 4 3 4" xfId="45276" xr:uid="{00000000-0005-0000-0000-00002AB00000}"/>
    <cellStyle name="Output 2 4 4 3 5" xfId="45277" xr:uid="{00000000-0005-0000-0000-00002BB00000}"/>
    <cellStyle name="Output 2 4 4 3 6" xfId="45278" xr:uid="{00000000-0005-0000-0000-00002CB00000}"/>
    <cellStyle name="Output 2 4 4 4" xfId="45279" xr:uid="{00000000-0005-0000-0000-00002DB00000}"/>
    <cellStyle name="Output 2 4 4 4 2" xfId="45280" xr:uid="{00000000-0005-0000-0000-00002EB00000}"/>
    <cellStyle name="Output 2 4 4 5" xfId="45281" xr:uid="{00000000-0005-0000-0000-00002FB00000}"/>
    <cellStyle name="Output 2 4 4 5 2" xfId="45282" xr:uid="{00000000-0005-0000-0000-000030B00000}"/>
    <cellStyle name="Output 2 4 4 6" xfId="45283" xr:uid="{00000000-0005-0000-0000-000031B00000}"/>
    <cellStyle name="Output 2 4 4 7" xfId="45284" xr:uid="{00000000-0005-0000-0000-000032B00000}"/>
    <cellStyle name="Output 2 4 4 8" xfId="45285" xr:uid="{00000000-0005-0000-0000-000033B00000}"/>
    <cellStyle name="Output 2 4 5" xfId="45286" xr:uid="{00000000-0005-0000-0000-000034B00000}"/>
    <cellStyle name="Output 2 4 5 2" xfId="45287" xr:uid="{00000000-0005-0000-0000-000035B00000}"/>
    <cellStyle name="Output 2 4 5 2 2" xfId="45288" xr:uid="{00000000-0005-0000-0000-000036B00000}"/>
    <cellStyle name="Output 2 4 5 2 2 2" xfId="45289" xr:uid="{00000000-0005-0000-0000-000037B00000}"/>
    <cellStyle name="Output 2 4 5 2 3" xfId="45290" xr:uid="{00000000-0005-0000-0000-000038B00000}"/>
    <cellStyle name="Output 2 4 5 2 3 2" xfId="45291" xr:uid="{00000000-0005-0000-0000-000039B00000}"/>
    <cellStyle name="Output 2 4 5 2 4" xfId="45292" xr:uid="{00000000-0005-0000-0000-00003AB00000}"/>
    <cellStyle name="Output 2 4 5 2 5" xfId="45293" xr:uid="{00000000-0005-0000-0000-00003BB00000}"/>
    <cellStyle name="Output 2 4 5 2 6" xfId="45294" xr:uid="{00000000-0005-0000-0000-00003CB00000}"/>
    <cellStyle name="Output 2 4 5 3" xfId="45295" xr:uid="{00000000-0005-0000-0000-00003DB00000}"/>
    <cellStyle name="Output 2 4 5 3 2" xfId="45296" xr:uid="{00000000-0005-0000-0000-00003EB00000}"/>
    <cellStyle name="Output 2 4 5 4" xfId="45297" xr:uid="{00000000-0005-0000-0000-00003FB00000}"/>
    <cellStyle name="Output 2 4 5 4 2" xfId="45298" xr:uid="{00000000-0005-0000-0000-000040B00000}"/>
    <cellStyle name="Output 2 4 5 5" xfId="45299" xr:uid="{00000000-0005-0000-0000-000041B00000}"/>
    <cellStyle name="Output 2 4 5 6" xfId="45300" xr:uid="{00000000-0005-0000-0000-000042B00000}"/>
    <cellStyle name="Output 2 4 5 7" xfId="45301" xr:uid="{00000000-0005-0000-0000-000043B00000}"/>
    <cellStyle name="Output 2 4 6" xfId="45302" xr:uid="{00000000-0005-0000-0000-000044B00000}"/>
    <cellStyle name="Output 2 4 6 2" xfId="45303" xr:uid="{00000000-0005-0000-0000-000045B00000}"/>
    <cellStyle name="Output 2 4 6 2 2" xfId="45304" xr:uid="{00000000-0005-0000-0000-000046B00000}"/>
    <cellStyle name="Output 2 4 6 3" xfId="45305" xr:uid="{00000000-0005-0000-0000-000047B00000}"/>
    <cellStyle name="Output 2 4 6 3 2" xfId="45306" xr:uid="{00000000-0005-0000-0000-000048B00000}"/>
    <cellStyle name="Output 2 4 6 4" xfId="45307" xr:uid="{00000000-0005-0000-0000-000049B00000}"/>
    <cellStyle name="Output 2 4 6 5" xfId="45308" xr:uid="{00000000-0005-0000-0000-00004AB00000}"/>
    <cellStyle name="Output 2 4 6 6" xfId="45309" xr:uid="{00000000-0005-0000-0000-00004BB00000}"/>
    <cellStyle name="Output 2 4 7" xfId="45310" xr:uid="{00000000-0005-0000-0000-00004CB00000}"/>
    <cellStyle name="Output 2 4 7 2" xfId="45311" xr:uid="{00000000-0005-0000-0000-00004DB00000}"/>
    <cellStyle name="Output 2 4 8" xfId="45312" xr:uid="{00000000-0005-0000-0000-00004EB00000}"/>
    <cellStyle name="Output 2 4 8 2" xfId="45313" xr:uid="{00000000-0005-0000-0000-00004FB00000}"/>
    <cellStyle name="Output 2 4 9" xfId="45314" xr:uid="{00000000-0005-0000-0000-000050B00000}"/>
    <cellStyle name="Output 2 5" xfId="45315" xr:uid="{00000000-0005-0000-0000-000051B00000}"/>
    <cellStyle name="Output 2 5 10" xfId="45316" xr:uid="{00000000-0005-0000-0000-000052B00000}"/>
    <cellStyle name="Output 2 5 2" xfId="45317" xr:uid="{00000000-0005-0000-0000-000053B00000}"/>
    <cellStyle name="Output 2 5 2 2" xfId="45318" xr:uid="{00000000-0005-0000-0000-000054B00000}"/>
    <cellStyle name="Output 2 5 2 2 2" xfId="45319" xr:uid="{00000000-0005-0000-0000-000055B00000}"/>
    <cellStyle name="Output 2 5 2 2 2 2" xfId="45320" xr:uid="{00000000-0005-0000-0000-000056B00000}"/>
    <cellStyle name="Output 2 5 2 2 2 2 2" xfId="45321" xr:uid="{00000000-0005-0000-0000-000057B00000}"/>
    <cellStyle name="Output 2 5 2 2 2 2 2 2" xfId="45322" xr:uid="{00000000-0005-0000-0000-000058B00000}"/>
    <cellStyle name="Output 2 5 2 2 2 2 3" xfId="45323" xr:uid="{00000000-0005-0000-0000-000059B00000}"/>
    <cellStyle name="Output 2 5 2 2 2 2 3 2" xfId="45324" xr:uid="{00000000-0005-0000-0000-00005AB00000}"/>
    <cellStyle name="Output 2 5 2 2 2 2 4" xfId="45325" xr:uid="{00000000-0005-0000-0000-00005BB00000}"/>
    <cellStyle name="Output 2 5 2 2 2 2 5" xfId="45326" xr:uid="{00000000-0005-0000-0000-00005CB00000}"/>
    <cellStyle name="Output 2 5 2 2 2 2 6" xfId="45327" xr:uid="{00000000-0005-0000-0000-00005DB00000}"/>
    <cellStyle name="Output 2 5 2 2 2 3" xfId="45328" xr:uid="{00000000-0005-0000-0000-00005EB00000}"/>
    <cellStyle name="Output 2 5 2 2 2 3 2" xfId="45329" xr:uid="{00000000-0005-0000-0000-00005FB00000}"/>
    <cellStyle name="Output 2 5 2 2 2 4" xfId="45330" xr:uid="{00000000-0005-0000-0000-000060B00000}"/>
    <cellStyle name="Output 2 5 2 2 2 4 2" xfId="45331" xr:uid="{00000000-0005-0000-0000-000061B00000}"/>
    <cellStyle name="Output 2 5 2 2 2 5" xfId="45332" xr:uid="{00000000-0005-0000-0000-000062B00000}"/>
    <cellStyle name="Output 2 5 2 2 2 6" xfId="45333" xr:uid="{00000000-0005-0000-0000-000063B00000}"/>
    <cellStyle name="Output 2 5 2 2 2 7" xfId="45334" xr:uid="{00000000-0005-0000-0000-000064B00000}"/>
    <cellStyle name="Output 2 5 2 2 3" xfId="45335" xr:uid="{00000000-0005-0000-0000-000065B00000}"/>
    <cellStyle name="Output 2 5 2 2 3 2" xfId="45336" xr:uid="{00000000-0005-0000-0000-000066B00000}"/>
    <cellStyle name="Output 2 5 2 2 3 2 2" xfId="45337" xr:uid="{00000000-0005-0000-0000-000067B00000}"/>
    <cellStyle name="Output 2 5 2 2 3 3" xfId="45338" xr:uid="{00000000-0005-0000-0000-000068B00000}"/>
    <cellStyle name="Output 2 5 2 2 3 3 2" xfId="45339" xr:uid="{00000000-0005-0000-0000-000069B00000}"/>
    <cellStyle name="Output 2 5 2 2 3 4" xfId="45340" xr:uid="{00000000-0005-0000-0000-00006AB00000}"/>
    <cellStyle name="Output 2 5 2 2 3 5" xfId="45341" xr:uid="{00000000-0005-0000-0000-00006BB00000}"/>
    <cellStyle name="Output 2 5 2 2 3 6" xfId="45342" xr:uid="{00000000-0005-0000-0000-00006CB00000}"/>
    <cellStyle name="Output 2 5 2 2 4" xfId="45343" xr:uid="{00000000-0005-0000-0000-00006DB00000}"/>
    <cellStyle name="Output 2 5 2 2 4 2" xfId="45344" xr:uid="{00000000-0005-0000-0000-00006EB00000}"/>
    <cellStyle name="Output 2 5 2 2 5" xfId="45345" xr:uid="{00000000-0005-0000-0000-00006FB00000}"/>
    <cellStyle name="Output 2 5 2 2 5 2" xfId="45346" xr:uid="{00000000-0005-0000-0000-000070B00000}"/>
    <cellStyle name="Output 2 5 2 2 6" xfId="45347" xr:uid="{00000000-0005-0000-0000-000071B00000}"/>
    <cellStyle name="Output 2 5 2 2 7" xfId="45348" xr:uid="{00000000-0005-0000-0000-000072B00000}"/>
    <cellStyle name="Output 2 5 2 2 8" xfId="45349" xr:uid="{00000000-0005-0000-0000-000073B00000}"/>
    <cellStyle name="Output 2 5 2 3" xfId="45350" xr:uid="{00000000-0005-0000-0000-000074B00000}"/>
    <cellStyle name="Output 2 5 2 3 2" xfId="45351" xr:uid="{00000000-0005-0000-0000-000075B00000}"/>
    <cellStyle name="Output 2 5 2 3 2 2" xfId="45352" xr:uid="{00000000-0005-0000-0000-000076B00000}"/>
    <cellStyle name="Output 2 5 2 3 2 2 2" xfId="45353" xr:uid="{00000000-0005-0000-0000-000077B00000}"/>
    <cellStyle name="Output 2 5 2 3 2 3" xfId="45354" xr:uid="{00000000-0005-0000-0000-000078B00000}"/>
    <cellStyle name="Output 2 5 2 3 2 3 2" xfId="45355" xr:uid="{00000000-0005-0000-0000-000079B00000}"/>
    <cellStyle name="Output 2 5 2 3 2 4" xfId="45356" xr:uid="{00000000-0005-0000-0000-00007AB00000}"/>
    <cellStyle name="Output 2 5 2 3 2 5" xfId="45357" xr:uid="{00000000-0005-0000-0000-00007BB00000}"/>
    <cellStyle name="Output 2 5 2 3 2 6" xfId="45358" xr:uid="{00000000-0005-0000-0000-00007CB00000}"/>
    <cellStyle name="Output 2 5 2 3 3" xfId="45359" xr:uid="{00000000-0005-0000-0000-00007DB00000}"/>
    <cellStyle name="Output 2 5 2 3 3 2" xfId="45360" xr:uid="{00000000-0005-0000-0000-00007EB00000}"/>
    <cellStyle name="Output 2 5 2 3 4" xfId="45361" xr:uid="{00000000-0005-0000-0000-00007FB00000}"/>
    <cellStyle name="Output 2 5 2 3 4 2" xfId="45362" xr:uid="{00000000-0005-0000-0000-000080B00000}"/>
    <cellStyle name="Output 2 5 2 3 5" xfId="45363" xr:uid="{00000000-0005-0000-0000-000081B00000}"/>
    <cellStyle name="Output 2 5 2 3 6" xfId="45364" xr:uid="{00000000-0005-0000-0000-000082B00000}"/>
    <cellStyle name="Output 2 5 2 3 7" xfId="45365" xr:uid="{00000000-0005-0000-0000-000083B00000}"/>
    <cellStyle name="Output 2 5 2 4" xfId="45366" xr:uid="{00000000-0005-0000-0000-000084B00000}"/>
    <cellStyle name="Output 2 5 2 4 2" xfId="45367" xr:uid="{00000000-0005-0000-0000-000085B00000}"/>
    <cellStyle name="Output 2 5 2 4 2 2" xfId="45368" xr:uid="{00000000-0005-0000-0000-000086B00000}"/>
    <cellStyle name="Output 2 5 2 4 3" xfId="45369" xr:uid="{00000000-0005-0000-0000-000087B00000}"/>
    <cellStyle name="Output 2 5 2 4 3 2" xfId="45370" xr:uid="{00000000-0005-0000-0000-000088B00000}"/>
    <cellStyle name="Output 2 5 2 4 4" xfId="45371" xr:uid="{00000000-0005-0000-0000-000089B00000}"/>
    <cellStyle name="Output 2 5 2 4 5" xfId="45372" xr:uid="{00000000-0005-0000-0000-00008AB00000}"/>
    <cellStyle name="Output 2 5 2 4 6" xfId="45373" xr:uid="{00000000-0005-0000-0000-00008BB00000}"/>
    <cellStyle name="Output 2 5 2 5" xfId="45374" xr:uid="{00000000-0005-0000-0000-00008CB00000}"/>
    <cellStyle name="Output 2 5 2 5 2" xfId="45375" xr:uid="{00000000-0005-0000-0000-00008DB00000}"/>
    <cellStyle name="Output 2 5 2 6" xfId="45376" xr:uid="{00000000-0005-0000-0000-00008EB00000}"/>
    <cellStyle name="Output 2 5 2 6 2" xfId="45377" xr:uid="{00000000-0005-0000-0000-00008FB00000}"/>
    <cellStyle name="Output 2 5 2 7" xfId="45378" xr:uid="{00000000-0005-0000-0000-000090B00000}"/>
    <cellStyle name="Output 2 5 2 8" xfId="45379" xr:uid="{00000000-0005-0000-0000-000091B00000}"/>
    <cellStyle name="Output 2 5 2 9" xfId="45380" xr:uid="{00000000-0005-0000-0000-000092B00000}"/>
    <cellStyle name="Output 2 5 3" xfId="45381" xr:uid="{00000000-0005-0000-0000-000093B00000}"/>
    <cellStyle name="Output 2 5 3 2" xfId="45382" xr:uid="{00000000-0005-0000-0000-000094B00000}"/>
    <cellStyle name="Output 2 5 3 2 2" xfId="45383" xr:uid="{00000000-0005-0000-0000-000095B00000}"/>
    <cellStyle name="Output 2 5 3 2 2 2" xfId="45384" xr:uid="{00000000-0005-0000-0000-000096B00000}"/>
    <cellStyle name="Output 2 5 3 2 2 2 2" xfId="45385" xr:uid="{00000000-0005-0000-0000-000097B00000}"/>
    <cellStyle name="Output 2 5 3 2 2 3" xfId="45386" xr:uid="{00000000-0005-0000-0000-000098B00000}"/>
    <cellStyle name="Output 2 5 3 2 2 3 2" xfId="45387" xr:uid="{00000000-0005-0000-0000-000099B00000}"/>
    <cellStyle name="Output 2 5 3 2 2 4" xfId="45388" xr:uid="{00000000-0005-0000-0000-00009AB00000}"/>
    <cellStyle name="Output 2 5 3 2 2 5" xfId="45389" xr:uid="{00000000-0005-0000-0000-00009BB00000}"/>
    <cellStyle name="Output 2 5 3 2 2 6" xfId="45390" xr:uid="{00000000-0005-0000-0000-00009CB00000}"/>
    <cellStyle name="Output 2 5 3 2 3" xfId="45391" xr:uid="{00000000-0005-0000-0000-00009DB00000}"/>
    <cellStyle name="Output 2 5 3 2 3 2" xfId="45392" xr:uid="{00000000-0005-0000-0000-00009EB00000}"/>
    <cellStyle name="Output 2 5 3 2 4" xfId="45393" xr:uid="{00000000-0005-0000-0000-00009FB00000}"/>
    <cellStyle name="Output 2 5 3 2 4 2" xfId="45394" xr:uid="{00000000-0005-0000-0000-0000A0B00000}"/>
    <cellStyle name="Output 2 5 3 2 5" xfId="45395" xr:uid="{00000000-0005-0000-0000-0000A1B00000}"/>
    <cellStyle name="Output 2 5 3 2 6" xfId="45396" xr:uid="{00000000-0005-0000-0000-0000A2B00000}"/>
    <cellStyle name="Output 2 5 3 2 7" xfId="45397" xr:uid="{00000000-0005-0000-0000-0000A3B00000}"/>
    <cellStyle name="Output 2 5 3 3" xfId="45398" xr:uid="{00000000-0005-0000-0000-0000A4B00000}"/>
    <cellStyle name="Output 2 5 3 3 2" xfId="45399" xr:uid="{00000000-0005-0000-0000-0000A5B00000}"/>
    <cellStyle name="Output 2 5 3 3 2 2" xfId="45400" xr:uid="{00000000-0005-0000-0000-0000A6B00000}"/>
    <cellStyle name="Output 2 5 3 3 3" xfId="45401" xr:uid="{00000000-0005-0000-0000-0000A7B00000}"/>
    <cellStyle name="Output 2 5 3 3 3 2" xfId="45402" xr:uid="{00000000-0005-0000-0000-0000A8B00000}"/>
    <cellStyle name="Output 2 5 3 3 4" xfId="45403" xr:uid="{00000000-0005-0000-0000-0000A9B00000}"/>
    <cellStyle name="Output 2 5 3 3 5" xfId="45404" xr:uid="{00000000-0005-0000-0000-0000AAB00000}"/>
    <cellStyle name="Output 2 5 3 3 6" xfId="45405" xr:uid="{00000000-0005-0000-0000-0000ABB00000}"/>
    <cellStyle name="Output 2 5 3 4" xfId="45406" xr:uid="{00000000-0005-0000-0000-0000ACB00000}"/>
    <cellStyle name="Output 2 5 3 4 2" xfId="45407" xr:uid="{00000000-0005-0000-0000-0000ADB00000}"/>
    <cellStyle name="Output 2 5 3 5" xfId="45408" xr:uid="{00000000-0005-0000-0000-0000AEB00000}"/>
    <cellStyle name="Output 2 5 3 5 2" xfId="45409" xr:uid="{00000000-0005-0000-0000-0000AFB00000}"/>
    <cellStyle name="Output 2 5 3 6" xfId="45410" xr:uid="{00000000-0005-0000-0000-0000B0B00000}"/>
    <cellStyle name="Output 2 5 3 7" xfId="45411" xr:uid="{00000000-0005-0000-0000-0000B1B00000}"/>
    <cellStyle name="Output 2 5 3 8" xfId="45412" xr:uid="{00000000-0005-0000-0000-0000B2B00000}"/>
    <cellStyle name="Output 2 5 4" xfId="45413" xr:uid="{00000000-0005-0000-0000-0000B3B00000}"/>
    <cellStyle name="Output 2 5 4 2" xfId="45414" xr:uid="{00000000-0005-0000-0000-0000B4B00000}"/>
    <cellStyle name="Output 2 5 4 2 2" xfId="45415" xr:uid="{00000000-0005-0000-0000-0000B5B00000}"/>
    <cellStyle name="Output 2 5 4 2 2 2" xfId="45416" xr:uid="{00000000-0005-0000-0000-0000B6B00000}"/>
    <cellStyle name="Output 2 5 4 2 3" xfId="45417" xr:uid="{00000000-0005-0000-0000-0000B7B00000}"/>
    <cellStyle name="Output 2 5 4 2 3 2" xfId="45418" xr:uid="{00000000-0005-0000-0000-0000B8B00000}"/>
    <cellStyle name="Output 2 5 4 2 4" xfId="45419" xr:uid="{00000000-0005-0000-0000-0000B9B00000}"/>
    <cellStyle name="Output 2 5 4 2 5" xfId="45420" xr:uid="{00000000-0005-0000-0000-0000BAB00000}"/>
    <cellStyle name="Output 2 5 4 2 6" xfId="45421" xr:uid="{00000000-0005-0000-0000-0000BBB00000}"/>
    <cellStyle name="Output 2 5 4 3" xfId="45422" xr:uid="{00000000-0005-0000-0000-0000BCB00000}"/>
    <cellStyle name="Output 2 5 4 3 2" xfId="45423" xr:uid="{00000000-0005-0000-0000-0000BDB00000}"/>
    <cellStyle name="Output 2 5 4 4" xfId="45424" xr:uid="{00000000-0005-0000-0000-0000BEB00000}"/>
    <cellStyle name="Output 2 5 4 4 2" xfId="45425" xr:uid="{00000000-0005-0000-0000-0000BFB00000}"/>
    <cellStyle name="Output 2 5 4 5" xfId="45426" xr:uid="{00000000-0005-0000-0000-0000C0B00000}"/>
    <cellStyle name="Output 2 5 4 6" xfId="45427" xr:uid="{00000000-0005-0000-0000-0000C1B00000}"/>
    <cellStyle name="Output 2 5 4 7" xfId="45428" xr:uid="{00000000-0005-0000-0000-0000C2B00000}"/>
    <cellStyle name="Output 2 5 5" xfId="45429" xr:uid="{00000000-0005-0000-0000-0000C3B00000}"/>
    <cellStyle name="Output 2 5 5 2" xfId="45430" xr:uid="{00000000-0005-0000-0000-0000C4B00000}"/>
    <cellStyle name="Output 2 5 5 2 2" xfId="45431" xr:uid="{00000000-0005-0000-0000-0000C5B00000}"/>
    <cellStyle name="Output 2 5 5 3" xfId="45432" xr:uid="{00000000-0005-0000-0000-0000C6B00000}"/>
    <cellStyle name="Output 2 5 5 3 2" xfId="45433" xr:uid="{00000000-0005-0000-0000-0000C7B00000}"/>
    <cellStyle name="Output 2 5 5 4" xfId="45434" xr:uid="{00000000-0005-0000-0000-0000C8B00000}"/>
    <cellStyle name="Output 2 5 5 5" xfId="45435" xr:uid="{00000000-0005-0000-0000-0000C9B00000}"/>
    <cellStyle name="Output 2 5 5 6" xfId="45436" xr:uid="{00000000-0005-0000-0000-0000CAB00000}"/>
    <cellStyle name="Output 2 5 6" xfId="45437" xr:uid="{00000000-0005-0000-0000-0000CBB00000}"/>
    <cellStyle name="Output 2 5 6 2" xfId="45438" xr:uid="{00000000-0005-0000-0000-0000CCB00000}"/>
    <cellStyle name="Output 2 5 7" xfId="45439" xr:uid="{00000000-0005-0000-0000-0000CDB00000}"/>
    <cellStyle name="Output 2 5 7 2" xfId="45440" xr:uid="{00000000-0005-0000-0000-0000CEB00000}"/>
    <cellStyle name="Output 2 5 8" xfId="45441" xr:uid="{00000000-0005-0000-0000-0000CFB00000}"/>
    <cellStyle name="Output 2 5 9" xfId="45442" xr:uid="{00000000-0005-0000-0000-0000D0B00000}"/>
    <cellStyle name="Output 2 6" xfId="45443" xr:uid="{00000000-0005-0000-0000-0000D1B00000}"/>
    <cellStyle name="Output 2 6 2" xfId="45444" xr:uid="{00000000-0005-0000-0000-0000D2B00000}"/>
    <cellStyle name="Output 2 6 2 2" xfId="45445" xr:uid="{00000000-0005-0000-0000-0000D3B00000}"/>
    <cellStyle name="Output 2 6 2 2 2" xfId="45446" xr:uid="{00000000-0005-0000-0000-0000D4B00000}"/>
    <cellStyle name="Output 2 6 2 3" xfId="45447" xr:uid="{00000000-0005-0000-0000-0000D5B00000}"/>
    <cellStyle name="Output 2 6 2 3 2" xfId="45448" xr:uid="{00000000-0005-0000-0000-0000D6B00000}"/>
    <cellStyle name="Output 2 6 2 4" xfId="45449" xr:uid="{00000000-0005-0000-0000-0000D7B00000}"/>
    <cellStyle name="Output 2 6 2 5" xfId="45450" xr:uid="{00000000-0005-0000-0000-0000D8B00000}"/>
    <cellStyle name="Output 2 6 2 6" xfId="45451" xr:uid="{00000000-0005-0000-0000-0000D9B00000}"/>
    <cellStyle name="Output 2 6 3" xfId="45452" xr:uid="{00000000-0005-0000-0000-0000DAB00000}"/>
    <cellStyle name="Output 2 6 3 2" xfId="45453" xr:uid="{00000000-0005-0000-0000-0000DBB00000}"/>
    <cellStyle name="Output 2 6 4" xfId="45454" xr:uid="{00000000-0005-0000-0000-0000DCB00000}"/>
    <cellStyle name="Output 2 6 4 2" xfId="45455" xr:uid="{00000000-0005-0000-0000-0000DDB00000}"/>
    <cellStyle name="Output 2 6 5" xfId="45456" xr:uid="{00000000-0005-0000-0000-0000DEB00000}"/>
    <cellStyle name="Output 2 6 6" xfId="45457" xr:uid="{00000000-0005-0000-0000-0000DFB00000}"/>
    <cellStyle name="Output 2 6 7" xfId="45458" xr:uid="{00000000-0005-0000-0000-0000E0B00000}"/>
    <cellStyle name="Output 2 7" xfId="45459" xr:uid="{00000000-0005-0000-0000-0000E1B00000}"/>
    <cellStyle name="Output 2 7 2" xfId="45460" xr:uid="{00000000-0005-0000-0000-0000E2B00000}"/>
    <cellStyle name="Output 2 8" xfId="45461" xr:uid="{00000000-0005-0000-0000-0000E3B00000}"/>
    <cellStyle name="Output 2 8 2" xfId="45462" xr:uid="{00000000-0005-0000-0000-0000E4B00000}"/>
    <cellStyle name="Output 2 9" xfId="45463" xr:uid="{00000000-0005-0000-0000-0000E5B00000}"/>
    <cellStyle name="Output 3" xfId="45464" xr:uid="{00000000-0005-0000-0000-0000E6B00000}"/>
    <cellStyle name="Output 3 10" xfId="45465" xr:uid="{00000000-0005-0000-0000-0000E7B00000}"/>
    <cellStyle name="Output 3 11" xfId="45466" xr:uid="{00000000-0005-0000-0000-0000E8B00000}"/>
    <cellStyle name="Output 3 12" xfId="45467" xr:uid="{00000000-0005-0000-0000-0000E9B00000}"/>
    <cellStyle name="Output 3 2" xfId="45468" xr:uid="{00000000-0005-0000-0000-0000EAB00000}"/>
    <cellStyle name="Output 3 2 10" xfId="45469" xr:uid="{00000000-0005-0000-0000-0000EBB00000}"/>
    <cellStyle name="Output 3 2 2" xfId="45470" xr:uid="{00000000-0005-0000-0000-0000ECB00000}"/>
    <cellStyle name="Output 3 2 2 2" xfId="45471" xr:uid="{00000000-0005-0000-0000-0000EDB00000}"/>
    <cellStyle name="Output 3 2 2 2 2" xfId="45472" xr:uid="{00000000-0005-0000-0000-0000EEB00000}"/>
    <cellStyle name="Output 3 2 2 2 2 2" xfId="45473" xr:uid="{00000000-0005-0000-0000-0000EFB00000}"/>
    <cellStyle name="Output 3 2 2 2 2 2 2" xfId="45474" xr:uid="{00000000-0005-0000-0000-0000F0B00000}"/>
    <cellStyle name="Output 3 2 2 2 2 2 2 2" xfId="45475" xr:uid="{00000000-0005-0000-0000-0000F1B00000}"/>
    <cellStyle name="Output 3 2 2 2 2 2 3" xfId="45476" xr:uid="{00000000-0005-0000-0000-0000F2B00000}"/>
    <cellStyle name="Output 3 2 2 2 2 2 3 2" xfId="45477" xr:uid="{00000000-0005-0000-0000-0000F3B00000}"/>
    <cellStyle name="Output 3 2 2 2 2 2 4" xfId="45478" xr:uid="{00000000-0005-0000-0000-0000F4B00000}"/>
    <cellStyle name="Output 3 2 2 2 2 2 5" xfId="45479" xr:uid="{00000000-0005-0000-0000-0000F5B00000}"/>
    <cellStyle name="Output 3 2 2 2 2 2 6" xfId="45480" xr:uid="{00000000-0005-0000-0000-0000F6B00000}"/>
    <cellStyle name="Output 3 2 2 2 2 3" xfId="45481" xr:uid="{00000000-0005-0000-0000-0000F7B00000}"/>
    <cellStyle name="Output 3 2 2 2 2 3 2" xfId="45482" xr:uid="{00000000-0005-0000-0000-0000F8B00000}"/>
    <cellStyle name="Output 3 2 2 2 2 4" xfId="45483" xr:uid="{00000000-0005-0000-0000-0000F9B00000}"/>
    <cellStyle name="Output 3 2 2 2 2 4 2" xfId="45484" xr:uid="{00000000-0005-0000-0000-0000FAB00000}"/>
    <cellStyle name="Output 3 2 2 2 2 5" xfId="45485" xr:uid="{00000000-0005-0000-0000-0000FBB00000}"/>
    <cellStyle name="Output 3 2 2 2 2 6" xfId="45486" xr:uid="{00000000-0005-0000-0000-0000FCB00000}"/>
    <cellStyle name="Output 3 2 2 2 2 7" xfId="45487" xr:uid="{00000000-0005-0000-0000-0000FDB00000}"/>
    <cellStyle name="Output 3 2 2 2 3" xfId="45488" xr:uid="{00000000-0005-0000-0000-0000FEB00000}"/>
    <cellStyle name="Output 3 2 2 2 3 2" xfId="45489" xr:uid="{00000000-0005-0000-0000-0000FFB00000}"/>
    <cellStyle name="Output 3 2 2 2 3 2 2" xfId="45490" xr:uid="{00000000-0005-0000-0000-000000B10000}"/>
    <cellStyle name="Output 3 2 2 2 3 3" xfId="45491" xr:uid="{00000000-0005-0000-0000-000001B10000}"/>
    <cellStyle name="Output 3 2 2 2 3 3 2" xfId="45492" xr:uid="{00000000-0005-0000-0000-000002B10000}"/>
    <cellStyle name="Output 3 2 2 2 3 4" xfId="45493" xr:uid="{00000000-0005-0000-0000-000003B10000}"/>
    <cellStyle name="Output 3 2 2 2 3 5" xfId="45494" xr:uid="{00000000-0005-0000-0000-000004B10000}"/>
    <cellStyle name="Output 3 2 2 2 3 6" xfId="45495" xr:uid="{00000000-0005-0000-0000-000005B10000}"/>
    <cellStyle name="Output 3 2 2 2 4" xfId="45496" xr:uid="{00000000-0005-0000-0000-000006B10000}"/>
    <cellStyle name="Output 3 2 2 2 4 2" xfId="45497" xr:uid="{00000000-0005-0000-0000-000007B10000}"/>
    <cellStyle name="Output 3 2 2 2 5" xfId="45498" xr:uid="{00000000-0005-0000-0000-000008B10000}"/>
    <cellStyle name="Output 3 2 2 2 5 2" xfId="45499" xr:uid="{00000000-0005-0000-0000-000009B10000}"/>
    <cellStyle name="Output 3 2 2 2 6" xfId="45500" xr:uid="{00000000-0005-0000-0000-00000AB10000}"/>
    <cellStyle name="Output 3 2 2 2 7" xfId="45501" xr:uid="{00000000-0005-0000-0000-00000BB10000}"/>
    <cellStyle name="Output 3 2 2 2 8" xfId="45502" xr:uid="{00000000-0005-0000-0000-00000CB10000}"/>
    <cellStyle name="Output 3 2 2 3" xfId="45503" xr:uid="{00000000-0005-0000-0000-00000DB10000}"/>
    <cellStyle name="Output 3 2 2 3 2" xfId="45504" xr:uid="{00000000-0005-0000-0000-00000EB10000}"/>
    <cellStyle name="Output 3 2 2 3 2 2" xfId="45505" xr:uid="{00000000-0005-0000-0000-00000FB10000}"/>
    <cellStyle name="Output 3 2 2 3 2 2 2" xfId="45506" xr:uid="{00000000-0005-0000-0000-000010B10000}"/>
    <cellStyle name="Output 3 2 2 3 2 3" xfId="45507" xr:uid="{00000000-0005-0000-0000-000011B10000}"/>
    <cellStyle name="Output 3 2 2 3 2 3 2" xfId="45508" xr:uid="{00000000-0005-0000-0000-000012B10000}"/>
    <cellStyle name="Output 3 2 2 3 2 4" xfId="45509" xr:uid="{00000000-0005-0000-0000-000013B10000}"/>
    <cellStyle name="Output 3 2 2 3 2 5" xfId="45510" xr:uid="{00000000-0005-0000-0000-000014B10000}"/>
    <cellStyle name="Output 3 2 2 3 2 6" xfId="45511" xr:uid="{00000000-0005-0000-0000-000015B10000}"/>
    <cellStyle name="Output 3 2 2 3 3" xfId="45512" xr:uid="{00000000-0005-0000-0000-000016B10000}"/>
    <cellStyle name="Output 3 2 2 3 3 2" xfId="45513" xr:uid="{00000000-0005-0000-0000-000017B10000}"/>
    <cellStyle name="Output 3 2 2 3 4" xfId="45514" xr:uid="{00000000-0005-0000-0000-000018B10000}"/>
    <cellStyle name="Output 3 2 2 3 4 2" xfId="45515" xr:uid="{00000000-0005-0000-0000-000019B10000}"/>
    <cellStyle name="Output 3 2 2 3 5" xfId="45516" xr:uid="{00000000-0005-0000-0000-00001AB10000}"/>
    <cellStyle name="Output 3 2 2 3 6" xfId="45517" xr:uid="{00000000-0005-0000-0000-00001BB10000}"/>
    <cellStyle name="Output 3 2 2 3 7" xfId="45518" xr:uid="{00000000-0005-0000-0000-00001CB10000}"/>
    <cellStyle name="Output 3 2 2 4" xfId="45519" xr:uid="{00000000-0005-0000-0000-00001DB10000}"/>
    <cellStyle name="Output 3 2 2 4 2" xfId="45520" xr:uid="{00000000-0005-0000-0000-00001EB10000}"/>
    <cellStyle name="Output 3 2 2 4 2 2" xfId="45521" xr:uid="{00000000-0005-0000-0000-00001FB10000}"/>
    <cellStyle name="Output 3 2 2 4 3" xfId="45522" xr:uid="{00000000-0005-0000-0000-000020B10000}"/>
    <cellStyle name="Output 3 2 2 4 3 2" xfId="45523" xr:uid="{00000000-0005-0000-0000-000021B10000}"/>
    <cellStyle name="Output 3 2 2 4 4" xfId="45524" xr:uid="{00000000-0005-0000-0000-000022B10000}"/>
    <cellStyle name="Output 3 2 2 4 5" xfId="45525" xr:uid="{00000000-0005-0000-0000-000023B10000}"/>
    <cellStyle name="Output 3 2 2 4 6" xfId="45526" xr:uid="{00000000-0005-0000-0000-000024B10000}"/>
    <cellStyle name="Output 3 2 2 5" xfId="45527" xr:uid="{00000000-0005-0000-0000-000025B10000}"/>
    <cellStyle name="Output 3 2 2 5 2" xfId="45528" xr:uid="{00000000-0005-0000-0000-000026B10000}"/>
    <cellStyle name="Output 3 2 2 6" xfId="45529" xr:uid="{00000000-0005-0000-0000-000027B10000}"/>
    <cellStyle name="Output 3 2 2 6 2" xfId="45530" xr:uid="{00000000-0005-0000-0000-000028B10000}"/>
    <cellStyle name="Output 3 2 2 7" xfId="45531" xr:uid="{00000000-0005-0000-0000-000029B10000}"/>
    <cellStyle name="Output 3 2 2 8" xfId="45532" xr:uid="{00000000-0005-0000-0000-00002AB10000}"/>
    <cellStyle name="Output 3 2 2 9" xfId="45533" xr:uid="{00000000-0005-0000-0000-00002BB10000}"/>
    <cellStyle name="Output 3 2 3" xfId="45534" xr:uid="{00000000-0005-0000-0000-00002CB10000}"/>
    <cellStyle name="Output 3 2 3 2" xfId="45535" xr:uid="{00000000-0005-0000-0000-00002DB10000}"/>
    <cellStyle name="Output 3 2 3 2 2" xfId="45536" xr:uid="{00000000-0005-0000-0000-00002EB10000}"/>
    <cellStyle name="Output 3 2 3 2 2 2" xfId="45537" xr:uid="{00000000-0005-0000-0000-00002FB10000}"/>
    <cellStyle name="Output 3 2 3 2 2 2 2" xfId="45538" xr:uid="{00000000-0005-0000-0000-000030B10000}"/>
    <cellStyle name="Output 3 2 3 2 2 3" xfId="45539" xr:uid="{00000000-0005-0000-0000-000031B10000}"/>
    <cellStyle name="Output 3 2 3 2 2 3 2" xfId="45540" xr:uid="{00000000-0005-0000-0000-000032B10000}"/>
    <cellStyle name="Output 3 2 3 2 2 4" xfId="45541" xr:uid="{00000000-0005-0000-0000-000033B10000}"/>
    <cellStyle name="Output 3 2 3 2 2 5" xfId="45542" xr:uid="{00000000-0005-0000-0000-000034B10000}"/>
    <cellStyle name="Output 3 2 3 2 2 6" xfId="45543" xr:uid="{00000000-0005-0000-0000-000035B10000}"/>
    <cellStyle name="Output 3 2 3 2 3" xfId="45544" xr:uid="{00000000-0005-0000-0000-000036B10000}"/>
    <cellStyle name="Output 3 2 3 2 3 2" xfId="45545" xr:uid="{00000000-0005-0000-0000-000037B10000}"/>
    <cellStyle name="Output 3 2 3 2 4" xfId="45546" xr:uid="{00000000-0005-0000-0000-000038B10000}"/>
    <cellStyle name="Output 3 2 3 2 4 2" xfId="45547" xr:uid="{00000000-0005-0000-0000-000039B10000}"/>
    <cellStyle name="Output 3 2 3 2 5" xfId="45548" xr:uid="{00000000-0005-0000-0000-00003AB10000}"/>
    <cellStyle name="Output 3 2 3 2 6" xfId="45549" xr:uid="{00000000-0005-0000-0000-00003BB10000}"/>
    <cellStyle name="Output 3 2 3 2 7" xfId="45550" xr:uid="{00000000-0005-0000-0000-00003CB10000}"/>
    <cellStyle name="Output 3 2 3 3" xfId="45551" xr:uid="{00000000-0005-0000-0000-00003DB10000}"/>
    <cellStyle name="Output 3 2 3 3 2" xfId="45552" xr:uid="{00000000-0005-0000-0000-00003EB10000}"/>
    <cellStyle name="Output 3 2 3 3 2 2" xfId="45553" xr:uid="{00000000-0005-0000-0000-00003FB10000}"/>
    <cellStyle name="Output 3 2 3 3 3" xfId="45554" xr:uid="{00000000-0005-0000-0000-000040B10000}"/>
    <cellStyle name="Output 3 2 3 3 3 2" xfId="45555" xr:uid="{00000000-0005-0000-0000-000041B10000}"/>
    <cellStyle name="Output 3 2 3 3 4" xfId="45556" xr:uid="{00000000-0005-0000-0000-000042B10000}"/>
    <cellStyle name="Output 3 2 3 3 5" xfId="45557" xr:uid="{00000000-0005-0000-0000-000043B10000}"/>
    <cellStyle name="Output 3 2 3 3 6" xfId="45558" xr:uid="{00000000-0005-0000-0000-000044B10000}"/>
    <cellStyle name="Output 3 2 3 4" xfId="45559" xr:uid="{00000000-0005-0000-0000-000045B10000}"/>
    <cellStyle name="Output 3 2 3 4 2" xfId="45560" xr:uid="{00000000-0005-0000-0000-000046B10000}"/>
    <cellStyle name="Output 3 2 3 5" xfId="45561" xr:uid="{00000000-0005-0000-0000-000047B10000}"/>
    <cellStyle name="Output 3 2 3 5 2" xfId="45562" xr:uid="{00000000-0005-0000-0000-000048B10000}"/>
    <cellStyle name="Output 3 2 3 6" xfId="45563" xr:uid="{00000000-0005-0000-0000-000049B10000}"/>
    <cellStyle name="Output 3 2 3 7" xfId="45564" xr:uid="{00000000-0005-0000-0000-00004AB10000}"/>
    <cellStyle name="Output 3 2 3 8" xfId="45565" xr:uid="{00000000-0005-0000-0000-00004BB10000}"/>
    <cellStyle name="Output 3 2 4" xfId="45566" xr:uid="{00000000-0005-0000-0000-00004CB10000}"/>
    <cellStyle name="Output 3 2 4 2" xfId="45567" xr:uid="{00000000-0005-0000-0000-00004DB10000}"/>
    <cellStyle name="Output 3 2 4 2 2" xfId="45568" xr:uid="{00000000-0005-0000-0000-00004EB10000}"/>
    <cellStyle name="Output 3 2 4 2 2 2" xfId="45569" xr:uid="{00000000-0005-0000-0000-00004FB10000}"/>
    <cellStyle name="Output 3 2 4 2 3" xfId="45570" xr:uid="{00000000-0005-0000-0000-000050B10000}"/>
    <cellStyle name="Output 3 2 4 2 3 2" xfId="45571" xr:uid="{00000000-0005-0000-0000-000051B10000}"/>
    <cellStyle name="Output 3 2 4 2 4" xfId="45572" xr:uid="{00000000-0005-0000-0000-000052B10000}"/>
    <cellStyle name="Output 3 2 4 2 5" xfId="45573" xr:uid="{00000000-0005-0000-0000-000053B10000}"/>
    <cellStyle name="Output 3 2 4 2 6" xfId="45574" xr:uid="{00000000-0005-0000-0000-000054B10000}"/>
    <cellStyle name="Output 3 2 4 3" xfId="45575" xr:uid="{00000000-0005-0000-0000-000055B10000}"/>
    <cellStyle name="Output 3 2 4 3 2" xfId="45576" xr:uid="{00000000-0005-0000-0000-000056B10000}"/>
    <cellStyle name="Output 3 2 4 4" xfId="45577" xr:uid="{00000000-0005-0000-0000-000057B10000}"/>
    <cellStyle name="Output 3 2 4 4 2" xfId="45578" xr:uid="{00000000-0005-0000-0000-000058B10000}"/>
    <cellStyle name="Output 3 2 4 5" xfId="45579" xr:uid="{00000000-0005-0000-0000-000059B10000}"/>
    <cellStyle name="Output 3 2 4 6" xfId="45580" xr:uid="{00000000-0005-0000-0000-00005AB10000}"/>
    <cellStyle name="Output 3 2 4 7" xfId="45581" xr:uid="{00000000-0005-0000-0000-00005BB10000}"/>
    <cellStyle name="Output 3 2 5" xfId="45582" xr:uid="{00000000-0005-0000-0000-00005CB10000}"/>
    <cellStyle name="Output 3 2 5 2" xfId="45583" xr:uid="{00000000-0005-0000-0000-00005DB10000}"/>
    <cellStyle name="Output 3 2 5 2 2" xfId="45584" xr:uid="{00000000-0005-0000-0000-00005EB10000}"/>
    <cellStyle name="Output 3 2 5 3" xfId="45585" xr:uid="{00000000-0005-0000-0000-00005FB10000}"/>
    <cellStyle name="Output 3 2 5 3 2" xfId="45586" xr:uid="{00000000-0005-0000-0000-000060B10000}"/>
    <cellStyle name="Output 3 2 5 4" xfId="45587" xr:uid="{00000000-0005-0000-0000-000061B10000}"/>
    <cellStyle name="Output 3 2 5 5" xfId="45588" xr:uid="{00000000-0005-0000-0000-000062B10000}"/>
    <cellStyle name="Output 3 2 5 6" xfId="45589" xr:uid="{00000000-0005-0000-0000-000063B10000}"/>
    <cellStyle name="Output 3 2 6" xfId="45590" xr:uid="{00000000-0005-0000-0000-000064B10000}"/>
    <cellStyle name="Output 3 2 6 2" xfId="45591" xr:uid="{00000000-0005-0000-0000-000065B10000}"/>
    <cellStyle name="Output 3 2 7" xfId="45592" xr:uid="{00000000-0005-0000-0000-000066B10000}"/>
    <cellStyle name="Output 3 2 7 2" xfId="45593" xr:uid="{00000000-0005-0000-0000-000067B10000}"/>
    <cellStyle name="Output 3 2 8" xfId="45594" xr:uid="{00000000-0005-0000-0000-000068B10000}"/>
    <cellStyle name="Output 3 2 9" xfId="45595" xr:uid="{00000000-0005-0000-0000-000069B10000}"/>
    <cellStyle name="Output 3 3" xfId="45596" xr:uid="{00000000-0005-0000-0000-00006AB10000}"/>
    <cellStyle name="Output 3 3 2" xfId="45597" xr:uid="{00000000-0005-0000-0000-00006BB10000}"/>
    <cellStyle name="Output 3 3 2 2" xfId="45598" xr:uid="{00000000-0005-0000-0000-00006CB10000}"/>
    <cellStyle name="Output 3 3 2 2 2" xfId="45599" xr:uid="{00000000-0005-0000-0000-00006DB10000}"/>
    <cellStyle name="Output 3 3 2 2 2 2" xfId="45600" xr:uid="{00000000-0005-0000-0000-00006EB10000}"/>
    <cellStyle name="Output 3 3 2 2 2 2 2" xfId="45601" xr:uid="{00000000-0005-0000-0000-00006FB10000}"/>
    <cellStyle name="Output 3 3 2 2 2 3" xfId="45602" xr:uid="{00000000-0005-0000-0000-000070B10000}"/>
    <cellStyle name="Output 3 3 2 2 2 3 2" xfId="45603" xr:uid="{00000000-0005-0000-0000-000071B10000}"/>
    <cellStyle name="Output 3 3 2 2 2 4" xfId="45604" xr:uid="{00000000-0005-0000-0000-000072B10000}"/>
    <cellStyle name="Output 3 3 2 2 2 5" xfId="45605" xr:uid="{00000000-0005-0000-0000-000073B10000}"/>
    <cellStyle name="Output 3 3 2 2 2 6" xfId="45606" xr:uid="{00000000-0005-0000-0000-000074B10000}"/>
    <cellStyle name="Output 3 3 2 2 3" xfId="45607" xr:uid="{00000000-0005-0000-0000-000075B10000}"/>
    <cellStyle name="Output 3 3 2 2 3 2" xfId="45608" xr:uid="{00000000-0005-0000-0000-000076B10000}"/>
    <cellStyle name="Output 3 3 2 2 4" xfId="45609" xr:uid="{00000000-0005-0000-0000-000077B10000}"/>
    <cellStyle name="Output 3 3 2 2 4 2" xfId="45610" xr:uid="{00000000-0005-0000-0000-000078B10000}"/>
    <cellStyle name="Output 3 3 2 2 5" xfId="45611" xr:uid="{00000000-0005-0000-0000-000079B10000}"/>
    <cellStyle name="Output 3 3 2 2 6" xfId="45612" xr:uid="{00000000-0005-0000-0000-00007AB10000}"/>
    <cellStyle name="Output 3 3 2 2 7" xfId="45613" xr:uid="{00000000-0005-0000-0000-00007BB10000}"/>
    <cellStyle name="Output 3 3 2 3" xfId="45614" xr:uid="{00000000-0005-0000-0000-00007CB10000}"/>
    <cellStyle name="Output 3 3 2 3 2" xfId="45615" xr:uid="{00000000-0005-0000-0000-00007DB10000}"/>
    <cellStyle name="Output 3 3 2 3 2 2" xfId="45616" xr:uid="{00000000-0005-0000-0000-00007EB10000}"/>
    <cellStyle name="Output 3 3 2 3 3" xfId="45617" xr:uid="{00000000-0005-0000-0000-00007FB10000}"/>
    <cellStyle name="Output 3 3 2 3 3 2" xfId="45618" xr:uid="{00000000-0005-0000-0000-000080B10000}"/>
    <cellStyle name="Output 3 3 2 3 4" xfId="45619" xr:uid="{00000000-0005-0000-0000-000081B10000}"/>
    <cellStyle name="Output 3 3 2 3 5" xfId="45620" xr:uid="{00000000-0005-0000-0000-000082B10000}"/>
    <cellStyle name="Output 3 3 2 3 6" xfId="45621" xr:uid="{00000000-0005-0000-0000-000083B10000}"/>
    <cellStyle name="Output 3 3 2 4" xfId="45622" xr:uid="{00000000-0005-0000-0000-000084B10000}"/>
    <cellStyle name="Output 3 3 2 4 2" xfId="45623" xr:uid="{00000000-0005-0000-0000-000085B10000}"/>
    <cellStyle name="Output 3 3 2 5" xfId="45624" xr:uid="{00000000-0005-0000-0000-000086B10000}"/>
    <cellStyle name="Output 3 3 2 5 2" xfId="45625" xr:uid="{00000000-0005-0000-0000-000087B10000}"/>
    <cellStyle name="Output 3 3 2 6" xfId="45626" xr:uid="{00000000-0005-0000-0000-000088B10000}"/>
    <cellStyle name="Output 3 3 2 7" xfId="45627" xr:uid="{00000000-0005-0000-0000-000089B10000}"/>
    <cellStyle name="Output 3 3 2 8" xfId="45628" xr:uid="{00000000-0005-0000-0000-00008AB10000}"/>
    <cellStyle name="Output 3 3 3" xfId="45629" xr:uid="{00000000-0005-0000-0000-00008BB10000}"/>
    <cellStyle name="Output 3 3 3 2" xfId="45630" xr:uid="{00000000-0005-0000-0000-00008CB10000}"/>
    <cellStyle name="Output 3 3 3 2 2" xfId="45631" xr:uid="{00000000-0005-0000-0000-00008DB10000}"/>
    <cellStyle name="Output 3 3 3 2 2 2" xfId="45632" xr:uid="{00000000-0005-0000-0000-00008EB10000}"/>
    <cellStyle name="Output 3 3 3 2 3" xfId="45633" xr:uid="{00000000-0005-0000-0000-00008FB10000}"/>
    <cellStyle name="Output 3 3 3 2 3 2" xfId="45634" xr:uid="{00000000-0005-0000-0000-000090B10000}"/>
    <cellStyle name="Output 3 3 3 2 4" xfId="45635" xr:uid="{00000000-0005-0000-0000-000091B10000}"/>
    <cellStyle name="Output 3 3 3 2 5" xfId="45636" xr:uid="{00000000-0005-0000-0000-000092B10000}"/>
    <cellStyle name="Output 3 3 3 2 6" xfId="45637" xr:uid="{00000000-0005-0000-0000-000093B10000}"/>
    <cellStyle name="Output 3 3 3 3" xfId="45638" xr:uid="{00000000-0005-0000-0000-000094B10000}"/>
    <cellStyle name="Output 3 3 3 3 2" xfId="45639" xr:uid="{00000000-0005-0000-0000-000095B10000}"/>
    <cellStyle name="Output 3 3 3 4" xfId="45640" xr:uid="{00000000-0005-0000-0000-000096B10000}"/>
    <cellStyle name="Output 3 3 3 4 2" xfId="45641" xr:uid="{00000000-0005-0000-0000-000097B10000}"/>
    <cellStyle name="Output 3 3 3 5" xfId="45642" xr:uid="{00000000-0005-0000-0000-000098B10000}"/>
    <cellStyle name="Output 3 3 3 6" xfId="45643" xr:uid="{00000000-0005-0000-0000-000099B10000}"/>
    <cellStyle name="Output 3 3 3 7" xfId="45644" xr:uid="{00000000-0005-0000-0000-00009AB10000}"/>
    <cellStyle name="Output 3 3 4" xfId="45645" xr:uid="{00000000-0005-0000-0000-00009BB10000}"/>
    <cellStyle name="Output 3 3 4 2" xfId="45646" xr:uid="{00000000-0005-0000-0000-00009CB10000}"/>
    <cellStyle name="Output 3 3 4 2 2" xfId="45647" xr:uid="{00000000-0005-0000-0000-00009DB10000}"/>
    <cellStyle name="Output 3 3 4 3" xfId="45648" xr:uid="{00000000-0005-0000-0000-00009EB10000}"/>
    <cellStyle name="Output 3 3 4 3 2" xfId="45649" xr:uid="{00000000-0005-0000-0000-00009FB10000}"/>
    <cellStyle name="Output 3 3 4 4" xfId="45650" xr:uid="{00000000-0005-0000-0000-0000A0B10000}"/>
    <cellStyle name="Output 3 3 4 5" xfId="45651" xr:uid="{00000000-0005-0000-0000-0000A1B10000}"/>
    <cellStyle name="Output 3 3 4 6" xfId="45652" xr:uid="{00000000-0005-0000-0000-0000A2B10000}"/>
    <cellStyle name="Output 3 3 5" xfId="45653" xr:uid="{00000000-0005-0000-0000-0000A3B10000}"/>
    <cellStyle name="Output 3 3 5 2" xfId="45654" xr:uid="{00000000-0005-0000-0000-0000A4B10000}"/>
    <cellStyle name="Output 3 3 6" xfId="45655" xr:uid="{00000000-0005-0000-0000-0000A5B10000}"/>
    <cellStyle name="Output 3 3 6 2" xfId="45656" xr:uid="{00000000-0005-0000-0000-0000A6B10000}"/>
    <cellStyle name="Output 3 3 7" xfId="45657" xr:uid="{00000000-0005-0000-0000-0000A7B10000}"/>
    <cellStyle name="Output 3 3 8" xfId="45658" xr:uid="{00000000-0005-0000-0000-0000A8B10000}"/>
    <cellStyle name="Output 3 3 9" xfId="45659" xr:uid="{00000000-0005-0000-0000-0000A9B10000}"/>
    <cellStyle name="Output 3 4" xfId="45660" xr:uid="{00000000-0005-0000-0000-0000AAB10000}"/>
    <cellStyle name="Output 3 4 10" xfId="45661" xr:uid="{00000000-0005-0000-0000-0000ABB10000}"/>
    <cellStyle name="Output 3 4 2" xfId="45662" xr:uid="{00000000-0005-0000-0000-0000ACB10000}"/>
    <cellStyle name="Output 3 4 2 2" xfId="45663" xr:uid="{00000000-0005-0000-0000-0000ADB10000}"/>
    <cellStyle name="Output 3 4 2 2 2" xfId="45664" xr:uid="{00000000-0005-0000-0000-0000AEB10000}"/>
    <cellStyle name="Output 3 4 2 2 2 2" xfId="45665" xr:uid="{00000000-0005-0000-0000-0000AFB10000}"/>
    <cellStyle name="Output 3 4 2 2 2 2 2" xfId="45666" xr:uid="{00000000-0005-0000-0000-0000B0B10000}"/>
    <cellStyle name="Output 3 4 2 2 2 2 2 2" xfId="45667" xr:uid="{00000000-0005-0000-0000-0000B1B10000}"/>
    <cellStyle name="Output 3 4 2 2 2 2 3" xfId="45668" xr:uid="{00000000-0005-0000-0000-0000B2B10000}"/>
    <cellStyle name="Output 3 4 2 2 2 2 3 2" xfId="45669" xr:uid="{00000000-0005-0000-0000-0000B3B10000}"/>
    <cellStyle name="Output 3 4 2 2 2 2 4" xfId="45670" xr:uid="{00000000-0005-0000-0000-0000B4B10000}"/>
    <cellStyle name="Output 3 4 2 2 2 2 5" xfId="45671" xr:uid="{00000000-0005-0000-0000-0000B5B10000}"/>
    <cellStyle name="Output 3 4 2 2 2 2 6" xfId="45672" xr:uid="{00000000-0005-0000-0000-0000B6B10000}"/>
    <cellStyle name="Output 3 4 2 2 2 3" xfId="45673" xr:uid="{00000000-0005-0000-0000-0000B7B10000}"/>
    <cellStyle name="Output 3 4 2 2 2 3 2" xfId="45674" xr:uid="{00000000-0005-0000-0000-0000B8B10000}"/>
    <cellStyle name="Output 3 4 2 2 2 4" xfId="45675" xr:uid="{00000000-0005-0000-0000-0000B9B10000}"/>
    <cellStyle name="Output 3 4 2 2 2 4 2" xfId="45676" xr:uid="{00000000-0005-0000-0000-0000BAB10000}"/>
    <cellStyle name="Output 3 4 2 2 2 5" xfId="45677" xr:uid="{00000000-0005-0000-0000-0000BBB10000}"/>
    <cellStyle name="Output 3 4 2 2 2 6" xfId="45678" xr:uid="{00000000-0005-0000-0000-0000BCB10000}"/>
    <cellStyle name="Output 3 4 2 2 2 7" xfId="45679" xr:uid="{00000000-0005-0000-0000-0000BDB10000}"/>
    <cellStyle name="Output 3 4 2 2 3" xfId="45680" xr:uid="{00000000-0005-0000-0000-0000BEB10000}"/>
    <cellStyle name="Output 3 4 2 2 3 2" xfId="45681" xr:uid="{00000000-0005-0000-0000-0000BFB10000}"/>
    <cellStyle name="Output 3 4 2 2 3 2 2" xfId="45682" xr:uid="{00000000-0005-0000-0000-0000C0B10000}"/>
    <cellStyle name="Output 3 4 2 2 3 3" xfId="45683" xr:uid="{00000000-0005-0000-0000-0000C1B10000}"/>
    <cellStyle name="Output 3 4 2 2 3 3 2" xfId="45684" xr:uid="{00000000-0005-0000-0000-0000C2B10000}"/>
    <cellStyle name="Output 3 4 2 2 3 4" xfId="45685" xr:uid="{00000000-0005-0000-0000-0000C3B10000}"/>
    <cellStyle name="Output 3 4 2 2 3 5" xfId="45686" xr:uid="{00000000-0005-0000-0000-0000C4B10000}"/>
    <cellStyle name="Output 3 4 2 2 3 6" xfId="45687" xr:uid="{00000000-0005-0000-0000-0000C5B10000}"/>
    <cellStyle name="Output 3 4 2 2 4" xfId="45688" xr:uid="{00000000-0005-0000-0000-0000C6B10000}"/>
    <cellStyle name="Output 3 4 2 2 4 2" xfId="45689" xr:uid="{00000000-0005-0000-0000-0000C7B10000}"/>
    <cellStyle name="Output 3 4 2 2 5" xfId="45690" xr:uid="{00000000-0005-0000-0000-0000C8B10000}"/>
    <cellStyle name="Output 3 4 2 2 5 2" xfId="45691" xr:uid="{00000000-0005-0000-0000-0000C9B10000}"/>
    <cellStyle name="Output 3 4 2 2 6" xfId="45692" xr:uid="{00000000-0005-0000-0000-0000CAB10000}"/>
    <cellStyle name="Output 3 4 2 2 7" xfId="45693" xr:uid="{00000000-0005-0000-0000-0000CBB10000}"/>
    <cellStyle name="Output 3 4 2 2 8" xfId="45694" xr:uid="{00000000-0005-0000-0000-0000CCB10000}"/>
    <cellStyle name="Output 3 4 2 3" xfId="45695" xr:uid="{00000000-0005-0000-0000-0000CDB10000}"/>
    <cellStyle name="Output 3 4 2 3 2" xfId="45696" xr:uid="{00000000-0005-0000-0000-0000CEB10000}"/>
    <cellStyle name="Output 3 4 2 3 2 2" xfId="45697" xr:uid="{00000000-0005-0000-0000-0000CFB10000}"/>
    <cellStyle name="Output 3 4 2 3 2 2 2" xfId="45698" xr:uid="{00000000-0005-0000-0000-0000D0B10000}"/>
    <cellStyle name="Output 3 4 2 3 2 3" xfId="45699" xr:uid="{00000000-0005-0000-0000-0000D1B10000}"/>
    <cellStyle name="Output 3 4 2 3 2 3 2" xfId="45700" xr:uid="{00000000-0005-0000-0000-0000D2B10000}"/>
    <cellStyle name="Output 3 4 2 3 2 4" xfId="45701" xr:uid="{00000000-0005-0000-0000-0000D3B10000}"/>
    <cellStyle name="Output 3 4 2 3 2 5" xfId="45702" xr:uid="{00000000-0005-0000-0000-0000D4B10000}"/>
    <cellStyle name="Output 3 4 2 3 2 6" xfId="45703" xr:uid="{00000000-0005-0000-0000-0000D5B10000}"/>
    <cellStyle name="Output 3 4 2 3 3" xfId="45704" xr:uid="{00000000-0005-0000-0000-0000D6B10000}"/>
    <cellStyle name="Output 3 4 2 3 3 2" xfId="45705" xr:uid="{00000000-0005-0000-0000-0000D7B10000}"/>
    <cellStyle name="Output 3 4 2 3 4" xfId="45706" xr:uid="{00000000-0005-0000-0000-0000D8B10000}"/>
    <cellStyle name="Output 3 4 2 3 4 2" xfId="45707" xr:uid="{00000000-0005-0000-0000-0000D9B10000}"/>
    <cellStyle name="Output 3 4 2 3 5" xfId="45708" xr:uid="{00000000-0005-0000-0000-0000DAB10000}"/>
    <cellStyle name="Output 3 4 2 3 6" xfId="45709" xr:uid="{00000000-0005-0000-0000-0000DBB10000}"/>
    <cellStyle name="Output 3 4 2 3 7" xfId="45710" xr:uid="{00000000-0005-0000-0000-0000DCB10000}"/>
    <cellStyle name="Output 3 4 2 4" xfId="45711" xr:uid="{00000000-0005-0000-0000-0000DDB10000}"/>
    <cellStyle name="Output 3 4 2 4 2" xfId="45712" xr:uid="{00000000-0005-0000-0000-0000DEB10000}"/>
    <cellStyle name="Output 3 4 2 4 2 2" xfId="45713" xr:uid="{00000000-0005-0000-0000-0000DFB10000}"/>
    <cellStyle name="Output 3 4 2 4 3" xfId="45714" xr:uid="{00000000-0005-0000-0000-0000E0B10000}"/>
    <cellStyle name="Output 3 4 2 4 3 2" xfId="45715" xr:uid="{00000000-0005-0000-0000-0000E1B10000}"/>
    <cellStyle name="Output 3 4 2 4 4" xfId="45716" xr:uid="{00000000-0005-0000-0000-0000E2B10000}"/>
    <cellStyle name="Output 3 4 2 4 5" xfId="45717" xr:uid="{00000000-0005-0000-0000-0000E3B10000}"/>
    <cellStyle name="Output 3 4 2 4 6" xfId="45718" xr:uid="{00000000-0005-0000-0000-0000E4B10000}"/>
    <cellStyle name="Output 3 4 2 5" xfId="45719" xr:uid="{00000000-0005-0000-0000-0000E5B10000}"/>
    <cellStyle name="Output 3 4 2 5 2" xfId="45720" xr:uid="{00000000-0005-0000-0000-0000E6B10000}"/>
    <cellStyle name="Output 3 4 2 6" xfId="45721" xr:uid="{00000000-0005-0000-0000-0000E7B10000}"/>
    <cellStyle name="Output 3 4 2 6 2" xfId="45722" xr:uid="{00000000-0005-0000-0000-0000E8B10000}"/>
    <cellStyle name="Output 3 4 2 7" xfId="45723" xr:uid="{00000000-0005-0000-0000-0000E9B10000}"/>
    <cellStyle name="Output 3 4 2 8" xfId="45724" xr:uid="{00000000-0005-0000-0000-0000EAB10000}"/>
    <cellStyle name="Output 3 4 2 9" xfId="45725" xr:uid="{00000000-0005-0000-0000-0000EBB10000}"/>
    <cellStyle name="Output 3 4 3" xfId="45726" xr:uid="{00000000-0005-0000-0000-0000ECB10000}"/>
    <cellStyle name="Output 3 4 3 2" xfId="45727" xr:uid="{00000000-0005-0000-0000-0000EDB10000}"/>
    <cellStyle name="Output 3 4 3 2 2" xfId="45728" xr:uid="{00000000-0005-0000-0000-0000EEB10000}"/>
    <cellStyle name="Output 3 4 3 2 2 2" xfId="45729" xr:uid="{00000000-0005-0000-0000-0000EFB10000}"/>
    <cellStyle name="Output 3 4 3 2 2 2 2" xfId="45730" xr:uid="{00000000-0005-0000-0000-0000F0B10000}"/>
    <cellStyle name="Output 3 4 3 2 2 3" xfId="45731" xr:uid="{00000000-0005-0000-0000-0000F1B10000}"/>
    <cellStyle name="Output 3 4 3 2 2 3 2" xfId="45732" xr:uid="{00000000-0005-0000-0000-0000F2B10000}"/>
    <cellStyle name="Output 3 4 3 2 2 4" xfId="45733" xr:uid="{00000000-0005-0000-0000-0000F3B10000}"/>
    <cellStyle name="Output 3 4 3 2 2 5" xfId="45734" xr:uid="{00000000-0005-0000-0000-0000F4B10000}"/>
    <cellStyle name="Output 3 4 3 2 2 6" xfId="45735" xr:uid="{00000000-0005-0000-0000-0000F5B10000}"/>
    <cellStyle name="Output 3 4 3 2 3" xfId="45736" xr:uid="{00000000-0005-0000-0000-0000F6B10000}"/>
    <cellStyle name="Output 3 4 3 2 3 2" xfId="45737" xr:uid="{00000000-0005-0000-0000-0000F7B10000}"/>
    <cellStyle name="Output 3 4 3 2 4" xfId="45738" xr:uid="{00000000-0005-0000-0000-0000F8B10000}"/>
    <cellStyle name="Output 3 4 3 2 4 2" xfId="45739" xr:uid="{00000000-0005-0000-0000-0000F9B10000}"/>
    <cellStyle name="Output 3 4 3 2 5" xfId="45740" xr:uid="{00000000-0005-0000-0000-0000FAB10000}"/>
    <cellStyle name="Output 3 4 3 2 6" xfId="45741" xr:uid="{00000000-0005-0000-0000-0000FBB10000}"/>
    <cellStyle name="Output 3 4 3 2 7" xfId="45742" xr:uid="{00000000-0005-0000-0000-0000FCB10000}"/>
    <cellStyle name="Output 3 4 3 3" xfId="45743" xr:uid="{00000000-0005-0000-0000-0000FDB10000}"/>
    <cellStyle name="Output 3 4 3 3 2" xfId="45744" xr:uid="{00000000-0005-0000-0000-0000FEB10000}"/>
    <cellStyle name="Output 3 4 3 3 2 2" xfId="45745" xr:uid="{00000000-0005-0000-0000-0000FFB10000}"/>
    <cellStyle name="Output 3 4 3 3 3" xfId="45746" xr:uid="{00000000-0005-0000-0000-000000B20000}"/>
    <cellStyle name="Output 3 4 3 3 3 2" xfId="45747" xr:uid="{00000000-0005-0000-0000-000001B20000}"/>
    <cellStyle name="Output 3 4 3 3 4" xfId="45748" xr:uid="{00000000-0005-0000-0000-000002B20000}"/>
    <cellStyle name="Output 3 4 3 3 5" xfId="45749" xr:uid="{00000000-0005-0000-0000-000003B20000}"/>
    <cellStyle name="Output 3 4 3 3 6" xfId="45750" xr:uid="{00000000-0005-0000-0000-000004B20000}"/>
    <cellStyle name="Output 3 4 3 4" xfId="45751" xr:uid="{00000000-0005-0000-0000-000005B20000}"/>
    <cellStyle name="Output 3 4 3 4 2" xfId="45752" xr:uid="{00000000-0005-0000-0000-000006B20000}"/>
    <cellStyle name="Output 3 4 3 5" xfId="45753" xr:uid="{00000000-0005-0000-0000-000007B20000}"/>
    <cellStyle name="Output 3 4 3 5 2" xfId="45754" xr:uid="{00000000-0005-0000-0000-000008B20000}"/>
    <cellStyle name="Output 3 4 3 6" xfId="45755" xr:uid="{00000000-0005-0000-0000-000009B20000}"/>
    <cellStyle name="Output 3 4 3 7" xfId="45756" xr:uid="{00000000-0005-0000-0000-00000AB20000}"/>
    <cellStyle name="Output 3 4 3 8" xfId="45757" xr:uid="{00000000-0005-0000-0000-00000BB20000}"/>
    <cellStyle name="Output 3 4 4" xfId="45758" xr:uid="{00000000-0005-0000-0000-00000CB20000}"/>
    <cellStyle name="Output 3 4 4 2" xfId="45759" xr:uid="{00000000-0005-0000-0000-00000DB20000}"/>
    <cellStyle name="Output 3 4 4 2 2" xfId="45760" xr:uid="{00000000-0005-0000-0000-00000EB20000}"/>
    <cellStyle name="Output 3 4 4 2 2 2" xfId="45761" xr:uid="{00000000-0005-0000-0000-00000FB20000}"/>
    <cellStyle name="Output 3 4 4 2 3" xfId="45762" xr:uid="{00000000-0005-0000-0000-000010B20000}"/>
    <cellStyle name="Output 3 4 4 2 3 2" xfId="45763" xr:uid="{00000000-0005-0000-0000-000011B20000}"/>
    <cellStyle name="Output 3 4 4 2 4" xfId="45764" xr:uid="{00000000-0005-0000-0000-000012B20000}"/>
    <cellStyle name="Output 3 4 4 2 5" xfId="45765" xr:uid="{00000000-0005-0000-0000-000013B20000}"/>
    <cellStyle name="Output 3 4 4 2 6" xfId="45766" xr:uid="{00000000-0005-0000-0000-000014B20000}"/>
    <cellStyle name="Output 3 4 4 3" xfId="45767" xr:uid="{00000000-0005-0000-0000-000015B20000}"/>
    <cellStyle name="Output 3 4 4 3 2" xfId="45768" xr:uid="{00000000-0005-0000-0000-000016B20000}"/>
    <cellStyle name="Output 3 4 4 4" xfId="45769" xr:uid="{00000000-0005-0000-0000-000017B20000}"/>
    <cellStyle name="Output 3 4 4 4 2" xfId="45770" xr:uid="{00000000-0005-0000-0000-000018B20000}"/>
    <cellStyle name="Output 3 4 4 5" xfId="45771" xr:uid="{00000000-0005-0000-0000-000019B20000}"/>
    <cellStyle name="Output 3 4 4 6" xfId="45772" xr:uid="{00000000-0005-0000-0000-00001AB20000}"/>
    <cellStyle name="Output 3 4 4 7" xfId="45773" xr:uid="{00000000-0005-0000-0000-00001BB20000}"/>
    <cellStyle name="Output 3 4 5" xfId="45774" xr:uid="{00000000-0005-0000-0000-00001CB20000}"/>
    <cellStyle name="Output 3 4 5 2" xfId="45775" xr:uid="{00000000-0005-0000-0000-00001DB20000}"/>
    <cellStyle name="Output 3 4 5 2 2" xfId="45776" xr:uid="{00000000-0005-0000-0000-00001EB20000}"/>
    <cellStyle name="Output 3 4 5 3" xfId="45777" xr:uid="{00000000-0005-0000-0000-00001FB20000}"/>
    <cellStyle name="Output 3 4 5 3 2" xfId="45778" xr:uid="{00000000-0005-0000-0000-000020B20000}"/>
    <cellStyle name="Output 3 4 5 4" xfId="45779" xr:uid="{00000000-0005-0000-0000-000021B20000}"/>
    <cellStyle name="Output 3 4 5 5" xfId="45780" xr:uid="{00000000-0005-0000-0000-000022B20000}"/>
    <cellStyle name="Output 3 4 5 6" xfId="45781" xr:uid="{00000000-0005-0000-0000-000023B20000}"/>
    <cellStyle name="Output 3 4 6" xfId="45782" xr:uid="{00000000-0005-0000-0000-000024B20000}"/>
    <cellStyle name="Output 3 4 6 2" xfId="45783" xr:uid="{00000000-0005-0000-0000-000025B20000}"/>
    <cellStyle name="Output 3 4 7" xfId="45784" xr:uid="{00000000-0005-0000-0000-000026B20000}"/>
    <cellStyle name="Output 3 4 7 2" xfId="45785" xr:uid="{00000000-0005-0000-0000-000027B20000}"/>
    <cellStyle name="Output 3 4 8" xfId="45786" xr:uid="{00000000-0005-0000-0000-000028B20000}"/>
    <cellStyle name="Output 3 4 9" xfId="45787" xr:uid="{00000000-0005-0000-0000-000029B20000}"/>
    <cellStyle name="Output 3 5" xfId="45788" xr:uid="{00000000-0005-0000-0000-00002AB20000}"/>
    <cellStyle name="Output 3 5 2" xfId="45789" xr:uid="{00000000-0005-0000-0000-00002BB20000}"/>
    <cellStyle name="Output 3 5 2 2" xfId="45790" xr:uid="{00000000-0005-0000-0000-00002CB20000}"/>
    <cellStyle name="Output 3 5 2 2 2" xfId="45791" xr:uid="{00000000-0005-0000-0000-00002DB20000}"/>
    <cellStyle name="Output 3 5 2 2 2 2" xfId="45792" xr:uid="{00000000-0005-0000-0000-00002EB20000}"/>
    <cellStyle name="Output 3 5 2 2 3" xfId="45793" xr:uid="{00000000-0005-0000-0000-00002FB20000}"/>
    <cellStyle name="Output 3 5 2 2 3 2" xfId="45794" xr:uid="{00000000-0005-0000-0000-000030B20000}"/>
    <cellStyle name="Output 3 5 2 2 4" xfId="45795" xr:uid="{00000000-0005-0000-0000-000031B20000}"/>
    <cellStyle name="Output 3 5 2 2 5" xfId="45796" xr:uid="{00000000-0005-0000-0000-000032B20000}"/>
    <cellStyle name="Output 3 5 2 2 6" xfId="45797" xr:uid="{00000000-0005-0000-0000-000033B20000}"/>
    <cellStyle name="Output 3 5 2 3" xfId="45798" xr:uid="{00000000-0005-0000-0000-000034B20000}"/>
    <cellStyle name="Output 3 5 2 3 2" xfId="45799" xr:uid="{00000000-0005-0000-0000-000035B20000}"/>
    <cellStyle name="Output 3 5 2 4" xfId="45800" xr:uid="{00000000-0005-0000-0000-000036B20000}"/>
    <cellStyle name="Output 3 5 2 4 2" xfId="45801" xr:uid="{00000000-0005-0000-0000-000037B20000}"/>
    <cellStyle name="Output 3 5 2 5" xfId="45802" xr:uid="{00000000-0005-0000-0000-000038B20000}"/>
    <cellStyle name="Output 3 5 2 6" xfId="45803" xr:uid="{00000000-0005-0000-0000-000039B20000}"/>
    <cellStyle name="Output 3 5 2 7" xfId="45804" xr:uid="{00000000-0005-0000-0000-00003AB20000}"/>
    <cellStyle name="Output 3 5 3" xfId="45805" xr:uid="{00000000-0005-0000-0000-00003BB20000}"/>
    <cellStyle name="Output 3 5 3 2" xfId="45806" xr:uid="{00000000-0005-0000-0000-00003CB20000}"/>
    <cellStyle name="Output 3 5 3 2 2" xfId="45807" xr:uid="{00000000-0005-0000-0000-00003DB20000}"/>
    <cellStyle name="Output 3 5 3 3" xfId="45808" xr:uid="{00000000-0005-0000-0000-00003EB20000}"/>
    <cellStyle name="Output 3 5 3 3 2" xfId="45809" xr:uid="{00000000-0005-0000-0000-00003FB20000}"/>
    <cellStyle name="Output 3 5 3 4" xfId="45810" xr:uid="{00000000-0005-0000-0000-000040B20000}"/>
    <cellStyle name="Output 3 5 3 5" xfId="45811" xr:uid="{00000000-0005-0000-0000-000041B20000}"/>
    <cellStyle name="Output 3 5 3 6" xfId="45812" xr:uid="{00000000-0005-0000-0000-000042B20000}"/>
    <cellStyle name="Output 3 5 4" xfId="45813" xr:uid="{00000000-0005-0000-0000-000043B20000}"/>
    <cellStyle name="Output 3 5 4 2" xfId="45814" xr:uid="{00000000-0005-0000-0000-000044B20000}"/>
    <cellStyle name="Output 3 5 5" xfId="45815" xr:uid="{00000000-0005-0000-0000-000045B20000}"/>
    <cellStyle name="Output 3 5 5 2" xfId="45816" xr:uid="{00000000-0005-0000-0000-000046B20000}"/>
    <cellStyle name="Output 3 5 6" xfId="45817" xr:uid="{00000000-0005-0000-0000-000047B20000}"/>
    <cellStyle name="Output 3 5 7" xfId="45818" xr:uid="{00000000-0005-0000-0000-000048B20000}"/>
    <cellStyle name="Output 3 5 8" xfId="45819" xr:uid="{00000000-0005-0000-0000-000049B20000}"/>
    <cellStyle name="Output 3 6" xfId="45820" xr:uid="{00000000-0005-0000-0000-00004AB20000}"/>
    <cellStyle name="Output 3 6 2" xfId="45821" xr:uid="{00000000-0005-0000-0000-00004BB20000}"/>
    <cellStyle name="Output 3 6 2 2" xfId="45822" xr:uid="{00000000-0005-0000-0000-00004CB20000}"/>
    <cellStyle name="Output 3 6 2 2 2" xfId="45823" xr:uid="{00000000-0005-0000-0000-00004DB20000}"/>
    <cellStyle name="Output 3 6 2 3" xfId="45824" xr:uid="{00000000-0005-0000-0000-00004EB20000}"/>
    <cellStyle name="Output 3 6 2 3 2" xfId="45825" xr:uid="{00000000-0005-0000-0000-00004FB20000}"/>
    <cellStyle name="Output 3 6 2 4" xfId="45826" xr:uid="{00000000-0005-0000-0000-000050B20000}"/>
    <cellStyle name="Output 3 6 2 5" xfId="45827" xr:uid="{00000000-0005-0000-0000-000051B20000}"/>
    <cellStyle name="Output 3 6 2 6" xfId="45828" xr:uid="{00000000-0005-0000-0000-000052B20000}"/>
    <cellStyle name="Output 3 6 3" xfId="45829" xr:uid="{00000000-0005-0000-0000-000053B20000}"/>
    <cellStyle name="Output 3 6 3 2" xfId="45830" xr:uid="{00000000-0005-0000-0000-000054B20000}"/>
    <cellStyle name="Output 3 6 4" xfId="45831" xr:uid="{00000000-0005-0000-0000-000055B20000}"/>
    <cellStyle name="Output 3 6 4 2" xfId="45832" xr:uid="{00000000-0005-0000-0000-000056B20000}"/>
    <cellStyle name="Output 3 6 5" xfId="45833" xr:uid="{00000000-0005-0000-0000-000057B20000}"/>
    <cellStyle name="Output 3 6 6" xfId="45834" xr:uid="{00000000-0005-0000-0000-000058B20000}"/>
    <cellStyle name="Output 3 6 7" xfId="45835" xr:uid="{00000000-0005-0000-0000-000059B20000}"/>
    <cellStyle name="Output 3 7" xfId="45836" xr:uid="{00000000-0005-0000-0000-00005AB20000}"/>
    <cellStyle name="Output 3 7 2" xfId="45837" xr:uid="{00000000-0005-0000-0000-00005BB20000}"/>
    <cellStyle name="Output 3 7 2 2" xfId="45838" xr:uid="{00000000-0005-0000-0000-00005CB20000}"/>
    <cellStyle name="Output 3 7 3" xfId="45839" xr:uid="{00000000-0005-0000-0000-00005DB20000}"/>
    <cellStyle name="Output 3 7 3 2" xfId="45840" xr:uid="{00000000-0005-0000-0000-00005EB20000}"/>
    <cellStyle name="Output 3 7 4" xfId="45841" xr:uid="{00000000-0005-0000-0000-00005FB20000}"/>
    <cellStyle name="Output 3 7 5" xfId="45842" xr:uid="{00000000-0005-0000-0000-000060B20000}"/>
    <cellStyle name="Output 3 7 6" xfId="45843" xr:uid="{00000000-0005-0000-0000-000061B20000}"/>
    <cellStyle name="Output 3 8" xfId="45844" xr:uid="{00000000-0005-0000-0000-000062B20000}"/>
    <cellStyle name="Output 3 8 2" xfId="45845" xr:uid="{00000000-0005-0000-0000-000063B20000}"/>
    <cellStyle name="Output 3 9" xfId="45846" xr:uid="{00000000-0005-0000-0000-000064B20000}"/>
    <cellStyle name="Output 3 9 2" xfId="45847" xr:uid="{00000000-0005-0000-0000-000065B20000}"/>
    <cellStyle name="Output 4" xfId="45848" xr:uid="{00000000-0005-0000-0000-000066B20000}"/>
    <cellStyle name="Output 4 10" xfId="45849" xr:uid="{00000000-0005-0000-0000-000067B20000}"/>
    <cellStyle name="Output 4 11" xfId="45850" xr:uid="{00000000-0005-0000-0000-000068B20000}"/>
    <cellStyle name="Output 4 2" xfId="45851" xr:uid="{00000000-0005-0000-0000-000069B20000}"/>
    <cellStyle name="Output 4 2 2" xfId="45852" xr:uid="{00000000-0005-0000-0000-00006AB20000}"/>
    <cellStyle name="Output 4 2 2 2" xfId="45853" xr:uid="{00000000-0005-0000-0000-00006BB20000}"/>
    <cellStyle name="Output 4 2 2 2 2" xfId="45854" xr:uid="{00000000-0005-0000-0000-00006CB20000}"/>
    <cellStyle name="Output 4 2 2 2 2 2" xfId="45855" xr:uid="{00000000-0005-0000-0000-00006DB20000}"/>
    <cellStyle name="Output 4 2 2 2 2 2 2" xfId="45856" xr:uid="{00000000-0005-0000-0000-00006EB20000}"/>
    <cellStyle name="Output 4 2 2 2 2 3" xfId="45857" xr:uid="{00000000-0005-0000-0000-00006FB20000}"/>
    <cellStyle name="Output 4 2 2 2 2 3 2" xfId="45858" xr:uid="{00000000-0005-0000-0000-000070B20000}"/>
    <cellStyle name="Output 4 2 2 2 2 4" xfId="45859" xr:uid="{00000000-0005-0000-0000-000071B20000}"/>
    <cellStyle name="Output 4 2 2 2 2 5" xfId="45860" xr:uid="{00000000-0005-0000-0000-000072B20000}"/>
    <cellStyle name="Output 4 2 2 2 2 6" xfId="45861" xr:uid="{00000000-0005-0000-0000-000073B20000}"/>
    <cellStyle name="Output 4 2 2 2 3" xfId="45862" xr:uid="{00000000-0005-0000-0000-000074B20000}"/>
    <cellStyle name="Output 4 2 2 2 3 2" xfId="45863" xr:uid="{00000000-0005-0000-0000-000075B20000}"/>
    <cellStyle name="Output 4 2 2 2 4" xfId="45864" xr:uid="{00000000-0005-0000-0000-000076B20000}"/>
    <cellStyle name="Output 4 2 2 2 4 2" xfId="45865" xr:uid="{00000000-0005-0000-0000-000077B20000}"/>
    <cellStyle name="Output 4 2 2 2 5" xfId="45866" xr:uid="{00000000-0005-0000-0000-000078B20000}"/>
    <cellStyle name="Output 4 2 2 2 6" xfId="45867" xr:uid="{00000000-0005-0000-0000-000079B20000}"/>
    <cellStyle name="Output 4 2 2 2 7" xfId="45868" xr:uid="{00000000-0005-0000-0000-00007AB20000}"/>
    <cellStyle name="Output 4 2 2 3" xfId="45869" xr:uid="{00000000-0005-0000-0000-00007BB20000}"/>
    <cellStyle name="Output 4 2 2 3 2" xfId="45870" xr:uid="{00000000-0005-0000-0000-00007CB20000}"/>
    <cellStyle name="Output 4 2 2 3 2 2" xfId="45871" xr:uid="{00000000-0005-0000-0000-00007DB20000}"/>
    <cellStyle name="Output 4 2 2 3 3" xfId="45872" xr:uid="{00000000-0005-0000-0000-00007EB20000}"/>
    <cellStyle name="Output 4 2 2 3 3 2" xfId="45873" xr:uid="{00000000-0005-0000-0000-00007FB20000}"/>
    <cellStyle name="Output 4 2 2 3 4" xfId="45874" xr:uid="{00000000-0005-0000-0000-000080B20000}"/>
    <cellStyle name="Output 4 2 2 3 5" xfId="45875" xr:uid="{00000000-0005-0000-0000-000081B20000}"/>
    <cellStyle name="Output 4 2 2 3 6" xfId="45876" xr:uid="{00000000-0005-0000-0000-000082B20000}"/>
    <cellStyle name="Output 4 2 2 4" xfId="45877" xr:uid="{00000000-0005-0000-0000-000083B20000}"/>
    <cellStyle name="Output 4 2 2 4 2" xfId="45878" xr:uid="{00000000-0005-0000-0000-000084B20000}"/>
    <cellStyle name="Output 4 2 2 5" xfId="45879" xr:uid="{00000000-0005-0000-0000-000085B20000}"/>
    <cellStyle name="Output 4 2 2 5 2" xfId="45880" xr:uid="{00000000-0005-0000-0000-000086B20000}"/>
    <cellStyle name="Output 4 2 2 6" xfId="45881" xr:uid="{00000000-0005-0000-0000-000087B20000}"/>
    <cellStyle name="Output 4 2 2 7" xfId="45882" xr:uid="{00000000-0005-0000-0000-000088B20000}"/>
    <cellStyle name="Output 4 2 2 8" xfId="45883" xr:uid="{00000000-0005-0000-0000-000089B20000}"/>
    <cellStyle name="Output 4 2 3" xfId="45884" xr:uid="{00000000-0005-0000-0000-00008AB20000}"/>
    <cellStyle name="Output 4 2 3 2" xfId="45885" xr:uid="{00000000-0005-0000-0000-00008BB20000}"/>
    <cellStyle name="Output 4 2 3 2 2" xfId="45886" xr:uid="{00000000-0005-0000-0000-00008CB20000}"/>
    <cellStyle name="Output 4 2 3 2 2 2" xfId="45887" xr:uid="{00000000-0005-0000-0000-00008DB20000}"/>
    <cellStyle name="Output 4 2 3 2 3" xfId="45888" xr:uid="{00000000-0005-0000-0000-00008EB20000}"/>
    <cellStyle name="Output 4 2 3 2 3 2" xfId="45889" xr:uid="{00000000-0005-0000-0000-00008FB20000}"/>
    <cellStyle name="Output 4 2 3 2 4" xfId="45890" xr:uid="{00000000-0005-0000-0000-000090B20000}"/>
    <cellStyle name="Output 4 2 3 2 5" xfId="45891" xr:uid="{00000000-0005-0000-0000-000091B20000}"/>
    <cellStyle name="Output 4 2 3 2 6" xfId="45892" xr:uid="{00000000-0005-0000-0000-000092B20000}"/>
    <cellStyle name="Output 4 2 3 3" xfId="45893" xr:uid="{00000000-0005-0000-0000-000093B20000}"/>
    <cellStyle name="Output 4 2 3 3 2" xfId="45894" xr:uid="{00000000-0005-0000-0000-000094B20000}"/>
    <cellStyle name="Output 4 2 3 4" xfId="45895" xr:uid="{00000000-0005-0000-0000-000095B20000}"/>
    <cellStyle name="Output 4 2 3 4 2" xfId="45896" xr:uid="{00000000-0005-0000-0000-000096B20000}"/>
    <cellStyle name="Output 4 2 3 5" xfId="45897" xr:uid="{00000000-0005-0000-0000-000097B20000}"/>
    <cellStyle name="Output 4 2 3 6" xfId="45898" xr:uid="{00000000-0005-0000-0000-000098B20000}"/>
    <cellStyle name="Output 4 2 3 7" xfId="45899" xr:uid="{00000000-0005-0000-0000-000099B20000}"/>
    <cellStyle name="Output 4 2 4" xfId="45900" xr:uid="{00000000-0005-0000-0000-00009AB20000}"/>
    <cellStyle name="Output 4 2 4 2" xfId="45901" xr:uid="{00000000-0005-0000-0000-00009BB20000}"/>
    <cellStyle name="Output 4 2 4 2 2" xfId="45902" xr:uid="{00000000-0005-0000-0000-00009CB20000}"/>
    <cellStyle name="Output 4 2 4 3" xfId="45903" xr:uid="{00000000-0005-0000-0000-00009DB20000}"/>
    <cellStyle name="Output 4 2 4 3 2" xfId="45904" xr:uid="{00000000-0005-0000-0000-00009EB20000}"/>
    <cellStyle name="Output 4 2 4 4" xfId="45905" xr:uid="{00000000-0005-0000-0000-00009FB20000}"/>
    <cellStyle name="Output 4 2 4 5" xfId="45906" xr:uid="{00000000-0005-0000-0000-0000A0B20000}"/>
    <cellStyle name="Output 4 2 4 6" xfId="45907" xr:uid="{00000000-0005-0000-0000-0000A1B20000}"/>
    <cellStyle name="Output 4 2 5" xfId="45908" xr:uid="{00000000-0005-0000-0000-0000A2B20000}"/>
    <cellStyle name="Output 4 2 5 2" xfId="45909" xr:uid="{00000000-0005-0000-0000-0000A3B20000}"/>
    <cellStyle name="Output 4 2 6" xfId="45910" xr:uid="{00000000-0005-0000-0000-0000A4B20000}"/>
    <cellStyle name="Output 4 2 6 2" xfId="45911" xr:uid="{00000000-0005-0000-0000-0000A5B20000}"/>
    <cellStyle name="Output 4 2 7" xfId="45912" xr:uid="{00000000-0005-0000-0000-0000A6B20000}"/>
    <cellStyle name="Output 4 2 8" xfId="45913" xr:uid="{00000000-0005-0000-0000-0000A7B20000}"/>
    <cellStyle name="Output 4 2 9" xfId="45914" xr:uid="{00000000-0005-0000-0000-0000A8B20000}"/>
    <cellStyle name="Output 4 3" xfId="45915" xr:uid="{00000000-0005-0000-0000-0000A9B20000}"/>
    <cellStyle name="Output 4 3 10" xfId="45916" xr:uid="{00000000-0005-0000-0000-0000AAB20000}"/>
    <cellStyle name="Output 4 3 2" xfId="45917" xr:uid="{00000000-0005-0000-0000-0000ABB20000}"/>
    <cellStyle name="Output 4 3 2 2" xfId="45918" xr:uid="{00000000-0005-0000-0000-0000ACB20000}"/>
    <cellStyle name="Output 4 3 2 2 2" xfId="45919" xr:uid="{00000000-0005-0000-0000-0000ADB20000}"/>
    <cellStyle name="Output 4 3 2 2 2 2" xfId="45920" xr:uid="{00000000-0005-0000-0000-0000AEB20000}"/>
    <cellStyle name="Output 4 3 2 2 2 2 2" xfId="45921" xr:uid="{00000000-0005-0000-0000-0000AFB20000}"/>
    <cellStyle name="Output 4 3 2 2 2 2 2 2" xfId="45922" xr:uid="{00000000-0005-0000-0000-0000B0B20000}"/>
    <cellStyle name="Output 4 3 2 2 2 2 3" xfId="45923" xr:uid="{00000000-0005-0000-0000-0000B1B20000}"/>
    <cellStyle name="Output 4 3 2 2 2 2 3 2" xfId="45924" xr:uid="{00000000-0005-0000-0000-0000B2B20000}"/>
    <cellStyle name="Output 4 3 2 2 2 2 4" xfId="45925" xr:uid="{00000000-0005-0000-0000-0000B3B20000}"/>
    <cellStyle name="Output 4 3 2 2 2 2 5" xfId="45926" xr:uid="{00000000-0005-0000-0000-0000B4B20000}"/>
    <cellStyle name="Output 4 3 2 2 2 2 6" xfId="45927" xr:uid="{00000000-0005-0000-0000-0000B5B20000}"/>
    <cellStyle name="Output 4 3 2 2 2 3" xfId="45928" xr:uid="{00000000-0005-0000-0000-0000B6B20000}"/>
    <cellStyle name="Output 4 3 2 2 2 3 2" xfId="45929" xr:uid="{00000000-0005-0000-0000-0000B7B20000}"/>
    <cellStyle name="Output 4 3 2 2 2 4" xfId="45930" xr:uid="{00000000-0005-0000-0000-0000B8B20000}"/>
    <cellStyle name="Output 4 3 2 2 2 4 2" xfId="45931" xr:uid="{00000000-0005-0000-0000-0000B9B20000}"/>
    <cellStyle name="Output 4 3 2 2 2 5" xfId="45932" xr:uid="{00000000-0005-0000-0000-0000BAB20000}"/>
    <cellStyle name="Output 4 3 2 2 2 6" xfId="45933" xr:uid="{00000000-0005-0000-0000-0000BBB20000}"/>
    <cellStyle name="Output 4 3 2 2 2 7" xfId="45934" xr:uid="{00000000-0005-0000-0000-0000BCB20000}"/>
    <cellStyle name="Output 4 3 2 2 3" xfId="45935" xr:uid="{00000000-0005-0000-0000-0000BDB20000}"/>
    <cellStyle name="Output 4 3 2 2 3 2" xfId="45936" xr:uid="{00000000-0005-0000-0000-0000BEB20000}"/>
    <cellStyle name="Output 4 3 2 2 3 2 2" xfId="45937" xr:uid="{00000000-0005-0000-0000-0000BFB20000}"/>
    <cellStyle name="Output 4 3 2 2 3 3" xfId="45938" xr:uid="{00000000-0005-0000-0000-0000C0B20000}"/>
    <cellStyle name="Output 4 3 2 2 3 3 2" xfId="45939" xr:uid="{00000000-0005-0000-0000-0000C1B20000}"/>
    <cellStyle name="Output 4 3 2 2 3 4" xfId="45940" xr:uid="{00000000-0005-0000-0000-0000C2B20000}"/>
    <cellStyle name="Output 4 3 2 2 3 5" xfId="45941" xr:uid="{00000000-0005-0000-0000-0000C3B20000}"/>
    <cellStyle name="Output 4 3 2 2 3 6" xfId="45942" xr:uid="{00000000-0005-0000-0000-0000C4B20000}"/>
    <cellStyle name="Output 4 3 2 2 4" xfId="45943" xr:uid="{00000000-0005-0000-0000-0000C5B20000}"/>
    <cellStyle name="Output 4 3 2 2 4 2" xfId="45944" xr:uid="{00000000-0005-0000-0000-0000C6B20000}"/>
    <cellStyle name="Output 4 3 2 2 5" xfId="45945" xr:uid="{00000000-0005-0000-0000-0000C7B20000}"/>
    <cellStyle name="Output 4 3 2 2 5 2" xfId="45946" xr:uid="{00000000-0005-0000-0000-0000C8B20000}"/>
    <cellStyle name="Output 4 3 2 2 6" xfId="45947" xr:uid="{00000000-0005-0000-0000-0000C9B20000}"/>
    <cellStyle name="Output 4 3 2 2 7" xfId="45948" xr:uid="{00000000-0005-0000-0000-0000CAB20000}"/>
    <cellStyle name="Output 4 3 2 2 8" xfId="45949" xr:uid="{00000000-0005-0000-0000-0000CBB20000}"/>
    <cellStyle name="Output 4 3 2 3" xfId="45950" xr:uid="{00000000-0005-0000-0000-0000CCB20000}"/>
    <cellStyle name="Output 4 3 2 3 2" xfId="45951" xr:uid="{00000000-0005-0000-0000-0000CDB20000}"/>
    <cellStyle name="Output 4 3 2 3 2 2" xfId="45952" xr:uid="{00000000-0005-0000-0000-0000CEB20000}"/>
    <cellStyle name="Output 4 3 2 3 2 2 2" xfId="45953" xr:uid="{00000000-0005-0000-0000-0000CFB20000}"/>
    <cellStyle name="Output 4 3 2 3 2 3" xfId="45954" xr:uid="{00000000-0005-0000-0000-0000D0B20000}"/>
    <cellStyle name="Output 4 3 2 3 2 3 2" xfId="45955" xr:uid="{00000000-0005-0000-0000-0000D1B20000}"/>
    <cellStyle name="Output 4 3 2 3 2 4" xfId="45956" xr:uid="{00000000-0005-0000-0000-0000D2B20000}"/>
    <cellStyle name="Output 4 3 2 3 2 5" xfId="45957" xr:uid="{00000000-0005-0000-0000-0000D3B20000}"/>
    <cellStyle name="Output 4 3 2 3 2 6" xfId="45958" xr:uid="{00000000-0005-0000-0000-0000D4B20000}"/>
    <cellStyle name="Output 4 3 2 3 3" xfId="45959" xr:uid="{00000000-0005-0000-0000-0000D5B20000}"/>
    <cellStyle name="Output 4 3 2 3 3 2" xfId="45960" xr:uid="{00000000-0005-0000-0000-0000D6B20000}"/>
    <cellStyle name="Output 4 3 2 3 4" xfId="45961" xr:uid="{00000000-0005-0000-0000-0000D7B20000}"/>
    <cellStyle name="Output 4 3 2 3 4 2" xfId="45962" xr:uid="{00000000-0005-0000-0000-0000D8B20000}"/>
    <cellStyle name="Output 4 3 2 3 5" xfId="45963" xr:uid="{00000000-0005-0000-0000-0000D9B20000}"/>
    <cellStyle name="Output 4 3 2 3 6" xfId="45964" xr:uid="{00000000-0005-0000-0000-0000DAB20000}"/>
    <cellStyle name="Output 4 3 2 3 7" xfId="45965" xr:uid="{00000000-0005-0000-0000-0000DBB20000}"/>
    <cellStyle name="Output 4 3 2 4" xfId="45966" xr:uid="{00000000-0005-0000-0000-0000DCB20000}"/>
    <cellStyle name="Output 4 3 2 4 2" xfId="45967" xr:uid="{00000000-0005-0000-0000-0000DDB20000}"/>
    <cellStyle name="Output 4 3 2 4 2 2" xfId="45968" xr:uid="{00000000-0005-0000-0000-0000DEB20000}"/>
    <cellStyle name="Output 4 3 2 4 3" xfId="45969" xr:uid="{00000000-0005-0000-0000-0000DFB20000}"/>
    <cellStyle name="Output 4 3 2 4 3 2" xfId="45970" xr:uid="{00000000-0005-0000-0000-0000E0B20000}"/>
    <cellStyle name="Output 4 3 2 4 4" xfId="45971" xr:uid="{00000000-0005-0000-0000-0000E1B20000}"/>
    <cellStyle name="Output 4 3 2 4 5" xfId="45972" xr:uid="{00000000-0005-0000-0000-0000E2B20000}"/>
    <cellStyle name="Output 4 3 2 4 6" xfId="45973" xr:uid="{00000000-0005-0000-0000-0000E3B20000}"/>
    <cellStyle name="Output 4 3 2 5" xfId="45974" xr:uid="{00000000-0005-0000-0000-0000E4B20000}"/>
    <cellStyle name="Output 4 3 2 5 2" xfId="45975" xr:uid="{00000000-0005-0000-0000-0000E5B20000}"/>
    <cellStyle name="Output 4 3 2 6" xfId="45976" xr:uid="{00000000-0005-0000-0000-0000E6B20000}"/>
    <cellStyle name="Output 4 3 2 6 2" xfId="45977" xr:uid="{00000000-0005-0000-0000-0000E7B20000}"/>
    <cellStyle name="Output 4 3 2 7" xfId="45978" xr:uid="{00000000-0005-0000-0000-0000E8B20000}"/>
    <cellStyle name="Output 4 3 2 8" xfId="45979" xr:uid="{00000000-0005-0000-0000-0000E9B20000}"/>
    <cellStyle name="Output 4 3 2 9" xfId="45980" xr:uid="{00000000-0005-0000-0000-0000EAB20000}"/>
    <cellStyle name="Output 4 3 3" xfId="45981" xr:uid="{00000000-0005-0000-0000-0000EBB20000}"/>
    <cellStyle name="Output 4 3 3 2" xfId="45982" xr:uid="{00000000-0005-0000-0000-0000ECB20000}"/>
    <cellStyle name="Output 4 3 3 2 2" xfId="45983" xr:uid="{00000000-0005-0000-0000-0000EDB20000}"/>
    <cellStyle name="Output 4 3 3 2 2 2" xfId="45984" xr:uid="{00000000-0005-0000-0000-0000EEB20000}"/>
    <cellStyle name="Output 4 3 3 2 2 2 2" xfId="45985" xr:uid="{00000000-0005-0000-0000-0000EFB20000}"/>
    <cellStyle name="Output 4 3 3 2 2 3" xfId="45986" xr:uid="{00000000-0005-0000-0000-0000F0B20000}"/>
    <cellStyle name="Output 4 3 3 2 2 3 2" xfId="45987" xr:uid="{00000000-0005-0000-0000-0000F1B20000}"/>
    <cellStyle name="Output 4 3 3 2 2 4" xfId="45988" xr:uid="{00000000-0005-0000-0000-0000F2B20000}"/>
    <cellStyle name="Output 4 3 3 2 2 5" xfId="45989" xr:uid="{00000000-0005-0000-0000-0000F3B20000}"/>
    <cellStyle name="Output 4 3 3 2 2 6" xfId="45990" xr:uid="{00000000-0005-0000-0000-0000F4B20000}"/>
    <cellStyle name="Output 4 3 3 2 3" xfId="45991" xr:uid="{00000000-0005-0000-0000-0000F5B20000}"/>
    <cellStyle name="Output 4 3 3 2 3 2" xfId="45992" xr:uid="{00000000-0005-0000-0000-0000F6B20000}"/>
    <cellStyle name="Output 4 3 3 2 4" xfId="45993" xr:uid="{00000000-0005-0000-0000-0000F7B20000}"/>
    <cellStyle name="Output 4 3 3 2 4 2" xfId="45994" xr:uid="{00000000-0005-0000-0000-0000F8B20000}"/>
    <cellStyle name="Output 4 3 3 2 5" xfId="45995" xr:uid="{00000000-0005-0000-0000-0000F9B20000}"/>
    <cellStyle name="Output 4 3 3 2 6" xfId="45996" xr:uid="{00000000-0005-0000-0000-0000FAB20000}"/>
    <cellStyle name="Output 4 3 3 2 7" xfId="45997" xr:uid="{00000000-0005-0000-0000-0000FBB20000}"/>
    <cellStyle name="Output 4 3 3 3" xfId="45998" xr:uid="{00000000-0005-0000-0000-0000FCB20000}"/>
    <cellStyle name="Output 4 3 3 3 2" xfId="45999" xr:uid="{00000000-0005-0000-0000-0000FDB20000}"/>
    <cellStyle name="Output 4 3 3 3 2 2" xfId="46000" xr:uid="{00000000-0005-0000-0000-0000FEB20000}"/>
    <cellStyle name="Output 4 3 3 3 3" xfId="46001" xr:uid="{00000000-0005-0000-0000-0000FFB20000}"/>
    <cellStyle name="Output 4 3 3 3 3 2" xfId="46002" xr:uid="{00000000-0005-0000-0000-000000B30000}"/>
    <cellStyle name="Output 4 3 3 3 4" xfId="46003" xr:uid="{00000000-0005-0000-0000-000001B30000}"/>
    <cellStyle name="Output 4 3 3 3 5" xfId="46004" xr:uid="{00000000-0005-0000-0000-000002B30000}"/>
    <cellStyle name="Output 4 3 3 3 6" xfId="46005" xr:uid="{00000000-0005-0000-0000-000003B30000}"/>
    <cellStyle name="Output 4 3 3 4" xfId="46006" xr:uid="{00000000-0005-0000-0000-000004B30000}"/>
    <cellStyle name="Output 4 3 3 4 2" xfId="46007" xr:uid="{00000000-0005-0000-0000-000005B30000}"/>
    <cellStyle name="Output 4 3 3 5" xfId="46008" xr:uid="{00000000-0005-0000-0000-000006B30000}"/>
    <cellStyle name="Output 4 3 3 5 2" xfId="46009" xr:uid="{00000000-0005-0000-0000-000007B30000}"/>
    <cellStyle name="Output 4 3 3 6" xfId="46010" xr:uid="{00000000-0005-0000-0000-000008B30000}"/>
    <cellStyle name="Output 4 3 3 7" xfId="46011" xr:uid="{00000000-0005-0000-0000-000009B30000}"/>
    <cellStyle name="Output 4 3 3 8" xfId="46012" xr:uid="{00000000-0005-0000-0000-00000AB30000}"/>
    <cellStyle name="Output 4 3 4" xfId="46013" xr:uid="{00000000-0005-0000-0000-00000BB30000}"/>
    <cellStyle name="Output 4 3 4 2" xfId="46014" xr:uid="{00000000-0005-0000-0000-00000CB30000}"/>
    <cellStyle name="Output 4 3 4 2 2" xfId="46015" xr:uid="{00000000-0005-0000-0000-00000DB30000}"/>
    <cellStyle name="Output 4 3 4 2 2 2" xfId="46016" xr:uid="{00000000-0005-0000-0000-00000EB30000}"/>
    <cellStyle name="Output 4 3 4 2 3" xfId="46017" xr:uid="{00000000-0005-0000-0000-00000FB30000}"/>
    <cellStyle name="Output 4 3 4 2 3 2" xfId="46018" xr:uid="{00000000-0005-0000-0000-000010B30000}"/>
    <cellStyle name="Output 4 3 4 2 4" xfId="46019" xr:uid="{00000000-0005-0000-0000-000011B30000}"/>
    <cellStyle name="Output 4 3 4 2 5" xfId="46020" xr:uid="{00000000-0005-0000-0000-000012B30000}"/>
    <cellStyle name="Output 4 3 4 2 6" xfId="46021" xr:uid="{00000000-0005-0000-0000-000013B30000}"/>
    <cellStyle name="Output 4 3 4 3" xfId="46022" xr:uid="{00000000-0005-0000-0000-000014B30000}"/>
    <cellStyle name="Output 4 3 4 3 2" xfId="46023" xr:uid="{00000000-0005-0000-0000-000015B30000}"/>
    <cellStyle name="Output 4 3 4 4" xfId="46024" xr:uid="{00000000-0005-0000-0000-000016B30000}"/>
    <cellStyle name="Output 4 3 4 4 2" xfId="46025" xr:uid="{00000000-0005-0000-0000-000017B30000}"/>
    <cellStyle name="Output 4 3 4 5" xfId="46026" xr:uid="{00000000-0005-0000-0000-000018B30000}"/>
    <cellStyle name="Output 4 3 4 6" xfId="46027" xr:uid="{00000000-0005-0000-0000-000019B30000}"/>
    <cellStyle name="Output 4 3 4 7" xfId="46028" xr:uid="{00000000-0005-0000-0000-00001AB30000}"/>
    <cellStyle name="Output 4 3 5" xfId="46029" xr:uid="{00000000-0005-0000-0000-00001BB30000}"/>
    <cellStyle name="Output 4 3 5 2" xfId="46030" xr:uid="{00000000-0005-0000-0000-00001CB30000}"/>
    <cellStyle name="Output 4 3 5 2 2" xfId="46031" xr:uid="{00000000-0005-0000-0000-00001DB30000}"/>
    <cellStyle name="Output 4 3 5 3" xfId="46032" xr:uid="{00000000-0005-0000-0000-00001EB30000}"/>
    <cellStyle name="Output 4 3 5 3 2" xfId="46033" xr:uid="{00000000-0005-0000-0000-00001FB30000}"/>
    <cellStyle name="Output 4 3 5 4" xfId="46034" xr:uid="{00000000-0005-0000-0000-000020B30000}"/>
    <cellStyle name="Output 4 3 5 5" xfId="46035" xr:uid="{00000000-0005-0000-0000-000021B30000}"/>
    <cellStyle name="Output 4 3 5 6" xfId="46036" xr:uid="{00000000-0005-0000-0000-000022B30000}"/>
    <cellStyle name="Output 4 3 6" xfId="46037" xr:uid="{00000000-0005-0000-0000-000023B30000}"/>
    <cellStyle name="Output 4 3 6 2" xfId="46038" xr:uid="{00000000-0005-0000-0000-000024B30000}"/>
    <cellStyle name="Output 4 3 7" xfId="46039" xr:uid="{00000000-0005-0000-0000-000025B30000}"/>
    <cellStyle name="Output 4 3 7 2" xfId="46040" xr:uid="{00000000-0005-0000-0000-000026B30000}"/>
    <cellStyle name="Output 4 3 8" xfId="46041" xr:uid="{00000000-0005-0000-0000-000027B30000}"/>
    <cellStyle name="Output 4 3 9" xfId="46042" xr:uid="{00000000-0005-0000-0000-000028B30000}"/>
    <cellStyle name="Output 4 4" xfId="46043" xr:uid="{00000000-0005-0000-0000-000029B30000}"/>
    <cellStyle name="Output 4 4 2" xfId="46044" xr:uid="{00000000-0005-0000-0000-00002AB30000}"/>
    <cellStyle name="Output 4 4 2 2" xfId="46045" xr:uid="{00000000-0005-0000-0000-00002BB30000}"/>
    <cellStyle name="Output 4 4 2 2 2" xfId="46046" xr:uid="{00000000-0005-0000-0000-00002CB30000}"/>
    <cellStyle name="Output 4 4 2 2 2 2" xfId="46047" xr:uid="{00000000-0005-0000-0000-00002DB30000}"/>
    <cellStyle name="Output 4 4 2 2 3" xfId="46048" xr:uid="{00000000-0005-0000-0000-00002EB30000}"/>
    <cellStyle name="Output 4 4 2 2 3 2" xfId="46049" xr:uid="{00000000-0005-0000-0000-00002FB30000}"/>
    <cellStyle name="Output 4 4 2 2 4" xfId="46050" xr:uid="{00000000-0005-0000-0000-000030B30000}"/>
    <cellStyle name="Output 4 4 2 2 5" xfId="46051" xr:uid="{00000000-0005-0000-0000-000031B30000}"/>
    <cellStyle name="Output 4 4 2 2 6" xfId="46052" xr:uid="{00000000-0005-0000-0000-000032B30000}"/>
    <cellStyle name="Output 4 4 2 3" xfId="46053" xr:uid="{00000000-0005-0000-0000-000033B30000}"/>
    <cellStyle name="Output 4 4 2 3 2" xfId="46054" xr:uid="{00000000-0005-0000-0000-000034B30000}"/>
    <cellStyle name="Output 4 4 2 4" xfId="46055" xr:uid="{00000000-0005-0000-0000-000035B30000}"/>
    <cellStyle name="Output 4 4 2 4 2" xfId="46056" xr:uid="{00000000-0005-0000-0000-000036B30000}"/>
    <cellStyle name="Output 4 4 2 5" xfId="46057" xr:uid="{00000000-0005-0000-0000-000037B30000}"/>
    <cellStyle name="Output 4 4 2 6" xfId="46058" xr:uid="{00000000-0005-0000-0000-000038B30000}"/>
    <cellStyle name="Output 4 4 2 7" xfId="46059" xr:uid="{00000000-0005-0000-0000-000039B30000}"/>
    <cellStyle name="Output 4 4 3" xfId="46060" xr:uid="{00000000-0005-0000-0000-00003AB30000}"/>
    <cellStyle name="Output 4 4 3 2" xfId="46061" xr:uid="{00000000-0005-0000-0000-00003BB30000}"/>
    <cellStyle name="Output 4 4 3 2 2" xfId="46062" xr:uid="{00000000-0005-0000-0000-00003CB30000}"/>
    <cellStyle name="Output 4 4 3 3" xfId="46063" xr:uid="{00000000-0005-0000-0000-00003DB30000}"/>
    <cellStyle name="Output 4 4 3 3 2" xfId="46064" xr:uid="{00000000-0005-0000-0000-00003EB30000}"/>
    <cellStyle name="Output 4 4 3 4" xfId="46065" xr:uid="{00000000-0005-0000-0000-00003FB30000}"/>
    <cellStyle name="Output 4 4 3 5" xfId="46066" xr:uid="{00000000-0005-0000-0000-000040B30000}"/>
    <cellStyle name="Output 4 4 3 6" xfId="46067" xr:uid="{00000000-0005-0000-0000-000041B30000}"/>
    <cellStyle name="Output 4 4 4" xfId="46068" xr:uid="{00000000-0005-0000-0000-000042B30000}"/>
    <cellStyle name="Output 4 4 4 2" xfId="46069" xr:uid="{00000000-0005-0000-0000-000043B30000}"/>
    <cellStyle name="Output 4 4 5" xfId="46070" xr:uid="{00000000-0005-0000-0000-000044B30000}"/>
    <cellStyle name="Output 4 4 5 2" xfId="46071" xr:uid="{00000000-0005-0000-0000-000045B30000}"/>
    <cellStyle name="Output 4 4 6" xfId="46072" xr:uid="{00000000-0005-0000-0000-000046B30000}"/>
    <cellStyle name="Output 4 4 7" xfId="46073" xr:uid="{00000000-0005-0000-0000-000047B30000}"/>
    <cellStyle name="Output 4 4 8" xfId="46074" xr:uid="{00000000-0005-0000-0000-000048B30000}"/>
    <cellStyle name="Output 4 5" xfId="46075" xr:uid="{00000000-0005-0000-0000-000049B30000}"/>
    <cellStyle name="Output 4 5 2" xfId="46076" xr:uid="{00000000-0005-0000-0000-00004AB30000}"/>
    <cellStyle name="Output 4 5 2 2" xfId="46077" xr:uid="{00000000-0005-0000-0000-00004BB30000}"/>
    <cellStyle name="Output 4 5 2 2 2" xfId="46078" xr:uid="{00000000-0005-0000-0000-00004CB30000}"/>
    <cellStyle name="Output 4 5 2 3" xfId="46079" xr:uid="{00000000-0005-0000-0000-00004DB30000}"/>
    <cellStyle name="Output 4 5 2 3 2" xfId="46080" xr:uid="{00000000-0005-0000-0000-00004EB30000}"/>
    <cellStyle name="Output 4 5 2 4" xfId="46081" xr:uid="{00000000-0005-0000-0000-00004FB30000}"/>
    <cellStyle name="Output 4 5 2 5" xfId="46082" xr:uid="{00000000-0005-0000-0000-000050B30000}"/>
    <cellStyle name="Output 4 5 2 6" xfId="46083" xr:uid="{00000000-0005-0000-0000-000051B30000}"/>
    <cellStyle name="Output 4 5 3" xfId="46084" xr:uid="{00000000-0005-0000-0000-000052B30000}"/>
    <cellStyle name="Output 4 5 3 2" xfId="46085" xr:uid="{00000000-0005-0000-0000-000053B30000}"/>
    <cellStyle name="Output 4 5 4" xfId="46086" xr:uid="{00000000-0005-0000-0000-000054B30000}"/>
    <cellStyle name="Output 4 5 4 2" xfId="46087" xr:uid="{00000000-0005-0000-0000-000055B30000}"/>
    <cellStyle name="Output 4 5 5" xfId="46088" xr:uid="{00000000-0005-0000-0000-000056B30000}"/>
    <cellStyle name="Output 4 5 6" xfId="46089" xr:uid="{00000000-0005-0000-0000-000057B30000}"/>
    <cellStyle name="Output 4 5 7" xfId="46090" xr:uid="{00000000-0005-0000-0000-000058B30000}"/>
    <cellStyle name="Output 4 6" xfId="46091" xr:uid="{00000000-0005-0000-0000-000059B30000}"/>
    <cellStyle name="Output 4 6 2" xfId="46092" xr:uid="{00000000-0005-0000-0000-00005AB30000}"/>
    <cellStyle name="Output 4 6 2 2" xfId="46093" xr:uid="{00000000-0005-0000-0000-00005BB30000}"/>
    <cellStyle name="Output 4 6 3" xfId="46094" xr:uid="{00000000-0005-0000-0000-00005CB30000}"/>
    <cellStyle name="Output 4 6 3 2" xfId="46095" xr:uid="{00000000-0005-0000-0000-00005DB30000}"/>
    <cellStyle name="Output 4 6 4" xfId="46096" xr:uid="{00000000-0005-0000-0000-00005EB30000}"/>
    <cellStyle name="Output 4 6 5" xfId="46097" xr:uid="{00000000-0005-0000-0000-00005FB30000}"/>
    <cellStyle name="Output 4 6 6" xfId="46098" xr:uid="{00000000-0005-0000-0000-000060B30000}"/>
    <cellStyle name="Output 4 7" xfId="46099" xr:uid="{00000000-0005-0000-0000-000061B30000}"/>
    <cellStyle name="Output 4 7 2" xfId="46100" xr:uid="{00000000-0005-0000-0000-000062B30000}"/>
    <cellStyle name="Output 4 8" xfId="46101" xr:uid="{00000000-0005-0000-0000-000063B30000}"/>
    <cellStyle name="Output 4 8 2" xfId="46102" xr:uid="{00000000-0005-0000-0000-000064B30000}"/>
    <cellStyle name="Output 4 9" xfId="46103" xr:uid="{00000000-0005-0000-0000-000065B30000}"/>
    <cellStyle name="Output 5" xfId="46104" xr:uid="{00000000-0005-0000-0000-000066B30000}"/>
    <cellStyle name="Output 5 10" xfId="46105" xr:uid="{00000000-0005-0000-0000-000067B30000}"/>
    <cellStyle name="Output 5 2" xfId="46106" xr:uid="{00000000-0005-0000-0000-000068B30000}"/>
    <cellStyle name="Output 5 2 2" xfId="46107" xr:uid="{00000000-0005-0000-0000-000069B30000}"/>
    <cellStyle name="Output 5 2 2 2" xfId="46108" xr:uid="{00000000-0005-0000-0000-00006AB30000}"/>
    <cellStyle name="Output 5 2 2 2 2" xfId="46109" xr:uid="{00000000-0005-0000-0000-00006BB30000}"/>
    <cellStyle name="Output 5 2 2 2 2 2" xfId="46110" xr:uid="{00000000-0005-0000-0000-00006CB30000}"/>
    <cellStyle name="Output 5 2 2 2 2 2 2" xfId="46111" xr:uid="{00000000-0005-0000-0000-00006DB30000}"/>
    <cellStyle name="Output 5 2 2 2 2 3" xfId="46112" xr:uid="{00000000-0005-0000-0000-00006EB30000}"/>
    <cellStyle name="Output 5 2 2 2 2 3 2" xfId="46113" xr:uid="{00000000-0005-0000-0000-00006FB30000}"/>
    <cellStyle name="Output 5 2 2 2 2 4" xfId="46114" xr:uid="{00000000-0005-0000-0000-000070B30000}"/>
    <cellStyle name="Output 5 2 2 2 2 5" xfId="46115" xr:uid="{00000000-0005-0000-0000-000071B30000}"/>
    <cellStyle name="Output 5 2 2 2 2 6" xfId="46116" xr:uid="{00000000-0005-0000-0000-000072B30000}"/>
    <cellStyle name="Output 5 2 2 2 3" xfId="46117" xr:uid="{00000000-0005-0000-0000-000073B30000}"/>
    <cellStyle name="Output 5 2 2 2 3 2" xfId="46118" xr:uid="{00000000-0005-0000-0000-000074B30000}"/>
    <cellStyle name="Output 5 2 2 2 4" xfId="46119" xr:uid="{00000000-0005-0000-0000-000075B30000}"/>
    <cellStyle name="Output 5 2 2 2 4 2" xfId="46120" xr:uid="{00000000-0005-0000-0000-000076B30000}"/>
    <cellStyle name="Output 5 2 2 2 5" xfId="46121" xr:uid="{00000000-0005-0000-0000-000077B30000}"/>
    <cellStyle name="Output 5 2 2 2 6" xfId="46122" xr:uid="{00000000-0005-0000-0000-000078B30000}"/>
    <cellStyle name="Output 5 2 2 2 7" xfId="46123" xr:uid="{00000000-0005-0000-0000-000079B30000}"/>
    <cellStyle name="Output 5 2 2 3" xfId="46124" xr:uid="{00000000-0005-0000-0000-00007AB30000}"/>
    <cellStyle name="Output 5 2 2 3 2" xfId="46125" xr:uid="{00000000-0005-0000-0000-00007BB30000}"/>
    <cellStyle name="Output 5 2 2 3 2 2" xfId="46126" xr:uid="{00000000-0005-0000-0000-00007CB30000}"/>
    <cellStyle name="Output 5 2 2 3 3" xfId="46127" xr:uid="{00000000-0005-0000-0000-00007DB30000}"/>
    <cellStyle name="Output 5 2 2 3 3 2" xfId="46128" xr:uid="{00000000-0005-0000-0000-00007EB30000}"/>
    <cellStyle name="Output 5 2 2 3 4" xfId="46129" xr:uid="{00000000-0005-0000-0000-00007FB30000}"/>
    <cellStyle name="Output 5 2 2 3 5" xfId="46130" xr:uid="{00000000-0005-0000-0000-000080B30000}"/>
    <cellStyle name="Output 5 2 2 3 6" xfId="46131" xr:uid="{00000000-0005-0000-0000-000081B30000}"/>
    <cellStyle name="Output 5 2 2 4" xfId="46132" xr:uid="{00000000-0005-0000-0000-000082B30000}"/>
    <cellStyle name="Output 5 2 2 4 2" xfId="46133" xr:uid="{00000000-0005-0000-0000-000083B30000}"/>
    <cellStyle name="Output 5 2 2 5" xfId="46134" xr:uid="{00000000-0005-0000-0000-000084B30000}"/>
    <cellStyle name="Output 5 2 2 5 2" xfId="46135" xr:uid="{00000000-0005-0000-0000-000085B30000}"/>
    <cellStyle name="Output 5 2 2 6" xfId="46136" xr:uid="{00000000-0005-0000-0000-000086B30000}"/>
    <cellStyle name="Output 5 2 2 7" xfId="46137" xr:uid="{00000000-0005-0000-0000-000087B30000}"/>
    <cellStyle name="Output 5 2 2 8" xfId="46138" xr:uid="{00000000-0005-0000-0000-000088B30000}"/>
    <cellStyle name="Output 5 2 3" xfId="46139" xr:uid="{00000000-0005-0000-0000-000089B30000}"/>
    <cellStyle name="Output 5 2 3 2" xfId="46140" xr:uid="{00000000-0005-0000-0000-00008AB30000}"/>
    <cellStyle name="Output 5 2 3 2 2" xfId="46141" xr:uid="{00000000-0005-0000-0000-00008BB30000}"/>
    <cellStyle name="Output 5 2 3 2 2 2" xfId="46142" xr:uid="{00000000-0005-0000-0000-00008CB30000}"/>
    <cellStyle name="Output 5 2 3 2 3" xfId="46143" xr:uid="{00000000-0005-0000-0000-00008DB30000}"/>
    <cellStyle name="Output 5 2 3 2 3 2" xfId="46144" xr:uid="{00000000-0005-0000-0000-00008EB30000}"/>
    <cellStyle name="Output 5 2 3 2 4" xfId="46145" xr:uid="{00000000-0005-0000-0000-00008FB30000}"/>
    <cellStyle name="Output 5 2 3 2 5" xfId="46146" xr:uid="{00000000-0005-0000-0000-000090B30000}"/>
    <cellStyle name="Output 5 2 3 2 6" xfId="46147" xr:uid="{00000000-0005-0000-0000-000091B30000}"/>
    <cellStyle name="Output 5 2 3 3" xfId="46148" xr:uid="{00000000-0005-0000-0000-000092B30000}"/>
    <cellStyle name="Output 5 2 3 3 2" xfId="46149" xr:uid="{00000000-0005-0000-0000-000093B30000}"/>
    <cellStyle name="Output 5 2 3 4" xfId="46150" xr:uid="{00000000-0005-0000-0000-000094B30000}"/>
    <cellStyle name="Output 5 2 3 4 2" xfId="46151" xr:uid="{00000000-0005-0000-0000-000095B30000}"/>
    <cellStyle name="Output 5 2 3 5" xfId="46152" xr:uid="{00000000-0005-0000-0000-000096B30000}"/>
    <cellStyle name="Output 5 2 3 6" xfId="46153" xr:uid="{00000000-0005-0000-0000-000097B30000}"/>
    <cellStyle name="Output 5 2 3 7" xfId="46154" xr:uid="{00000000-0005-0000-0000-000098B30000}"/>
    <cellStyle name="Output 5 2 4" xfId="46155" xr:uid="{00000000-0005-0000-0000-000099B30000}"/>
    <cellStyle name="Output 5 2 4 2" xfId="46156" xr:uid="{00000000-0005-0000-0000-00009AB30000}"/>
    <cellStyle name="Output 5 2 4 2 2" xfId="46157" xr:uid="{00000000-0005-0000-0000-00009BB30000}"/>
    <cellStyle name="Output 5 2 4 3" xfId="46158" xr:uid="{00000000-0005-0000-0000-00009CB30000}"/>
    <cellStyle name="Output 5 2 4 3 2" xfId="46159" xr:uid="{00000000-0005-0000-0000-00009DB30000}"/>
    <cellStyle name="Output 5 2 4 4" xfId="46160" xr:uid="{00000000-0005-0000-0000-00009EB30000}"/>
    <cellStyle name="Output 5 2 4 5" xfId="46161" xr:uid="{00000000-0005-0000-0000-00009FB30000}"/>
    <cellStyle name="Output 5 2 4 6" xfId="46162" xr:uid="{00000000-0005-0000-0000-0000A0B30000}"/>
    <cellStyle name="Output 5 2 5" xfId="46163" xr:uid="{00000000-0005-0000-0000-0000A1B30000}"/>
    <cellStyle name="Output 5 2 5 2" xfId="46164" xr:uid="{00000000-0005-0000-0000-0000A2B30000}"/>
    <cellStyle name="Output 5 2 6" xfId="46165" xr:uid="{00000000-0005-0000-0000-0000A3B30000}"/>
    <cellStyle name="Output 5 2 6 2" xfId="46166" xr:uid="{00000000-0005-0000-0000-0000A4B30000}"/>
    <cellStyle name="Output 5 2 7" xfId="46167" xr:uid="{00000000-0005-0000-0000-0000A5B30000}"/>
    <cellStyle name="Output 5 2 8" xfId="46168" xr:uid="{00000000-0005-0000-0000-0000A6B30000}"/>
    <cellStyle name="Output 5 2 9" xfId="46169" xr:uid="{00000000-0005-0000-0000-0000A7B30000}"/>
    <cellStyle name="Output 5 3" xfId="46170" xr:uid="{00000000-0005-0000-0000-0000A8B30000}"/>
    <cellStyle name="Output 5 3 2" xfId="46171" xr:uid="{00000000-0005-0000-0000-0000A9B30000}"/>
    <cellStyle name="Output 5 3 2 2" xfId="46172" xr:uid="{00000000-0005-0000-0000-0000AAB30000}"/>
    <cellStyle name="Output 5 3 2 2 2" xfId="46173" xr:uid="{00000000-0005-0000-0000-0000ABB30000}"/>
    <cellStyle name="Output 5 3 2 2 2 2" xfId="46174" xr:uid="{00000000-0005-0000-0000-0000ACB30000}"/>
    <cellStyle name="Output 5 3 2 2 3" xfId="46175" xr:uid="{00000000-0005-0000-0000-0000ADB30000}"/>
    <cellStyle name="Output 5 3 2 2 3 2" xfId="46176" xr:uid="{00000000-0005-0000-0000-0000AEB30000}"/>
    <cellStyle name="Output 5 3 2 2 4" xfId="46177" xr:uid="{00000000-0005-0000-0000-0000AFB30000}"/>
    <cellStyle name="Output 5 3 2 2 5" xfId="46178" xr:uid="{00000000-0005-0000-0000-0000B0B30000}"/>
    <cellStyle name="Output 5 3 2 2 6" xfId="46179" xr:uid="{00000000-0005-0000-0000-0000B1B30000}"/>
    <cellStyle name="Output 5 3 2 3" xfId="46180" xr:uid="{00000000-0005-0000-0000-0000B2B30000}"/>
    <cellStyle name="Output 5 3 2 3 2" xfId="46181" xr:uid="{00000000-0005-0000-0000-0000B3B30000}"/>
    <cellStyle name="Output 5 3 2 4" xfId="46182" xr:uid="{00000000-0005-0000-0000-0000B4B30000}"/>
    <cellStyle name="Output 5 3 2 4 2" xfId="46183" xr:uid="{00000000-0005-0000-0000-0000B5B30000}"/>
    <cellStyle name="Output 5 3 2 5" xfId="46184" xr:uid="{00000000-0005-0000-0000-0000B6B30000}"/>
    <cellStyle name="Output 5 3 2 6" xfId="46185" xr:uid="{00000000-0005-0000-0000-0000B7B30000}"/>
    <cellStyle name="Output 5 3 2 7" xfId="46186" xr:uid="{00000000-0005-0000-0000-0000B8B30000}"/>
    <cellStyle name="Output 5 3 3" xfId="46187" xr:uid="{00000000-0005-0000-0000-0000B9B30000}"/>
    <cellStyle name="Output 5 3 3 2" xfId="46188" xr:uid="{00000000-0005-0000-0000-0000BAB30000}"/>
    <cellStyle name="Output 5 3 3 2 2" xfId="46189" xr:uid="{00000000-0005-0000-0000-0000BBB30000}"/>
    <cellStyle name="Output 5 3 3 3" xfId="46190" xr:uid="{00000000-0005-0000-0000-0000BCB30000}"/>
    <cellStyle name="Output 5 3 3 3 2" xfId="46191" xr:uid="{00000000-0005-0000-0000-0000BDB30000}"/>
    <cellStyle name="Output 5 3 3 4" xfId="46192" xr:uid="{00000000-0005-0000-0000-0000BEB30000}"/>
    <cellStyle name="Output 5 3 3 5" xfId="46193" xr:uid="{00000000-0005-0000-0000-0000BFB30000}"/>
    <cellStyle name="Output 5 3 3 6" xfId="46194" xr:uid="{00000000-0005-0000-0000-0000C0B30000}"/>
    <cellStyle name="Output 5 3 4" xfId="46195" xr:uid="{00000000-0005-0000-0000-0000C1B30000}"/>
    <cellStyle name="Output 5 3 4 2" xfId="46196" xr:uid="{00000000-0005-0000-0000-0000C2B30000}"/>
    <cellStyle name="Output 5 3 5" xfId="46197" xr:uid="{00000000-0005-0000-0000-0000C3B30000}"/>
    <cellStyle name="Output 5 3 5 2" xfId="46198" xr:uid="{00000000-0005-0000-0000-0000C4B30000}"/>
    <cellStyle name="Output 5 3 6" xfId="46199" xr:uid="{00000000-0005-0000-0000-0000C5B30000}"/>
    <cellStyle name="Output 5 3 7" xfId="46200" xr:uid="{00000000-0005-0000-0000-0000C6B30000}"/>
    <cellStyle name="Output 5 3 8" xfId="46201" xr:uid="{00000000-0005-0000-0000-0000C7B30000}"/>
    <cellStyle name="Output 5 4" xfId="46202" xr:uid="{00000000-0005-0000-0000-0000C8B30000}"/>
    <cellStyle name="Output 5 4 2" xfId="46203" xr:uid="{00000000-0005-0000-0000-0000C9B30000}"/>
    <cellStyle name="Output 5 4 2 2" xfId="46204" xr:uid="{00000000-0005-0000-0000-0000CAB30000}"/>
    <cellStyle name="Output 5 4 2 2 2" xfId="46205" xr:uid="{00000000-0005-0000-0000-0000CBB30000}"/>
    <cellStyle name="Output 5 4 2 3" xfId="46206" xr:uid="{00000000-0005-0000-0000-0000CCB30000}"/>
    <cellStyle name="Output 5 4 2 3 2" xfId="46207" xr:uid="{00000000-0005-0000-0000-0000CDB30000}"/>
    <cellStyle name="Output 5 4 2 4" xfId="46208" xr:uid="{00000000-0005-0000-0000-0000CEB30000}"/>
    <cellStyle name="Output 5 4 2 5" xfId="46209" xr:uid="{00000000-0005-0000-0000-0000CFB30000}"/>
    <cellStyle name="Output 5 4 2 6" xfId="46210" xr:uid="{00000000-0005-0000-0000-0000D0B30000}"/>
    <cellStyle name="Output 5 4 3" xfId="46211" xr:uid="{00000000-0005-0000-0000-0000D1B30000}"/>
    <cellStyle name="Output 5 4 3 2" xfId="46212" xr:uid="{00000000-0005-0000-0000-0000D2B30000}"/>
    <cellStyle name="Output 5 4 4" xfId="46213" xr:uid="{00000000-0005-0000-0000-0000D3B30000}"/>
    <cellStyle name="Output 5 4 4 2" xfId="46214" xr:uid="{00000000-0005-0000-0000-0000D4B30000}"/>
    <cellStyle name="Output 5 4 5" xfId="46215" xr:uid="{00000000-0005-0000-0000-0000D5B30000}"/>
    <cellStyle name="Output 5 4 6" xfId="46216" xr:uid="{00000000-0005-0000-0000-0000D6B30000}"/>
    <cellStyle name="Output 5 4 7" xfId="46217" xr:uid="{00000000-0005-0000-0000-0000D7B30000}"/>
    <cellStyle name="Output 5 5" xfId="46218" xr:uid="{00000000-0005-0000-0000-0000D8B30000}"/>
    <cellStyle name="Output 5 5 2" xfId="46219" xr:uid="{00000000-0005-0000-0000-0000D9B30000}"/>
    <cellStyle name="Output 5 5 2 2" xfId="46220" xr:uid="{00000000-0005-0000-0000-0000DAB30000}"/>
    <cellStyle name="Output 5 5 3" xfId="46221" xr:uid="{00000000-0005-0000-0000-0000DBB30000}"/>
    <cellStyle name="Output 5 5 3 2" xfId="46222" xr:uid="{00000000-0005-0000-0000-0000DCB30000}"/>
    <cellStyle name="Output 5 5 4" xfId="46223" xr:uid="{00000000-0005-0000-0000-0000DDB30000}"/>
    <cellStyle name="Output 5 5 5" xfId="46224" xr:uid="{00000000-0005-0000-0000-0000DEB30000}"/>
    <cellStyle name="Output 5 5 6" xfId="46225" xr:uid="{00000000-0005-0000-0000-0000DFB30000}"/>
    <cellStyle name="Output 5 6" xfId="46226" xr:uid="{00000000-0005-0000-0000-0000E0B30000}"/>
    <cellStyle name="Output 5 6 2" xfId="46227" xr:uid="{00000000-0005-0000-0000-0000E1B30000}"/>
    <cellStyle name="Output 5 7" xfId="46228" xr:uid="{00000000-0005-0000-0000-0000E2B30000}"/>
    <cellStyle name="Output 5 7 2" xfId="46229" xr:uid="{00000000-0005-0000-0000-0000E3B30000}"/>
    <cellStyle name="Output 5 8" xfId="46230" xr:uid="{00000000-0005-0000-0000-0000E4B30000}"/>
    <cellStyle name="Output 5 9" xfId="46231" xr:uid="{00000000-0005-0000-0000-0000E5B30000}"/>
    <cellStyle name="Output 6" xfId="46232" xr:uid="{00000000-0005-0000-0000-0000E6B30000}"/>
    <cellStyle name="Output 6 2" xfId="46233" xr:uid="{00000000-0005-0000-0000-0000E7B30000}"/>
    <cellStyle name="Output 6 2 2" xfId="46234" xr:uid="{00000000-0005-0000-0000-0000E8B30000}"/>
    <cellStyle name="Output 6 2 2 2" xfId="46235" xr:uid="{00000000-0005-0000-0000-0000E9B30000}"/>
    <cellStyle name="Output 6 2 2 2 2" xfId="46236" xr:uid="{00000000-0005-0000-0000-0000EAB30000}"/>
    <cellStyle name="Output 6 2 2 3" xfId="46237" xr:uid="{00000000-0005-0000-0000-0000EBB30000}"/>
    <cellStyle name="Output 6 2 2 3 2" xfId="46238" xr:uid="{00000000-0005-0000-0000-0000ECB30000}"/>
    <cellStyle name="Output 6 2 2 4" xfId="46239" xr:uid="{00000000-0005-0000-0000-0000EDB30000}"/>
    <cellStyle name="Output 6 2 2 5" xfId="46240" xr:uid="{00000000-0005-0000-0000-0000EEB30000}"/>
    <cellStyle name="Output 6 2 2 6" xfId="46241" xr:uid="{00000000-0005-0000-0000-0000EFB30000}"/>
    <cellStyle name="Output 6 2 3" xfId="46242" xr:uid="{00000000-0005-0000-0000-0000F0B30000}"/>
    <cellStyle name="Output 6 2 3 2" xfId="46243" xr:uid="{00000000-0005-0000-0000-0000F1B30000}"/>
    <cellStyle name="Output 6 2 4" xfId="46244" xr:uid="{00000000-0005-0000-0000-0000F2B30000}"/>
    <cellStyle name="Output 6 2 4 2" xfId="46245" xr:uid="{00000000-0005-0000-0000-0000F3B30000}"/>
    <cellStyle name="Output 6 2 5" xfId="46246" xr:uid="{00000000-0005-0000-0000-0000F4B30000}"/>
    <cellStyle name="Output 6 2 6" xfId="46247" xr:uid="{00000000-0005-0000-0000-0000F5B30000}"/>
    <cellStyle name="Output 6 2 7" xfId="46248" xr:uid="{00000000-0005-0000-0000-0000F6B30000}"/>
    <cellStyle name="Output 6 3" xfId="46249" xr:uid="{00000000-0005-0000-0000-0000F7B30000}"/>
    <cellStyle name="Output 6 3 2" xfId="46250" xr:uid="{00000000-0005-0000-0000-0000F8B30000}"/>
    <cellStyle name="Output 6 3 2 2" xfId="46251" xr:uid="{00000000-0005-0000-0000-0000F9B30000}"/>
    <cellStyle name="Output 6 3 3" xfId="46252" xr:uid="{00000000-0005-0000-0000-0000FAB30000}"/>
    <cellStyle name="Output 6 3 3 2" xfId="46253" xr:uid="{00000000-0005-0000-0000-0000FBB30000}"/>
    <cellStyle name="Output 6 3 4" xfId="46254" xr:uid="{00000000-0005-0000-0000-0000FCB30000}"/>
    <cellStyle name="Output 6 3 5" xfId="46255" xr:uid="{00000000-0005-0000-0000-0000FDB30000}"/>
    <cellStyle name="Output 6 3 6" xfId="46256" xr:uid="{00000000-0005-0000-0000-0000FEB30000}"/>
    <cellStyle name="Output 6 4" xfId="46257" xr:uid="{00000000-0005-0000-0000-0000FFB30000}"/>
    <cellStyle name="Output 6 4 2" xfId="46258" xr:uid="{00000000-0005-0000-0000-000000B40000}"/>
    <cellStyle name="Output 6 5" xfId="46259" xr:uid="{00000000-0005-0000-0000-000001B40000}"/>
    <cellStyle name="Output 6 5 2" xfId="46260" xr:uid="{00000000-0005-0000-0000-000002B40000}"/>
    <cellStyle name="Output 6 6" xfId="46261" xr:uid="{00000000-0005-0000-0000-000003B40000}"/>
    <cellStyle name="Output 6 7" xfId="46262" xr:uid="{00000000-0005-0000-0000-000004B40000}"/>
    <cellStyle name="Output 6 8" xfId="46263" xr:uid="{00000000-0005-0000-0000-000005B40000}"/>
    <cellStyle name="Output 7" xfId="46264" xr:uid="{00000000-0005-0000-0000-000006B40000}"/>
    <cellStyle name="Output 7 2" xfId="46265" xr:uid="{00000000-0005-0000-0000-000007B40000}"/>
    <cellStyle name="Output 7 2 2" xfId="46266" xr:uid="{00000000-0005-0000-0000-000008B40000}"/>
    <cellStyle name="Output 7 2 2 2" xfId="46267" xr:uid="{00000000-0005-0000-0000-000009B40000}"/>
    <cellStyle name="Output 7 2 3" xfId="46268" xr:uid="{00000000-0005-0000-0000-00000AB40000}"/>
    <cellStyle name="Output 7 2 3 2" xfId="46269" xr:uid="{00000000-0005-0000-0000-00000BB40000}"/>
    <cellStyle name="Output 7 2 4" xfId="46270" xr:uid="{00000000-0005-0000-0000-00000CB40000}"/>
    <cellStyle name="Output 7 2 5" xfId="46271" xr:uid="{00000000-0005-0000-0000-00000DB40000}"/>
    <cellStyle name="Output 7 2 6" xfId="46272" xr:uid="{00000000-0005-0000-0000-00000EB40000}"/>
    <cellStyle name="Output 7 3" xfId="46273" xr:uid="{00000000-0005-0000-0000-00000FB40000}"/>
    <cellStyle name="Output 7 3 2" xfId="46274" xr:uid="{00000000-0005-0000-0000-000010B40000}"/>
    <cellStyle name="Output 7 4" xfId="46275" xr:uid="{00000000-0005-0000-0000-000011B40000}"/>
    <cellStyle name="Output 7 4 2" xfId="46276" xr:uid="{00000000-0005-0000-0000-000012B40000}"/>
    <cellStyle name="Output 7 5" xfId="46277" xr:uid="{00000000-0005-0000-0000-000013B40000}"/>
    <cellStyle name="Output 7 6" xfId="46278" xr:uid="{00000000-0005-0000-0000-000014B40000}"/>
    <cellStyle name="Output 7 7" xfId="46279" xr:uid="{00000000-0005-0000-0000-000015B40000}"/>
    <cellStyle name="Output 8" xfId="46280" xr:uid="{00000000-0005-0000-0000-000016B40000}"/>
    <cellStyle name="Output 8 2" xfId="46281" xr:uid="{00000000-0005-0000-0000-000017B40000}"/>
    <cellStyle name="Output 9" xfId="46282" xr:uid="{00000000-0005-0000-0000-000018B40000}"/>
    <cellStyle name="Output 9 2" xfId="46283" xr:uid="{00000000-0005-0000-0000-000019B40000}"/>
    <cellStyle name="Percent" xfId="122" xr:uid="{00000000-0005-0000-0000-00001AB40000}"/>
    <cellStyle name="Percent [2]" xfId="123" xr:uid="{00000000-0005-0000-0000-00001BB40000}"/>
    <cellStyle name="Percent [2] 2" xfId="46284" xr:uid="{00000000-0005-0000-0000-00001CB40000}"/>
    <cellStyle name="Percent [2] 3" xfId="46285" xr:uid="{00000000-0005-0000-0000-00001DB40000}"/>
    <cellStyle name="Percent [2] 4" xfId="46286" xr:uid="{00000000-0005-0000-0000-00001EB40000}"/>
    <cellStyle name="Percent [2] 5" xfId="46287" xr:uid="{00000000-0005-0000-0000-00001FB40000}"/>
    <cellStyle name="Percent 2" xfId="124" xr:uid="{00000000-0005-0000-0000-000020B40000}"/>
    <cellStyle name="Percent 2 2" xfId="125" xr:uid="{00000000-0005-0000-0000-000021B40000}"/>
    <cellStyle name="Percent 2 2 10" xfId="126" xr:uid="{00000000-0005-0000-0000-000022B40000}"/>
    <cellStyle name="Percent 2 2 11" xfId="127" xr:uid="{00000000-0005-0000-0000-000023B40000}"/>
    <cellStyle name="Percent 2 2 12" xfId="128" xr:uid="{00000000-0005-0000-0000-000024B40000}"/>
    <cellStyle name="Percent 2 2 13" xfId="129" xr:uid="{00000000-0005-0000-0000-000025B40000}"/>
    <cellStyle name="Percent 2 2 14" xfId="130" xr:uid="{00000000-0005-0000-0000-000026B40000}"/>
    <cellStyle name="Percent 2 2 15" xfId="131" xr:uid="{00000000-0005-0000-0000-000027B40000}"/>
    <cellStyle name="Percent 2 2 16" xfId="132" xr:uid="{00000000-0005-0000-0000-000028B40000}"/>
    <cellStyle name="Percent 2 2 17" xfId="133" xr:uid="{00000000-0005-0000-0000-000029B40000}"/>
    <cellStyle name="Percent 2 2 18" xfId="134" xr:uid="{00000000-0005-0000-0000-00002AB40000}"/>
    <cellStyle name="Percent 2 2 19" xfId="135" xr:uid="{00000000-0005-0000-0000-00002BB40000}"/>
    <cellStyle name="Percent 2 2 2" xfId="136" xr:uid="{00000000-0005-0000-0000-00002CB40000}"/>
    <cellStyle name="Percent 2 2 20" xfId="137" xr:uid="{00000000-0005-0000-0000-00002DB40000}"/>
    <cellStyle name="Percent 2 2 21" xfId="138" xr:uid="{00000000-0005-0000-0000-00002EB40000}"/>
    <cellStyle name="Percent 2 2 22" xfId="139" xr:uid="{00000000-0005-0000-0000-00002FB40000}"/>
    <cellStyle name="Percent 2 2 23" xfId="140" xr:uid="{00000000-0005-0000-0000-000030B40000}"/>
    <cellStyle name="Percent 2 2 24" xfId="141" xr:uid="{00000000-0005-0000-0000-000031B40000}"/>
    <cellStyle name="Percent 2 2 25" xfId="301" xr:uid="{00000000-0005-0000-0000-000032B40000}"/>
    <cellStyle name="Percent 2 2 3" xfId="142" xr:uid="{00000000-0005-0000-0000-000033B40000}"/>
    <cellStyle name="Percent 2 2 4" xfId="143" xr:uid="{00000000-0005-0000-0000-000034B40000}"/>
    <cellStyle name="Percent 2 2 5" xfId="144" xr:uid="{00000000-0005-0000-0000-000035B40000}"/>
    <cellStyle name="Percent 2 2 6" xfId="145" xr:uid="{00000000-0005-0000-0000-000036B40000}"/>
    <cellStyle name="Percent 2 2 7" xfId="146" xr:uid="{00000000-0005-0000-0000-000037B40000}"/>
    <cellStyle name="Percent 2 2 8" xfId="147" xr:uid="{00000000-0005-0000-0000-000038B40000}"/>
    <cellStyle name="Percent 2 2 9" xfId="148" xr:uid="{00000000-0005-0000-0000-000039B40000}"/>
    <cellStyle name="Percent 3" xfId="46288" xr:uid="{00000000-0005-0000-0000-00003AB40000}"/>
    <cellStyle name="Percent 4" xfId="46289" xr:uid="{00000000-0005-0000-0000-00003BB40000}"/>
    <cellStyle name="Percent 5" xfId="46290" xr:uid="{00000000-0005-0000-0000-00003CB40000}"/>
    <cellStyle name="Percent 6" xfId="46291" xr:uid="{00000000-0005-0000-0000-00003DB40000}"/>
    <cellStyle name="Percent 7" xfId="46292" xr:uid="{00000000-0005-0000-0000-00003EB40000}"/>
    <cellStyle name="Percent 8" xfId="46293" xr:uid="{00000000-0005-0000-0000-00003FB40000}"/>
    <cellStyle name="Percent 9" xfId="46294" xr:uid="{00000000-0005-0000-0000-000040B40000}"/>
    <cellStyle name="Percent_05-Z01-SHH Desuperheater" xfId="46295" xr:uid="{00000000-0005-0000-0000-000041B40000}"/>
    <cellStyle name="req" xfId="46296" xr:uid="{00000000-0005-0000-0000-000042B40000}"/>
    <cellStyle name="req 10" xfId="46297" xr:uid="{00000000-0005-0000-0000-000043B40000}"/>
    <cellStyle name="req 2" xfId="46298" xr:uid="{00000000-0005-0000-0000-000044B40000}"/>
    <cellStyle name="req 2 10" xfId="46299" xr:uid="{00000000-0005-0000-0000-000045B40000}"/>
    <cellStyle name="req 2 10 2" xfId="46300" xr:uid="{00000000-0005-0000-0000-000046B40000}"/>
    <cellStyle name="req 2 11" xfId="46301" xr:uid="{00000000-0005-0000-0000-000047B40000}"/>
    <cellStyle name="req 2 11 2" xfId="46302" xr:uid="{00000000-0005-0000-0000-000048B40000}"/>
    <cellStyle name="req 2 12" xfId="46303" xr:uid="{00000000-0005-0000-0000-000049B40000}"/>
    <cellStyle name="req 2 13" xfId="46304" xr:uid="{00000000-0005-0000-0000-00004AB40000}"/>
    <cellStyle name="req 2 2" xfId="46305" xr:uid="{00000000-0005-0000-0000-00004BB40000}"/>
    <cellStyle name="req 2 2 10" xfId="46306" xr:uid="{00000000-0005-0000-0000-00004CB40000}"/>
    <cellStyle name="req 2 2 10 2" xfId="46307" xr:uid="{00000000-0005-0000-0000-00004DB40000}"/>
    <cellStyle name="req 2 2 11" xfId="46308" xr:uid="{00000000-0005-0000-0000-00004EB40000}"/>
    <cellStyle name="req 2 2 11 2" xfId="46309" xr:uid="{00000000-0005-0000-0000-00004FB40000}"/>
    <cellStyle name="req 2 2 12" xfId="46310" xr:uid="{00000000-0005-0000-0000-000050B40000}"/>
    <cellStyle name="req 2 2 13" xfId="46311" xr:uid="{00000000-0005-0000-0000-000051B40000}"/>
    <cellStyle name="req 2 2 2" xfId="46312" xr:uid="{00000000-0005-0000-0000-000052B40000}"/>
    <cellStyle name="req 2 2 2 2" xfId="46313" xr:uid="{00000000-0005-0000-0000-000053B40000}"/>
    <cellStyle name="req 2 2 2 2 2" xfId="46314" xr:uid="{00000000-0005-0000-0000-000054B40000}"/>
    <cellStyle name="req 2 2 2 2 2 2" xfId="46315" xr:uid="{00000000-0005-0000-0000-000055B40000}"/>
    <cellStyle name="req 2 2 2 2 2 2 2" xfId="46316" xr:uid="{00000000-0005-0000-0000-000056B40000}"/>
    <cellStyle name="req 2 2 2 2 2 2 2 2" xfId="46317" xr:uid="{00000000-0005-0000-0000-000057B40000}"/>
    <cellStyle name="req 2 2 2 2 2 2 2 2 2" xfId="46318" xr:uid="{00000000-0005-0000-0000-000058B40000}"/>
    <cellStyle name="req 2 2 2 2 2 2 2 3" xfId="46319" xr:uid="{00000000-0005-0000-0000-000059B40000}"/>
    <cellStyle name="req 2 2 2 2 2 2 2 3 2" xfId="46320" xr:uid="{00000000-0005-0000-0000-00005AB40000}"/>
    <cellStyle name="req 2 2 2 2 2 2 2 4" xfId="46321" xr:uid="{00000000-0005-0000-0000-00005BB40000}"/>
    <cellStyle name="req 2 2 2 2 2 2 2 5" xfId="46322" xr:uid="{00000000-0005-0000-0000-00005CB40000}"/>
    <cellStyle name="req 2 2 2 2 2 2 3" xfId="46323" xr:uid="{00000000-0005-0000-0000-00005DB40000}"/>
    <cellStyle name="req 2 2 2 2 2 2 3 2" xfId="46324" xr:uid="{00000000-0005-0000-0000-00005EB40000}"/>
    <cellStyle name="req 2 2 2 2 2 2 4" xfId="46325" xr:uid="{00000000-0005-0000-0000-00005FB40000}"/>
    <cellStyle name="req 2 2 2 2 2 2 4 2" xfId="46326" xr:uid="{00000000-0005-0000-0000-000060B40000}"/>
    <cellStyle name="req 2 2 2 2 2 2 5" xfId="46327" xr:uid="{00000000-0005-0000-0000-000061B40000}"/>
    <cellStyle name="req 2 2 2 2 2 2 6" xfId="46328" xr:uid="{00000000-0005-0000-0000-000062B40000}"/>
    <cellStyle name="req 2 2 2 2 2 3" xfId="46329" xr:uid="{00000000-0005-0000-0000-000063B40000}"/>
    <cellStyle name="req 2 2 2 2 2 3 2" xfId="46330" xr:uid="{00000000-0005-0000-0000-000064B40000}"/>
    <cellStyle name="req 2 2 2 2 2 3 2 2" xfId="46331" xr:uid="{00000000-0005-0000-0000-000065B40000}"/>
    <cellStyle name="req 2 2 2 2 2 3 3" xfId="46332" xr:uid="{00000000-0005-0000-0000-000066B40000}"/>
    <cellStyle name="req 2 2 2 2 2 3 3 2" xfId="46333" xr:uid="{00000000-0005-0000-0000-000067B40000}"/>
    <cellStyle name="req 2 2 2 2 2 3 4" xfId="46334" xr:uid="{00000000-0005-0000-0000-000068B40000}"/>
    <cellStyle name="req 2 2 2 2 2 3 5" xfId="46335" xr:uid="{00000000-0005-0000-0000-000069B40000}"/>
    <cellStyle name="req 2 2 2 2 2 4" xfId="46336" xr:uid="{00000000-0005-0000-0000-00006AB40000}"/>
    <cellStyle name="req 2 2 2 2 2 4 2" xfId="46337" xr:uid="{00000000-0005-0000-0000-00006BB40000}"/>
    <cellStyle name="req 2 2 2 2 2 5" xfId="46338" xr:uid="{00000000-0005-0000-0000-00006CB40000}"/>
    <cellStyle name="req 2 2 2 2 2 5 2" xfId="46339" xr:uid="{00000000-0005-0000-0000-00006DB40000}"/>
    <cellStyle name="req 2 2 2 2 2 6" xfId="46340" xr:uid="{00000000-0005-0000-0000-00006EB40000}"/>
    <cellStyle name="req 2 2 2 2 2 7" xfId="46341" xr:uid="{00000000-0005-0000-0000-00006FB40000}"/>
    <cellStyle name="req 2 2 2 2 3" xfId="46342" xr:uid="{00000000-0005-0000-0000-000070B40000}"/>
    <cellStyle name="req 2 2 2 2 3 2" xfId="46343" xr:uid="{00000000-0005-0000-0000-000071B40000}"/>
    <cellStyle name="req 2 2 2 2 3 2 2" xfId="46344" xr:uid="{00000000-0005-0000-0000-000072B40000}"/>
    <cellStyle name="req 2 2 2 2 3 2 2 2" xfId="46345" xr:uid="{00000000-0005-0000-0000-000073B40000}"/>
    <cellStyle name="req 2 2 2 2 3 2 3" xfId="46346" xr:uid="{00000000-0005-0000-0000-000074B40000}"/>
    <cellStyle name="req 2 2 2 2 3 2 3 2" xfId="46347" xr:uid="{00000000-0005-0000-0000-000075B40000}"/>
    <cellStyle name="req 2 2 2 2 3 2 4" xfId="46348" xr:uid="{00000000-0005-0000-0000-000076B40000}"/>
    <cellStyle name="req 2 2 2 2 3 2 5" xfId="46349" xr:uid="{00000000-0005-0000-0000-000077B40000}"/>
    <cellStyle name="req 2 2 2 2 3 3" xfId="46350" xr:uid="{00000000-0005-0000-0000-000078B40000}"/>
    <cellStyle name="req 2 2 2 2 3 3 2" xfId="46351" xr:uid="{00000000-0005-0000-0000-000079B40000}"/>
    <cellStyle name="req 2 2 2 2 3 4" xfId="46352" xr:uid="{00000000-0005-0000-0000-00007AB40000}"/>
    <cellStyle name="req 2 2 2 2 3 4 2" xfId="46353" xr:uid="{00000000-0005-0000-0000-00007BB40000}"/>
    <cellStyle name="req 2 2 2 2 3 5" xfId="46354" xr:uid="{00000000-0005-0000-0000-00007CB40000}"/>
    <cellStyle name="req 2 2 2 2 3 6" xfId="46355" xr:uid="{00000000-0005-0000-0000-00007DB40000}"/>
    <cellStyle name="req 2 2 2 2 4" xfId="46356" xr:uid="{00000000-0005-0000-0000-00007EB40000}"/>
    <cellStyle name="req 2 2 2 2 4 2" xfId="46357" xr:uid="{00000000-0005-0000-0000-00007FB40000}"/>
    <cellStyle name="req 2 2 2 2 4 2 2" xfId="46358" xr:uid="{00000000-0005-0000-0000-000080B40000}"/>
    <cellStyle name="req 2 2 2 2 4 3" xfId="46359" xr:uid="{00000000-0005-0000-0000-000081B40000}"/>
    <cellStyle name="req 2 2 2 2 4 3 2" xfId="46360" xr:uid="{00000000-0005-0000-0000-000082B40000}"/>
    <cellStyle name="req 2 2 2 2 4 4" xfId="46361" xr:uid="{00000000-0005-0000-0000-000083B40000}"/>
    <cellStyle name="req 2 2 2 2 4 5" xfId="46362" xr:uid="{00000000-0005-0000-0000-000084B40000}"/>
    <cellStyle name="req 2 2 2 2 5" xfId="46363" xr:uid="{00000000-0005-0000-0000-000085B40000}"/>
    <cellStyle name="req 2 2 2 2 5 2" xfId="46364" xr:uid="{00000000-0005-0000-0000-000086B40000}"/>
    <cellStyle name="req 2 2 2 2 6" xfId="46365" xr:uid="{00000000-0005-0000-0000-000087B40000}"/>
    <cellStyle name="req 2 2 2 2 6 2" xfId="46366" xr:uid="{00000000-0005-0000-0000-000088B40000}"/>
    <cellStyle name="req 2 2 2 2 7" xfId="46367" xr:uid="{00000000-0005-0000-0000-000089B40000}"/>
    <cellStyle name="req 2 2 2 2 8" xfId="46368" xr:uid="{00000000-0005-0000-0000-00008AB40000}"/>
    <cellStyle name="req 2 2 2 3" xfId="46369" xr:uid="{00000000-0005-0000-0000-00008BB40000}"/>
    <cellStyle name="req 2 2 2 3 2" xfId="46370" xr:uid="{00000000-0005-0000-0000-00008CB40000}"/>
    <cellStyle name="req 2 2 2 3 2 2" xfId="46371" xr:uid="{00000000-0005-0000-0000-00008DB40000}"/>
    <cellStyle name="req 2 2 2 3 2 2 2" xfId="46372" xr:uid="{00000000-0005-0000-0000-00008EB40000}"/>
    <cellStyle name="req 2 2 2 3 2 2 2 2" xfId="46373" xr:uid="{00000000-0005-0000-0000-00008FB40000}"/>
    <cellStyle name="req 2 2 2 3 2 2 3" xfId="46374" xr:uid="{00000000-0005-0000-0000-000090B40000}"/>
    <cellStyle name="req 2 2 2 3 2 2 3 2" xfId="46375" xr:uid="{00000000-0005-0000-0000-000091B40000}"/>
    <cellStyle name="req 2 2 2 3 2 2 4" xfId="46376" xr:uid="{00000000-0005-0000-0000-000092B40000}"/>
    <cellStyle name="req 2 2 2 3 2 2 5" xfId="46377" xr:uid="{00000000-0005-0000-0000-000093B40000}"/>
    <cellStyle name="req 2 2 2 3 2 3" xfId="46378" xr:uid="{00000000-0005-0000-0000-000094B40000}"/>
    <cellStyle name="req 2 2 2 3 2 3 2" xfId="46379" xr:uid="{00000000-0005-0000-0000-000095B40000}"/>
    <cellStyle name="req 2 2 2 3 2 4" xfId="46380" xr:uid="{00000000-0005-0000-0000-000096B40000}"/>
    <cellStyle name="req 2 2 2 3 2 4 2" xfId="46381" xr:uid="{00000000-0005-0000-0000-000097B40000}"/>
    <cellStyle name="req 2 2 2 3 2 5" xfId="46382" xr:uid="{00000000-0005-0000-0000-000098B40000}"/>
    <cellStyle name="req 2 2 2 3 2 6" xfId="46383" xr:uid="{00000000-0005-0000-0000-000099B40000}"/>
    <cellStyle name="req 2 2 2 3 3" xfId="46384" xr:uid="{00000000-0005-0000-0000-00009AB40000}"/>
    <cellStyle name="req 2 2 2 3 3 2" xfId="46385" xr:uid="{00000000-0005-0000-0000-00009BB40000}"/>
    <cellStyle name="req 2 2 2 3 3 2 2" xfId="46386" xr:uid="{00000000-0005-0000-0000-00009CB40000}"/>
    <cellStyle name="req 2 2 2 3 3 3" xfId="46387" xr:uid="{00000000-0005-0000-0000-00009DB40000}"/>
    <cellStyle name="req 2 2 2 3 3 3 2" xfId="46388" xr:uid="{00000000-0005-0000-0000-00009EB40000}"/>
    <cellStyle name="req 2 2 2 3 3 4" xfId="46389" xr:uid="{00000000-0005-0000-0000-00009FB40000}"/>
    <cellStyle name="req 2 2 2 3 3 5" xfId="46390" xr:uid="{00000000-0005-0000-0000-0000A0B40000}"/>
    <cellStyle name="req 2 2 2 3 4" xfId="46391" xr:uid="{00000000-0005-0000-0000-0000A1B40000}"/>
    <cellStyle name="req 2 2 2 3 4 2" xfId="46392" xr:uid="{00000000-0005-0000-0000-0000A2B40000}"/>
    <cellStyle name="req 2 2 2 3 5" xfId="46393" xr:uid="{00000000-0005-0000-0000-0000A3B40000}"/>
    <cellStyle name="req 2 2 2 3 5 2" xfId="46394" xr:uid="{00000000-0005-0000-0000-0000A4B40000}"/>
    <cellStyle name="req 2 2 2 3 6" xfId="46395" xr:uid="{00000000-0005-0000-0000-0000A5B40000}"/>
    <cellStyle name="req 2 2 2 3 7" xfId="46396" xr:uid="{00000000-0005-0000-0000-0000A6B40000}"/>
    <cellStyle name="req 2 2 2 4" xfId="46397" xr:uid="{00000000-0005-0000-0000-0000A7B40000}"/>
    <cellStyle name="req 2 2 2 4 2" xfId="46398" xr:uid="{00000000-0005-0000-0000-0000A8B40000}"/>
    <cellStyle name="req 2 2 2 4 2 2" xfId="46399" xr:uid="{00000000-0005-0000-0000-0000A9B40000}"/>
    <cellStyle name="req 2 2 2 4 2 2 2" xfId="46400" xr:uid="{00000000-0005-0000-0000-0000AAB40000}"/>
    <cellStyle name="req 2 2 2 4 2 3" xfId="46401" xr:uid="{00000000-0005-0000-0000-0000ABB40000}"/>
    <cellStyle name="req 2 2 2 4 2 3 2" xfId="46402" xr:uid="{00000000-0005-0000-0000-0000ACB40000}"/>
    <cellStyle name="req 2 2 2 4 2 4" xfId="46403" xr:uid="{00000000-0005-0000-0000-0000ADB40000}"/>
    <cellStyle name="req 2 2 2 4 2 5" xfId="46404" xr:uid="{00000000-0005-0000-0000-0000AEB40000}"/>
    <cellStyle name="req 2 2 2 4 3" xfId="46405" xr:uid="{00000000-0005-0000-0000-0000AFB40000}"/>
    <cellStyle name="req 2 2 2 4 3 2" xfId="46406" xr:uid="{00000000-0005-0000-0000-0000B0B40000}"/>
    <cellStyle name="req 2 2 2 4 4" xfId="46407" xr:uid="{00000000-0005-0000-0000-0000B1B40000}"/>
    <cellStyle name="req 2 2 2 4 4 2" xfId="46408" xr:uid="{00000000-0005-0000-0000-0000B2B40000}"/>
    <cellStyle name="req 2 2 2 4 5" xfId="46409" xr:uid="{00000000-0005-0000-0000-0000B3B40000}"/>
    <cellStyle name="req 2 2 2 4 6" xfId="46410" xr:uid="{00000000-0005-0000-0000-0000B4B40000}"/>
    <cellStyle name="req 2 2 2 5" xfId="46411" xr:uid="{00000000-0005-0000-0000-0000B5B40000}"/>
    <cellStyle name="req 2 2 2 5 2" xfId="46412" xr:uid="{00000000-0005-0000-0000-0000B6B40000}"/>
    <cellStyle name="req 2 2 2 5 2 2" xfId="46413" xr:uid="{00000000-0005-0000-0000-0000B7B40000}"/>
    <cellStyle name="req 2 2 2 5 3" xfId="46414" xr:uid="{00000000-0005-0000-0000-0000B8B40000}"/>
    <cellStyle name="req 2 2 2 5 3 2" xfId="46415" xr:uid="{00000000-0005-0000-0000-0000B9B40000}"/>
    <cellStyle name="req 2 2 2 5 4" xfId="46416" xr:uid="{00000000-0005-0000-0000-0000BAB40000}"/>
    <cellStyle name="req 2 2 2 5 5" xfId="46417" xr:uid="{00000000-0005-0000-0000-0000BBB40000}"/>
    <cellStyle name="req 2 2 2 6" xfId="46418" xr:uid="{00000000-0005-0000-0000-0000BCB40000}"/>
    <cellStyle name="req 2 2 2 6 2" xfId="46419" xr:uid="{00000000-0005-0000-0000-0000BDB40000}"/>
    <cellStyle name="req 2 2 2 7" xfId="46420" xr:uid="{00000000-0005-0000-0000-0000BEB40000}"/>
    <cellStyle name="req 2 2 2 7 2" xfId="46421" xr:uid="{00000000-0005-0000-0000-0000BFB40000}"/>
    <cellStyle name="req 2 2 2 8" xfId="46422" xr:uid="{00000000-0005-0000-0000-0000C0B40000}"/>
    <cellStyle name="req 2 2 2 9" xfId="46423" xr:uid="{00000000-0005-0000-0000-0000C1B40000}"/>
    <cellStyle name="req 2 2 3" xfId="46424" xr:uid="{00000000-0005-0000-0000-0000C2B40000}"/>
    <cellStyle name="req 2 2 3 2" xfId="46425" xr:uid="{00000000-0005-0000-0000-0000C3B40000}"/>
    <cellStyle name="req 2 2 3 2 2" xfId="46426" xr:uid="{00000000-0005-0000-0000-0000C4B40000}"/>
    <cellStyle name="req 2 2 3 2 2 2" xfId="46427" xr:uid="{00000000-0005-0000-0000-0000C5B40000}"/>
    <cellStyle name="req 2 2 3 2 2 2 2" xfId="46428" xr:uid="{00000000-0005-0000-0000-0000C6B40000}"/>
    <cellStyle name="req 2 2 3 2 2 2 2 2" xfId="46429" xr:uid="{00000000-0005-0000-0000-0000C7B40000}"/>
    <cellStyle name="req 2 2 3 2 2 2 2 2 2" xfId="46430" xr:uid="{00000000-0005-0000-0000-0000C8B40000}"/>
    <cellStyle name="req 2 2 3 2 2 2 2 3" xfId="46431" xr:uid="{00000000-0005-0000-0000-0000C9B40000}"/>
    <cellStyle name="req 2 2 3 2 2 2 2 3 2" xfId="46432" xr:uid="{00000000-0005-0000-0000-0000CAB40000}"/>
    <cellStyle name="req 2 2 3 2 2 2 2 4" xfId="46433" xr:uid="{00000000-0005-0000-0000-0000CBB40000}"/>
    <cellStyle name="req 2 2 3 2 2 2 2 5" xfId="46434" xr:uid="{00000000-0005-0000-0000-0000CCB40000}"/>
    <cellStyle name="req 2 2 3 2 2 2 3" xfId="46435" xr:uid="{00000000-0005-0000-0000-0000CDB40000}"/>
    <cellStyle name="req 2 2 3 2 2 2 3 2" xfId="46436" xr:uid="{00000000-0005-0000-0000-0000CEB40000}"/>
    <cellStyle name="req 2 2 3 2 2 2 4" xfId="46437" xr:uid="{00000000-0005-0000-0000-0000CFB40000}"/>
    <cellStyle name="req 2 2 3 2 2 2 4 2" xfId="46438" xr:uid="{00000000-0005-0000-0000-0000D0B40000}"/>
    <cellStyle name="req 2 2 3 2 2 2 5" xfId="46439" xr:uid="{00000000-0005-0000-0000-0000D1B40000}"/>
    <cellStyle name="req 2 2 3 2 2 2 6" xfId="46440" xr:uid="{00000000-0005-0000-0000-0000D2B40000}"/>
    <cellStyle name="req 2 2 3 2 2 3" xfId="46441" xr:uid="{00000000-0005-0000-0000-0000D3B40000}"/>
    <cellStyle name="req 2 2 3 2 2 3 2" xfId="46442" xr:uid="{00000000-0005-0000-0000-0000D4B40000}"/>
    <cellStyle name="req 2 2 3 2 2 3 2 2" xfId="46443" xr:uid="{00000000-0005-0000-0000-0000D5B40000}"/>
    <cellStyle name="req 2 2 3 2 2 3 3" xfId="46444" xr:uid="{00000000-0005-0000-0000-0000D6B40000}"/>
    <cellStyle name="req 2 2 3 2 2 3 3 2" xfId="46445" xr:uid="{00000000-0005-0000-0000-0000D7B40000}"/>
    <cellStyle name="req 2 2 3 2 2 3 4" xfId="46446" xr:uid="{00000000-0005-0000-0000-0000D8B40000}"/>
    <cellStyle name="req 2 2 3 2 2 3 5" xfId="46447" xr:uid="{00000000-0005-0000-0000-0000D9B40000}"/>
    <cellStyle name="req 2 2 3 2 2 4" xfId="46448" xr:uid="{00000000-0005-0000-0000-0000DAB40000}"/>
    <cellStyle name="req 2 2 3 2 2 4 2" xfId="46449" xr:uid="{00000000-0005-0000-0000-0000DBB40000}"/>
    <cellStyle name="req 2 2 3 2 2 5" xfId="46450" xr:uid="{00000000-0005-0000-0000-0000DCB40000}"/>
    <cellStyle name="req 2 2 3 2 2 5 2" xfId="46451" xr:uid="{00000000-0005-0000-0000-0000DDB40000}"/>
    <cellStyle name="req 2 2 3 2 2 6" xfId="46452" xr:uid="{00000000-0005-0000-0000-0000DEB40000}"/>
    <cellStyle name="req 2 2 3 2 2 7" xfId="46453" xr:uid="{00000000-0005-0000-0000-0000DFB40000}"/>
    <cellStyle name="req 2 2 3 2 3" xfId="46454" xr:uid="{00000000-0005-0000-0000-0000E0B40000}"/>
    <cellStyle name="req 2 2 3 2 3 2" xfId="46455" xr:uid="{00000000-0005-0000-0000-0000E1B40000}"/>
    <cellStyle name="req 2 2 3 2 3 2 2" xfId="46456" xr:uid="{00000000-0005-0000-0000-0000E2B40000}"/>
    <cellStyle name="req 2 2 3 2 3 2 2 2" xfId="46457" xr:uid="{00000000-0005-0000-0000-0000E3B40000}"/>
    <cellStyle name="req 2 2 3 2 3 2 3" xfId="46458" xr:uid="{00000000-0005-0000-0000-0000E4B40000}"/>
    <cellStyle name="req 2 2 3 2 3 2 3 2" xfId="46459" xr:uid="{00000000-0005-0000-0000-0000E5B40000}"/>
    <cellStyle name="req 2 2 3 2 3 2 4" xfId="46460" xr:uid="{00000000-0005-0000-0000-0000E6B40000}"/>
    <cellStyle name="req 2 2 3 2 3 2 5" xfId="46461" xr:uid="{00000000-0005-0000-0000-0000E7B40000}"/>
    <cellStyle name="req 2 2 3 2 3 3" xfId="46462" xr:uid="{00000000-0005-0000-0000-0000E8B40000}"/>
    <cellStyle name="req 2 2 3 2 3 3 2" xfId="46463" xr:uid="{00000000-0005-0000-0000-0000E9B40000}"/>
    <cellStyle name="req 2 2 3 2 3 4" xfId="46464" xr:uid="{00000000-0005-0000-0000-0000EAB40000}"/>
    <cellStyle name="req 2 2 3 2 3 4 2" xfId="46465" xr:uid="{00000000-0005-0000-0000-0000EBB40000}"/>
    <cellStyle name="req 2 2 3 2 3 5" xfId="46466" xr:uid="{00000000-0005-0000-0000-0000ECB40000}"/>
    <cellStyle name="req 2 2 3 2 3 6" xfId="46467" xr:uid="{00000000-0005-0000-0000-0000EDB40000}"/>
    <cellStyle name="req 2 2 3 2 4" xfId="46468" xr:uid="{00000000-0005-0000-0000-0000EEB40000}"/>
    <cellStyle name="req 2 2 3 2 4 2" xfId="46469" xr:uid="{00000000-0005-0000-0000-0000EFB40000}"/>
    <cellStyle name="req 2 2 3 2 4 2 2" xfId="46470" xr:uid="{00000000-0005-0000-0000-0000F0B40000}"/>
    <cellStyle name="req 2 2 3 2 4 3" xfId="46471" xr:uid="{00000000-0005-0000-0000-0000F1B40000}"/>
    <cellStyle name="req 2 2 3 2 4 3 2" xfId="46472" xr:uid="{00000000-0005-0000-0000-0000F2B40000}"/>
    <cellStyle name="req 2 2 3 2 4 4" xfId="46473" xr:uid="{00000000-0005-0000-0000-0000F3B40000}"/>
    <cellStyle name="req 2 2 3 2 4 5" xfId="46474" xr:uid="{00000000-0005-0000-0000-0000F4B40000}"/>
    <cellStyle name="req 2 2 3 2 5" xfId="46475" xr:uid="{00000000-0005-0000-0000-0000F5B40000}"/>
    <cellStyle name="req 2 2 3 2 5 2" xfId="46476" xr:uid="{00000000-0005-0000-0000-0000F6B40000}"/>
    <cellStyle name="req 2 2 3 2 6" xfId="46477" xr:uid="{00000000-0005-0000-0000-0000F7B40000}"/>
    <cellStyle name="req 2 2 3 2 6 2" xfId="46478" xr:uid="{00000000-0005-0000-0000-0000F8B40000}"/>
    <cellStyle name="req 2 2 3 2 7" xfId="46479" xr:uid="{00000000-0005-0000-0000-0000F9B40000}"/>
    <cellStyle name="req 2 2 3 2 8" xfId="46480" xr:uid="{00000000-0005-0000-0000-0000FAB40000}"/>
    <cellStyle name="req 2 2 3 3" xfId="46481" xr:uid="{00000000-0005-0000-0000-0000FBB40000}"/>
    <cellStyle name="req 2 2 3 3 2" xfId="46482" xr:uid="{00000000-0005-0000-0000-0000FCB40000}"/>
    <cellStyle name="req 2 2 3 3 2 2" xfId="46483" xr:uid="{00000000-0005-0000-0000-0000FDB40000}"/>
    <cellStyle name="req 2 2 3 3 2 2 2" xfId="46484" xr:uid="{00000000-0005-0000-0000-0000FEB40000}"/>
    <cellStyle name="req 2 2 3 3 2 2 2 2" xfId="46485" xr:uid="{00000000-0005-0000-0000-0000FFB40000}"/>
    <cellStyle name="req 2 2 3 3 2 2 3" xfId="46486" xr:uid="{00000000-0005-0000-0000-000000B50000}"/>
    <cellStyle name="req 2 2 3 3 2 2 3 2" xfId="46487" xr:uid="{00000000-0005-0000-0000-000001B50000}"/>
    <cellStyle name="req 2 2 3 3 2 2 4" xfId="46488" xr:uid="{00000000-0005-0000-0000-000002B50000}"/>
    <cellStyle name="req 2 2 3 3 2 2 5" xfId="46489" xr:uid="{00000000-0005-0000-0000-000003B50000}"/>
    <cellStyle name="req 2 2 3 3 2 3" xfId="46490" xr:uid="{00000000-0005-0000-0000-000004B50000}"/>
    <cellStyle name="req 2 2 3 3 2 3 2" xfId="46491" xr:uid="{00000000-0005-0000-0000-000005B50000}"/>
    <cellStyle name="req 2 2 3 3 2 4" xfId="46492" xr:uid="{00000000-0005-0000-0000-000006B50000}"/>
    <cellStyle name="req 2 2 3 3 2 4 2" xfId="46493" xr:uid="{00000000-0005-0000-0000-000007B50000}"/>
    <cellStyle name="req 2 2 3 3 2 5" xfId="46494" xr:uid="{00000000-0005-0000-0000-000008B50000}"/>
    <cellStyle name="req 2 2 3 3 2 6" xfId="46495" xr:uid="{00000000-0005-0000-0000-000009B50000}"/>
    <cellStyle name="req 2 2 3 3 3" xfId="46496" xr:uid="{00000000-0005-0000-0000-00000AB50000}"/>
    <cellStyle name="req 2 2 3 3 3 2" xfId="46497" xr:uid="{00000000-0005-0000-0000-00000BB50000}"/>
    <cellStyle name="req 2 2 3 3 3 2 2" xfId="46498" xr:uid="{00000000-0005-0000-0000-00000CB50000}"/>
    <cellStyle name="req 2 2 3 3 3 3" xfId="46499" xr:uid="{00000000-0005-0000-0000-00000DB50000}"/>
    <cellStyle name="req 2 2 3 3 3 3 2" xfId="46500" xr:uid="{00000000-0005-0000-0000-00000EB50000}"/>
    <cellStyle name="req 2 2 3 3 3 4" xfId="46501" xr:uid="{00000000-0005-0000-0000-00000FB50000}"/>
    <cellStyle name="req 2 2 3 3 3 5" xfId="46502" xr:uid="{00000000-0005-0000-0000-000010B50000}"/>
    <cellStyle name="req 2 2 3 3 4" xfId="46503" xr:uid="{00000000-0005-0000-0000-000011B50000}"/>
    <cellStyle name="req 2 2 3 3 4 2" xfId="46504" xr:uid="{00000000-0005-0000-0000-000012B50000}"/>
    <cellStyle name="req 2 2 3 3 5" xfId="46505" xr:uid="{00000000-0005-0000-0000-000013B50000}"/>
    <cellStyle name="req 2 2 3 3 5 2" xfId="46506" xr:uid="{00000000-0005-0000-0000-000014B50000}"/>
    <cellStyle name="req 2 2 3 3 6" xfId="46507" xr:uid="{00000000-0005-0000-0000-000015B50000}"/>
    <cellStyle name="req 2 2 3 3 7" xfId="46508" xr:uid="{00000000-0005-0000-0000-000016B50000}"/>
    <cellStyle name="req 2 2 3 4" xfId="46509" xr:uid="{00000000-0005-0000-0000-000017B50000}"/>
    <cellStyle name="req 2 2 3 4 2" xfId="46510" xr:uid="{00000000-0005-0000-0000-000018B50000}"/>
    <cellStyle name="req 2 2 3 4 2 2" xfId="46511" xr:uid="{00000000-0005-0000-0000-000019B50000}"/>
    <cellStyle name="req 2 2 3 4 2 2 2" xfId="46512" xr:uid="{00000000-0005-0000-0000-00001AB50000}"/>
    <cellStyle name="req 2 2 3 4 2 3" xfId="46513" xr:uid="{00000000-0005-0000-0000-00001BB50000}"/>
    <cellStyle name="req 2 2 3 4 2 3 2" xfId="46514" xr:uid="{00000000-0005-0000-0000-00001CB50000}"/>
    <cellStyle name="req 2 2 3 4 2 4" xfId="46515" xr:uid="{00000000-0005-0000-0000-00001DB50000}"/>
    <cellStyle name="req 2 2 3 4 2 5" xfId="46516" xr:uid="{00000000-0005-0000-0000-00001EB50000}"/>
    <cellStyle name="req 2 2 3 4 3" xfId="46517" xr:uid="{00000000-0005-0000-0000-00001FB50000}"/>
    <cellStyle name="req 2 2 3 4 3 2" xfId="46518" xr:uid="{00000000-0005-0000-0000-000020B50000}"/>
    <cellStyle name="req 2 2 3 4 4" xfId="46519" xr:uid="{00000000-0005-0000-0000-000021B50000}"/>
    <cellStyle name="req 2 2 3 4 4 2" xfId="46520" xr:uid="{00000000-0005-0000-0000-000022B50000}"/>
    <cellStyle name="req 2 2 3 4 5" xfId="46521" xr:uid="{00000000-0005-0000-0000-000023B50000}"/>
    <cellStyle name="req 2 2 3 4 6" xfId="46522" xr:uid="{00000000-0005-0000-0000-000024B50000}"/>
    <cellStyle name="req 2 2 3 5" xfId="46523" xr:uid="{00000000-0005-0000-0000-000025B50000}"/>
    <cellStyle name="req 2 2 3 5 2" xfId="46524" xr:uid="{00000000-0005-0000-0000-000026B50000}"/>
    <cellStyle name="req 2 2 3 5 2 2" xfId="46525" xr:uid="{00000000-0005-0000-0000-000027B50000}"/>
    <cellStyle name="req 2 2 3 5 3" xfId="46526" xr:uid="{00000000-0005-0000-0000-000028B50000}"/>
    <cellStyle name="req 2 2 3 5 3 2" xfId="46527" xr:uid="{00000000-0005-0000-0000-000029B50000}"/>
    <cellStyle name="req 2 2 3 5 4" xfId="46528" xr:uid="{00000000-0005-0000-0000-00002AB50000}"/>
    <cellStyle name="req 2 2 3 5 5" xfId="46529" xr:uid="{00000000-0005-0000-0000-00002BB50000}"/>
    <cellStyle name="req 2 2 3 6" xfId="46530" xr:uid="{00000000-0005-0000-0000-00002CB50000}"/>
    <cellStyle name="req 2 2 3 6 2" xfId="46531" xr:uid="{00000000-0005-0000-0000-00002DB50000}"/>
    <cellStyle name="req 2 2 3 7" xfId="46532" xr:uid="{00000000-0005-0000-0000-00002EB50000}"/>
    <cellStyle name="req 2 2 3 7 2" xfId="46533" xr:uid="{00000000-0005-0000-0000-00002FB50000}"/>
    <cellStyle name="req 2 2 3 8" xfId="46534" xr:uid="{00000000-0005-0000-0000-000030B50000}"/>
    <cellStyle name="req 2 2 3 9" xfId="46535" xr:uid="{00000000-0005-0000-0000-000031B50000}"/>
    <cellStyle name="req 2 2 4" xfId="46536" xr:uid="{00000000-0005-0000-0000-000032B50000}"/>
    <cellStyle name="req 2 2 4 2" xfId="46537" xr:uid="{00000000-0005-0000-0000-000033B50000}"/>
    <cellStyle name="req 2 2 4 2 2" xfId="46538" xr:uid="{00000000-0005-0000-0000-000034B50000}"/>
    <cellStyle name="req 2 2 4 2 2 2" xfId="46539" xr:uid="{00000000-0005-0000-0000-000035B50000}"/>
    <cellStyle name="req 2 2 4 2 2 2 2" xfId="46540" xr:uid="{00000000-0005-0000-0000-000036B50000}"/>
    <cellStyle name="req 2 2 4 2 2 2 2 2" xfId="46541" xr:uid="{00000000-0005-0000-0000-000037B50000}"/>
    <cellStyle name="req 2 2 4 2 2 2 2 2 2" xfId="46542" xr:uid="{00000000-0005-0000-0000-000038B50000}"/>
    <cellStyle name="req 2 2 4 2 2 2 2 3" xfId="46543" xr:uid="{00000000-0005-0000-0000-000039B50000}"/>
    <cellStyle name="req 2 2 4 2 2 2 2 3 2" xfId="46544" xr:uid="{00000000-0005-0000-0000-00003AB50000}"/>
    <cellStyle name="req 2 2 4 2 2 2 2 4" xfId="46545" xr:uid="{00000000-0005-0000-0000-00003BB50000}"/>
    <cellStyle name="req 2 2 4 2 2 2 2 5" xfId="46546" xr:uid="{00000000-0005-0000-0000-00003CB50000}"/>
    <cellStyle name="req 2 2 4 2 2 2 3" xfId="46547" xr:uid="{00000000-0005-0000-0000-00003DB50000}"/>
    <cellStyle name="req 2 2 4 2 2 2 3 2" xfId="46548" xr:uid="{00000000-0005-0000-0000-00003EB50000}"/>
    <cellStyle name="req 2 2 4 2 2 2 4" xfId="46549" xr:uid="{00000000-0005-0000-0000-00003FB50000}"/>
    <cellStyle name="req 2 2 4 2 2 2 4 2" xfId="46550" xr:uid="{00000000-0005-0000-0000-000040B50000}"/>
    <cellStyle name="req 2 2 4 2 2 2 5" xfId="46551" xr:uid="{00000000-0005-0000-0000-000041B50000}"/>
    <cellStyle name="req 2 2 4 2 2 2 6" xfId="46552" xr:uid="{00000000-0005-0000-0000-000042B50000}"/>
    <cellStyle name="req 2 2 4 2 2 3" xfId="46553" xr:uid="{00000000-0005-0000-0000-000043B50000}"/>
    <cellStyle name="req 2 2 4 2 2 3 2" xfId="46554" xr:uid="{00000000-0005-0000-0000-000044B50000}"/>
    <cellStyle name="req 2 2 4 2 2 3 2 2" xfId="46555" xr:uid="{00000000-0005-0000-0000-000045B50000}"/>
    <cellStyle name="req 2 2 4 2 2 3 3" xfId="46556" xr:uid="{00000000-0005-0000-0000-000046B50000}"/>
    <cellStyle name="req 2 2 4 2 2 3 3 2" xfId="46557" xr:uid="{00000000-0005-0000-0000-000047B50000}"/>
    <cellStyle name="req 2 2 4 2 2 3 4" xfId="46558" xr:uid="{00000000-0005-0000-0000-000048B50000}"/>
    <cellStyle name="req 2 2 4 2 2 3 5" xfId="46559" xr:uid="{00000000-0005-0000-0000-000049B50000}"/>
    <cellStyle name="req 2 2 4 2 2 4" xfId="46560" xr:uid="{00000000-0005-0000-0000-00004AB50000}"/>
    <cellStyle name="req 2 2 4 2 2 4 2" xfId="46561" xr:uid="{00000000-0005-0000-0000-00004BB50000}"/>
    <cellStyle name="req 2 2 4 2 2 5" xfId="46562" xr:uid="{00000000-0005-0000-0000-00004CB50000}"/>
    <cellStyle name="req 2 2 4 2 2 5 2" xfId="46563" xr:uid="{00000000-0005-0000-0000-00004DB50000}"/>
    <cellStyle name="req 2 2 4 2 2 6" xfId="46564" xr:uid="{00000000-0005-0000-0000-00004EB50000}"/>
    <cellStyle name="req 2 2 4 2 2 7" xfId="46565" xr:uid="{00000000-0005-0000-0000-00004FB50000}"/>
    <cellStyle name="req 2 2 4 2 3" xfId="46566" xr:uid="{00000000-0005-0000-0000-000050B50000}"/>
    <cellStyle name="req 2 2 4 2 3 2" xfId="46567" xr:uid="{00000000-0005-0000-0000-000051B50000}"/>
    <cellStyle name="req 2 2 4 2 3 2 2" xfId="46568" xr:uid="{00000000-0005-0000-0000-000052B50000}"/>
    <cellStyle name="req 2 2 4 2 3 2 2 2" xfId="46569" xr:uid="{00000000-0005-0000-0000-000053B50000}"/>
    <cellStyle name="req 2 2 4 2 3 2 3" xfId="46570" xr:uid="{00000000-0005-0000-0000-000054B50000}"/>
    <cellStyle name="req 2 2 4 2 3 2 3 2" xfId="46571" xr:uid="{00000000-0005-0000-0000-000055B50000}"/>
    <cellStyle name="req 2 2 4 2 3 2 4" xfId="46572" xr:uid="{00000000-0005-0000-0000-000056B50000}"/>
    <cellStyle name="req 2 2 4 2 3 2 5" xfId="46573" xr:uid="{00000000-0005-0000-0000-000057B50000}"/>
    <cellStyle name="req 2 2 4 2 3 3" xfId="46574" xr:uid="{00000000-0005-0000-0000-000058B50000}"/>
    <cellStyle name="req 2 2 4 2 3 3 2" xfId="46575" xr:uid="{00000000-0005-0000-0000-000059B50000}"/>
    <cellStyle name="req 2 2 4 2 3 4" xfId="46576" xr:uid="{00000000-0005-0000-0000-00005AB50000}"/>
    <cellStyle name="req 2 2 4 2 3 4 2" xfId="46577" xr:uid="{00000000-0005-0000-0000-00005BB50000}"/>
    <cellStyle name="req 2 2 4 2 3 5" xfId="46578" xr:uid="{00000000-0005-0000-0000-00005CB50000}"/>
    <cellStyle name="req 2 2 4 2 3 6" xfId="46579" xr:uid="{00000000-0005-0000-0000-00005DB50000}"/>
    <cellStyle name="req 2 2 4 2 4" xfId="46580" xr:uid="{00000000-0005-0000-0000-00005EB50000}"/>
    <cellStyle name="req 2 2 4 2 4 2" xfId="46581" xr:uid="{00000000-0005-0000-0000-00005FB50000}"/>
    <cellStyle name="req 2 2 4 2 4 2 2" xfId="46582" xr:uid="{00000000-0005-0000-0000-000060B50000}"/>
    <cellStyle name="req 2 2 4 2 4 3" xfId="46583" xr:uid="{00000000-0005-0000-0000-000061B50000}"/>
    <cellStyle name="req 2 2 4 2 4 3 2" xfId="46584" xr:uid="{00000000-0005-0000-0000-000062B50000}"/>
    <cellStyle name="req 2 2 4 2 4 4" xfId="46585" xr:uid="{00000000-0005-0000-0000-000063B50000}"/>
    <cellStyle name="req 2 2 4 2 4 5" xfId="46586" xr:uid="{00000000-0005-0000-0000-000064B50000}"/>
    <cellStyle name="req 2 2 4 2 5" xfId="46587" xr:uid="{00000000-0005-0000-0000-000065B50000}"/>
    <cellStyle name="req 2 2 4 2 5 2" xfId="46588" xr:uid="{00000000-0005-0000-0000-000066B50000}"/>
    <cellStyle name="req 2 2 4 2 6" xfId="46589" xr:uid="{00000000-0005-0000-0000-000067B50000}"/>
    <cellStyle name="req 2 2 4 2 6 2" xfId="46590" xr:uid="{00000000-0005-0000-0000-000068B50000}"/>
    <cellStyle name="req 2 2 4 2 7" xfId="46591" xr:uid="{00000000-0005-0000-0000-000069B50000}"/>
    <cellStyle name="req 2 2 4 2 8" xfId="46592" xr:uid="{00000000-0005-0000-0000-00006AB50000}"/>
    <cellStyle name="req 2 2 4 3" xfId="46593" xr:uid="{00000000-0005-0000-0000-00006BB50000}"/>
    <cellStyle name="req 2 2 4 3 2" xfId="46594" xr:uid="{00000000-0005-0000-0000-00006CB50000}"/>
    <cellStyle name="req 2 2 4 3 2 2" xfId="46595" xr:uid="{00000000-0005-0000-0000-00006DB50000}"/>
    <cellStyle name="req 2 2 4 3 2 2 2" xfId="46596" xr:uid="{00000000-0005-0000-0000-00006EB50000}"/>
    <cellStyle name="req 2 2 4 3 2 2 2 2" xfId="46597" xr:uid="{00000000-0005-0000-0000-00006FB50000}"/>
    <cellStyle name="req 2 2 4 3 2 2 3" xfId="46598" xr:uid="{00000000-0005-0000-0000-000070B50000}"/>
    <cellStyle name="req 2 2 4 3 2 2 3 2" xfId="46599" xr:uid="{00000000-0005-0000-0000-000071B50000}"/>
    <cellStyle name="req 2 2 4 3 2 2 4" xfId="46600" xr:uid="{00000000-0005-0000-0000-000072B50000}"/>
    <cellStyle name="req 2 2 4 3 2 2 5" xfId="46601" xr:uid="{00000000-0005-0000-0000-000073B50000}"/>
    <cellStyle name="req 2 2 4 3 2 3" xfId="46602" xr:uid="{00000000-0005-0000-0000-000074B50000}"/>
    <cellStyle name="req 2 2 4 3 2 3 2" xfId="46603" xr:uid="{00000000-0005-0000-0000-000075B50000}"/>
    <cellStyle name="req 2 2 4 3 2 4" xfId="46604" xr:uid="{00000000-0005-0000-0000-000076B50000}"/>
    <cellStyle name="req 2 2 4 3 2 4 2" xfId="46605" xr:uid="{00000000-0005-0000-0000-000077B50000}"/>
    <cellStyle name="req 2 2 4 3 2 5" xfId="46606" xr:uid="{00000000-0005-0000-0000-000078B50000}"/>
    <cellStyle name="req 2 2 4 3 2 6" xfId="46607" xr:uid="{00000000-0005-0000-0000-000079B50000}"/>
    <cellStyle name="req 2 2 4 3 3" xfId="46608" xr:uid="{00000000-0005-0000-0000-00007AB50000}"/>
    <cellStyle name="req 2 2 4 3 3 2" xfId="46609" xr:uid="{00000000-0005-0000-0000-00007BB50000}"/>
    <cellStyle name="req 2 2 4 3 3 2 2" xfId="46610" xr:uid="{00000000-0005-0000-0000-00007CB50000}"/>
    <cellStyle name="req 2 2 4 3 3 3" xfId="46611" xr:uid="{00000000-0005-0000-0000-00007DB50000}"/>
    <cellStyle name="req 2 2 4 3 3 3 2" xfId="46612" xr:uid="{00000000-0005-0000-0000-00007EB50000}"/>
    <cellStyle name="req 2 2 4 3 3 4" xfId="46613" xr:uid="{00000000-0005-0000-0000-00007FB50000}"/>
    <cellStyle name="req 2 2 4 3 3 5" xfId="46614" xr:uid="{00000000-0005-0000-0000-000080B50000}"/>
    <cellStyle name="req 2 2 4 3 4" xfId="46615" xr:uid="{00000000-0005-0000-0000-000081B50000}"/>
    <cellStyle name="req 2 2 4 3 4 2" xfId="46616" xr:uid="{00000000-0005-0000-0000-000082B50000}"/>
    <cellStyle name="req 2 2 4 3 5" xfId="46617" xr:uid="{00000000-0005-0000-0000-000083B50000}"/>
    <cellStyle name="req 2 2 4 3 5 2" xfId="46618" xr:uid="{00000000-0005-0000-0000-000084B50000}"/>
    <cellStyle name="req 2 2 4 3 6" xfId="46619" xr:uid="{00000000-0005-0000-0000-000085B50000}"/>
    <cellStyle name="req 2 2 4 3 7" xfId="46620" xr:uid="{00000000-0005-0000-0000-000086B50000}"/>
    <cellStyle name="req 2 2 4 4" xfId="46621" xr:uid="{00000000-0005-0000-0000-000087B50000}"/>
    <cellStyle name="req 2 2 4 4 2" xfId="46622" xr:uid="{00000000-0005-0000-0000-000088B50000}"/>
    <cellStyle name="req 2 2 4 4 2 2" xfId="46623" xr:uid="{00000000-0005-0000-0000-000089B50000}"/>
    <cellStyle name="req 2 2 4 4 2 2 2" xfId="46624" xr:uid="{00000000-0005-0000-0000-00008AB50000}"/>
    <cellStyle name="req 2 2 4 4 2 3" xfId="46625" xr:uid="{00000000-0005-0000-0000-00008BB50000}"/>
    <cellStyle name="req 2 2 4 4 2 3 2" xfId="46626" xr:uid="{00000000-0005-0000-0000-00008CB50000}"/>
    <cellStyle name="req 2 2 4 4 2 4" xfId="46627" xr:uid="{00000000-0005-0000-0000-00008DB50000}"/>
    <cellStyle name="req 2 2 4 4 2 5" xfId="46628" xr:uid="{00000000-0005-0000-0000-00008EB50000}"/>
    <cellStyle name="req 2 2 4 4 3" xfId="46629" xr:uid="{00000000-0005-0000-0000-00008FB50000}"/>
    <cellStyle name="req 2 2 4 4 3 2" xfId="46630" xr:uid="{00000000-0005-0000-0000-000090B50000}"/>
    <cellStyle name="req 2 2 4 4 4" xfId="46631" xr:uid="{00000000-0005-0000-0000-000091B50000}"/>
    <cellStyle name="req 2 2 4 4 4 2" xfId="46632" xr:uid="{00000000-0005-0000-0000-000092B50000}"/>
    <cellStyle name="req 2 2 4 4 5" xfId="46633" xr:uid="{00000000-0005-0000-0000-000093B50000}"/>
    <cellStyle name="req 2 2 4 4 6" xfId="46634" xr:uid="{00000000-0005-0000-0000-000094B50000}"/>
    <cellStyle name="req 2 2 4 5" xfId="46635" xr:uid="{00000000-0005-0000-0000-000095B50000}"/>
    <cellStyle name="req 2 2 4 5 2" xfId="46636" xr:uid="{00000000-0005-0000-0000-000096B50000}"/>
    <cellStyle name="req 2 2 4 5 2 2" xfId="46637" xr:uid="{00000000-0005-0000-0000-000097B50000}"/>
    <cellStyle name="req 2 2 4 5 3" xfId="46638" xr:uid="{00000000-0005-0000-0000-000098B50000}"/>
    <cellStyle name="req 2 2 4 5 3 2" xfId="46639" xr:uid="{00000000-0005-0000-0000-000099B50000}"/>
    <cellStyle name="req 2 2 4 5 4" xfId="46640" xr:uid="{00000000-0005-0000-0000-00009AB50000}"/>
    <cellStyle name="req 2 2 4 5 5" xfId="46641" xr:uid="{00000000-0005-0000-0000-00009BB50000}"/>
    <cellStyle name="req 2 2 4 6" xfId="46642" xr:uid="{00000000-0005-0000-0000-00009CB50000}"/>
    <cellStyle name="req 2 2 4 6 2" xfId="46643" xr:uid="{00000000-0005-0000-0000-00009DB50000}"/>
    <cellStyle name="req 2 2 4 7" xfId="46644" xr:uid="{00000000-0005-0000-0000-00009EB50000}"/>
    <cellStyle name="req 2 2 4 7 2" xfId="46645" xr:uid="{00000000-0005-0000-0000-00009FB50000}"/>
    <cellStyle name="req 2 2 4 8" xfId="46646" xr:uid="{00000000-0005-0000-0000-0000A0B50000}"/>
    <cellStyle name="req 2 2 4 9" xfId="46647" xr:uid="{00000000-0005-0000-0000-0000A1B50000}"/>
    <cellStyle name="req 2 2 5" xfId="46648" xr:uid="{00000000-0005-0000-0000-0000A2B50000}"/>
    <cellStyle name="req 2 2 5 2" xfId="46649" xr:uid="{00000000-0005-0000-0000-0000A3B50000}"/>
    <cellStyle name="req 2 2 5 2 2" xfId="46650" xr:uid="{00000000-0005-0000-0000-0000A4B50000}"/>
    <cellStyle name="req 2 2 5 2 2 2" xfId="46651" xr:uid="{00000000-0005-0000-0000-0000A5B50000}"/>
    <cellStyle name="req 2 2 5 2 2 2 2" xfId="46652" xr:uid="{00000000-0005-0000-0000-0000A6B50000}"/>
    <cellStyle name="req 2 2 5 2 2 2 2 2" xfId="46653" xr:uid="{00000000-0005-0000-0000-0000A7B50000}"/>
    <cellStyle name="req 2 2 5 2 2 2 2 2 2" xfId="46654" xr:uid="{00000000-0005-0000-0000-0000A8B50000}"/>
    <cellStyle name="req 2 2 5 2 2 2 2 3" xfId="46655" xr:uid="{00000000-0005-0000-0000-0000A9B50000}"/>
    <cellStyle name="req 2 2 5 2 2 2 2 3 2" xfId="46656" xr:uid="{00000000-0005-0000-0000-0000AAB50000}"/>
    <cellStyle name="req 2 2 5 2 2 2 2 4" xfId="46657" xr:uid="{00000000-0005-0000-0000-0000ABB50000}"/>
    <cellStyle name="req 2 2 5 2 2 2 2 5" xfId="46658" xr:uid="{00000000-0005-0000-0000-0000ACB50000}"/>
    <cellStyle name="req 2 2 5 2 2 2 3" xfId="46659" xr:uid="{00000000-0005-0000-0000-0000ADB50000}"/>
    <cellStyle name="req 2 2 5 2 2 2 3 2" xfId="46660" xr:uid="{00000000-0005-0000-0000-0000AEB50000}"/>
    <cellStyle name="req 2 2 5 2 2 2 4" xfId="46661" xr:uid="{00000000-0005-0000-0000-0000AFB50000}"/>
    <cellStyle name="req 2 2 5 2 2 2 4 2" xfId="46662" xr:uid="{00000000-0005-0000-0000-0000B0B50000}"/>
    <cellStyle name="req 2 2 5 2 2 2 5" xfId="46663" xr:uid="{00000000-0005-0000-0000-0000B1B50000}"/>
    <cellStyle name="req 2 2 5 2 2 2 6" xfId="46664" xr:uid="{00000000-0005-0000-0000-0000B2B50000}"/>
    <cellStyle name="req 2 2 5 2 2 3" xfId="46665" xr:uid="{00000000-0005-0000-0000-0000B3B50000}"/>
    <cellStyle name="req 2 2 5 2 2 3 2" xfId="46666" xr:uid="{00000000-0005-0000-0000-0000B4B50000}"/>
    <cellStyle name="req 2 2 5 2 2 3 2 2" xfId="46667" xr:uid="{00000000-0005-0000-0000-0000B5B50000}"/>
    <cellStyle name="req 2 2 5 2 2 3 3" xfId="46668" xr:uid="{00000000-0005-0000-0000-0000B6B50000}"/>
    <cellStyle name="req 2 2 5 2 2 3 3 2" xfId="46669" xr:uid="{00000000-0005-0000-0000-0000B7B50000}"/>
    <cellStyle name="req 2 2 5 2 2 3 4" xfId="46670" xr:uid="{00000000-0005-0000-0000-0000B8B50000}"/>
    <cellStyle name="req 2 2 5 2 2 3 5" xfId="46671" xr:uid="{00000000-0005-0000-0000-0000B9B50000}"/>
    <cellStyle name="req 2 2 5 2 2 4" xfId="46672" xr:uid="{00000000-0005-0000-0000-0000BAB50000}"/>
    <cellStyle name="req 2 2 5 2 2 4 2" xfId="46673" xr:uid="{00000000-0005-0000-0000-0000BBB50000}"/>
    <cellStyle name="req 2 2 5 2 2 5" xfId="46674" xr:uid="{00000000-0005-0000-0000-0000BCB50000}"/>
    <cellStyle name="req 2 2 5 2 2 5 2" xfId="46675" xr:uid="{00000000-0005-0000-0000-0000BDB50000}"/>
    <cellStyle name="req 2 2 5 2 2 6" xfId="46676" xr:uid="{00000000-0005-0000-0000-0000BEB50000}"/>
    <cellStyle name="req 2 2 5 2 2 7" xfId="46677" xr:uid="{00000000-0005-0000-0000-0000BFB50000}"/>
    <cellStyle name="req 2 2 5 2 3" xfId="46678" xr:uid="{00000000-0005-0000-0000-0000C0B50000}"/>
    <cellStyle name="req 2 2 5 2 3 2" xfId="46679" xr:uid="{00000000-0005-0000-0000-0000C1B50000}"/>
    <cellStyle name="req 2 2 5 2 3 2 2" xfId="46680" xr:uid="{00000000-0005-0000-0000-0000C2B50000}"/>
    <cellStyle name="req 2 2 5 2 3 2 2 2" xfId="46681" xr:uid="{00000000-0005-0000-0000-0000C3B50000}"/>
    <cellStyle name="req 2 2 5 2 3 2 3" xfId="46682" xr:uid="{00000000-0005-0000-0000-0000C4B50000}"/>
    <cellStyle name="req 2 2 5 2 3 2 3 2" xfId="46683" xr:uid="{00000000-0005-0000-0000-0000C5B50000}"/>
    <cellStyle name="req 2 2 5 2 3 2 4" xfId="46684" xr:uid="{00000000-0005-0000-0000-0000C6B50000}"/>
    <cellStyle name="req 2 2 5 2 3 2 5" xfId="46685" xr:uid="{00000000-0005-0000-0000-0000C7B50000}"/>
    <cellStyle name="req 2 2 5 2 3 3" xfId="46686" xr:uid="{00000000-0005-0000-0000-0000C8B50000}"/>
    <cellStyle name="req 2 2 5 2 3 3 2" xfId="46687" xr:uid="{00000000-0005-0000-0000-0000C9B50000}"/>
    <cellStyle name="req 2 2 5 2 3 4" xfId="46688" xr:uid="{00000000-0005-0000-0000-0000CAB50000}"/>
    <cellStyle name="req 2 2 5 2 3 4 2" xfId="46689" xr:uid="{00000000-0005-0000-0000-0000CBB50000}"/>
    <cellStyle name="req 2 2 5 2 3 5" xfId="46690" xr:uid="{00000000-0005-0000-0000-0000CCB50000}"/>
    <cellStyle name="req 2 2 5 2 3 6" xfId="46691" xr:uid="{00000000-0005-0000-0000-0000CDB50000}"/>
    <cellStyle name="req 2 2 5 2 4" xfId="46692" xr:uid="{00000000-0005-0000-0000-0000CEB50000}"/>
    <cellStyle name="req 2 2 5 2 4 2" xfId="46693" xr:uid="{00000000-0005-0000-0000-0000CFB50000}"/>
    <cellStyle name="req 2 2 5 2 4 2 2" xfId="46694" xr:uid="{00000000-0005-0000-0000-0000D0B50000}"/>
    <cellStyle name="req 2 2 5 2 4 3" xfId="46695" xr:uid="{00000000-0005-0000-0000-0000D1B50000}"/>
    <cellStyle name="req 2 2 5 2 4 3 2" xfId="46696" xr:uid="{00000000-0005-0000-0000-0000D2B50000}"/>
    <cellStyle name="req 2 2 5 2 4 4" xfId="46697" xr:uid="{00000000-0005-0000-0000-0000D3B50000}"/>
    <cellStyle name="req 2 2 5 2 4 5" xfId="46698" xr:uid="{00000000-0005-0000-0000-0000D4B50000}"/>
    <cellStyle name="req 2 2 5 2 5" xfId="46699" xr:uid="{00000000-0005-0000-0000-0000D5B50000}"/>
    <cellStyle name="req 2 2 5 2 5 2" xfId="46700" xr:uid="{00000000-0005-0000-0000-0000D6B50000}"/>
    <cellStyle name="req 2 2 5 2 6" xfId="46701" xr:uid="{00000000-0005-0000-0000-0000D7B50000}"/>
    <cellStyle name="req 2 2 5 2 6 2" xfId="46702" xr:uid="{00000000-0005-0000-0000-0000D8B50000}"/>
    <cellStyle name="req 2 2 5 2 7" xfId="46703" xr:uid="{00000000-0005-0000-0000-0000D9B50000}"/>
    <cellStyle name="req 2 2 5 2 8" xfId="46704" xr:uid="{00000000-0005-0000-0000-0000DAB50000}"/>
    <cellStyle name="req 2 2 5 3" xfId="46705" xr:uid="{00000000-0005-0000-0000-0000DBB50000}"/>
    <cellStyle name="req 2 2 5 3 2" xfId="46706" xr:uid="{00000000-0005-0000-0000-0000DCB50000}"/>
    <cellStyle name="req 2 2 5 3 2 2" xfId="46707" xr:uid="{00000000-0005-0000-0000-0000DDB50000}"/>
    <cellStyle name="req 2 2 5 3 2 2 2" xfId="46708" xr:uid="{00000000-0005-0000-0000-0000DEB50000}"/>
    <cellStyle name="req 2 2 5 3 2 2 2 2" xfId="46709" xr:uid="{00000000-0005-0000-0000-0000DFB50000}"/>
    <cellStyle name="req 2 2 5 3 2 2 3" xfId="46710" xr:uid="{00000000-0005-0000-0000-0000E0B50000}"/>
    <cellStyle name="req 2 2 5 3 2 2 3 2" xfId="46711" xr:uid="{00000000-0005-0000-0000-0000E1B50000}"/>
    <cellStyle name="req 2 2 5 3 2 2 4" xfId="46712" xr:uid="{00000000-0005-0000-0000-0000E2B50000}"/>
    <cellStyle name="req 2 2 5 3 2 2 5" xfId="46713" xr:uid="{00000000-0005-0000-0000-0000E3B50000}"/>
    <cellStyle name="req 2 2 5 3 2 3" xfId="46714" xr:uid="{00000000-0005-0000-0000-0000E4B50000}"/>
    <cellStyle name="req 2 2 5 3 2 3 2" xfId="46715" xr:uid="{00000000-0005-0000-0000-0000E5B50000}"/>
    <cellStyle name="req 2 2 5 3 2 4" xfId="46716" xr:uid="{00000000-0005-0000-0000-0000E6B50000}"/>
    <cellStyle name="req 2 2 5 3 2 4 2" xfId="46717" xr:uid="{00000000-0005-0000-0000-0000E7B50000}"/>
    <cellStyle name="req 2 2 5 3 2 5" xfId="46718" xr:uid="{00000000-0005-0000-0000-0000E8B50000}"/>
    <cellStyle name="req 2 2 5 3 2 6" xfId="46719" xr:uid="{00000000-0005-0000-0000-0000E9B50000}"/>
    <cellStyle name="req 2 2 5 3 3" xfId="46720" xr:uid="{00000000-0005-0000-0000-0000EAB50000}"/>
    <cellStyle name="req 2 2 5 3 3 2" xfId="46721" xr:uid="{00000000-0005-0000-0000-0000EBB50000}"/>
    <cellStyle name="req 2 2 5 3 3 2 2" xfId="46722" xr:uid="{00000000-0005-0000-0000-0000ECB50000}"/>
    <cellStyle name="req 2 2 5 3 3 3" xfId="46723" xr:uid="{00000000-0005-0000-0000-0000EDB50000}"/>
    <cellStyle name="req 2 2 5 3 3 3 2" xfId="46724" xr:uid="{00000000-0005-0000-0000-0000EEB50000}"/>
    <cellStyle name="req 2 2 5 3 3 4" xfId="46725" xr:uid="{00000000-0005-0000-0000-0000EFB50000}"/>
    <cellStyle name="req 2 2 5 3 3 5" xfId="46726" xr:uid="{00000000-0005-0000-0000-0000F0B50000}"/>
    <cellStyle name="req 2 2 5 3 4" xfId="46727" xr:uid="{00000000-0005-0000-0000-0000F1B50000}"/>
    <cellStyle name="req 2 2 5 3 4 2" xfId="46728" xr:uid="{00000000-0005-0000-0000-0000F2B50000}"/>
    <cellStyle name="req 2 2 5 3 5" xfId="46729" xr:uid="{00000000-0005-0000-0000-0000F3B50000}"/>
    <cellStyle name="req 2 2 5 3 5 2" xfId="46730" xr:uid="{00000000-0005-0000-0000-0000F4B50000}"/>
    <cellStyle name="req 2 2 5 3 6" xfId="46731" xr:uid="{00000000-0005-0000-0000-0000F5B50000}"/>
    <cellStyle name="req 2 2 5 3 7" xfId="46732" xr:uid="{00000000-0005-0000-0000-0000F6B50000}"/>
    <cellStyle name="req 2 2 5 4" xfId="46733" xr:uid="{00000000-0005-0000-0000-0000F7B50000}"/>
    <cellStyle name="req 2 2 5 4 2" xfId="46734" xr:uid="{00000000-0005-0000-0000-0000F8B50000}"/>
    <cellStyle name="req 2 2 5 4 2 2" xfId="46735" xr:uid="{00000000-0005-0000-0000-0000F9B50000}"/>
    <cellStyle name="req 2 2 5 4 2 2 2" xfId="46736" xr:uid="{00000000-0005-0000-0000-0000FAB50000}"/>
    <cellStyle name="req 2 2 5 4 2 3" xfId="46737" xr:uid="{00000000-0005-0000-0000-0000FBB50000}"/>
    <cellStyle name="req 2 2 5 4 2 3 2" xfId="46738" xr:uid="{00000000-0005-0000-0000-0000FCB50000}"/>
    <cellStyle name="req 2 2 5 4 2 4" xfId="46739" xr:uid="{00000000-0005-0000-0000-0000FDB50000}"/>
    <cellStyle name="req 2 2 5 4 2 5" xfId="46740" xr:uid="{00000000-0005-0000-0000-0000FEB50000}"/>
    <cellStyle name="req 2 2 5 4 3" xfId="46741" xr:uid="{00000000-0005-0000-0000-0000FFB50000}"/>
    <cellStyle name="req 2 2 5 4 3 2" xfId="46742" xr:uid="{00000000-0005-0000-0000-000000B60000}"/>
    <cellStyle name="req 2 2 5 4 4" xfId="46743" xr:uid="{00000000-0005-0000-0000-000001B60000}"/>
    <cellStyle name="req 2 2 5 4 4 2" xfId="46744" xr:uid="{00000000-0005-0000-0000-000002B60000}"/>
    <cellStyle name="req 2 2 5 4 5" xfId="46745" xr:uid="{00000000-0005-0000-0000-000003B60000}"/>
    <cellStyle name="req 2 2 5 4 6" xfId="46746" xr:uid="{00000000-0005-0000-0000-000004B60000}"/>
    <cellStyle name="req 2 2 5 5" xfId="46747" xr:uid="{00000000-0005-0000-0000-000005B60000}"/>
    <cellStyle name="req 2 2 5 5 2" xfId="46748" xr:uid="{00000000-0005-0000-0000-000006B60000}"/>
    <cellStyle name="req 2 2 5 5 2 2" xfId="46749" xr:uid="{00000000-0005-0000-0000-000007B60000}"/>
    <cellStyle name="req 2 2 5 5 3" xfId="46750" xr:uid="{00000000-0005-0000-0000-000008B60000}"/>
    <cellStyle name="req 2 2 5 5 3 2" xfId="46751" xr:uid="{00000000-0005-0000-0000-000009B60000}"/>
    <cellStyle name="req 2 2 5 5 4" xfId="46752" xr:uid="{00000000-0005-0000-0000-00000AB60000}"/>
    <cellStyle name="req 2 2 5 5 5" xfId="46753" xr:uid="{00000000-0005-0000-0000-00000BB60000}"/>
    <cellStyle name="req 2 2 5 6" xfId="46754" xr:uid="{00000000-0005-0000-0000-00000CB60000}"/>
    <cellStyle name="req 2 2 5 6 2" xfId="46755" xr:uid="{00000000-0005-0000-0000-00000DB60000}"/>
    <cellStyle name="req 2 2 5 7" xfId="46756" xr:uid="{00000000-0005-0000-0000-00000EB60000}"/>
    <cellStyle name="req 2 2 5 7 2" xfId="46757" xr:uid="{00000000-0005-0000-0000-00000FB60000}"/>
    <cellStyle name="req 2 2 5 8" xfId="46758" xr:uid="{00000000-0005-0000-0000-000010B60000}"/>
    <cellStyle name="req 2 2 5 9" xfId="46759" xr:uid="{00000000-0005-0000-0000-000011B60000}"/>
    <cellStyle name="req 2 2 6" xfId="46760" xr:uid="{00000000-0005-0000-0000-000012B60000}"/>
    <cellStyle name="req 2 2 6 2" xfId="46761" xr:uid="{00000000-0005-0000-0000-000013B60000}"/>
    <cellStyle name="req 2 2 6 2 2" xfId="46762" xr:uid="{00000000-0005-0000-0000-000014B60000}"/>
    <cellStyle name="req 2 2 6 2 2 2" xfId="46763" xr:uid="{00000000-0005-0000-0000-000015B60000}"/>
    <cellStyle name="req 2 2 6 2 2 2 2" xfId="46764" xr:uid="{00000000-0005-0000-0000-000016B60000}"/>
    <cellStyle name="req 2 2 6 2 2 2 2 2" xfId="46765" xr:uid="{00000000-0005-0000-0000-000017B60000}"/>
    <cellStyle name="req 2 2 6 2 2 2 3" xfId="46766" xr:uid="{00000000-0005-0000-0000-000018B60000}"/>
    <cellStyle name="req 2 2 6 2 2 2 3 2" xfId="46767" xr:uid="{00000000-0005-0000-0000-000019B60000}"/>
    <cellStyle name="req 2 2 6 2 2 2 4" xfId="46768" xr:uid="{00000000-0005-0000-0000-00001AB60000}"/>
    <cellStyle name="req 2 2 6 2 2 2 5" xfId="46769" xr:uid="{00000000-0005-0000-0000-00001BB60000}"/>
    <cellStyle name="req 2 2 6 2 2 3" xfId="46770" xr:uid="{00000000-0005-0000-0000-00001CB60000}"/>
    <cellStyle name="req 2 2 6 2 2 3 2" xfId="46771" xr:uid="{00000000-0005-0000-0000-00001DB60000}"/>
    <cellStyle name="req 2 2 6 2 2 4" xfId="46772" xr:uid="{00000000-0005-0000-0000-00001EB60000}"/>
    <cellStyle name="req 2 2 6 2 2 4 2" xfId="46773" xr:uid="{00000000-0005-0000-0000-00001FB60000}"/>
    <cellStyle name="req 2 2 6 2 2 5" xfId="46774" xr:uid="{00000000-0005-0000-0000-000020B60000}"/>
    <cellStyle name="req 2 2 6 2 2 6" xfId="46775" xr:uid="{00000000-0005-0000-0000-000021B60000}"/>
    <cellStyle name="req 2 2 6 2 3" xfId="46776" xr:uid="{00000000-0005-0000-0000-000022B60000}"/>
    <cellStyle name="req 2 2 6 2 3 2" xfId="46777" xr:uid="{00000000-0005-0000-0000-000023B60000}"/>
    <cellStyle name="req 2 2 6 2 3 2 2" xfId="46778" xr:uid="{00000000-0005-0000-0000-000024B60000}"/>
    <cellStyle name="req 2 2 6 2 3 3" xfId="46779" xr:uid="{00000000-0005-0000-0000-000025B60000}"/>
    <cellStyle name="req 2 2 6 2 3 3 2" xfId="46780" xr:uid="{00000000-0005-0000-0000-000026B60000}"/>
    <cellStyle name="req 2 2 6 2 3 4" xfId="46781" xr:uid="{00000000-0005-0000-0000-000027B60000}"/>
    <cellStyle name="req 2 2 6 2 3 5" xfId="46782" xr:uid="{00000000-0005-0000-0000-000028B60000}"/>
    <cellStyle name="req 2 2 6 2 4" xfId="46783" xr:uid="{00000000-0005-0000-0000-000029B60000}"/>
    <cellStyle name="req 2 2 6 2 4 2" xfId="46784" xr:uid="{00000000-0005-0000-0000-00002AB60000}"/>
    <cellStyle name="req 2 2 6 2 5" xfId="46785" xr:uid="{00000000-0005-0000-0000-00002BB60000}"/>
    <cellStyle name="req 2 2 6 2 5 2" xfId="46786" xr:uid="{00000000-0005-0000-0000-00002CB60000}"/>
    <cellStyle name="req 2 2 6 2 6" xfId="46787" xr:uid="{00000000-0005-0000-0000-00002DB60000}"/>
    <cellStyle name="req 2 2 6 2 7" xfId="46788" xr:uid="{00000000-0005-0000-0000-00002EB60000}"/>
    <cellStyle name="req 2 2 6 3" xfId="46789" xr:uid="{00000000-0005-0000-0000-00002FB60000}"/>
    <cellStyle name="req 2 2 6 3 2" xfId="46790" xr:uid="{00000000-0005-0000-0000-000030B60000}"/>
    <cellStyle name="req 2 2 6 3 2 2" xfId="46791" xr:uid="{00000000-0005-0000-0000-000031B60000}"/>
    <cellStyle name="req 2 2 6 3 2 2 2" xfId="46792" xr:uid="{00000000-0005-0000-0000-000032B60000}"/>
    <cellStyle name="req 2 2 6 3 2 3" xfId="46793" xr:uid="{00000000-0005-0000-0000-000033B60000}"/>
    <cellStyle name="req 2 2 6 3 2 3 2" xfId="46794" xr:uid="{00000000-0005-0000-0000-000034B60000}"/>
    <cellStyle name="req 2 2 6 3 2 4" xfId="46795" xr:uid="{00000000-0005-0000-0000-000035B60000}"/>
    <cellStyle name="req 2 2 6 3 2 5" xfId="46796" xr:uid="{00000000-0005-0000-0000-000036B60000}"/>
    <cellStyle name="req 2 2 6 3 3" xfId="46797" xr:uid="{00000000-0005-0000-0000-000037B60000}"/>
    <cellStyle name="req 2 2 6 3 3 2" xfId="46798" xr:uid="{00000000-0005-0000-0000-000038B60000}"/>
    <cellStyle name="req 2 2 6 3 4" xfId="46799" xr:uid="{00000000-0005-0000-0000-000039B60000}"/>
    <cellStyle name="req 2 2 6 3 4 2" xfId="46800" xr:uid="{00000000-0005-0000-0000-00003AB60000}"/>
    <cellStyle name="req 2 2 6 3 5" xfId="46801" xr:uid="{00000000-0005-0000-0000-00003BB60000}"/>
    <cellStyle name="req 2 2 6 3 6" xfId="46802" xr:uid="{00000000-0005-0000-0000-00003CB60000}"/>
    <cellStyle name="req 2 2 6 4" xfId="46803" xr:uid="{00000000-0005-0000-0000-00003DB60000}"/>
    <cellStyle name="req 2 2 6 4 2" xfId="46804" xr:uid="{00000000-0005-0000-0000-00003EB60000}"/>
    <cellStyle name="req 2 2 6 4 2 2" xfId="46805" xr:uid="{00000000-0005-0000-0000-00003FB60000}"/>
    <cellStyle name="req 2 2 6 4 3" xfId="46806" xr:uid="{00000000-0005-0000-0000-000040B60000}"/>
    <cellStyle name="req 2 2 6 4 3 2" xfId="46807" xr:uid="{00000000-0005-0000-0000-000041B60000}"/>
    <cellStyle name="req 2 2 6 4 4" xfId="46808" xr:uid="{00000000-0005-0000-0000-000042B60000}"/>
    <cellStyle name="req 2 2 6 4 5" xfId="46809" xr:uid="{00000000-0005-0000-0000-000043B60000}"/>
    <cellStyle name="req 2 2 6 5" xfId="46810" xr:uid="{00000000-0005-0000-0000-000044B60000}"/>
    <cellStyle name="req 2 2 6 5 2" xfId="46811" xr:uid="{00000000-0005-0000-0000-000045B60000}"/>
    <cellStyle name="req 2 2 6 6" xfId="46812" xr:uid="{00000000-0005-0000-0000-000046B60000}"/>
    <cellStyle name="req 2 2 6 6 2" xfId="46813" xr:uid="{00000000-0005-0000-0000-000047B60000}"/>
    <cellStyle name="req 2 2 6 7" xfId="46814" xr:uid="{00000000-0005-0000-0000-000048B60000}"/>
    <cellStyle name="req 2 2 6 8" xfId="46815" xr:uid="{00000000-0005-0000-0000-000049B60000}"/>
    <cellStyle name="req 2 2 7" xfId="46816" xr:uid="{00000000-0005-0000-0000-00004AB60000}"/>
    <cellStyle name="req 2 2 7 2" xfId="46817" xr:uid="{00000000-0005-0000-0000-00004BB60000}"/>
    <cellStyle name="req 2 2 7 2 2" xfId="46818" xr:uid="{00000000-0005-0000-0000-00004CB60000}"/>
    <cellStyle name="req 2 2 7 2 2 2" xfId="46819" xr:uid="{00000000-0005-0000-0000-00004DB60000}"/>
    <cellStyle name="req 2 2 7 2 2 2 2" xfId="46820" xr:uid="{00000000-0005-0000-0000-00004EB60000}"/>
    <cellStyle name="req 2 2 7 2 2 3" xfId="46821" xr:uid="{00000000-0005-0000-0000-00004FB60000}"/>
    <cellStyle name="req 2 2 7 2 2 3 2" xfId="46822" xr:uid="{00000000-0005-0000-0000-000050B60000}"/>
    <cellStyle name="req 2 2 7 2 2 4" xfId="46823" xr:uid="{00000000-0005-0000-0000-000051B60000}"/>
    <cellStyle name="req 2 2 7 2 2 5" xfId="46824" xr:uid="{00000000-0005-0000-0000-000052B60000}"/>
    <cellStyle name="req 2 2 7 2 3" xfId="46825" xr:uid="{00000000-0005-0000-0000-000053B60000}"/>
    <cellStyle name="req 2 2 7 2 3 2" xfId="46826" xr:uid="{00000000-0005-0000-0000-000054B60000}"/>
    <cellStyle name="req 2 2 7 2 4" xfId="46827" xr:uid="{00000000-0005-0000-0000-000055B60000}"/>
    <cellStyle name="req 2 2 7 2 4 2" xfId="46828" xr:uid="{00000000-0005-0000-0000-000056B60000}"/>
    <cellStyle name="req 2 2 7 2 5" xfId="46829" xr:uid="{00000000-0005-0000-0000-000057B60000}"/>
    <cellStyle name="req 2 2 7 2 6" xfId="46830" xr:uid="{00000000-0005-0000-0000-000058B60000}"/>
    <cellStyle name="req 2 2 7 3" xfId="46831" xr:uid="{00000000-0005-0000-0000-000059B60000}"/>
    <cellStyle name="req 2 2 7 3 2" xfId="46832" xr:uid="{00000000-0005-0000-0000-00005AB60000}"/>
    <cellStyle name="req 2 2 7 3 2 2" xfId="46833" xr:uid="{00000000-0005-0000-0000-00005BB60000}"/>
    <cellStyle name="req 2 2 7 3 3" xfId="46834" xr:uid="{00000000-0005-0000-0000-00005CB60000}"/>
    <cellStyle name="req 2 2 7 3 3 2" xfId="46835" xr:uid="{00000000-0005-0000-0000-00005DB60000}"/>
    <cellStyle name="req 2 2 7 3 4" xfId="46836" xr:uid="{00000000-0005-0000-0000-00005EB60000}"/>
    <cellStyle name="req 2 2 7 3 5" xfId="46837" xr:uid="{00000000-0005-0000-0000-00005FB60000}"/>
    <cellStyle name="req 2 2 7 4" xfId="46838" xr:uid="{00000000-0005-0000-0000-000060B60000}"/>
    <cellStyle name="req 2 2 7 4 2" xfId="46839" xr:uid="{00000000-0005-0000-0000-000061B60000}"/>
    <cellStyle name="req 2 2 7 5" xfId="46840" xr:uid="{00000000-0005-0000-0000-000062B60000}"/>
    <cellStyle name="req 2 2 7 5 2" xfId="46841" xr:uid="{00000000-0005-0000-0000-000063B60000}"/>
    <cellStyle name="req 2 2 7 6" xfId="46842" xr:uid="{00000000-0005-0000-0000-000064B60000}"/>
    <cellStyle name="req 2 2 7 7" xfId="46843" xr:uid="{00000000-0005-0000-0000-000065B60000}"/>
    <cellStyle name="req 2 2 8" xfId="46844" xr:uid="{00000000-0005-0000-0000-000066B60000}"/>
    <cellStyle name="req 2 2 8 2" xfId="46845" xr:uid="{00000000-0005-0000-0000-000067B60000}"/>
    <cellStyle name="req 2 2 8 2 2" xfId="46846" xr:uid="{00000000-0005-0000-0000-000068B60000}"/>
    <cellStyle name="req 2 2 8 2 2 2" xfId="46847" xr:uid="{00000000-0005-0000-0000-000069B60000}"/>
    <cellStyle name="req 2 2 8 2 3" xfId="46848" xr:uid="{00000000-0005-0000-0000-00006AB60000}"/>
    <cellStyle name="req 2 2 8 2 3 2" xfId="46849" xr:uid="{00000000-0005-0000-0000-00006BB60000}"/>
    <cellStyle name="req 2 2 8 2 4" xfId="46850" xr:uid="{00000000-0005-0000-0000-00006CB60000}"/>
    <cellStyle name="req 2 2 8 2 5" xfId="46851" xr:uid="{00000000-0005-0000-0000-00006DB60000}"/>
    <cellStyle name="req 2 2 8 3" xfId="46852" xr:uid="{00000000-0005-0000-0000-00006EB60000}"/>
    <cellStyle name="req 2 2 8 3 2" xfId="46853" xr:uid="{00000000-0005-0000-0000-00006FB60000}"/>
    <cellStyle name="req 2 2 8 4" xfId="46854" xr:uid="{00000000-0005-0000-0000-000070B60000}"/>
    <cellStyle name="req 2 2 8 4 2" xfId="46855" xr:uid="{00000000-0005-0000-0000-000071B60000}"/>
    <cellStyle name="req 2 2 8 5" xfId="46856" xr:uid="{00000000-0005-0000-0000-000072B60000}"/>
    <cellStyle name="req 2 2 8 6" xfId="46857" xr:uid="{00000000-0005-0000-0000-000073B60000}"/>
    <cellStyle name="req 2 2 9" xfId="46858" xr:uid="{00000000-0005-0000-0000-000074B60000}"/>
    <cellStyle name="req 2 2 9 2" xfId="46859" xr:uid="{00000000-0005-0000-0000-000075B60000}"/>
    <cellStyle name="req 2 2 9 2 2" xfId="46860" xr:uid="{00000000-0005-0000-0000-000076B60000}"/>
    <cellStyle name="req 2 2 9 3" xfId="46861" xr:uid="{00000000-0005-0000-0000-000077B60000}"/>
    <cellStyle name="req 2 2 9 3 2" xfId="46862" xr:uid="{00000000-0005-0000-0000-000078B60000}"/>
    <cellStyle name="req 2 2 9 4" xfId="46863" xr:uid="{00000000-0005-0000-0000-000079B60000}"/>
    <cellStyle name="req 2 2 9 5" xfId="46864" xr:uid="{00000000-0005-0000-0000-00007AB60000}"/>
    <cellStyle name="req 2 3" xfId="46865" xr:uid="{00000000-0005-0000-0000-00007BB60000}"/>
    <cellStyle name="req 2 3 10" xfId="46866" xr:uid="{00000000-0005-0000-0000-00007CB60000}"/>
    <cellStyle name="req 2 3 10 2" xfId="46867" xr:uid="{00000000-0005-0000-0000-00007DB60000}"/>
    <cellStyle name="req 2 3 11" xfId="46868" xr:uid="{00000000-0005-0000-0000-00007EB60000}"/>
    <cellStyle name="req 2 3 11 2" xfId="46869" xr:uid="{00000000-0005-0000-0000-00007FB60000}"/>
    <cellStyle name="req 2 3 12" xfId="46870" xr:uid="{00000000-0005-0000-0000-000080B60000}"/>
    <cellStyle name="req 2 3 13" xfId="46871" xr:uid="{00000000-0005-0000-0000-000081B60000}"/>
    <cellStyle name="req 2 3 2" xfId="46872" xr:uid="{00000000-0005-0000-0000-000082B60000}"/>
    <cellStyle name="req 2 3 2 2" xfId="46873" xr:uid="{00000000-0005-0000-0000-000083B60000}"/>
    <cellStyle name="req 2 3 2 2 2" xfId="46874" xr:uid="{00000000-0005-0000-0000-000084B60000}"/>
    <cellStyle name="req 2 3 2 2 2 2" xfId="46875" xr:uid="{00000000-0005-0000-0000-000085B60000}"/>
    <cellStyle name="req 2 3 2 2 2 2 2" xfId="46876" xr:uid="{00000000-0005-0000-0000-000086B60000}"/>
    <cellStyle name="req 2 3 2 2 2 2 2 2" xfId="46877" xr:uid="{00000000-0005-0000-0000-000087B60000}"/>
    <cellStyle name="req 2 3 2 2 2 2 2 2 2" xfId="46878" xr:uid="{00000000-0005-0000-0000-000088B60000}"/>
    <cellStyle name="req 2 3 2 2 2 2 2 3" xfId="46879" xr:uid="{00000000-0005-0000-0000-000089B60000}"/>
    <cellStyle name="req 2 3 2 2 2 2 2 3 2" xfId="46880" xr:uid="{00000000-0005-0000-0000-00008AB60000}"/>
    <cellStyle name="req 2 3 2 2 2 2 2 4" xfId="46881" xr:uid="{00000000-0005-0000-0000-00008BB60000}"/>
    <cellStyle name="req 2 3 2 2 2 2 2 5" xfId="46882" xr:uid="{00000000-0005-0000-0000-00008CB60000}"/>
    <cellStyle name="req 2 3 2 2 2 2 3" xfId="46883" xr:uid="{00000000-0005-0000-0000-00008DB60000}"/>
    <cellStyle name="req 2 3 2 2 2 2 3 2" xfId="46884" xr:uid="{00000000-0005-0000-0000-00008EB60000}"/>
    <cellStyle name="req 2 3 2 2 2 2 4" xfId="46885" xr:uid="{00000000-0005-0000-0000-00008FB60000}"/>
    <cellStyle name="req 2 3 2 2 2 2 4 2" xfId="46886" xr:uid="{00000000-0005-0000-0000-000090B60000}"/>
    <cellStyle name="req 2 3 2 2 2 2 5" xfId="46887" xr:uid="{00000000-0005-0000-0000-000091B60000}"/>
    <cellStyle name="req 2 3 2 2 2 2 6" xfId="46888" xr:uid="{00000000-0005-0000-0000-000092B60000}"/>
    <cellStyle name="req 2 3 2 2 2 3" xfId="46889" xr:uid="{00000000-0005-0000-0000-000093B60000}"/>
    <cellStyle name="req 2 3 2 2 2 3 2" xfId="46890" xr:uid="{00000000-0005-0000-0000-000094B60000}"/>
    <cellStyle name="req 2 3 2 2 2 3 2 2" xfId="46891" xr:uid="{00000000-0005-0000-0000-000095B60000}"/>
    <cellStyle name="req 2 3 2 2 2 3 3" xfId="46892" xr:uid="{00000000-0005-0000-0000-000096B60000}"/>
    <cellStyle name="req 2 3 2 2 2 3 3 2" xfId="46893" xr:uid="{00000000-0005-0000-0000-000097B60000}"/>
    <cellStyle name="req 2 3 2 2 2 3 4" xfId="46894" xr:uid="{00000000-0005-0000-0000-000098B60000}"/>
    <cellStyle name="req 2 3 2 2 2 3 5" xfId="46895" xr:uid="{00000000-0005-0000-0000-000099B60000}"/>
    <cellStyle name="req 2 3 2 2 2 4" xfId="46896" xr:uid="{00000000-0005-0000-0000-00009AB60000}"/>
    <cellStyle name="req 2 3 2 2 2 4 2" xfId="46897" xr:uid="{00000000-0005-0000-0000-00009BB60000}"/>
    <cellStyle name="req 2 3 2 2 2 5" xfId="46898" xr:uid="{00000000-0005-0000-0000-00009CB60000}"/>
    <cellStyle name="req 2 3 2 2 2 5 2" xfId="46899" xr:uid="{00000000-0005-0000-0000-00009DB60000}"/>
    <cellStyle name="req 2 3 2 2 2 6" xfId="46900" xr:uid="{00000000-0005-0000-0000-00009EB60000}"/>
    <cellStyle name="req 2 3 2 2 2 7" xfId="46901" xr:uid="{00000000-0005-0000-0000-00009FB60000}"/>
    <cellStyle name="req 2 3 2 2 3" xfId="46902" xr:uid="{00000000-0005-0000-0000-0000A0B60000}"/>
    <cellStyle name="req 2 3 2 2 3 2" xfId="46903" xr:uid="{00000000-0005-0000-0000-0000A1B60000}"/>
    <cellStyle name="req 2 3 2 2 3 2 2" xfId="46904" xr:uid="{00000000-0005-0000-0000-0000A2B60000}"/>
    <cellStyle name="req 2 3 2 2 3 2 2 2" xfId="46905" xr:uid="{00000000-0005-0000-0000-0000A3B60000}"/>
    <cellStyle name="req 2 3 2 2 3 2 3" xfId="46906" xr:uid="{00000000-0005-0000-0000-0000A4B60000}"/>
    <cellStyle name="req 2 3 2 2 3 2 3 2" xfId="46907" xr:uid="{00000000-0005-0000-0000-0000A5B60000}"/>
    <cellStyle name="req 2 3 2 2 3 2 4" xfId="46908" xr:uid="{00000000-0005-0000-0000-0000A6B60000}"/>
    <cellStyle name="req 2 3 2 2 3 2 5" xfId="46909" xr:uid="{00000000-0005-0000-0000-0000A7B60000}"/>
    <cellStyle name="req 2 3 2 2 3 3" xfId="46910" xr:uid="{00000000-0005-0000-0000-0000A8B60000}"/>
    <cellStyle name="req 2 3 2 2 3 3 2" xfId="46911" xr:uid="{00000000-0005-0000-0000-0000A9B60000}"/>
    <cellStyle name="req 2 3 2 2 3 4" xfId="46912" xr:uid="{00000000-0005-0000-0000-0000AAB60000}"/>
    <cellStyle name="req 2 3 2 2 3 4 2" xfId="46913" xr:uid="{00000000-0005-0000-0000-0000ABB60000}"/>
    <cellStyle name="req 2 3 2 2 3 5" xfId="46914" xr:uid="{00000000-0005-0000-0000-0000ACB60000}"/>
    <cellStyle name="req 2 3 2 2 3 6" xfId="46915" xr:uid="{00000000-0005-0000-0000-0000ADB60000}"/>
    <cellStyle name="req 2 3 2 2 4" xfId="46916" xr:uid="{00000000-0005-0000-0000-0000AEB60000}"/>
    <cellStyle name="req 2 3 2 2 4 2" xfId="46917" xr:uid="{00000000-0005-0000-0000-0000AFB60000}"/>
    <cellStyle name="req 2 3 2 2 4 2 2" xfId="46918" xr:uid="{00000000-0005-0000-0000-0000B0B60000}"/>
    <cellStyle name="req 2 3 2 2 4 3" xfId="46919" xr:uid="{00000000-0005-0000-0000-0000B1B60000}"/>
    <cellStyle name="req 2 3 2 2 4 3 2" xfId="46920" xr:uid="{00000000-0005-0000-0000-0000B2B60000}"/>
    <cellStyle name="req 2 3 2 2 4 4" xfId="46921" xr:uid="{00000000-0005-0000-0000-0000B3B60000}"/>
    <cellStyle name="req 2 3 2 2 4 5" xfId="46922" xr:uid="{00000000-0005-0000-0000-0000B4B60000}"/>
    <cellStyle name="req 2 3 2 2 5" xfId="46923" xr:uid="{00000000-0005-0000-0000-0000B5B60000}"/>
    <cellStyle name="req 2 3 2 2 5 2" xfId="46924" xr:uid="{00000000-0005-0000-0000-0000B6B60000}"/>
    <cellStyle name="req 2 3 2 2 6" xfId="46925" xr:uid="{00000000-0005-0000-0000-0000B7B60000}"/>
    <cellStyle name="req 2 3 2 2 6 2" xfId="46926" xr:uid="{00000000-0005-0000-0000-0000B8B60000}"/>
    <cellStyle name="req 2 3 2 2 7" xfId="46927" xr:uid="{00000000-0005-0000-0000-0000B9B60000}"/>
    <cellStyle name="req 2 3 2 2 8" xfId="46928" xr:uid="{00000000-0005-0000-0000-0000BAB60000}"/>
    <cellStyle name="req 2 3 2 3" xfId="46929" xr:uid="{00000000-0005-0000-0000-0000BBB60000}"/>
    <cellStyle name="req 2 3 2 3 2" xfId="46930" xr:uid="{00000000-0005-0000-0000-0000BCB60000}"/>
    <cellStyle name="req 2 3 2 3 2 2" xfId="46931" xr:uid="{00000000-0005-0000-0000-0000BDB60000}"/>
    <cellStyle name="req 2 3 2 3 2 2 2" xfId="46932" xr:uid="{00000000-0005-0000-0000-0000BEB60000}"/>
    <cellStyle name="req 2 3 2 3 2 2 2 2" xfId="46933" xr:uid="{00000000-0005-0000-0000-0000BFB60000}"/>
    <cellStyle name="req 2 3 2 3 2 2 3" xfId="46934" xr:uid="{00000000-0005-0000-0000-0000C0B60000}"/>
    <cellStyle name="req 2 3 2 3 2 2 3 2" xfId="46935" xr:uid="{00000000-0005-0000-0000-0000C1B60000}"/>
    <cellStyle name="req 2 3 2 3 2 2 4" xfId="46936" xr:uid="{00000000-0005-0000-0000-0000C2B60000}"/>
    <cellStyle name="req 2 3 2 3 2 2 5" xfId="46937" xr:uid="{00000000-0005-0000-0000-0000C3B60000}"/>
    <cellStyle name="req 2 3 2 3 2 3" xfId="46938" xr:uid="{00000000-0005-0000-0000-0000C4B60000}"/>
    <cellStyle name="req 2 3 2 3 2 3 2" xfId="46939" xr:uid="{00000000-0005-0000-0000-0000C5B60000}"/>
    <cellStyle name="req 2 3 2 3 2 4" xfId="46940" xr:uid="{00000000-0005-0000-0000-0000C6B60000}"/>
    <cellStyle name="req 2 3 2 3 2 4 2" xfId="46941" xr:uid="{00000000-0005-0000-0000-0000C7B60000}"/>
    <cellStyle name="req 2 3 2 3 2 5" xfId="46942" xr:uid="{00000000-0005-0000-0000-0000C8B60000}"/>
    <cellStyle name="req 2 3 2 3 2 6" xfId="46943" xr:uid="{00000000-0005-0000-0000-0000C9B60000}"/>
    <cellStyle name="req 2 3 2 3 3" xfId="46944" xr:uid="{00000000-0005-0000-0000-0000CAB60000}"/>
    <cellStyle name="req 2 3 2 3 3 2" xfId="46945" xr:uid="{00000000-0005-0000-0000-0000CBB60000}"/>
    <cellStyle name="req 2 3 2 3 3 2 2" xfId="46946" xr:uid="{00000000-0005-0000-0000-0000CCB60000}"/>
    <cellStyle name="req 2 3 2 3 3 3" xfId="46947" xr:uid="{00000000-0005-0000-0000-0000CDB60000}"/>
    <cellStyle name="req 2 3 2 3 3 3 2" xfId="46948" xr:uid="{00000000-0005-0000-0000-0000CEB60000}"/>
    <cellStyle name="req 2 3 2 3 3 4" xfId="46949" xr:uid="{00000000-0005-0000-0000-0000CFB60000}"/>
    <cellStyle name="req 2 3 2 3 3 5" xfId="46950" xr:uid="{00000000-0005-0000-0000-0000D0B60000}"/>
    <cellStyle name="req 2 3 2 3 4" xfId="46951" xr:uid="{00000000-0005-0000-0000-0000D1B60000}"/>
    <cellStyle name="req 2 3 2 3 4 2" xfId="46952" xr:uid="{00000000-0005-0000-0000-0000D2B60000}"/>
    <cellStyle name="req 2 3 2 3 5" xfId="46953" xr:uid="{00000000-0005-0000-0000-0000D3B60000}"/>
    <cellStyle name="req 2 3 2 3 5 2" xfId="46954" xr:uid="{00000000-0005-0000-0000-0000D4B60000}"/>
    <cellStyle name="req 2 3 2 3 6" xfId="46955" xr:uid="{00000000-0005-0000-0000-0000D5B60000}"/>
    <cellStyle name="req 2 3 2 3 7" xfId="46956" xr:uid="{00000000-0005-0000-0000-0000D6B60000}"/>
    <cellStyle name="req 2 3 2 4" xfId="46957" xr:uid="{00000000-0005-0000-0000-0000D7B60000}"/>
    <cellStyle name="req 2 3 2 4 2" xfId="46958" xr:uid="{00000000-0005-0000-0000-0000D8B60000}"/>
    <cellStyle name="req 2 3 2 4 2 2" xfId="46959" xr:uid="{00000000-0005-0000-0000-0000D9B60000}"/>
    <cellStyle name="req 2 3 2 4 2 2 2" xfId="46960" xr:uid="{00000000-0005-0000-0000-0000DAB60000}"/>
    <cellStyle name="req 2 3 2 4 2 3" xfId="46961" xr:uid="{00000000-0005-0000-0000-0000DBB60000}"/>
    <cellStyle name="req 2 3 2 4 2 3 2" xfId="46962" xr:uid="{00000000-0005-0000-0000-0000DCB60000}"/>
    <cellStyle name="req 2 3 2 4 2 4" xfId="46963" xr:uid="{00000000-0005-0000-0000-0000DDB60000}"/>
    <cellStyle name="req 2 3 2 4 2 5" xfId="46964" xr:uid="{00000000-0005-0000-0000-0000DEB60000}"/>
    <cellStyle name="req 2 3 2 4 3" xfId="46965" xr:uid="{00000000-0005-0000-0000-0000DFB60000}"/>
    <cellStyle name="req 2 3 2 4 3 2" xfId="46966" xr:uid="{00000000-0005-0000-0000-0000E0B60000}"/>
    <cellStyle name="req 2 3 2 4 4" xfId="46967" xr:uid="{00000000-0005-0000-0000-0000E1B60000}"/>
    <cellStyle name="req 2 3 2 4 4 2" xfId="46968" xr:uid="{00000000-0005-0000-0000-0000E2B60000}"/>
    <cellStyle name="req 2 3 2 4 5" xfId="46969" xr:uid="{00000000-0005-0000-0000-0000E3B60000}"/>
    <cellStyle name="req 2 3 2 4 6" xfId="46970" xr:uid="{00000000-0005-0000-0000-0000E4B60000}"/>
    <cellStyle name="req 2 3 2 5" xfId="46971" xr:uid="{00000000-0005-0000-0000-0000E5B60000}"/>
    <cellStyle name="req 2 3 2 5 2" xfId="46972" xr:uid="{00000000-0005-0000-0000-0000E6B60000}"/>
    <cellStyle name="req 2 3 2 5 2 2" xfId="46973" xr:uid="{00000000-0005-0000-0000-0000E7B60000}"/>
    <cellStyle name="req 2 3 2 5 3" xfId="46974" xr:uid="{00000000-0005-0000-0000-0000E8B60000}"/>
    <cellStyle name="req 2 3 2 5 3 2" xfId="46975" xr:uid="{00000000-0005-0000-0000-0000E9B60000}"/>
    <cellStyle name="req 2 3 2 5 4" xfId="46976" xr:uid="{00000000-0005-0000-0000-0000EAB60000}"/>
    <cellStyle name="req 2 3 2 5 5" xfId="46977" xr:uid="{00000000-0005-0000-0000-0000EBB60000}"/>
    <cellStyle name="req 2 3 2 6" xfId="46978" xr:uid="{00000000-0005-0000-0000-0000ECB60000}"/>
    <cellStyle name="req 2 3 2 6 2" xfId="46979" xr:uid="{00000000-0005-0000-0000-0000EDB60000}"/>
    <cellStyle name="req 2 3 2 7" xfId="46980" xr:uid="{00000000-0005-0000-0000-0000EEB60000}"/>
    <cellStyle name="req 2 3 2 7 2" xfId="46981" xr:uid="{00000000-0005-0000-0000-0000EFB60000}"/>
    <cellStyle name="req 2 3 2 8" xfId="46982" xr:uid="{00000000-0005-0000-0000-0000F0B60000}"/>
    <cellStyle name="req 2 3 2 9" xfId="46983" xr:uid="{00000000-0005-0000-0000-0000F1B60000}"/>
    <cellStyle name="req 2 3 3" xfId="46984" xr:uid="{00000000-0005-0000-0000-0000F2B60000}"/>
    <cellStyle name="req 2 3 3 2" xfId="46985" xr:uid="{00000000-0005-0000-0000-0000F3B60000}"/>
    <cellStyle name="req 2 3 3 2 2" xfId="46986" xr:uid="{00000000-0005-0000-0000-0000F4B60000}"/>
    <cellStyle name="req 2 3 3 2 2 2" xfId="46987" xr:uid="{00000000-0005-0000-0000-0000F5B60000}"/>
    <cellStyle name="req 2 3 3 2 2 2 2" xfId="46988" xr:uid="{00000000-0005-0000-0000-0000F6B60000}"/>
    <cellStyle name="req 2 3 3 2 2 2 2 2" xfId="46989" xr:uid="{00000000-0005-0000-0000-0000F7B60000}"/>
    <cellStyle name="req 2 3 3 2 2 2 2 2 2" xfId="46990" xr:uid="{00000000-0005-0000-0000-0000F8B60000}"/>
    <cellStyle name="req 2 3 3 2 2 2 2 3" xfId="46991" xr:uid="{00000000-0005-0000-0000-0000F9B60000}"/>
    <cellStyle name="req 2 3 3 2 2 2 2 3 2" xfId="46992" xr:uid="{00000000-0005-0000-0000-0000FAB60000}"/>
    <cellStyle name="req 2 3 3 2 2 2 2 4" xfId="46993" xr:uid="{00000000-0005-0000-0000-0000FBB60000}"/>
    <cellStyle name="req 2 3 3 2 2 2 2 5" xfId="46994" xr:uid="{00000000-0005-0000-0000-0000FCB60000}"/>
    <cellStyle name="req 2 3 3 2 2 2 3" xfId="46995" xr:uid="{00000000-0005-0000-0000-0000FDB60000}"/>
    <cellStyle name="req 2 3 3 2 2 2 3 2" xfId="46996" xr:uid="{00000000-0005-0000-0000-0000FEB60000}"/>
    <cellStyle name="req 2 3 3 2 2 2 4" xfId="46997" xr:uid="{00000000-0005-0000-0000-0000FFB60000}"/>
    <cellStyle name="req 2 3 3 2 2 2 4 2" xfId="46998" xr:uid="{00000000-0005-0000-0000-000000B70000}"/>
    <cellStyle name="req 2 3 3 2 2 2 5" xfId="46999" xr:uid="{00000000-0005-0000-0000-000001B70000}"/>
    <cellStyle name="req 2 3 3 2 2 2 6" xfId="47000" xr:uid="{00000000-0005-0000-0000-000002B70000}"/>
    <cellStyle name="req 2 3 3 2 2 3" xfId="47001" xr:uid="{00000000-0005-0000-0000-000003B70000}"/>
    <cellStyle name="req 2 3 3 2 2 3 2" xfId="47002" xr:uid="{00000000-0005-0000-0000-000004B70000}"/>
    <cellStyle name="req 2 3 3 2 2 3 2 2" xfId="47003" xr:uid="{00000000-0005-0000-0000-000005B70000}"/>
    <cellStyle name="req 2 3 3 2 2 3 3" xfId="47004" xr:uid="{00000000-0005-0000-0000-000006B70000}"/>
    <cellStyle name="req 2 3 3 2 2 3 3 2" xfId="47005" xr:uid="{00000000-0005-0000-0000-000007B70000}"/>
    <cellStyle name="req 2 3 3 2 2 3 4" xfId="47006" xr:uid="{00000000-0005-0000-0000-000008B70000}"/>
    <cellStyle name="req 2 3 3 2 2 3 5" xfId="47007" xr:uid="{00000000-0005-0000-0000-000009B70000}"/>
    <cellStyle name="req 2 3 3 2 2 4" xfId="47008" xr:uid="{00000000-0005-0000-0000-00000AB70000}"/>
    <cellStyle name="req 2 3 3 2 2 4 2" xfId="47009" xr:uid="{00000000-0005-0000-0000-00000BB70000}"/>
    <cellStyle name="req 2 3 3 2 2 5" xfId="47010" xr:uid="{00000000-0005-0000-0000-00000CB70000}"/>
    <cellStyle name="req 2 3 3 2 2 5 2" xfId="47011" xr:uid="{00000000-0005-0000-0000-00000DB70000}"/>
    <cellStyle name="req 2 3 3 2 2 6" xfId="47012" xr:uid="{00000000-0005-0000-0000-00000EB70000}"/>
    <cellStyle name="req 2 3 3 2 2 7" xfId="47013" xr:uid="{00000000-0005-0000-0000-00000FB70000}"/>
    <cellStyle name="req 2 3 3 2 3" xfId="47014" xr:uid="{00000000-0005-0000-0000-000010B70000}"/>
    <cellStyle name="req 2 3 3 2 3 2" xfId="47015" xr:uid="{00000000-0005-0000-0000-000011B70000}"/>
    <cellStyle name="req 2 3 3 2 3 2 2" xfId="47016" xr:uid="{00000000-0005-0000-0000-000012B70000}"/>
    <cellStyle name="req 2 3 3 2 3 2 2 2" xfId="47017" xr:uid="{00000000-0005-0000-0000-000013B70000}"/>
    <cellStyle name="req 2 3 3 2 3 2 3" xfId="47018" xr:uid="{00000000-0005-0000-0000-000014B70000}"/>
    <cellStyle name="req 2 3 3 2 3 2 3 2" xfId="47019" xr:uid="{00000000-0005-0000-0000-000015B70000}"/>
    <cellStyle name="req 2 3 3 2 3 2 4" xfId="47020" xr:uid="{00000000-0005-0000-0000-000016B70000}"/>
    <cellStyle name="req 2 3 3 2 3 2 5" xfId="47021" xr:uid="{00000000-0005-0000-0000-000017B70000}"/>
    <cellStyle name="req 2 3 3 2 3 3" xfId="47022" xr:uid="{00000000-0005-0000-0000-000018B70000}"/>
    <cellStyle name="req 2 3 3 2 3 3 2" xfId="47023" xr:uid="{00000000-0005-0000-0000-000019B70000}"/>
    <cellStyle name="req 2 3 3 2 3 4" xfId="47024" xr:uid="{00000000-0005-0000-0000-00001AB70000}"/>
    <cellStyle name="req 2 3 3 2 3 4 2" xfId="47025" xr:uid="{00000000-0005-0000-0000-00001BB70000}"/>
    <cellStyle name="req 2 3 3 2 3 5" xfId="47026" xr:uid="{00000000-0005-0000-0000-00001CB70000}"/>
    <cellStyle name="req 2 3 3 2 3 6" xfId="47027" xr:uid="{00000000-0005-0000-0000-00001DB70000}"/>
    <cellStyle name="req 2 3 3 2 4" xfId="47028" xr:uid="{00000000-0005-0000-0000-00001EB70000}"/>
    <cellStyle name="req 2 3 3 2 4 2" xfId="47029" xr:uid="{00000000-0005-0000-0000-00001FB70000}"/>
    <cellStyle name="req 2 3 3 2 4 2 2" xfId="47030" xr:uid="{00000000-0005-0000-0000-000020B70000}"/>
    <cellStyle name="req 2 3 3 2 4 3" xfId="47031" xr:uid="{00000000-0005-0000-0000-000021B70000}"/>
    <cellStyle name="req 2 3 3 2 4 3 2" xfId="47032" xr:uid="{00000000-0005-0000-0000-000022B70000}"/>
    <cellStyle name="req 2 3 3 2 4 4" xfId="47033" xr:uid="{00000000-0005-0000-0000-000023B70000}"/>
    <cellStyle name="req 2 3 3 2 4 5" xfId="47034" xr:uid="{00000000-0005-0000-0000-000024B70000}"/>
    <cellStyle name="req 2 3 3 2 5" xfId="47035" xr:uid="{00000000-0005-0000-0000-000025B70000}"/>
    <cellStyle name="req 2 3 3 2 5 2" xfId="47036" xr:uid="{00000000-0005-0000-0000-000026B70000}"/>
    <cellStyle name="req 2 3 3 2 6" xfId="47037" xr:uid="{00000000-0005-0000-0000-000027B70000}"/>
    <cellStyle name="req 2 3 3 2 6 2" xfId="47038" xr:uid="{00000000-0005-0000-0000-000028B70000}"/>
    <cellStyle name="req 2 3 3 2 7" xfId="47039" xr:uid="{00000000-0005-0000-0000-000029B70000}"/>
    <cellStyle name="req 2 3 3 2 8" xfId="47040" xr:uid="{00000000-0005-0000-0000-00002AB70000}"/>
    <cellStyle name="req 2 3 3 3" xfId="47041" xr:uid="{00000000-0005-0000-0000-00002BB70000}"/>
    <cellStyle name="req 2 3 3 3 2" xfId="47042" xr:uid="{00000000-0005-0000-0000-00002CB70000}"/>
    <cellStyle name="req 2 3 3 3 2 2" xfId="47043" xr:uid="{00000000-0005-0000-0000-00002DB70000}"/>
    <cellStyle name="req 2 3 3 3 2 2 2" xfId="47044" xr:uid="{00000000-0005-0000-0000-00002EB70000}"/>
    <cellStyle name="req 2 3 3 3 2 2 2 2" xfId="47045" xr:uid="{00000000-0005-0000-0000-00002FB70000}"/>
    <cellStyle name="req 2 3 3 3 2 2 3" xfId="47046" xr:uid="{00000000-0005-0000-0000-000030B70000}"/>
    <cellStyle name="req 2 3 3 3 2 2 3 2" xfId="47047" xr:uid="{00000000-0005-0000-0000-000031B70000}"/>
    <cellStyle name="req 2 3 3 3 2 2 4" xfId="47048" xr:uid="{00000000-0005-0000-0000-000032B70000}"/>
    <cellStyle name="req 2 3 3 3 2 2 5" xfId="47049" xr:uid="{00000000-0005-0000-0000-000033B70000}"/>
    <cellStyle name="req 2 3 3 3 2 3" xfId="47050" xr:uid="{00000000-0005-0000-0000-000034B70000}"/>
    <cellStyle name="req 2 3 3 3 2 3 2" xfId="47051" xr:uid="{00000000-0005-0000-0000-000035B70000}"/>
    <cellStyle name="req 2 3 3 3 2 4" xfId="47052" xr:uid="{00000000-0005-0000-0000-000036B70000}"/>
    <cellStyle name="req 2 3 3 3 2 4 2" xfId="47053" xr:uid="{00000000-0005-0000-0000-000037B70000}"/>
    <cellStyle name="req 2 3 3 3 2 5" xfId="47054" xr:uid="{00000000-0005-0000-0000-000038B70000}"/>
    <cellStyle name="req 2 3 3 3 2 6" xfId="47055" xr:uid="{00000000-0005-0000-0000-000039B70000}"/>
    <cellStyle name="req 2 3 3 3 3" xfId="47056" xr:uid="{00000000-0005-0000-0000-00003AB70000}"/>
    <cellStyle name="req 2 3 3 3 3 2" xfId="47057" xr:uid="{00000000-0005-0000-0000-00003BB70000}"/>
    <cellStyle name="req 2 3 3 3 3 2 2" xfId="47058" xr:uid="{00000000-0005-0000-0000-00003CB70000}"/>
    <cellStyle name="req 2 3 3 3 3 3" xfId="47059" xr:uid="{00000000-0005-0000-0000-00003DB70000}"/>
    <cellStyle name="req 2 3 3 3 3 3 2" xfId="47060" xr:uid="{00000000-0005-0000-0000-00003EB70000}"/>
    <cellStyle name="req 2 3 3 3 3 4" xfId="47061" xr:uid="{00000000-0005-0000-0000-00003FB70000}"/>
    <cellStyle name="req 2 3 3 3 3 5" xfId="47062" xr:uid="{00000000-0005-0000-0000-000040B70000}"/>
    <cellStyle name="req 2 3 3 3 4" xfId="47063" xr:uid="{00000000-0005-0000-0000-000041B70000}"/>
    <cellStyle name="req 2 3 3 3 4 2" xfId="47064" xr:uid="{00000000-0005-0000-0000-000042B70000}"/>
    <cellStyle name="req 2 3 3 3 5" xfId="47065" xr:uid="{00000000-0005-0000-0000-000043B70000}"/>
    <cellStyle name="req 2 3 3 3 5 2" xfId="47066" xr:uid="{00000000-0005-0000-0000-000044B70000}"/>
    <cellStyle name="req 2 3 3 3 6" xfId="47067" xr:uid="{00000000-0005-0000-0000-000045B70000}"/>
    <cellStyle name="req 2 3 3 3 7" xfId="47068" xr:uid="{00000000-0005-0000-0000-000046B70000}"/>
    <cellStyle name="req 2 3 3 4" xfId="47069" xr:uid="{00000000-0005-0000-0000-000047B70000}"/>
    <cellStyle name="req 2 3 3 4 2" xfId="47070" xr:uid="{00000000-0005-0000-0000-000048B70000}"/>
    <cellStyle name="req 2 3 3 4 2 2" xfId="47071" xr:uid="{00000000-0005-0000-0000-000049B70000}"/>
    <cellStyle name="req 2 3 3 4 2 2 2" xfId="47072" xr:uid="{00000000-0005-0000-0000-00004AB70000}"/>
    <cellStyle name="req 2 3 3 4 2 3" xfId="47073" xr:uid="{00000000-0005-0000-0000-00004BB70000}"/>
    <cellStyle name="req 2 3 3 4 2 3 2" xfId="47074" xr:uid="{00000000-0005-0000-0000-00004CB70000}"/>
    <cellStyle name="req 2 3 3 4 2 4" xfId="47075" xr:uid="{00000000-0005-0000-0000-00004DB70000}"/>
    <cellStyle name="req 2 3 3 4 2 5" xfId="47076" xr:uid="{00000000-0005-0000-0000-00004EB70000}"/>
    <cellStyle name="req 2 3 3 4 3" xfId="47077" xr:uid="{00000000-0005-0000-0000-00004FB70000}"/>
    <cellStyle name="req 2 3 3 4 3 2" xfId="47078" xr:uid="{00000000-0005-0000-0000-000050B70000}"/>
    <cellStyle name="req 2 3 3 4 4" xfId="47079" xr:uid="{00000000-0005-0000-0000-000051B70000}"/>
    <cellStyle name="req 2 3 3 4 4 2" xfId="47080" xr:uid="{00000000-0005-0000-0000-000052B70000}"/>
    <cellStyle name="req 2 3 3 4 5" xfId="47081" xr:uid="{00000000-0005-0000-0000-000053B70000}"/>
    <cellStyle name="req 2 3 3 4 6" xfId="47082" xr:uid="{00000000-0005-0000-0000-000054B70000}"/>
    <cellStyle name="req 2 3 3 5" xfId="47083" xr:uid="{00000000-0005-0000-0000-000055B70000}"/>
    <cellStyle name="req 2 3 3 5 2" xfId="47084" xr:uid="{00000000-0005-0000-0000-000056B70000}"/>
    <cellStyle name="req 2 3 3 5 2 2" xfId="47085" xr:uid="{00000000-0005-0000-0000-000057B70000}"/>
    <cellStyle name="req 2 3 3 5 3" xfId="47086" xr:uid="{00000000-0005-0000-0000-000058B70000}"/>
    <cellStyle name="req 2 3 3 5 3 2" xfId="47087" xr:uid="{00000000-0005-0000-0000-000059B70000}"/>
    <cellStyle name="req 2 3 3 5 4" xfId="47088" xr:uid="{00000000-0005-0000-0000-00005AB70000}"/>
    <cellStyle name="req 2 3 3 5 5" xfId="47089" xr:uid="{00000000-0005-0000-0000-00005BB70000}"/>
    <cellStyle name="req 2 3 3 6" xfId="47090" xr:uid="{00000000-0005-0000-0000-00005CB70000}"/>
    <cellStyle name="req 2 3 3 6 2" xfId="47091" xr:uid="{00000000-0005-0000-0000-00005DB70000}"/>
    <cellStyle name="req 2 3 3 7" xfId="47092" xr:uid="{00000000-0005-0000-0000-00005EB70000}"/>
    <cellStyle name="req 2 3 3 7 2" xfId="47093" xr:uid="{00000000-0005-0000-0000-00005FB70000}"/>
    <cellStyle name="req 2 3 3 8" xfId="47094" xr:uid="{00000000-0005-0000-0000-000060B70000}"/>
    <cellStyle name="req 2 3 3 9" xfId="47095" xr:uid="{00000000-0005-0000-0000-000061B70000}"/>
    <cellStyle name="req 2 3 4" xfId="47096" xr:uid="{00000000-0005-0000-0000-000062B70000}"/>
    <cellStyle name="req 2 3 4 2" xfId="47097" xr:uid="{00000000-0005-0000-0000-000063B70000}"/>
    <cellStyle name="req 2 3 4 2 2" xfId="47098" xr:uid="{00000000-0005-0000-0000-000064B70000}"/>
    <cellStyle name="req 2 3 4 2 2 2" xfId="47099" xr:uid="{00000000-0005-0000-0000-000065B70000}"/>
    <cellStyle name="req 2 3 4 2 2 2 2" xfId="47100" xr:uid="{00000000-0005-0000-0000-000066B70000}"/>
    <cellStyle name="req 2 3 4 2 2 2 2 2" xfId="47101" xr:uid="{00000000-0005-0000-0000-000067B70000}"/>
    <cellStyle name="req 2 3 4 2 2 2 2 2 2" xfId="47102" xr:uid="{00000000-0005-0000-0000-000068B70000}"/>
    <cellStyle name="req 2 3 4 2 2 2 2 3" xfId="47103" xr:uid="{00000000-0005-0000-0000-000069B70000}"/>
    <cellStyle name="req 2 3 4 2 2 2 2 3 2" xfId="47104" xr:uid="{00000000-0005-0000-0000-00006AB70000}"/>
    <cellStyle name="req 2 3 4 2 2 2 2 4" xfId="47105" xr:uid="{00000000-0005-0000-0000-00006BB70000}"/>
    <cellStyle name="req 2 3 4 2 2 2 2 5" xfId="47106" xr:uid="{00000000-0005-0000-0000-00006CB70000}"/>
    <cellStyle name="req 2 3 4 2 2 2 3" xfId="47107" xr:uid="{00000000-0005-0000-0000-00006DB70000}"/>
    <cellStyle name="req 2 3 4 2 2 2 3 2" xfId="47108" xr:uid="{00000000-0005-0000-0000-00006EB70000}"/>
    <cellStyle name="req 2 3 4 2 2 2 4" xfId="47109" xr:uid="{00000000-0005-0000-0000-00006FB70000}"/>
    <cellStyle name="req 2 3 4 2 2 2 4 2" xfId="47110" xr:uid="{00000000-0005-0000-0000-000070B70000}"/>
    <cellStyle name="req 2 3 4 2 2 2 5" xfId="47111" xr:uid="{00000000-0005-0000-0000-000071B70000}"/>
    <cellStyle name="req 2 3 4 2 2 2 6" xfId="47112" xr:uid="{00000000-0005-0000-0000-000072B70000}"/>
    <cellStyle name="req 2 3 4 2 2 3" xfId="47113" xr:uid="{00000000-0005-0000-0000-000073B70000}"/>
    <cellStyle name="req 2 3 4 2 2 3 2" xfId="47114" xr:uid="{00000000-0005-0000-0000-000074B70000}"/>
    <cellStyle name="req 2 3 4 2 2 3 2 2" xfId="47115" xr:uid="{00000000-0005-0000-0000-000075B70000}"/>
    <cellStyle name="req 2 3 4 2 2 3 3" xfId="47116" xr:uid="{00000000-0005-0000-0000-000076B70000}"/>
    <cellStyle name="req 2 3 4 2 2 3 3 2" xfId="47117" xr:uid="{00000000-0005-0000-0000-000077B70000}"/>
    <cellStyle name="req 2 3 4 2 2 3 4" xfId="47118" xr:uid="{00000000-0005-0000-0000-000078B70000}"/>
    <cellStyle name="req 2 3 4 2 2 3 5" xfId="47119" xr:uid="{00000000-0005-0000-0000-000079B70000}"/>
    <cellStyle name="req 2 3 4 2 2 4" xfId="47120" xr:uid="{00000000-0005-0000-0000-00007AB70000}"/>
    <cellStyle name="req 2 3 4 2 2 4 2" xfId="47121" xr:uid="{00000000-0005-0000-0000-00007BB70000}"/>
    <cellStyle name="req 2 3 4 2 2 5" xfId="47122" xr:uid="{00000000-0005-0000-0000-00007CB70000}"/>
    <cellStyle name="req 2 3 4 2 2 5 2" xfId="47123" xr:uid="{00000000-0005-0000-0000-00007DB70000}"/>
    <cellStyle name="req 2 3 4 2 2 6" xfId="47124" xr:uid="{00000000-0005-0000-0000-00007EB70000}"/>
    <cellStyle name="req 2 3 4 2 2 7" xfId="47125" xr:uid="{00000000-0005-0000-0000-00007FB70000}"/>
    <cellStyle name="req 2 3 4 2 3" xfId="47126" xr:uid="{00000000-0005-0000-0000-000080B70000}"/>
    <cellStyle name="req 2 3 4 2 3 2" xfId="47127" xr:uid="{00000000-0005-0000-0000-000081B70000}"/>
    <cellStyle name="req 2 3 4 2 3 2 2" xfId="47128" xr:uid="{00000000-0005-0000-0000-000082B70000}"/>
    <cellStyle name="req 2 3 4 2 3 2 2 2" xfId="47129" xr:uid="{00000000-0005-0000-0000-000083B70000}"/>
    <cellStyle name="req 2 3 4 2 3 2 3" xfId="47130" xr:uid="{00000000-0005-0000-0000-000084B70000}"/>
    <cellStyle name="req 2 3 4 2 3 2 3 2" xfId="47131" xr:uid="{00000000-0005-0000-0000-000085B70000}"/>
    <cellStyle name="req 2 3 4 2 3 2 4" xfId="47132" xr:uid="{00000000-0005-0000-0000-000086B70000}"/>
    <cellStyle name="req 2 3 4 2 3 2 5" xfId="47133" xr:uid="{00000000-0005-0000-0000-000087B70000}"/>
    <cellStyle name="req 2 3 4 2 3 3" xfId="47134" xr:uid="{00000000-0005-0000-0000-000088B70000}"/>
    <cellStyle name="req 2 3 4 2 3 3 2" xfId="47135" xr:uid="{00000000-0005-0000-0000-000089B70000}"/>
    <cellStyle name="req 2 3 4 2 3 4" xfId="47136" xr:uid="{00000000-0005-0000-0000-00008AB70000}"/>
    <cellStyle name="req 2 3 4 2 3 4 2" xfId="47137" xr:uid="{00000000-0005-0000-0000-00008BB70000}"/>
    <cellStyle name="req 2 3 4 2 3 5" xfId="47138" xr:uid="{00000000-0005-0000-0000-00008CB70000}"/>
    <cellStyle name="req 2 3 4 2 3 6" xfId="47139" xr:uid="{00000000-0005-0000-0000-00008DB70000}"/>
    <cellStyle name="req 2 3 4 2 4" xfId="47140" xr:uid="{00000000-0005-0000-0000-00008EB70000}"/>
    <cellStyle name="req 2 3 4 2 4 2" xfId="47141" xr:uid="{00000000-0005-0000-0000-00008FB70000}"/>
    <cellStyle name="req 2 3 4 2 4 2 2" xfId="47142" xr:uid="{00000000-0005-0000-0000-000090B70000}"/>
    <cellStyle name="req 2 3 4 2 4 3" xfId="47143" xr:uid="{00000000-0005-0000-0000-000091B70000}"/>
    <cellStyle name="req 2 3 4 2 4 3 2" xfId="47144" xr:uid="{00000000-0005-0000-0000-000092B70000}"/>
    <cellStyle name="req 2 3 4 2 4 4" xfId="47145" xr:uid="{00000000-0005-0000-0000-000093B70000}"/>
    <cellStyle name="req 2 3 4 2 4 5" xfId="47146" xr:uid="{00000000-0005-0000-0000-000094B70000}"/>
    <cellStyle name="req 2 3 4 2 5" xfId="47147" xr:uid="{00000000-0005-0000-0000-000095B70000}"/>
    <cellStyle name="req 2 3 4 2 5 2" xfId="47148" xr:uid="{00000000-0005-0000-0000-000096B70000}"/>
    <cellStyle name="req 2 3 4 2 6" xfId="47149" xr:uid="{00000000-0005-0000-0000-000097B70000}"/>
    <cellStyle name="req 2 3 4 2 6 2" xfId="47150" xr:uid="{00000000-0005-0000-0000-000098B70000}"/>
    <cellStyle name="req 2 3 4 2 7" xfId="47151" xr:uid="{00000000-0005-0000-0000-000099B70000}"/>
    <cellStyle name="req 2 3 4 2 8" xfId="47152" xr:uid="{00000000-0005-0000-0000-00009AB70000}"/>
    <cellStyle name="req 2 3 4 3" xfId="47153" xr:uid="{00000000-0005-0000-0000-00009BB70000}"/>
    <cellStyle name="req 2 3 4 3 2" xfId="47154" xr:uid="{00000000-0005-0000-0000-00009CB70000}"/>
    <cellStyle name="req 2 3 4 3 2 2" xfId="47155" xr:uid="{00000000-0005-0000-0000-00009DB70000}"/>
    <cellStyle name="req 2 3 4 3 2 2 2" xfId="47156" xr:uid="{00000000-0005-0000-0000-00009EB70000}"/>
    <cellStyle name="req 2 3 4 3 2 2 2 2" xfId="47157" xr:uid="{00000000-0005-0000-0000-00009FB70000}"/>
    <cellStyle name="req 2 3 4 3 2 2 3" xfId="47158" xr:uid="{00000000-0005-0000-0000-0000A0B70000}"/>
    <cellStyle name="req 2 3 4 3 2 2 3 2" xfId="47159" xr:uid="{00000000-0005-0000-0000-0000A1B70000}"/>
    <cellStyle name="req 2 3 4 3 2 2 4" xfId="47160" xr:uid="{00000000-0005-0000-0000-0000A2B70000}"/>
    <cellStyle name="req 2 3 4 3 2 2 5" xfId="47161" xr:uid="{00000000-0005-0000-0000-0000A3B70000}"/>
    <cellStyle name="req 2 3 4 3 2 3" xfId="47162" xr:uid="{00000000-0005-0000-0000-0000A4B70000}"/>
    <cellStyle name="req 2 3 4 3 2 3 2" xfId="47163" xr:uid="{00000000-0005-0000-0000-0000A5B70000}"/>
    <cellStyle name="req 2 3 4 3 2 4" xfId="47164" xr:uid="{00000000-0005-0000-0000-0000A6B70000}"/>
    <cellStyle name="req 2 3 4 3 2 4 2" xfId="47165" xr:uid="{00000000-0005-0000-0000-0000A7B70000}"/>
    <cellStyle name="req 2 3 4 3 2 5" xfId="47166" xr:uid="{00000000-0005-0000-0000-0000A8B70000}"/>
    <cellStyle name="req 2 3 4 3 2 6" xfId="47167" xr:uid="{00000000-0005-0000-0000-0000A9B70000}"/>
    <cellStyle name="req 2 3 4 3 3" xfId="47168" xr:uid="{00000000-0005-0000-0000-0000AAB70000}"/>
    <cellStyle name="req 2 3 4 3 3 2" xfId="47169" xr:uid="{00000000-0005-0000-0000-0000ABB70000}"/>
    <cellStyle name="req 2 3 4 3 3 2 2" xfId="47170" xr:uid="{00000000-0005-0000-0000-0000ACB70000}"/>
    <cellStyle name="req 2 3 4 3 3 3" xfId="47171" xr:uid="{00000000-0005-0000-0000-0000ADB70000}"/>
    <cellStyle name="req 2 3 4 3 3 3 2" xfId="47172" xr:uid="{00000000-0005-0000-0000-0000AEB70000}"/>
    <cellStyle name="req 2 3 4 3 3 4" xfId="47173" xr:uid="{00000000-0005-0000-0000-0000AFB70000}"/>
    <cellStyle name="req 2 3 4 3 3 5" xfId="47174" xr:uid="{00000000-0005-0000-0000-0000B0B70000}"/>
    <cellStyle name="req 2 3 4 3 4" xfId="47175" xr:uid="{00000000-0005-0000-0000-0000B1B70000}"/>
    <cellStyle name="req 2 3 4 3 4 2" xfId="47176" xr:uid="{00000000-0005-0000-0000-0000B2B70000}"/>
    <cellStyle name="req 2 3 4 3 5" xfId="47177" xr:uid="{00000000-0005-0000-0000-0000B3B70000}"/>
    <cellStyle name="req 2 3 4 3 5 2" xfId="47178" xr:uid="{00000000-0005-0000-0000-0000B4B70000}"/>
    <cellStyle name="req 2 3 4 3 6" xfId="47179" xr:uid="{00000000-0005-0000-0000-0000B5B70000}"/>
    <cellStyle name="req 2 3 4 3 7" xfId="47180" xr:uid="{00000000-0005-0000-0000-0000B6B70000}"/>
    <cellStyle name="req 2 3 4 4" xfId="47181" xr:uid="{00000000-0005-0000-0000-0000B7B70000}"/>
    <cellStyle name="req 2 3 4 4 2" xfId="47182" xr:uid="{00000000-0005-0000-0000-0000B8B70000}"/>
    <cellStyle name="req 2 3 4 4 2 2" xfId="47183" xr:uid="{00000000-0005-0000-0000-0000B9B70000}"/>
    <cellStyle name="req 2 3 4 4 2 2 2" xfId="47184" xr:uid="{00000000-0005-0000-0000-0000BAB70000}"/>
    <cellStyle name="req 2 3 4 4 2 3" xfId="47185" xr:uid="{00000000-0005-0000-0000-0000BBB70000}"/>
    <cellStyle name="req 2 3 4 4 2 3 2" xfId="47186" xr:uid="{00000000-0005-0000-0000-0000BCB70000}"/>
    <cellStyle name="req 2 3 4 4 2 4" xfId="47187" xr:uid="{00000000-0005-0000-0000-0000BDB70000}"/>
    <cellStyle name="req 2 3 4 4 2 5" xfId="47188" xr:uid="{00000000-0005-0000-0000-0000BEB70000}"/>
    <cellStyle name="req 2 3 4 4 3" xfId="47189" xr:uid="{00000000-0005-0000-0000-0000BFB70000}"/>
    <cellStyle name="req 2 3 4 4 3 2" xfId="47190" xr:uid="{00000000-0005-0000-0000-0000C0B70000}"/>
    <cellStyle name="req 2 3 4 4 4" xfId="47191" xr:uid="{00000000-0005-0000-0000-0000C1B70000}"/>
    <cellStyle name="req 2 3 4 4 4 2" xfId="47192" xr:uid="{00000000-0005-0000-0000-0000C2B70000}"/>
    <cellStyle name="req 2 3 4 4 5" xfId="47193" xr:uid="{00000000-0005-0000-0000-0000C3B70000}"/>
    <cellStyle name="req 2 3 4 4 6" xfId="47194" xr:uid="{00000000-0005-0000-0000-0000C4B70000}"/>
    <cellStyle name="req 2 3 4 5" xfId="47195" xr:uid="{00000000-0005-0000-0000-0000C5B70000}"/>
    <cellStyle name="req 2 3 4 5 2" xfId="47196" xr:uid="{00000000-0005-0000-0000-0000C6B70000}"/>
    <cellStyle name="req 2 3 4 5 2 2" xfId="47197" xr:uid="{00000000-0005-0000-0000-0000C7B70000}"/>
    <cellStyle name="req 2 3 4 5 3" xfId="47198" xr:uid="{00000000-0005-0000-0000-0000C8B70000}"/>
    <cellStyle name="req 2 3 4 5 3 2" xfId="47199" xr:uid="{00000000-0005-0000-0000-0000C9B70000}"/>
    <cellStyle name="req 2 3 4 5 4" xfId="47200" xr:uid="{00000000-0005-0000-0000-0000CAB70000}"/>
    <cellStyle name="req 2 3 4 5 5" xfId="47201" xr:uid="{00000000-0005-0000-0000-0000CBB70000}"/>
    <cellStyle name="req 2 3 4 6" xfId="47202" xr:uid="{00000000-0005-0000-0000-0000CCB70000}"/>
    <cellStyle name="req 2 3 4 6 2" xfId="47203" xr:uid="{00000000-0005-0000-0000-0000CDB70000}"/>
    <cellStyle name="req 2 3 4 7" xfId="47204" xr:uid="{00000000-0005-0000-0000-0000CEB70000}"/>
    <cellStyle name="req 2 3 4 7 2" xfId="47205" xr:uid="{00000000-0005-0000-0000-0000CFB70000}"/>
    <cellStyle name="req 2 3 4 8" xfId="47206" xr:uid="{00000000-0005-0000-0000-0000D0B70000}"/>
    <cellStyle name="req 2 3 4 9" xfId="47207" xr:uid="{00000000-0005-0000-0000-0000D1B70000}"/>
    <cellStyle name="req 2 3 5" xfId="47208" xr:uid="{00000000-0005-0000-0000-0000D2B70000}"/>
    <cellStyle name="req 2 3 5 2" xfId="47209" xr:uid="{00000000-0005-0000-0000-0000D3B70000}"/>
    <cellStyle name="req 2 3 5 2 2" xfId="47210" xr:uid="{00000000-0005-0000-0000-0000D4B70000}"/>
    <cellStyle name="req 2 3 5 2 2 2" xfId="47211" xr:uid="{00000000-0005-0000-0000-0000D5B70000}"/>
    <cellStyle name="req 2 3 5 2 2 2 2" xfId="47212" xr:uid="{00000000-0005-0000-0000-0000D6B70000}"/>
    <cellStyle name="req 2 3 5 2 2 2 2 2" xfId="47213" xr:uid="{00000000-0005-0000-0000-0000D7B70000}"/>
    <cellStyle name="req 2 3 5 2 2 2 2 2 2" xfId="47214" xr:uid="{00000000-0005-0000-0000-0000D8B70000}"/>
    <cellStyle name="req 2 3 5 2 2 2 2 3" xfId="47215" xr:uid="{00000000-0005-0000-0000-0000D9B70000}"/>
    <cellStyle name="req 2 3 5 2 2 2 2 3 2" xfId="47216" xr:uid="{00000000-0005-0000-0000-0000DAB70000}"/>
    <cellStyle name="req 2 3 5 2 2 2 2 4" xfId="47217" xr:uid="{00000000-0005-0000-0000-0000DBB70000}"/>
    <cellStyle name="req 2 3 5 2 2 2 2 5" xfId="47218" xr:uid="{00000000-0005-0000-0000-0000DCB70000}"/>
    <cellStyle name="req 2 3 5 2 2 2 3" xfId="47219" xr:uid="{00000000-0005-0000-0000-0000DDB70000}"/>
    <cellStyle name="req 2 3 5 2 2 2 3 2" xfId="47220" xr:uid="{00000000-0005-0000-0000-0000DEB70000}"/>
    <cellStyle name="req 2 3 5 2 2 2 4" xfId="47221" xr:uid="{00000000-0005-0000-0000-0000DFB70000}"/>
    <cellStyle name="req 2 3 5 2 2 2 4 2" xfId="47222" xr:uid="{00000000-0005-0000-0000-0000E0B70000}"/>
    <cellStyle name="req 2 3 5 2 2 2 5" xfId="47223" xr:uid="{00000000-0005-0000-0000-0000E1B70000}"/>
    <cellStyle name="req 2 3 5 2 2 2 6" xfId="47224" xr:uid="{00000000-0005-0000-0000-0000E2B70000}"/>
    <cellStyle name="req 2 3 5 2 2 3" xfId="47225" xr:uid="{00000000-0005-0000-0000-0000E3B70000}"/>
    <cellStyle name="req 2 3 5 2 2 3 2" xfId="47226" xr:uid="{00000000-0005-0000-0000-0000E4B70000}"/>
    <cellStyle name="req 2 3 5 2 2 3 2 2" xfId="47227" xr:uid="{00000000-0005-0000-0000-0000E5B70000}"/>
    <cellStyle name="req 2 3 5 2 2 3 3" xfId="47228" xr:uid="{00000000-0005-0000-0000-0000E6B70000}"/>
    <cellStyle name="req 2 3 5 2 2 3 3 2" xfId="47229" xr:uid="{00000000-0005-0000-0000-0000E7B70000}"/>
    <cellStyle name="req 2 3 5 2 2 3 4" xfId="47230" xr:uid="{00000000-0005-0000-0000-0000E8B70000}"/>
    <cellStyle name="req 2 3 5 2 2 3 5" xfId="47231" xr:uid="{00000000-0005-0000-0000-0000E9B70000}"/>
    <cellStyle name="req 2 3 5 2 2 4" xfId="47232" xr:uid="{00000000-0005-0000-0000-0000EAB70000}"/>
    <cellStyle name="req 2 3 5 2 2 4 2" xfId="47233" xr:uid="{00000000-0005-0000-0000-0000EBB70000}"/>
    <cellStyle name="req 2 3 5 2 2 5" xfId="47234" xr:uid="{00000000-0005-0000-0000-0000ECB70000}"/>
    <cellStyle name="req 2 3 5 2 2 5 2" xfId="47235" xr:uid="{00000000-0005-0000-0000-0000EDB70000}"/>
    <cellStyle name="req 2 3 5 2 2 6" xfId="47236" xr:uid="{00000000-0005-0000-0000-0000EEB70000}"/>
    <cellStyle name="req 2 3 5 2 2 7" xfId="47237" xr:uid="{00000000-0005-0000-0000-0000EFB70000}"/>
    <cellStyle name="req 2 3 5 2 3" xfId="47238" xr:uid="{00000000-0005-0000-0000-0000F0B70000}"/>
    <cellStyle name="req 2 3 5 2 3 2" xfId="47239" xr:uid="{00000000-0005-0000-0000-0000F1B70000}"/>
    <cellStyle name="req 2 3 5 2 3 2 2" xfId="47240" xr:uid="{00000000-0005-0000-0000-0000F2B70000}"/>
    <cellStyle name="req 2 3 5 2 3 2 2 2" xfId="47241" xr:uid="{00000000-0005-0000-0000-0000F3B70000}"/>
    <cellStyle name="req 2 3 5 2 3 2 3" xfId="47242" xr:uid="{00000000-0005-0000-0000-0000F4B70000}"/>
    <cellStyle name="req 2 3 5 2 3 2 3 2" xfId="47243" xr:uid="{00000000-0005-0000-0000-0000F5B70000}"/>
    <cellStyle name="req 2 3 5 2 3 2 4" xfId="47244" xr:uid="{00000000-0005-0000-0000-0000F6B70000}"/>
    <cellStyle name="req 2 3 5 2 3 2 5" xfId="47245" xr:uid="{00000000-0005-0000-0000-0000F7B70000}"/>
    <cellStyle name="req 2 3 5 2 3 3" xfId="47246" xr:uid="{00000000-0005-0000-0000-0000F8B70000}"/>
    <cellStyle name="req 2 3 5 2 3 3 2" xfId="47247" xr:uid="{00000000-0005-0000-0000-0000F9B70000}"/>
    <cellStyle name="req 2 3 5 2 3 4" xfId="47248" xr:uid="{00000000-0005-0000-0000-0000FAB70000}"/>
    <cellStyle name="req 2 3 5 2 3 4 2" xfId="47249" xr:uid="{00000000-0005-0000-0000-0000FBB70000}"/>
    <cellStyle name="req 2 3 5 2 3 5" xfId="47250" xr:uid="{00000000-0005-0000-0000-0000FCB70000}"/>
    <cellStyle name="req 2 3 5 2 3 6" xfId="47251" xr:uid="{00000000-0005-0000-0000-0000FDB70000}"/>
    <cellStyle name="req 2 3 5 2 4" xfId="47252" xr:uid="{00000000-0005-0000-0000-0000FEB70000}"/>
    <cellStyle name="req 2 3 5 2 4 2" xfId="47253" xr:uid="{00000000-0005-0000-0000-0000FFB70000}"/>
    <cellStyle name="req 2 3 5 2 4 2 2" xfId="47254" xr:uid="{00000000-0005-0000-0000-000000B80000}"/>
    <cellStyle name="req 2 3 5 2 4 3" xfId="47255" xr:uid="{00000000-0005-0000-0000-000001B80000}"/>
    <cellStyle name="req 2 3 5 2 4 3 2" xfId="47256" xr:uid="{00000000-0005-0000-0000-000002B80000}"/>
    <cellStyle name="req 2 3 5 2 4 4" xfId="47257" xr:uid="{00000000-0005-0000-0000-000003B80000}"/>
    <cellStyle name="req 2 3 5 2 4 5" xfId="47258" xr:uid="{00000000-0005-0000-0000-000004B80000}"/>
    <cellStyle name="req 2 3 5 2 5" xfId="47259" xr:uid="{00000000-0005-0000-0000-000005B80000}"/>
    <cellStyle name="req 2 3 5 2 5 2" xfId="47260" xr:uid="{00000000-0005-0000-0000-000006B80000}"/>
    <cellStyle name="req 2 3 5 2 6" xfId="47261" xr:uid="{00000000-0005-0000-0000-000007B80000}"/>
    <cellStyle name="req 2 3 5 2 6 2" xfId="47262" xr:uid="{00000000-0005-0000-0000-000008B80000}"/>
    <cellStyle name="req 2 3 5 2 7" xfId="47263" xr:uid="{00000000-0005-0000-0000-000009B80000}"/>
    <cellStyle name="req 2 3 5 2 8" xfId="47264" xr:uid="{00000000-0005-0000-0000-00000AB80000}"/>
    <cellStyle name="req 2 3 5 3" xfId="47265" xr:uid="{00000000-0005-0000-0000-00000BB80000}"/>
    <cellStyle name="req 2 3 5 3 2" xfId="47266" xr:uid="{00000000-0005-0000-0000-00000CB80000}"/>
    <cellStyle name="req 2 3 5 3 2 2" xfId="47267" xr:uid="{00000000-0005-0000-0000-00000DB80000}"/>
    <cellStyle name="req 2 3 5 3 2 2 2" xfId="47268" xr:uid="{00000000-0005-0000-0000-00000EB80000}"/>
    <cellStyle name="req 2 3 5 3 2 2 2 2" xfId="47269" xr:uid="{00000000-0005-0000-0000-00000FB80000}"/>
    <cellStyle name="req 2 3 5 3 2 2 3" xfId="47270" xr:uid="{00000000-0005-0000-0000-000010B80000}"/>
    <cellStyle name="req 2 3 5 3 2 2 3 2" xfId="47271" xr:uid="{00000000-0005-0000-0000-000011B80000}"/>
    <cellStyle name="req 2 3 5 3 2 2 4" xfId="47272" xr:uid="{00000000-0005-0000-0000-000012B80000}"/>
    <cellStyle name="req 2 3 5 3 2 2 5" xfId="47273" xr:uid="{00000000-0005-0000-0000-000013B80000}"/>
    <cellStyle name="req 2 3 5 3 2 3" xfId="47274" xr:uid="{00000000-0005-0000-0000-000014B80000}"/>
    <cellStyle name="req 2 3 5 3 2 3 2" xfId="47275" xr:uid="{00000000-0005-0000-0000-000015B80000}"/>
    <cellStyle name="req 2 3 5 3 2 4" xfId="47276" xr:uid="{00000000-0005-0000-0000-000016B80000}"/>
    <cellStyle name="req 2 3 5 3 2 4 2" xfId="47277" xr:uid="{00000000-0005-0000-0000-000017B80000}"/>
    <cellStyle name="req 2 3 5 3 2 5" xfId="47278" xr:uid="{00000000-0005-0000-0000-000018B80000}"/>
    <cellStyle name="req 2 3 5 3 2 6" xfId="47279" xr:uid="{00000000-0005-0000-0000-000019B80000}"/>
    <cellStyle name="req 2 3 5 3 3" xfId="47280" xr:uid="{00000000-0005-0000-0000-00001AB80000}"/>
    <cellStyle name="req 2 3 5 3 3 2" xfId="47281" xr:uid="{00000000-0005-0000-0000-00001BB80000}"/>
    <cellStyle name="req 2 3 5 3 3 2 2" xfId="47282" xr:uid="{00000000-0005-0000-0000-00001CB80000}"/>
    <cellStyle name="req 2 3 5 3 3 3" xfId="47283" xr:uid="{00000000-0005-0000-0000-00001DB80000}"/>
    <cellStyle name="req 2 3 5 3 3 3 2" xfId="47284" xr:uid="{00000000-0005-0000-0000-00001EB80000}"/>
    <cellStyle name="req 2 3 5 3 3 4" xfId="47285" xr:uid="{00000000-0005-0000-0000-00001FB80000}"/>
    <cellStyle name="req 2 3 5 3 3 5" xfId="47286" xr:uid="{00000000-0005-0000-0000-000020B80000}"/>
    <cellStyle name="req 2 3 5 3 4" xfId="47287" xr:uid="{00000000-0005-0000-0000-000021B80000}"/>
    <cellStyle name="req 2 3 5 3 4 2" xfId="47288" xr:uid="{00000000-0005-0000-0000-000022B80000}"/>
    <cellStyle name="req 2 3 5 3 5" xfId="47289" xr:uid="{00000000-0005-0000-0000-000023B80000}"/>
    <cellStyle name="req 2 3 5 3 5 2" xfId="47290" xr:uid="{00000000-0005-0000-0000-000024B80000}"/>
    <cellStyle name="req 2 3 5 3 6" xfId="47291" xr:uid="{00000000-0005-0000-0000-000025B80000}"/>
    <cellStyle name="req 2 3 5 3 7" xfId="47292" xr:uid="{00000000-0005-0000-0000-000026B80000}"/>
    <cellStyle name="req 2 3 5 4" xfId="47293" xr:uid="{00000000-0005-0000-0000-000027B80000}"/>
    <cellStyle name="req 2 3 5 4 2" xfId="47294" xr:uid="{00000000-0005-0000-0000-000028B80000}"/>
    <cellStyle name="req 2 3 5 4 2 2" xfId="47295" xr:uid="{00000000-0005-0000-0000-000029B80000}"/>
    <cellStyle name="req 2 3 5 4 2 2 2" xfId="47296" xr:uid="{00000000-0005-0000-0000-00002AB80000}"/>
    <cellStyle name="req 2 3 5 4 2 3" xfId="47297" xr:uid="{00000000-0005-0000-0000-00002BB80000}"/>
    <cellStyle name="req 2 3 5 4 2 3 2" xfId="47298" xr:uid="{00000000-0005-0000-0000-00002CB80000}"/>
    <cellStyle name="req 2 3 5 4 2 4" xfId="47299" xr:uid="{00000000-0005-0000-0000-00002DB80000}"/>
    <cellStyle name="req 2 3 5 4 2 5" xfId="47300" xr:uid="{00000000-0005-0000-0000-00002EB80000}"/>
    <cellStyle name="req 2 3 5 4 3" xfId="47301" xr:uid="{00000000-0005-0000-0000-00002FB80000}"/>
    <cellStyle name="req 2 3 5 4 3 2" xfId="47302" xr:uid="{00000000-0005-0000-0000-000030B80000}"/>
    <cellStyle name="req 2 3 5 4 4" xfId="47303" xr:uid="{00000000-0005-0000-0000-000031B80000}"/>
    <cellStyle name="req 2 3 5 4 4 2" xfId="47304" xr:uid="{00000000-0005-0000-0000-000032B80000}"/>
    <cellStyle name="req 2 3 5 4 5" xfId="47305" xr:uid="{00000000-0005-0000-0000-000033B80000}"/>
    <cellStyle name="req 2 3 5 4 6" xfId="47306" xr:uid="{00000000-0005-0000-0000-000034B80000}"/>
    <cellStyle name="req 2 3 5 5" xfId="47307" xr:uid="{00000000-0005-0000-0000-000035B80000}"/>
    <cellStyle name="req 2 3 5 5 2" xfId="47308" xr:uid="{00000000-0005-0000-0000-000036B80000}"/>
    <cellStyle name="req 2 3 5 5 2 2" xfId="47309" xr:uid="{00000000-0005-0000-0000-000037B80000}"/>
    <cellStyle name="req 2 3 5 5 3" xfId="47310" xr:uid="{00000000-0005-0000-0000-000038B80000}"/>
    <cellStyle name="req 2 3 5 5 3 2" xfId="47311" xr:uid="{00000000-0005-0000-0000-000039B80000}"/>
    <cellStyle name="req 2 3 5 5 4" xfId="47312" xr:uid="{00000000-0005-0000-0000-00003AB80000}"/>
    <cellStyle name="req 2 3 5 5 5" xfId="47313" xr:uid="{00000000-0005-0000-0000-00003BB80000}"/>
    <cellStyle name="req 2 3 5 6" xfId="47314" xr:uid="{00000000-0005-0000-0000-00003CB80000}"/>
    <cellStyle name="req 2 3 5 6 2" xfId="47315" xr:uid="{00000000-0005-0000-0000-00003DB80000}"/>
    <cellStyle name="req 2 3 5 7" xfId="47316" xr:uid="{00000000-0005-0000-0000-00003EB80000}"/>
    <cellStyle name="req 2 3 5 7 2" xfId="47317" xr:uid="{00000000-0005-0000-0000-00003FB80000}"/>
    <cellStyle name="req 2 3 5 8" xfId="47318" xr:uid="{00000000-0005-0000-0000-000040B80000}"/>
    <cellStyle name="req 2 3 5 9" xfId="47319" xr:uid="{00000000-0005-0000-0000-000041B80000}"/>
    <cellStyle name="req 2 3 6" xfId="47320" xr:uid="{00000000-0005-0000-0000-000042B80000}"/>
    <cellStyle name="req 2 3 6 2" xfId="47321" xr:uid="{00000000-0005-0000-0000-000043B80000}"/>
    <cellStyle name="req 2 3 6 2 2" xfId="47322" xr:uid="{00000000-0005-0000-0000-000044B80000}"/>
    <cellStyle name="req 2 3 6 2 2 2" xfId="47323" xr:uid="{00000000-0005-0000-0000-000045B80000}"/>
    <cellStyle name="req 2 3 6 2 2 2 2" xfId="47324" xr:uid="{00000000-0005-0000-0000-000046B80000}"/>
    <cellStyle name="req 2 3 6 2 2 2 2 2" xfId="47325" xr:uid="{00000000-0005-0000-0000-000047B80000}"/>
    <cellStyle name="req 2 3 6 2 2 2 3" xfId="47326" xr:uid="{00000000-0005-0000-0000-000048B80000}"/>
    <cellStyle name="req 2 3 6 2 2 2 3 2" xfId="47327" xr:uid="{00000000-0005-0000-0000-000049B80000}"/>
    <cellStyle name="req 2 3 6 2 2 2 4" xfId="47328" xr:uid="{00000000-0005-0000-0000-00004AB80000}"/>
    <cellStyle name="req 2 3 6 2 2 2 5" xfId="47329" xr:uid="{00000000-0005-0000-0000-00004BB80000}"/>
    <cellStyle name="req 2 3 6 2 2 3" xfId="47330" xr:uid="{00000000-0005-0000-0000-00004CB80000}"/>
    <cellStyle name="req 2 3 6 2 2 3 2" xfId="47331" xr:uid="{00000000-0005-0000-0000-00004DB80000}"/>
    <cellStyle name="req 2 3 6 2 2 4" xfId="47332" xr:uid="{00000000-0005-0000-0000-00004EB80000}"/>
    <cellStyle name="req 2 3 6 2 2 4 2" xfId="47333" xr:uid="{00000000-0005-0000-0000-00004FB80000}"/>
    <cellStyle name="req 2 3 6 2 2 5" xfId="47334" xr:uid="{00000000-0005-0000-0000-000050B80000}"/>
    <cellStyle name="req 2 3 6 2 2 6" xfId="47335" xr:uid="{00000000-0005-0000-0000-000051B80000}"/>
    <cellStyle name="req 2 3 6 2 3" xfId="47336" xr:uid="{00000000-0005-0000-0000-000052B80000}"/>
    <cellStyle name="req 2 3 6 2 3 2" xfId="47337" xr:uid="{00000000-0005-0000-0000-000053B80000}"/>
    <cellStyle name="req 2 3 6 2 3 2 2" xfId="47338" xr:uid="{00000000-0005-0000-0000-000054B80000}"/>
    <cellStyle name="req 2 3 6 2 3 3" xfId="47339" xr:uid="{00000000-0005-0000-0000-000055B80000}"/>
    <cellStyle name="req 2 3 6 2 3 3 2" xfId="47340" xr:uid="{00000000-0005-0000-0000-000056B80000}"/>
    <cellStyle name="req 2 3 6 2 3 4" xfId="47341" xr:uid="{00000000-0005-0000-0000-000057B80000}"/>
    <cellStyle name="req 2 3 6 2 3 5" xfId="47342" xr:uid="{00000000-0005-0000-0000-000058B80000}"/>
    <cellStyle name="req 2 3 6 2 4" xfId="47343" xr:uid="{00000000-0005-0000-0000-000059B80000}"/>
    <cellStyle name="req 2 3 6 2 4 2" xfId="47344" xr:uid="{00000000-0005-0000-0000-00005AB80000}"/>
    <cellStyle name="req 2 3 6 2 5" xfId="47345" xr:uid="{00000000-0005-0000-0000-00005BB80000}"/>
    <cellStyle name="req 2 3 6 2 5 2" xfId="47346" xr:uid="{00000000-0005-0000-0000-00005CB80000}"/>
    <cellStyle name="req 2 3 6 2 6" xfId="47347" xr:uid="{00000000-0005-0000-0000-00005DB80000}"/>
    <cellStyle name="req 2 3 6 2 7" xfId="47348" xr:uid="{00000000-0005-0000-0000-00005EB80000}"/>
    <cellStyle name="req 2 3 6 3" xfId="47349" xr:uid="{00000000-0005-0000-0000-00005FB80000}"/>
    <cellStyle name="req 2 3 6 3 2" xfId="47350" xr:uid="{00000000-0005-0000-0000-000060B80000}"/>
    <cellStyle name="req 2 3 6 3 2 2" xfId="47351" xr:uid="{00000000-0005-0000-0000-000061B80000}"/>
    <cellStyle name="req 2 3 6 3 2 2 2" xfId="47352" xr:uid="{00000000-0005-0000-0000-000062B80000}"/>
    <cellStyle name="req 2 3 6 3 2 3" xfId="47353" xr:uid="{00000000-0005-0000-0000-000063B80000}"/>
    <cellStyle name="req 2 3 6 3 2 3 2" xfId="47354" xr:uid="{00000000-0005-0000-0000-000064B80000}"/>
    <cellStyle name="req 2 3 6 3 2 4" xfId="47355" xr:uid="{00000000-0005-0000-0000-000065B80000}"/>
    <cellStyle name="req 2 3 6 3 2 5" xfId="47356" xr:uid="{00000000-0005-0000-0000-000066B80000}"/>
    <cellStyle name="req 2 3 6 3 3" xfId="47357" xr:uid="{00000000-0005-0000-0000-000067B80000}"/>
    <cellStyle name="req 2 3 6 3 3 2" xfId="47358" xr:uid="{00000000-0005-0000-0000-000068B80000}"/>
    <cellStyle name="req 2 3 6 3 4" xfId="47359" xr:uid="{00000000-0005-0000-0000-000069B80000}"/>
    <cellStyle name="req 2 3 6 3 4 2" xfId="47360" xr:uid="{00000000-0005-0000-0000-00006AB80000}"/>
    <cellStyle name="req 2 3 6 3 5" xfId="47361" xr:uid="{00000000-0005-0000-0000-00006BB80000}"/>
    <cellStyle name="req 2 3 6 3 6" xfId="47362" xr:uid="{00000000-0005-0000-0000-00006CB80000}"/>
    <cellStyle name="req 2 3 6 4" xfId="47363" xr:uid="{00000000-0005-0000-0000-00006DB80000}"/>
    <cellStyle name="req 2 3 6 4 2" xfId="47364" xr:uid="{00000000-0005-0000-0000-00006EB80000}"/>
    <cellStyle name="req 2 3 6 4 2 2" xfId="47365" xr:uid="{00000000-0005-0000-0000-00006FB80000}"/>
    <cellStyle name="req 2 3 6 4 3" xfId="47366" xr:uid="{00000000-0005-0000-0000-000070B80000}"/>
    <cellStyle name="req 2 3 6 4 3 2" xfId="47367" xr:uid="{00000000-0005-0000-0000-000071B80000}"/>
    <cellStyle name="req 2 3 6 4 4" xfId="47368" xr:uid="{00000000-0005-0000-0000-000072B80000}"/>
    <cellStyle name="req 2 3 6 4 5" xfId="47369" xr:uid="{00000000-0005-0000-0000-000073B80000}"/>
    <cellStyle name="req 2 3 6 5" xfId="47370" xr:uid="{00000000-0005-0000-0000-000074B80000}"/>
    <cellStyle name="req 2 3 6 5 2" xfId="47371" xr:uid="{00000000-0005-0000-0000-000075B80000}"/>
    <cellStyle name="req 2 3 6 6" xfId="47372" xr:uid="{00000000-0005-0000-0000-000076B80000}"/>
    <cellStyle name="req 2 3 6 6 2" xfId="47373" xr:uid="{00000000-0005-0000-0000-000077B80000}"/>
    <cellStyle name="req 2 3 6 7" xfId="47374" xr:uid="{00000000-0005-0000-0000-000078B80000}"/>
    <cellStyle name="req 2 3 6 8" xfId="47375" xr:uid="{00000000-0005-0000-0000-000079B80000}"/>
    <cellStyle name="req 2 3 7" xfId="47376" xr:uid="{00000000-0005-0000-0000-00007AB80000}"/>
    <cellStyle name="req 2 3 7 2" xfId="47377" xr:uid="{00000000-0005-0000-0000-00007BB80000}"/>
    <cellStyle name="req 2 3 7 2 2" xfId="47378" xr:uid="{00000000-0005-0000-0000-00007CB80000}"/>
    <cellStyle name="req 2 3 7 2 2 2" xfId="47379" xr:uid="{00000000-0005-0000-0000-00007DB80000}"/>
    <cellStyle name="req 2 3 7 2 2 2 2" xfId="47380" xr:uid="{00000000-0005-0000-0000-00007EB80000}"/>
    <cellStyle name="req 2 3 7 2 2 3" xfId="47381" xr:uid="{00000000-0005-0000-0000-00007FB80000}"/>
    <cellStyle name="req 2 3 7 2 2 3 2" xfId="47382" xr:uid="{00000000-0005-0000-0000-000080B80000}"/>
    <cellStyle name="req 2 3 7 2 2 4" xfId="47383" xr:uid="{00000000-0005-0000-0000-000081B80000}"/>
    <cellStyle name="req 2 3 7 2 2 5" xfId="47384" xr:uid="{00000000-0005-0000-0000-000082B80000}"/>
    <cellStyle name="req 2 3 7 2 3" xfId="47385" xr:uid="{00000000-0005-0000-0000-000083B80000}"/>
    <cellStyle name="req 2 3 7 2 3 2" xfId="47386" xr:uid="{00000000-0005-0000-0000-000084B80000}"/>
    <cellStyle name="req 2 3 7 2 4" xfId="47387" xr:uid="{00000000-0005-0000-0000-000085B80000}"/>
    <cellStyle name="req 2 3 7 2 4 2" xfId="47388" xr:uid="{00000000-0005-0000-0000-000086B80000}"/>
    <cellStyle name="req 2 3 7 2 5" xfId="47389" xr:uid="{00000000-0005-0000-0000-000087B80000}"/>
    <cellStyle name="req 2 3 7 2 6" xfId="47390" xr:uid="{00000000-0005-0000-0000-000088B80000}"/>
    <cellStyle name="req 2 3 7 3" xfId="47391" xr:uid="{00000000-0005-0000-0000-000089B80000}"/>
    <cellStyle name="req 2 3 7 3 2" xfId="47392" xr:uid="{00000000-0005-0000-0000-00008AB80000}"/>
    <cellStyle name="req 2 3 7 3 2 2" xfId="47393" xr:uid="{00000000-0005-0000-0000-00008BB80000}"/>
    <cellStyle name="req 2 3 7 3 3" xfId="47394" xr:uid="{00000000-0005-0000-0000-00008CB80000}"/>
    <cellStyle name="req 2 3 7 3 3 2" xfId="47395" xr:uid="{00000000-0005-0000-0000-00008DB80000}"/>
    <cellStyle name="req 2 3 7 3 4" xfId="47396" xr:uid="{00000000-0005-0000-0000-00008EB80000}"/>
    <cellStyle name="req 2 3 7 3 5" xfId="47397" xr:uid="{00000000-0005-0000-0000-00008FB80000}"/>
    <cellStyle name="req 2 3 7 4" xfId="47398" xr:uid="{00000000-0005-0000-0000-000090B80000}"/>
    <cellStyle name="req 2 3 7 4 2" xfId="47399" xr:uid="{00000000-0005-0000-0000-000091B80000}"/>
    <cellStyle name="req 2 3 7 5" xfId="47400" xr:uid="{00000000-0005-0000-0000-000092B80000}"/>
    <cellStyle name="req 2 3 7 5 2" xfId="47401" xr:uid="{00000000-0005-0000-0000-000093B80000}"/>
    <cellStyle name="req 2 3 7 6" xfId="47402" xr:uid="{00000000-0005-0000-0000-000094B80000}"/>
    <cellStyle name="req 2 3 7 7" xfId="47403" xr:uid="{00000000-0005-0000-0000-000095B80000}"/>
    <cellStyle name="req 2 3 8" xfId="47404" xr:uid="{00000000-0005-0000-0000-000096B80000}"/>
    <cellStyle name="req 2 3 8 2" xfId="47405" xr:uid="{00000000-0005-0000-0000-000097B80000}"/>
    <cellStyle name="req 2 3 8 2 2" xfId="47406" xr:uid="{00000000-0005-0000-0000-000098B80000}"/>
    <cellStyle name="req 2 3 8 2 2 2" xfId="47407" xr:uid="{00000000-0005-0000-0000-000099B80000}"/>
    <cellStyle name="req 2 3 8 2 3" xfId="47408" xr:uid="{00000000-0005-0000-0000-00009AB80000}"/>
    <cellStyle name="req 2 3 8 2 3 2" xfId="47409" xr:uid="{00000000-0005-0000-0000-00009BB80000}"/>
    <cellStyle name="req 2 3 8 2 4" xfId="47410" xr:uid="{00000000-0005-0000-0000-00009CB80000}"/>
    <cellStyle name="req 2 3 8 2 5" xfId="47411" xr:uid="{00000000-0005-0000-0000-00009DB80000}"/>
    <cellStyle name="req 2 3 8 3" xfId="47412" xr:uid="{00000000-0005-0000-0000-00009EB80000}"/>
    <cellStyle name="req 2 3 8 3 2" xfId="47413" xr:uid="{00000000-0005-0000-0000-00009FB80000}"/>
    <cellStyle name="req 2 3 8 4" xfId="47414" xr:uid="{00000000-0005-0000-0000-0000A0B80000}"/>
    <cellStyle name="req 2 3 8 4 2" xfId="47415" xr:uid="{00000000-0005-0000-0000-0000A1B80000}"/>
    <cellStyle name="req 2 3 8 5" xfId="47416" xr:uid="{00000000-0005-0000-0000-0000A2B80000}"/>
    <cellStyle name="req 2 3 8 6" xfId="47417" xr:uid="{00000000-0005-0000-0000-0000A3B80000}"/>
    <cellStyle name="req 2 3 9" xfId="47418" xr:uid="{00000000-0005-0000-0000-0000A4B80000}"/>
    <cellStyle name="req 2 3 9 2" xfId="47419" xr:uid="{00000000-0005-0000-0000-0000A5B80000}"/>
    <cellStyle name="req 2 3 9 2 2" xfId="47420" xr:uid="{00000000-0005-0000-0000-0000A6B80000}"/>
    <cellStyle name="req 2 3 9 3" xfId="47421" xr:uid="{00000000-0005-0000-0000-0000A7B80000}"/>
    <cellStyle name="req 2 3 9 3 2" xfId="47422" xr:uid="{00000000-0005-0000-0000-0000A8B80000}"/>
    <cellStyle name="req 2 3 9 4" xfId="47423" xr:uid="{00000000-0005-0000-0000-0000A9B80000}"/>
    <cellStyle name="req 2 3 9 5" xfId="47424" xr:uid="{00000000-0005-0000-0000-0000AAB80000}"/>
    <cellStyle name="req 2 4" xfId="47425" xr:uid="{00000000-0005-0000-0000-0000ABB80000}"/>
    <cellStyle name="req 2 4 10" xfId="47426" xr:uid="{00000000-0005-0000-0000-0000ACB80000}"/>
    <cellStyle name="req 2 4 10 2" xfId="47427" xr:uid="{00000000-0005-0000-0000-0000ADB80000}"/>
    <cellStyle name="req 2 4 11" xfId="47428" xr:uid="{00000000-0005-0000-0000-0000AEB80000}"/>
    <cellStyle name="req 2 4 12" xfId="47429" xr:uid="{00000000-0005-0000-0000-0000AFB80000}"/>
    <cellStyle name="req 2 4 2" xfId="47430" xr:uid="{00000000-0005-0000-0000-0000B0B80000}"/>
    <cellStyle name="req 2 4 2 2" xfId="47431" xr:uid="{00000000-0005-0000-0000-0000B1B80000}"/>
    <cellStyle name="req 2 4 2 2 2" xfId="47432" xr:uid="{00000000-0005-0000-0000-0000B2B80000}"/>
    <cellStyle name="req 2 4 2 2 2 2" xfId="47433" xr:uid="{00000000-0005-0000-0000-0000B3B80000}"/>
    <cellStyle name="req 2 4 2 2 2 2 2" xfId="47434" xr:uid="{00000000-0005-0000-0000-0000B4B80000}"/>
    <cellStyle name="req 2 4 2 2 2 2 2 2" xfId="47435" xr:uid="{00000000-0005-0000-0000-0000B5B80000}"/>
    <cellStyle name="req 2 4 2 2 2 2 2 2 2" xfId="47436" xr:uid="{00000000-0005-0000-0000-0000B6B80000}"/>
    <cellStyle name="req 2 4 2 2 2 2 2 3" xfId="47437" xr:uid="{00000000-0005-0000-0000-0000B7B80000}"/>
    <cellStyle name="req 2 4 2 2 2 2 2 3 2" xfId="47438" xr:uid="{00000000-0005-0000-0000-0000B8B80000}"/>
    <cellStyle name="req 2 4 2 2 2 2 2 4" xfId="47439" xr:uid="{00000000-0005-0000-0000-0000B9B80000}"/>
    <cellStyle name="req 2 4 2 2 2 2 2 5" xfId="47440" xr:uid="{00000000-0005-0000-0000-0000BAB80000}"/>
    <cellStyle name="req 2 4 2 2 2 2 3" xfId="47441" xr:uid="{00000000-0005-0000-0000-0000BBB80000}"/>
    <cellStyle name="req 2 4 2 2 2 2 3 2" xfId="47442" xr:uid="{00000000-0005-0000-0000-0000BCB80000}"/>
    <cellStyle name="req 2 4 2 2 2 2 4" xfId="47443" xr:uid="{00000000-0005-0000-0000-0000BDB80000}"/>
    <cellStyle name="req 2 4 2 2 2 2 4 2" xfId="47444" xr:uid="{00000000-0005-0000-0000-0000BEB80000}"/>
    <cellStyle name="req 2 4 2 2 2 2 5" xfId="47445" xr:uid="{00000000-0005-0000-0000-0000BFB80000}"/>
    <cellStyle name="req 2 4 2 2 2 2 6" xfId="47446" xr:uid="{00000000-0005-0000-0000-0000C0B80000}"/>
    <cellStyle name="req 2 4 2 2 2 3" xfId="47447" xr:uid="{00000000-0005-0000-0000-0000C1B80000}"/>
    <cellStyle name="req 2 4 2 2 2 3 2" xfId="47448" xr:uid="{00000000-0005-0000-0000-0000C2B80000}"/>
    <cellStyle name="req 2 4 2 2 2 3 2 2" xfId="47449" xr:uid="{00000000-0005-0000-0000-0000C3B80000}"/>
    <cellStyle name="req 2 4 2 2 2 3 3" xfId="47450" xr:uid="{00000000-0005-0000-0000-0000C4B80000}"/>
    <cellStyle name="req 2 4 2 2 2 3 3 2" xfId="47451" xr:uid="{00000000-0005-0000-0000-0000C5B80000}"/>
    <cellStyle name="req 2 4 2 2 2 3 4" xfId="47452" xr:uid="{00000000-0005-0000-0000-0000C6B80000}"/>
    <cellStyle name="req 2 4 2 2 2 3 5" xfId="47453" xr:uid="{00000000-0005-0000-0000-0000C7B80000}"/>
    <cellStyle name="req 2 4 2 2 2 4" xfId="47454" xr:uid="{00000000-0005-0000-0000-0000C8B80000}"/>
    <cellStyle name="req 2 4 2 2 2 4 2" xfId="47455" xr:uid="{00000000-0005-0000-0000-0000C9B80000}"/>
    <cellStyle name="req 2 4 2 2 2 5" xfId="47456" xr:uid="{00000000-0005-0000-0000-0000CAB80000}"/>
    <cellStyle name="req 2 4 2 2 2 5 2" xfId="47457" xr:uid="{00000000-0005-0000-0000-0000CBB80000}"/>
    <cellStyle name="req 2 4 2 2 2 6" xfId="47458" xr:uid="{00000000-0005-0000-0000-0000CCB80000}"/>
    <cellStyle name="req 2 4 2 2 2 7" xfId="47459" xr:uid="{00000000-0005-0000-0000-0000CDB80000}"/>
    <cellStyle name="req 2 4 2 2 3" xfId="47460" xr:uid="{00000000-0005-0000-0000-0000CEB80000}"/>
    <cellStyle name="req 2 4 2 2 3 2" xfId="47461" xr:uid="{00000000-0005-0000-0000-0000CFB80000}"/>
    <cellStyle name="req 2 4 2 2 3 2 2" xfId="47462" xr:uid="{00000000-0005-0000-0000-0000D0B80000}"/>
    <cellStyle name="req 2 4 2 2 3 2 2 2" xfId="47463" xr:uid="{00000000-0005-0000-0000-0000D1B80000}"/>
    <cellStyle name="req 2 4 2 2 3 2 3" xfId="47464" xr:uid="{00000000-0005-0000-0000-0000D2B80000}"/>
    <cellStyle name="req 2 4 2 2 3 2 3 2" xfId="47465" xr:uid="{00000000-0005-0000-0000-0000D3B80000}"/>
    <cellStyle name="req 2 4 2 2 3 2 4" xfId="47466" xr:uid="{00000000-0005-0000-0000-0000D4B80000}"/>
    <cellStyle name="req 2 4 2 2 3 2 5" xfId="47467" xr:uid="{00000000-0005-0000-0000-0000D5B80000}"/>
    <cellStyle name="req 2 4 2 2 3 3" xfId="47468" xr:uid="{00000000-0005-0000-0000-0000D6B80000}"/>
    <cellStyle name="req 2 4 2 2 3 3 2" xfId="47469" xr:uid="{00000000-0005-0000-0000-0000D7B80000}"/>
    <cellStyle name="req 2 4 2 2 3 4" xfId="47470" xr:uid="{00000000-0005-0000-0000-0000D8B80000}"/>
    <cellStyle name="req 2 4 2 2 3 4 2" xfId="47471" xr:uid="{00000000-0005-0000-0000-0000D9B80000}"/>
    <cellStyle name="req 2 4 2 2 3 5" xfId="47472" xr:uid="{00000000-0005-0000-0000-0000DAB80000}"/>
    <cellStyle name="req 2 4 2 2 3 6" xfId="47473" xr:uid="{00000000-0005-0000-0000-0000DBB80000}"/>
    <cellStyle name="req 2 4 2 2 4" xfId="47474" xr:uid="{00000000-0005-0000-0000-0000DCB80000}"/>
    <cellStyle name="req 2 4 2 2 4 2" xfId="47475" xr:uid="{00000000-0005-0000-0000-0000DDB80000}"/>
    <cellStyle name="req 2 4 2 2 4 2 2" xfId="47476" xr:uid="{00000000-0005-0000-0000-0000DEB80000}"/>
    <cellStyle name="req 2 4 2 2 4 3" xfId="47477" xr:uid="{00000000-0005-0000-0000-0000DFB80000}"/>
    <cellStyle name="req 2 4 2 2 4 3 2" xfId="47478" xr:uid="{00000000-0005-0000-0000-0000E0B80000}"/>
    <cellStyle name="req 2 4 2 2 4 4" xfId="47479" xr:uid="{00000000-0005-0000-0000-0000E1B80000}"/>
    <cellStyle name="req 2 4 2 2 4 5" xfId="47480" xr:uid="{00000000-0005-0000-0000-0000E2B80000}"/>
    <cellStyle name="req 2 4 2 2 5" xfId="47481" xr:uid="{00000000-0005-0000-0000-0000E3B80000}"/>
    <cellStyle name="req 2 4 2 2 5 2" xfId="47482" xr:uid="{00000000-0005-0000-0000-0000E4B80000}"/>
    <cellStyle name="req 2 4 2 2 6" xfId="47483" xr:uid="{00000000-0005-0000-0000-0000E5B80000}"/>
    <cellStyle name="req 2 4 2 2 6 2" xfId="47484" xr:uid="{00000000-0005-0000-0000-0000E6B80000}"/>
    <cellStyle name="req 2 4 2 2 7" xfId="47485" xr:uid="{00000000-0005-0000-0000-0000E7B80000}"/>
    <cellStyle name="req 2 4 2 2 8" xfId="47486" xr:uid="{00000000-0005-0000-0000-0000E8B80000}"/>
    <cellStyle name="req 2 4 2 3" xfId="47487" xr:uid="{00000000-0005-0000-0000-0000E9B80000}"/>
    <cellStyle name="req 2 4 2 3 2" xfId="47488" xr:uid="{00000000-0005-0000-0000-0000EAB80000}"/>
    <cellStyle name="req 2 4 2 3 2 2" xfId="47489" xr:uid="{00000000-0005-0000-0000-0000EBB80000}"/>
    <cellStyle name="req 2 4 2 3 2 2 2" xfId="47490" xr:uid="{00000000-0005-0000-0000-0000ECB80000}"/>
    <cellStyle name="req 2 4 2 3 2 2 2 2" xfId="47491" xr:uid="{00000000-0005-0000-0000-0000EDB80000}"/>
    <cellStyle name="req 2 4 2 3 2 2 3" xfId="47492" xr:uid="{00000000-0005-0000-0000-0000EEB80000}"/>
    <cellStyle name="req 2 4 2 3 2 2 3 2" xfId="47493" xr:uid="{00000000-0005-0000-0000-0000EFB80000}"/>
    <cellStyle name="req 2 4 2 3 2 2 4" xfId="47494" xr:uid="{00000000-0005-0000-0000-0000F0B80000}"/>
    <cellStyle name="req 2 4 2 3 2 2 5" xfId="47495" xr:uid="{00000000-0005-0000-0000-0000F1B80000}"/>
    <cellStyle name="req 2 4 2 3 2 3" xfId="47496" xr:uid="{00000000-0005-0000-0000-0000F2B80000}"/>
    <cellStyle name="req 2 4 2 3 2 3 2" xfId="47497" xr:uid="{00000000-0005-0000-0000-0000F3B80000}"/>
    <cellStyle name="req 2 4 2 3 2 4" xfId="47498" xr:uid="{00000000-0005-0000-0000-0000F4B80000}"/>
    <cellStyle name="req 2 4 2 3 2 4 2" xfId="47499" xr:uid="{00000000-0005-0000-0000-0000F5B80000}"/>
    <cellStyle name="req 2 4 2 3 2 5" xfId="47500" xr:uid="{00000000-0005-0000-0000-0000F6B80000}"/>
    <cellStyle name="req 2 4 2 3 2 6" xfId="47501" xr:uid="{00000000-0005-0000-0000-0000F7B80000}"/>
    <cellStyle name="req 2 4 2 3 3" xfId="47502" xr:uid="{00000000-0005-0000-0000-0000F8B80000}"/>
    <cellStyle name="req 2 4 2 3 3 2" xfId="47503" xr:uid="{00000000-0005-0000-0000-0000F9B80000}"/>
    <cellStyle name="req 2 4 2 3 3 2 2" xfId="47504" xr:uid="{00000000-0005-0000-0000-0000FAB80000}"/>
    <cellStyle name="req 2 4 2 3 3 3" xfId="47505" xr:uid="{00000000-0005-0000-0000-0000FBB80000}"/>
    <cellStyle name="req 2 4 2 3 3 3 2" xfId="47506" xr:uid="{00000000-0005-0000-0000-0000FCB80000}"/>
    <cellStyle name="req 2 4 2 3 3 4" xfId="47507" xr:uid="{00000000-0005-0000-0000-0000FDB80000}"/>
    <cellStyle name="req 2 4 2 3 3 5" xfId="47508" xr:uid="{00000000-0005-0000-0000-0000FEB80000}"/>
    <cellStyle name="req 2 4 2 3 4" xfId="47509" xr:uid="{00000000-0005-0000-0000-0000FFB80000}"/>
    <cellStyle name="req 2 4 2 3 4 2" xfId="47510" xr:uid="{00000000-0005-0000-0000-000000B90000}"/>
    <cellStyle name="req 2 4 2 3 5" xfId="47511" xr:uid="{00000000-0005-0000-0000-000001B90000}"/>
    <cellStyle name="req 2 4 2 3 5 2" xfId="47512" xr:uid="{00000000-0005-0000-0000-000002B90000}"/>
    <cellStyle name="req 2 4 2 3 6" xfId="47513" xr:uid="{00000000-0005-0000-0000-000003B90000}"/>
    <cellStyle name="req 2 4 2 3 7" xfId="47514" xr:uid="{00000000-0005-0000-0000-000004B90000}"/>
    <cellStyle name="req 2 4 2 4" xfId="47515" xr:uid="{00000000-0005-0000-0000-000005B90000}"/>
    <cellStyle name="req 2 4 2 4 2" xfId="47516" xr:uid="{00000000-0005-0000-0000-000006B90000}"/>
    <cellStyle name="req 2 4 2 4 2 2" xfId="47517" xr:uid="{00000000-0005-0000-0000-000007B90000}"/>
    <cellStyle name="req 2 4 2 4 2 2 2" xfId="47518" xr:uid="{00000000-0005-0000-0000-000008B90000}"/>
    <cellStyle name="req 2 4 2 4 2 3" xfId="47519" xr:uid="{00000000-0005-0000-0000-000009B90000}"/>
    <cellStyle name="req 2 4 2 4 2 3 2" xfId="47520" xr:uid="{00000000-0005-0000-0000-00000AB90000}"/>
    <cellStyle name="req 2 4 2 4 2 4" xfId="47521" xr:uid="{00000000-0005-0000-0000-00000BB90000}"/>
    <cellStyle name="req 2 4 2 4 2 5" xfId="47522" xr:uid="{00000000-0005-0000-0000-00000CB90000}"/>
    <cellStyle name="req 2 4 2 4 3" xfId="47523" xr:uid="{00000000-0005-0000-0000-00000DB90000}"/>
    <cellStyle name="req 2 4 2 4 3 2" xfId="47524" xr:uid="{00000000-0005-0000-0000-00000EB90000}"/>
    <cellStyle name="req 2 4 2 4 4" xfId="47525" xr:uid="{00000000-0005-0000-0000-00000FB90000}"/>
    <cellStyle name="req 2 4 2 4 4 2" xfId="47526" xr:uid="{00000000-0005-0000-0000-000010B90000}"/>
    <cellStyle name="req 2 4 2 4 5" xfId="47527" xr:uid="{00000000-0005-0000-0000-000011B90000}"/>
    <cellStyle name="req 2 4 2 4 6" xfId="47528" xr:uid="{00000000-0005-0000-0000-000012B90000}"/>
    <cellStyle name="req 2 4 2 5" xfId="47529" xr:uid="{00000000-0005-0000-0000-000013B90000}"/>
    <cellStyle name="req 2 4 2 5 2" xfId="47530" xr:uid="{00000000-0005-0000-0000-000014B90000}"/>
    <cellStyle name="req 2 4 2 5 2 2" xfId="47531" xr:uid="{00000000-0005-0000-0000-000015B90000}"/>
    <cellStyle name="req 2 4 2 5 3" xfId="47532" xr:uid="{00000000-0005-0000-0000-000016B90000}"/>
    <cellStyle name="req 2 4 2 5 3 2" xfId="47533" xr:uid="{00000000-0005-0000-0000-000017B90000}"/>
    <cellStyle name="req 2 4 2 5 4" xfId="47534" xr:uid="{00000000-0005-0000-0000-000018B90000}"/>
    <cellStyle name="req 2 4 2 5 5" xfId="47535" xr:uid="{00000000-0005-0000-0000-000019B90000}"/>
    <cellStyle name="req 2 4 2 6" xfId="47536" xr:uid="{00000000-0005-0000-0000-00001AB90000}"/>
    <cellStyle name="req 2 4 2 6 2" xfId="47537" xr:uid="{00000000-0005-0000-0000-00001BB90000}"/>
    <cellStyle name="req 2 4 2 7" xfId="47538" xr:uid="{00000000-0005-0000-0000-00001CB90000}"/>
    <cellStyle name="req 2 4 2 7 2" xfId="47539" xr:uid="{00000000-0005-0000-0000-00001DB90000}"/>
    <cellStyle name="req 2 4 2 8" xfId="47540" xr:uid="{00000000-0005-0000-0000-00001EB90000}"/>
    <cellStyle name="req 2 4 2 9" xfId="47541" xr:uid="{00000000-0005-0000-0000-00001FB90000}"/>
    <cellStyle name="req 2 4 3" xfId="47542" xr:uid="{00000000-0005-0000-0000-000020B90000}"/>
    <cellStyle name="req 2 4 3 2" xfId="47543" xr:uid="{00000000-0005-0000-0000-000021B90000}"/>
    <cellStyle name="req 2 4 3 2 2" xfId="47544" xr:uid="{00000000-0005-0000-0000-000022B90000}"/>
    <cellStyle name="req 2 4 3 2 2 2" xfId="47545" xr:uid="{00000000-0005-0000-0000-000023B90000}"/>
    <cellStyle name="req 2 4 3 2 2 2 2" xfId="47546" xr:uid="{00000000-0005-0000-0000-000024B90000}"/>
    <cellStyle name="req 2 4 3 2 2 2 2 2" xfId="47547" xr:uid="{00000000-0005-0000-0000-000025B90000}"/>
    <cellStyle name="req 2 4 3 2 2 2 2 2 2" xfId="47548" xr:uid="{00000000-0005-0000-0000-000026B90000}"/>
    <cellStyle name="req 2 4 3 2 2 2 2 3" xfId="47549" xr:uid="{00000000-0005-0000-0000-000027B90000}"/>
    <cellStyle name="req 2 4 3 2 2 2 2 3 2" xfId="47550" xr:uid="{00000000-0005-0000-0000-000028B90000}"/>
    <cellStyle name="req 2 4 3 2 2 2 2 4" xfId="47551" xr:uid="{00000000-0005-0000-0000-000029B90000}"/>
    <cellStyle name="req 2 4 3 2 2 2 2 5" xfId="47552" xr:uid="{00000000-0005-0000-0000-00002AB90000}"/>
    <cellStyle name="req 2 4 3 2 2 2 3" xfId="47553" xr:uid="{00000000-0005-0000-0000-00002BB90000}"/>
    <cellStyle name="req 2 4 3 2 2 2 3 2" xfId="47554" xr:uid="{00000000-0005-0000-0000-00002CB90000}"/>
    <cellStyle name="req 2 4 3 2 2 2 4" xfId="47555" xr:uid="{00000000-0005-0000-0000-00002DB90000}"/>
    <cellStyle name="req 2 4 3 2 2 2 4 2" xfId="47556" xr:uid="{00000000-0005-0000-0000-00002EB90000}"/>
    <cellStyle name="req 2 4 3 2 2 2 5" xfId="47557" xr:uid="{00000000-0005-0000-0000-00002FB90000}"/>
    <cellStyle name="req 2 4 3 2 2 2 6" xfId="47558" xr:uid="{00000000-0005-0000-0000-000030B90000}"/>
    <cellStyle name="req 2 4 3 2 2 3" xfId="47559" xr:uid="{00000000-0005-0000-0000-000031B90000}"/>
    <cellStyle name="req 2 4 3 2 2 3 2" xfId="47560" xr:uid="{00000000-0005-0000-0000-000032B90000}"/>
    <cellStyle name="req 2 4 3 2 2 3 2 2" xfId="47561" xr:uid="{00000000-0005-0000-0000-000033B90000}"/>
    <cellStyle name="req 2 4 3 2 2 3 3" xfId="47562" xr:uid="{00000000-0005-0000-0000-000034B90000}"/>
    <cellStyle name="req 2 4 3 2 2 3 3 2" xfId="47563" xr:uid="{00000000-0005-0000-0000-000035B90000}"/>
    <cellStyle name="req 2 4 3 2 2 3 4" xfId="47564" xr:uid="{00000000-0005-0000-0000-000036B90000}"/>
    <cellStyle name="req 2 4 3 2 2 3 5" xfId="47565" xr:uid="{00000000-0005-0000-0000-000037B90000}"/>
    <cellStyle name="req 2 4 3 2 2 4" xfId="47566" xr:uid="{00000000-0005-0000-0000-000038B90000}"/>
    <cellStyle name="req 2 4 3 2 2 4 2" xfId="47567" xr:uid="{00000000-0005-0000-0000-000039B90000}"/>
    <cellStyle name="req 2 4 3 2 2 5" xfId="47568" xr:uid="{00000000-0005-0000-0000-00003AB90000}"/>
    <cellStyle name="req 2 4 3 2 2 5 2" xfId="47569" xr:uid="{00000000-0005-0000-0000-00003BB90000}"/>
    <cellStyle name="req 2 4 3 2 2 6" xfId="47570" xr:uid="{00000000-0005-0000-0000-00003CB90000}"/>
    <cellStyle name="req 2 4 3 2 2 7" xfId="47571" xr:uid="{00000000-0005-0000-0000-00003DB90000}"/>
    <cellStyle name="req 2 4 3 2 3" xfId="47572" xr:uid="{00000000-0005-0000-0000-00003EB90000}"/>
    <cellStyle name="req 2 4 3 2 3 2" xfId="47573" xr:uid="{00000000-0005-0000-0000-00003FB90000}"/>
    <cellStyle name="req 2 4 3 2 3 2 2" xfId="47574" xr:uid="{00000000-0005-0000-0000-000040B90000}"/>
    <cellStyle name="req 2 4 3 2 3 2 2 2" xfId="47575" xr:uid="{00000000-0005-0000-0000-000041B90000}"/>
    <cellStyle name="req 2 4 3 2 3 2 3" xfId="47576" xr:uid="{00000000-0005-0000-0000-000042B90000}"/>
    <cellStyle name="req 2 4 3 2 3 2 3 2" xfId="47577" xr:uid="{00000000-0005-0000-0000-000043B90000}"/>
    <cellStyle name="req 2 4 3 2 3 2 4" xfId="47578" xr:uid="{00000000-0005-0000-0000-000044B90000}"/>
    <cellStyle name="req 2 4 3 2 3 2 5" xfId="47579" xr:uid="{00000000-0005-0000-0000-000045B90000}"/>
    <cellStyle name="req 2 4 3 2 3 3" xfId="47580" xr:uid="{00000000-0005-0000-0000-000046B90000}"/>
    <cellStyle name="req 2 4 3 2 3 3 2" xfId="47581" xr:uid="{00000000-0005-0000-0000-000047B90000}"/>
    <cellStyle name="req 2 4 3 2 3 4" xfId="47582" xr:uid="{00000000-0005-0000-0000-000048B90000}"/>
    <cellStyle name="req 2 4 3 2 3 4 2" xfId="47583" xr:uid="{00000000-0005-0000-0000-000049B90000}"/>
    <cellStyle name="req 2 4 3 2 3 5" xfId="47584" xr:uid="{00000000-0005-0000-0000-00004AB90000}"/>
    <cellStyle name="req 2 4 3 2 3 6" xfId="47585" xr:uid="{00000000-0005-0000-0000-00004BB90000}"/>
    <cellStyle name="req 2 4 3 2 4" xfId="47586" xr:uid="{00000000-0005-0000-0000-00004CB90000}"/>
    <cellStyle name="req 2 4 3 2 4 2" xfId="47587" xr:uid="{00000000-0005-0000-0000-00004DB90000}"/>
    <cellStyle name="req 2 4 3 2 4 2 2" xfId="47588" xr:uid="{00000000-0005-0000-0000-00004EB90000}"/>
    <cellStyle name="req 2 4 3 2 4 3" xfId="47589" xr:uid="{00000000-0005-0000-0000-00004FB90000}"/>
    <cellStyle name="req 2 4 3 2 4 3 2" xfId="47590" xr:uid="{00000000-0005-0000-0000-000050B90000}"/>
    <cellStyle name="req 2 4 3 2 4 4" xfId="47591" xr:uid="{00000000-0005-0000-0000-000051B90000}"/>
    <cellStyle name="req 2 4 3 2 4 5" xfId="47592" xr:uid="{00000000-0005-0000-0000-000052B90000}"/>
    <cellStyle name="req 2 4 3 2 5" xfId="47593" xr:uid="{00000000-0005-0000-0000-000053B90000}"/>
    <cellStyle name="req 2 4 3 2 5 2" xfId="47594" xr:uid="{00000000-0005-0000-0000-000054B90000}"/>
    <cellStyle name="req 2 4 3 2 6" xfId="47595" xr:uid="{00000000-0005-0000-0000-000055B90000}"/>
    <cellStyle name="req 2 4 3 2 6 2" xfId="47596" xr:uid="{00000000-0005-0000-0000-000056B90000}"/>
    <cellStyle name="req 2 4 3 2 7" xfId="47597" xr:uid="{00000000-0005-0000-0000-000057B90000}"/>
    <cellStyle name="req 2 4 3 2 8" xfId="47598" xr:uid="{00000000-0005-0000-0000-000058B90000}"/>
    <cellStyle name="req 2 4 3 3" xfId="47599" xr:uid="{00000000-0005-0000-0000-000059B90000}"/>
    <cellStyle name="req 2 4 3 3 2" xfId="47600" xr:uid="{00000000-0005-0000-0000-00005AB90000}"/>
    <cellStyle name="req 2 4 3 3 2 2" xfId="47601" xr:uid="{00000000-0005-0000-0000-00005BB90000}"/>
    <cellStyle name="req 2 4 3 3 2 2 2" xfId="47602" xr:uid="{00000000-0005-0000-0000-00005CB90000}"/>
    <cellStyle name="req 2 4 3 3 2 2 2 2" xfId="47603" xr:uid="{00000000-0005-0000-0000-00005DB90000}"/>
    <cellStyle name="req 2 4 3 3 2 2 3" xfId="47604" xr:uid="{00000000-0005-0000-0000-00005EB90000}"/>
    <cellStyle name="req 2 4 3 3 2 2 3 2" xfId="47605" xr:uid="{00000000-0005-0000-0000-00005FB90000}"/>
    <cellStyle name="req 2 4 3 3 2 2 4" xfId="47606" xr:uid="{00000000-0005-0000-0000-000060B90000}"/>
    <cellStyle name="req 2 4 3 3 2 2 5" xfId="47607" xr:uid="{00000000-0005-0000-0000-000061B90000}"/>
    <cellStyle name="req 2 4 3 3 2 3" xfId="47608" xr:uid="{00000000-0005-0000-0000-000062B90000}"/>
    <cellStyle name="req 2 4 3 3 2 3 2" xfId="47609" xr:uid="{00000000-0005-0000-0000-000063B90000}"/>
    <cellStyle name="req 2 4 3 3 2 4" xfId="47610" xr:uid="{00000000-0005-0000-0000-000064B90000}"/>
    <cellStyle name="req 2 4 3 3 2 4 2" xfId="47611" xr:uid="{00000000-0005-0000-0000-000065B90000}"/>
    <cellStyle name="req 2 4 3 3 2 5" xfId="47612" xr:uid="{00000000-0005-0000-0000-000066B90000}"/>
    <cellStyle name="req 2 4 3 3 2 6" xfId="47613" xr:uid="{00000000-0005-0000-0000-000067B90000}"/>
    <cellStyle name="req 2 4 3 3 3" xfId="47614" xr:uid="{00000000-0005-0000-0000-000068B90000}"/>
    <cellStyle name="req 2 4 3 3 3 2" xfId="47615" xr:uid="{00000000-0005-0000-0000-000069B90000}"/>
    <cellStyle name="req 2 4 3 3 3 2 2" xfId="47616" xr:uid="{00000000-0005-0000-0000-00006AB90000}"/>
    <cellStyle name="req 2 4 3 3 3 3" xfId="47617" xr:uid="{00000000-0005-0000-0000-00006BB90000}"/>
    <cellStyle name="req 2 4 3 3 3 3 2" xfId="47618" xr:uid="{00000000-0005-0000-0000-00006CB90000}"/>
    <cellStyle name="req 2 4 3 3 3 4" xfId="47619" xr:uid="{00000000-0005-0000-0000-00006DB90000}"/>
    <cellStyle name="req 2 4 3 3 3 5" xfId="47620" xr:uid="{00000000-0005-0000-0000-00006EB90000}"/>
    <cellStyle name="req 2 4 3 3 4" xfId="47621" xr:uid="{00000000-0005-0000-0000-00006FB90000}"/>
    <cellStyle name="req 2 4 3 3 4 2" xfId="47622" xr:uid="{00000000-0005-0000-0000-000070B90000}"/>
    <cellStyle name="req 2 4 3 3 5" xfId="47623" xr:uid="{00000000-0005-0000-0000-000071B90000}"/>
    <cellStyle name="req 2 4 3 3 5 2" xfId="47624" xr:uid="{00000000-0005-0000-0000-000072B90000}"/>
    <cellStyle name="req 2 4 3 3 6" xfId="47625" xr:uid="{00000000-0005-0000-0000-000073B90000}"/>
    <cellStyle name="req 2 4 3 3 7" xfId="47626" xr:uid="{00000000-0005-0000-0000-000074B90000}"/>
    <cellStyle name="req 2 4 3 4" xfId="47627" xr:uid="{00000000-0005-0000-0000-000075B90000}"/>
    <cellStyle name="req 2 4 3 4 2" xfId="47628" xr:uid="{00000000-0005-0000-0000-000076B90000}"/>
    <cellStyle name="req 2 4 3 4 2 2" xfId="47629" xr:uid="{00000000-0005-0000-0000-000077B90000}"/>
    <cellStyle name="req 2 4 3 4 2 2 2" xfId="47630" xr:uid="{00000000-0005-0000-0000-000078B90000}"/>
    <cellStyle name="req 2 4 3 4 2 3" xfId="47631" xr:uid="{00000000-0005-0000-0000-000079B90000}"/>
    <cellStyle name="req 2 4 3 4 2 3 2" xfId="47632" xr:uid="{00000000-0005-0000-0000-00007AB90000}"/>
    <cellStyle name="req 2 4 3 4 2 4" xfId="47633" xr:uid="{00000000-0005-0000-0000-00007BB90000}"/>
    <cellStyle name="req 2 4 3 4 2 5" xfId="47634" xr:uid="{00000000-0005-0000-0000-00007CB90000}"/>
    <cellStyle name="req 2 4 3 4 3" xfId="47635" xr:uid="{00000000-0005-0000-0000-00007DB90000}"/>
    <cellStyle name="req 2 4 3 4 3 2" xfId="47636" xr:uid="{00000000-0005-0000-0000-00007EB90000}"/>
    <cellStyle name="req 2 4 3 4 4" xfId="47637" xr:uid="{00000000-0005-0000-0000-00007FB90000}"/>
    <cellStyle name="req 2 4 3 4 4 2" xfId="47638" xr:uid="{00000000-0005-0000-0000-000080B90000}"/>
    <cellStyle name="req 2 4 3 4 5" xfId="47639" xr:uid="{00000000-0005-0000-0000-000081B90000}"/>
    <cellStyle name="req 2 4 3 4 6" xfId="47640" xr:uid="{00000000-0005-0000-0000-000082B90000}"/>
    <cellStyle name="req 2 4 3 5" xfId="47641" xr:uid="{00000000-0005-0000-0000-000083B90000}"/>
    <cellStyle name="req 2 4 3 5 2" xfId="47642" xr:uid="{00000000-0005-0000-0000-000084B90000}"/>
    <cellStyle name="req 2 4 3 5 2 2" xfId="47643" xr:uid="{00000000-0005-0000-0000-000085B90000}"/>
    <cellStyle name="req 2 4 3 5 3" xfId="47644" xr:uid="{00000000-0005-0000-0000-000086B90000}"/>
    <cellStyle name="req 2 4 3 5 3 2" xfId="47645" xr:uid="{00000000-0005-0000-0000-000087B90000}"/>
    <cellStyle name="req 2 4 3 5 4" xfId="47646" xr:uid="{00000000-0005-0000-0000-000088B90000}"/>
    <cellStyle name="req 2 4 3 5 5" xfId="47647" xr:uid="{00000000-0005-0000-0000-000089B90000}"/>
    <cellStyle name="req 2 4 3 6" xfId="47648" xr:uid="{00000000-0005-0000-0000-00008AB90000}"/>
    <cellStyle name="req 2 4 3 6 2" xfId="47649" xr:uid="{00000000-0005-0000-0000-00008BB90000}"/>
    <cellStyle name="req 2 4 3 7" xfId="47650" xr:uid="{00000000-0005-0000-0000-00008CB90000}"/>
    <cellStyle name="req 2 4 3 7 2" xfId="47651" xr:uid="{00000000-0005-0000-0000-00008DB90000}"/>
    <cellStyle name="req 2 4 3 8" xfId="47652" xr:uid="{00000000-0005-0000-0000-00008EB90000}"/>
    <cellStyle name="req 2 4 3 9" xfId="47653" xr:uid="{00000000-0005-0000-0000-00008FB90000}"/>
    <cellStyle name="req 2 4 4" xfId="47654" xr:uid="{00000000-0005-0000-0000-000090B90000}"/>
    <cellStyle name="req 2 4 4 2" xfId="47655" xr:uid="{00000000-0005-0000-0000-000091B90000}"/>
    <cellStyle name="req 2 4 4 2 2" xfId="47656" xr:uid="{00000000-0005-0000-0000-000092B90000}"/>
    <cellStyle name="req 2 4 4 2 2 2" xfId="47657" xr:uid="{00000000-0005-0000-0000-000093B90000}"/>
    <cellStyle name="req 2 4 4 2 2 2 2" xfId="47658" xr:uid="{00000000-0005-0000-0000-000094B90000}"/>
    <cellStyle name="req 2 4 4 2 2 2 2 2" xfId="47659" xr:uid="{00000000-0005-0000-0000-000095B90000}"/>
    <cellStyle name="req 2 4 4 2 2 2 2 2 2" xfId="47660" xr:uid="{00000000-0005-0000-0000-000096B90000}"/>
    <cellStyle name="req 2 4 4 2 2 2 2 3" xfId="47661" xr:uid="{00000000-0005-0000-0000-000097B90000}"/>
    <cellStyle name="req 2 4 4 2 2 2 2 3 2" xfId="47662" xr:uid="{00000000-0005-0000-0000-000098B90000}"/>
    <cellStyle name="req 2 4 4 2 2 2 2 4" xfId="47663" xr:uid="{00000000-0005-0000-0000-000099B90000}"/>
    <cellStyle name="req 2 4 4 2 2 2 2 5" xfId="47664" xr:uid="{00000000-0005-0000-0000-00009AB90000}"/>
    <cellStyle name="req 2 4 4 2 2 2 3" xfId="47665" xr:uid="{00000000-0005-0000-0000-00009BB90000}"/>
    <cellStyle name="req 2 4 4 2 2 2 3 2" xfId="47666" xr:uid="{00000000-0005-0000-0000-00009CB90000}"/>
    <cellStyle name="req 2 4 4 2 2 2 4" xfId="47667" xr:uid="{00000000-0005-0000-0000-00009DB90000}"/>
    <cellStyle name="req 2 4 4 2 2 2 4 2" xfId="47668" xr:uid="{00000000-0005-0000-0000-00009EB90000}"/>
    <cellStyle name="req 2 4 4 2 2 2 5" xfId="47669" xr:uid="{00000000-0005-0000-0000-00009FB90000}"/>
    <cellStyle name="req 2 4 4 2 2 2 6" xfId="47670" xr:uid="{00000000-0005-0000-0000-0000A0B90000}"/>
    <cellStyle name="req 2 4 4 2 2 3" xfId="47671" xr:uid="{00000000-0005-0000-0000-0000A1B90000}"/>
    <cellStyle name="req 2 4 4 2 2 3 2" xfId="47672" xr:uid="{00000000-0005-0000-0000-0000A2B90000}"/>
    <cellStyle name="req 2 4 4 2 2 3 2 2" xfId="47673" xr:uid="{00000000-0005-0000-0000-0000A3B90000}"/>
    <cellStyle name="req 2 4 4 2 2 3 3" xfId="47674" xr:uid="{00000000-0005-0000-0000-0000A4B90000}"/>
    <cellStyle name="req 2 4 4 2 2 3 3 2" xfId="47675" xr:uid="{00000000-0005-0000-0000-0000A5B90000}"/>
    <cellStyle name="req 2 4 4 2 2 3 4" xfId="47676" xr:uid="{00000000-0005-0000-0000-0000A6B90000}"/>
    <cellStyle name="req 2 4 4 2 2 3 5" xfId="47677" xr:uid="{00000000-0005-0000-0000-0000A7B90000}"/>
    <cellStyle name="req 2 4 4 2 2 4" xfId="47678" xr:uid="{00000000-0005-0000-0000-0000A8B90000}"/>
    <cellStyle name="req 2 4 4 2 2 4 2" xfId="47679" xr:uid="{00000000-0005-0000-0000-0000A9B90000}"/>
    <cellStyle name="req 2 4 4 2 2 5" xfId="47680" xr:uid="{00000000-0005-0000-0000-0000AAB90000}"/>
    <cellStyle name="req 2 4 4 2 2 5 2" xfId="47681" xr:uid="{00000000-0005-0000-0000-0000ABB90000}"/>
    <cellStyle name="req 2 4 4 2 2 6" xfId="47682" xr:uid="{00000000-0005-0000-0000-0000ACB90000}"/>
    <cellStyle name="req 2 4 4 2 2 7" xfId="47683" xr:uid="{00000000-0005-0000-0000-0000ADB90000}"/>
    <cellStyle name="req 2 4 4 2 3" xfId="47684" xr:uid="{00000000-0005-0000-0000-0000AEB90000}"/>
    <cellStyle name="req 2 4 4 2 3 2" xfId="47685" xr:uid="{00000000-0005-0000-0000-0000AFB90000}"/>
    <cellStyle name="req 2 4 4 2 3 2 2" xfId="47686" xr:uid="{00000000-0005-0000-0000-0000B0B90000}"/>
    <cellStyle name="req 2 4 4 2 3 2 2 2" xfId="47687" xr:uid="{00000000-0005-0000-0000-0000B1B90000}"/>
    <cellStyle name="req 2 4 4 2 3 2 3" xfId="47688" xr:uid="{00000000-0005-0000-0000-0000B2B90000}"/>
    <cellStyle name="req 2 4 4 2 3 2 3 2" xfId="47689" xr:uid="{00000000-0005-0000-0000-0000B3B90000}"/>
    <cellStyle name="req 2 4 4 2 3 2 4" xfId="47690" xr:uid="{00000000-0005-0000-0000-0000B4B90000}"/>
    <cellStyle name="req 2 4 4 2 3 2 5" xfId="47691" xr:uid="{00000000-0005-0000-0000-0000B5B90000}"/>
    <cellStyle name="req 2 4 4 2 3 3" xfId="47692" xr:uid="{00000000-0005-0000-0000-0000B6B90000}"/>
    <cellStyle name="req 2 4 4 2 3 3 2" xfId="47693" xr:uid="{00000000-0005-0000-0000-0000B7B90000}"/>
    <cellStyle name="req 2 4 4 2 3 4" xfId="47694" xr:uid="{00000000-0005-0000-0000-0000B8B90000}"/>
    <cellStyle name="req 2 4 4 2 3 4 2" xfId="47695" xr:uid="{00000000-0005-0000-0000-0000B9B90000}"/>
    <cellStyle name="req 2 4 4 2 3 5" xfId="47696" xr:uid="{00000000-0005-0000-0000-0000BAB90000}"/>
    <cellStyle name="req 2 4 4 2 3 6" xfId="47697" xr:uid="{00000000-0005-0000-0000-0000BBB90000}"/>
    <cellStyle name="req 2 4 4 2 4" xfId="47698" xr:uid="{00000000-0005-0000-0000-0000BCB90000}"/>
    <cellStyle name="req 2 4 4 2 4 2" xfId="47699" xr:uid="{00000000-0005-0000-0000-0000BDB90000}"/>
    <cellStyle name="req 2 4 4 2 4 2 2" xfId="47700" xr:uid="{00000000-0005-0000-0000-0000BEB90000}"/>
    <cellStyle name="req 2 4 4 2 4 3" xfId="47701" xr:uid="{00000000-0005-0000-0000-0000BFB90000}"/>
    <cellStyle name="req 2 4 4 2 4 3 2" xfId="47702" xr:uid="{00000000-0005-0000-0000-0000C0B90000}"/>
    <cellStyle name="req 2 4 4 2 4 4" xfId="47703" xr:uid="{00000000-0005-0000-0000-0000C1B90000}"/>
    <cellStyle name="req 2 4 4 2 4 5" xfId="47704" xr:uid="{00000000-0005-0000-0000-0000C2B90000}"/>
    <cellStyle name="req 2 4 4 2 5" xfId="47705" xr:uid="{00000000-0005-0000-0000-0000C3B90000}"/>
    <cellStyle name="req 2 4 4 2 5 2" xfId="47706" xr:uid="{00000000-0005-0000-0000-0000C4B90000}"/>
    <cellStyle name="req 2 4 4 2 6" xfId="47707" xr:uid="{00000000-0005-0000-0000-0000C5B90000}"/>
    <cellStyle name="req 2 4 4 2 6 2" xfId="47708" xr:uid="{00000000-0005-0000-0000-0000C6B90000}"/>
    <cellStyle name="req 2 4 4 2 7" xfId="47709" xr:uid="{00000000-0005-0000-0000-0000C7B90000}"/>
    <cellStyle name="req 2 4 4 2 8" xfId="47710" xr:uid="{00000000-0005-0000-0000-0000C8B90000}"/>
    <cellStyle name="req 2 4 4 3" xfId="47711" xr:uid="{00000000-0005-0000-0000-0000C9B90000}"/>
    <cellStyle name="req 2 4 4 3 2" xfId="47712" xr:uid="{00000000-0005-0000-0000-0000CAB90000}"/>
    <cellStyle name="req 2 4 4 3 2 2" xfId="47713" xr:uid="{00000000-0005-0000-0000-0000CBB90000}"/>
    <cellStyle name="req 2 4 4 3 2 2 2" xfId="47714" xr:uid="{00000000-0005-0000-0000-0000CCB90000}"/>
    <cellStyle name="req 2 4 4 3 2 2 2 2" xfId="47715" xr:uid="{00000000-0005-0000-0000-0000CDB90000}"/>
    <cellStyle name="req 2 4 4 3 2 2 3" xfId="47716" xr:uid="{00000000-0005-0000-0000-0000CEB90000}"/>
    <cellStyle name="req 2 4 4 3 2 2 3 2" xfId="47717" xr:uid="{00000000-0005-0000-0000-0000CFB90000}"/>
    <cellStyle name="req 2 4 4 3 2 2 4" xfId="47718" xr:uid="{00000000-0005-0000-0000-0000D0B90000}"/>
    <cellStyle name="req 2 4 4 3 2 2 5" xfId="47719" xr:uid="{00000000-0005-0000-0000-0000D1B90000}"/>
    <cellStyle name="req 2 4 4 3 2 3" xfId="47720" xr:uid="{00000000-0005-0000-0000-0000D2B90000}"/>
    <cellStyle name="req 2 4 4 3 2 3 2" xfId="47721" xr:uid="{00000000-0005-0000-0000-0000D3B90000}"/>
    <cellStyle name="req 2 4 4 3 2 4" xfId="47722" xr:uid="{00000000-0005-0000-0000-0000D4B90000}"/>
    <cellStyle name="req 2 4 4 3 2 4 2" xfId="47723" xr:uid="{00000000-0005-0000-0000-0000D5B90000}"/>
    <cellStyle name="req 2 4 4 3 2 5" xfId="47724" xr:uid="{00000000-0005-0000-0000-0000D6B90000}"/>
    <cellStyle name="req 2 4 4 3 2 6" xfId="47725" xr:uid="{00000000-0005-0000-0000-0000D7B90000}"/>
    <cellStyle name="req 2 4 4 3 3" xfId="47726" xr:uid="{00000000-0005-0000-0000-0000D8B90000}"/>
    <cellStyle name="req 2 4 4 3 3 2" xfId="47727" xr:uid="{00000000-0005-0000-0000-0000D9B90000}"/>
    <cellStyle name="req 2 4 4 3 3 2 2" xfId="47728" xr:uid="{00000000-0005-0000-0000-0000DAB90000}"/>
    <cellStyle name="req 2 4 4 3 3 3" xfId="47729" xr:uid="{00000000-0005-0000-0000-0000DBB90000}"/>
    <cellStyle name="req 2 4 4 3 3 3 2" xfId="47730" xr:uid="{00000000-0005-0000-0000-0000DCB90000}"/>
    <cellStyle name="req 2 4 4 3 3 4" xfId="47731" xr:uid="{00000000-0005-0000-0000-0000DDB90000}"/>
    <cellStyle name="req 2 4 4 3 3 5" xfId="47732" xr:uid="{00000000-0005-0000-0000-0000DEB90000}"/>
    <cellStyle name="req 2 4 4 3 4" xfId="47733" xr:uid="{00000000-0005-0000-0000-0000DFB90000}"/>
    <cellStyle name="req 2 4 4 3 4 2" xfId="47734" xr:uid="{00000000-0005-0000-0000-0000E0B90000}"/>
    <cellStyle name="req 2 4 4 3 5" xfId="47735" xr:uid="{00000000-0005-0000-0000-0000E1B90000}"/>
    <cellStyle name="req 2 4 4 3 5 2" xfId="47736" xr:uid="{00000000-0005-0000-0000-0000E2B90000}"/>
    <cellStyle name="req 2 4 4 3 6" xfId="47737" xr:uid="{00000000-0005-0000-0000-0000E3B90000}"/>
    <cellStyle name="req 2 4 4 3 7" xfId="47738" xr:uid="{00000000-0005-0000-0000-0000E4B90000}"/>
    <cellStyle name="req 2 4 4 4" xfId="47739" xr:uid="{00000000-0005-0000-0000-0000E5B90000}"/>
    <cellStyle name="req 2 4 4 4 2" xfId="47740" xr:uid="{00000000-0005-0000-0000-0000E6B90000}"/>
    <cellStyle name="req 2 4 4 4 2 2" xfId="47741" xr:uid="{00000000-0005-0000-0000-0000E7B90000}"/>
    <cellStyle name="req 2 4 4 4 2 2 2" xfId="47742" xr:uid="{00000000-0005-0000-0000-0000E8B90000}"/>
    <cellStyle name="req 2 4 4 4 2 3" xfId="47743" xr:uid="{00000000-0005-0000-0000-0000E9B90000}"/>
    <cellStyle name="req 2 4 4 4 2 3 2" xfId="47744" xr:uid="{00000000-0005-0000-0000-0000EAB90000}"/>
    <cellStyle name="req 2 4 4 4 2 4" xfId="47745" xr:uid="{00000000-0005-0000-0000-0000EBB90000}"/>
    <cellStyle name="req 2 4 4 4 2 5" xfId="47746" xr:uid="{00000000-0005-0000-0000-0000ECB90000}"/>
    <cellStyle name="req 2 4 4 4 3" xfId="47747" xr:uid="{00000000-0005-0000-0000-0000EDB90000}"/>
    <cellStyle name="req 2 4 4 4 3 2" xfId="47748" xr:uid="{00000000-0005-0000-0000-0000EEB90000}"/>
    <cellStyle name="req 2 4 4 4 4" xfId="47749" xr:uid="{00000000-0005-0000-0000-0000EFB90000}"/>
    <cellStyle name="req 2 4 4 4 4 2" xfId="47750" xr:uid="{00000000-0005-0000-0000-0000F0B90000}"/>
    <cellStyle name="req 2 4 4 4 5" xfId="47751" xr:uid="{00000000-0005-0000-0000-0000F1B90000}"/>
    <cellStyle name="req 2 4 4 4 6" xfId="47752" xr:uid="{00000000-0005-0000-0000-0000F2B90000}"/>
    <cellStyle name="req 2 4 4 5" xfId="47753" xr:uid="{00000000-0005-0000-0000-0000F3B90000}"/>
    <cellStyle name="req 2 4 4 5 2" xfId="47754" xr:uid="{00000000-0005-0000-0000-0000F4B90000}"/>
    <cellStyle name="req 2 4 4 5 2 2" xfId="47755" xr:uid="{00000000-0005-0000-0000-0000F5B90000}"/>
    <cellStyle name="req 2 4 4 5 3" xfId="47756" xr:uid="{00000000-0005-0000-0000-0000F6B90000}"/>
    <cellStyle name="req 2 4 4 5 3 2" xfId="47757" xr:uid="{00000000-0005-0000-0000-0000F7B90000}"/>
    <cellStyle name="req 2 4 4 5 4" xfId="47758" xr:uid="{00000000-0005-0000-0000-0000F8B90000}"/>
    <cellStyle name="req 2 4 4 5 5" xfId="47759" xr:uid="{00000000-0005-0000-0000-0000F9B90000}"/>
    <cellStyle name="req 2 4 4 6" xfId="47760" xr:uid="{00000000-0005-0000-0000-0000FAB90000}"/>
    <cellStyle name="req 2 4 4 6 2" xfId="47761" xr:uid="{00000000-0005-0000-0000-0000FBB90000}"/>
    <cellStyle name="req 2 4 4 7" xfId="47762" xr:uid="{00000000-0005-0000-0000-0000FCB90000}"/>
    <cellStyle name="req 2 4 4 7 2" xfId="47763" xr:uid="{00000000-0005-0000-0000-0000FDB90000}"/>
    <cellStyle name="req 2 4 4 8" xfId="47764" xr:uid="{00000000-0005-0000-0000-0000FEB90000}"/>
    <cellStyle name="req 2 4 4 9" xfId="47765" xr:uid="{00000000-0005-0000-0000-0000FFB90000}"/>
    <cellStyle name="req 2 4 5" xfId="47766" xr:uid="{00000000-0005-0000-0000-000000BA0000}"/>
    <cellStyle name="req 2 4 5 2" xfId="47767" xr:uid="{00000000-0005-0000-0000-000001BA0000}"/>
    <cellStyle name="req 2 4 5 2 2" xfId="47768" xr:uid="{00000000-0005-0000-0000-000002BA0000}"/>
    <cellStyle name="req 2 4 5 2 2 2" xfId="47769" xr:uid="{00000000-0005-0000-0000-000003BA0000}"/>
    <cellStyle name="req 2 4 5 2 2 2 2" xfId="47770" xr:uid="{00000000-0005-0000-0000-000004BA0000}"/>
    <cellStyle name="req 2 4 5 2 2 2 2 2" xfId="47771" xr:uid="{00000000-0005-0000-0000-000005BA0000}"/>
    <cellStyle name="req 2 4 5 2 2 2 3" xfId="47772" xr:uid="{00000000-0005-0000-0000-000006BA0000}"/>
    <cellStyle name="req 2 4 5 2 2 2 3 2" xfId="47773" xr:uid="{00000000-0005-0000-0000-000007BA0000}"/>
    <cellStyle name="req 2 4 5 2 2 2 4" xfId="47774" xr:uid="{00000000-0005-0000-0000-000008BA0000}"/>
    <cellStyle name="req 2 4 5 2 2 2 5" xfId="47775" xr:uid="{00000000-0005-0000-0000-000009BA0000}"/>
    <cellStyle name="req 2 4 5 2 2 3" xfId="47776" xr:uid="{00000000-0005-0000-0000-00000ABA0000}"/>
    <cellStyle name="req 2 4 5 2 2 3 2" xfId="47777" xr:uid="{00000000-0005-0000-0000-00000BBA0000}"/>
    <cellStyle name="req 2 4 5 2 2 4" xfId="47778" xr:uid="{00000000-0005-0000-0000-00000CBA0000}"/>
    <cellStyle name="req 2 4 5 2 2 4 2" xfId="47779" xr:uid="{00000000-0005-0000-0000-00000DBA0000}"/>
    <cellStyle name="req 2 4 5 2 2 5" xfId="47780" xr:uid="{00000000-0005-0000-0000-00000EBA0000}"/>
    <cellStyle name="req 2 4 5 2 2 6" xfId="47781" xr:uid="{00000000-0005-0000-0000-00000FBA0000}"/>
    <cellStyle name="req 2 4 5 2 3" xfId="47782" xr:uid="{00000000-0005-0000-0000-000010BA0000}"/>
    <cellStyle name="req 2 4 5 2 3 2" xfId="47783" xr:uid="{00000000-0005-0000-0000-000011BA0000}"/>
    <cellStyle name="req 2 4 5 2 3 2 2" xfId="47784" xr:uid="{00000000-0005-0000-0000-000012BA0000}"/>
    <cellStyle name="req 2 4 5 2 3 3" xfId="47785" xr:uid="{00000000-0005-0000-0000-000013BA0000}"/>
    <cellStyle name="req 2 4 5 2 3 3 2" xfId="47786" xr:uid="{00000000-0005-0000-0000-000014BA0000}"/>
    <cellStyle name="req 2 4 5 2 3 4" xfId="47787" xr:uid="{00000000-0005-0000-0000-000015BA0000}"/>
    <cellStyle name="req 2 4 5 2 3 5" xfId="47788" xr:uid="{00000000-0005-0000-0000-000016BA0000}"/>
    <cellStyle name="req 2 4 5 2 4" xfId="47789" xr:uid="{00000000-0005-0000-0000-000017BA0000}"/>
    <cellStyle name="req 2 4 5 2 4 2" xfId="47790" xr:uid="{00000000-0005-0000-0000-000018BA0000}"/>
    <cellStyle name="req 2 4 5 2 5" xfId="47791" xr:uid="{00000000-0005-0000-0000-000019BA0000}"/>
    <cellStyle name="req 2 4 5 2 5 2" xfId="47792" xr:uid="{00000000-0005-0000-0000-00001ABA0000}"/>
    <cellStyle name="req 2 4 5 2 6" xfId="47793" xr:uid="{00000000-0005-0000-0000-00001BBA0000}"/>
    <cellStyle name="req 2 4 5 2 7" xfId="47794" xr:uid="{00000000-0005-0000-0000-00001CBA0000}"/>
    <cellStyle name="req 2 4 5 3" xfId="47795" xr:uid="{00000000-0005-0000-0000-00001DBA0000}"/>
    <cellStyle name="req 2 4 5 3 2" xfId="47796" xr:uid="{00000000-0005-0000-0000-00001EBA0000}"/>
    <cellStyle name="req 2 4 5 3 2 2" xfId="47797" xr:uid="{00000000-0005-0000-0000-00001FBA0000}"/>
    <cellStyle name="req 2 4 5 3 2 2 2" xfId="47798" xr:uid="{00000000-0005-0000-0000-000020BA0000}"/>
    <cellStyle name="req 2 4 5 3 2 3" xfId="47799" xr:uid="{00000000-0005-0000-0000-000021BA0000}"/>
    <cellStyle name="req 2 4 5 3 2 3 2" xfId="47800" xr:uid="{00000000-0005-0000-0000-000022BA0000}"/>
    <cellStyle name="req 2 4 5 3 2 4" xfId="47801" xr:uid="{00000000-0005-0000-0000-000023BA0000}"/>
    <cellStyle name="req 2 4 5 3 2 5" xfId="47802" xr:uid="{00000000-0005-0000-0000-000024BA0000}"/>
    <cellStyle name="req 2 4 5 3 3" xfId="47803" xr:uid="{00000000-0005-0000-0000-000025BA0000}"/>
    <cellStyle name="req 2 4 5 3 3 2" xfId="47804" xr:uid="{00000000-0005-0000-0000-000026BA0000}"/>
    <cellStyle name="req 2 4 5 3 4" xfId="47805" xr:uid="{00000000-0005-0000-0000-000027BA0000}"/>
    <cellStyle name="req 2 4 5 3 4 2" xfId="47806" xr:uid="{00000000-0005-0000-0000-000028BA0000}"/>
    <cellStyle name="req 2 4 5 3 5" xfId="47807" xr:uid="{00000000-0005-0000-0000-000029BA0000}"/>
    <cellStyle name="req 2 4 5 3 6" xfId="47808" xr:uid="{00000000-0005-0000-0000-00002ABA0000}"/>
    <cellStyle name="req 2 4 5 4" xfId="47809" xr:uid="{00000000-0005-0000-0000-00002BBA0000}"/>
    <cellStyle name="req 2 4 5 4 2" xfId="47810" xr:uid="{00000000-0005-0000-0000-00002CBA0000}"/>
    <cellStyle name="req 2 4 5 4 2 2" xfId="47811" xr:uid="{00000000-0005-0000-0000-00002DBA0000}"/>
    <cellStyle name="req 2 4 5 4 3" xfId="47812" xr:uid="{00000000-0005-0000-0000-00002EBA0000}"/>
    <cellStyle name="req 2 4 5 4 3 2" xfId="47813" xr:uid="{00000000-0005-0000-0000-00002FBA0000}"/>
    <cellStyle name="req 2 4 5 4 4" xfId="47814" xr:uid="{00000000-0005-0000-0000-000030BA0000}"/>
    <cellStyle name="req 2 4 5 4 5" xfId="47815" xr:uid="{00000000-0005-0000-0000-000031BA0000}"/>
    <cellStyle name="req 2 4 5 5" xfId="47816" xr:uid="{00000000-0005-0000-0000-000032BA0000}"/>
    <cellStyle name="req 2 4 5 5 2" xfId="47817" xr:uid="{00000000-0005-0000-0000-000033BA0000}"/>
    <cellStyle name="req 2 4 5 6" xfId="47818" xr:uid="{00000000-0005-0000-0000-000034BA0000}"/>
    <cellStyle name="req 2 4 5 6 2" xfId="47819" xr:uid="{00000000-0005-0000-0000-000035BA0000}"/>
    <cellStyle name="req 2 4 5 7" xfId="47820" xr:uid="{00000000-0005-0000-0000-000036BA0000}"/>
    <cellStyle name="req 2 4 5 8" xfId="47821" xr:uid="{00000000-0005-0000-0000-000037BA0000}"/>
    <cellStyle name="req 2 4 6" xfId="47822" xr:uid="{00000000-0005-0000-0000-000038BA0000}"/>
    <cellStyle name="req 2 4 6 2" xfId="47823" xr:uid="{00000000-0005-0000-0000-000039BA0000}"/>
    <cellStyle name="req 2 4 6 2 2" xfId="47824" xr:uid="{00000000-0005-0000-0000-00003ABA0000}"/>
    <cellStyle name="req 2 4 6 2 2 2" xfId="47825" xr:uid="{00000000-0005-0000-0000-00003BBA0000}"/>
    <cellStyle name="req 2 4 6 2 2 2 2" xfId="47826" xr:uid="{00000000-0005-0000-0000-00003CBA0000}"/>
    <cellStyle name="req 2 4 6 2 2 3" xfId="47827" xr:uid="{00000000-0005-0000-0000-00003DBA0000}"/>
    <cellStyle name="req 2 4 6 2 2 3 2" xfId="47828" xr:uid="{00000000-0005-0000-0000-00003EBA0000}"/>
    <cellStyle name="req 2 4 6 2 2 4" xfId="47829" xr:uid="{00000000-0005-0000-0000-00003FBA0000}"/>
    <cellStyle name="req 2 4 6 2 2 5" xfId="47830" xr:uid="{00000000-0005-0000-0000-000040BA0000}"/>
    <cellStyle name="req 2 4 6 2 3" xfId="47831" xr:uid="{00000000-0005-0000-0000-000041BA0000}"/>
    <cellStyle name="req 2 4 6 2 3 2" xfId="47832" xr:uid="{00000000-0005-0000-0000-000042BA0000}"/>
    <cellStyle name="req 2 4 6 2 4" xfId="47833" xr:uid="{00000000-0005-0000-0000-000043BA0000}"/>
    <cellStyle name="req 2 4 6 2 4 2" xfId="47834" xr:uid="{00000000-0005-0000-0000-000044BA0000}"/>
    <cellStyle name="req 2 4 6 2 5" xfId="47835" xr:uid="{00000000-0005-0000-0000-000045BA0000}"/>
    <cellStyle name="req 2 4 6 2 6" xfId="47836" xr:uid="{00000000-0005-0000-0000-000046BA0000}"/>
    <cellStyle name="req 2 4 6 3" xfId="47837" xr:uid="{00000000-0005-0000-0000-000047BA0000}"/>
    <cellStyle name="req 2 4 6 3 2" xfId="47838" xr:uid="{00000000-0005-0000-0000-000048BA0000}"/>
    <cellStyle name="req 2 4 6 3 2 2" xfId="47839" xr:uid="{00000000-0005-0000-0000-000049BA0000}"/>
    <cellStyle name="req 2 4 6 3 3" xfId="47840" xr:uid="{00000000-0005-0000-0000-00004ABA0000}"/>
    <cellStyle name="req 2 4 6 3 3 2" xfId="47841" xr:uid="{00000000-0005-0000-0000-00004BBA0000}"/>
    <cellStyle name="req 2 4 6 3 4" xfId="47842" xr:uid="{00000000-0005-0000-0000-00004CBA0000}"/>
    <cellStyle name="req 2 4 6 3 5" xfId="47843" xr:uid="{00000000-0005-0000-0000-00004DBA0000}"/>
    <cellStyle name="req 2 4 6 4" xfId="47844" xr:uid="{00000000-0005-0000-0000-00004EBA0000}"/>
    <cellStyle name="req 2 4 6 4 2" xfId="47845" xr:uid="{00000000-0005-0000-0000-00004FBA0000}"/>
    <cellStyle name="req 2 4 6 5" xfId="47846" xr:uid="{00000000-0005-0000-0000-000050BA0000}"/>
    <cellStyle name="req 2 4 6 5 2" xfId="47847" xr:uid="{00000000-0005-0000-0000-000051BA0000}"/>
    <cellStyle name="req 2 4 6 6" xfId="47848" xr:uid="{00000000-0005-0000-0000-000052BA0000}"/>
    <cellStyle name="req 2 4 6 7" xfId="47849" xr:uid="{00000000-0005-0000-0000-000053BA0000}"/>
    <cellStyle name="req 2 4 7" xfId="47850" xr:uid="{00000000-0005-0000-0000-000054BA0000}"/>
    <cellStyle name="req 2 4 7 2" xfId="47851" xr:uid="{00000000-0005-0000-0000-000055BA0000}"/>
    <cellStyle name="req 2 4 7 2 2" xfId="47852" xr:uid="{00000000-0005-0000-0000-000056BA0000}"/>
    <cellStyle name="req 2 4 7 2 2 2" xfId="47853" xr:uid="{00000000-0005-0000-0000-000057BA0000}"/>
    <cellStyle name="req 2 4 7 2 3" xfId="47854" xr:uid="{00000000-0005-0000-0000-000058BA0000}"/>
    <cellStyle name="req 2 4 7 2 3 2" xfId="47855" xr:uid="{00000000-0005-0000-0000-000059BA0000}"/>
    <cellStyle name="req 2 4 7 2 4" xfId="47856" xr:uid="{00000000-0005-0000-0000-00005ABA0000}"/>
    <cellStyle name="req 2 4 7 2 5" xfId="47857" xr:uid="{00000000-0005-0000-0000-00005BBA0000}"/>
    <cellStyle name="req 2 4 7 3" xfId="47858" xr:uid="{00000000-0005-0000-0000-00005CBA0000}"/>
    <cellStyle name="req 2 4 7 3 2" xfId="47859" xr:uid="{00000000-0005-0000-0000-00005DBA0000}"/>
    <cellStyle name="req 2 4 7 4" xfId="47860" xr:uid="{00000000-0005-0000-0000-00005EBA0000}"/>
    <cellStyle name="req 2 4 7 4 2" xfId="47861" xr:uid="{00000000-0005-0000-0000-00005FBA0000}"/>
    <cellStyle name="req 2 4 7 5" xfId="47862" xr:uid="{00000000-0005-0000-0000-000060BA0000}"/>
    <cellStyle name="req 2 4 7 6" xfId="47863" xr:uid="{00000000-0005-0000-0000-000061BA0000}"/>
    <cellStyle name="req 2 4 8" xfId="47864" xr:uid="{00000000-0005-0000-0000-000062BA0000}"/>
    <cellStyle name="req 2 4 8 2" xfId="47865" xr:uid="{00000000-0005-0000-0000-000063BA0000}"/>
    <cellStyle name="req 2 4 8 2 2" xfId="47866" xr:uid="{00000000-0005-0000-0000-000064BA0000}"/>
    <cellStyle name="req 2 4 8 3" xfId="47867" xr:uid="{00000000-0005-0000-0000-000065BA0000}"/>
    <cellStyle name="req 2 4 8 3 2" xfId="47868" xr:uid="{00000000-0005-0000-0000-000066BA0000}"/>
    <cellStyle name="req 2 4 8 4" xfId="47869" xr:uid="{00000000-0005-0000-0000-000067BA0000}"/>
    <cellStyle name="req 2 4 8 5" xfId="47870" xr:uid="{00000000-0005-0000-0000-000068BA0000}"/>
    <cellStyle name="req 2 4 9" xfId="47871" xr:uid="{00000000-0005-0000-0000-000069BA0000}"/>
    <cellStyle name="req 2 4 9 2" xfId="47872" xr:uid="{00000000-0005-0000-0000-00006ABA0000}"/>
    <cellStyle name="req 2 5" xfId="47873" xr:uid="{00000000-0005-0000-0000-00006BBA0000}"/>
    <cellStyle name="req 2 5 2" xfId="47874" xr:uid="{00000000-0005-0000-0000-00006CBA0000}"/>
    <cellStyle name="req 2 5 2 2" xfId="47875" xr:uid="{00000000-0005-0000-0000-00006DBA0000}"/>
    <cellStyle name="req 2 5 2 2 2" xfId="47876" xr:uid="{00000000-0005-0000-0000-00006EBA0000}"/>
    <cellStyle name="req 2 5 2 2 2 2" xfId="47877" xr:uid="{00000000-0005-0000-0000-00006FBA0000}"/>
    <cellStyle name="req 2 5 2 2 2 2 2" xfId="47878" xr:uid="{00000000-0005-0000-0000-000070BA0000}"/>
    <cellStyle name="req 2 5 2 2 2 2 2 2" xfId="47879" xr:uid="{00000000-0005-0000-0000-000071BA0000}"/>
    <cellStyle name="req 2 5 2 2 2 2 3" xfId="47880" xr:uid="{00000000-0005-0000-0000-000072BA0000}"/>
    <cellStyle name="req 2 5 2 2 2 2 3 2" xfId="47881" xr:uid="{00000000-0005-0000-0000-000073BA0000}"/>
    <cellStyle name="req 2 5 2 2 2 2 4" xfId="47882" xr:uid="{00000000-0005-0000-0000-000074BA0000}"/>
    <cellStyle name="req 2 5 2 2 2 2 5" xfId="47883" xr:uid="{00000000-0005-0000-0000-000075BA0000}"/>
    <cellStyle name="req 2 5 2 2 2 3" xfId="47884" xr:uid="{00000000-0005-0000-0000-000076BA0000}"/>
    <cellStyle name="req 2 5 2 2 2 3 2" xfId="47885" xr:uid="{00000000-0005-0000-0000-000077BA0000}"/>
    <cellStyle name="req 2 5 2 2 2 4" xfId="47886" xr:uid="{00000000-0005-0000-0000-000078BA0000}"/>
    <cellStyle name="req 2 5 2 2 2 4 2" xfId="47887" xr:uid="{00000000-0005-0000-0000-000079BA0000}"/>
    <cellStyle name="req 2 5 2 2 2 5" xfId="47888" xr:uid="{00000000-0005-0000-0000-00007ABA0000}"/>
    <cellStyle name="req 2 5 2 2 2 6" xfId="47889" xr:uid="{00000000-0005-0000-0000-00007BBA0000}"/>
    <cellStyle name="req 2 5 2 2 3" xfId="47890" xr:uid="{00000000-0005-0000-0000-00007CBA0000}"/>
    <cellStyle name="req 2 5 2 2 3 2" xfId="47891" xr:uid="{00000000-0005-0000-0000-00007DBA0000}"/>
    <cellStyle name="req 2 5 2 2 3 2 2" xfId="47892" xr:uid="{00000000-0005-0000-0000-00007EBA0000}"/>
    <cellStyle name="req 2 5 2 2 3 3" xfId="47893" xr:uid="{00000000-0005-0000-0000-00007FBA0000}"/>
    <cellStyle name="req 2 5 2 2 3 3 2" xfId="47894" xr:uid="{00000000-0005-0000-0000-000080BA0000}"/>
    <cellStyle name="req 2 5 2 2 3 4" xfId="47895" xr:uid="{00000000-0005-0000-0000-000081BA0000}"/>
    <cellStyle name="req 2 5 2 2 3 5" xfId="47896" xr:uid="{00000000-0005-0000-0000-000082BA0000}"/>
    <cellStyle name="req 2 5 2 2 4" xfId="47897" xr:uid="{00000000-0005-0000-0000-000083BA0000}"/>
    <cellStyle name="req 2 5 2 2 4 2" xfId="47898" xr:uid="{00000000-0005-0000-0000-000084BA0000}"/>
    <cellStyle name="req 2 5 2 2 5" xfId="47899" xr:uid="{00000000-0005-0000-0000-000085BA0000}"/>
    <cellStyle name="req 2 5 2 2 5 2" xfId="47900" xr:uid="{00000000-0005-0000-0000-000086BA0000}"/>
    <cellStyle name="req 2 5 2 2 6" xfId="47901" xr:uid="{00000000-0005-0000-0000-000087BA0000}"/>
    <cellStyle name="req 2 5 2 2 7" xfId="47902" xr:uid="{00000000-0005-0000-0000-000088BA0000}"/>
    <cellStyle name="req 2 5 2 3" xfId="47903" xr:uid="{00000000-0005-0000-0000-000089BA0000}"/>
    <cellStyle name="req 2 5 2 3 2" xfId="47904" xr:uid="{00000000-0005-0000-0000-00008ABA0000}"/>
    <cellStyle name="req 2 5 2 3 2 2" xfId="47905" xr:uid="{00000000-0005-0000-0000-00008BBA0000}"/>
    <cellStyle name="req 2 5 2 3 2 2 2" xfId="47906" xr:uid="{00000000-0005-0000-0000-00008CBA0000}"/>
    <cellStyle name="req 2 5 2 3 2 3" xfId="47907" xr:uid="{00000000-0005-0000-0000-00008DBA0000}"/>
    <cellStyle name="req 2 5 2 3 2 3 2" xfId="47908" xr:uid="{00000000-0005-0000-0000-00008EBA0000}"/>
    <cellStyle name="req 2 5 2 3 2 4" xfId="47909" xr:uid="{00000000-0005-0000-0000-00008FBA0000}"/>
    <cellStyle name="req 2 5 2 3 2 5" xfId="47910" xr:uid="{00000000-0005-0000-0000-000090BA0000}"/>
    <cellStyle name="req 2 5 2 3 3" xfId="47911" xr:uid="{00000000-0005-0000-0000-000091BA0000}"/>
    <cellStyle name="req 2 5 2 3 3 2" xfId="47912" xr:uid="{00000000-0005-0000-0000-000092BA0000}"/>
    <cellStyle name="req 2 5 2 3 4" xfId="47913" xr:uid="{00000000-0005-0000-0000-000093BA0000}"/>
    <cellStyle name="req 2 5 2 3 4 2" xfId="47914" xr:uid="{00000000-0005-0000-0000-000094BA0000}"/>
    <cellStyle name="req 2 5 2 3 5" xfId="47915" xr:uid="{00000000-0005-0000-0000-000095BA0000}"/>
    <cellStyle name="req 2 5 2 3 6" xfId="47916" xr:uid="{00000000-0005-0000-0000-000096BA0000}"/>
    <cellStyle name="req 2 5 2 4" xfId="47917" xr:uid="{00000000-0005-0000-0000-000097BA0000}"/>
    <cellStyle name="req 2 5 2 4 2" xfId="47918" xr:uid="{00000000-0005-0000-0000-000098BA0000}"/>
    <cellStyle name="req 2 5 2 4 2 2" xfId="47919" xr:uid="{00000000-0005-0000-0000-000099BA0000}"/>
    <cellStyle name="req 2 5 2 4 3" xfId="47920" xr:uid="{00000000-0005-0000-0000-00009ABA0000}"/>
    <cellStyle name="req 2 5 2 4 3 2" xfId="47921" xr:uid="{00000000-0005-0000-0000-00009BBA0000}"/>
    <cellStyle name="req 2 5 2 4 4" xfId="47922" xr:uid="{00000000-0005-0000-0000-00009CBA0000}"/>
    <cellStyle name="req 2 5 2 4 5" xfId="47923" xr:uid="{00000000-0005-0000-0000-00009DBA0000}"/>
    <cellStyle name="req 2 5 2 5" xfId="47924" xr:uid="{00000000-0005-0000-0000-00009EBA0000}"/>
    <cellStyle name="req 2 5 2 5 2" xfId="47925" xr:uid="{00000000-0005-0000-0000-00009FBA0000}"/>
    <cellStyle name="req 2 5 2 6" xfId="47926" xr:uid="{00000000-0005-0000-0000-0000A0BA0000}"/>
    <cellStyle name="req 2 5 2 6 2" xfId="47927" xr:uid="{00000000-0005-0000-0000-0000A1BA0000}"/>
    <cellStyle name="req 2 5 2 7" xfId="47928" xr:uid="{00000000-0005-0000-0000-0000A2BA0000}"/>
    <cellStyle name="req 2 5 2 8" xfId="47929" xr:uid="{00000000-0005-0000-0000-0000A3BA0000}"/>
    <cellStyle name="req 2 5 3" xfId="47930" xr:uid="{00000000-0005-0000-0000-0000A4BA0000}"/>
    <cellStyle name="req 2 5 3 2" xfId="47931" xr:uid="{00000000-0005-0000-0000-0000A5BA0000}"/>
    <cellStyle name="req 2 5 3 2 2" xfId="47932" xr:uid="{00000000-0005-0000-0000-0000A6BA0000}"/>
    <cellStyle name="req 2 5 3 2 2 2" xfId="47933" xr:uid="{00000000-0005-0000-0000-0000A7BA0000}"/>
    <cellStyle name="req 2 5 3 2 2 2 2" xfId="47934" xr:uid="{00000000-0005-0000-0000-0000A8BA0000}"/>
    <cellStyle name="req 2 5 3 2 2 3" xfId="47935" xr:uid="{00000000-0005-0000-0000-0000A9BA0000}"/>
    <cellStyle name="req 2 5 3 2 2 3 2" xfId="47936" xr:uid="{00000000-0005-0000-0000-0000AABA0000}"/>
    <cellStyle name="req 2 5 3 2 2 4" xfId="47937" xr:uid="{00000000-0005-0000-0000-0000ABBA0000}"/>
    <cellStyle name="req 2 5 3 2 2 5" xfId="47938" xr:uid="{00000000-0005-0000-0000-0000ACBA0000}"/>
    <cellStyle name="req 2 5 3 2 3" xfId="47939" xr:uid="{00000000-0005-0000-0000-0000ADBA0000}"/>
    <cellStyle name="req 2 5 3 2 3 2" xfId="47940" xr:uid="{00000000-0005-0000-0000-0000AEBA0000}"/>
    <cellStyle name="req 2 5 3 2 4" xfId="47941" xr:uid="{00000000-0005-0000-0000-0000AFBA0000}"/>
    <cellStyle name="req 2 5 3 2 4 2" xfId="47942" xr:uid="{00000000-0005-0000-0000-0000B0BA0000}"/>
    <cellStyle name="req 2 5 3 2 5" xfId="47943" xr:uid="{00000000-0005-0000-0000-0000B1BA0000}"/>
    <cellStyle name="req 2 5 3 2 6" xfId="47944" xr:uid="{00000000-0005-0000-0000-0000B2BA0000}"/>
    <cellStyle name="req 2 5 3 3" xfId="47945" xr:uid="{00000000-0005-0000-0000-0000B3BA0000}"/>
    <cellStyle name="req 2 5 3 3 2" xfId="47946" xr:uid="{00000000-0005-0000-0000-0000B4BA0000}"/>
    <cellStyle name="req 2 5 3 3 2 2" xfId="47947" xr:uid="{00000000-0005-0000-0000-0000B5BA0000}"/>
    <cellStyle name="req 2 5 3 3 3" xfId="47948" xr:uid="{00000000-0005-0000-0000-0000B6BA0000}"/>
    <cellStyle name="req 2 5 3 3 3 2" xfId="47949" xr:uid="{00000000-0005-0000-0000-0000B7BA0000}"/>
    <cellStyle name="req 2 5 3 3 4" xfId="47950" xr:uid="{00000000-0005-0000-0000-0000B8BA0000}"/>
    <cellStyle name="req 2 5 3 3 5" xfId="47951" xr:uid="{00000000-0005-0000-0000-0000B9BA0000}"/>
    <cellStyle name="req 2 5 3 4" xfId="47952" xr:uid="{00000000-0005-0000-0000-0000BABA0000}"/>
    <cellStyle name="req 2 5 3 4 2" xfId="47953" xr:uid="{00000000-0005-0000-0000-0000BBBA0000}"/>
    <cellStyle name="req 2 5 3 5" xfId="47954" xr:uid="{00000000-0005-0000-0000-0000BCBA0000}"/>
    <cellStyle name="req 2 5 3 5 2" xfId="47955" xr:uid="{00000000-0005-0000-0000-0000BDBA0000}"/>
    <cellStyle name="req 2 5 3 6" xfId="47956" xr:uid="{00000000-0005-0000-0000-0000BEBA0000}"/>
    <cellStyle name="req 2 5 3 7" xfId="47957" xr:uid="{00000000-0005-0000-0000-0000BFBA0000}"/>
    <cellStyle name="req 2 5 4" xfId="47958" xr:uid="{00000000-0005-0000-0000-0000C0BA0000}"/>
    <cellStyle name="req 2 5 4 2" xfId="47959" xr:uid="{00000000-0005-0000-0000-0000C1BA0000}"/>
    <cellStyle name="req 2 5 4 2 2" xfId="47960" xr:uid="{00000000-0005-0000-0000-0000C2BA0000}"/>
    <cellStyle name="req 2 5 4 2 2 2" xfId="47961" xr:uid="{00000000-0005-0000-0000-0000C3BA0000}"/>
    <cellStyle name="req 2 5 4 2 3" xfId="47962" xr:uid="{00000000-0005-0000-0000-0000C4BA0000}"/>
    <cellStyle name="req 2 5 4 2 3 2" xfId="47963" xr:uid="{00000000-0005-0000-0000-0000C5BA0000}"/>
    <cellStyle name="req 2 5 4 2 4" xfId="47964" xr:uid="{00000000-0005-0000-0000-0000C6BA0000}"/>
    <cellStyle name="req 2 5 4 2 5" xfId="47965" xr:uid="{00000000-0005-0000-0000-0000C7BA0000}"/>
    <cellStyle name="req 2 5 4 3" xfId="47966" xr:uid="{00000000-0005-0000-0000-0000C8BA0000}"/>
    <cellStyle name="req 2 5 4 3 2" xfId="47967" xr:uid="{00000000-0005-0000-0000-0000C9BA0000}"/>
    <cellStyle name="req 2 5 4 4" xfId="47968" xr:uid="{00000000-0005-0000-0000-0000CABA0000}"/>
    <cellStyle name="req 2 5 4 4 2" xfId="47969" xr:uid="{00000000-0005-0000-0000-0000CBBA0000}"/>
    <cellStyle name="req 2 5 4 5" xfId="47970" xr:uid="{00000000-0005-0000-0000-0000CCBA0000}"/>
    <cellStyle name="req 2 5 4 6" xfId="47971" xr:uid="{00000000-0005-0000-0000-0000CDBA0000}"/>
    <cellStyle name="req 2 5 5" xfId="47972" xr:uid="{00000000-0005-0000-0000-0000CEBA0000}"/>
    <cellStyle name="req 2 5 5 2" xfId="47973" xr:uid="{00000000-0005-0000-0000-0000CFBA0000}"/>
    <cellStyle name="req 2 5 5 2 2" xfId="47974" xr:uid="{00000000-0005-0000-0000-0000D0BA0000}"/>
    <cellStyle name="req 2 5 5 3" xfId="47975" xr:uid="{00000000-0005-0000-0000-0000D1BA0000}"/>
    <cellStyle name="req 2 5 5 3 2" xfId="47976" xr:uid="{00000000-0005-0000-0000-0000D2BA0000}"/>
    <cellStyle name="req 2 5 5 4" xfId="47977" xr:uid="{00000000-0005-0000-0000-0000D3BA0000}"/>
    <cellStyle name="req 2 5 5 5" xfId="47978" xr:uid="{00000000-0005-0000-0000-0000D4BA0000}"/>
    <cellStyle name="req 2 5 6" xfId="47979" xr:uid="{00000000-0005-0000-0000-0000D5BA0000}"/>
    <cellStyle name="req 2 5 6 2" xfId="47980" xr:uid="{00000000-0005-0000-0000-0000D6BA0000}"/>
    <cellStyle name="req 2 5 7" xfId="47981" xr:uid="{00000000-0005-0000-0000-0000D7BA0000}"/>
    <cellStyle name="req 2 5 7 2" xfId="47982" xr:uid="{00000000-0005-0000-0000-0000D8BA0000}"/>
    <cellStyle name="req 2 5 8" xfId="47983" xr:uid="{00000000-0005-0000-0000-0000D9BA0000}"/>
    <cellStyle name="req 2 5 9" xfId="47984" xr:uid="{00000000-0005-0000-0000-0000DABA0000}"/>
    <cellStyle name="req 2 6" xfId="47985" xr:uid="{00000000-0005-0000-0000-0000DBBA0000}"/>
    <cellStyle name="req 2 6 2" xfId="47986" xr:uid="{00000000-0005-0000-0000-0000DCBA0000}"/>
    <cellStyle name="req 2 6 2 2" xfId="47987" xr:uid="{00000000-0005-0000-0000-0000DDBA0000}"/>
    <cellStyle name="req 2 6 2 2 2" xfId="47988" xr:uid="{00000000-0005-0000-0000-0000DEBA0000}"/>
    <cellStyle name="req 2 6 2 2 2 2" xfId="47989" xr:uid="{00000000-0005-0000-0000-0000DFBA0000}"/>
    <cellStyle name="req 2 6 2 2 2 2 2" xfId="47990" xr:uid="{00000000-0005-0000-0000-0000E0BA0000}"/>
    <cellStyle name="req 2 6 2 2 2 2 2 2" xfId="47991" xr:uid="{00000000-0005-0000-0000-0000E1BA0000}"/>
    <cellStyle name="req 2 6 2 2 2 2 3" xfId="47992" xr:uid="{00000000-0005-0000-0000-0000E2BA0000}"/>
    <cellStyle name="req 2 6 2 2 2 2 3 2" xfId="47993" xr:uid="{00000000-0005-0000-0000-0000E3BA0000}"/>
    <cellStyle name="req 2 6 2 2 2 2 4" xfId="47994" xr:uid="{00000000-0005-0000-0000-0000E4BA0000}"/>
    <cellStyle name="req 2 6 2 2 2 2 5" xfId="47995" xr:uid="{00000000-0005-0000-0000-0000E5BA0000}"/>
    <cellStyle name="req 2 6 2 2 2 3" xfId="47996" xr:uid="{00000000-0005-0000-0000-0000E6BA0000}"/>
    <cellStyle name="req 2 6 2 2 2 3 2" xfId="47997" xr:uid="{00000000-0005-0000-0000-0000E7BA0000}"/>
    <cellStyle name="req 2 6 2 2 2 4" xfId="47998" xr:uid="{00000000-0005-0000-0000-0000E8BA0000}"/>
    <cellStyle name="req 2 6 2 2 2 4 2" xfId="47999" xr:uid="{00000000-0005-0000-0000-0000E9BA0000}"/>
    <cellStyle name="req 2 6 2 2 2 5" xfId="48000" xr:uid="{00000000-0005-0000-0000-0000EABA0000}"/>
    <cellStyle name="req 2 6 2 2 2 6" xfId="48001" xr:uid="{00000000-0005-0000-0000-0000EBBA0000}"/>
    <cellStyle name="req 2 6 2 2 3" xfId="48002" xr:uid="{00000000-0005-0000-0000-0000ECBA0000}"/>
    <cellStyle name="req 2 6 2 2 3 2" xfId="48003" xr:uid="{00000000-0005-0000-0000-0000EDBA0000}"/>
    <cellStyle name="req 2 6 2 2 3 2 2" xfId="48004" xr:uid="{00000000-0005-0000-0000-0000EEBA0000}"/>
    <cellStyle name="req 2 6 2 2 3 3" xfId="48005" xr:uid="{00000000-0005-0000-0000-0000EFBA0000}"/>
    <cellStyle name="req 2 6 2 2 3 3 2" xfId="48006" xr:uid="{00000000-0005-0000-0000-0000F0BA0000}"/>
    <cellStyle name="req 2 6 2 2 3 4" xfId="48007" xr:uid="{00000000-0005-0000-0000-0000F1BA0000}"/>
    <cellStyle name="req 2 6 2 2 3 5" xfId="48008" xr:uid="{00000000-0005-0000-0000-0000F2BA0000}"/>
    <cellStyle name="req 2 6 2 2 4" xfId="48009" xr:uid="{00000000-0005-0000-0000-0000F3BA0000}"/>
    <cellStyle name="req 2 6 2 2 4 2" xfId="48010" xr:uid="{00000000-0005-0000-0000-0000F4BA0000}"/>
    <cellStyle name="req 2 6 2 2 5" xfId="48011" xr:uid="{00000000-0005-0000-0000-0000F5BA0000}"/>
    <cellStyle name="req 2 6 2 2 5 2" xfId="48012" xr:uid="{00000000-0005-0000-0000-0000F6BA0000}"/>
    <cellStyle name="req 2 6 2 2 6" xfId="48013" xr:uid="{00000000-0005-0000-0000-0000F7BA0000}"/>
    <cellStyle name="req 2 6 2 2 7" xfId="48014" xr:uid="{00000000-0005-0000-0000-0000F8BA0000}"/>
    <cellStyle name="req 2 6 2 3" xfId="48015" xr:uid="{00000000-0005-0000-0000-0000F9BA0000}"/>
    <cellStyle name="req 2 6 2 3 2" xfId="48016" xr:uid="{00000000-0005-0000-0000-0000FABA0000}"/>
    <cellStyle name="req 2 6 2 3 2 2" xfId="48017" xr:uid="{00000000-0005-0000-0000-0000FBBA0000}"/>
    <cellStyle name="req 2 6 2 3 2 2 2" xfId="48018" xr:uid="{00000000-0005-0000-0000-0000FCBA0000}"/>
    <cellStyle name="req 2 6 2 3 2 3" xfId="48019" xr:uid="{00000000-0005-0000-0000-0000FDBA0000}"/>
    <cellStyle name="req 2 6 2 3 2 3 2" xfId="48020" xr:uid="{00000000-0005-0000-0000-0000FEBA0000}"/>
    <cellStyle name="req 2 6 2 3 2 4" xfId="48021" xr:uid="{00000000-0005-0000-0000-0000FFBA0000}"/>
    <cellStyle name="req 2 6 2 3 2 5" xfId="48022" xr:uid="{00000000-0005-0000-0000-000000BB0000}"/>
    <cellStyle name="req 2 6 2 3 3" xfId="48023" xr:uid="{00000000-0005-0000-0000-000001BB0000}"/>
    <cellStyle name="req 2 6 2 3 3 2" xfId="48024" xr:uid="{00000000-0005-0000-0000-000002BB0000}"/>
    <cellStyle name="req 2 6 2 3 4" xfId="48025" xr:uid="{00000000-0005-0000-0000-000003BB0000}"/>
    <cellStyle name="req 2 6 2 3 4 2" xfId="48026" xr:uid="{00000000-0005-0000-0000-000004BB0000}"/>
    <cellStyle name="req 2 6 2 3 5" xfId="48027" xr:uid="{00000000-0005-0000-0000-000005BB0000}"/>
    <cellStyle name="req 2 6 2 3 6" xfId="48028" xr:uid="{00000000-0005-0000-0000-000006BB0000}"/>
    <cellStyle name="req 2 6 2 4" xfId="48029" xr:uid="{00000000-0005-0000-0000-000007BB0000}"/>
    <cellStyle name="req 2 6 2 4 2" xfId="48030" xr:uid="{00000000-0005-0000-0000-000008BB0000}"/>
    <cellStyle name="req 2 6 2 4 2 2" xfId="48031" xr:uid="{00000000-0005-0000-0000-000009BB0000}"/>
    <cellStyle name="req 2 6 2 4 3" xfId="48032" xr:uid="{00000000-0005-0000-0000-00000ABB0000}"/>
    <cellStyle name="req 2 6 2 4 3 2" xfId="48033" xr:uid="{00000000-0005-0000-0000-00000BBB0000}"/>
    <cellStyle name="req 2 6 2 4 4" xfId="48034" xr:uid="{00000000-0005-0000-0000-00000CBB0000}"/>
    <cellStyle name="req 2 6 2 4 5" xfId="48035" xr:uid="{00000000-0005-0000-0000-00000DBB0000}"/>
    <cellStyle name="req 2 6 2 5" xfId="48036" xr:uid="{00000000-0005-0000-0000-00000EBB0000}"/>
    <cellStyle name="req 2 6 2 5 2" xfId="48037" xr:uid="{00000000-0005-0000-0000-00000FBB0000}"/>
    <cellStyle name="req 2 6 2 6" xfId="48038" xr:uid="{00000000-0005-0000-0000-000010BB0000}"/>
    <cellStyle name="req 2 6 2 6 2" xfId="48039" xr:uid="{00000000-0005-0000-0000-000011BB0000}"/>
    <cellStyle name="req 2 6 2 7" xfId="48040" xr:uid="{00000000-0005-0000-0000-000012BB0000}"/>
    <cellStyle name="req 2 6 2 8" xfId="48041" xr:uid="{00000000-0005-0000-0000-000013BB0000}"/>
    <cellStyle name="req 2 6 3" xfId="48042" xr:uid="{00000000-0005-0000-0000-000014BB0000}"/>
    <cellStyle name="req 2 6 3 2" xfId="48043" xr:uid="{00000000-0005-0000-0000-000015BB0000}"/>
    <cellStyle name="req 2 6 3 2 2" xfId="48044" xr:uid="{00000000-0005-0000-0000-000016BB0000}"/>
    <cellStyle name="req 2 6 3 2 2 2" xfId="48045" xr:uid="{00000000-0005-0000-0000-000017BB0000}"/>
    <cellStyle name="req 2 6 3 2 2 2 2" xfId="48046" xr:uid="{00000000-0005-0000-0000-000018BB0000}"/>
    <cellStyle name="req 2 6 3 2 2 3" xfId="48047" xr:uid="{00000000-0005-0000-0000-000019BB0000}"/>
    <cellStyle name="req 2 6 3 2 2 3 2" xfId="48048" xr:uid="{00000000-0005-0000-0000-00001ABB0000}"/>
    <cellStyle name="req 2 6 3 2 2 4" xfId="48049" xr:uid="{00000000-0005-0000-0000-00001BBB0000}"/>
    <cellStyle name="req 2 6 3 2 2 5" xfId="48050" xr:uid="{00000000-0005-0000-0000-00001CBB0000}"/>
    <cellStyle name="req 2 6 3 2 3" xfId="48051" xr:uid="{00000000-0005-0000-0000-00001DBB0000}"/>
    <cellStyle name="req 2 6 3 2 3 2" xfId="48052" xr:uid="{00000000-0005-0000-0000-00001EBB0000}"/>
    <cellStyle name="req 2 6 3 2 4" xfId="48053" xr:uid="{00000000-0005-0000-0000-00001FBB0000}"/>
    <cellStyle name="req 2 6 3 2 4 2" xfId="48054" xr:uid="{00000000-0005-0000-0000-000020BB0000}"/>
    <cellStyle name="req 2 6 3 2 5" xfId="48055" xr:uid="{00000000-0005-0000-0000-000021BB0000}"/>
    <cellStyle name="req 2 6 3 2 6" xfId="48056" xr:uid="{00000000-0005-0000-0000-000022BB0000}"/>
    <cellStyle name="req 2 6 3 3" xfId="48057" xr:uid="{00000000-0005-0000-0000-000023BB0000}"/>
    <cellStyle name="req 2 6 3 3 2" xfId="48058" xr:uid="{00000000-0005-0000-0000-000024BB0000}"/>
    <cellStyle name="req 2 6 3 3 2 2" xfId="48059" xr:uid="{00000000-0005-0000-0000-000025BB0000}"/>
    <cellStyle name="req 2 6 3 3 3" xfId="48060" xr:uid="{00000000-0005-0000-0000-000026BB0000}"/>
    <cellStyle name="req 2 6 3 3 3 2" xfId="48061" xr:uid="{00000000-0005-0000-0000-000027BB0000}"/>
    <cellStyle name="req 2 6 3 3 4" xfId="48062" xr:uid="{00000000-0005-0000-0000-000028BB0000}"/>
    <cellStyle name="req 2 6 3 3 5" xfId="48063" xr:uid="{00000000-0005-0000-0000-000029BB0000}"/>
    <cellStyle name="req 2 6 3 4" xfId="48064" xr:uid="{00000000-0005-0000-0000-00002ABB0000}"/>
    <cellStyle name="req 2 6 3 4 2" xfId="48065" xr:uid="{00000000-0005-0000-0000-00002BBB0000}"/>
    <cellStyle name="req 2 6 3 5" xfId="48066" xr:uid="{00000000-0005-0000-0000-00002CBB0000}"/>
    <cellStyle name="req 2 6 3 5 2" xfId="48067" xr:uid="{00000000-0005-0000-0000-00002DBB0000}"/>
    <cellStyle name="req 2 6 3 6" xfId="48068" xr:uid="{00000000-0005-0000-0000-00002EBB0000}"/>
    <cellStyle name="req 2 6 3 7" xfId="48069" xr:uid="{00000000-0005-0000-0000-00002FBB0000}"/>
    <cellStyle name="req 2 6 4" xfId="48070" xr:uid="{00000000-0005-0000-0000-000030BB0000}"/>
    <cellStyle name="req 2 6 4 2" xfId="48071" xr:uid="{00000000-0005-0000-0000-000031BB0000}"/>
    <cellStyle name="req 2 6 4 2 2" xfId="48072" xr:uid="{00000000-0005-0000-0000-000032BB0000}"/>
    <cellStyle name="req 2 6 4 2 2 2" xfId="48073" xr:uid="{00000000-0005-0000-0000-000033BB0000}"/>
    <cellStyle name="req 2 6 4 2 3" xfId="48074" xr:uid="{00000000-0005-0000-0000-000034BB0000}"/>
    <cellStyle name="req 2 6 4 2 3 2" xfId="48075" xr:uid="{00000000-0005-0000-0000-000035BB0000}"/>
    <cellStyle name="req 2 6 4 2 4" xfId="48076" xr:uid="{00000000-0005-0000-0000-000036BB0000}"/>
    <cellStyle name="req 2 6 4 2 5" xfId="48077" xr:uid="{00000000-0005-0000-0000-000037BB0000}"/>
    <cellStyle name="req 2 6 4 3" xfId="48078" xr:uid="{00000000-0005-0000-0000-000038BB0000}"/>
    <cellStyle name="req 2 6 4 3 2" xfId="48079" xr:uid="{00000000-0005-0000-0000-000039BB0000}"/>
    <cellStyle name="req 2 6 4 4" xfId="48080" xr:uid="{00000000-0005-0000-0000-00003ABB0000}"/>
    <cellStyle name="req 2 6 4 4 2" xfId="48081" xr:uid="{00000000-0005-0000-0000-00003BBB0000}"/>
    <cellStyle name="req 2 6 4 5" xfId="48082" xr:uid="{00000000-0005-0000-0000-00003CBB0000}"/>
    <cellStyle name="req 2 6 4 6" xfId="48083" xr:uid="{00000000-0005-0000-0000-00003DBB0000}"/>
    <cellStyle name="req 2 6 5" xfId="48084" xr:uid="{00000000-0005-0000-0000-00003EBB0000}"/>
    <cellStyle name="req 2 6 5 2" xfId="48085" xr:uid="{00000000-0005-0000-0000-00003FBB0000}"/>
    <cellStyle name="req 2 6 5 2 2" xfId="48086" xr:uid="{00000000-0005-0000-0000-000040BB0000}"/>
    <cellStyle name="req 2 6 5 3" xfId="48087" xr:uid="{00000000-0005-0000-0000-000041BB0000}"/>
    <cellStyle name="req 2 6 5 3 2" xfId="48088" xr:uid="{00000000-0005-0000-0000-000042BB0000}"/>
    <cellStyle name="req 2 6 5 4" xfId="48089" xr:uid="{00000000-0005-0000-0000-000043BB0000}"/>
    <cellStyle name="req 2 6 5 5" xfId="48090" xr:uid="{00000000-0005-0000-0000-000044BB0000}"/>
    <cellStyle name="req 2 6 6" xfId="48091" xr:uid="{00000000-0005-0000-0000-000045BB0000}"/>
    <cellStyle name="req 2 6 6 2" xfId="48092" xr:uid="{00000000-0005-0000-0000-000046BB0000}"/>
    <cellStyle name="req 2 6 7" xfId="48093" xr:uid="{00000000-0005-0000-0000-000047BB0000}"/>
    <cellStyle name="req 2 6 7 2" xfId="48094" xr:uid="{00000000-0005-0000-0000-000048BB0000}"/>
    <cellStyle name="req 2 6 8" xfId="48095" xr:uid="{00000000-0005-0000-0000-000049BB0000}"/>
    <cellStyle name="req 2 6 9" xfId="48096" xr:uid="{00000000-0005-0000-0000-00004ABB0000}"/>
    <cellStyle name="req 2 7" xfId="48097" xr:uid="{00000000-0005-0000-0000-00004BBB0000}"/>
    <cellStyle name="req 2 7 2" xfId="48098" xr:uid="{00000000-0005-0000-0000-00004CBB0000}"/>
    <cellStyle name="req 2 7 2 2" xfId="48099" xr:uid="{00000000-0005-0000-0000-00004DBB0000}"/>
    <cellStyle name="req 2 7 2 2 2" xfId="48100" xr:uid="{00000000-0005-0000-0000-00004EBB0000}"/>
    <cellStyle name="req 2 7 2 2 2 2" xfId="48101" xr:uid="{00000000-0005-0000-0000-00004FBB0000}"/>
    <cellStyle name="req 2 7 2 2 3" xfId="48102" xr:uid="{00000000-0005-0000-0000-000050BB0000}"/>
    <cellStyle name="req 2 7 2 2 3 2" xfId="48103" xr:uid="{00000000-0005-0000-0000-000051BB0000}"/>
    <cellStyle name="req 2 7 2 2 4" xfId="48104" xr:uid="{00000000-0005-0000-0000-000052BB0000}"/>
    <cellStyle name="req 2 7 2 2 5" xfId="48105" xr:uid="{00000000-0005-0000-0000-000053BB0000}"/>
    <cellStyle name="req 2 7 2 3" xfId="48106" xr:uid="{00000000-0005-0000-0000-000054BB0000}"/>
    <cellStyle name="req 2 7 2 3 2" xfId="48107" xr:uid="{00000000-0005-0000-0000-000055BB0000}"/>
    <cellStyle name="req 2 7 2 4" xfId="48108" xr:uid="{00000000-0005-0000-0000-000056BB0000}"/>
    <cellStyle name="req 2 7 2 4 2" xfId="48109" xr:uid="{00000000-0005-0000-0000-000057BB0000}"/>
    <cellStyle name="req 2 7 2 5" xfId="48110" xr:uid="{00000000-0005-0000-0000-000058BB0000}"/>
    <cellStyle name="req 2 7 2 6" xfId="48111" xr:uid="{00000000-0005-0000-0000-000059BB0000}"/>
    <cellStyle name="req 2 7 3" xfId="48112" xr:uid="{00000000-0005-0000-0000-00005ABB0000}"/>
    <cellStyle name="req 2 7 3 2" xfId="48113" xr:uid="{00000000-0005-0000-0000-00005BBB0000}"/>
    <cellStyle name="req 2 7 3 2 2" xfId="48114" xr:uid="{00000000-0005-0000-0000-00005CBB0000}"/>
    <cellStyle name="req 2 7 3 3" xfId="48115" xr:uid="{00000000-0005-0000-0000-00005DBB0000}"/>
    <cellStyle name="req 2 7 3 3 2" xfId="48116" xr:uid="{00000000-0005-0000-0000-00005EBB0000}"/>
    <cellStyle name="req 2 7 3 4" xfId="48117" xr:uid="{00000000-0005-0000-0000-00005FBB0000}"/>
    <cellStyle name="req 2 7 3 5" xfId="48118" xr:uid="{00000000-0005-0000-0000-000060BB0000}"/>
    <cellStyle name="req 2 7 4" xfId="48119" xr:uid="{00000000-0005-0000-0000-000061BB0000}"/>
    <cellStyle name="req 2 7 4 2" xfId="48120" xr:uid="{00000000-0005-0000-0000-000062BB0000}"/>
    <cellStyle name="req 2 7 5" xfId="48121" xr:uid="{00000000-0005-0000-0000-000063BB0000}"/>
    <cellStyle name="req 2 7 5 2" xfId="48122" xr:uid="{00000000-0005-0000-0000-000064BB0000}"/>
    <cellStyle name="req 2 7 6" xfId="48123" xr:uid="{00000000-0005-0000-0000-000065BB0000}"/>
    <cellStyle name="req 2 7 7" xfId="48124" xr:uid="{00000000-0005-0000-0000-000066BB0000}"/>
    <cellStyle name="req 2 8" xfId="48125" xr:uid="{00000000-0005-0000-0000-000067BB0000}"/>
    <cellStyle name="req 2 8 2" xfId="48126" xr:uid="{00000000-0005-0000-0000-000068BB0000}"/>
    <cellStyle name="req 2 8 2 2" xfId="48127" xr:uid="{00000000-0005-0000-0000-000069BB0000}"/>
    <cellStyle name="req 2 8 2 2 2" xfId="48128" xr:uid="{00000000-0005-0000-0000-00006ABB0000}"/>
    <cellStyle name="req 2 8 2 3" xfId="48129" xr:uid="{00000000-0005-0000-0000-00006BBB0000}"/>
    <cellStyle name="req 2 8 2 3 2" xfId="48130" xr:uid="{00000000-0005-0000-0000-00006CBB0000}"/>
    <cellStyle name="req 2 8 2 4" xfId="48131" xr:uid="{00000000-0005-0000-0000-00006DBB0000}"/>
    <cellStyle name="req 2 8 2 5" xfId="48132" xr:uid="{00000000-0005-0000-0000-00006EBB0000}"/>
    <cellStyle name="req 2 8 3" xfId="48133" xr:uid="{00000000-0005-0000-0000-00006FBB0000}"/>
    <cellStyle name="req 2 8 3 2" xfId="48134" xr:uid="{00000000-0005-0000-0000-000070BB0000}"/>
    <cellStyle name="req 2 8 4" xfId="48135" xr:uid="{00000000-0005-0000-0000-000071BB0000}"/>
    <cellStyle name="req 2 8 4 2" xfId="48136" xr:uid="{00000000-0005-0000-0000-000072BB0000}"/>
    <cellStyle name="req 2 8 5" xfId="48137" xr:uid="{00000000-0005-0000-0000-000073BB0000}"/>
    <cellStyle name="req 2 8 6" xfId="48138" xr:uid="{00000000-0005-0000-0000-000074BB0000}"/>
    <cellStyle name="req 2 9" xfId="48139" xr:uid="{00000000-0005-0000-0000-000075BB0000}"/>
    <cellStyle name="req 2 9 2" xfId="48140" xr:uid="{00000000-0005-0000-0000-000076BB0000}"/>
    <cellStyle name="req 2 9 2 2" xfId="48141" xr:uid="{00000000-0005-0000-0000-000077BB0000}"/>
    <cellStyle name="req 2 9 3" xfId="48142" xr:uid="{00000000-0005-0000-0000-000078BB0000}"/>
    <cellStyle name="req 2 9 3 2" xfId="48143" xr:uid="{00000000-0005-0000-0000-000079BB0000}"/>
    <cellStyle name="req 2 9 4" xfId="48144" xr:uid="{00000000-0005-0000-0000-00007ABB0000}"/>
    <cellStyle name="req 2 9 5" xfId="48145" xr:uid="{00000000-0005-0000-0000-00007BBB0000}"/>
    <cellStyle name="req 3" xfId="48146" xr:uid="{00000000-0005-0000-0000-00007CBB0000}"/>
    <cellStyle name="req 3 10" xfId="48147" xr:uid="{00000000-0005-0000-0000-00007DBB0000}"/>
    <cellStyle name="req 3 10 2" xfId="48148" xr:uid="{00000000-0005-0000-0000-00007EBB0000}"/>
    <cellStyle name="req 3 11" xfId="48149" xr:uid="{00000000-0005-0000-0000-00007FBB0000}"/>
    <cellStyle name="req 3 11 2" xfId="48150" xr:uid="{00000000-0005-0000-0000-000080BB0000}"/>
    <cellStyle name="req 3 12" xfId="48151" xr:uid="{00000000-0005-0000-0000-000081BB0000}"/>
    <cellStyle name="req 3 13" xfId="48152" xr:uid="{00000000-0005-0000-0000-000082BB0000}"/>
    <cellStyle name="req 3 2" xfId="48153" xr:uid="{00000000-0005-0000-0000-000083BB0000}"/>
    <cellStyle name="req 3 2 2" xfId="48154" xr:uid="{00000000-0005-0000-0000-000084BB0000}"/>
    <cellStyle name="req 3 2 2 2" xfId="48155" xr:uid="{00000000-0005-0000-0000-000085BB0000}"/>
    <cellStyle name="req 3 2 2 2 2" xfId="48156" xr:uid="{00000000-0005-0000-0000-000086BB0000}"/>
    <cellStyle name="req 3 2 2 2 2 2" xfId="48157" xr:uid="{00000000-0005-0000-0000-000087BB0000}"/>
    <cellStyle name="req 3 2 2 2 2 2 2" xfId="48158" xr:uid="{00000000-0005-0000-0000-000088BB0000}"/>
    <cellStyle name="req 3 2 2 2 2 2 2 2" xfId="48159" xr:uid="{00000000-0005-0000-0000-000089BB0000}"/>
    <cellStyle name="req 3 2 2 2 2 2 3" xfId="48160" xr:uid="{00000000-0005-0000-0000-00008ABB0000}"/>
    <cellStyle name="req 3 2 2 2 2 2 3 2" xfId="48161" xr:uid="{00000000-0005-0000-0000-00008BBB0000}"/>
    <cellStyle name="req 3 2 2 2 2 2 4" xfId="48162" xr:uid="{00000000-0005-0000-0000-00008CBB0000}"/>
    <cellStyle name="req 3 2 2 2 2 2 5" xfId="48163" xr:uid="{00000000-0005-0000-0000-00008DBB0000}"/>
    <cellStyle name="req 3 2 2 2 2 3" xfId="48164" xr:uid="{00000000-0005-0000-0000-00008EBB0000}"/>
    <cellStyle name="req 3 2 2 2 2 3 2" xfId="48165" xr:uid="{00000000-0005-0000-0000-00008FBB0000}"/>
    <cellStyle name="req 3 2 2 2 2 4" xfId="48166" xr:uid="{00000000-0005-0000-0000-000090BB0000}"/>
    <cellStyle name="req 3 2 2 2 2 4 2" xfId="48167" xr:uid="{00000000-0005-0000-0000-000091BB0000}"/>
    <cellStyle name="req 3 2 2 2 2 5" xfId="48168" xr:uid="{00000000-0005-0000-0000-000092BB0000}"/>
    <cellStyle name="req 3 2 2 2 2 6" xfId="48169" xr:uid="{00000000-0005-0000-0000-000093BB0000}"/>
    <cellStyle name="req 3 2 2 2 3" xfId="48170" xr:uid="{00000000-0005-0000-0000-000094BB0000}"/>
    <cellStyle name="req 3 2 2 2 3 2" xfId="48171" xr:uid="{00000000-0005-0000-0000-000095BB0000}"/>
    <cellStyle name="req 3 2 2 2 3 2 2" xfId="48172" xr:uid="{00000000-0005-0000-0000-000096BB0000}"/>
    <cellStyle name="req 3 2 2 2 3 3" xfId="48173" xr:uid="{00000000-0005-0000-0000-000097BB0000}"/>
    <cellStyle name="req 3 2 2 2 3 3 2" xfId="48174" xr:uid="{00000000-0005-0000-0000-000098BB0000}"/>
    <cellStyle name="req 3 2 2 2 3 4" xfId="48175" xr:uid="{00000000-0005-0000-0000-000099BB0000}"/>
    <cellStyle name="req 3 2 2 2 3 5" xfId="48176" xr:uid="{00000000-0005-0000-0000-00009ABB0000}"/>
    <cellStyle name="req 3 2 2 2 4" xfId="48177" xr:uid="{00000000-0005-0000-0000-00009BBB0000}"/>
    <cellStyle name="req 3 2 2 2 4 2" xfId="48178" xr:uid="{00000000-0005-0000-0000-00009CBB0000}"/>
    <cellStyle name="req 3 2 2 2 5" xfId="48179" xr:uid="{00000000-0005-0000-0000-00009DBB0000}"/>
    <cellStyle name="req 3 2 2 2 5 2" xfId="48180" xr:uid="{00000000-0005-0000-0000-00009EBB0000}"/>
    <cellStyle name="req 3 2 2 2 6" xfId="48181" xr:uid="{00000000-0005-0000-0000-00009FBB0000}"/>
    <cellStyle name="req 3 2 2 2 7" xfId="48182" xr:uid="{00000000-0005-0000-0000-0000A0BB0000}"/>
    <cellStyle name="req 3 2 2 3" xfId="48183" xr:uid="{00000000-0005-0000-0000-0000A1BB0000}"/>
    <cellStyle name="req 3 2 2 3 2" xfId="48184" xr:uid="{00000000-0005-0000-0000-0000A2BB0000}"/>
    <cellStyle name="req 3 2 2 3 2 2" xfId="48185" xr:uid="{00000000-0005-0000-0000-0000A3BB0000}"/>
    <cellStyle name="req 3 2 2 3 2 2 2" xfId="48186" xr:uid="{00000000-0005-0000-0000-0000A4BB0000}"/>
    <cellStyle name="req 3 2 2 3 2 3" xfId="48187" xr:uid="{00000000-0005-0000-0000-0000A5BB0000}"/>
    <cellStyle name="req 3 2 2 3 2 3 2" xfId="48188" xr:uid="{00000000-0005-0000-0000-0000A6BB0000}"/>
    <cellStyle name="req 3 2 2 3 2 4" xfId="48189" xr:uid="{00000000-0005-0000-0000-0000A7BB0000}"/>
    <cellStyle name="req 3 2 2 3 2 5" xfId="48190" xr:uid="{00000000-0005-0000-0000-0000A8BB0000}"/>
    <cellStyle name="req 3 2 2 3 3" xfId="48191" xr:uid="{00000000-0005-0000-0000-0000A9BB0000}"/>
    <cellStyle name="req 3 2 2 3 3 2" xfId="48192" xr:uid="{00000000-0005-0000-0000-0000AABB0000}"/>
    <cellStyle name="req 3 2 2 3 4" xfId="48193" xr:uid="{00000000-0005-0000-0000-0000ABBB0000}"/>
    <cellStyle name="req 3 2 2 3 4 2" xfId="48194" xr:uid="{00000000-0005-0000-0000-0000ACBB0000}"/>
    <cellStyle name="req 3 2 2 3 5" xfId="48195" xr:uid="{00000000-0005-0000-0000-0000ADBB0000}"/>
    <cellStyle name="req 3 2 2 3 6" xfId="48196" xr:uid="{00000000-0005-0000-0000-0000AEBB0000}"/>
    <cellStyle name="req 3 2 2 4" xfId="48197" xr:uid="{00000000-0005-0000-0000-0000AFBB0000}"/>
    <cellStyle name="req 3 2 2 4 2" xfId="48198" xr:uid="{00000000-0005-0000-0000-0000B0BB0000}"/>
    <cellStyle name="req 3 2 2 4 2 2" xfId="48199" xr:uid="{00000000-0005-0000-0000-0000B1BB0000}"/>
    <cellStyle name="req 3 2 2 4 3" xfId="48200" xr:uid="{00000000-0005-0000-0000-0000B2BB0000}"/>
    <cellStyle name="req 3 2 2 4 3 2" xfId="48201" xr:uid="{00000000-0005-0000-0000-0000B3BB0000}"/>
    <cellStyle name="req 3 2 2 4 4" xfId="48202" xr:uid="{00000000-0005-0000-0000-0000B4BB0000}"/>
    <cellStyle name="req 3 2 2 4 5" xfId="48203" xr:uid="{00000000-0005-0000-0000-0000B5BB0000}"/>
    <cellStyle name="req 3 2 2 5" xfId="48204" xr:uid="{00000000-0005-0000-0000-0000B6BB0000}"/>
    <cellStyle name="req 3 2 2 5 2" xfId="48205" xr:uid="{00000000-0005-0000-0000-0000B7BB0000}"/>
    <cellStyle name="req 3 2 2 6" xfId="48206" xr:uid="{00000000-0005-0000-0000-0000B8BB0000}"/>
    <cellStyle name="req 3 2 2 6 2" xfId="48207" xr:uid="{00000000-0005-0000-0000-0000B9BB0000}"/>
    <cellStyle name="req 3 2 2 7" xfId="48208" xr:uid="{00000000-0005-0000-0000-0000BABB0000}"/>
    <cellStyle name="req 3 2 2 8" xfId="48209" xr:uid="{00000000-0005-0000-0000-0000BBBB0000}"/>
    <cellStyle name="req 3 2 3" xfId="48210" xr:uid="{00000000-0005-0000-0000-0000BCBB0000}"/>
    <cellStyle name="req 3 2 3 2" xfId="48211" xr:uid="{00000000-0005-0000-0000-0000BDBB0000}"/>
    <cellStyle name="req 3 2 3 2 2" xfId="48212" xr:uid="{00000000-0005-0000-0000-0000BEBB0000}"/>
    <cellStyle name="req 3 2 3 2 2 2" xfId="48213" xr:uid="{00000000-0005-0000-0000-0000BFBB0000}"/>
    <cellStyle name="req 3 2 3 2 2 2 2" xfId="48214" xr:uid="{00000000-0005-0000-0000-0000C0BB0000}"/>
    <cellStyle name="req 3 2 3 2 2 3" xfId="48215" xr:uid="{00000000-0005-0000-0000-0000C1BB0000}"/>
    <cellStyle name="req 3 2 3 2 2 3 2" xfId="48216" xr:uid="{00000000-0005-0000-0000-0000C2BB0000}"/>
    <cellStyle name="req 3 2 3 2 2 4" xfId="48217" xr:uid="{00000000-0005-0000-0000-0000C3BB0000}"/>
    <cellStyle name="req 3 2 3 2 2 5" xfId="48218" xr:uid="{00000000-0005-0000-0000-0000C4BB0000}"/>
    <cellStyle name="req 3 2 3 2 3" xfId="48219" xr:uid="{00000000-0005-0000-0000-0000C5BB0000}"/>
    <cellStyle name="req 3 2 3 2 3 2" xfId="48220" xr:uid="{00000000-0005-0000-0000-0000C6BB0000}"/>
    <cellStyle name="req 3 2 3 2 4" xfId="48221" xr:uid="{00000000-0005-0000-0000-0000C7BB0000}"/>
    <cellStyle name="req 3 2 3 2 4 2" xfId="48222" xr:uid="{00000000-0005-0000-0000-0000C8BB0000}"/>
    <cellStyle name="req 3 2 3 2 5" xfId="48223" xr:uid="{00000000-0005-0000-0000-0000C9BB0000}"/>
    <cellStyle name="req 3 2 3 2 6" xfId="48224" xr:uid="{00000000-0005-0000-0000-0000CABB0000}"/>
    <cellStyle name="req 3 2 3 3" xfId="48225" xr:uid="{00000000-0005-0000-0000-0000CBBB0000}"/>
    <cellStyle name="req 3 2 3 3 2" xfId="48226" xr:uid="{00000000-0005-0000-0000-0000CCBB0000}"/>
    <cellStyle name="req 3 2 3 3 2 2" xfId="48227" xr:uid="{00000000-0005-0000-0000-0000CDBB0000}"/>
    <cellStyle name="req 3 2 3 3 3" xfId="48228" xr:uid="{00000000-0005-0000-0000-0000CEBB0000}"/>
    <cellStyle name="req 3 2 3 3 3 2" xfId="48229" xr:uid="{00000000-0005-0000-0000-0000CFBB0000}"/>
    <cellStyle name="req 3 2 3 3 4" xfId="48230" xr:uid="{00000000-0005-0000-0000-0000D0BB0000}"/>
    <cellStyle name="req 3 2 3 3 5" xfId="48231" xr:uid="{00000000-0005-0000-0000-0000D1BB0000}"/>
    <cellStyle name="req 3 2 3 4" xfId="48232" xr:uid="{00000000-0005-0000-0000-0000D2BB0000}"/>
    <cellStyle name="req 3 2 3 4 2" xfId="48233" xr:uid="{00000000-0005-0000-0000-0000D3BB0000}"/>
    <cellStyle name="req 3 2 3 5" xfId="48234" xr:uid="{00000000-0005-0000-0000-0000D4BB0000}"/>
    <cellStyle name="req 3 2 3 5 2" xfId="48235" xr:uid="{00000000-0005-0000-0000-0000D5BB0000}"/>
    <cellStyle name="req 3 2 3 6" xfId="48236" xr:uid="{00000000-0005-0000-0000-0000D6BB0000}"/>
    <cellStyle name="req 3 2 3 7" xfId="48237" xr:uid="{00000000-0005-0000-0000-0000D7BB0000}"/>
    <cellStyle name="req 3 2 4" xfId="48238" xr:uid="{00000000-0005-0000-0000-0000D8BB0000}"/>
    <cellStyle name="req 3 2 4 2" xfId="48239" xr:uid="{00000000-0005-0000-0000-0000D9BB0000}"/>
    <cellStyle name="req 3 2 4 2 2" xfId="48240" xr:uid="{00000000-0005-0000-0000-0000DABB0000}"/>
    <cellStyle name="req 3 2 4 2 2 2" xfId="48241" xr:uid="{00000000-0005-0000-0000-0000DBBB0000}"/>
    <cellStyle name="req 3 2 4 2 3" xfId="48242" xr:uid="{00000000-0005-0000-0000-0000DCBB0000}"/>
    <cellStyle name="req 3 2 4 2 3 2" xfId="48243" xr:uid="{00000000-0005-0000-0000-0000DDBB0000}"/>
    <cellStyle name="req 3 2 4 2 4" xfId="48244" xr:uid="{00000000-0005-0000-0000-0000DEBB0000}"/>
    <cellStyle name="req 3 2 4 2 5" xfId="48245" xr:uid="{00000000-0005-0000-0000-0000DFBB0000}"/>
    <cellStyle name="req 3 2 4 3" xfId="48246" xr:uid="{00000000-0005-0000-0000-0000E0BB0000}"/>
    <cellStyle name="req 3 2 4 3 2" xfId="48247" xr:uid="{00000000-0005-0000-0000-0000E1BB0000}"/>
    <cellStyle name="req 3 2 4 4" xfId="48248" xr:uid="{00000000-0005-0000-0000-0000E2BB0000}"/>
    <cellStyle name="req 3 2 4 4 2" xfId="48249" xr:uid="{00000000-0005-0000-0000-0000E3BB0000}"/>
    <cellStyle name="req 3 2 4 5" xfId="48250" xr:uid="{00000000-0005-0000-0000-0000E4BB0000}"/>
    <cellStyle name="req 3 2 4 6" xfId="48251" xr:uid="{00000000-0005-0000-0000-0000E5BB0000}"/>
    <cellStyle name="req 3 2 5" xfId="48252" xr:uid="{00000000-0005-0000-0000-0000E6BB0000}"/>
    <cellStyle name="req 3 2 5 2" xfId="48253" xr:uid="{00000000-0005-0000-0000-0000E7BB0000}"/>
    <cellStyle name="req 3 2 5 2 2" xfId="48254" xr:uid="{00000000-0005-0000-0000-0000E8BB0000}"/>
    <cellStyle name="req 3 2 5 3" xfId="48255" xr:uid="{00000000-0005-0000-0000-0000E9BB0000}"/>
    <cellStyle name="req 3 2 5 3 2" xfId="48256" xr:uid="{00000000-0005-0000-0000-0000EABB0000}"/>
    <cellStyle name="req 3 2 5 4" xfId="48257" xr:uid="{00000000-0005-0000-0000-0000EBBB0000}"/>
    <cellStyle name="req 3 2 5 5" xfId="48258" xr:uid="{00000000-0005-0000-0000-0000ECBB0000}"/>
    <cellStyle name="req 3 2 6" xfId="48259" xr:uid="{00000000-0005-0000-0000-0000EDBB0000}"/>
    <cellStyle name="req 3 2 6 2" xfId="48260" xr:uid="{00000000-0005-0000-0000-0000EEBB0000}"/>
    <cellStyle name="req 3 2 7" xfId="48261" xr:uid="{00000000-0005-0000-0000-0000EFBB0000}"/>
    <cellStyle name="req 3 2 7 2" xfId="48262" xr:uid="{00000000-0005-0000-0000-0000F0BB0000}"/>
    <cellStyle name="req 3 2 8" xfId="48263" xr:uid="{00000000-0005-0000-0000-0000F1BB0000}"/>
    <cellStyle name="req 3 2 9" xfId="48264" xr:uid="{00000000-0005-0000-0000-0000F2BB0000}"/>
    <cellStyle name="req 3 3" xfId="48265" xr:uid="{00000000-0005-0000-0000-0000F3BB0000}"/>
    <cellStyle name="req 3 3 2" xfId="48266" xr:uid="{00000000-0005-0000-0000-0000F4BB0000}"/>
    <cellStyle name="req 3 3 2 2" xfId="48267" xr:uid="{00000000-0005-0000-0000-0000F5BB0000}"/>
    <cellStyle name="req 3 3 2 2 2" xfId="48268" xr:uid="{00000000-0005-0000-0000-0000F6BB0000}"/>
    <cellStyle name="req 3 3 2 2 2 2" xfId="48269" xr:uid="{00000000-0005-0000-0000-0000F7BB0000}"/>
    <cellStyle name="req 3 3 2 2 2 2 2" xfId="48270" xr:uid="{00000000-0005-0000-0000-0000F8BB0000}"/>
    <cellStyle name="req 3 3 2 2 2 2 2 2" xfId="48271" xr:uid="{00000000-0005-0000-0000-0000F9BB0000}"/>
    <cellStyle name="req 3 3 2 2 2 2 3" xfId="48272" xr:uid="{00000000-0005-0000-0000-0000FABB0000}"/>
    <cellStyle name="req 3 3 2 2 2 2 3 2" xfId="48273" xr:uid="{00000000-0005-0000-0000-0000FBBB0000}"/>
    <cellStyle name="req 3 3 2 2 2 2 4" xfId="48274" xr:uid="{00000000-0005-0000-0000-0000FCBB0000}"/>
    <cellStyle name="req 3 3 2 2 2 2 5" xfId="48275" xr:uid="{00000000-0005-0000-0000-0000FDBB0000}"/>
    <cellStyle name="req 3 3 2 2 2 3" xfId="48276" xr:uid="{00000000-0005-0000-0000-0000FEBB0000}"/>
    <cellStyle name="req 3 3 2 2 2 3 2" xfId="48277" xr:uid="{00000000-0005-0000-0000-0000FFBB0000}"/>
    <cellStyle name="req 3 3 2 2 2 4" xfId="48278" xr:uid="{00000000-0005-0000-0000-000000BC0000}"/>
    <cellStyle name="req 3 3 2 2 2 4 2" xfId="48279" xr:uid="{00000000-0005-0000-0000-000001BC0000}"/>
    <cellStyle name="req 3 3 2 2 2 5" xfId="48280" xr:uid="{00000000-0005-0000-0000-000002BC0000}"/>
    <cellStyle name="req 3 3 2 2 2 6" xfId="48281" xr:uid="{00000000-0005-0000-0000-000003BC0000}"/>
    <cellStyle name="req 3 3 2 2 3" xfId="48282" xr:uid="{00000000-0005-0000-0000-000004BC0000}"/>
    <cellStyle name="req 3 3 2 2 3 2" xfId="48283" xr:uid="{00000000-0005-0000-0000-000005BC0000}"/>
    <cellStyle name="req 3 3 2 2 3 2 2" xfId="48284" xr:uid="{00000000-0005-0000-0000-000006BC0000}"/>
    <cellStyle name="req 3 3 2 2 3 3" xfId="48285" xr:uid="{00000000-0005-0000-0000-000007BC0000}"/>
    <cellStyle name="req 3 3 2 2 3 3 2" xfId="48286" xr:uid="{00000000-0005-0000-0000-000008BC0000}"/>
    <cellStyle name="req 3 3 2 2 3 4" xfId="48287" xr:uid="{00000000-0005-0000-0000-000009BC0000}"/>
    <cellStyle name="req 3 3 2 2 3 5" xfId="48288" xr:uid="{00000000-0005-0000-0000-00000ABC0000}"/>
    <cellStyle name="req 3 3 2 2 4" xfId="48289" xr:uid="{00000000-0005-0000-0000-00000BBC0000}"/>
    <cellStyle name="req 3 3 2 2 4 2" xfId="48290" xr:uid="{00000000-0005-0000-0000-00000CBC0000}"/>
    <cellStyle name="req 3 3 2 2 5" xfId="48291" xr:uid="{00000000-0005-0000-0000-00000DBC0000}"/>
    <cellStyle name="req 3 3 2 2 5 2" xfId="48292" xr:uid="{00000000-0005-0000-0000-00000EBC0000}"/>
    <cellStyle name="req 3 3 2 2 6" xfId="48293" xr:uid="{00000000-0005-0000-0000-00000FBC0000}"/>
    <cellStyle name="req 3 3 2 2 7" xfId="48294" xr:uid="{00000000-0005-0000-0000-000010BC0000}"/>
    <cellStyle name="req 3 3 2 3" xfId="48295" xr:uid="{00000000-0005-0000-0000-000011BC0000}"/>
    <cellStyle name="req 3 3 2 3 2" xfId="48296" xr:uid="{00000000-0005-0000-0000-000012BC0000}"/>
    <cellStyle name="req 3 3 2 3 2 2" xfId="48297" xr:uid="{00000000-0005-0000-0000-000013BC0000}"/>
    <cellStyle name="req 3 3 2 3 2 2 2" xfId="48298" xr:uid="{00000000-0005-0000-0000-000014BC0000}"/>
    <cellStyle name="req 3 3 2 3 2 3" xfId="48299" xr:uid="{00000000-0005-0000-0000-000015BC0000}"/>
    <cellStyle name="req 3 3 2 3 2 3 2" xfId="48300" xr:uid="{00000000-0005-0000-0000-000016BC0000}"/>
    <cellStyle name="req 3 3 2 3 2 4" xfId="48301" xr:uid="{00000000-0005-0000-0000-000017BC0000}"/>
    <cellStyle name="req 3 3 2 3 2 5" xfId="48302" xr:uid="{00000000-0005-0000-0000-000018BC0000}"/>
    <cellStyle name="req 3 3 2 3 3" xfId="48303" xr:uid="{00000000-0005-0000-0000-000019BC0000}"/>
    <cellStyle name="req 3 3 2 3 3 2" xfId="48304" xr:uid="{00000000-0005-0000-0000-00001ABC0000}"/>
    <cellStyle name="req 3 3 2 3 4" xfId="48305" xr:uid="{00000000-0005-0000-0000-00001BBC0000}"/>
    <cellStyle name="req 3 3 2 3 4 2" xfId="48306" xr:uid="{00000000-0005-0000-0000-00001CBC0000}"/>
    <cellStyle name="req 3 3 2 3 5" xfId="48307" xr:uid="{00000000-0005-0000-0000-00001DBC0000}"/>
    <cellStyle name="req 3 3 2 3 6" xfId="48308" xr:uid="{00000000-0005-0000-0000-00001EBC0000}"/>
    <cellStyle name="req 3 3 2 4" xfId="48309" xr:uid="{00000000-0005-0000-0000-00001FBC0000}"/>
    <cellStyle name="req 3 3 2 4 2" xfId="48310" xr:uid="{00000000-0005-0000-0000-000020BC0000}"/>
    <cellStyle name="req 3 3 2 4 2 2" xfId="48311" xr:uid="{00000000-0005-0000-0000-000021BC0000}"/>
    <cellStyle name="req 3 3 2 4 3" xfId="48312" xr:uid="{00000000-0005-0000-0000-000022BC0000}"/>
    <cellStyle name="req 3 3 2 4 3 2" xfId="48313" xr:uid="{00000000-0005-0000-0000-000023BC0000}"/>
    <cellStyle name="req 3 3 2 4 4" xfId="48314" xr:uid="{00000000-0005-0000-0000-000024BC0000}"/>
    <cellStyle name="req 3 3 2 4 5" xfId="48315" xr:uid="{00000000-0005-0000-0000-000025BC0000}"/>
    <cellStyle name="req 3 3 2 5" xfId="48316" xr:uid="{00000000-0005-0000-0000-000026BC0000}"/>
    <cellStyle name="req 3 3 2 5 2" xfId="48317" xr:uid="{00000000-0005-0000-0000-000027BC0000}"/>
    <cellStyle name="req 3 3 2 6" xfId="48318" xr:uid="{00000000-0005-0000-0000-000028BC0000}"/>
    <cellStyle name="req 3 3 2 6 2" xfId="48319" xr:uid="{00000000-0005-0000-0000-000029BC0000}"/>
    <cellStyle name="req 3 3 2 7" xfId="48320" xr:uid="{00000000-0005-0000-0000-00002ABC0000}"/>
    <cellStyle name="req 3 3 2 8" xfId="48321" xr:uid="{00000000-0005-0000-0000-00002BBC0000}"/>
    <cellStyle name="req 3 3 3" xfId="48322" xr:uid="{00000000-0005-0000-0000-00002CBC0000}"/>
    <cellStyle name="req 3 3 3 2" xfId="48323" xr:uid="{00000000-0005-0000-0000-00002DBC0000}"/>
    <cellStyle name="req 3 3 3 2 2" xfId="48324" xr:uid="{00000000-0005-0000-0000-00002EBC0000}"/>
    <cellStyle name="req 3 3 3 2 2 2" xfId="48325" xr:uid="{00000000-0005-0000-0000-00002FBC0000}"/>
    <cellStyle name="req 3 3 3 2 2 2 2" xfId="48326" xr:uid="{00000000-0005-0000-0000-000030BC0000}"/>
    <cellStyle name="req 3 3 3 2 2 3" xfId="48327" xr:uid="{00000000-0005-0000-0000-000031BC0000}"/>
    <cellStyle name="req 3 3 3 2 2 3 2" xfId="48328" xr:uid="{00000000-0005-0000-0000-000032BC0000}"/>
    <cellStyle name="req 3 3 3 2 2 4" xfId="48329" xr:uid="{00000000-0005-0000-0000-000033BC0000}"/>
    <cellStyle name="req 3 3 3 2 2 5" xfId="48330" xr:uid="{00000000-0005-0000-0000-000034BC0000}"/>
    <cellStyle name="req 3 3 3 2 3" xfId="48331" xr:uid="{00000000-0005-0000-0000-000035BC0000}"/>
    <cellStyle name="req 3 3 3 2 3 2" xfId="48332" xr:uid="{00000000-0005-0000-0000-000036BC0000}"/>
    <cellStyle name="req 3 3 3 2 4" xfId="48333" xr:uid="{00000000-0005-0000-0000-000037BC0000}"/>
    <cellStyle name="req 3 3 3 2 4 2" xfId="48334" xr:uid="{00000000-0005-0000-0000-000038BC0000}"/>
    <cellStyle name="req 3 3 3 2 5" xfId="48335" xr:uid="{00000000-0005-0000-0000-000039BC0000}"/>
    <cellStyle name="req 3 3 3 2 6" xfId="48336" xr:uid="{00000000-0005-0000-0000-00003ABC0000}"/>
    <cellStyle name="req 3 3 3 3" xfId="48337" xr:uid="{00000000-0005-0000-0000-00003BBC0000}"/>
    <cellStyle name="req 3 3 3 3 2" xfId="48338" xr:uid="{00000000-0005-0000-0000-00003CBC0000}"/>
    <cellStyle name="req 3 3 3 3 2 2" xfId="48339" xr:uid="{00000000-0005-0000-0000-00003DBC0000}"/>
    <cellStyle name="req 3 3 3 3 3" xfId="48340" xr:uid="{00000000-0005-0000-0000-00003EBC0000}"/>
    <cellStyle name="req 3 3 3 3 3 2" xfId="48341" xr:uid="{00000000-0005-0000-0000-00003FBC0000}"/>
    <cellStyle name="req 3 3 3 3 4" xfId="48342" xr:uid="{00000000-0005-0000-0000-000040BC0000}"/>
    <cellStyle name="req 3 3 3 3 5" xfId="48343" xr:uid="{00000000-0005-0000-0000-000041BC0000}"/>
    <cellStyle name="req 3 3 3 4" xfId="48344" xr:uid="{00000000-0005-0000-0000-000042BC0000}"/>
    <cellStyle name="req 3 3 3 4 2" xfId="48345" xr:uid="{00000000-0005-0000-0000-000043BC0000}"/>
    <cellStyle name="req 3 3 3 5" xfId="48346" xr:uid="{00000000-0005-0000-0000-000044BC0000}"/>
    <cellStyle name="req 3 3 3 5 2" xfId="48347" xr:uid="{00000000-0005-0000-0000-000045BC0000}"/>
    <cellStyle name="req 3 3 3 6" xfId="48348" xr:uid="{00000000-0005-0000-0000-000046BC0000}"/>
    <cellStyle name="req 3 3 3 7" xfId="48349" xr:uid="{00000000-0005-0000-0000-000047BC0000}"/>
    <cellStyle name="req 3 3 4" xfId="48350" xr:uid="{00000000-0005-0000-0000-000048BC0000}"/>
    <cellStyle name="req 3 3 4 2" xfId="48351" xr:uid="{00000000-0005-0000-0000-000049BC0000}"/>
    <cellStyle name="req 3 3 4 2 2" xfId="48352" xr:uid="{00000000-0005-0000-0000-00004ABC0000}"/>
    <cellStyle name="req 3 3 4 2 2 2" xfId="48353" xr:uid="{00000000-0005-0000-0000-00004BBC0000}"/>
    <cellStyle name="req 3 3 4 2 3" xfId="48354" xr:uid="{00000000-0005-0000-0000-00004CBC0000}"/>
    <cellStyle name="req 3 3 4 2 3 2" xfId="48355" xr:uid="{00000000-0005-0000-0000-00004DBC0000}"/>
    <cellStyle name="req 3 3 4 2 4" xfId="48356" xr:uid="{00000000-0005-0000-0000-00004EBC0000}"/>
    <cellStyle name="req 3 3 4 2 5" xfId="48357" xr:uid="{00000000-0005-0000-0000-00004FBC0000}"/>
    <cellStyle name="req 3 3 4 3" xfId="48358" xr:uid="{00000000-0005-0000-0000-000050BC0000}"/>
    <cellStyle name="req 3 3 4 3 2" xfId="48359" xr:uid="{00000000-0005-0000-0000-000051BC0000}"/>
    <cellStyle name="req 3 3 4 4" xfId="48360" xr:uid="{00000000-0005-0000-0000-000052BC0000}"/>
    <cellStyle name="req 3 3 4 4 2" xfId="48361" xr:uid="{00000000-0005-0000-0000-000053BC0000}"/>
    <cellStyle name="req 3 3 4 5" xfId="48362" xr:uid="{00000000-0005-0000-0000-000054BC0000}"/>
    <cellStyle name="req 3 3 4 6" xfId="48363" xr:uid="{00000000-0005-0000-0000-000055BC0000}"/>
    <cellStyle name="req 3 3 5" xfId="48364" xr:uid="{00000000-0005-0000-0000-000056BC0000}"/>
    <cellStyle name="req 3 3 5 2" xfId="48365" xr:uid="{00000000-0005-0000-0000-000057BC0000}"/>
    <cellStyle name="req 3 3 5 2 2" xfId="48366" xr:uid="{00000000-0005-0000-0000-000058BC0000}"/>
    <cellStyle name="req 3 3 5 3" xfId="48367" xr:uid="{00000000-0005-0000-0000-000059BC0000}"/>
    <cellStyle name="req 3 3 5 3 2" xfId="48368" xr:uid="{00000000-0005-0000-0000-00005ABC0000}"/>
    <cellStyle name="req 3 3 5 4" xfId="48369" xr:uid="{00000000-0005-0000-0000-00005BBC0000}"/>
    <cellStyle name="req 3 3 5 5" xfId="48370" xr:uid="{00000000-0005-0000-0000-00005CBC0000}"/>
    <cellStyle name="req 3 3 6" xfId="48371" xr:uid="{00000000-0005-0000-0000-00005DBC0000}"/>
    <cellStyle name="req 3 3 6 2" xfId="48372" xr:uid="{00000000-0005-0000-0000-00005EBC0000}"/>
    <cellStyle name="req 3 3 7" xfId="48373" xr:uid="{00000000-0005-0000-0000-00005FBC0000}"/>
    <cellStyle name="req 3 3 7 2" xfId="48374" xr:uid="{00000000-0005-0000-0000-000060BC0000}"/>
    <cellStyle name="req 3 3 8" xfId="48375" xr:uid="{00000000-0005-0000-0000-000061BC0000}"/>
    <cellStyle name="req 3 3 9" xfId="48376" xr:uid="{00000000-0005-0000-0000-000062BC0000}"/>
    <cellStyle name="req 3 4" xfId="48377" xr:uid="{00000000-0005-0000-0000-000063BC0000}"/>
    <cellStyle name="req 3 4 2" xfId="48378" xr:uid="{00000000-0005-0000-0000-000064BC0000}"/>
    <cellStyle name="req 3 4 2 2" xfId="48379" xr:uid="{00000000-0005-0000-0000-000065BC0000}"/>
    <cellStyle name="req 3 4 2 2 2" xfId="48380" xr:uid="{00000000-0005-0000-0000-000066BC0000}"/>
    <cellStyle name="req 3 4 2 2 2 2" xfId="48381" xr:uid="{00000000-0005-0000-0000-000067BC0000}"/>
    <cellStyle name="req 3 4 2 2 2 2 2" xfId="48382" xr:uid="{00000000-0005-0000-0000-000068BC0000}"/>
    <cellStyle name="req 3 4 2 2 2 2 2 2" xfId="48383" xr:uid="{00000000-0005-0000-0000-000069BC0000}"/>
    <cellStyle name="req 3 4 2 2 2 2 3" xfId="48384" xr:uid="{00000000-0005-0000-0000-00006ABC0000}"/>
    <cellStyle name="req 3 4 2 2 2 2 3 2" xfId="48385" xr:uid="{00000000-0005-0000-0000-00006BBC0000}"/>
    <cellStyle name="req 3 4 2 2 2 2 4" xfId="48386" xr:uid="{00000000-0005-0000-0000-00006CBC0000}"/>
    <cellStyle name="req 3 4 2 2 2 2 5" xfId="48387" xr:uid="{00000000-0005-0000-0000-00006DBC0000}"/>
    <cellStyle name="req 3 4 2 2 2 3" xfId="48388" xr:uid="{00000000-0005-0000-0000-00006EBC0000}"/>
    <cellStyle name="req 3 4 2 2 2 3 2" xfId="48389" xr:uid="{00000000-0005-0000-0000-00006FBC0000}"/>
    <cellStyle name="req 3 4 2 2 2 4" xfId="48390" xr:uid="{00000000-0005-0000-0000-000070BC0000}"/>
    <cellStyle name="req 3 4 2 2 2 4 2" xfId="48391" xr:uid="{00000000-0005-0000-0000-000071BC0000}"/>
    <cellStyle name="req 3 4 2 2 2 5" xfId="48392" xr:uid="{00000000-0005-0000-0000-000072BC0000}"/>
    <cellStyle name="req 3 4 2 2 2 6" xfId="48393" xr:uid="{00000000-0005-0000-0000-000073BC0000}"/>
    <cellStyle name="req 3 4 2 2 3" xfId="48394" xr:uid="{00000000-0005-0000-0000-000074BC0000}"/>
    <cellStyle name="req 3 4 2 2 3 2" xfId="48395" xr:uid="{00000000-0005-0000-0000-000075BC0000}"/>
    <cellStyle name="req 3 4 2 2 3 2 2" xfId="48396" xr:uid="{00000000-0005-0000-0000-000076BC0000}"/>
    <cellStyle name="req 3 4 2 2 3 3" xfId="48397" xr:uid="{00000000-0005-0000-0000-000077BC0000}"/>
    <cellStyle name="req 3 4 2 2 3 3 2" xfId="48398" xr:uid="{00000000-0005-0000-0000-000078BC0000}"/>
    <cellStyle name="req 3 4 2 2 3 4" xfId="48399" xr:uid="{00000000-0005-0000-0000-000079BC0000}"/>
    <cellStyle name="req 3 4 2 2 3 5" xfId="48400" xr:uid="{00000000-0005-0000-0000-00007ABC0000}"/>
    <cellStyle name="req 3 4 2 2 4" xfId="48401" xr:uid="{00000000-0005-0000-0000-00007BBC0000}"/>
    <cellStyle name="req 3 4 2 2 4 2" xfId="48402" xr:uid="{00000000-0005-0000-0000-00007CBC0000}"/>
    <cellStyle name="req 3 4 2 2 5" xfId="48403" xr:uid="{00000000-0005-0000-0000-00007DBC0000}"/>
    <cellStyle name="req 3 4 2 2 5 2" xfId="48404" xr:uid="{00000000-0005-0000-0000-00007EBC0000}"/>
    <cellStyle name="req 3 4 2 2 6" xfId="48405" xr:uid="{00000000-0005-0000-0000-00007FBC0000}"/>
    <cellStyle name="req 3 4 2 2 7" xfId="48406" xr:uid="{00000000-0005-0000-0000-000080BC0000}"/>
    <cellStyle name="req 3 4 2 3" xfId="48407" xr:uid="{00000000-0005-0000-0000-000081BC0000}"/>
    <cellStyle name="req 3 4 2 3 2" xfId="48408" xr:uid="{00000000-0005-0000-0000-000082BC0000}"/>
    <cellStyle name="req 3 4 2 3 2 2" xfId="48409" xr:uid="{00000000-0005-0000-0000-000083BC0000}"/>
    <cellStyle name="req 3 4 2 3 2 2 2" xfId="48410" xr:uid="{00000000-0005-0000-0000-000084BC0000}"/>
    <cellStyle name="req 3 4 2 3 2 3" xfId="48411" xr:uid="{00000000-0005-0000-0000-000085BC0000}"/>
    <cellStyle name="req 3 4 2 3 2 3 2" xfId="48412" xr:uid="{00000000-0005-0000-0000-000086BC0000}"/>
    <cellStyle name="req 3 4 2 3 2 4" xfId="48413" xr:uid="{00000000-0005-0000-0000-000087BC0000}"/>
    <cellStyle name="req 3 4 2 3 2 5" xfId="48414" xr:uid="{00000000-0005-0000-0000-000088BC0000}"/>
    <cellStyle name="req 3 4 2 3 3" xfId="48415" xr:uid="{00000000-0005-0000-0000-000089BC0000}"/>
    <cellStyle name="req 3 4 2 3 3 2" xfId="48416" xr:uid="{00000000-0005-0000-0000-00008ABC0000}"/>
    <cellStyle name="req 3 4 2 3 4" xfId="48417" xr:uid="{00000000-0005-0000-0000-00008BBC0000}"/>
    <cellStyle name="req 3 4 2 3 4 2" xfId="48418" xr:uid="{00000000-0005-0000-0000-00008CBC0000}"/>
    <cellStyle name="req 3 4 2 3 5" xfId="48419" xr:uid="{00000000-0005-0000-0000-00008DBC0000}"/>
    <cellStyle name="req 3 4 2 3 6" xfId="48420" xr:uid="{00000000-0005-0000-0000-00008EBC0000}"/>
    <cellStyle name="req 3 4 2 4" xfId="48421" xr:uid="{00000000-0005-0000-0000-00008FBC0000}"/>
    <cellStyle name="req 3 4 2 4 2" xfId="48422" xr:uid="{00000000-0005-0000-0000-000090BC0000}"/>
    <cellStyle name="req 3 4 2 4 2 2" xfId="48423" xr:uid="{00000000-0005-0000-0000-000091BC0000}"/>
    <cellStyle name="req 3 4 2 4 3" xfId="48424" xr:uid="{00000000-0005-0000-0000-000092BC0000}"/>
    <cellStyle name="req 3 4 2 4 3 2" xfId="48425" xr:uid="{00000000-0005-0000-0000-000093BC0000}"/>
    <cellStyle name="req 3 4 2 4 4" xfId="48426" xr:uid="{00000000-0005-0000-0000-000094BC0000}"/>
    <cellStyle name="req 3 4 2 4 5" xfId="48427" xr:uid="{00000000-0005-0000-0000-000095BC0000}"/>
    <cellStyle name="req 3 4 2 5" xfId="48428" xr:uid="{00000000-0005-0000-0000-000096BC0000}"/>
    <cellStyle name="req 3 4 2 5 2" xfId="48429" xr:uid="{00000000-0005-0000-0000-000097BC0000}"/>
    <cellStyle name="req 3 4 2 6" xfId="48430" xr:uid="{00000000-0005-0000-0000-000098BC0000}"/>
    <cellStyle name="req 3 4 2 6 2" xfId="48431" xr:uid="{00000000-0005-0000-0000-000099BC0000}"/>
    <cellStyle name="req 3 4 2 7" xfId="48432" xr:uid="{00000000-0005-0000-0000-00009ABC0000}"/>
    <cellStyle name="req 3 4 2 8" xfId="48433" xr:uid="{00000000-0005-0000-0000-00009BBC0000}"/>
    <cellStyle name="req 3 4 3" xfId="48434" xr:uid="{00000000-0005-0000-0000-00009CBC0000}"/>
    <cellStyle name="req 3 4 3 2" xfId="48435" xr:uid="{00000000-0005-0000-0000-00009DBC0000}"/>
    <cellStyle name="req 3 4 3 2 2" xfId="48436" xr:uid="{00000000-0005-0000-0000-00009EBC0000}"/>
    <cellStyle name="req 3 4 3 2 2 2" xfId="48437" xr:uid="{00000000-0005-0000-0000-00009FBC0000}"/>
    <cellStyle name="req 3 4 3 2 2 2 2" xfId="48438" xr:uid="{00000000-0005-0000-0000-0000A0BC0000}"/>
    <cellStyle name="req 3 4 3 2 2 3" xfId="48439" xr:uid="{00000000-0005-0000-0000-0000A1BC0000}"/>
    <cellStyle name="req 3 4 3 2 2 3 2" xfId="48440" xr:uid="{00000000-0005-0000-0000-0000A2BC0000}"/>
    <cellStyle name="req 3 4 3 2 2 4" xfId="48441" xr:uid="{00000000-0005-0000-0000-0000A3BC0000}"/>
    <cellStyle name="req 3 4 3 2 2 5" xfId="48442" xr:uid="{00000000-0005-0000-0000-0000A4BC0000}"/>
    <cellStyle name="req 3 4 3 2 3" xfId="48443" xr:uid="{00000000-0005-0000-0000-0000A5BC0000}"/>
    <cellStyle name="req 3 4 3 2 3 2" xfId="48444" xr:uid="{00000000-0005-0000-0000-0000A6BC0000}"/>
    <cellStyle name="req 3 4 3 2 4" xfId="48445" xr:uid="{00000000-0005-0000-0000-0000A7BC0000}"/>
    <cellStyle name="req 3 4 3 2 4 2" xfId="48446" xr:uid="{00000000-0005-0000-0000-0000A8BC0000}"/>
    <cellStyle name="req 3 4 3 2 5" xfId="48447" xr:uid="{00000000-0005-0000-0000-0000A9BC0000}"/>
    <cellStyle name="req 3 4 3 2 6" xfId="48448" xr:uid="{00000000-0005-0000-0000-0000AABC0000}"/>
    <cellStyle name="req 3 4 3 3" xfId="48449" xr:uid="{00000000-0005-0000-0000-0000ABBC0000}"/>
    <cellStyle name="req 3 4 3 3 2" xfId="48450" xr:uid="{00000000-0005-0000-0000-0000ACBC0000}"/>
    <cellStyle name="req 3 4 3 3 2 2" xfId="48451" xr:uid="{00000000-0005-0000-0000-0000ADBC0000}"/>
    <cellStyle name="req 3 4 3 3 3" xfId="48452" xr:uid="{00000000-0005-0000-0000-0000AEBC0000}"/>
    <cellStyle name="req 3 4 3 3 3 2" xfId="48453" xr:uid="{00000000-0005-0000-0000-0000AFBC0000}"/>
    <cellStyle name="req 3 4 3 3 4" xfId="48454" xr:uid="{00000000-0005-0000-0000-0000B0BC0000}"/>
    <cellStyle name="req 3 4 3 3 5" xfId="48455" xr:uid="{00000000-0005-0000-0000-0000B1BC0000}"/>
    <cellStyle name="req 3 4 3 4" xfId="48456" xr:uid="{00000000-0005-0000-0000-0000B2BC0000}"/>
    <cellStyle name="req 3 4 3 4 2" xfId="48457" xr:uid="{00000000-0005-0000-0000-0000B3BC0000}"/>
    <cellStyle name="req 3 4 3 5" xfId="48458" xr:uid="{00000000-0005-0000-0000-0000B4BC0000}"/>
    <cellStyle name="req 3 4 3 5 2" xfId="48459" xr:uid="{00000000-0005-0000-0000-0000B5BC0000}"/>
    <cellStyle name="req 3 4 3 6" xfId="48460" xr:uid="{00000000-0005-0000-0000-0000B6BC0000}"/>
    <cellStyle name="req 3 4 3 7" xfId="48461" xr:uid="{00000000-0005-0000-0000-0000B7BC0000}"/>
    <cellStyle name="req 3 4 4" xfId="48462" xr:uid="{00000000-0005-0000-0000-0000B8BC0000}"/>
    <cellStyle name="req 3 4 4 2" xfId="48463" xr:uid="{00000000-0005-0000-0000-0000B9BC0000}"/>
    <cellStyle name="req 3 4 4 2 2" xfId="48464" xr:uid="{00000000-0005-0000-0000-0000BABC0000}"/>
    <cellStyle name="req 3 4 4 2 2 2" xfId="48465" xr:uid="{00000000-0005-0000-0000-0000BBBC0000}"/>
    <cellStyle name="req 3 4 4 2 3" xfId="48466" xr:uid="{00000000-0005-0000-0000-0000BCBC0000}"/>
    <cellStyle name="req 3 4 4 2 3 2" xfId="48467" xr:uid="{00000000-0005-0000-0000-0000BDBC0000}"/>
    <cellStyle name="req 3 4 4 2 4" xfId="48468" xr:uid="{00000000-0005-0000-0000-0000BEBC0000}"/>
    <cellStyle name="req 3 4 4 2 5" xfId="48469" xr:uid="{00000000-0005-0000-0000-0000BFBC0000}"/>
    <cellStyle name="req 3 4 4 3" xfId="48470" xr:uid="{00000000-0005-0000-0000-0000C0BC0000}"/>
    <cellStyle name="req 3 4 4 3 2" xfId="48471" xr:uid="{00000000-0005-0000-0000-0000C1BC0000}"/>
    <cellStyle name="req 3 4 4 4" xfId="48472" xr:uid="{00000000-0005-0000-0000-0000C2BC0000}"/>
    <cellStyle name="req 3 4 4 4 2" xfId="48473" xr:uid="{00000000-0005-0000-0000-0000C3BC0000}"/>
    <cellStyle name="req 3 4 4 5" xfId="48474" xr:uid="{00000000-0005-0000-0000-0000C4BC0000}"/>
    <cellStyle name="req 3 4 4 6" xfId="48475" xr:uid="{00000000-0005-0000-0000-0000C5BC0000}"/>
    <cellStyle name="req 3 4 5" xfId="48476" xr:uid="{00000000-0005-0000-0000-0000C6BC0000}"/>
    <cellStyle name="req 3 4 5 2" xfId="48477" xr:uid="{00000000-0005-0000-0000-0000C7BC0000}"/>
    <cellStyle name="req 3 4 5 2 2" xfId="48478" xr:uid="{00000000-0005-0000-0000-0000C8BC0000}"/>
    <cellStyle name="req 3 4 5 3" xfId="48479" xr:uid="{00000000-0005-0000-0000-0000C9BC0000}"/>
    <cellStyle name="req 3 4 5 3 2" xfId="48480" xr:uid="{00000000-0005-0000-0000-0000CABC0000}"/>
    <cellStyle name="req 3 4 5 4" xfId="48481" xr:uid="{00000000-0005-0000-0000-0000CBBC0000}"/>
    <cellStyle name="req 3 4 5 5" xfId="48482" xr:uid="{00000000-0005-0000-0000-0000CCBC0000}"/>
    <cellStyle name="req 3 4 6" xfId="48483" xr:uid="{00000000-0005-0000-0000-0000CDBC0000}"/>
    <cellStyle name="req 3 4 6 2" xfId="48484" xr:uid="{00000000-0005-0000-0000-0000CEBC0000}"/>
    <cellStyle name="req 3 4 7" xfId="48485" xr:uid="{00000000-0005-0000-0000-0000CFBC0000}"/>
    <cellStyle name="req 3 4 7 2" xfId="48486" xr:uid="{00000000-0005-0000-0000-0000D0BC0000}"/>
    <cellStyle name="req 3 4 8" xfId="48487" xr:uid="{00000000-0005-0000-0000-0000D1BC0000}"/>
    <cellStyle name="req 3 4 9" xfId="48488" xr:uid="{00000000-0005-0000-0000-0000D2BC0000}"/>
    <cellStyle name="req 3 5" xfId="48489" xr:uid="{00000000-0005-0000-0000-0000D3BC0000}"/>
    <cellStyle name="req 3 5 2" xfId="48490" xr:uid="{00000000-0005-0000-0000-0000D4BC0000}"/>
    <cellStyle name="req 3 5 2 2" xfId="48491" xr:uid="{00000000-0005-0000-0000-0000D5BC0000}"/>
    <cellStyle name="req 3 5 2 2 2" xfId="48492" xr:uid="{00000000-0005-0000-0000-0000D6BC0000}"/>
    <cellStyle name="req 3 5 2 2 2 2" xfId="48493" xr:uid="{00000000-0005-0000-0000-0000D7BC0000}"/>
    <cellStyle name="req 3 5 2 2 2 2 2" xfId="48494" xr:uid="{00000000-0005-0000-0000-0000D8BC0000}"/>
    <cellStyle name="req 3 5 2 2 2 2 2 2" xfId="48495" xr:uid="{00000000-0005-0000-0000-0000D9BC0000}"/>
    <cellStyle name="req 3 5 2 2 2 2 3" xfId="48496" xr:uid="{00000000-0005-0000-0000-0000DABC0000}"/>
    <cellStyle name="req 3 5 2 2 2 2 3 2" xfId="48497" xr:uid="{00000000-0005-0000-0000-0000DBBC0000}"/>
    <cellStyle name="req 3 5 2 2 2 2 4" xfId="48498" xr:uid="{00000000-0005-0000-0000-0000DCBC0000}"/>
    <cellStyle name="req 3 5 2 2 2 2 5" xfId="48499" xr:uid="{00000000-0005-0000-0000-0000DDBC0000}"/>
    <cellStyle name="req 3 5 2 2 2 3" xfId="48500" xr:uid="{00000000-0005-0000-0000-0000DEBC0000}"/>
    <cellStyle name="req 3 5 2 2 2 3 2" xfId="48501" xr:uid="{00000000-0005-0000-0000-0000DFBC0000}"/>
    <cellStyle name="req 3 5 2 2 2 4" xfId="48502" xr:uid="{00000000-0005-0000-0000-0000E0BC0000}"/>
    <cellStyle name="req 3 5 2 2 2 4 2" xfId="48503" xr:uid="{00000000-0005-0000-0000-0000E1BC0000}"/>
    <cellStyle name="req 3 5 2 2 2 5" xfId="48504" xr:uid="{00000000-0005-0000-0000-0000E2BC0000}"/>
    <cellStyle name="req 3 5 2 2 2 6" xfId="48505" xr:uid="{00000000-0005-0000-0000-0000E3BC0000}"/>
    <cellStyle name="req 3 5 2 2 3" xfId="48506" xr:uid="{00000000-0005-0000-0000-0000E4BC0000}"/>
    <cellStyle name="req 3 5 2 2 3 2" xfId="48507" xr:uid="{00000000-0005-0000-0000-0000E5BC0000}"/>
    <cellStyle name="req 3 5 2 2 3 2 2" xfId="48508" xr:uid="{00000000-0005-0000-0000-0000E6BC0000}"/>
    <cellStyle name="req 3 5 2 2 3 3" xfId="48509" xr:uid="{00000000-0005-0000-0000-0000E7BC0000}"/>
    <cellStyle name="req 3 5 2 2 3 3 2" xfId="48510" xr:uid="{00000000-0005-0000-0000-0000E8BC0000}"/>
    <cellStyle name="req 3 5 2 2 3 4" xfId="48511" xr:uid="{00000000-0005-0000-0000-0000E9BC0000}"/>
    <cellStyle name="req 3 5 2 2 3 5" xfId="48512" xr:uid="{00000000-0005-0000-0000-0000EABC0000}"/>
    <cellStyle name="req 3 5 2 2 4" xfId="48513" xr:uid="{00000000-0005-0000-0000-0000EBBC0000}"/>
    <cellStyle name="req 3 5 2 2 4 2" xfId="48514" xr:uid="{00000000-0005-0000-0000-0000ECBC0000}"/>
    <cellStyle name="req 3 5 2 2 5" xfId="48515" xr:uid="{00000000-0005-0000-0000-0000EDBC0000}"/>
    <cellStyle name="req 3 5 2 2 5 2" xfId="48516" xr:uid="{00000000-0005-0000-0000-0000EEBC0000}"/>
    <cellStyle name="req 3 5 2 2 6" xfId="48517" xr:uid="{00000000-0005-0000-0000-0000EFBC0000}"/>
    <cellStyle name="req 3 5 2 2 7" xfId="48518" xr:uid="{00000000-0005-0000-0000-0000F0BC0000}"/>
    <cellStyle name="req 3 5 2 3" xfId="48519" xr:uid="{00000000-0005-0000-0000-0000F1BC0000}"/>
    <cellStyle name="req 3 5 2 3 2" xfId="48520" xr:uid="{00000000-0005-0000-0000-0000F2BC0000}"/>
    <cellStyle name="req 3 5 2 3 2 2" xfId="48521" xr:uid="{00000000-0005-0000-0000-0000F3BC0000}"/>
    <cellStyle name="req 3 5 2 3 2 2 2" xfId="48522" xr:uid="{00000000-0005-0000-0000-0000F4BC0000}"/>
    <cellStyle name="req 3 5 2 3 2 3" xfId="48523" xr:uid="{00000000-0005-0000-0000-0000F5BC0000}"/>
    <cellStyle name="req 3 5 2 3 2 3 2" xfId="48524" xr:uid="{00000000-0005-0000-0000-0000F6BC0000}"/>
    <cellStyle name="req 3 5 2 3 2 4" xfId="48525" xr:uid="{00000000-0005-0000-0000-0000F7BC0000}"/>
    <cellStyle name="req 3 5 2 3 2 5" xfId="48526" xr:uid="{00000000-0005-0000-0000-0000F8BC0000}"/>
    <cellStyle name="req 3 5 2 3 3" xfId="48527" xr:uid="{00000000-0005-0000-0000-0000F9BC0000}"/>
    <cellStyle name="req 3 5 2 3 3 2" xfId="48528" xr:uid="{00000000-0005-0000-0000-0000FABC0000}"/>
    <cellStyle name="req 3 5 2 3 4" xfId="48529" xr:uid="{00000000-0005-0000-0000-0000FBBC0000}"/>
    <cellStyle name="req 3 5 2 3 4 2" xfId="48530" xr:uid="{00000000-0005-0000-0000-0000FCBC0000}"/>
    <cellStyle name="req 3 5 2 3 5" xfId="48531" xr:uid="{00000000-0005-0000-0000-0000FDBC0000}"/>
    <cellStyle name="req 3 5 2 3 6" xfId="48532" xr:uid="{00000000-0005-0000-0000-0000FEBC0000}"/>
    <cellStyle name="req 3 5 2 4" xfId="48533" xr:uid="{00000000-0005-0000-0000-0000FFBC0000}"/>
    <cellStyle name="req 3 5 2 4 2" xfId="48534" xr:uid="{00000000-0005-0000-0000-000000BD0000}"/>
    <cellStyle name="req 3 5 2 4 2 2" xfId="48535" xr:uid="{00000000-0005-0000-0000-000001BD0000}"/>
    <cellStyle name="req 3 5 2 4 3" xfId="48536" xr:uid="{00000000-0005-0000-0000-000002BD0000}"/>
    <cellStyle name="req 3 5 2 4 3 2" xfId="48537" xr:uid="{00000000-0005-0000-0000-000003BD0000}"/>
    <cellStyle name="req 3 5 2 4 4" xfId="48538" xr:uid="{00000000-0005-0000-0000-000004BD0000}"/>
    <cellStyle name="req 3 5 2 4 5" xfId="48539" xr:uid="{00000000-0005-0000-0000-000005BD0000}"/>
    <cellStyle name="req 3 5 2 5" xfId="48540" xr:uid="{00000000-0005-0000-0000-000006BD0000}"/>
    <cellStyle name="req 3 5 2 5 2" xfId="48541" xr:uid="{00000000-0005-0000-0000-000007BD0000}"/>
    <cellStyle name="req 3 5 2 6" xfId="48542" xr:uid="{00000000-0005-0000-0000-000008BD0000}"/>
    <cellStyle name="req 3 5 2 6 2" xfId="48543" xr:uid="{00000000-0005-0000-0000-000009BD0000}"/>
    <cellStyle name="req 3 5 2 7" xfId="48544" xr:uid="{00000000-0005-0000-0000-00000ABD0000}"/>
    <cellStyle name="req 3 5 2 8" xfId="48545" xr:uid="{00000000-0005-0000-0000-00000BBD0000}"/>
    <cellStyle name="req 3 5 3" xfId="48546" xr:uid="{00000000-0005-0000-0000-00000CBD0000}"/>
    <cellStyle name="req 3 5 3 2" xfId="48547" xr:uid="{00000000-0005-0000-0000-00000DBD0000}"/>
    <cellStyle name="req 3 5 3 2 2" xfId="48548" xr:uid="{00000000-0005-0000-0000-00000EBD0000}"/>
    <cellStyle name="req 3 5 3 2 2 2" xfId="48549" xr:uid="{00000000-0005-0000-0000-00000FBD0000}"/>
    <cellStyle name="req 3 5 3 2 2 2 2" xfId="48550" xr:uid="{00000000-0005-0000-0000-000010BD0000}"/>
    <cellStyle name="req 3 5 3 2 2 3" xfId="48551" xr:uid="{00000000-0005-0000-0000-000011BD0000}"/>
    <cellStyle name="req 3 5 3 2 2 3 2" xfId="48552" xr:uid="{00000000-0005-0000-0000-000012BD0000}"/>
    <cellStyle name="req 3 5 3 2 2 4" xfId="48553" xr:uid="{00000000-0005-0000-0000-000013BD0000}"/>
    <cellStyle name="req 3 5 3 2 2 5" xfId="48554" xr:uid="{00000000-0005-0000-0000-000014BD0000}"/>
    <cellStyle name="req 3 5 3 2 3" xfId="48555" xr:uid="{00000000-0005-0000-0000-000015BD0000}"/>
    <cellStyle name="req 3 5 3 2 3 2" xfId="48556" xr:uid="{00000000-0005-0000-0000-000016BD0000}"/>
    <cellStyle name="req 3 5 3 2 4" xfId="48557" xr:uid="{00000000-0005-0000-0000-000017BD0000}"/>
    <cellStyle name="req 3 5 3 2 4 2" xfId="48558" xr:uid="{00000000-0005-0000-0000-000018BD0000}"/>
    <cellStyle name="req 3 5 3 2 5" xfId="48559" xr:uid="{00000000-0005-0000-0000-000019BD0000}"/>
    <cellStyle name="req 3 5 3 2 6" xfId="48560" xr:uid="{00000000-0005-0000-0000-00001ABD0000}"/>
    <cellStyle name="req 3 5 3 3" xfId="48561" xr:uid="{00000000-0005-0000-0000-00001BBD0000}"/>
    <cellStyle name="req 3 5 3 3 2" xfId="48562" xr:uid="{00000000-0005-0000-0000-00001CBD0000}"/>
    <cellStyle name="req 3 5 3 3 2 2" xfId="48563" xr:uid="{00000000-0005-0000-0000-00001DBD0000}"/>
    <cellStyle name="req 3 5 3 3 3" xfId="48564" xr:uid="{00000000-0005-0000-0000-00001EBD0000}"/>
    <cellStyle name="req 3 5 3 3 3 2" xfId="48565" xr:uid="{00000000-0005-0000-0000-00001FBD0000}"/>
    <cellStyle name="req 3 5 3 3 4" xfId="48566" xr:uid="{00000000-0005-0000-0000-000020BD0000}"/>
    <cellStyle name="req 3 5 3 3 5" xfId="48567" xr:uid="{00000000-0005-0000-0000-000021BD0000}"/>
    <cellStyle name="req 3 5 3 4" xfId="48568" xr:uid="{00000000-0005-0000-0000-000022BD0000}"/>
    <cellStyle name="req 3 5 3 4 2" xfId="48569" xr:uid="{00000000-0005-0000-0000-000023BD0000}"/>
    <cellStyle name="req 3 5 3 5" xfId="48570" xr:uid="{00000000-0005-0000-0000-000024BD0000}"/>
    <cellStyle name="req 3 5 3 5 2" xfId="48571" xr:uid="{00000000-0005-0000-0000-000025BD0000}"/>
    <cellStyle name="req 3 5 3 6" xfId="48572" xr:uid="{00000000-0005-0000-0000-000026BD0000}"/>
    <cellStyle name="req 3 5 3 7" xfId="48573" xr:uid="{00000000-0005-0000-0000-000027BD0000}"/>
    <cellStyle name="req 3 5 4" xfId="48574" xr:uid="{00000000-0005-0000-0000-000028BD0000}"/>
    <cellStyle name="req 3 5 4 2" xfId="48575" xr:uid="{00000000-0005-0000-0000-000029BD0000}"/>
    <cellStyle name="req 3 5 4 2 2" xfId="48576" xr:uid="{00000000-0005-0000-0000-00002ABD0000}"/>
    <cellStyle name="req 3 5 4 2 2 2" xfId="48577" xr:uid="{00000000-0005-0000-0000-00002BBD0000}"/>
    <cellStyle name="req 3 5 4 2 3" xfId="48578" xr:uid="{00000000-0005-0000-0000-00002CBD0000}"/>
    <cellStyle name="req 3 5 4 2 3 2" xfId="48579" xr:uid="{00000000-0005-0000-0000-00002DBD0000}"/>
    <cellStyle name="req 3 5 4 2 4" xfId="48580" xr:uid="{00000000-0005-0000-0000-00002EBD0000}"/>
    <cellStyle name="req 3 5 4 2 5" xfId="48581" xr:uid="{00000000-0005-0000-0000-00002FBD0000}"/>
    <cellStyle name="req 3 5 4 3" xfId="48582" xr:uid="{00000000-0005-0000-0000-000030BD0000}"/>
    <cellStyle name="req 3 5 4 3 2" xfId="48583" xr:uid="{00000000-0005-0000-0000-000031BD0000}"/>
    <cellStyle name="req 3 5 4 4" xfId="48584" xr:uid="{00000000-0005-0000-0000-000032BD0000}"/>
    <cellStyle name="req 3 5 4 4 2" xfId="48585" xr:uid="{00000000-0005-0000-0000-000033BD0000}"/>
    <cellStyle name="req 3 5 4 5" xfId="48586" xr:uid="{00000000-0005-0000-0000-000034BD0000}"/>
    <cellStyle name="req 3 5 4 6" xfId="48587" xr:uid="{00000000-0005-0000-0000-000035BD0000}"/>
    <cellStyle name="req 3 5 5" xfId="48588" xr:uid="{00000000-0005-0000-0000-000036BD0000}"/>
    <cellStyle name="req 3 5 5 2" xfId="48589" xr:uid="{00000000-0005-0000-0000-000037BD0000}"/>
    <cellStyle name="req 3 5 5 2 2" xfId="48590" xr:uid="{00000000-0005-0000-0000-000038BD0000}"/>
    <cellStyle name="req 3 5 5 3" xfId="48591" xr:uid="{00000000-0005-0000-0000-000039BD0000}"/>
    <cellStyle name="req 3 5 5 3 2" xfId="48592" xr:uid="{00000000-0005-0000-0000-00003ABD0000}"/>
    <cellStyle name="req 3 5 5 4" xfId="48593" xr:uid="{00000000-0005-0000-0000-00003BBD0000}"/>
    <cellStyle name="req 3 5 5 5" xfId="48594" xr:uid="{00000000-0005-0000-0000-00003CBD0000}"/>
    <cellStyle name="req 3 5 6" xfId="48595" xr:uid="{00000000-0005-0000-0000-00003DBD0000}"/>
    <cellStyle name="req 3 5 6 2" xfId="48596" xr:uid="{00000000-0005-0000-0000-00003EBD0000}"/>
    <cellStyle name="req 3 5 7" xfId="48597" xr:uid="{00000000-0005-0000-0000-00003FBD0000}"/>
    <cellStyle name="req 3 5 7 2" xfId="48598" xr:uid="{00000000-0005-0000-0000-000040BD0000}"/>
    <cellStyle name="req 3 5 8" xfId="48599" xr:uid="{00000000-0005-0000-0000-000041BD0000}"/>
    <cellStyle name="req 3 5 9" xfId="48600" xr:uid="{00000000-0005-0000-0000-000042BD0000}"/>
    <cellStyle name="req 3 6" xfId="48601" xr:uid="{00000000-0005-0000-0000-000043BD0000}"/>
    <cellStyle name="req 3 6 2" xfId="48602" xr:uid="{00000000-0005-0000-0000-000044BD0000}"/>
    <cellStyle name="req 3 6 2 2" xfId="48603" xr:uid="{00000000-0005-0000-0000-000045BD0000}"/>
    <cellStyle name="req 3 6 2 2 2" xfId="48604" xr:uid="{00000000-0005-0000-0000-000046BD0000}"/>
    <cellStyle name="req 3 6 2 2 2 2" xfId="48605" xr:uid="{00000000-0005-0000-0000-000047BD0000}"/>
    <cellStyle name="req 3 6 2 2 2 2 2" xfId="48606" xr:uid="{00000000-0005-0000-0000-000048BD0000}"/>
    <cellStyle name="req 3 6 2 2 2 3" xfId="48607" xr:uid="{00000000-0005-0000-0000-000049BD0000}"/>
    <cellStyle name="req 3 6 2 2 2 3 2" xfId="48608" xr:uid="{00000000-0005-0000-0000-00004ABD0000}"/>
    <cellStyle name="req 3 6 2 2 2 4" xfId="48609" xr:uid="{00000000-0005-0000-0000-00004BBD0000}"/>
    <cellStyle name="req 3 6 2 2 2 5" xfId="48610" xr:uid="{00000000-0005-0000-0000-00004CBD0000}"/>
    <cellStyle name="req 3 6 2 2 3" xfId="48611" xr:uid="{00000000-0005-0000-0000-00004DBD0000}"/>
    <cellStyle name="req 3 6 2 2 3 2" xfId="48612" xr:uid="{00000000-0005-0000-0000-00004EBD0000}"/>
    <cellStyle name="req 3 6 2 2 4" xfId="48613" xr:uid="{00000000-0005-0000-0000-00004FBD0000}"/>
    <cellStyle name="req 3 6 2 2 4 2" xfId="48614" xr:uid="{00000000-0005-0000-0000-000050BD0000}"/>
    <cellStyle name="req 3 6 2 2 5" xfId="48615" xr:uid="{00000000-0005-0000-0000-000051BD0000}"/>
    <cellStyle name="req 3 6 2 2 6" xfId="48616" xr:uid="{00000000-0005-0000-0000-000052BD0000}"/>
    <cellStyle name="req 3 6 2 3" xfId="48617" xr:uid="{00000000-0005-0000-0000-000053BD0000}"/>
    <cellStyle name="req 3 6 2 3 2" xfId="48618" xr:uid="{00000000-0005-0000-0000-000054BD0000}"/>
    <cellStyle name="req 3 6 2 3 2 2" xfId="48619" xr:uid="{00000000-0005-0000-0000-000055BD0000}"/>
    <cellStyle name="req 3 6 2 3 3" xfId="48620" xr:uid="{00000000-0005-0000-0000-000056BD0000}"/>
    <cellStyle name="req 3 6 2 3 3 2" xfId="48621" xr:uid="{00000000-0005-0000-0000-000057BD0000}"/>
    <cellStyle name="req 3 6 2 3 4" xfId="48622" xr:uid="{00000000-0005-0000-0000-000058BD0000}"/>
    <cellStyle name="req 3 6 2 3 5" xfId="48623" xr:uid="{00000000-0005-0000-0000-000059BD0000}"/>
    <cellStyle name="req 3 6 2 4" xfId="48624" xr:uid="{00000000-0005-0000-0000-00005ABD0000}"/>
    <cellStyle name="req 3 6 2 4 2" xfId="48625" xr:uid="{00000000-0005-0000-0000-00005BBD0000}"/>
    <cellStyle name="req 3 6 2 5" xfId="48626" xr:uid="{00000000-0005-0000-0000-00005CBD0000}"/>
    <cellStyle name="req 3 6 2 5 2" xfId="48627" xr:uid="{00000000-0005-0000-0000-00005DBD0000}"/>
    <cellStyle name="req 3 6 2 6" xfId="48628" xr:uid="{00000000-0005-0000-0000-00005EBD0000}"/>
    <cellStyle name="req 3 6 2 7" xfId="48629" xr:uid="{00000000-0005-0000-0000-00005FBD0000}"/>
    <cellStyle name="req 3 6 3" xfId="48630" xr:uid="{00000000-0005-0000-0000-000060BD0000}"/>
    <cellStyle name="req 3 6 3 2" xfId="48631" xr:uid="{00000000-0005-0000-0000-000061BD0000}"/>
    <cellStyle name="req 3 6 3 2 2" xfId="48632" xr:uid="{00000000-0005-0000-0000-000062BD0000}"/>
    <cellStyle name="req 3 6 3 2 2 2" xfId="48633" xr:uid="{00000000-0005-0000-0000-000063BD0000}"/>
    <cellStyle name="req 3 6 3 2 3" xfId="48634" xr:uid="{00000000-0005-0000-0000-000064BD0000}"/>
    <cellStyle name="req 3 6 3 2 3 2" xfId="48635" xr:uid="{00000000-0005-0000-0000-000065BD0000}"/>
    <cellStyle name="req 3 6 3 2 4" xfId="48636" xr:uid="{00000000-0005-0000-0000-000066BD0000}"/>
    <cellStyle name="req 3 6 3 2 5" xfId="48637" xr:uid="{00000000-0005-0000-0000-000067BD0000}"/>
    <cellStyle name="req 3 6 3 3" xfId="48638" xr:uid="{00000000-0005-0000-0000-000068BD0000}"/>
    <cellStyle name="req 3 6 3 3 2" xfId="48639" xr:uid="{00000000-0005-0000-0000-000069BD0000}"/>
    <cellStyle name="req 3 6 3 4" xfId="48640" xr:uid="{00000000-0005-0000-0000-00006ABD0000}"/>
    <cellStyle name="req 3 6 3 4 2" xfId="48641" xr:uid="{00000000-0005-0000-0000-00006BBD0000}"/>
    <cellStyle name="req 3 6 3 5" xfId="48642" xr:uid="{00000000-0005-0000-0000-00006CBD0000}"/>
    <cellStyle name="req 3 6 3 6" xfId="48643" xr:uid="{00000000-0005-0000-0000-00006DBD0000}"/>
    <cellStyle name="req 3 6 4" xfId="48644" xr:uid="{00000000-0005-0000-0000-00006EBD0000}"/>
    <cellStyle name="req 3 6 4 2" xfId="48645" xr:uid="{00000000-0005-0000-0000-00006FBD0000}"/>
    <cellStyle name="req 3 6 4 2 2" xfId="48646" xr:uid="{00000000-0005-0000-0000-000070BD0000}"/>
    <cellStyle name="req 3 6 4 3" xfId="48647" xr:uid="{00000000-0005-0000-0000-000071BD0000}"/>
    <cellStyle name="req 3 6 4 3 2" xfId="48648" xr:uid="{00000000-0005-0000-0000-000072BD0000}"/>
    <cellStyle name="req 3 6 4 4" xfId="48649" xr:uid="{00000000-0005-0000-0000-000073BD0000}"/>
    <cellStyle name="req 3 6 4 5" xfId="48650" xr:uid="{00000000-0005-0000-0000-000074BD0000}"/>
    <cellStyle name="req 3 6 5" xfId="48651" xr:uid="{00000000-0005-0000-0000-000075BD0000}"/>
    <cellStyle name="req 3 6 5 2" xfId="48652" xr:uid="{00000000-0005-0000-0000-000076BD0000}"/>
    <cellStyle name="req 3 6 6" xfId="48653" xr:uid="{00000000-0005-0000-0000-000077BD0000}"/>
    <cellStyle name="req 3 6 6 2" xfId="48654" xr:uid="{00000000-0005-0000-0000-000078BD0000}"/>
    <cellStyle name="req 3 6 7" xfId="48655" xr:uid="{00000000-0005-0000-0000-000079BD0000}"/>
    <cellStyle name="req 3 6 8" xfId="48656" xr:uid="{00000000-0005-0000-0000-00007ABD0000}"/>
    <cellStyle name="req 3 7" xfId="48657" xr:uid="{00000000-0005-0000-0000-00007BBD0000}"/>
    <cellStyle name="req 3 7 2" xfId="48658" xr:uid="{00000000-0005-0000-0000-00007CBD0000}"/>
    <cellStyle name="req 3 7 2 2" xfId="48659" xr:uid="{00000000-0005-0000-0000-00007DBD0000}"/>
    <cellStyle name="req 3 7 2 2 2" xfId="48660" xr:uid="{00000000-0005-0000-0000-00007EBD0000}"/>
    <cellStyle name="req 3 7 2 2 2 2" xfId="48661" xr:uid="{00000000-0005-0000-0000-00007FBD0000}"/>
    <cellStyle name="req 3 7 2 2 3" xfId="48662" xr:uid="{00000000-0005-0000-0000-000080BD0000}"/>
    <cellStyle name="req 3 7 2 2 3 2" xfId="48663" xr:uid="{00000000-0005-0000-0000-000081BD0000}"/>
    <cellStyle name="req 3 7 2 2 4" xfId="48664" xr:uid="{00000000-0005-0000-0000-000082BD0000}"/>
    <cellStyle name="req 3 7 2 2 5" xfId="48665" xr:uid="{00000000-0005-0000-0000-000083BD0000}"/>
    <cellStyle name="req 3 7 2 3" xfId="48666" xr:uid="{00000000-0005-0000-0000-000084BD0000}"/>
    <cellStyle name="req 3 7 2 3 2" xfId="48667" xr:uid="{00000000-0005-0000-0000-000085BD0000}"/>
    <cellStyle name="req 3 7 2 4" xfId="48668" xr:uid="{00000000-0005-0000-0000-000086BD0000}"/>
    <cellStyle name="req 3 7 2 4 2" xfId="48669" xr:uid="{00000000-0005-0000-0000-000087BD0000}"/>
    <cellStyle name="req 3 7 2 5" xfId="48670" xr:uid="{00000000-0005-0000-0000-000088BD0000}"/>
    <cellStyle name="req 3 7 2 6" xfId="48671" xr:uid="{00000000-0005-0000-0000-000089BD0000}"/>
    <cellStyle name="req 3 7 3" xfId="48672" xr:uid="{00000000-0005-0000-0000-00008ABD0000}"/>
    <cellStyle name="req 3 7 3 2" xfId="48673" xr:uid="{00000000-0005-0000-0000-00008BBD0000}"/>
    <cellStyle name="req 3 7 3 2 2" xfId="48674" xr:uid="{00000000-0005-0000-0000-00008CBD0000}"/>
    <cellStyle name="req 3 7 3 3" xfId="48675" xr:uid="{00000000-0005-0000-0000-00008DBD0000}"/>
    <cellStyle name="req 3 7 3 3 2" xfId="48676" xr:uid="{00000000-0005-0000-0000-00008EBD0000}"/>
    <cellStyle name="req 3 7 3 4" xfId="48677" xr:uid="{00000000-0005-0000-0000-00008FBD0000}"/>
    <cellStyle name="req 3 7 3 5" xfId="48678" xr:uid="{00000000-0005-0000-0000-000090BD0000}"/>
    <cellStyle name="req 3 7 4" xfId="48679" xr:uid="{00000000-0005-0000-0000-000091BD0000}"/>
    <cellStyle name="req 3 7 4 2" xfId="48680" xr:uid="{00000000-0005-0000-0000-000092BD0000}"/>
    <cellStyle name="req 3 7 5" xfId="48681" xr:uid="{00000000-0005-0000-0000-000093BD0000}"/>
    <cellStyle name="req 3 7 5 2" xfId="48682" xr:uid="{00000000-0005-0000-0000-000094BD0000}"/>
    <cellStyle name="req 3 7 6" xfId="48683" xr:uid="{00000000-0005-0000-0000-000095BD0000}"/>
    <cellStyle name="req 3 7 7" xfId="48684" xr:uid="{00000000-0005-0000-0000-000096BD0000}"/>
    <cellStyle name="req 3 8" xfId="48685" xr:uid="{00000000-0005-0000-0000-000097BD0000}"/>
    <cellStyle name="req 3 8 2" xfId="48686" xr:uid="{00000000-0005-0000-0000-000098BD0000}"/>
    <cellStyle name="req 3 8 2 2" xfId="48687" xr:uid="{00000000-0005-0000-0000-000099BD0000}"/>
    <cellStyle name="req 3 8 2 2 2" xfId="48688" xr:uid="{00000000-0005-0000-0000-00009ABD0000}"/>
    <cellStyle name="req 3 8 2 3" xfId="48689" xr:uid="{00000000-0005-0000-0000-00009BBD0000}"/>
    <cellStyle name="req 3 8 2 3 2" xfId="48690" xr:uid="{00000000-0005-0000-0000-00009CBD0000}"/>
    <cellStyle name="req 3 8 2 4" xfId="48691" xr:uid="{00000000-0005-0000-0000-00009DBD0000}"/>
    <cellStyle name="req 3 8 2 5" xfId="48692" xr:uid="{00000000-0005-0000-0000-00009EBD0000}"/>
    <cellStyle name="req 3 8 3" xfId="48693" xr:uid="{00000000-0005-0000-0000-00009FBD0000}"/>
    <cellStyle name="req 3 8 3 2" xfId="48694" xr:uid="{00000000-0005-0000-0000-0000A0BD0000}"/>
    <cellStyle name="req 3 8 4" xfId="48695" xr:uid="{00000000-0005-0000-0000-0000A1BD0000}"/>
    <cellStyle name="req 3 8 4 2" xfId="48696" xr:uid="{00000000-0005-0000-0000-0000A2BD0000}"/>
    <cellStyle name="req 3 8 5" xfId="48697" xr:uid="{00000000-0005-0000-0000-0000A3BD0000}"/>
    <cellStyle name="req 3 8 6" xfId="48698" xr:uid="{00000000-0005-0000-0000-0000A4BD0000}"/>
    <cellStyle name="req 3 9" xfId="48699" xr:uid="{00000000-0005-0000-0000-0000A5BD0000}"/>
    <cellStyle name="req 3 9 2" xfId="48700" xr:uid="{00000000-0005-0000-0000-0000A6BD0000}"/>
    <cellStyle name="req 3 9 2 2" xfId="48701" xr:uid="{00000000-0005-0000-0000-0000A7BD0000}"/>
    <cellStyle name="req 3 9 3" xfId="48702" xr:uid="{00000000-0005-0000-0000-0000A8BD0000}"/>
    <cellStyle name="req 3 9 3 2" xfId="48703" xr:uid="{00000000-0005-0000-0000-0000A9BD0000}"/>
    <cellStyle name="req 3 9 4" xfId="48704" xr:uid="{00000000-0005-0000-0000-0000AABD0000}"/>
    <cellStyle name="req 3 9 5" xfId="48705" xr:uid="{00000000-0005-0000-0000-0000ABBD0000}"/>
    <cellStyle name="req 4" xfId="48706" xr:uid="{00000000-0005-0000-0000-0000ACBD0000}"/>
    <cellStyle name="req 4 10" xfId="48707" xr:uid="{00000000-0005-0000-0000-0000ADBD0000}"/>
    <cellStyle name="req 4 10 2" xfId="48708" xr:uid="{00000000-0005-0000-0000-0000AEBD0000}"/>
    <cellStyle name="req 4 11" xfId="48709" xr:uid="{00000000-0005-0000-0000-0000AFBD0000}"/>
    <cellStyle name="req 4 12" xfId="48710" xr:uid="{00000000-0005-0000-0000-0000B0BD0000}"/>
    <cellStyle name="req 4 2" xfId="48711" xr:uid="{00000000-0005-0000-0000-0000B1BD0000}"/>
    <cellStyle name="req 4 2 2" xfId="48712" xr:uid="{00000000-0005-0000-0000-0000B2BD0000}"/>
    <cellStyle name="req 4 2 2 2" xfId="48713" xr:uid="{00000000-0005-0000-0000-0000B3BD0000}"/>
    <cellStyle name="req 4 2 2 2 2" xfId="48714" xr:uid="{00000000-0005-0000-0000-0000B4BD0000}"/>
    <cellStyle name="req 4 2 2 2 2 2" xfId="48715" xr:uid="{00000000-0005-0000-0000-0000B5BD0000}"/>
    <cellStyle name="req 4 2 2 2 2 2 2" xfId="48716" xr:uid="{00000000-0005-0000-0000-0000B6BD0000}"/>
    <cellStyle name="req 4 2 2 2 2 2 2 2" xfId="48717" xr:uid="{00000000-0005-0000-0000-0000B7BD0000}"/>
    <cellStyle name="req 4 2 2 2 2 2 3" xfId="48718" xr:uid="{00000000-0005-0000-0000-0000B8BD0000}"/>
    <cellStyle name="req 4 2 2 2 2 2 3 2" xfId="48719" xr:uid="{00000000-0005-0000-0000-0000B9BD0000}"/>
    <cellStyle name="req 4 2 2 2 2 2 4" xfId="48720" xr:uid="{00000000-0005-0000-0000-0000BABD0000}"/>
    <cellStyle name="req 4 2 2 2 2 2 5" xfId="48721" xr:uid="{00000000-0005-0000-0000-0000BBBD0000}"/>
    <cellStyle name="req 4 2 2 2 2 3" xfId="48722" xr:uid="{00000000-0005-0000-0000-0000BCBD0000}"/>
    <cellStyle name="req 4 2 2 2 2 3 2" xfId="48723" xr:uid="{00000000-0005-0000-0000-0000BDBD0000}"/>
    <cellStyle name="req 4 2 2 2 2 4" xfId="48724" xr:uid="{00000000-0005-0000-0000-0000BEBD0000}"/>
    <cellStyle name="req 4 2 2 2 2 4 2" xfId="48725" xr:uid="{00000000-0005-0000-0000-0000BFBD0000}"/>
    <cellStyle name="req 4 2 2 2 2 5" xfId="48726" xr:uid="{00000000-0005-0000-0000-0000C0BD0000}"/>
    <cellStyle name="req 4 2 2 2 2 6" xfId="48727" xr:uid="{00000000-0005-0000-0000-0000C1BD0000}"/>
    <cellStyle name="req 4 2 2 2 3" xfId="48728" xr:uid="{00000000-0005-0000-0000-0000C2BD0000}"/>
    <cellStyle name="req 4 2 2 2 3 2" xfId="48729" xr:uid="{00000000-0005-0000-0000-0000C3BD0000}"/>
    <cellStyle name="req 4 2 2 2 3 2 2" xfId="48730" xr:uid="{00000000-0005-0000-0000-0000C4BD0000}"/>
    <cellStyle name="req 4 2 2 2 3 3" xfId="48731" xr:uid="{00000000-0005-0000-0000-0000C5BD0000}"/>
    <cellStyle name="req 4 2 2 2 3 3 2" xfId="48732" xr:uid="{00000000-0005-0000-0000-0000C6BD0000}"/>
    <cellStyle name="req 4 2 2 2 3 4" xfId="48733" xr:uid="{00000000-0005-0000-0000-0000C7BD0000}"/>
    <cellStyle name="req 4 2 2 2 3 5" xfId="48734" xr:uid="{00000000-0005-0000-0000-0000C8BD0000}"/>
    <cellStyle name="req 4 2 2 2 4" xfId="48735" xr:uid="{00000000-0005-0000-0000-0000C9BD0000}"/>
    <cellStyle name="req 4 2 2 2 4 2" xfId="48736" xr:uid="{00000000-0005-0000-0000-0000CABD0000}"/>
    <cellStyle name="req 4 2 2 2 5" xfId="48737" xr:uid="{00000000-0005-0000-0000-0000CBBD0000}"/>
    <cellStyle name="req 4 2 2 2 5 2" xfId="48738" xr:uid="{00000000-0005-0000-0000-0000CCBD0000}"/>
    <cellStyle name="req 4 2 2 2 6" xfId="48739" xr:uid="{00000000-0005-0000-0000-0000CDBD0000}"/>
    <cellStyle name="req 4 2 2 2 7" xfId="48740" xr:uid="{00000000-0005-0000-0000-0000CEBD0000}"/>
    <cellStyle name="req 4 2 2 3" xfId="48741" xr:uid="{00000000-0005-0000-0000-0000CFBD0000}"/>
    <cellStyle name="req 4 2 2 3 2" xfId="48742" xr:uid="{00000000-0005-0000-0000-0000D0BD0000}"/>
    <cellStyle name="req 4 2 2 3 2 2" xfId="48743" xr:uid="{00000000-0005-0000-0000-0000D1BD0000}"/>
    <cellStyle name="req 4 2 2 3 2 2 2" xfId="48744" xr:uid="{00000000-0005-0000-0000-0000D2BD0000}"/>
    <cellStyle name="req 4 2 2 3 2 3" xfId="48745" xr:uid="{00000000-0005-0000-0000-0000D3BD0000}"/>
    <cellStyle name="req 4 2 2 3 2 3 2" xfId="48746" xr:uid="{00000000-0005-0000-0000-0000D4BD0000}"/>
    <cellStyle name="req 4 2 2 3 2 4" xfId="48747" xr:uid="{00000000-0005-0000-0000-0000D5BD0000}"/>
    <cellStyle name="req 4 2 2 3 2 5" xfId="48748" xr:uid="{00000000-0005-0000-0000-0000D6BD0000}"/>
    <cellStyle name="req 4 2 2 3 3" xfId="48749" xr:uid="{00000000-0005-0000-0000-0000D7BD0000}"/>
    <cellStyle name="req 4 2 2 3 3 2" xfId="48750" xr:uid="{00000000-0005-0000-0000-0000D8BD0000}"/>
    <cellStyle name="req 4 2 2 3 4" xfId="48751" xr:uid="{00000000-0005-0000-0000-0000D9BD0000}"/>
    <cellStyle name="req 4 2 2 3 4 2" xfId="48752" xr:uid="{00000000-0005-0000-0000-0000DABD0000}"/>
    <cellStyle name="req 4 2 2 3 5" xfId="48753" xr:uid="{00000000-0005-0000-0000-0000DBBD0000}"/>
    <cellStyle name="req 4 2 2 3 6" xfId="48754" xr:uid="{00000000-0005-0000-0000-0000DCBD0000}"/>
    <cellStyle name="req 4 2 2 4" xfId="48755" xr:uid="{00000000-0005-0000-0000-0000DDBD0000}"/>
    <cellStyle name="req 4 2 2 4 2" xfId="48756" xr:uid="{00000000-0005-0000-0000-0000DEBD0000}"/>
    <cellStyle name="req 4 2 2 4 2 2" xfId="48757" xr:uid="{00000000-0005-0000-0000-0000DFBD0000}"/>
    <cellStyle name="req 4 2 2 4 3" xfId="48758" xr:uid="{00000000-0005-0000-0000-0000E0BD0000}"/>
    <cellStyle name="req 4 2 2 4 3 2" xfId="48759" xr:uid="{00000000-0005-0000-0000-0000E1BD0000}"/>
    <cellStyle name="req 4 2 2 4 4" xfId="48760" xr:uid="{00000000-0005-0000-0000-0000E2BD0000}"/>
    <cellStyle name="req 4 2 2 4 5" xfId="48761" xr:uid="{00000000-0005-0000-0000-0000E3BD0000}"/>
    <cellStyle name="req 4 2 2 5" xfId="48762" xr:uid="{00000000-0005-0000-0000-0000E4BD0000}"/>
    <cellStyle name="req 4 2 2 5 2" xfId="48763" xr:uid="{00000000-0005-0000-0000-0000E5BD0000}"/>
    <cellStyle name="req 4 2 2 6" xfId="48764" xr:uid="{00000000-0005-0000-0000-0000E6BD0000}"/>
    <cellStyle name="req 4 2 2 6 2" xfId="48765" xr:uid="{00000000-0005-0000-0000-0000E7BD0000}"/>
    <cellStyle name="req 4 2 2 7" xfId="48766" xr:uid="{00000000-0005-0000-0000-0000E8BD0000}"/>
    <cellStyle name="req 4 2 2 8" xfId="48767" xr:uid="{00000000-0005-0000-0000-0000E9BD0000}"/>
    <cellStyle name="req 4 2 3" xfId="48768" xr:uid="{00000000-0005-0000-0000-0000EABD0000}"/>
    <cellStyle name="req 4 2 3 2" xfId="48769" xr:uid="{00000000-0005-0000-0000-0000EBBD0000}"/>
    <cellStyle name="req 4 2 3 2 2" xfId="48770" xr:uid="{00000000-0005-0000-0000-0000ECBD0000}"/>
    <cellStyle name="req 4 2 3 2 2 2" xfId="48771" xr:uid="{00000000-0005-0000-0000-0000EDBD0000}"/>
    <cellStyle name="req 4 2 3 2 2 2 2" xfId="48772" xr:uid="{00000000-0005-0000-0000-0000EEBD0000}"/>
    <cellStyle name="req 4 2 3 2 2 3" xfId="48773" xr:uid="{00000000-0005-0000-0000-0000EFBD0000}"/>
    <cellStyle name="req 4 2 3 2 2 3 2" xfId="48774" xr:uid="{00000000-0005-0000-0000-0000F0BD0000}"/>
    <cellStyle name="req 4 2 3 2 2 4" xfId="48775" xr:uid="{00000000-0005-0000-0000-0000F1BD0000}"/>
    <cellStyle name="req 4 2 3 2 2 5" xfId="48776" xr:uid="{00000000-0005-0000-0000-0000F2BD0000}"/>
    <cellStyle name="req 4 2 3 2 3" xfId="48777" xr:uid="{00000000-0005-0000-0000-0000F3BD0000}"/>
    <cellStyle name="req 4 2 3 2 3 2" xfId="48778" xr:uid="{00000000-0005-0000-0000-0000F4BD0000}"/>
    <cellStyle name="req 4 2 3 2 4" xfId="48779" xr:uid="{00000000-0005-0000-0000-0000F5BD0000}"/>
    <cellStyle name="req 4 2 3 2 4 2" xfId="48780" xr:uid="{00000000-0005-0000-0000-0000F6BD0000}"/>
    <cellStyle name="req 4 2 3 2 5" xfId="48781" xr:uid="{00000000-0005-0000-0000-0000F7BD0000}"/>
    <cellStyle name="req 4 2 3 2 6" xfId="48782" xr:uid="{00000000-0005-0000-0000-0000F8BD0000}"/>
    <cellStyle name="req 4 2 3 3" xfId="48783" xr:uid="{00000000-0005-0000-0000-0000F9BD0000}"/>
    <cellStyle name="req 4 2 3 3 2" xfId="48784" xr:uid="{00000000-0005-0000-0000-0000FABD0000}"/>
    <cellStyle name="req 4 2 3 3 2 2" xfId="48785" xr:uid="{00000000-0005-0000-0000-0000FBBD0000}"/>
    <cellStyle name="req 4 2 3 3 3" xfId="48786" xr:uid="{00000000-0005-0000-0000-0000FCBD0000}"/>
    <cellStyle name="req 4 2 3 3 3 2" xfId="48787" xr:uid="{00000000-0005-0000-0000-0000FDBD0000}"/>
    <cellStyle name="req 4 2 3 3 4" xfId="48788" xr:uid="{00000000-0005-0000-0000-0000FEBD0000}"/>
    <cellStyle name="req 4 2 3 3 5" xfId="48789" xr:uid="{00000000-0005-0000-0000-0000FFBD0000}"/>
    <cellStyle name="req 4 2 3 4" xfId="48790" xr:uid="{00000000-0005-0000-0000-000000BE0000}"/>
    <cellStyle name="req 4 2 3 4 2" xfId="48791" xr:uid="{00000000-0005-0000-0000-000001BE0000}"/>
    <cellStyle name="req 4 2 3 5" xfId="48792" xr:uid="{00000000-0005-0000-0000-000002BE0000}"/>
    <cellStyle name="req 4 2 3 5 2" xfId="48793" xr:uid="{00000000-0005-0000-0000-000003BE0000}"/>
    <cellStyle name="req 4 2 3 6" xfId="48794" xr:uid="{00000000-0005-0000-0000-000004BE0000}"/>
    <cellStyle name="req 4 2 3 7" xfId="48795" xr:uid="{00000000-0005-0000-0000-000005BE0000}"/>
    <cellStyle name="req 4 2 4" xfId="48796" xr:uid="{00000000-0005-0000-0000-000006BE0000}"/>
    <cellStyle name="req 4 2 4 2" xfId="48797" xr:uid="{00000000-0005-0000-0000-000007BE0000}"/>
    <cellStyle name="req 4 2 4 2 2" xfId="48798" xr:uid="{00000000-0005-0000-0000-000008BE0000}"/>
    <cellStyle name="req 4 2 4 2 2 2" xfId="48799" xr:uid="{00000000-0005-0000-0000-000009BE0000}"/>
    <cellStyle name="req 4 2 4 2 3" xfId="48800" xr:uid="{00000000-0005-0000-0000-00000ABE0000}"/>
    <cellStyle name="req 4 2 4 2 3 2" xfId="48801" xr:uid="{00000000-0005-0000-0000-00000BBE0000}"/>
    <cellStyle name="req 4 2 4 2 4" xfId="48802" xr:uid="{00000000-0005-0000-0000-00000CBE0000}"/>
    <cellStyle name="req 4 2 4 2 5" xfId="48803" xr:uid="{00000000-0005-0000-0000-00000DBE0000}"/>
    <cellStyle name="req 4 2 4 3" xfId="48804" xr:uid="{00000000-0005-0000-0000-00000EBE0000}"/>
    <cellStyle name="req 4 2 4 3 2" xfId="48805" xr:uid="{00000000-0005-0000-0000-00000FBE0000}"/>
    <cellStyle name="req 4 2 4 4" xfId="48806" xr:uid="{00000000-0005-0000-0000-000010BE0000}"/>
    <cellStyle name="req 4 2 4 4 2" xfId="48807" xr:uid="{00000000-0005-0000-0000-000011BE0000}"/>
    <cellStyle name="req 4 2 4 5" xfId="48808" xr:uid="{00000000-0005-0000-0000-000012BE0000}"/>
    <cellStyle name="req 4 2 4 6" xfId="48809" xr:uid="{00000000-0005-0000-0000-000013BE0000}"/>
    <cellStyle name="req 4 2 5" xfId="48810" xr:uid="{00000000-0005-0000-0000-000014BE0000}"/>
    <cellStyle name="req 4 2 5 2" xfId="48811" xr:uid="{00000000-0005-0000-0000-000015BE0000}"/>
    <cellStyle name="req 4 2 5 2 2" xfId="48812" xr:uid="{00000000-0005-0000-0000-000016BE0000}"/>
    <cellStyle name="req 4 2 5 3" xfId="48813" xr:uid="{00000000-0005-0000-0000-000017BE0000}"/>
    <cellStyle name="req 4 2 5 3 2" xfId="48814" xr:uid="{00000000-0005-0000-0000-000018BE0000}"/>
    <cellStyle name="req 4 2 5 4" xfId="48815" xr:uid="{00000000-0005-0000-0000-000019BE0000}"/>
    <cellStyle name="req 4 2 5 5" xfId="48816" xr:uid="{00000000-0005-0000-0000-00001ABE0000}"/>
    <cellStyle name="req 4 2 6" xfId="48817" xr:uid="{00000000-0005-0000-0000-00001BBE0000}"/>
    <cellStyle name="req 4 2 6 2" xfId="48818" xr:uid="{00000000-0005-0000-0000-00001CBE0000}"/>
    <cellStyle name="req 4 2 7" xfId="48819" xr:uid="{00000000-0005-0000-0000-00001DBE0000}"/>
    <cellStyle name="req 4 2 7 2" xfId="48820" xr:uid="{00000000-0005-0000-0000-00001EBE0000}"/>
    <cellStyle name="req 4 2 8" xfId="48821" xr:uid="{00000000-0005-0000-0000-00001FBE0000}"/>
    <cellStyle name="req 4 2 9" xfId="48822" xr:uid="{00000000-0005-0000-0000-000020BE0000}"/>
    <cellStyle name="req 4 3" xfId="48823" xr:uid="{00000000-0005-0000-0000-000021BE0000}"/>
    <cellStyle name="req 4 3 2" xfId="48824" xr:uid="{00000000-0005-0000-0000-000022BE0000}"/>
    <cellStyle name="req 4 3 2 2" xfId="48825" xr:uid="{00000000-0005-0000-0000-000023BE0000}"/>
    <cellStyle name="req 4 3 2 2 2" xfId="48826" xr:uid="{00000000-0005-0000-0000-000024BE0000}"/>
    <cellStyle name="req 4 3 2 2 2 2" xfId="48827" xr:uid="{00000000-0005-0000-0000-000025BE0000}"/>
    <cellStyle name="req 4 3 2 2 2 2 2" xfId="48828" xr:uid="{00000000-0005-0000-0000-000026BE0000}"/>
    <cellStyle name="req 4 3 2 2 2 2 2 2" xfId="48829" xr:uid="{00000000-0005-0000-0000-000027BE0000}"/>
    <cellStyle name="req 4 3 2 2 2 2 3" xfId="48830" xr:uid="{00000000-0005-0000-0000-000028BE0000}"/>
    <cellStyle name="req 4 3 2 2 2 2 3 2" xfId="48831" xr:uid="{00000000-0005-0000-0000-000029BE0000}"/>
    <cellStyle name="req 4 3 2 2 2 2 4" xfId="48832" xr:uid="{00000000-0005-0000-0000-00002ABE0000}"/>
    <cellStyle name="req 4 3 2 2 2 2 5" xfId="48833" xr:uid="{00000000-0005-0000-0000-00002BBE0000}"/>
    <cellStyle name="req 4 3 2 2 2 3" xfId="48834" xr:uid="{00000000-0005-0000-0000-00002CBE0000}"/>
    <cellStyle name="req 4 3 2 2 2 3 2" xfId="48835" xr:uid="{00000000-0005-0000-0000-00002DBE0000}"/>
    <cellStyle name="req 4 3 2 2 2 4" xfId="48836" xr:uid="{00000000-0005-0000-0000-00002EBE0000}"/>
    <cellStyle name="req 4 3 2 2 2 4 2" xfId="48837" xr:uid="{00000000-0005-0000-0000-00002FBE0000}"/>
    <cellStyle name="req 4 3 2 2 2 5" xfId="48838" xr:uid="{00000000-0005-0000-0000-000030BE0000}"/>
    <cellStyle name="req 4 3 2 2 2 6" xfId="48839" xr:uid="{00000000-0005-0000-0000-000031BE0000}"/>
    <cellStyle name="req 4 3 2 2 3" xfId="48840" xr:uid="{00000000-0005-0000-0000-000032BE0000}"/>
    <cellStyle name="req 4 3 2 2 3 2" xfId="48841" xr:uid="{00000000-0005-0000-0000-000033BE0000}"/>
    <cellStyle name="req 4 3 2 2 3 2 2" xfId="48842" xr:uid="{00000000-0005-0000-0000-000034BE0000}"/>
    <cellStyle name="req 4 3 2 2 3 3" xfId="48843" xr:uid="{00000000-0005-0000-0000-000035BE0000}"/>
    <cellStyle name="req 4 3 2 2 3 3 2" xfId="48844" xr:uid="{00000000-0005-0000-0000-000036BE0000}"/>
    <cellStyle name="req 4 3 2 2 3 4" xfId="48845" xr:uid="{00000000-0005-0000-0000-000037BE0000}"/>
    <cellStyle name="req 4 3 2 2 3 5" xfId="48846" xr:uid="{00000000-0005-0000-0000-000038BE0000}"/>
    <cellStyle name="req 4 3 2 2 4" xfId="48847" xr:uid="{00000000-0005-0000-0000-000039BE0000}"/>
    <cellStyle name="req 4 3 2 2 4 2" xfId="48848" xr:uid="{00000000-0005-0000-0000-00003ABE0000}"/>
    <cellStyle name="req 4 3 2 2 5" xfId="48849" xr:uid="{00000000-0005-0000-0000-00003BBE0000}"/>
    <cellStyle name="req 4 3 2 2 5 2" xfId="48850" xr:uid="{00000000-0005-0000-0000-00003CBE0000}"/>
    <cellStyle name="req 4 3 2 2 6" xfId="48851" xr:uid="{00000000-0005-0000-0000-00003DBE0000}"/>
    <cellStyle name="req 4 3 2 2 7" xfId="48852" xr:uid="{00000000-0005-0000-0000-00003EBE0000}"/>
    <cellStyle name="req 4 3 2 3" xfId="48853" xr:uid="{00000000-0005-0000-0000-00003FBE0000}"/>
    <cellStyle name="req 4 3 2 3 2" xfId="48854" xr:uid="{00000000-0005-0000-0000-000040BE0000}"/>
    <cellStyle name="req 4 3 2 3 2 2" xfId="48855" xr:uid="{00000000-0005-0000-0000-000041BE0000}"/>
    <cellStyle name="req 4 3 2 3 2 2 2" xfId="48856" xr:uid="{00000000-0005-0000-0000-000042BE0000}"/>
    <cellStyle name="req 4 3 2 3 2 3" xfId="48857" xr:uid="{00000000-0005-0000-0000-000043BE0000}"/>
    <cellStyle name="req 4 3 2 3 2 3 2" xfId="48858" xr:uid="{00000000-0005-0000-0000-000044BE0000}"/>
    <cellStyle name="req 4 3 2 3 2 4" xfId="48859" xr:uid="{00000000-0005-0000-0000-000045BE0000}"/>
    <cellStyle name="req 4 3 2 3 2 5" xfId="48860" xr:uid="{00000000-0005-0000-0000-000046BE0000}"/>
    <cellStyle name="req 4 3 2 3 3" xfId="48861" xr:uid="{00000000-0005-0000-0000-000047BE0000}"/>
    <cellStyle name="req 4 3 2 3 3 2" xfId="48862" xr:uid="{00000000-0005-0000-0000-000048BE0000}"/>
    <cellStyle name="req 4 3 2 3 4" xfId="48863" xr:uid="{00000000-0005-0000-0000-000049BE0000}"/>
    <cellStyle name="req 4 3 2 3 4 2" xfId="48864" xr:uid="{00000000-0005-0000-0000-00004ABE0000}"/>
    <cellStyle name="req 4 3 2 3 5" xfId="48865" xr:uid="{00000000-0005-0000-0000-00004BBE0000}"/>
    <cellStyle name="req 4 3 2 3 6" xfId="48866" xr:uid="{00000000-0005-0000-0000-00004CBE0000}"/>
    <cellStyle name="req 4 3 2 4" xfId="48867" xr:uid="{00000000-0005-0000-0000-00004DBE0000}"/>
    <cellStyle name="req 4 3 2 4 2" xfId="48868" xr:uid="{00000000-0005-0000-0000-00004EBE0000}"/>
    <cellStyle name="req 4 3 2 4 2 2" xfId="48869" xr:uid="{00000000-0005-0000-0000-00004FBE0000}"/>
    <cellStyle name="req 4 3 2 4 3" xfId="48870" xr:uid="{00000000-0005-0000-0000-000050BE0000}"/>
    <cellStyle name="req 4 3 2 4 3 2" xfId="48871" xr:uid="{00000000-0005-0000-0000-000051BE0000}"/>
    <cellStyle name="req 4 3 2 4 4" xfId="48872" xr:uid="{00000000-0005-0000-0000-000052BE0000}"/>
    <cellStyle name="req 4 3 2 4 5" xfId="48873" xr:uid="{00000000-0005-0000-0000-000053BE0000}"/>
    <cellStyle name="req 4 3 2 5" xfId="48874" xr:uid="{00000000-0005-0000-0000-000054BE0000}"/>
    <cellStyle name="req 4 3 2 5 2" xfId="48875" xr:uid="{00000000-0005-0000-0000-000055BE0000}"/>
    <cellStyle name="req 4 3 2 6" xfId="48876" xr:uid="{00000000-0005-0000-0000-000056BE0000}"/>
    <cellStyle name="req 4 3 2 6 2" xfId="48877" xr:uid="{00000000-0005-0000-0000-000057BE0000}"/>
    <cellStyle name="req 4 3 2 7" xfId="48878" xr:uid="{00000000-0005-0000-0000-000058BE0000}"/>
    <cellStyle name="req 4 3 2 8" xfId="48879" xr:uid="{00000000-0005-0000-0000-000059BE0000}"/>
    <cellStyle name="req 4 3 3" xfId="48880" xr:uid="{00000000-0005-0000-0000-00005ABE0000}"/>
    <cellStyle name="req 4 3 3 2" xfId="48881" xr:uid="{00000000-0005-0000-0000-00005BBE0000}"/>
    <cellStyle name="req 4 3 3 2 2" xfId="48882" xr:uid="{00000000-0005-0000-0000-00005CBE0000}"/>
    <cellStyle name="req 4 3 3 2 2 2" xfId="48883" xr:uid="{00000000-0005-0000-0000-00005DBE0000}"/>
    <cellStyle name="req 4 3 3 2 2 2 2" xfId="48884" xr:uid="{00000000-0005-0000-0000-00005EBE0000}"/>
    <cellStyle name="req 4 3 3 2 2 3" xfId="48885" xr:uid="{00000000-0005-0000-0000-00005FBE0000}"/>
    <cellStyle name="req 4 3 3 2 2 3 2" xfId="48886" xr:uid="{00000000-0005-0000-0000-000060BE0000}"/>
    <cellStyle name="req 4 3 3 2 2 4" xfId="48887" xr:uid="{00000000-0005-0000-0000-000061BE0000}"/>
    <cellStyle name="req 4 3 3 2 2 5" xfId="48888" xr:uid="{00000000-0005-0000-0000-000062BE0000}"/>
    <cellStyle name="req 4 3 3 2 3" xfId="48889" xr:uid="{00000000-0005-0000-0000-000063BE0000}"/>
    <cellStyle name="req 4 3 3 2 3 2" xfId="48890" xr:uid="{00000000-0005-0000-0000-000064BE0000}"/>
    <cellStyle name="req 4 3 3 2 4" xfId="48891" xr:uid="{00000000-0005-0000-0000-000065BE0000}"/>
    <cellStyle name="req 4 3 3 2 4 2" xfId="48892" xr:uid="{00000000-0005-0000-0000-000066BE0000}"/>
    <cellStyle name="req 4 3 3 2 5" xfId="48893" xr:uid="{00000000-0005-0000-0000-000067BE0000}"/>
    <cellStyle name="req 4 3 3 2 6" xfId="48894" xr:uid="{00000000-0005-0000-0000-000068BE0000}"/>
    <cellStyle name="req 4 3 3 3" xfId="48895" xr:uid="{00000000-0005-0000-0000-000069BE0000}"/>
    <cellStyle name="req 4 3 3 3 2" xfId="48896" xr:uid="{00000000-0005-0000-0000-00006ABE0000}"/>
    <cellStyle name="req 4 3 3 3 2 2" xfId="48897" xr:uid="{00000000-0005-0000-0000-00006BBE0000}"/>
    <cellStyle name="req 4 3 3 3 3" xfId="48898" xr:uid="{00000000-0005-0000-0000-00006CBE0000}"/>
    <cellStyle name="req 4 3 3 3 3 2" xfId="48899" xr:uid="{00000000-0005-0000-0000-00006DBE0000}"/>
    <cellStyle name="req 4 3 3 3 4" xfId="48900" xr:uid="{00000000-0005-0000-0000-00006EBE0000}"/>
    <cellStyle name="req 4 3 3 3 5" xfId="48901" xr:uid="{00000000-0005-0000-0000-00006FBE0000}"/>
    <cellStyle name="req 4 3 3 4" xfId="48902" xr:uid="{00000000-0005-0000-0000-000070BE0000}"/>
    <cellStyle name="req 4 3 3 4 2" xfId="48903" xr:uid="{00000000-0005-0000-0000-000071BE0000}"/>
    <cellStyle name="req 4 3 3 5" xfId="48904" xr:uid="{00000000-0005-0000-0000-000072BE0000}"/>
    <cellStyle name="req 4 3 3 5 2" xfId="48905" xr:uid="{00000000-0005-0000-0000-000073BE0000}"/>
    <cellStyle name="req 4 3 3 6" xfId="48906" xr:uid="{00000000-0005-0000-0000-000074BE0000}"/>
    <cellStyle name="req 4 3 3 7" xfId="48907" xr:uid="{00000000-0005-0000-0000-000075BE0000}"/>
    <cellStyle name="req 4 3 4" xfId="48908" xr:uid="{00000000-0005-0000-0000-000076BE0000}"/>
    <cellStyle name="req 4 3 4 2" xfId="48909" xr:uid="{00000000-0005-0000-0000-000077BE0000}"/>
    <cellStyle name="req 4 3 4 2 2" xfId="48910" xr:uid="{00000000-0005-0000-0000-000078BE0000}"/>
    <cellStyle name="req 4 3 4 2 2 2" xfId="48911" xr:uid="{00000000-0005-0000-0000-000079BE0000}"/>
    <cellStyle name="req 4 3 4 2 3" xfId="48912" xr:uid="{00000000-0005-0000-0000-00007ABE0000}"/>
    <cellStyle name="req 4 3 4 2 3 2" xfId="48913" xr:uid="{00000000-0005-0000-0000-00007BBE0000}"/>
    <cellStyle name="req 4 3 4 2 4" xfId="48914" xr:uid="{00000000-0005-0000-0000-00007CBE0000}"/>
    <cellStyle name="req 4 3 4 2 5" xfId="48915" xr:uid="{00000000-0005-0000-0000-00007DBE0000}"/>
    <cellStyle name="req 4 3 4 3" xfId="48916" xr:uid="{00000000-0005-0000-0000-00007EBE0000}"/>
    <cellStyle name="req 4 3 4 3 2" xfId="48917" xr:uid="{00000000-0005-0000-0000-00007FBE0000}"/>
    <cellStyle name="req 4 3 4 4" xfId="48918" xr:uid="{00000000-0005-0000-0000-000080BE0000}"/>
    <cellStyle name="req 4 3 4 4 2" xfId="48919" xr:uid="{00000000-0005-0000-0000-000081BE0000}"/>
    <cellStyle name="req 4 3 4 5" xfId="48920" xr:uid="{00000000-0005-0000-0000-000082BE0000}"/>
    <cellStyle name="req 4 3 4 6" xfId="48921" xr:uid="{00000000-0005-0000-0000-000083BE0000}"/>
    <cellStyle name="req 4 3 5" xfId="48922" xr:uid="{00000000-0005-0000-0000-000084BE0000}"/>
    <cellStyle name="req 4 3 5 2" xfId="48923" xr:uid="{00000000-0005-0000-0000-000085BE0000}"/>
    <cellStyle name="req 4 3 5 2 2" xfId="48924" xr:uid="{00000000-0005-0000-0000-000086BE0000}"/>
    <cellStyle name="req 4 3 5 3" xfId="48925" xr:uid="{00000000-0005-0000-0000-000087BE0000}"/>
    <cellStyle name="req 4 3 5 3 2" xfId="48926" xr:uid="{00000000-0005-0000-0000-000088BE0000}"/>
    <cellStyle name="req 4 3 5 4" xfId="48927" xr:uid="{00000000-0005-0000-0000-000089BE0000}"/>
    <cellStyle name="req 4 3 5 5" xfId="48928" xr:uid="{00000000-0005-0000-0000-00008ABE0000}"/>
    <cellStyle name="req 4 3 6" xfId="48929" xr:uid="{00000000-0005-0000-0000-00008BBE0000}"/>
    <cellStyle name="req 4 3 6 2" xfId="48930" xr:uid="{00000000-0005-0000-0000-00008CBE0000}"/>
    <cellStyle name="req 4 3 7" xfId="48931" xr:uid="{00000000-0005-0000-0000-00008DBE0000}"/>
    <cellStyle name="req 4 3 7 2" xfId="48932" xr:uid="{00000000-0005-0000-0000-00008EBE0000}"/>
    <cellStyle name="req 4 3 8" xfId="48933" xr:uid="{00000000-0005-0000-0000-00008FBE0000}"/>
    <cellStyle name="req 4 3 9" xfId="48934" xr:uid="{00000000-0005-0000-0000-000090BE0000}"/>
    <cellStyle name="req 4 4" xfId="48935" xr:uid="{00000000-0005-0000-0000-000091BE0000}"/>
    <cellStyle name="req 4 4 2" xfId="48936" xr:uid="{00000000-0005-0000-0000-000092BE0000}"/>
    <cellStyle name="req 4 4 2 2" xfId="48937" xr:uid="{00000000-0005-0000-0000-000093BE0000}"/>
    <cellStyle name="req 4 4 2 2 2" xfId="48938" xr:uid="{00000000-0005-0000-0000-000094BE0000}"/>
    <cellStyle name="req 4 4 2 2 2 2" xfId="48939" xr:uid="{00000000-0005-0000-0000-000095BE0000}"/>
    <cellStyle name="req 4 4 2 2 2 2 2" xfId="48940" xr:uid="{00000000-0005-0000-0000-000096BE0000}"/>
    <cellStyle name="req 4 4 2 2 2 2 2 2" xfId="48941" xr:uid="{00000000-0005-0000-0000-000097BE0000}"/>
    <cellStyle name="req 4 4 2 2 2 2 3" xfId="48942" xr:uid="{00000000-0005-0000-0000-000098BE0000}"/>
    <cellStyle name="req 4 4 2 2 2 2 3 2" xfId="48943" xr:uid="{00000000-0005-0000-0000-000099BE0000}"/>
    <cellStyle name="req 4 4 2 2 2 2 4" xfId="48944" xr:uid="{00000000-0005-0000-0000-00009ABE0000}"/>
    <cellStyle name="req 4 4 2 2 2 2 5" xfId="48945" xr:uid="{00000000-0005-0000-0000-00009BBE0000}"/>
    <cellStyle name="req 4 4 2 2 2 3" xfId="48946" xr:uid="{00000000-0005-0000-0000-00009CBE0000}"/>
    <cellStyle name="req 4 4 2 2 2 3 2" xfId="48947" xr:uid="{00000000-0005-0000-0000-00009DBE0000}"/>
    <cellStyle name="req 4 4 2 2 2 4" xfId="48948" xr:uid="{00000000-0005-0000-0000-00009EBE0000}"/>
    <cellStyle name="req 4 4 2 2 2 4 2" xfId="48949" xr:uid="{00000000-0005-0000-0000-00009FBE0000}"/>
    <cellStyle name="req 4 4 2 2 2 5" xfId="48950" xr:uid="{00000000-0005-0000-0000-0000A0BE0000}"/>
    <cellStyle name="req 4 4 2 2 2 6" xfId="48951" xr:uid="{00000000-0005-0000-0000-0000A1BE0000}"/>
    <cellStyle name="req 4 4 2 2 3" xfId="48952" xr:uid="{00000000-0005-0000-0000-0000A2BE0000}"/>
    <cellStyle name="req 4 4 2 2 3 2" xfId="48953" xr:uid="{00000000-0005-0000-0000-0000A3BE0000}"/>
    <cellStyle name="req 4 4 2 2 3 2 2" xfId="48954" xr:uid="{00000000-0005-0000-0000-0000A4BE0000}"/>
    <cellStyle name="req 4 4 2 2 3 3" xfId="48955" xr:uid="{00000000-0005-0000-0000-0000A5BE0000}"/>
    <cellStyle name="req 4 4 2 2 3 3 2" xfId="48956" xr:uid="{00000000-0005-0000-0000-0000A6BE0000}"/>
    <cellStyle name="req 4 4 2 2 3 4" xfId="48957" xr:uid="{00000000-0005-0000-0000-0000A7BE0000}"/>
    <cellStyle name="req 4 4 2 2 3 5" xfId="48958" xr:uid="{00000000-0005-0000-0000-0000A8BE0000}"/>
    <cellStyle name="req 4 4 2 2 4" xfId="48959" xr:uid="{00000000-0005-0000-0000-0000A9BE0000}"/>
    <cellStyle name="req 4 4 2 2 4 2" xfId="48960" xr:uid="{00000000-0005-0000-0000-0000AABE0000}"/>
    <cellStyle name="req 4 4 2 2 5" xfId="48961" xr:uid="{00000000-0005-0000-0000-0000ABBE0000}"/>
    <cellStyle name="req 4 4 2 2 5 2" xfId="48962" xr:uid="{00000000-0005-0000-0000-0000ACBE0000}"/>
    <cellStyle name="req 4 4 2 2 6" xfId="48963" xr:uid="{00000000-0005-0000-0000-0000ADBE0000}"/>
    <cellStyle name="req 4 4 2 2 7" xfId="48964" xr:uid="{00000000-0005-0000-0000-0000AEBE0000}"/>
    <cellStyle name="req 4 4 2 3" xfId="48965" xr:uid="{00000000-0005-0000-0000-0000AFBE0000}"/>
    <cellStyle name="req 4 4 2 3 2" xfId="48966" xr:uid="{00000000-0005-0000-0000-0000B0BE0000}"/>
    <cellStyle name="req 4 4 2 3 2 2" xfId="48967" xr:uid="{00000000-0005-0000-0000-0000B1BE0000}"/>
    <cellStyle name="req 4 4 2 3 2 2 2" xfId="48968" xr:uid="{00000000-0005-0000-0000-0000B2BE0000}"/>
    <cellStyle name="req 4 4 2 3 2 3" xfId="48969" xr:uid="{00000000-0005-0000-0000-0000B3BE0000}"/>
    <cellStyle name="req 4 4 2 3 2 3 2" xfId="48970" xr:uid="{00000000-0005-0000-0000-0000B4BE0000}"/>
    <cellStyle name="req 4 4 2 3 2 4" xfId="48971" xr:uid="{00000000-0005-0000-0000-0000B5BE0000}"/>
    <cellStyle name="req 4 4 2 3 2 5" xfId="48972" xr:uid="{00000000-0005-0000-0000-0000B6BE0000}"/>
    <cellStyle name="req 4 4 2 3 3" xfId="48973" xr:uid="{00000000-0005-0000-0000-0000B7BE0000}"/>
    <cellStyle name="req 4 4 2 3 3 2" xfId="48974" xr:uid="{00000000-0005-0000-0000-0000B8BE0000}"/>
    <cellStyle name="req 4 4 2 3 4" xfId="48975" xr:uid="{00000000-0005-0000-0000-0000B9BE0000}"/>
    <cellStyle name="req 4 4 2 3 4 2" xfId="48976" xr:uid="{00000000-0005-0000-0000-0000BABE0000}"/>
    <cellStyle name="req 4 4 2 3 5" xfId="48977" xr:uid="{00000000-0005-0000-0000-0000BBBE0000}"/>
    <cellStyle name="req 4 4 2 3 6" xfId="48978" xr:uid="{00000000-0005-0000-0000-0000BCBE0000}"/>
    <cellStyle name="req 4 4 2 4" xfId="48979" xr:uid="{00000000-0005-0000-0000-0000BDBE0000}"/>
    <cellStyle name="req 4 4 2 4 2" xfId="48980" xr:uid="{00000000-0005-0000-0000-0000BEBE0000}"/>
    <cellStyle name="req 4 4 2 4 2 2" xfId="48981" xr:uid="{00000000-0005-0000-0000-0000BFBE0000}"/>
    <cellStyle name="req 4 4 2 4 3" xfId="48982" xr:uid="{00000000-0005-0000-0000-0000C0BE0000}"/>
    <cellStyle name="req 4 4 2 4 3 2" xfId="48983" xr:uid="{00000000-0005-0000-0000-0000C1BE0000}"/>
    <cellStyle name="req 4 4 2 4 4" xfId="48984" xr:uid="{00000000-0005-0000-0000-0000C2BE0000}"/>
    <cellStyle name="req 4 4 2 4 5" xfId="48985" xr:uid="{00000000-0005-0000-0000-0000C3BE0000}"/>
    <cellStyle name="req 4 4 2 5" xfId="48986" xr:uid="{00000000-0005-0000-0000-0000C4BE0000}"/>
    <cellStyle name="req 4 4 2 5 2" xfId="48987" xr:uid="{00000000-0005-0000-0000-0000C5BE0000}"/>
    <cellStyle name="req 4 4 2 6" xfId="48988" xr:uid="{00000000-0005-0000-0000-0000C6BE0000}"/>
    <cellStyle name="req 4 4 2 6 2" xfId="48989" xr:uid="{00000000-0005-0000-0000-0000C7BE0000}"/>
    <cellStyle name="req 4 4 2 7" xfId="48990" xr:uid="{00000000-0005-0000-0000-0000C8BE0000}"/>
    <cellStyle name="req 4 4 2 8" xfId="48991" xr:uid="{00000000-0005-0000-0000-0000C9BE0000}"/>
    <cellStyle name="req 4 4 3" xfId="48992" xr:uid="{00000000-0005-0000-0000-0000CABE0000}"/>
    <cellStyle name="req 4 4 3 2" xfId="48993" xr:uid="{00000000-0005-0000-0000-0000CBBE0000}"/>
    <cellStyle name="req 4 4 3 2 2" xfId="48994" xr:uid="{00000000-0005-0000-0000-0000CCBE0000}"/>
    <cellStyle name="req 4 4 3 2 2 2" xfId="48995" xr:uid="{00000000-0005-0000-0000-0000CDBE0000}"/>
    <cellStyle name="req 4 4 3 2 2 2 2" xfId="48996" xr:uid="{00000000-0005-0000-0000-0000CEBE0000}"/>
    <cellStyle name="req 4 4 3 2 2 3" xfId="48997" xr:uid="{00000000-0005-0000-0000-0000CFBE0000}"/>
    <cellStyle name="req 4 4 3 2 2 3 2" xfId="48998" xr:uid="{00000000-0005-0000-0000-0000D0BE0000}"/>
    <cellStyle name="req 4 4 3 2 2 4" xfId="48999" xr:uid="{00000000-0005-0000-0000-0000D1BE0000}"/>
    <cellStyle name="req 4 4 3 2 2 5" xfId="49000" xr:uid="{00000000-0005-0000-0000-0000D2BE0000}"/>
    <cellStyle name="req 4 4 3 2 3" xfId="49001" xr:uid="{00000000-0005-0000-0000-0000D3BE0000}"/>
    <cellStyle name="req 4 4 3 2 3 2" xfId="49002" xr:uid="{00000000-0005-0000-0000-0000D4BE0000}"/>
    <cellStyle name="req 4 4 3 2 4" xfId="49003" xr:uid="{00000000-0005-0000-0000-0000D5BE0000}"/>
    <cellStyle name="req 4 4 3 2 4 2" xfId="49004" xr:uid="{00000000-0005-0000-0000-0000D6BE0000}"/>
    <cellStyle name="req 4 4 3 2 5" xfId="49005" xr:uid="{00000000-0005-0000-0000-0000D7BE0000}"/>
    <cellStyle name="req 4 4 3 2 6" xfId="49006" xr:uid="{00000000-0005-0000-0000-0000D8BE0000}"/>
    <cellStyle name="req 4 4 3 3" xfId="49007" xr:uid="{00000000-0005-0000-0000-0000D9BE0000}"/>
    <cellStyle name="req 4 4 3 3 2" xfId="49008" xr:uid="{00000000-0005-0000-0000-0000DABE0000}"/>
    <cellStyle name="req 4 4 3 3 2 2" xfId="49009" xr:uid="{00000000-0005-0000-0000-0000DBBE0000}"/>
    <cellStyle name="req 4 4 3 3 3" xfId="49010" xr:uid="{00000000-0005-0000-0000-0000DCBE0000}"/>
    <cellStyle name="req 4 4 3 3 3 2" xfId="49011" xr:uid="{00000000-0005-0000-0000-0000DDBE0000}"/>
    <cellStyle name="req 4 4 3 3 4" xfId="49012" xr:uid="{00000000-0005-0000-0000-0000DEBE0000}"/>
    <cellStyle name="req 4 4 3 3 5" xfId="49013" xr:uid="{00000000-0005-0000-0000-0000DFBE0000}"/>
    <cellStyle name="req 4 4 3 4" xfId="49014" xr:uid="{00000000-0005-0000-0000-0000E0BE0000}"/>
    <cellStyle name="req 4 4 3 4 2" xfId="49015" xr:uid="{00000000-0005-0000-0000-0000E1BE0000}"/>
    <cellStyle name="req 4 4 3 5" xfId="49016" xr:uid="{00000000-0005-0000-0000-0000E2BE0000}"/>
    <cellStyle name="req 4 4 3 5 2" xfId="49017" xr:uid="{00000000-0005-0000-0000-0000E3BE0000}"/>
    <cellStyle name="req 4 4 3 6" xfId="49018" xr:uid="{00000000-0005-0000-0000-0000E4BE0000}"/>
    <cellStyle name="req 4 4 3 7" xfId="49019" xr:uid="{00000000-0005-0000-0000-0000E5BE0000}"/>
    <cellStyle name="req 4 4 4" xfId="49020" xr:uid="{00000000-0005-0000-0000-0000E6BE0000}"/>
    <cellStyle name="req 4 4 4 2" xfId="49021" xr:uid="{00000000-0005-0000-0000-0000E7BE0000}"/>
    <cellStyle name="req 4 4 4 2 2" xfId="49022" xr:uid="{00000000-0005-0000-0000-0000E8BE0000}"/>
    <cellStyle name="req 4 4 4 2 2 2" xfId="49023" xr:uid="{00000000-0005-0000-0000-0000E9BE0000}"/>
    <cellStyle name="req 4 4 4 2 3" xfId="49024" xr:uid="{00000000-0005-0000-0000-0000EABE0000}"/>
    <cellStyle name="req 4 4 4 2 3 2" xfId="49025" xr:uid="{00000000-0005-0000-0000-0000EBBE0000}"/>
    <cellStyle name="req 4 4 4 2 4" xfId="49026" xr:uid="{00000000-0005-0000-0000-0000ECBE0000}"/>
    <cellStyle name="req 4 4 4 2 5" xfId="49027" xr:uid="{00000000-0005-0000-0000-0000EDBE0000}"/>
    <cellStyle name="req 4 4 4 3" xfId="49028" xr:uid="{00000000-0005-0000-0000-0000EEBE0000}"/>
    <cellStyle name="req 4 4 4 3 2" xfId="49029" xr:uid="{00000000-0005-0000-0000-0000EFBE0000}"/>
    <cellStyle name="req 4 4 4 4" xfId="49030" xr:uid="{00000000-0005-0000-0000-0000F0BE0000}"/>
    <cellStyle name="req 4 4 4 4 2" xfId="49031" xr:uid="{00000000-0005-0000-0000-0000F1BE0000}"/>
    <cellStyle name="req 4 4 4 5" xfId="49032" xr:uid="{00000000-0005-0000-0000-0000F2BE0000}"/>
    <cellStyle name="req 4 4 4 6" xfId="49033" xr:uid="{00000000-0005-0000-0000-0000F3BE0000}"/>
    <cellStyle name="req 4 4 5" xfId="49034" xr:uid="{00000000-0005-0000-0000-0000F4BE0000}"/>
    <cellStyle name="req 4 4 5 2" xfId="49035" xr:uid="{00000000-0005-0000-0000-0000F5BE0000}"/>
    <cellStyle name="req 4 4 5 2 2" xfId="49036" xr:uid="{00000000-0005-0000-0000-0000F6BE0000}"/>
    <cellStyle name="req 4 4 5 3" xfId="49037" xr:uid="{00000000-0005-0000-0000-0000F7BE0000}"/>
    <cellStyle name="req 4 4 5 3 2" xfId="49038" xr:uid="{00000000-0005-0000-0000-0000F8BE0000}"/>
    <cellStyle name="req 4 4 5 4" xfId="49039" xr:uid="{00000000-0005-0000-0000-0000F9BE0000}"/>
    <cellStyle name="req 4 4 5 5" xfId="49040" xr:uid="{00000000-0005-0000-0000-0000FABE0000}"/>
    <cellStyle name="req 4 4 6" xfId="49041" xr:uid="{00000000-0005-0000-0000-0000FBBE0000}"/>
    <cellStyle name="req 4 4 6 2" xfId="49042" xr:uid="{00000000-0005-0000-0000-0000FCBE0000}"/>
    <cellStyle name="req 4 4 7" xfId="49043" xr:uid="{00000000-0005-0000-0000-0000FDBE0000}"/>
    <cellStyle name="req 4 4 7 2" xfId="49044" xr:uid="{00000000-0005-0000-0000-0000FEBE0000}"/>
    <cellStyle name="req 4 4 8" xfId="49045" xr:uid="{00000000-0005-0000-0000-0000FFBE0000}"/>
    <cellStyle name="req 4 4 9" xfId="49046" xr:uid="{00000000-0005-0000-0000-000000BF0000}"/>
    <cellStyle name="req 4 5" xfId="49047" xr:uid="{00000000-0005-0000-0000-000001BF0000}"/>
    <cellStyle name="req 4 5 2" xfId="49048" xr:uid="{00000000-0005-0000-0000-000002BF0000}"/>
    <cellStyle name="req 4 5 2 2" xfId="49049" xr:uid="{00000000-0005-0000-0000-000003BF0000}"/>
    <cellStyle name="req 4 5 2 2 2" xfId="49050" xr:uid="{00000000-0005-0000-0000-000004BF0000}"/>
    <cellStyle name="req 4 5 2 2 2 2" xfId="49051" xr:uid="{00000000-0005-0000-0000-000005BF0000}"/>
    <cellStyle name="req 4 5 2 2 2 2 2" xfId="49052" xr:uid="{00000000-0005-0000-0000-000006BF0000}"/>
    <cellStyle name="req 4 5 2 2 2 3" xfId="49053" xr:uid="{00000000-0005-0000-0000-000007BF0000}"/>
    <cellStyle name="req 4 5 2 2 2 3 2" xfId="49054" xr:uid="{00000000-0005-0000-0000-000008BF0000}"/>
    <cellStyle name="req 4 5 2 2 2 4" xfId="49055" xr:uid="{00000000-0005-0000-0000-000009BF0000}"/>
    <cellStyle name="req 4 5 2 2 2 5" xfId="49056" xr:uid="{00000000-0005-0000-0000-00000ABF0000}"/>
    <cellStyle name="req 4 5 2 2 3" xfId="49057" xr:uid="{00000000-0005-0000-0000-00000BBF0000}"/>
    <cellStyle name="req 4 5 2 2 3 2" xfId="49058" xr:uid="{00000000-0005-0000-0000-00000CBF0000}"/>
    <cellStyle name="req 4 5 2 2 4" xfId="49059" xr:uid="{00000000-0005-0000-0000-00000DBF0000}"/>
    <cellStyle name="req 4 5 2 2 4 2" xfId="49060" xr:uid="{00000000-0005-0000-0000-00000EBF0000}"/>
    <cellStyle name="req 4 5 2 2 5" xfId="49061" xr:uid="{00000000-0005-0000-0000-00000FBF0000}"/>
    <cellStyle name="req 4 5 2 2 6" xfId="49062" xr:uid="{00000000-0005-0000-0000-000010BF0000}"/>
    <cellStyle name="req 4 5 2 3" xfId="49063" xr:uid="{00000000-0005-0000-0000-000011BF0000}"/>
    <cellStyle name="req 4 5 2 3 2" xfId="49064" xr:uid="{00000000-0005-0000-0000-000012BF0000}"/>
    <cellStyle name="req 4 5 2 3 2 2" xfId="49065" xr:uid="{00000000-0005-0000-0000-000013BF0000}"/>
    <cellStyle name="req 4 5 2 3 3" xfId="49066" xr:uid="{00000000-0005-0000-0000-000014BF0000}"/>
    <cellStyle name="req 4 5 2 3 3 2" xfId="49067" xr:uid="{00000000-0005-0000-0000-000015BF0000}"/>
    <cellStyle name="req 4 5 2 3 4" xfId="49068" xr:uid="{00000000-0005-0000-0000-000016BF0000}"/>
    <cellStyle name="req 4 5 2 3 5" xfId="49069" xr:uid="{00000000-0005-0000-0000-000017BF0000}"/>
    <cellStyle name="req 4 5 2 4" xfId="49070" xr:uid="{00000000-0005-0000-0000-000018BF0000}"/>
    <cellStyle name="req 4 5 2 4 2" xfId="49071" xr:uid="{00000000-0005-0000-0000-000019BF0000}"/>
    <cellStyle name="req 4 5 2 5" xfId="49072" xr:uid="{00000000-0005-0000-0000-00001ABF0000}"/>
    <cellStyle name="req 4 5 2 5 2" xfId="49073" xr:uid="{00000000-0005-0000-0000-00001BBF0000}"/>
    <cellStyle name="req 4 5 2 6" xfId="49074" xr:uid="{00000000-0005-0000-0000-00001CBF0000}"/>
    <cellStyle name="req 4 5 2 7" xfId="49075" xr:uid="{00000000-0005-0000-0000-00001DBF0000}"/>
    <cellStyle name="req 4 5 3" xfId="49076" xr:uid="{00000000-0005-0000-0000-00001EBF0000}"/>
    <cellStyle name="req 4 5 3 2" xfId="49077" xr:uid="{00000000-0005-0000-0000-00001FBF0000}"/>
    <cellStyle name="req 4 5 3 2 2" xfId="49078" xr:uid="{00000000-0005-0000-0000-000020BF0000}"/>
    <cellStyle name="req 4 5 3 2 2 2" xfId="49079" xr:uid="{00000000-0005-0000-0000-000021BF0000}"/>
    <cellStyle name="req 4 5 3 2 3" xfId="49080" xr:uid="{00000000-0005-0000-0000-000022BF0000}"/>
    <cellStyle name="req 4 5 3 2 3 2" xfId="49081" xr:uid="{00000000-0005-0000-0000-000023BF0000}"/>
    <cellStyle name="req 4 5 3 2 4" xfId="49082" xr:uid="{00000000-0005-0000-0000-000024BF0000}"/>
    <cellStyle name="req 4 5 3 2 5" xfId="49083" xr:uid="{00000000-0005-0000-0000-000025BF0000}"/>
    <cellStyle name="req 4 5 3 3" xfId="49084" xr:uid="{00000000-0005-0000-0000-000026BF0000}"/>
    <cellStyle name="req 4 5 3 3 2" xfId="49085" xr:uid="{00000000-0005-0000-0000-000027BF0000}"/>
    <cellStyle name="req 4 5 3 4" xfId="49086" xr:uid="{00000000-0005-0000-0000-000028BF0000}"/>
    <cellStyle name="req 4 5 3 4 2" xfId="49087" xr:uid="{00000000-0005-0000-0000-000029BF0000}"/>
    <cellStyle name="req 4 5 3 5" xfId="49088" xr:uid="{00000000-0005-0000-0000-00002ABF0000}"/>
    <cellStyle name="req 4 5 3 6" xfId="49089" xr:uid="{00000000-0005-0000-0000-00002BBF0000}"/>
    <cellStyle name="req 4 5 4" xfId="49090" xr:uid="{00000000-0005-0000-0000-00002CBF0000}"/>
    <cellStyle name="req 4 5 4 2" xfId="49091" xr:uid="{00000000-0005-0000-0000-00002DBF0000}"/>
    <cellStyle name="req 4 5 4 2 2" xfId="49092" xr:uid="{00000000-0005-0000-0000-00002EBF0000}"/>
    <cellStyle name="req 4 5 4 3" xfId="49093" xr:uid="{00000000-0005-0000-0000-00002FBF0000}"/>
    <cellStyle name="req 4 5 4 3 2" xfId="49094" xr:uid="{00000000-0005-0000-0000-000030BF0000}"/>
    <cellStyle name="req 4 5 4 4" xfId="49095" xr:uid="{00000000-0005-0000-0000-000031BF0000}"/>
    <cellStyle name="req 4 5 4 5" xfId="49096" xr:uid="{00000000-0005-0000-0000-000032BF0000}"/>
    <cellStyle name="req 4 5 5" xfId="49097" xr:uid="{00000000-0005-0000-0000-000033BF0000}"/>
    <cellStyle name="req 4 5 5 2" xfId="49098" xr:uid="{00000000-0005-0000-0000-000034BF0000}"/>
    <cellStyle name="req 4 5 6" xfId="49099" xr:uid="{00000000-0005-0000-0000-000035BF0000}"/>
    <cellStyle name="req 4 5 6 2" xfId="49100" xr:uid="{00000000-0005-0000-0000-000036BF0000}"/>
    <cellStyle name="req 4 5 7" xfId="49101" xr:uid="{00000000-0005-0000-0000-000037BF0000}"/>
    <cellStyle name="req 4 5 8" xfId="49102" xr:uid="{00000000-0005-0000-0000-000038BF0000}"/>
    <cellStyle name="req 4 6" xfId="49103" xr:uid="{00000000-0005-0000-0000-000039BF0000}"/>
    <cellStyle name="req 4 6 2" xfId="49104" xr:uid="{00000000-0005-0000-0000-00003ABF0000}"/>
    <cellStyle name="req 4 6 2 2" xfId="49105" xr:uid="{00000000-0005-0000-0000-00003BBF0000}"/>
    <cellStyle name="req 4 6 2 2 2" xfId="49106" xr:uid="{00000000-0005-0000-0000-00003CBF0000}"/>
    <cellStyle name="req 4 6 2 2 2 2" xfId="49107" xr:uid="{00000000-0005-0000-0000-00003DBF0000}"/>
    <cellStyle name="req 4 6 2 2 3" xfId="49108" xr:uid="{00000000-0005-0000-0000-00003EBF0000}"/>
    <cellStyle name="req 4 6 2 2 3 2" xfId="49109" xr:uid="{00000000-0005-0000-0000-00003FBF0000}"/>
    <cellStyle name="req 4 6 2 2 4" xfId="49110" xr:uid="{00000000-0005-0000-0000-000040BF0000}"/>
    <cellStyle name="req 4 6 2 2 5" xfId="49111" xr:uid="{00000000-0005-0000-0000-000041BF0000}"/>
    <cellStyle name="req 4 6 2 3" xfId="49112" xr:uid="{00000000-0005-0000-0000-000042BF0000}"/>
    <cellStyle name="req 4 6 2 3 2" xfId="49113" xr:uid="{00000000-0005-0000-0000-000043BF0000}"/>
    <cellStyle name="req 4 6 2 4" xfId="49114" xr:uid="{00000000-0005-0000-0000-000044BF0000}"/>
    <cellStyle name="req 4 6 2 4 2" xfId="49115" xr:uid="{00000000-0005-0000-0000-000045BF0000}"/>
    <cellStyle name="req 4 6 2 5" xfId="49116" xr:uid="{00000000-0005-0000-0000-000046BF0000}"/>
    <cellStyle name="req 4 6 2 6" xfId="49117" xr:uid="{00000000-0005-0000-0000-000047BF0000}"/>
    <cellStyle name="req 4 6 3" xfId="49118" xr:uid="{00000000-0005-0000-0000-000048BF0000}"/>
    <cellStyle name="req 4 6 3 2" xfId="49119" xr:uid="{00000000-0005-0000-0000-000049BF0000}"/>
    <cellStyle name="req 4 6 3 2 2" xfId="49120" xr:uid="{00000000-0005-0000-0000-00004ABF0000}"/>
    <cellStyle name="req 4 6 3 3" xfId="49121" xr:uid="{00000000-0005-0000-0000-00004BBF0000}"/>
    <cellStyle name="req 4 6 3 3 2" xfId="49122" xr:uid="{00000000-0005-0000-0000-00004CBF0000}"/>
    <cellStyle name="req 4 6 3 4" xfId="49123" xr:uid="{00000000-0005-0000-0000-00004DBF0000}"/>
    <cellStyle name="req 4 6 3 5" xfId="49124" xr:uid="{00000000-0005-0000-0000-00004EBF0000}"/>
    <cellStyle name="req 4 6 4" xfId="49125" xr:uid="{00000000-0005-0000-0000-00004FBF0000}"/>
    <cellStyle name="req 4 6 4 2" xfId="49126" xr:uid="{00000000-0005-0000-0000-000050BF0000}"/>
    <cellStyle name="req 4 6 5" xfId="49127" xr:uid="{00000000-0005-0000-0000-000051BF0000}"/>
    <cellStyle name="req 4 6 5 2" xfId="49128" xr:uid="{00000000-0005-0000-0000-000052BF0000}"/>
    <cellStyle name="req 4 6 6" xfId="49129" xr:uid="{00000000-0005-0000-0000-000053BF0000}"/>
    <cellStyle name="req 4 6 7" xfId="49130" xr:uid="{00000000-0005-0000-0000-000054BF0000}"/>
    <cellStyle name="req 4 7" xfId="49131" xr:uid="{00000000-0005-0000-0000-000055BF0000}"/>
    <cellStyle name="req 4 7 2" xfId="49132" xr:uid="{00000000-0005-0000-0000-000056BF0000}"/>
    <cellStyle name="req 4 7 2 2" xfId="49133" xr:uid="{00000000-0005-0000-0000-000057BF0000}"/>
    <cellStyle name="req 4 7 2 2 2" xfId="49134" xr:uid="{00000000-0005-0000-0000-000058BF0000}"/>
    <cellStyle name="req 4 7 2 3" xfId="49135" xr:uid="{00000000-0005-0000-0000-000059BF0000}"/>
    <cellStyle name="req 4 7 2 3 2" xfId="49136" xr:uid="{00000000-0005-0000-0000-00005ABF0000}"/>
    <cellStyle name="req 4 7 2 4" xfId="49137" xr:uid="{00000000-0005-0000-0000-00005BBF0000}"/>
    <cellStyle name="req 4 7 2 5" xfId="49138" xr:uid="{00000000-0005-0000-0000-00005CBF0000}"/>
    <cellStyle name="req 4 7 3" xfId="49139" xr:uid="{00000000-0005-0000-0000-00005DBF0000}"/>
    <cellStyle name="req 4 7 3 2" xfId="49140" xr:uid="{00000000-0005-0000-0000-00005EBF0000}"/>
    <cellStyle name="req 4 7 4" xfId="49141" xr:uid="{00000000-0005-0000-0000-00005FBF0000}"/>
    <cellStyle name="req 4 7 4 2" xfId="49142" xr:uid="{00000000-0005-0000-0000-000060BF0000}"/>
    <cellStyle name="req 4 7 5" xfId="49143" xr:uid="{00000000-0005-0000-0000-000061BF0000}"/>
    <cellStyle name="req 4 7 6" xfId="49144" xr:uid="{00000000-0005-0000-0000-000062BF0000}"/>
    <cellStyle name="req 4 8" xfId="49145" xr:uid="{00000000-0005-0000-0000-000063BF0000}"/>
    <cellStyle name="req 4 8 2" xfId="49146" xr:uid="{00000000-0005-0000-0000-000064BF0000}"/>
    <cellStyle name="req 4 8 2 2" xfId="49147" xr:uid="{00000000-0005-0000-0000-000065BF0000}"/>
    <cellStyle name="req 4 8 3" xfId="49148" xr:uid="{00000000-0005-0000-0000-000066BF0000}"/>
    <cellStyle name="req 4 8 3 2" xfId="49149" xr:uid="{00000000-0005-0000-0000-000067BF0000}"/>
    <cellStyle name="req 4 8 4" xfId="49150" xr:uid="{00000000-0005-0000-0000-000068BF0000}"/>
    <cellStyle name="req 4 8 5" xfId="49151" xr:uid="{00000000-0005-0000-0000-000069BF0000}"/>
    <cellStyle name="req 4 9" xfId="49152" xr:uid="{00000000-0005-0000-0000-00006ABF0000}"/>
    <cellStyle name="req 4 9 2" xfId="49153" xr:uid="{00000000-0005-0000-0000-00006BBF0000}"/>
    <cellStyle name="req 5" xfId="49154" xr:uid="{00000000-0005-0000-0000-00006CBF0000}"/>
    <cellStyle name="req 5 2" xfId="49155" xr:uid="{00000000-0005-0000-0000-00006DBF0000}"/>
    <cellStyle name="req 5 2 2" xfId="49156" xr:uid="{00000000-0005-0000-0000-00006EBF0000}"/>
    <cellStyle name="req 5 2 2 2" xfId="49157" xr:uid="{00000000-0005-0000-0000-00006FBF0000}"/>
    <cellStyle name="req 5 2 2 2 2" xfId="49158" xr:uid="{00000000-0005-0000-0000-000070BF0000}"/>
    <cellStyle name="req 5 2 2 2 2 2" xfId="49159" xr:uid="{00000000-0005-0000-0000-000071BF0000}"/>
    <cellStyle name="req 5 2 2 2 2 2 2" xfId="49160" xr:uid="{00000000-0005-0000-0000-000072BF0000}"/>
    <cellStyle name="req 5 2 2 2 2 3" xfId="49161" xr:uid="{00000000-0005-0000-0000-000073BF0000}"/>
    <cellStyle name="req 5 2 2 2 2 3 2" xfId="49162" xr:uid="{00000000-0005-0000-0000-000074BF0000}"/>
    <cellStyle name="req 5 2 2 2 2 4" xfId="49163" xr:uid="{00000000-0005-0000-0000-000075BF0000}"/>
    <cellStyle name="req 5 2 2 2 2 5" xfId="49164" xr:uid="{00000000-0005-0000-0000-000076BF0000}"/>
    <cellStyle name="req 5 2 2 2 3" xfId="49165" xr:uid="{00000000-0005-0000-0000-000077BF0000}"/>
    <cellStyle name="req 5 2 2 2 3 2" xfId="49166" xr:uid="{00000000-0005-0000-0000-000078BF0000}"/>
    <cellStyle name="req 5 2 2 2 4" xfId="49167" xr:uid="{00000000-0005-0000-0000-000079BF0000}"/>
    <cellStyle name="req 5 2 2 2 4 2" xfId="49168" xr:uid="{00000000-0005-0000-0000-00007ABF0000}"/>
    <cellStyle name="req 5 2 2 2 5" xfId="49169" xr:uid="{00000000-0005-0000-0000-00007BBF0000}"/>
    <cellStyle name="req 5 2 2 2 6" xfId="49170" xr:uid="{00000000-0005-0000-0000-00007CBF0000}"/>
    <cellStyle name="req 5 2 2 3" xfId="49171" xr:uid="{00000000-0005-0000-0000-00007DBF0000}"/>
    <cellStyle name="req 5 2 2 3 2" xfId="49172" xr:uid="{00000000-0005-0000-0000-00007EBF0000}"/>
    <cellStyle name="req 5 2 2 3 2 2" xfId="49173" xr:uid="{00000000-0005-0000-0000-00007FBF0000}"/>
    <cellStyle name="req 5 2 2 3 3" xfId="49174" xr:uid="{00000000-0005-0000-0000-000080BF0000}"/>
    <cellStyle name="req 5 2 2 3 3 2" xfId="49175" xr:uid="{00000000-0005-0000-0000-000081BF0000}"/>
    <cellStyle name="req 5 2 2 3 4" xfId="49176" xr:uid="{00000000-0005-0000-0000-000082BF0000}"/>
    <cellStyle name="req 5 2 2 3 5" xfId="49177" xr:uid="{00000000-0005-0000-0000-000083BF0000}"/>
    <cellStyle name="req 5 2 2 4" xfId="49178" xr:uid="{00000000-0005-0000-0000-000084BF0000}"/>
    <cellStyle name="req 5 2 2 4 2" xfId="49179" xr:uid="{00000000-0005-0000-0000-000085BF0000}"/>
    <cellStyle name="req 5 2 2 5" xfId="49180" xr:uid="{00000000-0005-0000-0000-000086BF0000}"/>
    <cellStyle name="req 5 2 2 5 2" xfId="49181" xr:uid="{00000000-0005-0000-0000-000087BF0000}"/>
    <cellStyle name="req 5 2 2 6" xfId="49182" xr:uid="{00000000-0005-0000-0000-000088BF0000}"/>
    <cellStyle name="req 5 2 2 7" xfId="49183" xr:uid="{00000000-0005-0000-0000-000089BF0000}"/>
    <cellStyle name="req 5 2 3" xfId="49184" xr:uid="{00000000-0005-0000-0000-00008ABF0000}"/>
    <cellStyle name="req 5 2 3 2" xfId="49185" xr:uid="{00000000-0005-0000-0000-00008BBF0000}"/>
    <cellStyle name="req 5 2 3 2 2" xfId="49186" xr:uid="{00000000-0005-0000-0000-00008CBF0000}"/>
    <cellStyle name="req 5 2 3 2 2 2" xfId="49187" xr:uid="{00000000-0005-0000-0000-00008DBF0000}"/>
    <cellStyle name="req 5 2 3 2 3" xfId="49188" xr:uid="{00000000-0005-0000-0000-00008EBF0000}"/>
    <cellStyle name="req 5 2 3 2 3 2" xfId="49189" xr:uid="{00000000-0005-0000-0000-00008FBF0000}"/>
    <cellStyle name="req 5 2 3 2 4" xfId="49190" xr:uid="{00000000-0005-0000-0000-000090BF0000}"/>
    <cellStyle name="req 5 2 3 2 5" xfId="49191" xr:uid="{00000000-0005-0000-0000-000091BF0000}"/>
    <cellStyle name="req 5 2 3 3" xfId="49192" xr:uid="{00000000-0005-0000-0000-000092BF0000}"/>
    <cellStyle name="req 5 2 3 3 2" xfId="49193" xr:uid="{00000000-0005-0000-0000-000093BF0000}"/>
    <cellStyle name="req 5 2 3 4" xfId="49194" xr:uid="{00000000-0005-0000-0000-000094BF0000}"/>
    <cellStyle name="req 5 2 3 4 2" xfId="49195" xr:uid="{00000000-0005-0000-0000-000095BF0000}"/>
    <cellStyle name="req 5 2 3 5" xfId="49196" xr:uid="{00000000-0005-0000-0000-000096BF0000}"/>
    <cellStyle name="req 5 2 3 6" xfId="49197" xr:uid="{00000000-0005-0000-0000-000097BF0000}"/>
    <cellStyle name="req 5 2 4" xfId="49198" xr:uid="{00000000-0005-0000-0000-000098BF0000}"/>
    <cellStyle name="req 5 2 4 2" xfId="49199" xr:uid="{00000000-0005-0000-0000-000099BF0000}"/>
    <cellStyle name="req 5 2 4 2 2" xfId="49200" xr:uid="{00000000-0005-0000-0000-00009ABF0000}"/>
    <cellStyle name="req 5 2 4 3" xfId="49201" xr:uid="{00000000-0005-0000-0000-00009BBF0000}"/>
    <cellStyle name="req 5 2 4 3 2" xfId="49202" xr:uid="{00000000-0005-0000-0000-00009CBF0000}"/>
    <cellStyle name="req 5 2 4 4" xfId="49203" xr:uid="{00000000-0005-0000-0000-00009DBF0000}"/>
    <cellStyle name="req 5 2 4 5" xfId="49204" xr:uid="{00000000-0005-0000-0000-00009EBF0000}"/>
    <cellStyle name="req 5 2 5" xfId="49205" xr:uid="{00000000-0005-0000-0000-00009FBF0000}"/>
    <cellStyle name="req 5 2 5 2" xfId="49206" xr:uid="{00000000-0005-0000-0000-0000A0BF0000}"/>
    <cellStyle name="req 5 2 6" xfId="49207" xr:uid="{00000000-0005-0000-0000-0000A1BF0000}"/>
    <cellStyle name="req 5 2 6 2" xfId="49208" xr:uid="{00000000-0005-0000-0000-0000A2BF0000}"/>
    <cellStyle name="req 5 2 7" xfId="49209" xr:uid="{00000000-0005-0000-0000-0000A3BF0000}"/>
    <cellStyle name="req 5 2 8" xfId="49210" xr:uid="{00000000-0005-0000-0000-0000A4BF0000}"/>
    <cellStyle name="req 5 3" xfId="49211" xr:uid="{00000000-0005-0000-0000-0000A5BF0000}"/>
    <cellStyle name="req 5 3 2" xfId="49212" xr:uid="{00000000-0005-0000-0000-0000A6BF0000}"/>
    <cellStyle name="req 5 3 2 2" xfId="49213" xr:uid="{00000000-0005-0000-0000-0000A7BF0000}"/>
    <cellStyle name="req 5 3 2 2 2" xfId="49214" xr:uid="{00000000-0005-0000-0000-0000A8BF0000}"/>
    <cellStyle name="req 5 3 2 2 2 2" xfId="49215" xr:uid="{00000000-0005-0000-0000-0000A9BF0000}"/>
    <cellStyle name="req 5 3 2 2 3" xfId="49216" xr:uid="{00000000-0005-0000-0000-0000AABF0000}"/>
    <cellStyle name="req 5 3 2 2 3 2" xfId="49217" xr:uid="{00000000-0005-0000-0000-0000ABBF0000}"/>
    <cellStyle name="req 5 3 2 2 4" xfId="49218" xr:uid="{00000000-0005-0000-0000-0000ACBF0000}"/>
    <cellStyle name="req 5 3 2 2 5" xfId="49219" xr:uid="{00000000-0005-0000-0000-0000ADBF0000}"/>
    <cellStyle name="req 5 3 2 3" xfId="49220" xr:uid="{00000000-0005-0000-0000-0000AEBF0000}"/>
    <cellStyle name="req 5 3 2 3 2" xfId="49221" xr:uid="{00000000-0005-0000-0000-0000AFBF0000}"/>
    <cellStyle name="req 5 3 2 4" xfId="49222" xr:uid="{00000000-0005-0000-0000-0000B0BF0000}"/>
    <cellStyle name="req 5 3 2 4 2" xfId="49223" xr:uid="{00000000-0005-0000-0000-0000B1BF0000}"/>
    <cellStyle name="req 5 3 2 5" xfId="49224" xr:uid="{00000000-0005-0000-0000-0000B2BF0000}"/>
    <cellStyle name="req 5 3 2 6" xfId="49225" xr:uid="{00000000-0005-0000-0000-0000B3BF0000}"/>
    <cellStyle name="req 5 3 3" xfId="49226" xr:uid="{00000000-0005-0000-0000-0000B4BF0000}"/>
    <cellStyle name="req 5 3 3 2" xfId="49227" xr:uid="{00000000-0005-0000-0000-0000B5BF0000}"/>
    <cellStyle name="req 5 3 3 2 2" xfId="49228" xr:uid="{00000000-0005-0000-0000-0000B6BF0000}"/>
    <cellStyle name="req 5 3 3 3" xfId="49229" xr:uid="{00000000-0005-0000-0000-0000B7BF0000}"/>
    <cellStyle name="req 5 3 3 3 2" xfId="49230" xr:uid="{00000000-0005-0000-0000-0000B8BF0000}"/>
    <cellStyle name="req 5 3 3 4" xfId="49231" xr:uid="{00000000-0005-0000-0000-0000B9BF0000}"/>
    <cellStyle name="req 5 3 3 5" xfId="49232" xr:uid="{00000000-0005-0000-0000-0000BABF0000}"/>
    <cellStyle name="req 5 3 4" xfId="49233" xr:uid="{00000000-0005-0000-0000-0000BBBF0000}"/>
    <cellStyle name="req 5 3 4 2" xfId="49234" xr:uid="{00000000-0005-0000-0000-0000BCBF0000}"/>
    <cellStyle name="req 5 3 5" xfId="49235" xr:uid="{00000000-0005-0000-0000-0000BDBF0000}"/>
    <cellStyle name="req 5 3 5 2" xfId="49236" xr:uid="{00000000-0005-0000-0000-0000BEBF0000}"/>
    <cellStyle name="req 5 3 6" xfId="49237" xr:uid="{00000000-0005-0000-0000-0000BFBF0000}"/>
    <cellStyle name="req 5 3 7" xfId="49238" xr:uid="{00000000-0005-0000-0000-0000C0BF0000}"/>
    <cellStyle name="req 5 4" xfId="49239" xr:uid="{00000000-0005-0000-0000-0000C1BF0000}"/>
    <cellStyle name="req 5 4 2" xfId="49240" xr:uid="{00000000-0005-0000-0000-0000C2BF0000}"/>
    <cellStyle name="req 5 4 2 2" xfId="49241" xr:uid="{00000000-0005-0000-0000-0000C3BF0000}"/>
    <cellStyle name="req 5 4 2 2 2" xfId="49242" xr:uid="{00000000-0005-0000-0000-0000C4BF0000}"/>
    <cellStyle name="req 5 4 2 3" xfId="49243" xr:uid="{00000000-0005-0000-0000-0000C5BF0000}"/>
    <cellStyle name="req 5 4 2 3 2" xfId="49244" xr:uid="{00000000-0005-0000-0000-0000C6BF0000}"/>
    <cellStyle name="req 5 4 2 4" xfId="49245" xr:uid="{00000000-0005-0000-0000-0000C7BF0000}"/>
    <cellStyle name="req 5 4 2 5" xfId="49246" xr:uid="{00000000-0005-0000-0000-0000C8BF0000}"/>
    <cellStyle name="req 5 4 3" xfId="49247" xr:uid="{00000000-0005-0000-0000-0000C9BF0000}"/>
    <cellStyle name="req 5 4 3 2" xfId="49248" xr:uid="{00000000-0005-0000-0000-0000CABF0000}"/>
    <cellStyle name="req 5 4 4" xfId="49249" xr:uid="{00000000-0005-0000-0000-0000CBBF0000}"/>
    <cellStyle name="req 5 4 4 2" xfId="49250" xr:uid="{00000000-0005-0000-0000-0000CCBF0000}"/>
    <cellStyle name="req 5 4 5" xfId="49251" xr:uid="{00000000-0005-0000-0000-0000CDBF0000}"/>
    <cellStyle name="req 5 4 6" xfId="49252" xr:uid="{00000000-0005-0000-0000-0000CEBF0000}"/>
    <cellStyle name="req 5 5" xfId="49253" xr:uid="{00000000-0005-0000-0000-0000CFBF0000}"/>
    <cellStyle name="req 5 5 2" xfId="49254" xr:uid="{00000000-0005-0000-0000-0000D0BF0000}"/>
    <cellStyle name="req 5 5 2 2" xfId="49255" xr:uid="{00000000-0005-0000-0000-0000D1BF0000}"/>
    <cellStyle name="req 5 5 3" xfId="49256" xr:uid="{00000000-0005-0000-0000-0000D2BF0000}"/>
    <cellStyle name="req 5 5 3 2" xfId="49257" xr:uid="{00000000-0005-0000-0000-0000D3BF0000}"/>
    <cellStyle name="req 5 5 4" xfId="49258" xr:uid="{00000000-0005-0000-0000-0000D4BF0000}"/>
    <cellStyle name="req 5 5 5" xfId="49259" xr:uid="{00000000-0005-0000-0000-0000D5BF0000}"/>
    <cellStyle name="req 5 6" xfId="49260" xr:uid="{00000000-0005-0000-0000-0000D6BF0000}"/>
    <cellStyle name="req 5 6 2" xfId="49261" xr:uid="{00000000-0005-0000-0000-0000D7BF0000}"/>
    <cellStyle name="req 5 7" xfId="49262" xr:uid="{00000000-0005-0000-0000-0000D8BF0000}"/>
    <cellStyle name="req 5 7 2" xfId="49263" xr:uid="{00000000-0005-0000-0000-0000D9BF0000}"/>
    <cellStyle name="req 5 8" xfId="49264" xr:uid="{00000000-0005-0000-0000-0000DABF0000}"/>
    <cellStyle name="req 5 9" xfId="49265" xr:uid="{00000000-0005-0000-0000-0000DBBF0000}"/>
    <cellStyle name="req 6" xfId="49266" xr:uid="{00000000-0005-0000-0000-0000DCBF0000}"/>
    <cellStyle name="req 6 2" xfId="49267" xr:uid="{00000000-0005-0000-0000-0000DDBF0000}"/>
    <cellStyle name="req 6 2 2" xfId="49268" xr:uid="{00000000-0005-0000-0000-0000DEBF0000}"/>
    <cellStyle name="req 6 2 2 2" xfId="49269" xr:uid="{00000000-0005-0000-0000-0000DFBF0000}"/>
    <cellStyle name="req 6 2 3" xfId="49270" xr:uid="{00000000-0005-0000-0000-0000E0BF0000}"/>
    <cellStyle name="req 6 2 3 2" xfId="49271" xr:uid="{00000000-0005-0000-0000-0000E1BF0000}"/>
    <cellStyle name="req 6 2 4" xfId="49272" xr:uid="{00000000-0005-0000-0000-0000E2BF0000}"/>
    <cellStyle name="req 6 2 5" xfId="49273" xr:uid="{00000000-0005-0000-0000-0000E3BF0000}"/>
    <cellStyle name="req 6 3" xfId="49274" xr:uid="{00000000-0005-0000-0000-0000E4BF0000}"/>
    <cellStyle name="req 6 3 2" xfId="49275" xr:uid="{00000000-0005-0000-0000-0000E5BF0000}"/>
    <cellStyle name="req 6 4" xfId="49276" xr:uid="{00000000-0005-0000-0000-0000E6BF0000}"/>
    <cellStyle name="req 6 4 2" xfId="49277" xr:uid="{00000000-0005-0000-0000-0000E7BF0000}"/>
    <cellStyle name="req 6 5" xfId="49278" xr:uid="{00000000-0005-0000-0000-0000E8BF0000}"/>
    <cellStyle name="req 6 6" xfId="49279" xr:uid="{00000000-0005-0000-0000-0000E9BF0000}"/>
    <cellStyle name="req 7" xfId="49280" xr:uid="{00000000-0005-0000-0000-0000EABF0000}"/>
    <cellStyle name="req 7 2" xfId="49281" xr:uid="{00000000-0005-0000-0000-0000EBBF0000}"/>
    <cellStyle name="req 8" xfId="49282" xr:uid="{00000000-0005-0000-0000-0000ECBF0000}"/>
    <cellStyle name="req 8 2" xfId="49283" xr:uid="{00000000-0005-0000-0000-0000EDBF0000}"/>
    <cellStyle name="req 9" xfId="49284" xr:uid="{00000000-0005-0000-0000-0000EEBF0000}"/>
    <cellStyle name="Result" xfId="149" xr:uid="{00000000-0005-0000-0000-0000EFBF0000}"/>
    <cellStyle name="Result 2" xfId="49285" xr:uid="{00000000-0005-0000-0000-0000F0BF0000}"/>
    <cellStyle name="Result 2 2" xfId="49286" xr:uid="{00000000-0005-0000-0000-0000F1BF0000}"/>
    <cellStyle name="Result 3" xfId="49287" xr:uid="{00000000-0005-0000-0000-0000F2BF0000}"/>
    <cellStyle name="Result 3 2" xfId="49288" xr:uid="{00000000-0005-0000-0000-0000F3BF0000}"/>
    <cellStyle name="Result 4" xfId="49289" xr:uid="{00000000-0005-0000-0000-0000F4BF0000}"/>
    <cellStyle name="Result 4 2" xfId="49290" xr:uid="{00000000-0005-0000-0000-0000F5BF0000}"/>
    <cellStyle name="Separador de milhares [0]_PLDT" xfId="150" xr:uid="{00000000-0005-0000-0000-0000F6BF0000}"/>
    <cellStyle name="Separador de milhares_PLDT" xfId="151" xr:uid="{00000000-0005-0000-0000-0000F7BF0000}"/>
    <cellStyle name="Standard_30584A-B" xfId="49291" xr:uid="{00000000-0005-0000-0000-0000F8BF0000}"/>
    <cellStyle name="subhead" xfId="49292" xr:uid="{00000000-0005-0000-0000-0000F9BF0000}"/>
    <cellStyle name="subhead 2" xfId="49293" xr:uid="{00000000-0005-0000-0000-0000FABF0000}"/>
    <cellStyle name="subhead 2 2" xfId="49294" xr:uid="{00000000-0005-0000-0000-0000FBBF0000}"/>
    <cellStyle name="subhead 2 3" xfId="49295" xr:uid="{00000000-0005-0000-0000-0000FCBF0000}"/>
    <cellStyle name="subhead 2 4" xfId="49296" xr:uid="{00000000-0005-0000-0000-0000FDBF0000}"/>
    <cellStyle name="subhead 2 5" xfId="49297" xr:uid="{00000000-0005-0000-0000-0000FEBF0000}"/>
    <cellStyle name="subhead 3" xfId="49298" xr:uid="{00000000-0005-0000-0000-0000FFBF0000}"/>
    <cellStyle name="subhead 4" xfId="49299" xr:uid="{00000000-0005-0000-0000-000000C00000}"/>
    <cellStyle name="subhead 5" xfId="49300" xr:uid="{00000000-0005-0000-0000-000001C00000}"/>
    <cellStyle name="subhead 6" xfId="49301" xr:uid="{00000000-0005-0000-0000-000002C00000}"/>
    <cellStyle name="Title" xfId="49302" xr:uid="{00000000-0005-0000-0000-000003C00000}"/>
    <cellStyle name="Title 2" xfId="49303" xr:uid="{00000000-0005-0000-0000-000004C00000}"/>
    <cellStyle name="Title 2 2" xfId="49304" xr:uid="{00000000-0005-0000-0000-000005C00000}"/>
    <cellStyle name="Title 2 3" xfId="49305" xr:uid="{00000000-0005-0000-0000-000006C00000}"/>
    <cellStyle name="Title 2 4" xfId="49306" xr:uid="{00000000-0005-0000-0000-000007C00000}"/>
    <cellStyle name="Title 2 5" xfId="49307" xr:uid="{00000000-0005-0000-0000-000008C00000}"/>
    <cellStyle name="Title 3" xfId="49308" xr:uid="{00000000-0005-0000-0000-000009C00000}"/>
    <cellStyle name="Title 4" xfId="49309" xr:uid="{00000000-0005-0000-0000-00000AC00000}"/>
    <cellStyle name="Title 5" xfId="49310" xr:uid="{00000000-0005-0000-0000-00000BC00000}"/>
    <cellStyle name="Title 6" xfId="49311" xr:uid="{00000000-0005-0000-0000-00000CC00000}"/>
    <cellStyle name="Total" xfId="152" xr:uid="{00000000-0005-0000-0000-00000DC00000}"/>
    <cellStyle name="Total 2" xfId="49312" xr:uid="{00000000-0005-0000-0000-00000EC00000}"/>
    <cellStyle name="Total 2 2" xfId="49313" xr:uid="{00000000-0005-0000-0000-00000FC00000}"/>
    <cellStyle name="Total 2 2 2" xfId="49314" xr:uid="{00000000-0005-0000-0000-000010C00000}"/>
    <cellStyle name="Total 2 3" xfId="49315" xr:uid="{00000000-0005-0000-0000-000011C00000}"/>
    <cellStyle name="Total 2 3 2" xfId="49316" xr:uid="{00000000-0005-0000-0000-000012C00000}"/>
    <cellStyle name="Total 2 4" xfId="49317" xr:uid="{00000000-0005-0000-0000-000013C00000}"/>
    <cellStyle name="Total 2 5" xfId="49318" xr:uid="{00000000-0005-0000-0000-000014C00000}"/>
    <cellStyle name="Total 3" xfId="49319" xr:uid="{00000000-0005-0000-0000-000015C00000}"/>
    <cellStyle name="Total 4" xfId="49320" xr:uid="{00000000-0005-0000-0000-000016C00000}"/>
    <cellStyle name="Total 5" xfId="49321" xr:uid="{00000000-0005-0000-0000-000017C00000}"/>
    <cellStyle name="Total 6" xfId="49322" xr:uid="{00000000-0005-0000-0000-000018C00000}"/>
    <cellStyle name="Total 7" xfId="49323" xr:uid="{00000000-0005-0000-0000-000019C00000}"/>
    <cellStyle name="Total 8" xfId="49324" xr:uid="{00000000-0005-0000-0000-00001AC00000}"/>
    <cellStyle name="Total 9" xfId="49325" xr:uid="{00000000-0005-0000-0000-00001BC00000}"/>
    <cellStyle name="Valuta (0)_alkila" xfId="49326" xr:uid="{00000000-0005-0000-0000-00001CC00000}"/>
    <cellStyle name="Valuta_alkila" xfId="49327" xr:uid="{00000000-0005-0000-0000-00001DC00000}"/>
    <cellStyle name="W?rung [0]_laroux" xfId="49328" xr:uid="{00000000-0005-0000-0000-00001EC00000}"/>
    <cellStyle name="W?rung_laroux" xfId="49329" xr:uid="{00000000-0005-0000-0000-00001FC00000}"/>
    <cellStyle name="Währung [0]_20631" xfId="49330" xr:uid="{00000000-0005-0000-0000-000020C00000}"/>
    <cellStyle name="Währung_20631" xfId="49331" xr:uid="{00000000-0005-0000-0000-000021C00000}"/>
    <cellStyle name="Warning Text" xfId="49332" xr:uid="{00000000-0005-0000-0000-000022C00000}"/>
    <cellStyle name="Warning Text 2" xfId="49333" xr:uid="{00000000-0005-0000-0000-000023C00000}"/>
    <cellStyle name="Warning Text 2 2" xfId="49334" xr:uid="{00000000-0005-0000-0000-000024C00000}"/>
    <cellStyle name="Warning Text 2 3" xfId="49335" xr:uid="{00000000-0005-0000-0000-000025C00000}"/>
    <cellStyle name="Warning Text 2 4" xfId="49336" xr:uid="{00000000-0005-0000-0000-000026C00000}"/>
    <cellStyle name="Warning Text 2 5" xfId="49337" xr:uid="{00000000-0005-0000-0000-000027C00000}"/>
    <cellStyle name="Warning Text 3" xfId="49338" xr:uid="{00000000-0005-0000-0000-000028C00000}"/>
    <cellStyle name="Warning Text 4" xfId="49339" xr:uid="{00000000-0005-0000-0000-000029C00000}"/>
    <cellStyle name="Warning Text 5" xfId="49340" xr:uid="{00000000-0005-0000-0000-00002AC00000}"/>
    <cellStyle name="Warning Text 6" xfId="49341" xr:uid="{00000000-0005-0000-0000-00002BC00000}"/>
    <cellStyle name="腔" xfId="49342" xr:uid="{00000000-0005-0000-0000-00002CC00000}"/>
    <cellStyle name="腔 2" xfId="49343" xr:uid="{00000000-0005-0000-0000-00002DC00000}"/>
    <cellStyle name="腔 2 2" xfId="49344" xr:uid="{00000000-0005-0000-0000-00002EC00000}"/>
    <cellStyle name="腔 2 3" xfId="49345" xr:uid="{00000000-0005-0000-0000-00002FC00000}"/>
    <cellStyle name="腔 2 4" xfId="49346" xr:uid="{00000000-0005-0000-0000-000030C00000}"/>
    <cellStyle name="腔 2 5" xfId="49347" xr:uid="{00000000-0005-0000-0000-000031C00000}"/>
    <cellStyle name="腔 3" xfId="49348" xr:uid="{00000000-0005-0000-0000-000032C00000}"/>
    <cellStyle name="腔 4" xfId="49349" xr:uid="{00000000-0005-0000-0000-000033C00000}"/>
    <cellStyle name="腔 5" xfId="49350" xr:uid="{00000000-0005-0000-0000-000034C00000}"/>
    <cellStyle name="腔 6" xfId="49351" xr:uid="{00000000-0005-0000-0000-000035C00000}"/>
    <cellStyle name="강조색1 2" xfId="49352" xr:uid="{00000000-0005-0000-0000-000036C00000}"/>
    <cellStyle name="강조색1 2 2" xfId="49353" xr:uid="{00000000-0005-0000-0000-000037C00000}"/>
    <cellStyle name="강조색1 2 2 2" xfId="49354" xr:uid="{00000000-0005-0000-0000-000038C00000}"/>
    <cellStyle name="강조색1 2 2 2 2" xfId="49355" xr:uid="{00000000-0005-0000-0000-000039C00000}"/>
    <cellStyle name="강조색1 2 2 2 3" xfId="49356" xr:uid="{00000000-0005-0000-0000-00003AC00000}"/>
    <cellStyle name="강조색1 2 2 2 4" xfId="49357" xr:uid="{00000000-0005-0000-0000-00003BC00000}"/>
    <cellStyle name="강조색1 2 2 3" xfId="49358" xr:uid="{00000000-0005-0000-0000-00003CC00000}"/>
    <cellStyle name="강조색1 2 2 4" xfId="49359" xr:uid="{00000000-0005-0000-0000-00003DC00000}"/>
    <cellStyle name="강조색1 2 2 5" xfId="49360" xr:uid="{00000000-0005-0000-0000-00003EC00000}"/>
    <cellStyle name="강조색1 2 2 6" xfId="49361" xr:uid="{00000000-0005-0000-0000-00003FC00000}"/>
    <cellStyle name="강조색1 2 3" xfId="49362" xr:uid="{00000000-0005-0000-0000-000040C00000}"/>
    <cellStyle name="강조색1 2 4" xfId="49363" xr:uid="{00000000-0005-0000-0000-000041C00000}"/>
    <cellStyle name="강조색1 2 5" xfId="49364" xr:uid="{00000000-0005-0000-0000-000042C00000}"/>
    <cellStyle name="강조색1 2 6" xfId="49365" xr:uid="{00000000-0005-0000-0000-000043C00000}"/>
    <cellStyle name="강조색1 3" xfId="49366" xr:uid="{00000000-0005-0000-0000-000044C00000}"/>
    <cellStyle name="강조색1 4" xfId="49367" xr:uid="{00000000-0005-0000-0000-000045C00000}"/>
    <cellStyle name="강조색1 5" xfId="49368" xr:uid="{00000000-0005-0000-0000-000046C00000}"/>
    <cellStyle name="강조색1 6" xfId="49369" xr:uid="{00000000-0005-0000-0000-000047C00000}"/>
    <cellStyle name="강조색2 2" xfId="49370" xr:uid="{00000000-0005-0000-0000-000048C00000}"/>
    <cellStyle name="강조색2 2 2" xfId="49371" xr:uid="{00000000-0005-0000-0000-000049C00000}"/>
    <cellStyle name="강조색2 2 2 2" xfId="49372" xr:uid="{00000000-0005-0000-0000-00004AC00000}"/>
    <cellStyle name="강조색2 2 2 2 2" xfId="49373" xr:uid="{00000000-0005-0000-0000-00004BC00000}"/>
    <cellStyle name="강조색2 2 2 2 3" xfId="49374" xr:uid="{00000000-0005-0000-0000-00004CC00000}"/>
    <cellStyle name="강조색2 2 2 2 4" xfId="49375" xr:uid="{00000000-0005-0000-0000-00004DC00000}"/>
    <cellStyle name="강조색2 2 2 3" xfId="49376" xr:uid="{00000000-0005-0000-0000-00004EC00000}"/>
    <cellStyle name="강조색2 2 2 4" xfId="49377" xr:uid="{00000000-0005-0000-0000-00004FC00000}"/>
    <cellStyle name="강조색2 2 2 5" xfId="49378" xr:uid="{00000000-0005-0000-0000-000050C00000}"/>
    <cellStyle name="강조색2 2 2 6" xfId="49379" xr:uid="{00000000-0005-0000-0000-000051C00000}"/>
    <cellStyle name="강조색2 2 3" xfId="49380" xr:uid="{00000000-0005-0000-0000-000052C00000}"/>
    <cellStyle name="강조색2 2 4" xfId="49381" xr:uid="{00000000-0005-0000-0000-000053C00000}"/>
    <cellStyle name="강조색2 2 5" xfId="49382" xr:uid="{00000000-0005-0000-0000-000054C00000}"/>
    <cellStyle name="강조색2 2 6" xfId="49383" xr:uid="{00000000-0005-0000-0000-000055C00000}"/>
    <cellStyle name="강조색2 3" xfId="49384" xr:uid="{00000000-0005-0000-0000-000056C00000}"/>
    <cellStyle name="강조색2 4" xfId="49385" xr:uid="{00000000-0005-0000-0000-000057C00000}"/>
    <cellStyle name="강조색2 5" xfId="49386" xr:uid="{00000000-0005-0000-0000-000058C00000}"/>
    <cellStyle name="강조색2 6" xfId="49387" xr:uid="{00000000-0005-0000-0000-000059C00000}"/>
    <cellStyle name="강조색3 2" xfId="49388" xr:uid="{00000000-0005-0000-0000-00005AC00000}"/>
    <cellStyle name="강조색3 2 2" xfId="49389" xr:uid="{00000000-0005-0000-0000-00005BC00000}"/>
    <cellStyle name="강조색3 2 2 2" xfId="49390" xr:uid="{00000000-0005-0000-0000-00005CC00000}"/>
    <cellStyle name="강조색3 2 2 2 2" xfId="49391" xr:uid="{00000000-0005-0000-0000-00005DC00000}"/>
    <cellStyle name="강조색3 2 2 2 3" xfId="49392" xr:uid="{00000000-0005-0000-0000-00005EC00000}"/>
    <cellStyle name="강조색3 2 2 2 4" xfId="49393" xr:uid="{00000000-0005-0000-0000-00005FC00000}"/>
    <cellStyle name="강조색3 2 2 3" xfId="49394" xr:uid="{00000000-0005-0000-0000-000060C00000}"/>
    <cellStyle name="강조색3 2 2 4" xfId="49395" xr:uid="{00000000-0005-0000-0000-000061C00000}"/>
    <cellStyle name="강조색3 2 2 5" xfId="49396" xr:uid="{00000000-0005-0000-0000-000062C00000}"/>
    <cellStyle name="강조색3 2 2 6" xfId="49397" xr:uid="{00000000-0005-0000-0000-000063C00000}"/>
    <cellStyle name="강조색3 2 3" xfId="49398" xr:uid="{00000000-0005-0000-0000-000064C00000}"/>
    <cellStyle name="강조색3 2 4" xfId="49399" xr:uid="{00000000-0005-0000-0000-000065C00000}"/>
    <cellStyle name="강조색3 2 5" xfId="49400" xr:uid="{00000000-0005-0000-0000-000066C00000}"/>
    <cellStyle name="강조색3 2 6" xfId="49401" xr:uid="{00000000-0005-0000-0000-000067C00000}"/>
    <cellStyle name="강조색3 3" xfId="49402" xr:uid="{00000000-0005-0000-0000-000068C00000}"/>
    <cellStyle name="강조색3 4" xfId="49403" xr:uid="{00000000-0005-0000-0000-000069C00000}"/>
    <cellStyle name="강조색3 5" xfId="49404" xr:uid="{00000000-0005-0000-0000-00006AC00000}"/>
    <cellStyle name="강조색3 6" xfId="49405" xr:uid="{00000000-0005-0000-0000-00006BC00000}"/>
    <cellStyle name="강조색4 2" xfId="49406" xr:uid="{00000000-0005-0000-0000-00006CC00000}"/>
    <cellStyle name="강조색4 2 2" xfId="49407" xr:uid="{00000000-0005-0000-0000-00006DC00000}"/>
    <cellStyle name="강조색4 2 2 2" xfId="49408" xr:uid="{00000000-0005-0000-0000-00006EC00000}"/>
    <cellStyle name="강조색4 2 2 2 2" xfId="49409" xr:uid="{00000000-0005-0000-0000-00006FC00000}"/>
    <cellStyle name="강조색4 2 2 2 3" xfId="49410" xr:uid="{00000000-0005-0000-0000-000070C00000}"/>
    <cellStyle name="강조색4 2 2 2 4" xfId="49411" xr:uid="{00000000-0005-0000-0000-000071C00000}"/>
    <cellStyle name="강조색4 2 2 3" xfId="49412" xr:uid="{00000000-0005-0000-0000-000072C00000}"/>
    <cellStyle name="강조색4 2 2 4" xfId="49413" xr:uid="{00000000-0005-0000-0000-000073C00000}"/>
    <cellStyle name="강조색4 2 2 5" xfId="49414" xr:uid="{00000000-0005-0000-0000-000074C00000}"/>
    <cellStyle name="강조색4 2 2 6" xfId="49415" xr:uid="{00000000-0005-0000-0000-000075C00000}"/>
    <cellStyle name="강조색4 2 3" xfId="49416" xr:uid="{00000000-0005-0000-0000-000076C00000}"/>
    <cellStyle name="강조색4 2 4" xfId="49417" xr:uid="{00000000-0005-0000-0000-000077C00000}"/>
    <cellStyle name="강조색4 2 5" xfId="49418" xr:uid="{00000000-0005-0000-0000-000078C00000}"/>
    <cellStyle name="강조색4 2 6" xfId="49419" xr:uid="{00000000-0005-0000-0000-000079C00000}"/>
    <cellStyle name="강조색4 3" xfId="49420" xr:uid="{00000000-0005-0000-0000-00007AC00000}"/>
    <cellStyle name="강조색4 4" xfId="49421" xr:uid="{00000000-0005-0000-0000-00007BC00000}"/>
    <cellStyle name="강조색4 5" xfId="49422" xr:uid="{00000000-0005-0000-0000-00007CC00000}"/>
    <cellStyle name="강조색4 6" xfId="49423" xr:uid="{00000000-0005-0000-0000-00007DC00000}"/>
    <cellStyle name="강조색5 2" xfId="49424" xr:uid="{00000000-0005-0000-0000-00007EC00000}"/>
    <cellStyle name="강조색5 2 2" xfId="49425" xr:uid="{00000000-0005-0000-0000-00007FC00000}"/>
    <cellStyle name="강조색5 2 2 2" xfId="49426" xr:uid="{00000000-0005-0000-0000-000080C00000}"/>
    <cellStyle name="강조색5 2 2 2 2" xfId="49427" xr:uid="{00000000-0005-0000-0000-000081C00000}"/>
    <cellStyle name="강조색5 2 2 2 3" xfId="49428" xr:uid="{00000000-0005-0000-0000-000082C00000}"/>
    <cellStyle name="강조색5 2 2 2 4" xfId="49429" xr:uid="{00000000-0005-0000-0000-000083C00000}"/>
    <cellStyle name="강조색5 2 2 3" xfId="49430" xr:uid="{00000000-0005-0000-0000-000084C00000}"/>
    <cellStyle name="강조색5 2 2 4" xfId="49431" xr:uid="{00000000-0005-0000-0000-000085C00000}"/>
    <cellStyle name="강조색5 2 2 5" xfId="49432" xr:uid="{00000000-0005-0000-0000-000086C00000}"/>
    <cellStyle name="강조색5 2 2 6" xfId="49433" xr:uid="{00000000-0005-0000-0000-000087C00000}"/>
    <cellStyle name="강조색5 2 3" xfId="49434" xr:uid="{00000000-0005-0000-0000-000088C00000}"/>
    <cellStyle name="강조색5 2 4" xfId="49435" xr:uid="{00000000-0005-0000-0000-000089C00000}"/>
    <cellStyle name="강조색5 2 5" xfId="49436" xr:uid="{00000000-0005-0000-0000-00008AC00000}"/>
    <cellStyle name="강조색5 2 6" xfId="49437" xr:uid="{00000000-0005-0000-0000-00008BC00000}"/>
    <cellStyle name="강조색5 3" xfId="49438" xr:uid="{00000000-0005-0000-0000-00008CC00000}"/>
    <cellStyle name="강조색5 4" xfId="49439" xr:uid="{00000000-0005-0000-0000-00008DC00000}"/>
    <cellStyle name="강조색5 5" xfId="49440" xr:uid="{00000000-0005-0000-0000-00008EC00000}"/>
    <cellStyle name="강조색5 6" xfId="49441" xr:uid="{00000000-0005-0000-0000-00008FC00000}"/>
    <cellStyle name="강조색6 2" xfId="49442" xr:uid="{00000000-0005-0000-0000-000090C00000}"/>
    <cellStyle name="강조색6 2 2" xfId="49443" xr:uid="{00000000-0005-0000-0000-000091C00000}"/>
    <cellStyle name="강조색6 2 2 2" xfId="49444" xr:uid="{00000000-0005-0000-0000-000092C00000}"/>
    <cellStyle name="강조색6 2 2 2 2" xfId="49445" xr:uid="{00000000-0005-0000-0000-000093C00000}"/>
    <cellStyle name="강조색6 2 2 2 3" xfId="49446" xr:uid="{00000000-0005-0000-0000-000094C00000}"/>
    <cellStyle name="강조색6 2 2 2 4" xfId="49447" xr:uid="{00000000-0005-0000-0000-000095C00000}"/>
    <cellStyle name="강조색6 2 2 3" xfId="49448" xr:uid="{00000000-0005-0000-0000-000096C00000}"/>
    <cellStyle name="강조색6 2 2 4" xfId="49449" xr:uid="{00000000-0005-0000-0000-000097C00000}"/>
    <cellStyle name="강조색6 2 2 5" xfId="49450" xr:uid="{00000000-0005-0000-0000-000098C00000}"/>
    <cellStyle name="강조색6 2 2 6" xfId="49451" xr:uid="{00000000-0005-0000-0000-000099C00000}"/>
    <cellStyle name="강조색6 2 3" xfId="49452" xr:uid="{00000000-0005-0000-0000-00009AC00000}"/>
    <cellStyle name="강조색6 2 4" xfId="49453" xr:uid="{00000000-0005-0000-0000-00009BC00000}"/>
    <cellStyle name="강조색6 2 5" xfId="49454" xr:uid="{00000000-0005-0000-0000-00009CC00000}"/>
    <cellStyle name="강조색6 2 6" xfId="49455" xr:uid="{00000000-0005-0000-0000-00009DC00000}"/>
    <cellStyle name="강조색6 3" xfId="49456" xr:uid="{00000000-0005-0000-0000-00009EC00000}"/>
    <cellStyle name="강조색6 4" xfId="49457" xr:uid="{00000000-0005-0000-0000-00009FC00000}"/>
    <cellStyle name="강조색6 5" xfId="49458" xr:uid="{00000000-0005-0000-0000-0000A0C00000}"/>
    <cellStyle name="강조색6 6" xfId="49459" xr:uid="{00000000-0005-0000-0000-0000A1C00000}"/>
    <cellStyle name="갬" xfId="49460" xr:uid="{00000000-0005-0000-0000-0000A2C00000}"/>
    <cellStyle name="갬 2" xfId="49461" xr:uid="{00000000-0005-0000-0000-0000A3C00000}"/>
    <cellStyle name="갬 2 2" xfId="49462" xr:uid="{00000000-0005-0000-0000-0000A4C00000}"/>
    <cellStyle name="갬 2 3" xfId="49463" xr:uid="{00000000-0005-0000-0000-0000A5C00000}"/>
    <cellStyle name="갬 2 4" xfId="49464" xr:uid="{00000000-0005-0000-0000-0000A6C00000}"/>
    <cellStyle name="갬 2 5" xfId="49465" xr:uid="{00000000-0005-0000-0000-0000A7C00000}"/>
    <cellStyle name="갬 3" xfId="49466" xr:uid="{00000000-0005-0000-0000-0000A8C00000}"/>
    <cellStyle name="갬 4" xfId="49467" xr:uid="{00000000-0005-0000-0000-0000A9C00000}"/>
    <cellStyle name="갬 5" xfId="49468" xr:uid="{00000000-0005-0000-0000-0000AAC00000}"/>
    <cellStyle name="갬 6" xfId="49469" xr:uid="{00000000-0005-0000-0000-0000ABC00000}"/>
    <cellStyle name="경고문 2" xfId="49470" xr:uid="{00000000-0005-0000-0000-0000ACC00000}"/>
    <cellStyle name="경고문 2 2" xfId="49471" xr:uid="{00000000-0005-0000-0000-0000ADC00000}"/>
    <cellStyle name="경고문 2 2 2" xfId="49472" xr:uid="{00000000-0005-0000-0000-0000AEC00000}"/>
    <cellStyle name="경고문 2 2 2 2" xfId="49473" xr:uid="{00000000-0005-0000-0000-0000AFC00000}"/>
    <cellStyle name="경고문 2 2 2 3" xfId="49474" xr:uid="{00000000-0005-0000-0000-0000B0C00000}"/>
    <cellStyle name="경고문 2 2 2 4" xfId="49475" xr:uid="{00000000-0005-0000-0000-0000B1C00000}"/>
    <cellStyle name="경고문 2 2 3" xfId="49476" xr:uid="{00000000-0005-0000-0000-0000B2C00000}"/>
    <cellStyle name="경고문 2 2 4" xfId="49477" xr:uid="{00000000-0005-0000-0000-0000B3C00000}"/>
    <cellStyle name="경고문 2 2 5" xfId="49478" xr:uid="{00000000-0005-0000-0000-0000B4C00000}"/>
    <cellStyle name="경고문 2 2 6" xfId="49479" xr:uid="{00000000-0005-0000-0000-0000B5C00000}"/>
    <cellStyle name="경고문 2 3" xfId="49480" xr:uid="{00000000-0005-0000-0000-0000B6C00000}"/>
    <cellStyle name="경고문 2 4" xfId="49481" xr:uid="{00000000-0005-0000-0000-0000B7C00000}"/>
    <cellStyle name="경고문 2 5" xfId="49482" xr:uid="{00000000-0005-0000-0000-0000B8C00000}"/>
    <cellStyle name="경고문 2 6" xfId="49483" xr:uid="{00000000-0005-0000-0000-0000B9C00000}"/>
    <cellStyle name="경고문 3" xfId="49484" xr:uid="{00000000-0005-0000-0000-0000BAC00000}"/>
    <cellStyle name="경고문 4" xfId="49485" xr:uid="{00000000-0005-0000-0000-0000BBC00000}"/>
    <cellStyle name="경고문 5" xfId="49486" xr:uid="{00000000-0005-0000-0000-0000BCC00000}"/>
    <cellStyle name="경고문 6" xfId="49487" xr:uid="{00000000-0005-0000-0000-0000BDC00000}"/>
    <cellStyle name="계산 2" xfId="49488" xr:uid="{00000000-0005-0000-0000-0000BEC00000}"/>
    <cellStyle name="계산 2 2" xfId="49489" xr:uid="{00000000-0005-0000-0000-0000BFC00000}"/>
    <cellStyle name="계산 2 2 2" xfId="49490" xr:uid="{00000000-0005-0000-0000-0000C0C00000}"/>
    <cellStyle name="계산 2 2 2 2" xfId="49491" xr:uid="{00000000-0005-0000-0000-0000C1C00000}"/>
    <cellStyle name="계산 2 2 2 2 2" xfId="49492" xr:uid="{00000000-0005-0000-0000-0000C2C00000}"/>
    <cellStyle name="계산 2 2 2 3" xfId="49493" xr:uid="{00000000-0005-0000-0000-0000C3C00000}"/>
    <cellStyle name="계산 2 2 2 3 2" xfId="49494" xr:uid="{00000000-0005-0000-0000-0000C4C00000}"/>
    <cellStyle name="계산 2 2 2 4" xfId="49495" xr:uid="{00000000-0005-0000-0000-0000C5C00000}"/>
    <cellStyle name="계산 2 2 3" xfId="49496" xr:uid="{00000000-0005-0000-0000-0000C6C00000}"/>
    <cellStyle name="계산 2 2 3 2" xfId="49497" xr:uid="{00000000-0005-0000-0000-0000C7C00000}"/>
    <cellStyle name="계산 2 2 4" xfId="49498" xr:uid="{00000000-0005-0000-0000-0000C8C00000}"/>
    <cellStyle name="계산 2 2 4 2" xfId="49499" xr:uid="{00000000-0005-0000-0000-0000C9C00000}"/>
    <cellStyle name="계산 2 2 5" xfId="49500" xr:uid="{00000000-0005-0000-0000-0000CAC00000}"/>
    <cellStyle name="계산 2 2 6" xfId="49501" xr:uid="{00000000-0005-0000-0000-0000CBC00000}"/>
    <cellStyle name="계산 2 2 7" xfId="49502" xr:uid="{00000000-0005-0000-0000-0000CCC00000}"/>
    <cellStyle name="계산 2 3" xfId="49503" xr:uid="{00000000-0005-0000-0000-0000CDC00000}"/>
    <cellStyle name="계산 2 3 2" xfId="49504" xr:uid="{00000000-0005-0000-0000-0000CEC00000}"/>
    <cellStyle name="계산 2 4" xfId="49505" xr:uid="{00000000-0005-0000-0000-0000CFC00000}"/>
    <cellStyle name="계산 2 4 2" xfId="49506" xr:uid="{00000000-0005-0000-0000-0000D0C00000}"/>
    <cellStyle name="계산 2 5" xfId="49507" xr:uid="{00000000-0005-0000-0000-0000D1C00000}"/>
    <cellStyle name="계산 2 6" xfId="49508" xr:uid="{00000000-0005-0000-0000-0000D2C00000}"/>
    <cellStyle name="계산 2 7" xfId="49509" xr:uid="{00000000-0005-0000-0000-0000D3C00000}"/>
    <cellStyle name="계산 3" xfId="49510" xr:uid="{00000000-0005-0000-0000-0000D4C00000}"/>
    <cellStyle name="계산 4" xfId="49511" xr:uid="{00000000-0005-0000-0000-0000D5C00000}"/>
    <cellStyle name="계산 5" xfId="49512" xr:uid="{00000000-0005-0000-0000-0000D6C00000}"/>
    <cellStyle name="계산 6" xfId="49513" xr:uid="{00000000-0005-0000-0000-0000D7C00000}"/>
    <cellStyle name="고정소숫점" xfId="49514" xr:uid="{00000000-0005-0000-0000-0000D8C00000}"/>
    <cellStyle name="고정소숫점 2" xfId="49515" xr:uid="{00000000-0005-0000-0000-0000D9C00000}"/>
    <cellStyle name="고정소숫점 2 2" xfId="49516" xr:uid="{00000000-0005-0000-0000-0000DAC00000}"/>
    <cellStyle name="고정소숫점 2 3" xfId="49517" xr:uid="{00000000-0005-0000-0000-0000DBC00000}"/>
    <cellStyle name="고정소숫점 2 4" xfId="49518" xr:uid="{00000000-0005-0000-0000-0000DCC00000}"/>
    <cellStyle name="고정소숫점 3" xfId="49519" xr:uid="{00000000-0005-0000-0000-0000DDC00000}"/>
    <cellStyle name="고정소숫점 4" xfId="49520" xr:uid="{00000000-0005-0000-0000-0000DEC00000}"/>
    <cellStyle name="고정소숫점 5" xfId="49521" xr:uid="{00000000-0005-0000-0000-0000DFC00000}"/>
    <cellStyle name="고정소숫점 6" xfId="49522" xr:uid="{00000000-0005-0000-0000-0000E0C00000}"/>
    <cellStyle name="고정출력1" xfId="49523" xr:uid="{00000000-0005-0000-0000-0000E1C00000}"/>
    <cellStyle name="고정출력1 10" xfId="49524" xr:uid="{00000000-0005-0000-0000-0000E2C00000}"/>
    <cellStyle name="고정출력1 11" xfId="49525" xr:uid="{00000000-0005-0000-0000-0000E3C00000}"/>
    <cellStyle name="고정출력1 12" xfId="49526" xr:uid="{00000000-0005-0000-0000-0000E4C00000}"/>
    <cellStyle name="고정출력1 13" xfId="49527" xr:uid="{00000000-0005-0000-0000-0000E5C00000}"/>
    <cellStyle name="고정출력1 14" xfId="49528" xr:uid="{00000000-0005-0000-0000-0000E6C00000}"/>
    <cellStyle name="고정출력1 15" xfId="49529" xr:uid="{00000000-0005-0000-0000-0000E7C00000}"/>
    <cellStyle name="고정출력1 16" xfId="49530" xr:uid="{00000000-0005-0000-0000-0000E8C00000}"/>
    <cellStyle name="고정출력1 17" xfId="49531" xr:uid="{00000000-0005-0000-0000-0000E9C00000}"/>
    <cellStyle name="고정출력1 18" xfId="49532" xr:uid="{00000000-0005-0000-0000-0000EAC00000}"/>
    <cellStyle name="고정출력1 19" xfId="49533" xr:uid="{00000000-0005-0000-0000-0000EBC00000}"/>
    <cellStyle name="고정출력1 2" xfId="49534" xr:uid="{00000000-0005-0000-0000-0000ECC00000}"/>
    <cellStyle name="고정출력1 2 2" xfId="49535" xr:uid="{00000000-0005-0000-0000-0000EDC00000}"/>
    <cellStyle name="고정출력1 2 3" xfId="49536" xr:uid="{00000000-0005-0000-0000-0000EEC00000}"/>
    <cellStyle name="고정출력1 2 4" xfId="49537" xr:uid="{00000000-0005-0000-0000-0000EFC00000}"/>
    <cellStyle name="고정출력1 2 5" xfId="49538" xr:uid="{00000000-0005-0000-0000-0000F0C00000}"/>
    <cellStyle name="고정출력1 20" xfId="49539" xr:uid="{00000000-0005-0000-0000-0000F1C00000}"/>
    <cellStyle name="고정출력1 21" xfId="49540" xr:uid="{00000000-0005-0000-0000-0000F2C00000}"/>
    <cellStyle name="고정출력1 22" xfId="49541" xr:uid="{00000000-0005-0000-0000-0000F3C00000}"/>
    <cellStyle name="고정출력1 23" xfId="49542" xr:uid="{00000000-0005-0000-0000-0000F4C00000}"/>
    <cellStyle name="고정출력1 24" xfId="49543" xr:uid="{00000000-0005-0000-0000-0000F5C00000}"/>
    <cellStyle name="고정출력1 25" xfId="49544" xr:uid="{00000000-0005-0000-0000-0000F6C00000}"/>
    <cellStyle name="고정출력1 26" xfId="49545" xr:uid="{00000000-0005-0000-0000-0000F7C00000}"/>
    <cellStyle name="고정출력1 27" xfId="49546" xr:uid="{00000000-0005-0000-0000-0000F8C00000}"/>
    <cellStyle name="고정출력1 3" xfId="49547" xr:uid="{00000000-0005-0000-0000-0000F9C00000}"/>
    <cellStyle name="고정출력1 4" xfId="49548" xr:uid="{00000000-0005-0000-0000-0000FAC00000}"/>
    <cellStyle name="고정출력1 5" xfId="49549" xr:uid="{00000000-0005-0000-0000-0000FBC00000}"/>
    <cellStyle name="고정출력1 6" xfId="49550" xr:uid="{00000000-0005-0000-0000-0000FCC00000}"/>
    <cellStyle name="고정출력1 7" xfId="49551" xr:uid="{00000000-0005-0000-0000-0000FDC00000}"/>
    <cellStyle name="고정출력1 8" xfId="49552" xr:uid="{00000000-0005-0000-0000-0000FEC00000}"/>
    <cellStyle name="고정출력1 9" xfId="49553" xr:uid="{00000000-0005-0000-0000-0000FFC00000}"/>
    <cellStyle name="고정출력2" xfId="49554" xr:uid="{00000000-0005-0000-0000-000000C10000}"/>
    <cellStyle name="고정출력2 10" xfId="49555" xr:uid="{00000000-0005-0000-0000-000001C10000}"/>
    <cellStyle name="고정출력2 11" xfId="49556" xr:uid="{00000000-0005-0000-0000-000002C10000}"/>
    <cellStyle name="고정출력2 12" xfId="49557" xr:uid="{00000000-0005-0000-0000-000003C10000}"/>
    <cellStyle name="고정출력2 13" xfId="49558" xr:uid="{00000000-0005-0000-0000-000004C10000}"/>
    <cellStyle name="고정출력2 14" xfId="49559" xr:uid="{00000000-0005-0000-0000-000005C10000}"/>
    <cellStyle name="고정출력2 15" xfId="49560" xr:uid="{00000000-0005-0000-0000-000006C10000}"/>
    <cellStyle name="고정출력2 16" xfId="49561" xr:uid="{00000000-0005-0000-0000-000007C10000}"/>
    <cellStyle name="고정출력2 17" xfId="49562" xr:uid="{00000000-0005-0000-0000-000008C10000}"/>
    <cellStyle name="고정출력2 18" xfId="49563" xr:uid="{00000000-0005-0000-0000-000009C10000}"/>
    <cellStyle name="고정출력2 19" xfId="49564" xr:uid="{00000000-0005-0000-0000-00000AC10000}"/>
    <cellStyle name="고정출력2 2" xfId="49565" xr:uid="{00000000-0005-0000-0000-00000BC10000}"/>
    <cellStyle name="고정출력2 2 2" xfId="49566" xr:uid="{00000000-0005-0000-0000-00000CC10000}"/>
    <cellStyle name="고정출력2 2 3" xfId="49567" xr:uid="{00000000-0005-0000-0000-00000DC10000}"/>
    <cellStyle name="고정출력2 2 4" xfId="49568" xr:uid="{00000000-0005-0000-0000-00000EC10000}"/>
    <cellStyle name="고정출력2 2 5" xfId="49569" xr:uid="{00000000-0005-0000-0000-00000FC10000}"/>
    <cellStyle name="고정출력2 20" xfId="49570" xr:uid="{00000000-0005-0000-0000-000010C10000}"/>
    <cellStyle name="고정출력2 21" xfId="49571" xr:uid="{00000000-0005-0000-0000-000011C10000}"/>
    <cellStyle name="고정출력2 22" xfId="49572" xr:uid="{00000000-0005-0000-0000-000012C10000}"/>
    <cellStyle name="고정출력2 23" xfId="49573" xr:uid="{00000000-0005-0000-0000-000013C10000}"/>
    <cellStyle name="고정출력2 24" xfId="49574" xr:uid="{00000000-0005-0000-0000-000014C10000}"/>
    <cellStyle name="고정출력2 25" xfId="49575" xr:uid="{00000000-0005-0000-0000-000015C10000}"/>
    <cellStyle name="고정출력2 26" xfId="49576" xr:uid="{00000000-0005-0000-0000-000016C10000}"/>
    <cellStyle name="고정출력2 27" xfId="49577" xr:uid="{00000000-0005-0000-0000-000017C10000}"/>
    <cellStyle name="고정출력2 3" xfId="49578" xr:uid="{00000000-0005-0000-0000-000018C10000}"/>
    <cellStyle name="고정출력2 4" xfId="49579" xr:uid="{00000000-0005-0000-0000-000019C10000}"/>
    <cellStyle name="고정출력2 5" xfId="49580" xr:uid="{00000000-0005-0000-0000-00001AC10000}"/>
    <cellStyle name="고정출력2 6" xfId="49581" xr:uid="{00000000-0005-0000-0000-00001BC10000}"/>
    <cellStyle name="고정출력2 7" xfId="49582" xr:uid="{00000000-0005-0000-0000-00001CC10000}"/>
    <cellStyle name="고정출력2 8" xfId="49583" xr:uid="{00000000-0005-0000-0000-00001DC10000}"/>
    <cellStyle name="고정출력2 9" xfId="49584" xr:uid="{00000000-0005-0000-0000-00001EC10000}"/>
    <cellStyle name="나쁨 2" xfId="49585" xr:uid="{00000000-0005-0000-0000-00001FC10000}"/>
    <cellStyle name="나쁨 2 2" xfId="49586" xr:uid="{00000000-0005-0000-0000-000020C10000}"/>
    <cellStyle name="나쁨 2 2 2" xfId="49587" xr:uid="{00000000-0005-0000-0000-000021C10000}"/>
    <cellStyle name="나쁨 2 2 2 2" xfId="49588" xr:uid="{00000000-0005-0000-0000-000022C10000}"/>
    <cellStyle name="나쁨 2 2 2 3" xfId="49589" xr:uid="{00000000-0005-0000-0000-000023C10000}"/>
    <cellStyle name="나쁨 2 2 2 4" xfId="49590" xr:uid="{00000000-0005-0000-0000-000024C10000}"/>
    <cellStyle name="나쁨 2 2 3" xfId="49591" xr:uid="{00000000-0005-0000-0000-000025C10000}"/>
    <cellStyle name="나쁨 2 2 4" xfId="49592" xr:uid="{00000000-0005-0000-0000-000026C10000}"/>
    <cellStyle name="나쁨 2 2 5" xfId="49593" xr:uid="{00000000-0005-0000-0000-000027C10000}"/>
    <cellStyle name="나쁨 2 2 6" xfId="49594" xr:uid="{00000000-0005-0000-0000-000028C10000}"/>
    <cellStyle name="나쁨 2 3" xfId="49595" xr:uid="{00000000-0005-0000-0000-000029C10000}"/>
    <cellStyle name="나쁨 2 4" xfId="49596" xr:uid="{00000000-0005-0000-0000-00002AC10000}"/>
    <cellStyle name="나쁨 2 5" xfId="49597" xr:uid="{00000000-0005-0000-0000-00002BC10000}"/>
    <cellStyle name="나쁨 2 6" xfId="49598" xr:uid="{00000000-0005-0000-0000-00002CC10000}"/>
    <cellStyle name="나쁨 3" xfId="49599" xr:uid="{00000000-0005-0000-0000-00002DC10000}"/>
    <cellStyle name="나쁨 4" xfId="49600" xr:uid="{00000000-0005-0000-0000-00002EC10000}"/>
    <cellStyle name="나쁨 5" xfId="49601" xr:uid="{00000000-0005-0000-0000-00002FC10000}"/>
    <cellStyle name="나쁨 6" xfId="49602" xr:uid="{00000000-0005-0000-0000-000030C10000}"/>
    <cellStyle name="날짜" xfId="49603" xr:uid="{00000000-0005-0000-0000-000031C10000}"/>
    <cellStyle name="날짜 10" xfId="49604" xr:uid="{00000000-0005-0000-0000-000032C10000}"/>
    <cellStyle name="날짜 11" xfId="49605" xr:uid="{00000000-0005-0000-0000-000033C10000}"/>
    <cellStyle name="날짜 12" xfId="49606" xr:uid="{00000000-0005-0000-0000-000034C10000}"/>
    <cellStyle name="날짜 13" xfId="49607" xr:uid="{00000000-0005-0000-0000-000035C10000}"/>
    <cellStyle name="날짜 14" xfId="49608" xr:uid="{00000000-0005-0000-0000-000036C10000}"/>
    <cellStyle name="날짜 15" xfId="49609" xr:uid="{00000000-0005-0000-0000-000037C10000}"/>
    <cellStyle name="날짜 16" xfId="49610" xr:uid="{00000000-0005-0000-0000-000038C10000}"/>
    <cellStyle name="날짜 17" xfId="49611" xr:uid="{00000000-0005-0000-0000-000039C10000}"/>
    <cellStyle name="날짜 18" xfId="49612" xr:uid="{00000000-0005-0000-0000-00003AC10000}"/>
    <cellStyle name="날짜 19" xfId="49613" xr:uid="{00000000-0005-0000-0000-00003BC10000}"/>
    <cellStyle name="날짜 2" xfId="49614" xr:uid="{00000000-0005-0000-0000-00003CC10000}"/>
    <cellStyle name="날짜 2 2" xfId="49615" xr:uid="{00000000-0005-0000-0000-00003DC10000}"/>
    <cellStyle name="날짜 2 3" xfId="49616" xr:uid="{00000000-0005-0000-0000-00003EC10000}"/>
    <cellStyle name="날짜 2 4" xfId="49617" xr:uid="{00000000-0005-0000-0000-00003FC10000}"/>
    <cellStyle name="날짜 2 5" xfId="49618" xr:uid="{00000000-0005-0000-0000-000040C10000}"/>
    <cellStyle name="날짜 20" xfId="49619" xr:uid="{00000000-0005-0000-0000-000041C10000}"/>
    <cellStyle name="날짜 21" xfId="49620" xr:uid="{00000000-0005-0000-0000-000042C10000}"/>
    <cellStyle name="날짜 22" xfId="49621" xr:uid="{00000000-0005-0000-0000-000043C10000}"/>
    <cellStyle name="날짜 23" xfId="49622" xr:uid="{00000000-0005-0000-0000-000044C10000}"/>
    <cellStyle name="날짜 24" xfId="49623" xr:uid="{00000000-0005-0000-0000-000045C10000}"/>
    <cellStyle name="날짜 25" xfId="49624" xr:uid="{00000000-0005-0000-0000-000046C10000}"/>
    <cellStyle name="날짜 26" xfId="49625" xr:uid="{00000000-0005-0000-0000-000047C10000}"/>
    <cellStyle name="날짜 27" xfId="49626" xr:uid="{00000000-0005-0000-0000-000048C10000}"/>
    <cellStyle name="날짜 3" xfId="49627" xr:uid="{00000000-0005-0000-0000-000049C10000}"/>
    <cellStyle name="날짜 4" xfId="49628" xr:uid="{00000000-0005-0000-0000-00004AC10000}"/>
    <cellStyle name="날짜 5" xfId="49629" xr:uid="{00000000-0005-0000-0000-00004BC10000}"/>
    <cellStyle name="날짜 6" xfId="49630" xr:uid="{00000000-0005-0000-0000-00004CC10000}"/>
    <cellStyle name="날짜 7" xfId="49631" xr:uid="{00000000-0005-0000-0000-00004DC10000}"/>
    <cellStyle name="날짜 8" xfId="49632" xr:uid="{00000000-0005-0000-0000-00004EC10000}"/>
    <cellStyle name="날짜 9" xfId="49633" xr:uid="{00000000-0005-0000-0000-00004FC10000}"/>
    <cellStyle name="달러" xfId="49634" xr:uid="{00000000-0005-0000-0000-000050C10000}"/>
    <cellStyle name="달러 10" xfId="49635" xr:uid="{00000000-0005-0000-0000-000051C10000}"/>
    <cellStyle name="달러 11" xfId="49636" xr:uid="{00000000-0005-0000-0000-000052C10000}"/>
    <cellStyle name="달러 12" xfId="49637" xr:uid="{00000000-0005-0000-0000-000053C10000}"/>
    <cellStyle name="달러 13" xfId="49638" xr:uid="{00000000-0005-0000-0000-000054C10000}"/>
    <cellStyle name="달러 14" xfId="49639" xr:uid="{00000000-0005-0000-0000-000055C10000}"/>
    <cellStyle name="달러 15" xfId="49640" xr:uid="{00000000-0005-0000-0000-000056C10000}"/>
    <cellStyle name="달러 16" xfId="49641" xr:uid="{00000000-0005-0000-0000-000057C10000}"/>
    <cellStyle name="달러 17" xfId="49642" xr:uid="{00000000-0005-0000-0000-000058C10000}"/>
    <cellStyle name="달러 18" xfId="49643" xr:uid="{00000000-0005-0000-0000-000059C10000}"/>
    <cellStyle name="달러 19" xfId="49644" xr:uid="{00000000-0005-0000-0000-00005AC10000}"/>
    <cellStyle name="달러 2" xfId="49645" xr:uid="{00000000-0005-0000-0000-00005BC10000}"/>
    <cellStyle name="달러 2 2" xfId="49646" xr:uid="{00000000-0005-0000-0000-00005CC10000}"/>
    <cellStyle name="달러 2 3" xfId="49647" xr:uid="{00000000-0005-0000-0000-00005DC10000}"/>
    <cellStyle name="달러 2 4" xfId="49648" xr:uid="{00000000-0005-0000-0000-00005EC10000}"/>
    <cellStyle name="달러 2 5" xfId="49649" xr:uid="{00000000-0005-0000-0000-00005FC10000}"/>
    <cellStyle name="달러 20" xfId="49650" xr:uid="{00000000-0005-0000-0000-000060C10000}"/>
    <cellStyle name="달러 21" xfId="49651" xr:uid="{00000000-0005-0000-0000-000061C10000}"/>
    <cellStyle name="달러 22" xfId="49652" xr:uid="{00000000-0005-0000-0000-000062C10000}"/>
    <cellStyle name="달러 23" xfId="49653" xr:uid="{00000000-0005-0000-0000-000063C10000}"/>
    <cellStyle name="달러 24" xfId="49654" xr:uid="{00000000-0005-0000-0000-000064C10000}"/>
    <cellStyle name="달러 25" xfId="49655" xr:uid="{00000000-0005-0000-0000-000065C10000}"/>
    <cellStyle name="달러 26" xfId="49656" xr:uid="{00000000-0005-0000-0000-000066C10000}"/>
    <cellStyle name="달러 27" xfId="49657" xr:uid="{00000000-0005-0000-0000-000067C10000}"/>
    <cellStyle name="달러 3" xfId="49658" xr:uid="{00000000-0005-0000-0000-000068C10000}"/>
    <cellStyle name="달러 4" xfId="49659" xr:uid="{00000000-0005-0000-0000-000069C10000}"/>
    <cellStyle name="달러 5" xfId="49660" xr:uid="{00000000-0005-0000-0000-00006AC10000}"/>
    <cellStyle name="달러 6" xfId="49661" xr:uid="{00000000-0005-0000-0000-00006BC10000}"/>
    <cellStyle name="달러 7" xfId="49662" xr:uid="{00000000-0005-0000-0000-00006CC10000}"/>
    <cellStyle name="달러 8" xfId="49663" xr:uid="{00000000-0005-0000-0000-00006DC10000}"/>
    <cellStyle name="달러 9" xfId="49664" xr:uid="{00000000-0005-0000-0000-00006EC10000}"/>
    <cellStyle name="뒤에 오는 하이퍼링크" xfId="49665" xr:uid="{00000000-0005-0000-0000-00006FC10000}"/>
    <cellStyle name="뒤에 오는 하이퍼링크 2" xfId="49666" xr:uid="{00000000-0005-0000-0000-000070C10000}"/>
    <cellStyle name="뒤에 오는 하이퍼링크 2 2" xfId="49667" xr:uid="{00000000-0005-0000-0000-000071C10000}"/>
    <cellStyle name="뒤에 오는 하이퍼링크 2 3" xfId="49668" xr:uid="{00000000-0005-0000-0000-000072C10000}"/>
    <cellStyle name="뒤에 오는 하이퍼링크 2 4" xfId="49669" xr:uid="{00000000-0005-0000-0000-000073C10000}"/>
    <cellStyle name="뒤에 오는 하이퍼링크 2 5" xfId="49670" xr:uid="{00000000-0005-0000-0000-000074C10000}"/>
    <cellStyle name="뒤에 오는 하이퍼링크 3" xfId="49671" xr:uid="{00000000-0005-0000-0000-000075C10000}"/>
    <cellStyle name="뒤에 오는 하이퍼링크 4" xfId="49672" xr:uid="{00000000-0005-0000-0000-000076C10000}"/>
    <cellStyle name="뒤에 오는 하이퍼링크 5" xfId="49673" xr:uid="{00000000-0005-0000-0000-000077C10000}"/>
    <cellStyle name="뒤에 오는 하이퍼링크 6" xfId="49674" xr:uid="{00000000-0005-0000-0000-000078C10000}"/>
    <cellStyle name="똿뗦먛귟 [0.00]_PRODUCT DETAIL Q1" xfId="49675" xr:uid="{00000000-0005-0000-0000-000079C10000}"/>
    <cellStyle name="똿뗦먛귟_PRODUCT DETAIL Q1" xfId="49676" xr:uid="{00000000-0005-0000-0000-00007AC10000}"/>
    <cellStyle name="메모 2" xfId="49677" xr:uid="{00000000-0005-0000-0000-00007BC10000}"/>
    <cellStyle name="메모 2 2" xfId="49678" xr:uid="{00000000-0005-0000-0000-00007CC10000}"/>
    <cellStyle name="메모 2 2 2" xfId="49679" xr:uid="{00000000-0005-0000-0000-00007DC10000}"/>
    <cellStyle name="메모 2 2 2 2" xfId="49680" xr:uid="{00000000-0005-0000-0000-00007EC10000}"/>
    <cellStyle name="메모 2 2 2 2 2" xfId="49681" xr:uid="{00000000-0005-0000-0000-00007FC10000}"/>
    <cellStyle name="메모 2 2 2 3" xfId="49682" xr:uid="{00000000-0005-0000-0000-000080C10000}"/>
    <cellStyle name="메모 2 2 2 3 2" xfId="49683" xr:uid="{00000000-0005-0000-0000-000081C10000}"/>
    <cellStyle name="메모 2 2 2 4" xfId="49684" xr:uid="{00000000-0005-0000-0000-000082C10000}"/>
    <cellStyle name="메모 2 2 3" xfId="49685" xr:uid="{00000000-0005-0000-0000-000083C10000}"/>
    <cellStyle name="메모 2 2 3 2" xfId="49686" xr:uid="{00000000-0005-0000-0000-000084C10000}"/>
    <cellStyle name="메모 2 2 4" xfId="49687" xr:uid="{00000000-0005-0000-0000-000085C10000}"/>
    <cellStyle name="메모 2 2 4 2" xfId="49688" xr:uid="{00000000-0005-0000-0000-000086C10000}"/>
    <cellStyle name="메모 2 2 5" xfId="49689" xr:uid="{00000000-0005-0000-0000-000087C10000}"/>
    <cellStyle name="메모 2 2 6" xfId="49690" xr:uid="{00000000-0005-0000-0000-000088C10000}"/>
    <cellStyle name="메모 2 2 7" xfId="49691" xr:uid="{00000000-0005-0000-0000-000089C10000}"/>
    <cellStyle name="메모 2 3" xfId="49692" xr:uid="{00000000-0005-0000-0000-00008AC10000}"/>
    <cellStyle name="메모 2 3 2" xfId="49693" xr:uid="{00000000-0005-0000-0000-00008BC10000}"/>
    <cellStyle name="메모 2 4" xfId="49694" xr:uid="{00000000-0005-0000-0000-00008CC10000}"/>
    <cellStyle name="메모 2 4 2" xfId="49695" xr:uid="{00000000-0005-0000-0000-00008DC10000}"/>
    <cellStyle name="메모 2 5" xfId="49696" xr:uid="{00000000-0005-0000-0000-00008EC10000}"/>
    <cellStyle name="메모 2 6" xfId="49697" xr:uid="{00000000-0005-0000-0000-00008FC10000}"/>
    <cellStyle name="메모 2 7" xfId="49698" xr:uid="{00000000-0005-0000-0000-000090C10000}"/>
    <cellStyle name="메모 3" xfId="49699" xr:uid="{00000000-0005-0000-0000-000091C10000}"/>
    <cellStyle name="메모 4" xfId="49700" xr:uid="{00000000-0005-0000-0000-000092C10000}"/>
    <cellStyle name="메모 5" xfId="49701" xr:uid="{00000000-0005-0000-0000-000093C10000}"/>
    <cellStyle name="메모 6" xfId="49702" xr:uid="{00000000-0005-0000-0000-000094C10000}"/>
    <cellStyle name="믅됞 [0.00]_PRODUCT DETAIL Q1" xfId="49703" xr:uid="{00000000-0005-0000-0000-000095C10000}"/>
    <cellStyle name="믅됞_PRODUCT DETAIL Q1" xfId="49704" xr:uid="{00000000-0005-0000-0000-000096C10000}"/>
    <cellStyle name="백분율 2" xfId="153" xr:uid="{00000000-0005-0000-0000-000097C10000}"/>
    <cellStyle name="백분율 2 10" xfId="49705" xr:uid="{00000000-0005-0000-0000-000098C10000}"/>
    <cellStyle name="백분율 2 11" xfId="49706" xr:uid="{00000000-0005-0000-0000-000099C10000}"/>
    <cellStyle name="백분율 2 12" xfId="49707" xr:uid="{00000000-0005-0000-0000-00009AC10000}"/>
    <cellStyle name="백분율 2 13" xfId="49708" xr:uid="{00000000-0005-0000-0000-00009BC10000}"/>
    <cellStyle name="백분율 2 14" xfId="49709" xr:uid="{00000000-0005-0000-0000-00009CC10000}"/>
    <cellStyle name="백분율 2 15" xfId="52814" xr:uid="{00000000-0005-0000-0000-00009DC10000}"/>
    <cellStyle name="백분율 2 2" xfId="154" xr:uid="{00000000-0005-0000-0000-00009EC10000}"/>
    <cellStyle name="백분율 2 2 2" xfId="49710" xr:uid="{00000000-0005-0000-0000-00009FC10000}"/>
    <cellStyle name="백분율 2 2 3" xfId="49711" xr:uid="{00000000-0005-0000-0000-0000A0C10000}"/>
    <cellStyle name="백분율 2 2 4" xfId="49712" xr:uid="{00000000-0005-0000-0000-0000A1C10000}"/>
    <cellStyle name="백분율 2 2 5" xfId="49713" xr:uid="{00000000-0005-0000-0000-0000A2C10000}"/>
    <cellStyle name="백분율 2 2 6" xfId="49714" xr:uid="{00000000-0005-0000-0000-0000A3C10000}"/>
    <cellStyle name="백분율 2 3" xfId="49715" xr:uid="{00000000-0005-0000-0000-0000A4C10000}"/>
    <cellStyle name="백분율 2 3 2" xfId="49716" xr:uid="{00000000-0005-0000-0000-0000A5C10000}"/>
    <cellStyle name="백분율 2 4" xfId="49717" xr:uid="{00000000-0005-0000-0000-0000A6C10000}"/>
    <cellStyle name="백분율 2 5" xfId="49718" xr:uid="{00000000-0005-0000-0000-0000A7C10000}"/>
    <cellStyle name="백분율 2 6" xfId="49719" xr:uid="{00000000-0005-0000-0000-0000A8C10000}"/>
    <cellStyle name="백분율 2 7" xfId="49720" xr:uid="{00000000-0005-0000-0000-0000A9C10000}"/>
    <cellStyle name="백분율 2 8" xfId="49721" xr:uid="{00000000-0005-0000-0000-0000AAC10000}"/>
    <cellStyle name="백분율 2 9" xfId="49722" xr:uid="{00000000-0005-0000-0000-0000ABC10000}"/>
    <cellStyle name="백분율 3" xfId="155" xr:uid="{00000000-0005-0000-0000-0000ACC10000}"/>
    <cellStyle name="백분율 3 2" xfId="49723" xr:uid="{00000000-0005-0000-0000-0000ADC10000}"/>
    <cellStyle name="백분율 3 2 2" xfId="49724" xr:uid="{00000000-0005-0000-0000-0000AEC10000}"/>
    <cellStyle name="백분율 3 2 3" xfId="49725" xr:uid="{00000000-0005-0000-0000-0000AFC10000}"/>
    <cellStyle name="백분율 3 2 4" xfId="49726" xr:uid="{00000000-0005-0000-0000-0000B0C10000}"/>
    <cellStyle name="백분율 3 2 5" xfId="49727" xr:uid="{00000000-0005-0000-0000-0000B1C10000}"/>
    <cellStyle name="백분율 3 3" xfId="49728" xr:uid="{00000000-0005-0000-0000-0000B2C10000}"/>
    <cellStyle name="백분율 3 3 2" xfId="49729" xr:uid="{00000000-0005-0000-0000-0000B3C10000}"/>
    <cellStyle name="백분율 3 3 3" xfId="49730" xr:uid="{00000000-0005-0000-0000-0000B4C10000}"/>
    <cellStyle name="백분율 3 3 4" xfId="49731" xr:uid="{00000000-0005-0000-0000-0000B5C10000}"/>
    <cellStyle name="백분율 3 3 5" xfId="49732" xr:uid="{00000000-0005-0000-0000-0000B6C10000}"/>
    <cellStyle name="백분율 3 4" xfId="49733" xr:uid="{00000000-0005-0000-0000-0000B7C10000}"/>
    <cellStyle name="백분율 3 4 2" xfId="49734" xr:uid="{00000000-0005-0000-0000-0000B8C10000}"/>
    <cellStyle name="백분율 3 5" xfId="49735" xr:uid="{00000000-0005-0000-0000-0000B9C10000}"/>
    <cellStyle name="백분율 3 6" xfId="49736" xr:uid="{00000000-0005-0000-0000-0000BAC10000}"/>
    <cellStyle name="백분율 3 7" xfId="49737" xr:uid="{00000000-0005-0000-0000-0000BBC10000}"/>
    <cellStyle name="백분율 4" xfId="295" xr:uid="{00000000-0005-0000-0000-0000BCC10000}"/>
    <cellStyle name="백분율 4 2" xfId="49738" xr:uid="{00000000-0005-0000-0000-0000BDC10000}"/>
    <cellStyle name="백분율 4 2 2" xfId="49739" xr:uid="{00000000-0005-0000-0000-0000BEC10000}"/>
    <cellStyle name="백분율 4 2 3" xfId="49740" xr:uid="{00000000-0005-0000-0000-0000BFC10000}"/>
    <cellStyle name="백분율 4 2 4" xfId="49741" xr:uid="{00000000-0005-0000-0000-0000C0C10000}"/>
    <cellStyle name="백분율 4 2 5" xfId="49742" xr:uid="{00000000-0005-0000-0000-0000C1C10000}"/>
    <cellStyle name="백분율 4 2 6" xfId="49743" xr:uid="{00000000-0005-0000-0000-0000C2C10000}"/>
    <cellStyle name="백분율 4 3" xfId="49744" xr:uid="{00000000-0005-0000-0000-0000C3C10000}"/>
    <cellStyle name="백분율 4 4" xfId="49745" xr:uid="{00000000-0005-0000-0000-0000C4C10000}"/>
    <cellStyle name="백분율 4 5" xfId="49746" xr:uid="{00000000-0005-0000-0000-0000C5C10000}"/>
    <cellStyle name="백분율 4 6" xfId="49747" xr:uid="{00000000-0005-0000-0000-0000C6C10000}"/>
    <cellStyle name="보통 2" xfId="49748" xr:uid="{00000000-0005-0000-0000-0000C7C10000}"/>
    <cellStyle name="보통 2 2" xfId="49749" xr:uid="{00000000-0005-0000-0000-0000C8C10000}"/>
    <cellStyle name="보통 2 2 2" xfId="49750" xr:uid="{00000000-0005-0000-0000-0000C9C10000}"/>
    <cellStyle name="보통 2 2 2 2" xfId="49751" xr:uid="{00000000-0005-0000-0000-0000CAC10000}"/>
    <cellStyle name="보통 2 2 2 3" xfId="49752" xr:uid="{00000000-0005-0000-0000-0000CBC10000}"/>
    <cellStyle name="보통 2 2 2 4" xfId="49753" xr:uid="{00000000-0005-0000-0000-0000CCC10000}"/>
    <cellStyle name="보통 2 2 3" xfId="49754" xr:uid="{00000000-0005-0000-0000-0000CDC10000}"/>
    <cellStyle name="보통 2 2 4" xfId="49755" xr:uid="{00000000-0005-0000-0000-0000CEC10000}"/>
    <cellStyle name="보통 2 2 5" xfId="49756" xr:uid="{00000000-0005-0000-0000-0000CFC10000}"/>
    <cellStyle name="보통 2 2 6" xfId="49757" xr:uid="{00000000-0005-0000-0000-0000D0C10000}"/>
    <cellStyle name="보통 2 3" xfId="49758" xr:uid="{00000000-0005-0000-0000-0000D1C10000}"/>
    <cellStyle name="보통 2 4" xfId="49759" xr:uid="{00000000-0005-0000-0000-0000D2C10000}"/>
    <cellStyle name="보통 2 5" xfId="49760" xr:uid="{00000000-0005-0000-0000-0000D3C10000}"/>
    <cellStyle name="보통 2 6" xfId="49761" xr:uid="{00000000-0005-0000-0000-0000D4C10000}"/>
    <cellStyle name="보통 3" xfId="49762" xr:uid="{00000000-0005-0000-0000-0000D5C10000}"/>
    <cellStyle name="보통 4" xfId="49763" xr:uid="{00000000-0005-0000-0000-0000D6C10000}"/>
    <cellStyle name="보통 5" xfId="49764" xr:uid="{00000000-0005-0000-0000-0000D7C10000}"/>
    <cellStyle name="보통 6" xfId="49765" xr:uid="{00000000-0005-0000-0000-0000D8C10000}"/>
    <cellStyle name="뷭?_BOOKSHIP" xfId="156" xr:uid="{00000000-0005-0000-0000-0000D9C10000}"/>
    <cellStyle name="뻔" xfId="49766" xr:uid="{00000000-0005-0000-0000-0000DAC10000}"/>
    <cellStyle name="뻔 2" xfId="49767" xr:uid="{00000000-0005-0000-0000-0000DBC10000}"/>
    <cellStyle name="뻔 2 2" xfId="49768" xr:uid="{00000000-0005-0000-0000-0000DCC10000}"/>
    <cellStyle name="뻔 2 3" xfId="49769" xr:uid="{00000000-0005-0000-0000-0000DDC10000}"/>
    <cellStyle name="뻔 2 4" xfId="49770" xr:uid="{00000000-0005-0000-0000-0000DEC10000}"/>
    <cellStyle name="뻔 2 5" xfId="49771" xr:uid="{00000000-0005-0000-0000-0000DFC10000}"/>
    <cellStyle name="뻔 3" xfId="49772" xr:uid="{00000000-0005-0000-0000-0000E0C10000}"/>
    <cellStyle name="뻔 4" xfId="49773" xr:uid="{00000000-0005-0000-0000-0000E1C10000}"/>
    <cellStyle name="뻔 5" xfId="49774" xr:uid="{00000000-0005-0000-0000-0000E2C10000}"/>
    <cellStyle name="뻔 6" xfId="49775" xr:uid="{00000000-0005-0000-0000-0000E3C10000}"/>
    <cellStyle name="설명 텍스트 2" xfId="49776" xr:uid="{00000000-0005-0000-0000-0000E4C10000}"/>
    <cellStyle name="설명 텍스트 2 2" xfId="49777" xr:uid="{00000000-0005-0000-0000-0000E5C10000}"/>
    <cellStyle name="설명 텍스트 2 2 2" xfId="49778" xr:uid="{00000000-0005-0000-0000-0000E6C10000}"/>
    <cellStyle name="설명 텍스트 2 2 2 2" xfId="49779" xr:uid="{00000000-0005-0000-0000-0000E7C10000}"/>
    <cellStyle name="설명 텍스트 2 2 2 3" xfId="49780" xr:uid="{00000000-0005-0000-0000-0000E8C10000}"/>
    <cellStyle name="설명 텍스트 2 2 2 4" xfId="49781" xr:uid="{00000000-0005-0000-0000-0000E9C10000}"/>
    <cellStyle name="설명 텍스트 2 2 3" xfId="49782" xr:uid="{00000000-0005-0000-0000-0000EAC10000}"/>
    <cellStyle name="설명 텍스트 2 2 4" xfId="49783" xr:uid="{00000000-0005-0000-0000-0000EBC10000}"/>
    <cellStyle name="설명 텍스트 2 2 5" xfId="49784" xr:uid="{00000000-0005-0000-0000-0000ECC10000}"/>
    <cellStyle name="설명 텍스트 2 2 6" xfId="49785" xr:uid="{00000000-0005-0000-0000-0000EDC10000}"/>
    <cellStyle name="설명 텍스트 2 3" xfId="49786" xr:uid="{00000000-0005-0000-0000-0000EEC10000}"/>
    <cellStyle name="설명 텍스트 2 4" xfId="49787" xr:uid="{00000000-0005-0000-0000-0000EFC10000}"/>
    <cellStyle name="설명 텍스트 2 5" xfId="49788" xr:uid="{00000000-0005-0000-0000-0000F0C10000}"/>
    <cellStyle name="설명 텍스트 2 6" xfId="49789" xr:uid="{00000000-0005-0000-0000-0000F1C10000}"/>
    <cellStyle name="설명 텍스트 3" xfId="49790" xr:uid="{00000000-0005-0000-0000-0000F2C10000}"/>
    <cellStyle name="설명 텍스트 4" xfId="49791" xr:uid="{00000000-0005-0000-0000-0000F3C10000}"/>
    <cellStyle name="설명 텍스트 5" xfId="49792" xr:uid="{00000000-0005-0000-0000-0000F4C10000}"/>
    <cellStyle name="설명 텍스트 6" xfId="49793" xr:uid="{00000000-0005-0000-0000-0000F5C10000}"/>
    <cellStyle name="셀 확인 2" xfId="49794" xr:uid="{00000000-0005-0000-0000-0000F6C10000}"/>
    <cellStyle name="셀 확인 2 2" xfId="49795" xr:uid="{00000000-0005-0000-0000-0000F7C10000}"/>
    <cellStyle name="셀 확인 2 2 2" xfId="49796" xr:uid="{00000000-0005-0000-0000-0000F8C10000}"/>
    <cellStyle name="셀 확인 2 2 2 2" xfId="49797" xr:uid="{00000000-0005-0000-0000-0000F9C10000}"/>
    <cellStyle name="셀 확인 2 2 2 3" xfId="49798" xr:uid="{00000000-0005-0000-0000-0000FAC10000}"/>
    <cellStyle name="셀 확인 2 2 2 4" xfId="49799" xr:uid="{00000000-0005-0000-0000-0000FBC10000}"/>
    <cellStyle name="셀 확인 2 2 3" xfId="49800" xr:uid="{00000000-0005-0000-0000-0000FCC10000}"/>
    <cellStyle name="셀 확인 2 2 4" xfId="49801" xr:uid="{00000000-0005-0000-0000-0000FDC10000}"/>
    <cellStyle name="셀 확인 2 2 5" xfId="49802" xr:uid="{00000000-0005-0000-0000-0000FEC10000}"/>
    <cellStyle name="셀 확인 2 2 6" xfId="49803" xr:uid="{00000000-0005-0000-0000-0000FFC10000}"/>
    <cellStyle name="셀 확인 2 3" xfId="49804" xr:uid="{00000000-0005-0000-0000-000000C20000}"/>
    <cellStyle name="셀 확인 2 4" xfId="49805" xr:uid="{00000000-0005-0000-0000-000001C20000}"/>
    <cellStyle name="셀 확인 2 5" xfId="49806" xr:uid="{00000000-0005-0000-0000-000002C20000}"/>
    <cellStyle name="셀 확인 2 6" xfId="49807" xr:uid="{00000000-0005-0000-0000-000003C20000}"/>
    <cellStyle name="셀 확인 3" xfId="49808" xr:uid="{00000000-0005-0000-0000-000004C20000}"/>
    <cellStyle name="셀 확인 4" xfId="49809" xr:uid="{00000000-0005-0000-0000-000005C20000}"/>
    <cellStyle name="셀 확인 5" xfId="49810" xr:uid="{00000000-0005-0000-0000-000006C20000}"/>
    <cellStyle name="셀 확인 6" xfId="49811" xr:uid="{00000000-0005-0000-0000-000007C20000}"/>
    <cellStyle name="숫자(R)" xfId="49812" xr:uid="{00000000-0005-0000-0000-000008C20000}"/>
    <cellStyle name="숫자(R) 2" xfId="49813" xr:uid="{00000000-0005-0000-0000-000009C20000}"/>
    <cellStyle name="숫자(R) 2 2" xfId="49814" xr:uid="{00000000-0005-0000-0000-00000AC20000}"/>
    <cellStyle name="숫자(R) 2 3" xfId="49815" xr:uid="{00000000-0005-0000-0000-00000BC20000}"/>
    <cellStyle name="숫자(R) 2 4" xfId="49816" xr:uid="{00000000-0005-0000-0000-00000CC20000}"/>
    <cellStyle name="숫자(R) 3" xfId="49817" xr:uid="{00000000-0005-0000-0000-00000DC20000}"/>
    <cellStyle name="숫자(R) 4" xfId="49818" xr:uid="{00000000-0005-0000-0000-00000EC20000}"/>
    <cellStyle name="숫자(R) 5" xfId="49819" xr:uid="{00000000-0005-0000-0000-00000FC20000}"/>
    <cellStyle name="숫자(R) 6" xfId="49820" xr:uid="{00000000-0005-0000-0000-000010C20000}"/>
    <cellStyle name="쉼표 [0]" xfId="303" builtinId="6"/>
    <cellStyle name="쉼표 [0] 2" xfId="157" xr:uid="{00000000-0005-0000-0000-000012C20000}"/>
    <cellStyle name="쉼표 [0] 2 10" xfId="49821" xr:uid="{00000000-0005-0000-0000-000013C20000}"/>
    <cellStyle name="쉼표 [0] 2 11" xfId="52812" xr:uid="{00000000-0005-0000-0000-000014C20000}"/>
    <cellStyle name="쉼표 [0] 2 2" xfId="158" xr:uid="{00000000-0005-0000-0000-000015C20000}"/>
    <cellStyle name="쉼표 [0] 2 2 10" xfId="49822" xr:uid="{00000000-0005-0000-0000-000016C20000}"/>
    <cellStyle name="쉼표 [0] 2 2 11" xfId="49823" xr:uid="{00000000-0005-0000-0000-000017C20000}"/>
    <cellStyle name="쉼표 [0] 2 2 12" xfId="49824" xr:uid="{00000000-0005-0000-0000-000018C20000}"/>
    <cellStyle name="쉼표 [0] 2 2 13" xfId="49825" xr:uid="{00000000-0005-0000-0000-000019C20000}"/>
    <cellStyle name="쉼표 [0] 2 2 14" xfId="49826" xr:uid="{00000000-0005-0000-0000-00001AC20000}"/>
    <cellStyle name="쉼표 [0] 2 2 15" xfId="49827" xr:uid="{00000000-0005-0000-0000-00001BC20000}"/>
    <cellStyle name="쉼표 [0] 2 2 16" xfId="49828" xr:uid="{00000000-0005-0000-0000-00001CC20000}"/>
    <cellStyle name="쉼표 [0] 2 2 2" xfId="49829" xr:uid="{00000000-0005-0000-0000-00001DC20000}"/>
    <cellStyle name="쉼표 [0] 2 2 2 2" xfId="49830" xr:uid="{00000000-0005-0000-0000-00001EC20000}"/>
    <cellStyle name="쉼표 [0] 2 2 2 3" xfId="49831" xr:uid="{00000000-0005-0000-0000-00001FC20000}"/>
    <cellStyle name="쉼표 [0] 2 2 2 4" xfId="49832" xr:uid="{00000000-0005-0000-0000-000020C20000}"/>
    <cellStyle name="쉼표 [0] 2 2 2 5" xfId="49833" xr:uid="{00000000-0005-0000-0000-000021C20000}"/>
    <cellStyle name="쉼표 [0] 2 2 3" xfId="49834" xr:uid="{00000000-0005-0000-0000-000022C20000}"/>
    <cellStyle name="쉼표 [0] 2 2 4" xfId="49835" xr:uid="{00000000-0005-0000-0000-000023C20000}"/>
    <cellStyle name="쉼표 [0] 2 2 5" xfId="49836" xr:uid="{00000000-0005-0000-0000-000024C20000}"/>
    <cellStyle name="쉼표 [0] 2 2 6" xfId="49837" xr:uid="{00000000-0005-0000-0000-000025C20000}"/>
    <cellStyle name="쉼표 [0] 2 2 7" xfId="49838" xr:uid="{00000000-0005-0000-0000-000026C20000}"/>
    <cellStyle name="쉼표 [0] 2 2 8" xfId="49839" xr:uid="{00000000-0005-0000-0000-000027C20000}"/>
    <cellStyle name="쉼표 [0] 2 2 9" xfId="49840" xr:uid="{00000000-0005-0000-0000-000028C20000}"/>
    <cellStyle name="쉼표 [0] 2 3" xfId="49841" xr:uid="{00000000-0005-0000-0000-000029C20000}"/>
    <cellStyle name="쉼표 [0] 2 3 2" xfId="49842" xr:uid="{00000000-0005-0000-0000-00002AC20000}"/>
    <cellStyle name="쉼표 [0] 2 3 3" xfId="49843" xr:uid="{00000000-0005-0000-0000-00002BC20000}"/>
    <cellStyle name="쉼표 [0] 2 3 4" xfId="49844" xr:uid="{00000000-0005-0000-0000-00002CC20000}"/>
    <cellStyle name="쉼표 [0] 2 4" xfId="49845" xr:uid="{00000000-0005-0000-0000-00002DC20000}"/>
    <cellStyle name="쉼표 [0] 2 5" xfId="49846" xr:uid="{00000000-0005-0000-0000-00002EC20000}"/>
    <cellStyle name="쉼표 [0] 2 6" xfId="49847" xr:uid="{00000000-0005-0000-0000-00002FC20000}"/>
    <cellStyle name="쉼표 [0] 2 7" xfId="49848" xr:uid="{00000000-0005-0000-0000-000030C20000}"/>
    <cellStyle name="쉼표 [0] 2 8" xfId="49849" xr:uid="{00000000-0005-0000-0000-000031C20000}"/>
    <cellStyle name="쉼표 [0] 2 9" xfId="49850" xr:uid="{00000000-0005-0000-0000-000032C20000}"/>
    <cellStyle name="쉼표 [0] 3" xfId="159" xr:uid="{00000000-0005-0000-0000-000033C20000}"/>
    <cellStyle name="쉼표 [0] 5" xfId="49851" xr:uid="{00000000-0005-0000-0000-000034C20000}"/>
    <cellStyle name="쉼표 [0] 5 2" xfId="49852" xr:uid="{00000000-0005-0000-0000-000035C20000}"/>
    <cellStyle name="쉼표 [0] 5 3" xfId="49853" xr:uid="{00000000-0005-0000-0000-000036C20000}"/>
    <cellStyle name="쉼표 [0] 5 4" xfId="49854" xr:uid="{00000000-0005-0000-0000-000037C20000}"/>
    <cellStyle name="쉼표 [0] 5 5" xfId="49855" xr:uid="{00000000-0005-0000-0000-000038C20000}"/>
    <cellStyle name="쉼표 2" xfId="294" xr:uid="{00000000-0005-0000-0000-000039C20000}"/>
    <cellStyle name="슘" xfId="49856" xr:uid="{00000000-0005-0000-0000-00003AC20000}"/>
    <cellStyle name="슘 2" xfId="49857" xr:uid="{00000000-0005-0000-0000-00003BC20000}"/>
    <cellStyle name="슘 2 2" xfId="49858" xr:uid="{00000000-0005-0000-0000-00003CC20000}"/>
    <cellStyle name="슘 2 3" xfId="49859" xr:uid="{00000000-0005-0000-0000-00003DC20000}"/>
    <cellStyle name="슘 2 4" xfId="49860" xr:uid="{00000000-0005-0000-0000-00003EC20000}"/>
    <cellStyle name="슘 2 5" xfId="49861" xr:uid="{00000000-0005-0000-0000-00003FC20000}"/>
    <cellStyle name="슘 3" xfId="49862" xr:uid="{00000000-0005-0000-0000-000040C20000}"/>
    <cellStyle name="슘 4" xfId="49863" xr:uid="{00000000-0005-0000-0000-000041C20000}"/>
    <cellStyle name="슘 5" xfId="49864" xr:uid="{00000000-0005-0000-0000-000042C20000}"/>
    <cellStyle name="슘 6" xfId="49865" xr:uid="{00000000-0005-0000-0000-000043C20000}"/>
    <cellStyle name="스타일 1" xfId="49866" xr:uid="{00000000-0005-0000-0000-000044C20000}"/>
    <cellStyle name="스타일 1 2" xfId="49867" xr:uid="{00000000-0005-0000-0000-000045C20000}"/>
    <cellStyle name="스타일 1 2 2" xfId="49868" xr:uid="{00000000-0005-0000-0000-000046C20000}"/>
    <cellStyle name="스타일 1 2 2 2" xfId="49869" xr:uid="{00000000-0005-0000-0000-000047C20000}"/>
    <cellStyle name="스타일 1 2 2 3" xfId="49870" xr:uid="{00000000-0005-0000-0000-000048C20000}"/>
    <cellStyle name="스타일 1 2 2 4" xfId="49871" xr:uid="{00000000-0005-0000-0000-000049C20000}"/>
    <cellStyle name="스타일 1 2 3" xfId="49872" xr:uid="{00000000-0005-0000-0000-00004AC20000}"/>
    <cellStyle name="스타일 1 2 4" xfId="49873" xr:uid="{00000000-0005-0000-0000-00004BC20000}"/>
    <cellStyle name="스타일 1 2 5" xfId="49874" xr:uid="{00000000-0005-0000-0000-00004CC20000}"/>
    <cellStyle name="스타일 1 2 6" xfId="49875" xr:uid="{00000000-0005-0000-0000-00004DC20000}"/>
    <cellStyle name="스타일 1 3" xfId="49876" xr:uid="{00000000-0005-0000-0000-00004EC20000}"/>
    <cellStyle name="스타일 1 4" xfId="49877" xr:uid="{00000000-0005-0000-0000-00004FC20000}"/>
    <cellStyle name="스타일 1 5" xfId="49878" xr:uid="{00000000-0005-0000-0000-000050C20000}"/>
    <cellStyle name="스타일 1 6" xfId="49879" xr:uid="{00000000-0005-0000-0000-000051C20000}"/>
    <cellStyle name="스타일 10" xfId="49880" xr:uid="{00000000-0005-0000-0000-000052C20000}"/>
    <cellStyle name="스타일 10 2" xfId="49881" xr:uid="{00000000-0005-0000-0000-000053C20000}"/>
    <cellStyle name="스타일 10 3" xfId="49882" xr:uid="{00000000-0005-0000-0000-000054C20000}"/>
    <cellStyle name="스타일 10 4" xfId="49883" xr:uid="{00000000-0005-0000-0000-000055C20000}"/>
    <cellStyle name="스타일 10 5" xfId="49884" xr:uid="{00000000-0005-0000-0000-000056C20000}"/>
    <cellStyle name="스타일 11" xfId="49885" xr:uid="{00000000-0005-0000-0000-000057C20000}"/>
    <cellStyle name="스타일 11 2" xfId="49886" xr:uid="{00000000-0005-0000-0000-000058C20000}"/>
    <cellStyle name="스타일 11 3" xfId="49887" xr:uid="{00000000-0005-0000-0000-000059C20000}"/>
    <cellStyle name="스타일 11 4" xfId="49888" xr:uid="{00000000-0005-0000-0000-00005AC20000}"/>
    <cellStyle name="스타일 11 5" xfId="49889" xr:uid="{00000000-0005-0000-0000-00005BC20000}"/>
    <cellStyle name="스타일 12" xfId="49890" xr:uid="{00000000-0005-0000-0000-00005CC20000}"/>
    <cellStyle name="스타일 12 2" xfId="49891" xr:uid="{00000000-0005-0000-0000-00005DC20000}"/>
    <cellStyle name="스타일 12 3" xfId="49892" xr:uid="{00000000-0005-0000-0000-00005EC20000}"/>
    <cellStyle name="스타일 12 4" xfId="49893" xr:uid="{00000000-0005-0000-0000-00005FC20000}"/>
    <cellStyle name="스타일 12 5" xfId="49894" xr:uid="{00000000-0005-0000-0000-000060C20000}"/>
    <cellStyle name="스타일 2" xfId="49895" xr:uid="{00000000-0005-0000-0000-000061C20000}"/>
    <cellStyle name="스타일 2 2" xfId="49896" xr:uid="{00000000-0005-0000-0000-000062C20000}"/>
    <cellStyle name="스타일 2 2 2" xfId="49897" xr:uid="{00000000-0005-0000-0000-000063C20000}"/>
    <cellStyle name="스타일 2 2 2 2" xfId="49898" xr:uid="{00000000-0005-0000-0000-000064C20000}"/>
    <cellStyle name="스타일 2 2 2 3" xfId="49899" xr:uid="{00000000-0005-0000-0000-000065C20000}"/>
    <cellStyle name="스타일 2 2 2 4" xfId="49900" xr:uid="{00000000-0005-0000-0000-000066C20000}"/>
    <cellStyle name="스타일 2 2 3" xfId="49901" xr:uid="{00000000-0005-0000-0000-000067C20000}"/>
    <cellStyle name="스타일 2 2 4" xfId="49902" xr:uid="{00000000-0005-0000-0000-000068C20000}"/>
    <cellStyle name="스타일 2 2 5" xfId="49903" xr:uid="{00000000-0005-0000-0000-000069C20000}"/>
    <cellStyle name="스타일 2 2 6" xfId="49904" xr:uid="{00000000-0005-0000-0000-00006AC20000}"/>
    <cellStyle name="스타일 2 3" xfId="49905" xr:uid="{00000000-0005-0000-0000-00006BC20000}"/>
    <cellStyle name="스타일 2 4" xfId="49906" xr:uid="{00000000-0005-0000-0000-00006CC20000}"/>
    <cellStyle name="스타일 2 5" xfId="49907" xr:uid="{00000000-0005-0000-0000-00006DC20000}"/>
    <cellStyle name="스타일 2 6" xfId="49908" xr:uid="{00000000-0005-0000-0000-00006EC20000}"/>
    <cellStyle name="스타일 3" xfId="49909" xr:uid="{00000000-0005-0000-0000-00006FC20000}"/>
    <cellStyle name="스타일 3 2" xfId="49910" xr:uid="{00000000-0005-0000-0000-000070C20000}"/>
    <cellStyle name="스타일 3 2 2" xfId="49911" xr:uid="{00000000-0005-0000-0000-000071C20000}"/>
    <cellStyle name="스타일 3 2 2 2" xfId="49912" xr:uid="{00000000-0005-0000-0000-000072C20000}"/>
    <cellStyle name="스타일 3 2 2 3" xfId="49913" xr:uid="{00000000-0005-0000-0000-000073C20000}"/>
    <cellStyle name="스타일 3 2 2 4" xfId="49914" xr:uid="{00000000-0005-0000-0000-000074C20000}"/>
    <cellStyle name="스타일 3 2 3" xfId="49915" xr:uid="{00000000-0005-0000-0000-000075C20000}"/>
    <cellStyle name="스타일 3 2 4" xfId="49916" xr:uid="{00000000-0005-0000-0000-000076C20000}"/>
    <cellStyle name="스타일 3 2 5" xfId="49917" xr:uid="{00000000-0005-0000-0000-000077C20000}"/>
    <cellStyle name="스타일 3 2 6" xfId="49918" xr:uid="{00000000-0005-0000-0000-000078C20000}"/>
    <cellStyle name="스타일 3 3" xfId="49919" xr:uid="{00000000-0005-0000-0000-000079C20000}"/>
    <cellStyle name="스타일 3 4" xfId="49920" xr:uid="{00000000-0005-0000-0000-00007AC20000}"/>
    <cellStyle name="스타일 3 5" xfId="49921" xr:uid="{00000000-0005-0000-0000-00007BC20000}"/>
    <cellStyle name="스타일 3 6" xfId="49922" xr:uid="{00000000-0005-0000-0000-00007CC20000}"/>
    <cellStyle name="스타일 4" xfId="49923" xr:uid="{00000000-0005-0000-0000-00007DC20000}"/>
    <cellStyle name="스타일 4 2" xfId="49924" xr:uid="{00000000-0005-0000-0000-00007EC20000}"/>
    <cellStyle name="스타일 4 2 2" xfId="49925" xr:uid="{00000000-0005-0000-0000-00007FC20000}"/>
    <cellStyle name="스타일 4 2 3" xfId="49926" xr:uid="{00000000-0005-0000-0000-000080C20000}"/>
    <cellStyle name="스타일 4 2 4" xfId="49927" xr:uid="{00000000-0005-0000-0000-000081C20000}"/>
    <cellStyle name="스타일 4 2 5" xfId="49928" xr:uid="{00000000-0005-0000-0000-000082C20000}"/>
    <cellStyle name="스타일 4 3" xfId="49929" xr:uid="{00000000-0005-0000-0000-000083C20000}"/>
    <cellStyle name="스타일 4 4" xfId="49930" xr:uid="{00000000-0005-0000-0000-000084C20000}"/>
    <cellStyle name="스타일 4 5" xfId="49931" xr:uid="{00000000-0005-0000-0000-000085C20000}"/>
    <cellStyle name="스타일 4 6" xfId="49932" xr:uid="{00000000-0005-0000-0000-000086C20000}"/>
    <cellStyle name="스타일 5" xfId="49933" xr:uid="{00000000-0005-0000-0000-000087C20000}"/>
    <cellStyle name="스타일 5 2" xfId="49934" xr:uid="{00000000-0005-0000-0000-000088C20000}"/>
    <cellStyle name="스타일 5 2 2" xfId="49935" xr:uid="{00000000-0005-0000-0000-000089C20000}"/>
    <cellStyle name="스타일 5 2 3" xfId="49936" xr:uid="{00000000-0005-0000-0000-00008AC20000}"/>
    <cellStyle name="스타일 5 2 4" xfId="49937" xr:uid="{00000000-0005-0000-0000-00008BC20000}"/>
    <cellStyle name="스타일 5 2 5" xfId="49938" xr:uid="{00000000-0005-0000-0000-00008CC20000}"/>
    <cellStyle name="스타일 5 3" xfId="49939" xr:uid="{00000000-0005-0000-0000-00008DC20000}"/>
    <cellStyle name="스타일 5 4" xfId="49940" xr:uid="{00000000-0005-0000-0000-00008EC20000}"/>
    <cellStyle name="스타일 5 5" xfId="49941" xr:uid="{00000000-0005-0000-0000-00008FC20000}"/>
    <cellStyle name="스타일 5 6" xfId="49942" xr:uid="{00000000-0005-0000-0000-000090C20000}"/>
    <cellStyle name="스타일 6" xfId="49943" xr:uid="{00000000-0005-0000-0000-000091C20000}"/>
    <cellStyle name="스타일 6 2" xfId="49944" xr:uid="{00000000-0005-0000-0000-000092C20000}"/>
    <cellStyle name="스타일 6 2 2" xfId="49945" xr:uid="{00000000-0005-0000-0000-000093C20000}"/>
    <cellStyle name="스타일 6 2 3" xfId="49946" xr:uid="{00000000-0005-0000-0000-000094C20000}"/>
    <cellStyle name="스타일 6 2 4" xfId="49947" xr:uid="{00000000-0005-0000-0000-000095C20000}"/>
    <cellStyle name="스타일 6 2 5" xfId="49948" xr:uid="{00000000-0005-0000-0000-000096C20000}"/>
    <cellStyle name="스타일 6 3" xfId="49949" xr:uid="{00000000-0005-0000-0000-000097C20000}"/>
    <cellStyle name="스타일 6 4" xfId="49950" xr:uid="{00000000-0005-0000-0000-000098C20000}"/>
    <cellStyle name="스타일 6 5" xfId="49951" xr:uid="{00000000-0005-0000-0000-000099C20000}"/>
    <cellStyle name="스타일 6 6" xfId="49952" xr:uid="{00000000-0005-0000-0000-00009AC20000}"/>
    <cellStyle name="스타일 7" xfId="49953" xr:uid="{00000000-0005-0000-0000-00009BC20000}"/>
    <cellStyle name="스타일 7 2" xfId="49954" xr:uid="{00000000-0005-0000-0000-00009CC20000}"/>
    <cellStyle name="스타일 7 3" xfId="49955" xr:uid="{00000000-0005-0000-0000-00009DC20000}"/>
    <cellStyle name="스타일 7 4" xfId="49956" xr:uid="{00000000-0005-0000-0000-00009EC20000}"/>
    <cellStyle name="스타일 7 5" xfId="49957" xr:uid="{00000000-0005-0000-0000-00009FC20000}"/>
    <cellStyle name="스타일 8" xfId="49958" xr:uid="{00000000-0005-0000-0000-0000A0C20000}"/>
    <cellStyle name="스타일 8 2" xfId="49959" xr:uid="{00000000-0005-0000-0000-0000A1C20000}"/>
    <cellStyle name="스타일 8 3" xfId="49960" xr:uid="{00000000-0005-0000-0000-0000A2C20000}"/>
    <cellStyle name="스타일 8 4" xfId="49961" xr:uid="{00000000-0005-0000-0000-0000A3C20000}"/>
    <cellStyle name="스타일 8 5" xfId="49962" xr:uid="{00000000-0005-0000-0000-0000A4C20000}"/>
    <cellStyle name="스타일 9" xfId="49963" xr:uid="{00000000-0005-0000-0000-0000A5C20000}"/>
    <cellStyle name="스타일 9 2" xfId="49964" xr:uid="{00000000-0005-0000-0000-0000A6C20000}"/>
    <cellStyle name="스타일 9 3" xfId="49965" xr:uid="{00000000-0005-0000-0000-0000A7C20000}"/>
    <cellStyle name="스타일 9 4" xfId="49966" xr:uid="{00000000-0005-0000-0000-0000A8C20000}"/>
    <cellStyle name="스타일 9 5" xfId="49967" xr:uid="{00000000-0005-0000-0000-0000A9C20000}"/>
    <cellStyle name="ㅇ" xfId="49968" xr:uid="{00000000-0005-0000-0000-0000AAC20000}"/>
    <cellStyle name="ㅇ 2" xfId="49969" xr:uid="{00000000-0005-0000-0000-0000ABC20000}"/>
    <cellStyle name="ㅇ 3" xfId="49970" xr:uid="{00000000-0005-0000-0000-0000ACC20000}"/>
    <cellStyle name="ㅇ 4" xfId="49971" xr:uid="{00000000-0005-0000-0000-0000ADC20000}"/>
    <cellStyle name="ㅇ 5" xfId="49972" xr:uid="{00000000-0005-0000-0000-0000AEC20000}"/>
    <cellStyle name="연결된 셀 2" xfId="49973" xr:uid="{00000000-0005-0000-0000-0000AFC20000}"/>
    <cellStyle name="연결된 셀 2 2" xfId="49974" xr:uid="{00000000-0005-0000-0000-0000B0C20000}"/>
    <cellStyle name="연결된 셀 2 2 2" xfId="49975" xr:uid="{00000000-0005-0000-0000-0000B1C20000}"/>
    <cellStyle name="연결된 셀 2 2 2 2" xfId="49976" xr:uid="{00000000-0005-0000-0000-0000B2C20000}"/>
    <cellStyle name="연결된 셀 2 2 2 3" xfId="49977" xr:uid="{00000000-0005-0000-0000-0000B3C20000}"/>
    <cellStyle name="연결된 셀 2 2 2 4" xfId="49978" xr:uid="{00000000-0005-0000-0000-0000B4C20000}"/>
    <cellStyle name="연결된 셀 2 2 3" xfId="49979" xr:uid="{00000000-0005-0000-0000-0000B5C20000}"/>
    <cellStyle name="연결된 셀 2 2 4" xfId="49980" xr:uid="{00000000-0005-0000-0000-0000B6C20000}"/>
    <cellStyle name="연결된 셀 2 2 5" xfId="49981" xr:uid="{00000000-0005-0000-0000-0000B7C20000}"/>
    <cellStyle name="연결된 셀 2 2 6" xfId="49982" xr:uid="{00000000-0005-0000-0000-0000B8C20000}"/>
    <cellStyle name="연결된 셀 2 3" xfId="49983" xr:uid="{00000000-0005-0000-0000-0000B9C20000}"/>
    <cellStyle name="연결된 셀 2 4" xfId="49984" xr:uid="{00000000-0005-0000-0000-0000BAC20000}"/>
    <cellStyle name="연결된 셀 2 5" xfId="49985" xr:uid="{00000000-0005-0000-0000-0000BBC20000}"/>
    <cellStyle name="연결된 셀 2 6" xfId="49986" xr:uid="{00000000-0005-0000-0000-0000BCC20000}"/>
    <cellStyle name="연결된 셀 3" xfId="49987" xr:uid="{00000000-0005-0000-0000-0000BDC20000}"/>
    <cellStyle name="연결된 셀 4" xfId="49988" xr:uid="{00000000-0005-0000-0000-0000BEC20000}"/>
    <cellStyle name="연결된 셀 5" xfId="49989" xr:uid="{00000000-0005-0000-0000-0000BFC20000}"/>
    <cellStyle name="연결된 셀 6" xfId="49990" xr:uid="{00000000-0005-0000-0000-0000C0C20000}"/>
    <cellStyle name="열어본 하이퍼링크" xfId="49991" xr:uid="{00000000-0005-0000-0000-0000C1C20000}"/>
    <cellStyle name="열어본 하이퍼링크 2" xfId="49992" xr:uid="{00000000-0005-0000-0000-0000C2C20000}"/>
    <cellStyle name="열어본 하이퍼링크 3" xfId="49993" xr:uid="{00000000-0005-0000-0000-0000C3C20000}"/>
    <cellStyle name="열어본 하이퍼링크 4" xfId="49994" xr:uid="{00000000-0005-0000-0000-0000C4C20000}"/>
    <cellStyle name="열어본 하이퍼링크 5" xfId="49995" xr:uid="{00000000-0005-0000-0000-0000C5C20000}"/>
    <cellStyle name="요약 2" xfId="49996" xr:uid="{00000000-0005-0000-0000-0000C6C20000}"/>
    <cellStyle name="요약 2 2" xfId="49997" xr:uid="{00000000-0005-0000-0000-0000C7C20000}"/>
    <cellStyle name="요약 2 2 2" xfId="49998" xr:uid="{00000000-0005-0000-0000-0000C8C20000}"/>
    <cellStyle name="요약 2 2 2 2" xfId="49999" xr:uid="{00000000-0005-0000-0000-0000C9C20000}"/>
    <cellStyle name="요약 2 2 2 2 2" xfId="50000" xr:uid="{00000000-0005-0000-0000-0000CAC20000}"/>
    <cellStyle name="요약 2 2 2 3" xfId="50001" xr:uid="{00000000-0005-0000-0000-0000CBC20000}"/>
    <cellStyle name="요약 2 2 2 3 2" xfId="50002" xr:uid="{00000000-0005-0000-0000-0000CCC20000}"/>
    <cellStyle name="요약 2 2 2 4" xfId="50003" xr:uid="{00000000-0005-0000-0000-0000CDC20000}"/>
    <cellStyle name="요약 2 2 3" xfId="50004" xr:uid="{00000000-0005-0000-0000-0000CEC20000}"/>
    <cellStyle name="요약 2 2 3 2" xfId="50005" xr:uid="{00000000-0005-0000-0000-0000CFC20000}"/>
    <cellStyle name="요약 2 2 4" xfId="50006" xr:uid="{00000000-0005-0000-0000-0000D0C20000}"/>
    <cellStyle name="요약 2 2 4 2" xfId="50007" xr:uid="{00000000-0005-0000-0000-0000D1C20000}"/>
    <cellStyle name="요약 2 2 5" xfId="50008" xr:uid="{00000000-0005-0000-0000-0000D2C20000}"/>
    <cellStyle name="요약 2 2 6" xfId="50009" xr:uid="{00000000-0005-0000-0000-0000D3C20000}"/>
    <cellStyle name="요약 2 2 7" xfId="50010" xr:uid="{00000000-0005-0000-0000-0000D4C20000}"/>
    <cellStyle name="요약 2 3" xfId="50011" xr:uid="{00000000-0005-0000-0000-0000D5C20000}"/>
    <cellStyle name="요약 2 3 2" xfId="50012" xr:uid="{00000000-0005-0000-0000-0000D6C20000}"/>
    <cellStyle name="요약 2 4" xfId="50013" xr:uid="{00000000-0005-0000-0000-0000D7C20000}"/>
    <cellStyle name="요약 2 4 2" xfId="50014" xr:uid="{00000000-0005-0000-0000-0000D8C20000}"/>
    <cellStyle name="요약 2 5" xfId="50015" xr:uid="{00000000-0005-0000-0000-0000D9C20000}"/>
    <cellStyle name="요약 2 6" xfId="50016" xr:uid="{00000000-0005-0000-0000-0000DAC20000}"/>
    <cellStyle name="요약 2 7" xfId="50017" xr:uid="{00000000-0005-0000-0000-0000DBC20000}"/>
    <cellStyle name="요약 3" xfId="50018" xr:uid="{00000000-0005-0000-0000-0000DCC20000}"/>
    <cellStyle name="요약 4" xfId="50019" xr:uid="{00000000-0005-0000-0000-0000DDC20000}"/>
    <cellStyle name="요약 5" xfId="50020" xr:uid="{00000000-0005-0000-0000-0000DEC20000}"/>
    <cellStyle name="요약 6" xfId="50021" xr:uid="{00000000-0005-0000-0000-0000DFC20000}"/>
    <cellStyle name="입력 2" xfId="50022" xr:uid="{00000000-0005-0000-0000-0000E0C20000}"/>
    <cellStyle name="입력 2 2" xfId="50023" xr:uid="{00000000-0005-0000-0000-0000E1C20000}"/>
    <cellStyle name="입력 2 2 2" xfId="50024" xr:uid="{00000000-0005-0000-0000-0000E2C20000}"/>
    <cellStyle name="입력 2 2 2 2" xfId="50025" xr:uid="{00000000-0005-0000-0000-0000E3C20000}"/>
    <cellStyle name="입력 2 2 2 2 2" xfId="50026" xr:uid="{00000000-0005-0000-0000-0000E4C20000}"/>
    <cellStyle name="입력 2 2 2 3" xfId="50027" xr:uid="{00000000-0005-0000-0000-0000E5C20000}"/>
    <cellStyle name="입력 2 2 2 3 2" xfId="50028" xr:uid="{00000000-0005-0000-0000-0000E6C20000}"/>
    <cellStyle name="입력 2 2 2 4" xfId="50029" xr:uid="{00000000-0005-0000-0000-0000E7C20000}"/>
    <cellStyle name="입력 2 2 3" xfId="50030" xr:uid="{00000000-0005-0000-0000-0000E8C20000}"/>
    <cellStyle name="입력 2 2 3 2" xfId="50031" xr:uid="{00000000-0005-0000-0000-0000E9C20000}"/>
    <cellStyle name="입력 2 2 4" xfId="50032" xr:uid="{00000000-0005-0000-0000-0000EAC20000}"/>
    <cellStyle name="입력 2 2 4 2" xfId="50033" xr:uid="{00000000-0005-0000-0000-0000EBC20000}"/>
    <cellStyle name="입력 2 2 5" xfId="50034" xr:uid="{00000000-0005-0000-0000-0000ECC20000}"/>
    <cellStyle name="입력 2 2 6" xfId="50035" xr:uid="{00000000-0005-0000-0000-0000EDC20000}"/>
    <cellStyle name="입력 2 2 7" xfId="50036" xr:uid="{00000000-0005-0000-0000-0000EEC20000}"/>
    <cellStyle name="입력 2 3" xfId="50037" xr:uid="{00000000-0005-0000-0000-0000EFC20000}"/>
    <cellStyle name="입력 2 3 2" xfId="50038" xr:uid="{00000000-0005-0000-0000-0000F0C20000}"/>
    <cellStyle name="입력 2 4" xfId="50039" xr:uid="{00000000-0005-0000-0000-0000F1C20000}"/>
    <cellStyle name="입력 2 4 2" xfId="50040" xr:uid="{00000000-0005-0000-0000-0000F2C20000}"/>
    <cellStyle name="입력 2 5" xfId="50041" xr:uid="{00000000-0005-0000-0000-0000F3C20000}"/>
    <cellStyle name="입력 2 6" xfId="50042" xr:uid="{00000000-0005-0000-0000-0000F4C20000}"/>
    <cellStyle name="입력 2 7" xfId="50043" xr:uid="{00000000-0005-0000-0000-0000F5C20000}"/>
    <cellStyle name="입력 3" xfId="50044" xr:uid="{00000000-0005-0000-0000-0000F6C20000}"/>
    <cellStyle name="입력 4" xfId="50045" xr:uid="{00000000-0005-0000-0000-0000F7C20000}"/>
    <cellStyle name="입력 5" xfId="50046" xr:uid="{00000000-0005-0000-0000-0000F8C20000}"/>
    <cellStyle name="입력 6" xfId="50047" xr:uid="{00000000-0005-0000-0000-0000F9C20000}"/>
    <cellStyle name="자리수" xfId="50048" xr:uid="{00000000-0005-0000-0000-0000FAC20000}"/>
    <cellStyle name="자리수 10" xfId="50049" xr:uid="{00000000-0005-0000-0000-0000FBC20000}"/>
    <cellStyle name="자리수 11" xfId="50050" xr:uid="{00000000-0005-0000-0000-0000FCC20000}"/>
    <cellStyle name="자리수 12" xfId="50051" xr:uid="{00000000-0005-0000-0000-0000FDC20000}"/>
    <cellStyle name="자리수 13" xfId="50052" xr:uid="{00000000-0005-0000-0000-0000FEC20000}"/>
    <cellStyle name="자리수 14" xfId="50053" xr:uid="{00000000-0005-0000-0000-0000FFC20000}"/>
    <cellStyle name="자리수 15" xfId="50054" xr:uid="{00000000-0005-0000-0000-000000C30000}"/>
    <cellStyle name="자리수 16" xfId="50055" xr:uid="{00000000-0005-0000-0000-000001C30000}"/>
    <cellStyle name="자리수 17" xfId="50056" xr:uid="{00000000-0005-0000-0000-000002C30000}"/>
    <cellStyle name="자리수 18" xfId="50057" xr:uid="{00000000-0005-0000-0000-000003C30000}"/>
    <cellStyle name="자리수 19" xfId="50058" xr:uid="{00000000-0005-0000-0000-000004C30000}"/>
    <cellStyle name="자리수 2" xfId="50059" xr:uid="{00000000-0005-0000-0000-000005C30000}"/>
    <cellStyle name="자리수 2 2" xfId="50060" xr:uid="{00000000-0005-0000-0000-000006C30000}"/>
    <cellStyle name="자리수 2 3" xfId="50061" xr:uid="{00000000-0005-0000-0000-000007C30000}"/>
    <cellStyle name="자리수 2 4" xfId="50062" xr:uid="{00000000-0005-0000-0000-000008C30000}"/>
    <cellStyle name="자리수 2 5" xfId="50063" xr:uid="{00000000-0005-0000-0000-000009C30000}"/>
    <cellStyle name="자리수 20" xfId="50064" xr:uid="{00000000-0005-0000-0000-00000AC30000}"/>
    <cellStyle name="자리수 21" xfId="50065" xr:uid="{00000000-0005-0000-0000-00000BC30000}"/>
    <cellStyle name="자리수 22" xfId="50066" xr:uid="{00000000-0005-0000-0000-00000CC30000}"/>
    <cellStyle name="자리수 23" xfId="50067" xr:uid="{00000000-0005-0000-0000-00000DC30000}"/>
    <cellStyle name="자리수 24" xfId="50068" xr:uid="{00000000-0005-0000-0000-00000EC30000}"/>
    <cellStyle name="자리수 25" xfId="50069" xr:uid="{00000000-0005-0000-0000-00000FC30000}"/>
    <cellStyle name="자리수 26" xfId="50070" xr:uid="{00000000-0005-0000-0000-000010C30000}"/>
    <cellStyle name="자리수 27" xfId="50071" xr:uid="{00000000-0005-0000-0000-000011C30000}"/>
    <cellStyle name="자리수 3" xfId="50072" xr:uid="{00000000-0005-0000-0000-000012C30000}"/>
    <cellStyle name="자리수 4" xfId="50073" xr:uid="{00000000-0005-0000-0000-000013C30000}"/>
    <cellStyle name="자리수 5" xfId="50074" xr:uid="{00000000-0005-0000-0000-000014C30000}"/>
    <cellStyle name="자리수 6" xfId="50075" xr:uid="{00000000-0005-0000-0000-000015C30000}"/>
    <cellStyle name="자리수 7" xfId="50076" xr:uid="{00000000-0005-0000-0000-000016C30000}"/>
    <cellStyle name="자리수 8" xfId="50077" xr:uid="{00000000-0005-0000-0000-000017C30000}"/>
    <cellStyle name="자리수 9" xfId="50078" xr:uid="{00000000-0005-0000-0000-000018C30000}"/>
    <cellStyle name="자리수0" xfId="50079" xr:uid="{00000000-0005-0000-0000-000019C30000}"/>
    <cellStyle name="자리수0 2" xfId="50080" xr:uid="{00000000-0005-0000-0000-00001AC30000}"/>
    <cellStyle name="자리수0 2 2" xfId="50081" xr:uid="{00000000-0005-0000-0000-00001BC30000}"/>
    <cellStyle name="자리수0 2 3" xfId="50082" xr:uid="{00000000-0005-0000-0000-00001CC30000}"/>
    <cellStyle name="자리수0 2 4" xfId="50083" xr:uid="{00000000-0005-0000-0000-00001DC30000}"/>
    <cellStyle name="자리수0 3" xfId="50084" xr:uid="{00000000-0005-0000-0000-00001EC30000}"/>
    <cellStyle name="자리수0 4" xfId="50085" xr:uid="{00000000-0005-0000-0000-00001FC30000}"/>
    <cellStyle name="자리수0 5" xfId="50086" xr:uid="{00000000-0005-0000-0000-000020C30000}"/>
    <cellStyle name="자리수0 6" xfId="50087" xr:uid="{00000000-0005-0000-0000-000021C30000}"/>
    <cellStyle name="제목 1 2" xfId="50088" xr:uid="{00000000-0005-0000-0000-000022C30000}"/>
    <cellStyle name="제목 1 2 2" xfId="50089" xr:uid="{00000000-0005-0000-0000-000023C30000}"/>
    <cellStyle name="제목 1 2 2 2" xfId="50090" xr:uid="{00000000-0005-0000-0000-000024C30000}"/>
    <cellStyle name="제목 1 2 2 2 2" xfId="50091" xr:uid="{00000000-0005-0000-0000-000025C30000}"/>
    <cellStyle name="제목 1 2 2 2 3" xfId="50092" xr:uid="{00000000-0005-0000-0000-000026C30000}"/>
    <cellStyle name="제목 1 2 2 2 4" xfId="50093" xr:uid="{00000000-0005-0000-0000-000027C30000}"/>
    <cellStyle name="제목 1 2 2 3" xfId="50094" xr:uid="{00000000-0005-0000-0000-000028C30000}"/>
    <cellStyle name="제목 1 2 2 4" xfId="50095" xr:uid="{00000000-0005-0000-0000-000029C30000}"/>
    <cellStyle name="제목 1 2 2 5" xfId="50096" xr:uid="{00000000-0005-0000-0000-00002AC30000}"/>
    <cellStyle name="제목 1 2 2 6" xfId="50097" xr:uid="{00000000-0005-0000-0000-00002BC30000}"/>
    <cellStyle name="제목 1 2 3" xfId="50098" xr:uid="{00000000-0005-0000-0000-00002CC30000}"/>
    <cellStyle name="제목 1 2 4" xfId="50099" xr:uid="{00000000-0005-0000-0000-00002DC30000}"/>
    <cellStyle name="제목 1 2 5" xfId="50100" xr:uid="{00000000-0005-0000-0000-00002EC30000}"/>
    <cellStyle name="제목 1 2 6" xfId="50101" xr:uid="{00000000-0005-0000-0000-00002FC30000}"/>
    <cellStyle name="제목 1 3" xfId="50102" xr:uid="{00000000-0005-0000-0000-000030C30000}"/>
    <cellStyle name="제목 1 4" xfId="50103" xr:uid="{00000000-0005-0000-0000-000031C30000}"/>
    <cellStyle name="제목 1 5" xfId="50104" xr:uid="{00000000-0005-0000-0000-000032C30000}"/>
    <cellStyle name="제목 1 6" xfId="50105" xr:uid="{00000000-0005-0000-0000-000033C30000}"/>
    <cellStyle name="제목 10" xfId="50106" xr:uid="{00000000-0005-0000-0000-000034C30000}"/>
    <cellStyle name="제목 2 2" xfId="50107" xr:uid="{00000000-0005-0000-0000-000035C30000}"/>
    <cellStyle name="제목 2 2 2" xfId="50108" xr:uid="{00000000-0005-0000-0000-000036C30000}"/>
    <cellStyle name="제목 2 2 2 2" xfId="50109" xr:uid="{00000000-0005-0000-0000-000037C30000}"/>
    <cellStyle name="제목 2 2 2 2 2" xfId="50110" xr:uid="{00000000-0005-0000-0000-000038C30000}"/>
    <cellStyle name="제목 2 2 2 2 3" xfId="50111" xr:uid="{00000000-0005-0000-0000-000039C30000}"/>
    <cellStyle name="제목 2 2 2 2 4" xfId="50112" xr:uid="{00000000-0005-0000-0000-00003AC30000}"/>
    <cellStyle name="제목 2 2 2 3" xfId="50113" xr:uid="{00000000-0005-0000-0000-00003BC30000}"/>
    <cellStyle name="제목 2 2 2 4" xfId="50114" xr:uid="{00000000-0005-0000-0000-00003CC30000}"/>
    <cellStyle name="제목 2 2 2 5" xfId="50115" xr:uid="{00000000-0005-0000-0000-00003DC30000}"/>
    <cellStyle name="제목 2 2 2 6" xfId="50116" xr:uid="{00000000-0005-0000-0000-00003EC30000}"/>
    <cellStyle name="제목 2 2 3" xfId="50117" xr:uid="{00000000-0005-0000-0000-00003FC30000}"/>
    <cellStyle name="제목 2 2 4" xfId="50118" xr:uid="{00000000-0005-0000-0000-000040C30000}"/>
    <cellStyle name="제목 2 2 5" xfId="50119" xr:uid="{00000000-0005-0000-0000-000041C30000}"/>
    <cellStyle name="제목 2 2 6" xfId="50120" xr:uid="{00000000-0005-0000-0000-000042C30000}"/>
    <cellStyle name="제목 2 3" xfId="50121" xr:uid="{00000000-0005-0000-0000-000043C30000}"/>
    <cellStyle name="제목 2 4" xfId="50122" xr:uid="{00000000-0005-0000-0000-000044C30000}"/>
    <cellStyle name="제목 2 5" xfId="50123" xr:uid="{00000000-0005-0000-0000-000045C30000}"/>
    <cellStyle name="제목 2 6" xfId="50124" xr:uid="{00000000-0005-0000-0000-000046C30000}"/>
    <cellStyle name="제목 3 2" xfId="50125" xr:uid="{00000000-0005-0000-0000-000047C30000}"/>
    <cellStyle name="제목 3 2 2" xfId="50126" xr:uid="{00000000-0005-0000-0000-000048C30000}"/>
    <cellStyle name="제목 3 2 2 2" xfId="50127" xr:uid="{00000000-0005-0000-0000-000049C30000}"/>
    <cellStyle name="제목 3 2 2 2 2" xfId="50128" xr:uid="{00000000-0005-0000-0000-00004AC30000}"/>
    <cellStyle name="제목 3 2 2 2 3" xfId="50129" xr:uid="{00000000-0005-0000-0000-00004BC30000}"/>
    <cellStyle name="제목 3 2 2 2 4" xfId="50130" xr:uid="{00000000-0005-0000-0000-00004CC30000}"/>
    <cellStyle name="제목 3 2 2 3" xfId="50131" xr:uid="{00000000-0005-0000-0000-00004DC30000}"/>
    <cellStyle name="제목 3 2 2 4" xfId="50132" xr:uid="{00000000-0005-0000-0000-00004EC30000}"/>
    <cellStyle name="제목 3 2 2 5" xfId="50133" xr:uid="{00000000-0005-0000-0000-00004FC30000}"/>
    <cellStyle name="제목 3 2 2 6" xfId="50134" xr:uid="{00000000-0005-0000-0000-000050C30000}"/>
    <cellStyle name="제목 3 2 3" xfId="50135" xr:uid="{00000000-0005-0000-0000-000051C30000}"/>
    <cellStyle name="제목 3 2 4" xfId="50136" xr:uid="{00000000-0005-0000-0000-000052C30000}"/>
    <cellStyle name="제목 3 2 5" xfId="50137" xr:uid="{00000000-0005-0000-0000-000053C30000}"/>
    <cellStyle name="제목 3 2 6" xfId="50138" xr:uid="{00000000-0005-0000-0000-000054C30000}"/>
    <cellStyle name="제목 3 3" xfId="50139" xr:uid="{00000000-0005-0000-0000-000055C30000}"/>
    <cellStyle name="제목 3 4" xfId="50140" xr:uid="{00000000-0005-0000-0000-000056C30000}"/>
    <cellStyle name="제목 3 5" xfId="50141" xr:uid="{00000000-0005-0000-0000-000057C30000}"/>
    <cellStyle name="제목 3 6" xfId="50142" xr:uid="{00000000-0005-0000-0000-000058C30000}"/>
    <cellStyle name="제목 4 2" xfId="50143" xr:uid="{00000000-0005-0000-0000-000059C30000}"/>
    <cellStyle name="제목 4 2 2" xfId="50144" xr:uid="{00000000-0005-0000-0000-00005AC30000}"/>
    <cellStyle name="제목 4 2 2 2" xfId="50145" xr:uid="{00000000-0005-0000-0000-00005BC30000}"/>
    <cellStyle name="제목 4 2 2 2 2" xfId="50146" xr:uid="{00000000-0005-0000-0000-00005CC30000}"/>
    <cellStyle name="제목 4 2 2 2 3" xfId="50147" xr:uid="{00000000-0005-0000-0000-00005DC30000}"/>
    <cellStyle name="제목 4 2 2 2 4" xfId="50148" xr:uid="{00000000-0005-0000-0000-00005EC30000}"/>
    <cellStyle name="제목 4 2 2 3" xfId="50149" xr:uid="{00000000-0005-0000-0000-00005FC30000}"/>
    <cellStyle name="제목 4 2 2 4" xfId="50150" xr:uid="{00000000-0005-0000-0000-000060C30000}"/>
    <cellStyle name="제목 4 2 2 5" xfId="50151" xr:uid="{00000000-0005-0000-0000-000061C30000}"/>
    <cellStyle name="제목 4 2 2 6" xfId="50152" xr:uid="{00000000-0005-0000-0000-000062C30000}"/>
    <cellStyle name="제목 4 2 3" xfId="50153" xr:uid="{00000000-0005-0000-0000-000063C30000}"/>
    <cellStyle name="제목 4 2 4" xfId="50154" xr:uid="{00000000-0005-0000-0000-000064C30000}"/>
    <cellStyle name="제목 4 2 5" xfId="50155" xr:uid="{00000000-0005-0000-0000-000065C30000}"/>
    <cellStyle name="제목 4 2 6" xfId="50156" xr:uid="{00000000-0005-0000-0000-000066C30000}"/>
    <cellStyle name="제목 4 3" xfId="50157" xr:uid="{00000000-0005-0000-0000-000067C30000}"/>
    <cellStyle name="제목 4 4" xfId="50158" xr:uid="{00000000-0005-0000-0000-000068C30000}"/>
    <cellStyle name="제목 4 5" xfId="50159" xr:uid="{00000000-0005-0000-0000-000069C30000}"/>
    <cellStyle name="제목 4 6" xfId="50160" xr:uid="{00000000-0005-0000-0000-00006AC30000}"/>
    <cellStyle name="제목 5" xfId="50161" xr:uid="{00000000-0005-0000-0000-00006BC30000}"/>
    <cellStyle name="제목 5 2" xfId="50162" xr:uid="{00000000-0005-0000-0000-00006CC30000}"/>
    <cellStyle name="제목 5 2 2" xfId="50163" xr:uid="{00000000-0005-0000-0000-00006DC30000}"/>
    <cellStyle name="제목 5 2 2 2" xfId="50164" xr:uid="{00000000-0005-0000-0000-00006EC30000}"/>
    <cellStyle name="제목 5 2 2 3" xfId="50165" xr:uid="{00000000-0005-0000-0000-00006FC30000}"/>
    <cellStyle name="제목 5 2 2 4" xfId="50166" xr:uid="{00000000-0005-0000-0000-000070C30000}"/>
    <cellStyle name="제목 5 2 3" xfId="50167" xr:uid="{00000000-0005-0000-0000-000071C30000}"/>
    <cellStyle name="제목 5 2 4" xfId="50168" xr:uid="{00000000-0005-0000-0000-000072C30000}"/>
    <cellStyle name="제목 5 2 5" xfId="50169" xr:uid="{00000000-0005-0000-0000-000073C30000}"/>
    <cellStyle name="제목 5 2 6" xfId="50170" xr:uid="{00000000-0005-0000-0000-000074C30000}"/>
    <cellStyle name="제목 5 3" xfId="50171" xr:uid="{00000000-0005-0000-0000-000075C30000}"/>
    <cellStyle name="제목 5 4" xfId="50172" xr:uid="{00000000-0005-0000-0000-000076C30000}"/>
    <cellStyle name="제목 5 5" xfId="50173" xr:uid="{00000000-0005-0000-0000-000077C30000}"/>
    <cellStyle name="제목 5 6" xfId="50174" xr:uid="{00000000-0005-0000-0000-000078C30000}"/>
    <cellStyle name="제목 6" xfId="50175" xr:uid="{00000000-0005-0000-0000-000079C30000}"/>
    <cellStyle name="제목 6 2" xfId="50176" xr:uid="{00000000-0005-0000-0000-00007AC30000}"/>
    <cellStyle name="제목 6 2 2" xfId="50177" xr:uid="{00000000-0005-0000-0000-00007BC30000}"/>
    <cellStyle name="제목 6 2 3" xfId="50178" xr:uid="{00000000-0005-0000-0000-00007CC30000}"/>
    <cellStyle name="제목 6 2 4" xfId="50179" xr:uid="{00000000-0005-0000-0000-00007DC30000}"/>
    <cellStyle name="제목 6 2 5" xfId="50180" xr:uid="{00000000-0005-0000-0000-00007EC30000}"/>
    <cellStyle name="제목 6 3" xfId="50181" xr:uid="{00000000-0005-0000-0000-00007FC30000}"/>
    <cellStyle name="제목 6 4" xfId="50182" xr:uid="{00000000-0005-0000-0000-000080C30000}"/>
    <cellStyle name="제목 6 5" xfId="50183" xr:uid="{00000000-0005-0000-0000-000081C30000}"/>
    <cellStyle name="제목 6 6" xfId="50184" xr:uid="{00000000-0005-0000-0000-000082C30000}"/>
    <cellStyle name="제목 7" xfId="50185" xr:uid="{00000000-0005-0000-0000-000083C30000}"/>
    <cellStyle name="제목 8" xfId="50186" xr:uid="{00000000-0005-0000-0000-000084C30000}"/>
    <cellStyle name="제목 9" xfId="50187" xr:uid="{00000000-0005-0000-0000-000085C30000}"/>
    <cellStyle name="좋음 2" xfId="50188" xr:uid="{00000000-0005-0000-0000-000086C30000}"/>
    <cellStyle name="좋음 2 2" xfId="50189" xr:uid="{00000000-0005-0000-0000-000087C30000}"/>
    <cellStyle name="좋음 2 2 2" xfId="50190" xr:uid="{00000000-0005-0000-0000-000088C30000}"/>
    <cellStyle name="좋음 2 2 2 2" xfId="50191" xr:uid="{00000000-0005-0000-0000-000089C30000}"/>
    <cellStyle name="좋음 2 2 2 3" xfId="50192" xr:uid="{00000000-0005-0000-0000-00008AC30000}"/>
    <cellStyle name="좋음 2 2 2 4" xfId="50193" xr:uid="{00000000-0005-0000-0000-00008BC30000}"/>
    <cellStyle name="좋음 2 2 3" xfId="50194" xr:uid="{00000000-0005-0000-0000-00008CC30000}"/>
    <cellStyle name="좋음 2 2 4" xfId="50195" xr:uid="{00000000-0005-0000-0000-00008DC30000}"/>
    <cellStyle name="좋음 2 2 5" xfId="50196" xr:uid="{00000000-0005-0000-0000-00008EC30000}"/>
    <cellStyle name="좋음 2 2 6" xfId="50197" xr:uid="{00000000-0005-0000-0000-00008FC30000}"/>
    <cellStyle name="좋음 2 3" xfId="50198" xr:uid="{00000000-0005-0000-0000-000090C30000}"/>
    <cellStyle name="좋음 2 4" xfId="50199" xr:uid="{00000000-0005-0000-0000-000091C30000}"/>
    <cellStyle name="좋음 2 5" xfId="50200" xr:uid="{00000000-0005-0000-0000-000092C30000}"/>
    <cellStyle name="좋음 2 6" xfId="50201" xr:uid="{00000000-0005-0000-0000-000093C30000}"/>
    <cellStyle name="좋음 3" xfId="50202" xr:uid="{00000000-0005-0000-0000-000094C30000}"/>
    <cellStyle name="좋음 4" xfId="50203" xr:uid="{00000000-0005-0000-0000-000095C30000}"/>
    <cellStyle name="좋음 5" xfId="50204" xr:uid="{00000000-0005-0000-0000-000096C30000}"/>
    <cellStyle name="좋음 6" xfId="50205" xr:uid="{00000000-0005-0000-0000-000097C30000}"/>
    <cellStyle name="지정되지 않음" xfId="50206" xr:uid="{00000000-0005-0000-0000-000098C30000}"/>
    <cellStyle name="지정되지 않음 2" xfId="50207" xr:uid="{00000000-0005-0000-0000-000099C30000}"/>
    <cellStyle name="지정되지 않음 2 2" xfId="50208" xr:uid="{00000000-0005-0000-0000-00009AC30000}"/>
    <cellStyle name="지정되지 않음 2 3" xfId="50209" xr:uid="{00000000-0005-0000-0000-00009BC30000}"/>
    <cellStyle name="지정되지 않음 2 4" xfId="50210" xr:uid="{00000000-0005-0000-0000-00009CC30000}"/>
    <cellStyle name="지정되지 않음 2 5" xfId="50211" xr:uid="{00000000-0005-0000-0000-00009DC30000}"/>
    <cellStyle name="지정되지 않음 3" xfId="50212" xr:uid="{00000000-0005-0000-0000-00009EC30000}"/>
    <cellStyle name="지정되지 않음 4" xfId="50213" xr:uid="{00000000-0005-0000-0000-00009FC30000}"/>
    <cellStyle name="지정되지 않음 5" xfId="50214" xr:uid="{00000000-0005-0000-0000-0000A0C30000}"/>
    <cellStyle name="지정되지 않음 6" xfId="50215" xr:uid="{00000000-0005-0000-0000-0000A1C30000}"/>
    <cellStyle name="출력 2" xfId="50216" xr:uid="{00000000-0005-0000-0000-0000A2C30000}"/>
    <cellStyle name="출력 2 2" xfId="50217" xr:uid="{00000000-0005-0000-0000-0000A3C30000}"/>
    <cellStyle name="출력 2 2 2" xfId="50218" xr:uid="{00000000-0005-0000-0000-0000A4C30000}"/>
    <cellStyle name="출력 2 2 2 2" xfId="50219" xr:uid="{00000000-0005-0000-0000-0000A5C30000}"/>
    <cellStyle name="출력 2 2 2 2 2" xfId="50220" xr:uid="{00000000-0005-0000-0000-0000A6C30000}"/>
    <cellStyle name="출력 2 2 2 3" xfId="50221" xr:uid="{00000000-0005-0000-0000-0000A7C30000}"/>
    <cellStyle name="출력 2 2 2 3 2" xfId="50222" xr:uid="{00000000-0005-0000-0000-0000A8C30000}"/>
    <cellStyle name="출력 2 2 2 4" xfId="50223" xr:uid="{00000000-0005-0000-0000-0000A9C30000}"/>
    <cellStyle name="출력 2 2 3" xfId="50224" xr:uid="{00000000-0005-0000-0000-0000AAC30000}"/>
    <cellStyle name="출력 2 2 3 2" xfId="50225" xr:uid="{00000000-0005-0000-0000-0000ABC30000}"/>
    <cellStyle name="출력 2 2 4" xfId="50226" xr:uid="{00000000-0005-0000-0000-0000ACC30000}"/>
    <cellStyle name="출력 2 2 4 2" xfId="50227" xr:uid="{00000000-0005-0000-0000-0000ADC30000}"/>
    <cellStyle name="출력 2 2 5" xfId="50228" xr:uid="{00000000-0005-0000-0000-0000AEC30000}"/>
    <cellStyle name="출력 2 2 6" xfId="50229" xr:uid="{00000000-0005-0000-0000-0000AFC30000}"/>
    <cellStyle name="출력 2 2 7" xfId="50230" xr:uid="{00000000-0005-0000-0000-0000B0C30000}"/>
    <cellStyle name="출력 2 3" xfId="50231" xr:uid="{00000000-0005-0000-0000-0000B1C30000}"/>
    <cellStyle name="출력 2 3 2" xfId="50232" xr:uid="{00000000-0005-0000-0000-0000B2C30000}"/>
    <cellStyle name="출력 2 4" xfId="50233" xr:uid="{00000000-0005-0000-0000-0000B3C30000}"/>
    <cellStyle name="출력 2 4 2" xfId="50234" xr:uid="{00000000-0005-0000-0000-0000B4C30000}"/>
    <cellStyle name="출력 2 5" xfId="50235" xr:uid="{00000000-0005-0000-0000-0000B5C30000}"/>
    <cellStyle name="출력 2 6" xfId="50236" xr:uid="{00000000-0005-0000-0000-0000B6C30000}"/>
    <cellStyle name="출력 2 7" xfId="50237" xr:uid="{00000000-0005-0000-0000-0000B7C30000}"/>
    <cellStyle name="출력 3" xfId="50238" xr:uid="{00000000-0005-0000-0000-0000B8C30000}"/>
    <cellStyle name="출력 4" xfId="50239" xr:uid="{00000000-0005-0000-0000-0000B9C30000}"/>
    <cellStyle name="출력 5" xfId="50240" xr:uid="{00000000-0005-0000-0000-0000BAC30000}"/>
    <cellStyle name="출력 6" xfId="50241" xr:uid="{00000000-0005-0000-0000-0000BBC30000}"/>
    <cellStyle name="콤마 [0]_ 견적기준 FLOW " xfId="50242" xr:uid="{00000000-0005-0000-0000-0000BCC30000}"/>
    <cellStyle name="콤마_ 견적기준 FLOW " xfId="50243" xr:uid="{00000000-0005-0000-0000-0000BDC30000}"/>
    <cellStyle name="通貨 [0.00]_BKS-ESTIMATE" xfId="50244" xr:uid="{00000000-0005-0000-0000-0000BEC30000}"/>
    <cellStyle name="통화 [0] 2" xfId="160" xr:uid="{00000000-0005-0000-0000-0000BFC30000}"/>
    <cellStyle name="通貨_BKS-ESTIMATE" xfId="50245" xr:uid="{00000000-0005-0000-0000-0000C0C30000}"/>
    <cellStyle name="퍼센트" xfId="50246" xr:uid="{00000000-0005-0000-0000-0000C1C30000}"/>
    <cellStyle name="퍼센트 2" xfId="50247" xr:uid="{00000000-0005-0000-0000-0000C2C30000}"/>
    <cellStyle name="퍼센트 2 2" xfId="50248" xr:uid="{00000000-0005-0000-0000-0000C3C30000}"/>
    <cellStyle name="퍼센트 2 3" xfId="50249" xr:uid="{00000000-0005-0000-0000-0000C4C30000}"/>
    <cellStyle name="퍼센트 2 4" xfId="50250" xr:uid="{00000000-0005-0000-0000-0000C5C30000}"/>
    <cellStyle name="퍼센트 3" xfId="50251" xr:uid="{00000000-0005-0000-0000-0000C6C30000}"/>
    <cellStyle name="퍼센트 4" xfId="50252" xr:uid="{00000000-0005-0000-0000-0000C7C30000}"/>
    <cellStyle name="퍼센트 5" xfId="50253" xr:uid="{00000000-0005-0000-0000-0000C8C30000}"/>
    <cellStyle name="퍼센트 6" xfId="50254" xr:uid="{00000000-0005-0000-0000-0000C9C30000}"/>
    <cellStyle name="표준" xfId="0" builtinId="0"/>
    <cellStyle name="표준 10" xfId="50255" xr:uid="{00000000-0005-0000-0000-0000CBC30000}"/>
    <cellStyle name="표준 10 10" xfId="50256" xr:uid="{00000000-0005-0000-0000-0000CCC30000}"/>
    <cellStyle name="표준 10 11" xfId="50257" xr:uid="{00000000-0005-0000-0000-0000CDC30000}"/>
    <cellStyle name="표준 10 12" xfId="50258" xr:uid="{00000000-0005-0000-0000-0000CEC30000}"/>
    <cellStyle name="표준 10 13" xfId="50259" xr:uid="{00000000-0005-0000-0000-0000CFC30000}"/>
    <cellStyle name="표준 10 14" xfId="50260" xr:uid="{00000000-0005-0000-0000-0000D0C30000}"/>
    <cellStyle name="표준 10 15" xfId="50261" xr:uid="{00000000-0005-0000-0000-0000D1C30000}"/>
    <cellStyle name="표준 10 16" xfId="50262" xr:uid="{00000000-0005-0000-0000-0000D2C30000}"/>
    <cellStyle name="표준 10 17" xfId="50263" xr:uid="{00000000-0005-0000-0000-0000D3C30000}"/>
    <cellStyle name="표준 10 18" xfId="50264" xr:uid="{00000000-0005-0000-0000-0000D4C30000}"/>
    <cellStyle name="표준 10 19" xfId="50265" xr:uid="{00000000-0005-0000-0000-0000D5C30000}"/>
    <cellStyle name="표준 10 2" xfId="50266" xr:uid="{00000000-0005-0000-0000-0000D6C30000}"/>
    <cellStyle name="표준 10 2 10" xfId="50267" xr:uid="{00000000-0005-0000-0000-0000D7C30000}"/>
    <cellStyle name="표준 10 2 11" xfId="50268" xr:uid="{00000000-0005-0000-0000-0000D8C30000}"/>
    <cellStyle name="표준 10 2 12" xfId="50269" xr:uid="{00000000-0005-0000-0000-0000D9C30000}"/>
    <cellStyle name="표준 10 2 13" xfId="50270" xr:uid="{00000000-0005-0000-0000-0000DAC30000}"/>
    <cellStyle name="표준 10 2 14" xfId="50271" xr:uid="{00000000-0005-0000-0000-0000DBC30000}"/>
    <cellStyle name="표준 10 2 15" xfId="50272" xr:uid="{00000000-0005-0000-0000-0000DCC30000}"/>
    <cellStyle name="표준 10 2 16" xfId="50273" xr:uid="{00000000-0005-0000-0000-0000DDC30000}"/>
    <cellStyle name="표준 10 2 17" xfId="50274" xr:uid="{00000000-0005-0000-0000-0000DEC30000}"/>
    <cellStyle name="표준 10 2 18" xfId="50275" xr:uid="{00000000-0005-0000-0000-0000DFC30000}"/>
    <cellStyle name="표준 10 2 19" xfId="50276" xr:uid="{00000000-0005-0000-0000-0000E0C30000}"/>
    <cellStyle name="표준 10 2 2" xfId="50277" xr:uid="{00000000-0005-0000-0000-0000E1C30000}"/>
    <cellStyle name="표준 10 2 3" xfId="50278" xr:uid="{00000000-0005-0000-0000-0000E2C30000}"/>
    <cellStyle name="표준 10 2 4" xfId="50279" xr:uid="{00000000-0005-0000-0000-0000E3C30000}"/>
    <cellStyle name="표준 10 2 5" xfId="50280" xr:uid="{00000000-0005-0000-0000-0000E4C30000}"/>
    <cellStyle name="표준 10 2 6" xfId="50281" xr:uid="{00000000-0005-0000-0000-0000E5C30000}"/>
    <cellStyle name="표준 10 2 7" xfId="50282" xr:uid="{00000000-0005-0000-0000-0000E6C30000}"/>
    <cellStyle name="표준 10 2 8" xfId="50283" xr:uid="{00000000-0005-0000-0000-0000E7C30000}"/>
    <cellStyle name="표준 10 2 9" xfId="50284" xr:uid="{00000000-0005-0000-0000-0000E8C30000}"/>
    <cellStyle name="표준 10 20" xfId="50285" xr:uid="{00000000-0005-0000-0000-0000E9C30000}"/>
    <cellStyle name="표준 10 21" xfId="50286" xr:uid="{00000000-0005-0000-0000-0000EAC30000}"/>
    <cellStyle name="표준 10 22" xfId="50287" xr:uid="{00000000-0005-0000-0000-0000EBC30000}"/>
    <cellStyle name="표준 10 23" xfId="50288" xr:uid="{00000000-0005-0000-0000-0000ECC30000}"/>
    <cellStyle name="표준 10 24" xfId="50289" xr:uid="{00000000-0005-0000-0000-0000EDC30000}"/>
    <cellStyle name="표준 10 25" xfId="50290" xr:uid="{00000000-0005-0000-0000-0000EEC30000}"/>
    <cellStyle name="표준 10 26" xfId="50291" xr:uid="{00000000-0005-0000-0000-0000EFC30000}"/>
    <cellStyle name="표준 10 3" xfId="50292" xr:uid="{00000000-0005-0000-0000-0000F0C30000}"/>
    <cellStyle name="표준 10 3 10" xfId="50293" xr:uid="{00000000-0005-0000-0000-0000F1C30000}"/>
    <cellStyle name="표준 10 3 11" xfId="50294" xr:uid="{00000000-0005-0000-0000-0000F2C30000}"/>
    <cellStyle name="표준 10 3 12" xfId="50295" xr:uid="{00000000-0005-0000-0000-0000F3C30000}"/>
    <cellStyle name="표준 10 3 13" xfId="50296" xr:uid="{00000000-0005-0000-0000-0000F4C30000}"/>
    <cellStyle name="표준 10 3 14" xfId="50297" xr:uid="{00000000-0005-0000-0000-0000F5C30000}"/>
    <cellStyle name="표준 10 3 15" xfId="50298" xr:uid="{00000000-0005-0000-0000-0000F6C30000}"/>
    <cellStyle name="표준 10 3 16" xfId="50299" xr:uid="{00000000-0005-0000-0000-0000F7C30000}"/>
    <cellStyle name="표준 10 3 17" xfId="50300" xr:uid="{00000000-0005-0000-0000-0000F8C30000}"/>
    <cellStyle name="표준 10 3 18" xfId="50301" xr:uid="{00000000-0005-0000-0000-0000F9C30000}"/>
    <cellStyle name="표준 10 3 19" xfId="50302" xr:uid="{00000000-0005-0000-0000-0000FAC30000}"/>
    <cellStyle name="표준 10 3 2" xfId="50303" xr:uid="{00000000-0005-0000-0000-0000FBC30000}"/>
    <cellStyle name="표준 10 3 3" xfId="50304" xr:uid="{00000000-0005-0000-0000-0000FCC30000}"/>
    <cellStyle name="표준 10 3 4" xfId="50305" xr:uid="{00000000-0005-0000-0000-0000FDC30000}"/>
    <cellStyle name="표준 10 3 5" xfId="50306" xr:uid="{00000000-0005-0000-0000-0000FEC30000}"/>
    <cellStyle name="표준 10 3 6" xfId="50307" xr:uid="{00000000-0005-0000-0000-0000FFC30000}"/>
    <cellStyle name="표준 10 3 7" xfId="50308" xr:uid="{00000000-0005-0000-0000-000000C40000}"/>
    <cellStyle name="표준 10 3 8" xfId="50309" xr:uid="{00000000-0005-0000-0000-000001C40000}"/>
    <cellStyle name="표준 10 3 9" xfId="50310" xr:uid="{00000000-0005-0000-0000-000002C40000}"/>
    <cellStyle name="표준 10 4" xfId="50311" xr:uid="{00000000-0005-0000-0000-000003C40000}"/>
    <cellStyle name="표준 10 4 10" xfId="50312" xr:uid="{00000000-0005-0000-0000-000004C40000}"/>
    <cellStyle name="표준 10 4 11" xfId="50313" xr:uid="{00000000-0005-0000-0000-000005C40000}"/>
    <cellStyle name="표준 10 4 12" xfId="50314" xr:uid="{00000000-0005-0000-0000-000006C40000}"/>
    <cellStyle name="표준 10 4 13" xfId="50315" xr:uid="{00000000-0005-0000-0000-000007C40000}"/>
    <cellStyle name="표준 10 4 14" xfId="50316" xr:uid="{00000000-0005-0000-0000-000008C40000}"/>
    <cellStyle name="표준 10 4 15" xfId="50317" xr:uid="{00000000-0005-0000-0000-000009C40000}"/>
    <cellStyle name="표준 10 4 16" xfId="50318" xr:uid="{00000000-0005-0000-0000-00000AC40000}"/>
    <cellStyle name="표준 10 4 17" xfId="50319" xr:uid="{00000000-0005-0000-0000-00000BC40000}"/>
    <cellStyle name="표준 10 4 18" xfId="50320" xr:uid="{00000000-0005-0000-0000-00000CC40000}"/>
    <cellStyle name="표준 10 4 19" xfId="50321" xr:uid="{00000000-0005-0000-0000-00000DC40000}"/>
    <cellStyle name="표준 10 4 2" xfId="50322" xr:uid="{00000000-0005-0000-0000-00000EC40000}"/>
    <cellStyle name="표준 10 4 3" xfId="50323" xr:uid="{00000000-0005-0000-0000-00000FC40000}"/>
    <cellStyle name="표준 10 4 4" xfId="50324" xr:uid="{00000000-0005-0000-0000-000010C40000}"/>
    <cellStyle name="표준 10 4 5" xfId="50325" xr:uid="{00000000-0005-0000-0000-000011C40000}"/>
    <cellStyle name="표준 10 4 6" xfId="50326" xr:uid="{00000000-0005-0000-0000-000012C40000}"/>
    <cellStyle name="표준 10 4 7" xfId="50327" xr:uid="{00000000-0005-0000-0000-000013C40000}"/>
    <cellStyle name="표준 10 4 8" xfId="50328" xr:uid="{00000000-0005-0000-0000-000014C40000}"/>
    <cellStyle name="표준 10 4 9" xfId="50329" xr:uid="{00000000-0005-0000-0000-000015C40000}"/>
    <cellStyle name="표준 10 5" xfId="50330" xr:uid="{00000000-0005-0000-0000-000016C40000}"/>
    <cellStyle name="표준 10 5 10" xfId="50331" xr:uid="{00000000-0005-0000-0000-000017C40000}"/>
    <cellStyle name="표준 10 5 11" xfId="50332" xr:uid="{00000000-0005-0000-0000-000018C40000}"/>
    <cellStyle name="표준 10 5 12" xfId="50333" xr:uid="{00000000-0005-0000-0000-000019C40000}"/>
    <cellStyle name="표준 10 5 13" xfId="50334" xr:uid="{00000000-0005-0000-0000-00001AC40000}"/>
    <cellStyle name="표준 10 5 14" xfId="50335" xr:uid="{00000000-0005-0000-0000-00001BC40000}"/>
    <cellStyle name="표준 10 5 15" xfId="50336" xr:uid="{00000000-0005-0000-0000-00001CC40000}"/>
    <cellStyle name="표준 10 5 16" xfId="50337" xr:uid="{00000000-0005-0000-0000-00001DC40000}"/>
    <cellStyle name="표준 10 5 17" xfId="50338" xr:uid="{00000000-0005-0000-0000-00001EC40000}"/>
    <cellStyle name="표준 10 5 18" xfId="50339" xr:uid="{00000000-0005-0000-0000-00001FC40000}"/>
    <cellStyle name="표준 10 5 19" xfId="50340" xr:uid="{00000000-0005-0000-0000-000020C40000}"/>
    <cellStyle name="표준 10 5 2" xfId="50341" xr:uid="{00000000-0005-0000-0000-000021C40000}"/>
    <cellStyle name="표준 10 5 3" xfId="50342" xr:uid="{00000000-0005-0000-0000-000022C40000}"/>
    <cellStyle name="표준 10 5 4" xfId="50343" xr:uid="{00000000-0005-0000-0000-000023C40000}"/>
    <cellStyle name="표준 10 5 5" xfId="50344" xr:uid="{00000000-0005-0000-0000-000024C40000}"/>
    <cellStyle name="표준 10 5 6" xfId="50345" xr:uid="{00000000-0005-0000-0000-000025C40000}"/>
    <cellStyle name="표준 10 5 7" xfId="50346" xr:uid="{00000000-0005-0000-0000-000026C40000}"/>
    <cellStyle name="표준 10 5 8" xfId="50347" xr:uid="{00000000-0005-0000-0000-000027C40000}"/>
    <cellStyle name="표준 10 5 9" xfId="50348" xr:uid="{00000000-0005-0000-0000-000028C40000}"/>
    <cellStyle name="표준 10 6" xfId="50349" xr:uid="{00000000-0005-0000-0000-000029C40000}"/>
    <cellStyle name="표준 10 6 10" xfId="50350" xr:uid="{00000000-0005-0000-0000-00002AC40000}"/>
    <cellStyle name="표준 10 6 11" xfId="50351" xr:uid="{00000000-0005-0000-0000-00002BC40000}"/>
    <cellStyle name="표준 10 6 12" xfId="50352" xr:uid="{00000000-0005-0000-0000-00002CC40000}"/>
    <cellStyle name="표준 10 6 13" xfId="50353" xr:uid="{00000000-0005-0000-0000-00002DC40000}"/>
    <cellStyle name="표준 10 6 14" xfId="50354" xr:uid="{00000000-0005-0000-0000-00002EC40000}"/>
    <cellStyle name="표준 10 6 15" xfId="50355" xr:uid="{00000000-0005-0000-0000-00002FC40000}"/>
    <cellStyle name="표준 10 6 16" xfId="50356" xr:uid="{00000000-0005-0000-0000-000030C40000}"/>
    <cellStyle name="표준 10 6 17" xfId="50357" xr:uid="{00000000-0005-0000-0000-000031C40000}"/>
    <cellStyle name="표준 10 6 18" xfId="50358" xr:uid="{00000000-0005-0000-0000-000032C40000}"/>
    <cellStyle name="표준 10 6 19" xfId="50359" xr:uid="{00000000-0005-0000-0000-000033C40000}"/>
    <cellStyle name="표준 10 6 2" xfId="50360" xr:uid="{00000000-0005-0000-0000-000034C40000}"/>
    <cellStyle name="표준 10 6 3" xfId="50361" xr:uid="{00000000-0005-0000-0000-000035C40000}"/>
    <cellStyle name="표준 10 6 4" xfId="50362" xr:uid="{00000000-0005-0000-0000-000036C40000}"/>
    <cellStyle name="표준 10 6 5" xfId="50363" xr:uid="{00000000-0005-0000-0000-000037C40000}"/>
    <cellStyle name="표준 10 6 6" xfId="50364" xr:uid="{00000000-0005-0000-0000-000038C40000}"/>
    <cellStyle name="표준 10 6 7" xfId="50365" xr:uid="{00000000-0005-0000-0000-000039C40000}"/>
    <cellStyle name="표준 10 6 8" xfId="50366" xr:uid="{00000000-0005-0000-0000-00003AC40000}"/>
    <cellStyle name="표준 10 6 9" xfId="50367" xr:uid="{00000000-0005-0000-0000-00003BC40000}"/>
    <cellStyle name="표준 10 7" xfId="50368" xr:uid="{00000000-0005-0000-0000-00003CC40000}"/>
    <cellStyle name="표준 10 7 10" xfId="50369" xr:uid="{00000000-0005-0000-0000-00003DC40000}"/>
    <cellStyle name="표준 10 7 11" xfId="50370" xr:uid="{00000000-0005-0000-0000-00003EC40000}"/>
    <cellStyle name="표준 10 7 12" xfId="50371" xr:uid="{00000000-0005-0000-0000-00003FC40000}"/>
    <cellStyle name="표준 10 7 13" xfId="50372" xr:uid="{00000000-0005-0000-0000-000040C40000}"/>
    <cellStyle name="표준 10 7 14" xfId="50373" xr:uid="{00000000-0005-0000-0000-000041C40000}"/>
    <cellStyle name="표준 10 7 15" xfId="50374" xr:uid="{00000000-0005-0000-0000-000042C40000}"/>
    <cellStyle name="표준 10 7 16" xfId="50375" xr:uid="{00000000-0005-0000-0000-000043C40000}"/>
    <cellStyle name="표준 10 7 17" xfId="50376" xr:uid="{00000000-0005-0000-0000-000044C40000}"/>
    <cellStyle name="표준 10 7 18" xfId="50377" xr:uid="{00000000-0005-0000-0000-000045C40000}"/>
    <cellStyle name="표준 10 7 19" xfId="50378" xr:uid="{00000000-0005-0000-0000-000046C40000}"/>
    <cellStyle name="표준 10 7 2" xfId="50379" xr:uid="{00000000-0005-0000-0000-000047C40000}"/>
    <cellStyle name="표준 10 7 3" xfId="50380" xr:uid="{00000000-0005-0000-0000-000048C40000}"/>
    <cellStyle name="표준 10 7 4" xfId="50381" xr:uid="{00000000-0005-0000-0000-000049C40000}"/>
    <cellStyle name="표준 10 7 5" xfId="50382" xr:uid="{00000000-0005-0000-0000-00004AC40000}"/>
    <cellStyle name="표준 10 7 6" xfId="50383" xr:uid="{00000000-0005-0000-0000-00004BC40000}"/>
    <cellStyle name="표준 10 7 7" xfId="50384" xr:uid="{00000000-0005-0000-0000-00004CC40000}"/>
    <cellStyle name="표준 10 7 8" xfId="50385" xr:uid="{00000000-0005-0000-0000-00004DC40000}"/>
    <cellStyle name="표준 10 7 9" xfId="50386" xr:uid="{00000000-0005-0000-0000-00004EC40000}"/>
    <cellStyle name="표준 10 8" xfId="50387" xr:uid="{00000000-0005-0000-0000-00004FC40000}"/>
    <cellStyle name="표준 10 8 10" xfId="50388" xr:uid="{00000000-0005-0000-0000-000050C40000}"/>
    <cellStyle name="표준 10 8 11" xfId="50389" xr:uid="{00000000-0005-0000-0000-000051C40000}"/>
    <cellStyle name="표준 10 8 12" xfId="50390" xr:uid="{00000000-0005-0000-0000-000052C40000}"/>
    <cellStyle name="표준 10 8 13" xfId="50391" xr:uid="{00000000-0005-0000-0000-000053C40000}"/>
    <cellStyle name="표준 10 8 14" xfId="50392" xr:uid="{00000000-0005-0000-0000-000054C40000}"/>
    <cellStyle name="표준 10 8 15" xfId="50393" xr:uid="{00000000-0005-0000-0000-000055C40000}"/>
    <cellStyle name="표준 10 8 16" xfId="50394" xr:uid="{00000000-0005-0000-0000-000056C40000}"/>
    <cellStyle name="표준 10 8 17" xfId="50395" xr:uid="{00000000-0005-0000-0000-000057C40000}"/>
    <cellStyle name="표준 10 8 18" xfId="50396" xr:uid="{00000000-0005-0000-0000-000058C40000}"/>
    <cellStyle name="표준 10 8 19" xfId="50397" xr:uid="{00000000-0005-0000-0000-000059C40000}"/>
    <cellStyle name="표준 10 8 2" xfId="50398" xr:uid="{00000000-0005-0000-0000-00005AC40000}"/>
    <cellStyle name="표준 10 8 3" xfId="50399" xr:uid="{00000000-0005-0000-0000-00005BC40000}"/>
    <cellStyle name="표준 10 8 4" xfId="50400" xr:uid="{00000000-0005-0000-0000-00005CC40000}"/>
    <cellStyle name="표준 10 8 5" xfId="50401" xr:uid="{00000000-0005-0000-0000-00005DC40000}"/>
    <cellStyle name="표준 10 8 6" xfId="50402" xr:uid="{00000000-0005-0000-0000-00005EC40000}"/>
    <cellStyle name="표준 10 8 7" xfId="50403" xr:uid="{00000000-0005-0000-0000-00005FC40000}"/>
    <cellStyle name="표준 10 8 8" xfId="50404" xr:uid="{00000000-0005-0000-0000-000060C40000}"/>
    <cellStyle name="표준 10 8 9" xfId="50405" xr:uid="{00000000-0005-0000-0000-000061C40000}"/>
    <cellStyle name="표준 10 9" xfId="50406" xr:uid="{00000000-0005-0000-0000-000062C40000}"/>
    <cellStyle name="표준 11" xfId="50407" xr:uid="{00000000-0005-0000-0000-000063C40000}"/>
    <cellStyle name="표준 11 10" xfId="50408" xr:uid="{00000000-0005-0000-0000-000064C40000}"/>
    <cellStyle name="표준 11 11" xfId="50409" xr:uid="{00000000-0005-0000-0000-000065C40000}"/>
    <cellStyle name="표준 11 12" xfId="50410" xr:uid="{00000000-0005-0000-0000-000066C40000}"/>
    <cellStyle name="표준 11 13" xfId="50411" xr:uid="{00000000-0005-0000-0000-000067C40000}"/>
    <cellStyle name="표준 11 14" xfId="50412" xr:uid="{00000000-0005-0000-0000-000068C40000}"/>
    <cellStyle name="표준 11 15" xfId="50413" xr:uid="{00000000-0005-0000-0000-000069C40000}"/>
    <cellStyle name="표준 11 16" xfId="50414" xr:uid="{00000000-0005-0000-0000-00006AC40000}"/>
    <cellStyle name="표준 11 17" xfId="50415" xr:uid="{00000000-0005-0000-0000-00006BC40000}"/>
    <cellStyle name="표준 11 18" xfId="50416" xr:uid="{00000000-0005-0000-0000-00006CC40000}"/>
    <cellStyle name="표준 11 19" xfId="50417" xr:uid="{00000000-0005-0000-0000-00006DC40000}"/>
    <cellStyle name="표준 11 2" xfId="50418" xr:uid="{00000000-0005-0000-0000-00006EC40000}"/>
    <cellStyle name="표준 11 2 10" xfId="50419" xr:uid="{00000000-0005-0000-0000-00006FC40000}"/>
    <cellStyle name="표준 11 2 11" xfId="50420" xr:uid="{00000000-0005-0000-0000-000070C40000}"/>
    <cellStyle name="표준 11 2 12" xfId="50421" xr:uid="{00000000-0005-0000-0000-000071C40000}"/>
    <cellStyle name="표준 11 2 13" xfId="50422" xr:uid="{00000000-0005-0000-0000-000072C40000}"/>
    <cellStyle name="표준 11 2 14" xfId="50423" xr:uid="{00000000-0005-0000-0000-000073C40000}"/>
    <cellStyle name="표준 11 2 15" xfId="50424" xr:uid="{00000000-0005-0000-0000-000074C40000}"/>
    <cellStyle name="표준 11 2 16" xfId="50425" xr:uid="{00000000-0005-0000-0000-000075C40000}"/>
    <cellStyle name="표준 11 2 17" xfId="50426" xr:uid="{00000000-0005-0000-0000-000076C40000}"/>
    <cellStyle name="표준 11 2 18" xfId="50427" xr:uid="{00000000-0005-0000-0000-000077C40000}"/>
    <cellStyle name="표준 11 2 19" xfId="50428" xr:uid="{00000000-0005-0000-0000-000078C40000}"/>
    <cellStyle name="표준 11 2 2" xfId="50429" xr:uid="{00000000-0005-0000-0000-000079C40000}"/>
    <cellStyle name="표준 11 2 3" xfId="50430" xr:uid="{00000000-0005-0000-0000-00007AC40000}"/>
    <cellStyle name="표준 11 2 4" xfId="50431" xr:uid="{00000000-0005-0000-0000-00007BC40000}"/>
    <cellStyle name="표준 11 2 5" xfId="50432" xr:uid="{00000000-0005-0000-0000-00007CC40000}"/>
    <cellStyle name="표준 11 2 6" xfId="50433" xr:uid="{00000000-0005-0000-0000-00007DC40000}"/>
    <cellStyle name="표준 11 2 7" xfId="50434" xr:uid="{00000000-0005-0000-0000-00007EC40000}"/>
    <cellStyle name="표준 11 2 8" xfId="50435" xr:uid="{00000000-0005-0000-0000-00007FC40000}"/>
    <cellStyle name="표준 11 2 9" xfId="50436" xr:uid="{00000000-0005-0000-0000-000080C40000}"/>
    <cellStyle name="표준 11 20" xfId="50437" xr:uid="{00000000-0005-0000-0000-000081C40000}"/>
    <cellStyle name="표준 11 21" xfId="50438" xr:uid="{00000000-0005-0000-0000-000082C40000}"/>
    <cellStyle name="표준 11 22" xfId="50439" xr:uid="{00000000-0005-0000-0000-000083C40000}"/>
    <cellStyle name="표준 11 23" xfId="50440" xr:uid="{00000000-0005-0000-0000-000084C40000}"/>
    <cellStyle name="표준 11 24" xfId="50441" xr:uid="{00000000-0005-0000-0000-000085C40000}"/>
    <cellStyle name="표준 11 25" xfId="50442" xr:uid="{00000000-0005-0000-0000-000086C40000}"/>
    <cellStyle name="표준 11 26" xfId="50443" xr:uid="{00000000-0005-0000-0000-000087C40000}"/>
    <cellStyle name="표준 11 3" xfId="50444" xr:uid="{00000000-0005-0000-0000-000088C40000}"/>
    <cellStyle name="표준 11 3 10" xfId="50445" xr:uid="{00000000-0005-0000-0000-000089C40000}"/>
    <cellStyle name="표준 11 3 11" xfId="50446" xr:uid="{00000000-0005-0000-0000-00008AC40000}"/>
    <cellStyle name="표준 11 3 12" xfId="50447" xr:uid="{00000000-0005-0000-0000-00008BC40000}"/>
    <cellStyle name="표준 11 3 13" xfId="50448" xr:uid="{00000000-0005-0000-0000-00008CC40000}"/>
    <cellStyle name="표준 11 3 14" xfId="50449" xr:uid="{00000000-0005-0000-0000-00008DC40000}"/>
    <cellStyle name="표준 11 3 15" xfId="50450" xr:uid="{00000000-0005-0000-0000-00008EC40000}"/>
    <cellStyle name="표준 11 3 16" xfId="50451" xr:uid="{00000000-0005-0000-0000-00008FC40000}"/>
    <cellStyle name="표준 11 3 17" xfId="50452" xr:uid="{00000000-0005-0000-0000-000090C40000}"/>
    <cellStyle name="표준 11 3 18" xfId="50453" xr:uid="{00000000-0005-0000-0000-000091C40000}"/>
    <cellStyle name="표준 11 3 19" xfId="50454" xr:uid="{00000000-0005-0000-0000-000092C40000}"/>
    <cellStyle name="표준 11 3 2" xfId="50455" xr:uid="{00000000-0005-0000-0000-000093C40000}"/>
    <cellStyle name="표준 11 3 3" xfId="50456" xr:uid="{00000000-0005-0000-0000-000094C40000}"/>
    <cellStyle name="표준 11 3 4" xfId="50457" xr:uid="{00000000-0005-0000-0000-000095C40000}"/>
    <cellStyle name="표준 11 3 5" xfId="50458" xr:uid="{00000000-0005-0000-0000-000096C40000}"/>
    <cellStyle name="표준 11 3 6" xfId="50459" xr:uid="{00000000-0005-0000-0000-000097C40000}"/>
    <cellStyle name="표준 11 3 7" xfId="50460" xr:uid="{00000000-0005-0000-0000-000098C40000}"/>
    <cellStyle name="표준 11 3 8" xfId="50461" xr:uid="{00000000-0005-0000-0000-000099C40000}"/>
    <cellStyle name="표준 11 3 9" xfId="50462" xr:uid="{00000000-0005-0000-0000-00009AC40000}"/>
    <cellStyle name="표준 11 4" xfId="50463" xr:uid="{00000000-0005-0000-0000-00009BC40000}"/>
    <cellStyle name="표준 11 4 10" xfId="50464" xr:uid="{00000000-0005-0000-0000-00009CC40000}"/>
    <cellStyle name="표준 11 4 11" xfId="50465" xr:uid="{00000000-0005-0000-0000-00009DC40000}"/>
    <cellStyle name="표준 11 4 12" xfId="50466" xr:uid="{00000000-0005-0000-0000-00009EC40000}"/>
    <cellStyle name="표준 11 4 13" xfId="50467" xr:uid="{00000000-0005-0000-0000-00009FC40000}"/>
    <cellStyle name="표준 11 4 14" xfId="50468" xr:uid="{00000000-0005-0000-0000-0000A0C40000}"/>
    <cellStyle name="표준 11 4 15" xfId="50469" xr:uid="{00000000-0005-0000-0000-0000A1C40000}"/>
    <cellStyle name="표준 11 4 16" xfId="50470" xr:uid="{00000000-0005-0000-0000-0000A2C40000}"/>
    <cellStyle name="표준 11 4 17" xfId="50471" xr:uid="{00000000-0005-0000-0000-0000A3C40000}"/>
    <cellStyle name="표준 11 4 18" xfId="50472" xr:uid="{00000000-0005-0000-0000-0000A4C40000}"/>
    <cellStyle name="표준 11 4 19" xfId="50473" xr:uid="{00000000-0005-0000-0000-0000A5C40000}"/>
    <cellStyle name="표준 11 4 2" xfId="50474" xr:uid="{00000000-0005-0000-0000-0000A6C40000}"/>
    <cellStyle name="표준 11 4 3" xfId="50475" xr:uid="{00000000-0005-0000-0000-0000A7C40000}"/>
    <cellStyle name="표준 11 4 4" xfId="50476" xr:uid="{00000000-0005-0000-0000-0000A8C40000}"/>
    <cellStyle name="표준 11 4 5" xfId="50477" xr:uid="{00000000-0005-0000-0000-0000A9C40000}"/>
    <cellStyle name="표준 11 4 6" xfId="50478" xr:uid="{00000000-0005-0000-0000-0000AAC40000}"/>
    <cellStyle name="표준 11 4 7" xfId="50479" xr:uid="{00000000-0005-0000-0000-0000ABC40000}"/>
    <cellStyle name="표준 11 4 8" xfId="50480" xr:uid="{00000000-0005-0000-0000-0000ACC40000}"/>
    <cellStyle name="표준 11 4 9" xfId="50481" xr:uid="{00000000-0005-0000-0000-0000ADC40000}"/>
    <cellStyle name="표준 11 5" xfId="50482" xr:uid="{00000000-0005-0000-0000-0000AEC40000}"/>
    <cellStyle name="표준 11 5 10" xfId="50483" xr:uid="{00000000-0005-0000-0000-0000AFC40000}"/>
    <cellStyle name="표준 11 5 11" xfId="50484" xr:uid="{00000000-0005-0000-0000-0000B0C40000}"/>
    <cellStyle name="표준 11 5 12" xfId="50485" xr:uid="{00000000-0005-0000-0000-0000B1C40000}"/>
    <cellStyle name="표준 11 5 13" xfId="50486" xr:uid="{00000000-0005-0000-0000-0000B2C40000}"/>
    <cellStyle name="표준 11 5 14" xfId="50487" xr:uid="{00000000-0005-0000-0000-0000B3C40000}"/>
    <cellStyle name="표준 11 5 15" xfId="50488" xr:uid="{00000000-0005-0000-0000-0000B4C40000}"/>
    <cellStyle name="표준 11 5 16" xfId="50489" xr:uid="{00000000-0005-0000-0000-0000B5C40000}"/>
    <cellStyle name="표준 11 5 17" xfId="50490" xr:uid="{00000000-0005-0000-0000-0000B6C40000}"/>
    <cellStyle name="표준 11 5 18" xfId="50491" xr:uid="{00000000-0005-0000-0000-0000B7C40000}"/>
    <cellStyle name="표준 11 5 19" xfId="50492" xr:uid="{00000000-0005-0000-0000-0000B8C40000}"/>
    <cellStyle name="표준 11 5 2" xfId="50493" xr:uid="{00000000-0005-0000-0000-0000B9C40000}"/>
    <cellStyle name="표준 11 5 3" xfId="50494" xr:uid="{00000000-0005-0000-0000-0000BAC40000}"/>
    <cellStyle name="표준 11 5 4" xfId="50495" xr:uid="{00000000-0005-0000-0000-0000BBC40000}"/>
    <cellStyle name="표준 11 5 5" xfId="50496" xr:uid="{00000000-0005-0000-0000-0000BCC40000}"/>
    <cellStyle name="표준 11 5 6" xfId="50497" xr:uid="{00000000-0005-0000-0000-0000BDC40000}"/>
    <cellStyle name="표준 11 5 7" xfId="50498" xr:uid="{00000000-0005-0000-0000-0000BEC40000}"/>
    <cellStyle name="표준 11 5 8" xfId="50499" xr:uid="{00000000-0005-0000-0000-0000BFC40000}"/>
    <cellStyle name="표준 11 5 9" xfId="50500" xr:uid="{00000000-0005-0000-0000-0000C0C40000}"/>
    <cellStyle name="표준 11 6" xfId="50501" xr:uid="{00000000-0005-0000-0000-0000C1C40000}"/>
    <cellStyle name="표준 11 6 10" xfId="50502" xr:uid="{00000000-0005-0000-0000-0000C2C40000}"/>
    <cellStyle name="표준 11 6 11" xfId="50503" xr:uid="{00000000-0005-0000-0000-0000C3C40000}"/>
    <cellStyle name="표준 11 6 12" xfId="50504" xr:uid="{00000000-0005-0000-0000-0000C4C40000}"/>
    <cellStyle name="표준 11 6 13" xfId="50505" xr:uid="{00000000-0005-0000-0000-0000C5C40000}"/>
    <cellStyle name="표준 11 6 14" xfId="50506" xr:uid="{00000000-0005-0000-0000-0000C6C40000}"/>
    <cellStyle name="표준 11 6 15" xfId="50507" xr:uid="{00000000-0005-0000-0000-0000C7C40000}"/>
    <cellStyle name="표준 11 6 16" xfId="50508" xr:uid="{00000000-0005-0000-0000-0000C8C40000}"/>
    <cellStyle name="표준 11 6 17" xfId="50509" xr:uid="{00000000-0005-0000-0000-0000C9C40000}"/>
    <cellStyle name="표준 11 6 18" xfId="50510" xr:uid="{00000000-0005-0000-0000-0000CAC40000}"/>
    <cellStyle name="표준 11 6 19" xfId="50511" xr:uid="{00000000-0005-0000-0000-0000CBC40000}"/>
    <cellStyle name="표준 11 6 2" xfId="50512" xr:uid="{00000000-0005-0000-0000-0000CCC40000}"/>
    <cellStyle name="표준 11 6 3" xfId="50513" xr:uid="{00000000-0005-0000-0000-0000CDC40000}"/>
    <cellStyle name="표준 11 6 4" xfId="50514" xr:uid="{00000000-0005-0000-0000-0000CEC40000}"/>
    <cellStyle name="표준 11 6 5" xfId="50515" xr:uid="{00000000-0005-0000-0000-0000CFC40000}"/>
    <cellStyle name="표준 11 6 6" xfId="50516" xr:uid="{00000000-0005-0000-0000-0000D0C40000}"/>
    <cellStyle name="표준 11 6 7" xfId="50517" xr:uid="{00000000-0005-0000-0000-0000D1C40000}"/>
    <cellStyle name="표준 11 6 8" xfId="50518" xr:uid="{00000000-0005-0000-0000-0000D2C40000}"/>
    <cellStyle name="표준 11 6 9" xfId="50519" xr:uid="{00000000-0005-0000-0000-0000D3C40000}"/>
    <cellStyle name="표준 11 7" xfId="50520" xr:uid="{00000000-0005-0000-0000-0000D4C40000}"/>
    <cellStyle name="표준 11 7 10" xfId="50521" xr:uid="{00000000-0005-0000-0000-0000D5C40000}"/>
    <cellStyle name="표준 11 7 11" xfId="50522" xr:uid="{00000000-0005-0000-0000-0000D6C40000}"/>
    <cellStyle name="표준 11 7 12" xfId="50523" xr:uid="{00000000-0005-0000-0000-0000D7C40000}"/>
    <cellStyle name="표준 11 7 13" xfId="50524" xr:uid="{00000000-0005-0000-0000-0000D8C40000}"/>
    <cellStyle name="표준 11 7 14" xfId="50525" xr:uid="{00000000-0005-0000-0000-0000D9C40000}"/>
    <cellStyle name="표준 11 7 15" xfId="50526" xr:uid="{00000000-0005-0000-0000-0000DAC40000}"/>
    <cellStyle name="표준 11 7 16" xfId="50527" xr:uid="{00000000-0005-0000-0000-0000DBC40000}"/>
    <cellStyle name="표준 11 7 17" xfId="50528" xr:uid="{00000000-0005-0000-0000-0000DCC40000}"/>
    <cellStyle name="표준 11 7 18" xfId="50529" xr:uid="{00000000-0005-0000-0000-0000DDC40000}"/>
    <cellStyle name="표준 11 7 19" xfId="50530" xr:uid="{00000000-0005-0000-0000-0000DEC40000}"/>
    <cellStyle name="표준 11 7 2" xfId="50531" xr:uid="{00000000-0005-0000-0000-0000DFC40000}"/>
    <cellStyle name="표준 11 7 3" xfId="50532" xr:uid="{00000000-0005-0000-0000-0000E0C40000}"/>
    <cellStyle name="표준 11 7 4" xfId="50533" xr:uid="{00000000-0005-0000-0000-0000E1C40000}"/>
    <cellStyle name="표준 11 7 5" xfId="50534" xr:uid="{00000000-0005-0000-0000-0000E2C40000}"/>
    <cellStyle name="표준 11 7 6" xfId="50535" xr:uid="{00000000-0005-0000-0000-0000E3C40000}"/>
    <cellStyle name="표준 11 7 7" xfId="50536" xr:uid="{00000000-0005-0000-0000-0000E4C40000}"/>
    <cellStyle name="표준 11 7 8" xfId="50537" xr:uid="{00000000-0005-0000-0000-0000E5C40000}"/>
    <cellStyle name="표준 11 7 9" xfId="50538" xr:uid="{00000000-0005-0000-0000-0000E6C40000}"/>
    <cellStyle name="표준 11 8" xfId="50539" xr:uid="{00000000-0005-0000-0000-0000E7C40000}"/>
    <cellStyle name="표준 11 8 10" xfId="50540" xr:uid="{00000000-0005-0000-0000-0000E8C40000}"/>
    <cellStyle name="표준 11 8 11" xfId="50541" xr:uid="{00000000-0005-0000-0000-0000E9C40000}"/>
    <cellStyle name="표준 11 8 12" xfId="50542" xr:uid="{00000000-0005-0000-0000-0000EAC40000}"/>
    <cellStyle name="표준 11 8 13" xfId="50543" xr:uid="{00000000-0005-0000-0000-0000EBC40000}"/>
    <cellStyle name="표준 11 8 14" xfId="50544" xr:uid="{00000000-0005-0000-0000-0000ECC40000}"/>
    <cellStyle name="표준 11 8 15" xfId="50545" xr:uid="{00000000-0005-0000-0000-0000EDC40000}"/>
    <cellStyle name="표준 11 8 16" xfId="50546" xr:uid="{00000000-0005-0000-0000-0000EEC40000}"/>
    <cellStyle name="표준 11 8 17" xfId="50547" xr:uid="{00000000-0005-0000-0000-0000EFC40000}"/>
    <cellStyle name="표준 11 8 18" xfId="50548" xr:uid="{00000000-0005-0000-0000-0000F0C40000}"/>
    <cellStyle name="표준 11 8 19" xfId="50549" xr:uid="{00000000-0005-0000-0000-0000F1C40000}"/>
    <cellStyle name="표준 11 8 2" xfId="50550" xr:uid="{00000000-0005-0000-0000-0000F2C40000}"/>
    <cellStyle name="표준 11 8 3" xfId="50551" xr:uid="{00000000-0005-0000-0000-0000F3C40000}"/>
    <cellStyle name="표준 11 8 4" xfId="50552" xr:uid="{00000000-0005-0000-0000-0000F4C40000}"/>
    <cellStyle name="표준 11 8 5" xfId="50553" xr:uid="{00000000-0005-0000-0000-0000F5C40000}"/>
    <cellStyle name="표준 11 8 6" xfId="50554" xr:uid="{00000000-0005-0000-0000-0000F6C40000}"/>
    <cellStyle name="표준 11 8 7" xfId="50555" xr:uid="{00000000-0005-0000-0000-0000F7C40000}"/>
    <cellStyle name="표준 11 8 8" xfId="50556" xr:uid="{00000000-0005-0000-0000-0000F8C40000}"/>
    <cellStyle name="표준 11 8 9" xfId="50557" xr:uid="{00000000-0005-0000-0000-0000F9C40000}"/>
    <cellStyle name="표준 11 9" xfId="50558" xr:uid="{00000000-0005-0000-0000-0000FAC40000}"/>
    <cellStyle name="표준 12" xfId="50559" xr:uid="{00000000-0005-0000-0000-0000FBC40000}"/>
    <cellStyle name="표준 12 2" xfId="50560" xr:uid="{00000000-0005-0000-0000-0000FCC40000}"/>
    <cellStyle name="표준 12 2 2" xfId="50561" xr:uid="{00000000-0005-0000-0000-0000FDC40000}"/>
    <cellStyle name="표준 12 3" xfId="50562" xr:uid="{00000000-0005-0000-0000-0000FEC40000}"/>
    <cellStyle name="표준 12 3 2" xfId="50563" xr:uid="{00000000-0005-0000-0000-0000FFC40000}"/>
    <cellStyle name="표준 12 4" xfId="50564" xr:uid="{00000000-0005-0000-0000-000000C50000}"/>
    <cellStyle name="표준 12 4 2" xfId="50565" xr:uid="{00000000-0005-0000-0000-000001C50000}"/>
    <cellStyle name="표준 12 5" xfId="50566" xr:uid="{00000000-0005-0000-0000-000002C50000}"/>
    <cellStyle name="표준 13" xfId="50567" xr:uid="{00000000-0005-0000-0000-000003C50000}"/>
    <cellStyle name="표준 14" xfId="50568" xr:uid="{00000000-0005-0000-0000-000004C50000}"/>
    <cellStyle name="표준 15" xfId="50569" xr:uid="{00000000-0005-0000-0000-000005C50000}"/>
    <cellStyle name="표준 16" xfId="52810" xr:uid="{00000000-0005-0000-0000-000006C50000}"/>
    <cellStyle name="표준 2" xfId="1" xr:uid="{00000000-0005-0000-0000-000007C50000}"/>
    <cellStyle name="標準 2" xfId="161" xr:uid="{00000000-0005-0000-0000-000008C50000}"/>
    <cellStyle name="표준 2 10" xfId="162" xr:uid="{00000000-0005-0000-0000-000009C50000}"/>
    <cellStyle name="표준 2 11" xfId="163" xr:uid="{00000000-0005-0000-0000-00000AC50000}"/>
    <cellStyle name="표준 2 12" xfId="164" xr:uid="{00000000-0005-0000-0000-00000BC50000}"/>
    <cellStyle name="표준 2 13" xfId="165" xr:uid="{00000000-0005-0000-0000-00000CC50000}"/>
    <cellStyle name="표준 2 14" xfId="166" xr:uid="{00000000-0005-0000-0000-00000DC50000}"/>
    <cellStyle name="표준 2 15" xfId="167" xr:uid="{00000000-0005-0000-0000-00000EC50000}"/>
    <cellStyle name="표준 2 16" xfId="168" xr:uid="{00000000-0005-0000-0000-00000FC50000}"/>
    <cellStyle name="표준 2 17" xfId="169" xr:uid="{00000000-0005-0000-0000-000010C50000}"/>
    <cellStyle name="표준 2 18" xfId="170" xr:uid="{00000000-0005-0000-0000-000011C50000}"/>
    <cellStyle name="표준 2 19" xfId="171" xr:uid="{00000000-0005-0000-0000-000012C50000}"/>
    <cellStyle name="표준 2 2" xfId="172" xr:uid="{00000000-0005-0000-0000-000013C50000}"/>
    <cellStyle name="표준 2 2 10" xfId="173" xr:uid="{00000000-0005-0000-0000-000014C50000}"/>
    <cellStyle name="표준 2 2 10 2" xfId="50570" xr:uid="{00000000-0005-0000-0000-000015C50000}"/>
    <cellStyle name="표준 2 2 10 2 2" xfId="50571" xr:uid="{00000000-0005-0000-0000-000016C50000}"/>
    <cellStyle name="표준 2 2 10 2 3" xfId="50572" xr:uid="{00000000-0005-0000-0000-000017C50000}"/>
    <cellStyle name="표준 2 2 10 2 4" xfId="50573" xr:uid="{00000000-0005-0000-0000-000018C50000}"/>
    <cellStyle name="표준 2 2 10 2 5" xfId="50574" xr:uid="{00000000-0005-0000-0000-000019C50000}"/>
    <cellStyle name="표준 2 2 10 3" xfId="50575" xr:uid="{00000000-0005-0000-0000-00001AC50000}"/>
    <cellStyle name="표준 2 2 10 4" xfId="50576" xr:uid="{00000000-0005-0000-0000-00001BC50000}"/>
    <cellStyle name="표준 2 2 10 5" xfId="50577" xr:uid="{00000000-0005-0000-0000-00001CC50000}"/>
    <cellStyle name="표준 2 2 10 6" xfId="50578" xr:uid="{00000000-0005-0000-0000-00001DC50000}"/>
    <cellStyle name="표준 2 2 11" xfId="174" xr:uid="{00000000-0005-0000-0000-00001EC50000}"/>
    <cellStyle name="표준 2 2 12" xfId="175" xr:uid="{00000000-0005-0000-0000-00001FC50000}"/>
    <cellStyle name="표준 2 2 13" xfId="176" xr:uid="{00000000-0005-0000-0000-000020C50000}"/>
    <cellStyle name="표준 2 2 14" xfId="177" xr:uid="{00000000-0005-0000-0000-000021C50000}"/>
    <cellStyle name="표준 2 2 15" xfId="178" xr:uid="{00000000-0005-0000-0000-000022C50000}"/>
    <cellStyle name="표준 2 2 16" xfId="179" xr:uid="{00000000-0005-0000-0000-000023C50000}"/>
    <cellStyle name="표준 2 2 17" xfId="180" xr:uid="{00000000-0005-0000-0000-000024C50000}"/>
    <cellStyle name="표준 2 2 18" xfId="181" xr:uid="{00000000-0005-0000-0000-000025C50000}"/>
    <cellStyle name="표준 2 2 19" xfId="182" xr:uid="{00000000-0005-0000-0000-000026C50000}"/>
    <cellStyle name="표준 2 2 2" xfId="183" xr:uid="{00000000-0005-0000-0000-000027C50000}"/>
    <cellStyle name="표준 2 2 2 10" xfId="50579" xr:uid="{00000000-0005-0000-0000-000028C50000}"/>
    <cellStyle name="표준 2 2 2 2" xfId="184" xr:uid="{00000000-0005-0000-0000-000029C50000}"/>
    <cellStyle name="표준 2 2 2 2 2" xfId="50580" xr:uid="{00000000-0005-0000-0000-00002AC50000}"/>
    <cellStyle name="표준 2 2 2 2 3" xfId="50581" xr:uid="{00000000-0005-0000-0000-00002BC50000}"/>
    <cellStyle name="표준 2 2 2 2 4" xfId="50582" xr:uid="{00000000-0005-0000-0000-00002CC50000}"/>
    <cellStyle name="표준 2 2 2 2 5" xfId="50583" xr:uid="{00000000-0005-0000-0000-00002DC50000}"/>
    <cellStyle name="표준 2 2 2 3" xfId="50584" xr:uid="{00000000-0005-0000-0000-00002EC50000}"/>
    <cellStyle name="표준 2 2 2 4" xfId="50585" xr:uid="{00000000-0005-0000-0000-00002FC50000}"/>
    <cellStyle name="표준 2 2 2 5" xfId="50586" xr:uid="{00000000-0005-0000-0000-000030C50000}"/>
    <cellStyle name="표준 2 2 2 6" xfId="50587" xr:uid="{00000000-0005-0000-0000-000031C50000}"/>
    <cellStyle name="표준 2 2 2 7" xfId="50588" xr:uid="{00000000-0005-0000-0000-000032C50000}"/>
    <cellStyle name="표준 2 2 2 8" xfId="50589" xr:uid="{00000000-0005-0000-0000-000033C50000}"/>
    <cellStyle name="표준 2 2 2 9" xfId="50590" xr:uid="{00000000-0005-0000-0000-000034C50000}"/>
    <cellStyle name="표준 2 2 20" xfId="185" xr:uid="{00000000-0005-0000-0000-000035C50000}"/>
    <cellStyle name="표준 2 2 21" xfId="186" xr:uid="{00000000-0005-0000-0000-000036C50000}"/>
    <cellStyle name="표준 2 2 22" xfId="187" xr:uid="{00000000-0005-0000-0000-000037C50000}"/>
    <cellStyle name="표준 2 2 23" xfId="188" xr:uid="{00000000-0005-0000-0000-000038C50000}"/>
    <cellStyle name="표준 2 2 24" xfId="189" xr:uid="{00000000-0005-0000-0000-000039C50000}"/>
    <cellStyle name="표준 2 2 25" xfId="190" xr:uid="{00000000-0005-0000-0000-00003AC50000}"/>
    <cellStyle name="표준 2 2 26" xfId="191" xr:uid="{00000000-0005-0000-0000-00003BC50000}"/>
    <cellStyle name="표준 2 2 27" xfId="192" xr:uid="{00000000-0005-0000-0000-00003CC50000}"/>
    <cellStyle name="표준 2 2 28" xfId="193" xr:uid="{00000000-0005-0000-0000-00003DC50000}"/>
    <cellStyle name="표준 2 2 29" xfId="194" xr:uid="{00000000-0005-0000-0000-00003EC50000}"/>
    <cellStyle name="표준 2 2 3" xfId="195" xr:uid="{00000000-0005-0000-0000-00003FC50000}"/>
    <cellStyle name="표준 2 2 3 2" xfId="50591" xr:uid="{00000000-0005-0000-0000-000040C50000}"/>
    <cellStyle name="표준 2 2 3 3" xfId="50592" xr:uid="{00000000-0005-0000-0000-000041C50000}"/>
    <cellStyle name="표준 2 2 3 4" xfId="50593" xr:uid="{00000000-0005-0000-0000-000042C50000}"/>
    <cellStyle name="표준 2 2 30" xfId="196" xr:uid="{00000000-0005-0000-0000-000043C50000}"/>
    <cellStyle name="표준 2 2 31" xfId="197" xr:uid="{00000000-0005-0000-0000-000044C50000}"/>
    <cellStyle name="표준 2 2 32" xfId="198" xr:uid="{00000000-0005-0000-0000-000045C50000}"/>
    <cellStyle name="표준 2 2 33" xfId="199" xr:uid="{00000000-0005-0000-0000-000046C50000}"/>
    <cellStyle name="표준 2 2 34" xfId="200" xr:uid="{00000000-0005-0000-0000-000047C50000}"/>
    <cellStyle name="표준 2 2 35" xfId="201" xr:uid="{00000000-0005-0000-0000-000048C50000}"/>
    <cellStyle name="표준 2 2 36" xfId="202" xr:uid="{00000000-0005-0000-0000-000049C50000}"/>
    <cellStyle name="표준 2 2 37" xfId="203" xr:uid="{00000000-0005-0000-0000-00004AC50000}"/>
    <cellStyle name="표준 2 2 38" xfId="204" xr:uid="{00000000-0005-0000-0000-00004BC50000}"/>
    <cellStyle name="표준 2 2 39" xfId="205" xr:uid="{00000000-0005-0000-0000-00004CC50000}"/>
    <cellStyle name="표준 2 2 4" xfId="206" xr:uid="{00000000-0005-0000-0000-00004DC50000}"/>
    <cellStyle name="표준 2 2 40" xfId="207" xr:uid="{00000000-0005-0000-0000-00004EC50000}"/>
    <cellStyle name="표준 2 2 41" xfId="208" xr:uid="{00000000-0005-0000-0000-00004FC50000}"/>
    <cellStyle name="표준 2 2 42" xfId="209" xr:uid="{00000000-0005-0000-0000-000050C50000}"/>
    <cellStyle name="표준 2 2 43" xfId="210" xr:uid="{00000000-0005-0000-0000-000051C50000}"/>
    <cellStyle name="표준 2 2 44" xfId="211" xr:uid="{00000000-0005-0000-0000-000052C50000}"/>
    <cellStyle name="표준 2 2 45" xfId="212" xr:uid="{00000000-0005-0000-0000-000053C50000}"/>
    <cellStyle name="표준 2 2 46" xfId="213" xr:uid="{00000000-0005-0000-0000-000054C50000}"/>
    <cellStyle name="표준 2 2 47" xfId="214" xr:uid="{00000000-0005-0000-0000-000055C50000}"/>
    <cellStyle name="표준 2 2 48" xfId="215" xr:uid="{00000000-0005-0000-0000-000056C50000}"/>
    <cellStyle name="표준 2 2 49" xfId="216" xr:uid="{00000000-0005-0000-0000-000057C50000}"/>
    <cellStyle name="표준 2 2 5" xfId="217" xr:uid="{00000000-0005-0000-0000-000058C50000}"/>
    <cellStyle name="표준 2 2 50" xfId="218" xr:uid="{00000000-0005-0000-0000-000059C50000}"/>
    <cellStyle name="표준 2 2 51" xfId="219" xr:uid="{00000000-0005-0000-0000-00005AC50000}"/>
    <cellStyle name="표준 2 2 52" xfId="220" xr:uid="{00000000-0005-0000-0000-00005BC50000}"/>
    <cellStyle name="표준 2 2 53" xfId="50594" xr:uid="{00000000-0005-0000-0000-00005CC50000}"/>
    <cellStyle name="표준 2 2 54" xfId="50595" xr:uid="{00000000-0005-0000-0000-00005DC50000}"/>
    <cellStyle name="표준 2 2 55" xfId="50596" xr:uid="{00000000-0005-0000-0000-00005EC50000}"/>
    <cellStyle name="표준 2 2 56" xfId="50597" xr:uid="{00000000-0005-0000-0000-00005FC50000}"/>
    <cellStyle name="표준 2 2 57" xfId="50598" xr:uid="{00000000-0005-0000-0000-000060C50000}"/>
    <cellStyle name="표준 2 2 58" xfId="50599" xr:uid="{00000000-0005-0000-0000-000061C50000}"/>
    <cellStyle name="표준 2 2 59" xfId="50600" xr:uid="{00000000-0005-0000-0000-000062C50000}"/>
    <cellStyle name="표준 2 2 6" xfId="221" xr:uid="{00000000-0005-0000-0000-000063C50000}"/>
    <cellStyle name="표준 2 2 60" xfId="50601" xr:uid="{00000000-0005-0000-0000-000064C50000}"/>
    <cellStyle name="표준 2 2 61" xfId="50602" xr:uid="{00000000-0005-0000-0000-000065C50000}"/>
    <cellStyle name="표준 2 2 62" xfId="50603" xr:uid="{00000000-0005-0000-0000-000066C50000}"/>
    <cellStyle name="표준 2 2 63" xfId="50604" xr:uid="{00000000-0005-0000-0000-000067C50000}"/>
    <cellStyle name="표준 2 2 64" xfId="50605" xr:uid="{00000000-0005-0000-0000-000068C50000}"/>
    <cellStyle name="표준 2 2 65" xfId="50606" xr:uid="{00000000-0005-0000-0000-000069C50000}"/>
    <cellStyle name="표준 2 2 66" xfId="50607" xr:uid="{00000000-0005-0000-0000-00006AC50000}"/>
    <cellStyle name="표준 2 2 67" xfId="50608" xr:uid="{00000000-0005-0000-0000-00006BC50000}"/>
    <cellStyle name="표준 2 2 7" xfId="222" xr:uid="{00000000-0005-0000-0000-00006CC50000}"/>
    <cellStyle name="표준 2 2 8" xfId="223" xr:uid="{00000000-0005-0000-0000-00006DC50000}"/>
    <cellStyle name="표준 2 2 9" xfId="224" xr:uid="{00000000-0005-0000-0000-00006EC50000}"/>
    <cellStyle name="표준 2 20" xfId="225" xr:uid="{00000000-0005-0000-0000-00006FC50000}"/>
    <cellStyle name="표준 2 21" xfId="226" xr:uid="{00000000-0005-0000-0000-000070C50000}"/>
    <cellStyle name="표준 2 22" xfId="227" xr:uid="{00000000-0005-0000-0000-000071C50000}"/>
    <cellStyle name="표준 2 23" xfId="228" xr:uid="{00000000-0005-0000-0000-000072C50000}"/>
    <cellStyle name="표준 2 24" xfId="229" xr:uid="{00000000-0005-0000-0000-000073C50000}"/>
    <cellStyle name="표준 2 25" xfId="230" xr:uid="{00000000-0005-0000-0000-000074C50000}"/>
    <cellStyle name="표준 2 26" xfId="231" xr:uid="{00000000-0005-0000-0000-000075C50000}"/>
    <cellStyle name="표준 2 27" xfId="232" xr:uid="{00000000-0005-0000-0000-000076C50000}"/>
    <cellStyle name="표준 2 28" xfId="233" xr:uid="{00000000-0005-0000-0000-000077C50000}"/>
    <cellStyle name="표준 2 29" xfId="234" xr:uid="{00000000-0005-0000-0000-000078C50000}"/>
    <cellStyle name="표준 2 3" xfId="235" xr:uid="{00000000-0005-0000-0000-000079C50000}"/>
    <cellStyle name="표준 2 3 10" xfId="50609" xr:uid="{00000000-0005-0000-0000-00007AC50000}"/>
    <cellStyle name="표준 2 3 11" xfId="50610" xr:uid="{00000000-0005-0000-0000-00007BC50000}"/>
    <cellStyle name="표준 2 3 12" xfId="50611" xr:uid="{00000000-0005-0000-0000-00007CC50000}"/>
    <cellStyle name="표준 2 3 13" xfId="50612" xr:uid="{00000000-0005-0000-0000-00007DC50000}"/>
    <cellStyle name="표준 2 3 14" xfId="50613" xr:uid="{00000000-0005-0000-0000-00007EC50000}"/>
    <cellStyle name="표준 2 3 15" xfId="50614" xr:uid="{00000000-0005-0000-0000-00007FC50000}"/>
    <cellStyle name="표준 2 3 16" xfId="50615" xr:uid="{00000000-0005-0000-0000-000080C50000}"/>
    <cellStyle name="표준 2 3 17" xfId="50616" xr:uid="{00000000-0005-0000-0000-000081C50000}"/>
    <cellStyle name="표준 2 3 18" xfId="50617" xr:uid="{00000000-0005-0000-0000-000082C50000}"/>
    <cellStyle name="표준 2 3 19" xfId="50618" xr:uid="{00000000-0005-0000-0000-000083C50000}"/>
    <cellStyle name="표준 2 3 2" xfId="236" xr:uid="{00000000-0005-0000-0000-000084C50000}"/>
    <cellStyle name="표준 2 3 2 2" xfId="50619" xr:uid="{00000000-0005-0000-0000-000085C50000}"/>
    <cellStyle name="표준 2 3 2 3" xfId="50620" xr:uid="{00000000-0005-0000-0000-000086C50000}"/>
    <cellStyle name="표준 2 3 2 4" xfId="50621" xr:uid="{00000000-0005-0000-0000-000087C50000}"/>
    <cellStyle name="표준 2 3 2 5" xfId="50622" xr:uid="{00000000-0005-0000-0000-000088C50000}"/>
    <cellStyle name="표준 2 3 3" xfId="237" xr:uid="{00000000-0005-0000-0000-000089C50000}"/>
    <cellStyle name="표준 2 3 3 2" xfId="50623" xr:uid="{00000000-0005-0000-0000-00008AC50000}"/>
    <cellStyle name="표준 2 3 3 3" xfId="50624" xr:uid="{00000000-0005-0000-0000-00008BC50000}"/>
    <cellStyle name="표준 2 3 3 4" xfId="50625" xr:uid="{00000000-0005-0000-0000-00008CC50000}"/>
    <cellStyle name="표준 2 3 4" xfId="238" xr:uid="{00000000-0005-0000-0000-00008DC50000}"/>
    <cellStyle name="표준 2 3 5" xfId="50626" xr:uid="{00000000-0005-0000-0000-00008EC50000}"/>
    <cellStyle name="표준 2 3 6" xfId="50627" xr:uid="{00000000-0005-0000-0000-00008FC50000}"/>
    <cellStyle name="표준 2 3 7" xfId="50628" xr:uid="{00000000-0005-0000-0000-000090C50000}"/>
    <cellStyle name="표준 2 3 8" xfId="50629" xr:uid="{00000000-0005-0000-0000-000091C50000}"/>
    <cellStyle name="표준 2 3 9" xfId="50630" xr:uid="{00000000-0005-0000-0000-000092C50000}"/>
    <cellStyle name="표준 2 30" xfId="239" xr:uid="{00000000-0005-0000-0000-000093C50000}"/>
    <cellStyle name="표준 2 31" xfId="240" xr:uid="{00000000-0005-0000-0000-000094C50000}"/>
    <cellStyle name="표준 2 32" xfId="241" xr:uid="{00000000-0005-0000-0000-000095C50000}"/>
    <cellStyle name="표준 2 33" xfId="242" xr:uid="{00000000-0005-0000-0000-000096C50000}"/>
    <cellStyle name="표준 2 34" xfId="243" xr:uid="{00000000-0005-0000-0000-000097C50000}"/>
    <cellStyle name="표준 2 35" xfId="244" xr:uid="{00000000-0005-0000-0000-000098C50000}"/>
    <cellStyle name="표준 2 36" xfId="245" xr:uid="{00000000-0005-0000-0000-000099C50000}"/>
    <cellStyle name="표준 2 37" xfId="246" xr:uid="{00000000-0005-0000-0000-00009AC50000}"/>
    <cellStyle name="표준 2 38" xfId="247" xr:uid="{00000000-0005-0000-0000-00009BC50000}"/>
    <cellStyle name="표준 2 39" xfId="248" xr:uid="{00000000-0005-0000-0000-00009CC50000}"/>
    <cellStyle name="표준 2 4" xfId="249" xr:uid="{00000000-0005-0000-0000-00009DC50000}"/>
    <cellStyle name="표준 2 4 10" xfId="50631" xr:uid="{00000000-0005-0000-0000-00009EC50000}"/>
    <cellStyle name="표준 2 4 11" xfId="50632" xr:uid="{00000000-0005-0000-0000-00009FC50000}"/>
    <cellStyle name="표준 2 4 2" xfId="250" xr:uid="{00000000-0005-0000-0000-0000A0C50000}"/>
    <cellStyle name="표준 2 4 2 2" xfId="50633" xr:uid="{00000000-0005-0000-0000-0000A1C50000}"/>
    <cellStyle name="표준 2 4 2 3" xfId="50634" xr:uid="{00000000-0005-0000-0000-0000A2C50000}"/>
    <cellStyle name="표준 2 4 2 4" xfId="50635" xr:uid="{00000000-0005-0000-0000-0000A3C50000}"/>
    <cellStyle name="표준 2 4 2 5" xfId="50636" xr:uid="{00000000-0005-0000-0000-0000A4C50000}"/>
    <cellStyle name="표준 2 4 3" xfId="251" xr:uid="{00000000-0005-0000-0000-0000A5C50000}"/>
    <cellStyle name="표준 2 4 4" xfId="50637" xr:uid="{00000000-0005-0000-0000-0000A6C50000}"/>
    <cellStyle name="표준 2 4 5" xfId="50638" xr:uid="{00000000-0005-0000-0000-0000A7C50000}"/>
    <cellStyle name="표준 2 4 6" xfId="50639" xr:uid="{00000000-0005-0000-0000-0000A8C50000}"/>
    <cellStyle name="표준 2 4 7" xfId="50640" xr:uid="{00000000-0005-0000-0000-0000A9C50000}"/>
    <cellStyle name="표준 2 4 8" xfId="50641" xr:uid="{00000000-0005-0000-0000-0000AAC50000}"/>
    <cellStyle name="표준 2 4 9" xfId="50642" xr:uid="{00000000-0005-0000-0000-0000ABC50000}"/>
    <cellStyle name="표준 2 40" xfId="252" xr:uid="{00000000-0005-0000-0000-0000ACC50000}"/>
    <cellStyle name="표준 2 41" xfId="253" xr:uid="{00000000-0005-0000-0000-0000ADC50000}"/>
    <cellStyle name="표준 2 42" xfId="254" xr:uid="{00000000-0005-0000-0000-0000AEC50000}"/>
    <cellStyle name="표준 2 43" xfId="255" xr:uid="{00000000-0005-0000-0000-0000AFC50000}"/>
    <cellStyle name="표준 2 44" xfId="256" xr:uid="{00000000-0005-0000-0000-0000B0C50000}"/>
    <cellStyle name="표준 2 45" xfId="257" xr:uid="{00000000-0005-0000-0000-0000B1C50000}"/>
    <cellStyle name="표준 2 46" xfId="258" xr:uid="{00000000-0005-0000-0000-0000B2C50000}"/>
    <cellStyle name="표준 2 47" xfId="259" xr:uid="{00000000-0005-0000-0000-0000B3C50000}"/>
    <cellStyle name="표준 2 48" xfId="260" xr:uid="{00000000-0005-0000-0000-0000B4C50000}"/>
    <cellStyle name="표준 2 49" xfId="261" xr:uid="{00000000-0005-0000-0000-0000B5C50000}"/>
    <cellStyle name="표준 2 5" xfId="262" xr:uid="{00000000-0005-0000-0000-0000B6C50000}"/>
    <cellStyle name="표준 2 5 2" xfId="263" xr:uid="{00000000-0005-0000-0000-0000B7C50000}"/>
    <cellStyle name="표준 2 5 2 2" xfId="50643" xr:uid="{00000000-0005-0000-0000-0000B8C50000}"/>
    <cellStyle name="표준 2 5 2 3" xfId="50644" xr:uid="{00000000-0005-0000-0000-0000B9C50000}"/>
    <cellStyle name="표준 2 5 2 4" xfId="50645" xr:uid="{00000000-0005-0000-0000-0000BAC50000}"/>
    <cellStyle name="표준 2 5 2 5" xfId="50646" xr:uid="{00000000-0005-0000-0000-0000BBC50000}"/>
    <cellStyle name="표준 2 5 3" xfId="264" xr:uid="{00000000-0005-0000-0000-0000BCC50000}"/>
    <cellStyle name="표준 2 5 4" xfId="50647" xr:uid="{00000000-0005-0000-0000-0000BDC50000}"/>
    <cellStyle name="표준 2 5 5" xfId="50648" xr:uid="{00000000-0005-0000-0000-0000BEC50000}"/>
    <cellStyle name="표준 2 5 6" xfId="50649" xr:uid="{00000000-0005-0000-0000-0000BFC50000}"/>
    <cellStyle name="표준 2 50" xfId="265" xr:uid="{00000000-0005-0000-0000-0000C0C50000}"/>
    <cellStyle name="표준 2 51" xfId="266" xr:uid="{00000000-0005-0000-0000-0000C1C50000}"/>
    <cellStyle name="표준 2 52" xfId="267" xr:uid="{00000000-0005-0000-0000-0000C2C50000}"/>
    <cellStyle name="표준 2 53" xfId="268" xr:uid="{00000000-0005-0000-0000-0000C3C50000}"/>
    <cellStyle name="표준 2 54" xfId="269" xr:uid="{00000000-0005-0000-0000-0000C4C50000}"/>
    <cellStyle name="표준 2 55" xfId="270" xr:uid="{00000000-0005-0000-0000-0000C5C50000}"/>
    <cellStyle name="표준 2 56" xfId="271" xr:uid="{00000000-0005-0000-0000-0000C6C50000}"/>
    <cellStyle name="표준 2 57" xfId="272" xr:uid="{00000000-0005-0000-0000-0000C7C50000}"/>
    <cellStyle name="표준 2 58" xfId="273" xr:uid="{00000000-0005-0000-0000-0000C8C50000}"/>
    <cellStyle name="표준 2 59" xfId="274" xr:uid="{00000000-0005-0000-0000-0000C9C50000}"/>
    <cellStyle name="표준 2 6" xfId="275" xr:uid="{00000000-0005-0000-0000-0000CAC50000}"/>
    <cellStyle name="표준 2 60" xfId="276" xr:uid="{00000000-0005-0000-0000-0000CBC50000}"/>
    <cellStyle name="표준 2 61" xfId="277" xr:uid="{00000000-0005-0000-0000-0000CCC50000}"/>
    <cellStyle name="표준 2 62" xfId="302" xr:uid="{00000000-0005-0000-0000-0000CDC50000}"/>
    <cellStyle name="표준 2 63" xfId="50650" xr:uid="{00000000-0005-0000-0000-0000CEC50000}"/>
    <cellStyle name="표준 2 64" xfId="50651" xr:uid="{00000000-0005-0000-0000-0000CFC50000}"/>
    <cellStyle name="표준 2 65" xfId="50652" xr:uid="{00000000-0005-0000-0000-0000D0C50000}"/>
    <cellStyle name="표준 2 66" xfId="50653" xr:uid="{00000000-0005-0000-0000-0000D1C50000}"/>
    <cellStyle name="표준 2 67" xfId="50654" xr:uid="{00000000-0005-0000-0000-0000D2C50000}"/>
    <cellStyle name="표준 2 68" xfId="50655" xr:uid="{00000000-0005-0000-0000-0000D3C50000}"/>
    <cellStyle name="표준 2 69" xfId="50656" xr:uid="{00000000-0005-0000-0000-0000D4C50000}"/>
    <cellStyle name="표준 2 7" xfId="278" xr:uid="{00000000-0005-0000-0000-0000D5C50000}"/>
    <cellStyle name="표준 2 70" xfId="50657" xr:uid="{00000000-0005-0000-0000-0000D6C50000}"/>
    <cellStyle name="표준 2 71" xfId="50658" xr:uid="{00000000-0005-0000-0000-0000D7C50000}"/>
    <cellStyle name="표준 2 72" xfId="50659" xr:uid="{00000000-0005-0000-0000-0000D8C50000}"/>
    <cellStyle name="표준 2 73" xfId="50660" xr:uid="{00000000-0005-0000-0000-0000D9C50000}"/>
    <cellStyle name="표준 2 74" xfId="50661" xr:uid="{00000000-0005-0000-0000-0000DAC50000}"/>
    <cellStyle name="표준 2 75" xfId="52811" xr:uid="{00000000-0005-0000-0000-0000DBC50000}"/>
    <cellStyle name="표준 2 8" xfId="279" xr:uid="{00000000-0005-0000-0000-0000DCC50000}"/>
    <cellStyle name="표준 2 9" xfId="280" xr:uid="{00000000-0005-0000-0000-0000DDC50000}"/>
    <cellStyle name="표준 28" xfId="281" xr:uid="{00000000-0005-0000-0000-0000DEC50000}"/>
    <cellStyle name="표준 28 2" xfId="282" xr:uid="{00000000-0005-0000-0000-0000DFC50000}"/>
    <cellStyle name="표준 3" xfId="283" xr:uid="{00000000-0005-0000-0000-0000E0C50000}"/>
    <cellStyle name="표준 3 10" xfId="50662" xr:uid="{00000000-0005-0000-0000-0000E1C50000}"/>
    <cellStyle name="표준 3 11" xfId="50663" xr:uid="{00000000-0005-0000-0000-0000E2C50000}"/>
    <cellStyle name="표준 3 12" xfId="50664" xr:uid="{00000000-0005-0000-0000-0000E3C50000}"/>
    <cellStyle name="표준 3 13" xfId="50665" xr:uid="{00000000-0005-0000-0000-0000E4C50000}"/>
    <cellStyle name="표준 3 14" xfId="50666" xr:uid="{00000000-0005-0000-0000-0000E5C50000}"/>
    <cellStyle name="표준 3 15" xfId="50667" xr:uid="{00000000-0005-0000-0000-0000E6C50000}"/>
    <cellStyle name="표준 3 16" xfId="50668" xr:uid="{00000000-0005-0000-0000-0000E7C50000}"/>
    <cellStyle name="표준 3 17" xfId="50669" xr:uid="{00000000-0005-0000-0000-0000E8C50000}"/>
    <cellStyle name="표준 3 18" xfId="50670" xr:uid="{00000000-0005-0000-0000-0000E9C50000}"/>
    <cellStyle name="표준 3 19" xfId="52813" xr:uid="{00000000-0005-0000-0000-0000EAC50000}"/>
    <cellStyle name="표준 3 2" xfId="284" xr:uid="{00000000-0005-0000-0000-0000EBC50000}"/>
    <cellStyle name="표준 3 2 10" xfId="50671" xr:uid="{00000000-0005-0000-0000-0000ECC50000}"/>
    <cellStyle name="표준 3 2 11" xfId="50672" xr:uid="{00000000-0005-0000-0000-0000EDC50000}"/>
    <cellStyle name="표준 3 2 2" xfId="285" xr:uid="{00000000-0005-0000-0000-0000EEC50000}"/>
    <cellStyle name="표준 3 2 2 10" xfId="50673" xr:uid="{00000000-0005-0000-0000-0000EFC50000}"/>
    <cellStyle name="표준 3 2 2 2" xfId="50674" xr:uid="{00000000-0005-0000-0000-0000F0C50000}"/>
    <cellStyle name="표준 3 2 2 2 2" xfId="50675" xr:uid="{00000000-0005-0000-0000-0000F1C50000}"/>
    <cellStyle name="표준 3 2 2 2 3" xfId="50676" xr:uid="{00000000-0005-0000-0000-0000F2C50000}"/>
    <cellStyle name="표준 3 2 2 2 4" xfId="50677" xr:uid="{00000000-0005-0000-0000-0000F3C50000}"/>
    <cellStyle name="표준 3 2 2 2 5" xfId="50678" xr:uid="{00000000-0005-0000-0000-0000F4C50000}"/>
    <cellStyle name="표준 3 2 2 2 6" xfId="50679" xr:uid="{00000000-0005-0000-0000-0000F5C50000}"/>
    <cellStyle name="표준 3 2 2 3" xfId="50680" xr:uid="{00000000-0005-0000-0000-0000F6C50000}"/>
    <cellStyle name="표준 3 2 2 4" xfId="50681" xr:uid="{00000000-0005-0000-0000-0000F7C50000}"/>
    <cellStyle name="표준 3 2 2 5" xfId="50682" xr:uid="{00000000-0005-0000-0000-0000F8C50000}"/>
    <cellStyle name="표준 3 2 2 6" xfId="50683" xr:uid="{00000000-0005-0000-0000-0000F9C50000}"/>
    <cellStyle name="표준 3 2 2 7" xfId="50684" xr:uid="{00000000-0005-0000-0000-0000FAC50000}"/>
    <cellStyle name="표준 3 2 2 8" xfId="50685" xr:uid="{00000000-0005-0000-0000-0000FBC50000}"/>
    <cellStyle name="표준 3 2 2 9" xfId="50686" xr:uid="{00000000-0005-0000-0000-0000FCC50000}"/>
    <cellStyle name="표준 3 2 3" xfId="286" xr:uid="{00000000-0005-0000-0000-0000FDC50000}"/>
    <cellStyle name="표준 3 2 3 2" xfId="50687" xr:uid="{00000000-0005-0000-0000-0000FEC50000}"/>
    <cellStyle name="표준 3 2 3 3" xfId="50688" xr:uid="{00000000-0005-0000-0000-0000FFC50000}"/>
    <cellStyle name="표준 3 2 3 4" xfId="50689" xr:uid="{00000000-0005-0000-0000-000000C60000}"/>
    <cellStyle name="표준 3 2 4" xfId="50690" xr:uid="{00000000-0005-0000-0000-000001C60000}"/>
    <cellStyle name="표준 3 2 5" xfId="50691" xr:uid="{00000000-0005-0000-0000-000002C60000}"/>
    <cellStyle name="표준 3 2 6" xfId="50692" xr:uid="{00000000-0005-0000-0000-000003C60000}"/>
    <cellStyle name="표준 3 2 7" xfId="50693" xr:uid="{00000000-0005-0000-0000-000004C60000}"/>
    <cellStyle name="표준 3 2 8" xfId="50694" xr:uid="{00000000-0005-0000-0000-000005C60000}"/>
    <cellStyle name="표준 3 2 9" xfId="50695" xr:uid="{00000000-0005-0000-0000-000006C60000}"/>
    <cellStyle name="표준 3 3" xfId="287" xr:uid="{00000000-0005-0000-0000-000007C60000}"/>
    <cellStyle name="표준 3 3 10" xfId="50696" xr:uid="{00000000-0005-0000-0000-000008C60000}"/>
    <cellStyle name="표준 3 3 2" xfId="50697" xr:uid="{00000000-0005-0000-0000-000009C60000}"/>
    <cellStyle name="표준 3 3 2 2" xfId="50698" xr:uid="{00000000-0005-0000-0000-00000AC60000}"/>
    <cellStyle name="표준 3 3 2 3" xfId="50699" xr:uid="{00000000-0005-0000-0000-00000BC60000}"/>
    <cellStyle name="표준 3 3 2 4" xfId="50700" xr:uid="{00000000-0005-0000-0000-00000CC60000}"/>
    <cellStyle name="표준 3 3 3" xfId="50701" xr:uid="{00000000-0005-0000-0000-00000DC60000}"/>
    <cellStyle name="표준 3 3 4" xfId="50702" xr:uid="{00000000-0005-0000-0000-00000EC60000}"/>
    <cellStyle name="표준 3 3 5" xfId="50703" xr:uid="{00000000-0005-0000-0000-00000FC60000}"/>
    <cellStyle name="표준 3 3 6" xfId="50704" xr:uid="{00000000-0005-0000-0000-000010C60000}"/>
    <cellStyle name="표준 3 3 7" xfId="50705" xr:uid="{00000000-0005-0000-0000-000011C60000}"/>
    <cellStyle name="표준 3 3 8" xfId="50706" xr:uid="{00000000-0005-0000-0000-000012C60000}"/>
    <cellStyle name="표준 3 3 9" xfId="50707" xr:uid="{00000000-0005-0000-0000-000013C60000}"/>
    <cellStyle name="표준 3 4" xfId="50708" xr:uid="{00000000-0005-0000-0000-000014C60000}"/>
    <cellStyle name="표준 3 4 2" xfId="50709" xr:uid="{00000000-0005-0000-0000-000015C60000}"/>
    <cellStyle name="표준 3 4 3" xfId="50710" xr:uid="{00000000-0005-0000-0000-000016C60000}"/>
    <cellStyle name="표준 3 4 4" xfId="50711" xr:uid="{00000000-0005-0000-0000-000017C60000}"/>
    <cellStyle name="표준 3 5" xfId="50712" xr:uid="{00000000-0005-0000-0000-000018C60000}"/>
    <cellStyle name="표준 3 6" xfId="50713" xr:uid="{00000000-0005-0000-0000-000019C60000}"/>
    <cellStyle name="표준 3 7" xfId="50714" xr:uid="{00000000-0005-0000-0000-00001AC60000}"/>
    <cellStyle name="표준 3 8" xfId="50715" xr:uid="{00000000-0005-0000-0000-00001BC60000}"/>
    <cellStyle name="표준 3 9" xfId="50716" xr:uid="{00000000-0005-0000-0000-00001CC60000}"/>
    <cellStyle name="표준 4" xfId="296" xr:uid="{00000000-0005-0000-0000-00001DC60000}"/>
    <cellStyle name="표준 4 10" xfId="50717" xr:uid="{00000000-0005-0000-0000-00001EC60000}"/>
    <cellStyle name="표준 4 11" xfId="50718" xr:uid="{00000000-0005-0000-0000-00001FC60000}"/>
    <cellStyle name="표준 4 12" xfId="50719" xr:uid="{00000000-0005-0000-0000-000020C60000}"/>
    <cellStyle name="표준 4 13" xfId="50720" xr:uid="{00000000-0005-0000-0000-000021C60000}"/>
    <cellStyle name="표준 4 14" xfId="50721" xr:uid="{00000000-0005-0000-0000-000022C60000}"/>
    <cellStyle name="표준 4 2" xfId="288" xr:uid="{00000000-0005-0000-0000-000023C60000}"/>
    <cellStyle name="표준 4 2 10" xfId="50722" xr:uid="{00000000-0005-0000-0000-000024C60000}"/>
    <cellStyle name="표준 4 2 2" xfId="50723" xr:uid="{00000000-0005-0000-0000-000025C60000}"/>
    <cellStyle name="표준 4 2 3" xfId="50724" xr:uid="{00000000-0005-0000-0000-000026C60000}"/>
    <cellStyle name="표준 4 2 4" xfId="50725" xr:uid="{00000000-0005-0000-0000-000027C60000}"/>
    <cellStyle name="표준 4 2 5" xfId="50726" xr:uid="{00000000-0005-0000-0000-000028C60000}"/>
    <cellStyle name="표준 4 2 6" xfId="50727" xr:uid="{00000000-0005-0000-0000-000029C60000}"/>
    <cellStyle name="표준 4 2 7" xfId="50728" xr:uid="{00000000-0005-0000-0000-00002AC60000}"/>
    <cellStyle name="표준 4 2 8" xfId="50729" xr:uid="{00000000-0005-0000-0000-00002BC60000}"/>
    <cellStyle name="표준 4 2 9" xfId="50730" xr:uid="{00000000-0005-0000-0000-00002CC60000}"/>
    <cellStyle name="표준 4 3" xfId="289" xr:uid="{00000000-0005-0000-0000-00002DC60000}"/>
    <cellStyle name="표준 4 3 2" xfId="50731" xr:uid="{00000000-0005-0000-0000-00002EC60000}"/>
    <cellStyle name="표준 4 3 3" xfId="50732" xr:uid="{00000000-0005-0000-0000-00002FC60000}"/>
    <cellStyle name="표준 4 3 4" xfId="50733" xr:uid="{00000000-0005-0000-0000-000030C60000}"/>
    <cellStyle name="표준 4 3 5" xfId="50734" xr:uid="{00000000-0005-0000-0000-000031C60000}"/>
    <cellStyle name="표준 4 3 6" xfId="50735" xr:uid="{00000000-0005-0000-0000-000032C60000}"/>
    <cellStyle name="표준 4 4" xfId="290" xr:uid="{00000000-0005-0000-0000-000033C60000}"/>
    <cellStyle name="표준 4 4 2" xfId="50736" xr:uid="{00000000-0005-0000-0000-000034C60000}"/>
    <cellStyle name="표준 4 4 3" xfId="50737" xr:uid="{00000000-0005-0000-0000-000035C60000}"/>
    <cellStyle name="표준 4 4 4" xfId="50738" xr:uid="{00000000-0005-0000-0000-000036C60000}"/>
    <cellStyle name="표준 4 5" xfId="291" xr:uid="{00000000-0005-0000-0000-000037C60000}"/>
    <cellStyle name="표준 4 6" xfId="292" xr:uid="{00000000-0005-0000-0000-000038C60000}"/>
    <cellStyle name="표준 4 7" xfId="50739" xr:uid="{00000000-0005-0000-0000-000039C60000}"/>
    <cellStyle name="표준 4 8" xfId="50740" xr:uid="{00000000-0005-0000-0000-00003AC60000}"/>
    <cellStyle name="표준 4 9" xfId="50741" xr:uid="{00000000-0005-0000-0000-00003BC60000}"/>
    <cellStyle name="표준 5" xfId="50742" xr:uid="{00000000-0005-0000-0000-00003CC60000}"/>
    <cellStyle name="표준 5 10" xfId="50743" xr:uid="{00000000-0005-0000-0000-00003DC60000}"/>
    <cellStyle name="표준 5 11" xfId="50744" xr:uid="{00000000-0005-0000-0000-00003EC60000}"/>
    <cellStyle name="표준 5 12" xfId="50745" xr:uid="{00000000-0005-0000-0000-00003FC60000}"/>
    <cellStyle name="표준 5 13" xfId="50746" xr:uid="{00000000-0005-0000-0000-000040C60000}"/>
    <cellStyle name="표준 5 14" xfId="50747" xr:uid="{00000000-0005-0000-0000-000041C60000}"/>
    <cellStyle name="표준 5 15" xfId="50748" xr:uid="{00000000-0005-0000-0000-000042C60000}"/>
    <cellStyle name="표준 5 16" xfId="50749" xr:uid="{00000000-0005-0000-0000-000043C60000}"/>
    <cellStyle name="표준 5 17" xfId="50750" xr:uid="{00000000-0005-0000-0000-000044C60000}"/>
    <cellStyle name="표준 5 18" xfId="50751" xr:uid="{00000000-0005-0000-0000-000045C60000}"/>
    <cellStyle name="표준 5 19" xfId="50752" xr:uid="{00000000-0005-0000-0000-000046C60000}"/>
    <cellStyle name="표준 5 2" xfId="50753" xr:uid="{00000000-0005-0000-0000-000047C60000}"/>
    <cellStyle name="표준 5 2 2" xfId="50754" xr:uid="{00000000-0005-0000-0000-000048C60000}"/>
    <cellStyle name="표준 5 2 3" xfId="50755" xr:uid="{00000000-0005-0000-0000-000049C60000}"/>
    <cellStyle name="표준 5 2 4" xfId="50756" xr:uid="{00000000-0005-0000-0000-00004AC60000}"/>
    <cellStyle name="표준 5 2 5" xfId="50757" xr:uid="{00000000-0005-0000-0000-00004BC60000}"/>
    <cellStyle name="표준 5 2 6" xfId="50758" xr:uid="{00000000-0005-0000-0000-00004CC60000}"/>
    <cellStyle name="표준 5 20" xfId="50759" xr:uid="{00000000-0005-0000-0000-00004DC60000}"/>
    <cellStyle name="표준 5 21" xfId="50760" xr:uid="{00000000-0005-0000-0000-00004EC60000}"/>
    <cellStyle name="표준 5 22" xfId="50761" xr:uid="{00000000-0005-0000-0000-00004FC60000}"/>
    <cellStyle name="표준 5 23" xfId="50762" xr:uid="{00000000-0005-0000-0000-000050C60000}"/>
    <cellStyle name="표준 5 24" xfId="50763" xr:uid="{00000000-0005-0000-0000-000051C60000}"/>
    <cellStyle name="표준 5 25" xfId="50764" xr:uid="{00000000-0005-0000-0000-000052C60000}"/>
    <cellStyle name="표준 5 26" xfId="50765" xr:uid="{00000000-0005-0000-0000-000053C60000}"/>
    <cellStyle name="표준 5 27" xfId="50766" xr:uid="{00000000-0005-0000-0000-000054C60000}"/>
    <cellStyle name="표준 5 28" xfId="52820" xr:uid="{00000000-0005-0000-0000-000055C60000}"/>
    <cellStyle name="표준 5 3" xfId="50767" xr:uid="{00000000-0005-0000-0000-000056C60000}"/>
    <cellStyle name="표준 5 3 10" xfId="50768" xr:uid="{00000000-0005-0000-0000-000057C60000}"/>
    <cellStyle name="표준 5 3 11" xfId="50769" xr:uid="{00000000-0005-0000-0000-000058C60000}"/>
    <cellStyle name="표준 5 3 12" xfId="50770" xr:uid="{00000000-0005-0000-0000-000059C60000}"/>
    <cellStyle name="표준 5 3 13" xfId="50771" xr:uid="{00000000-0005-0000-0000-00005AC60000}"/>
    <cellStyle name="표준 5 3 14" xfId="50772" xr:uid="{00000000-0005-0000-0000-00005BC60000}"/>
    <cellStyle name="표준 5 3 15" xfId="50773" xr:uid="{00000000-0005-0000-0000-00005CC60000}"/>
    <cellStyle name="표준 5 3 16" xfId="50774" xr:uid="{00000000-0005-0000-0000-00005DC60000}"/>
    <cellStyle name="표준 5 3 17" xfId="50775" xr:uid="{00000000-0005-0000-0000-00005EC60000}"/>
    <cellStyle name="표준 5 3 18" xfId="50776" xr:uid="{00000000-0005-0000-0000-00005FC60000}"/>
    <cellStyle name="표준 5 3 19" xfId="50777" xr:uid="{00000000-0005-0000-0000-000060C60000}"/>
    <cellStyle name="표준 5 3 2" xfId="50778" xr:uid="{00000000-0005-0000-0000-000061C60000}"/>
    <cellStyle name="표준 5 3 2 2" xfId="50779" xr:uid="{00000000-0005-0000-0000-000062C60000}"/>
    <cellStyle name="표준 5 3 3" xfId="50780" xr:uid="{00000000-0005-0000-0000-000063C60000}"/>
    <cellStyle name="표준 5 3 3 2" xfId="50781" xr:uid="{00000000-0005-0000-0000-000064C60000}"/>
    <cellStyle name="표준 5 3 4" xfId="50782" xr:uid="{00000000-0005-0000-0000-000065C60000}"/>
    <cellStyle name="표준 5 3 4 2" xfId="50783" xr:uid="{00000000-0005-0000-0000-000066C60000}"/>
    <cellStyle name="표준 5 3 5" xfId="50784" xr:uid="{00000000-0005-0000-0000-000067C60000}"/>
    <cellStyle name="표준 5 3 6" xfId="50785" xr:uid="{00000000-0005-0000-0000-000068C60000}"/>
    <cellStyle name="표준 5 3 7" xfId="50786" xr:uid="{00000000-0005-0000-0000-000069C60000}"/>
    <cellStyle name="표준 5 3 8" xfId="50787" xr:uid="{00000000-0005-0000-0000-00006AC60000}"/>
    <cellStyle name="표준 5 3 9" xfId="50788" xr:uid="{00000000-0005-0000-0000-00006BC60000}"/>
    <cellStyle name="표준 5 4" xfId="50789" xr:uid="{00000000-0005-0000-0000-00006CC60000}"/>
    <cellStyle name="표준 5 4 10" xfId="50790" xr:uid="{00000000-0005-0000-0000-00006DC60000}"/>
    <cellStyle name="표준 5 4 11" xfId="50791" xr:uid="{00000000-0005-0000-0000-00006EC60000}"/>
    <cellStyle name="표준 5 4 12" xfId="50792" xr:uid="{00000000-0005-0000-0000-00006FC60000}"/>
    <cellStyle name="표준 5 4 13" xfId="50793" xr:uid="{00000000-0005-0000-0000-000070C60000}"/>
    <cellStyle name="표준 5 4 14" xfId="50794" xr:uid="{00000000-0005-0000-0000-000071C60000}"/>
    <cellStyle name="표준 5 4 15" xfId="50795" xr:uid="{00000000-0005-0000-0000-000072C60000}"/>
    <cellStyle name="표준 5 4 16" xfId="50796" xr:uid="{00000000-0005-0000-0000-000073C60000}"/>
    <cellStyle name="표준 5 4 17" xfId="50797" xr:uid="{00000000-0005-0000-0000-000074C60000}"/>
    <cellStyle name="표준 5 4 18" xfId="50798" xr:uid="{00000000-0005-0000-0000-000075C60000}"/>
    <cellStyle name="표준 5 4 19" xfId="50799" xr:uid="{00000000-0005-0000-0000-000076C60000}"/>
    <cellStyle name="표준 5 4 2" xfId="50800" xr:uid="{00000000-0005-0000-0000-000077C60000}"/>
    <cellStyle name="표준 5 4 3" xfId="50801" xr:uid="{00000000-0005-0000-0000-000078C60000}"/>
    <cellStyle name="표준 5 4 4" xfId="50802" xr:uid="{00000000-0005-0000-0000-000079C60000}"/>
    <cellStyle name="표준 5 4 5" xfId="50803" xr:uid="{00000000-0005-0000-0000-00007AC60000}"/>
    <cellStyle name="표준 5 4 6" xfId="50804" xr:uid="{00000000-0005-0000-0000-00007BC60000}"/>
    <cellStyle name="표준 5 4 7" xfId="50805" xr:uid="{00000000-0005-0000-0000-00007CC60000}"/>
    <cellStyle name="표준 5 4 8" xfId="50806" xr:uid="{00000000-0005-0000-0000-00007DC60000}"/>
    <cellStyle name="표준 5 4 9" xfId="50807" xr:uid="{00000000-0005-0000-0000-00007EC60000}"/>
    <cellStyle name="표준 5 5" xfId="50808" xr:uid="{00000000-0005-0000-0000-00007FC60000}"/>
    <cellStyle name="표준 5 5 10" xfId="50809" xr:uid="{00000000-0005-0000-0000-000080C60000}"/>
    <cellStyle name="표준 5 5 11" xfId="50810" xr:uid="{00000000-0005-0000-0000-000081C60000}"/>
    <cellStyle name="표준 5 5 12" xfId="50811" xr:uid="{00000000-0005-0000-0000-000082C60000}"/>
    <cellStyle name="표준 5 5 13" xfId="50812" xr:uid="{00000000-0005-0000-0000-000083C60000}"/>
    <cellStyle name="표준 5 5 14" xfId="50813" xr:uid="{00000000-0005-0000-0000-000084C60000}"/>
    <cellStyle name="표준 5 5 15" xfId="50814" xr:uid="{00000000-0005-0000-0000-000085C60000}"/>
    <cellStyle name="표준 5 5 16" xfId="50815" xr:uid="{00000000-0005-0000-0000-000086C60000}"/>
    <cellStyle name="표준 5 5 17" xfId="50816" xr:uid="{00000000-0005-0000-0000-000087C60000}"/>
    <cellStyle name="표준 5 5 18" xfId="50817" xr:uid="{00000000-0005-0000-0000-000088C60000}"/>
    <cellStyle name="표준 5 5 19" xfId="50818" xr:uid="{00000000-0005-0000-0000-000089C60000}"/>
    <cellStyle name="표준 5 5 2" xfId="50819" xr:uid="{00000000-0005-0000-0000-00008AC60000}"/>
    <cellStyle name="표준 5 5 3" xfId="50820" xr:uid="{00000000-0005-0000-0000-00008BC60000}"/>
    <cellStyle name="표준 5 5 4" xfId="50821" xr:uid="{00000000-0005-0000-0000-00008CC60000}"/>
    <cellStyle name="표준 5 5 5" xfId="50822" xr:uid="{00000000-0005-0000-0000-00008DC60000}"/>
    <cellStyle name="표준 5 5 6" xfId="50823" xr:uid="{00000000-0005-0000-0000-00008EC60000}"/>
    <cellStyle name="표준 5 5 7" xfId="50824" xr:uid="{00000000-0005-0000-0000-00008FC60000}"/>
    <cellStyle name="표준 5 5 8" xfId="50825" xr:uid="{00000000-0005-0000-0000-000090C60000}"/>
    <cellStyle name="표준 5 5 9" xfId="50826" xr:uid="{00000000-0005-0000-0000-000091C60000}"/>
    <cellStyle name="표준 5 6" xfId="50827" xr:uid="{00000000-0005-0000-0000-000092C60000}"/>
    <cellStyle name="표준 5 6 10" xfId="50828" xr:uid="{00000000-0005-0000-0000-000093C60000}"/>
    <cellStyle name="표준 5 6 11" xfId="50829" xr:uid="{00000000-0005-0000-0000-000094C60000}"/>
    <cellStyle name="표준 5 6 12" xfId="50830" xr:uid="{00000000-0005-0000-0000-000095C60000}"/>
    <cellStyle name="표준 5 6 13" xfId="50831" xr:uid="{00000000-0005-0000-0000-000096C60000}"/>
    <cellStyle name="표준 5 6 14" xfId="50832" xr:uid="{00000000-0005-0000-0000-000097C60000}"/>
    <cellStyle name="표준 5 6 15" xfId="50833" xr:uid="{00000000-0005-0000-0000-000098C60000}"/>
    <cellStyle name="표준 5 6 16" xfId="50834" xr:uid="{00000000-0005-0000-0000-000099C60000}"/>
    <cellStyle name="표준 5 6 17" xfId="50835" xr:uid="{00000000-0005-0000-0000-00009AC60000}"/>
    <cellStyle name="표준 5 6 18" xfId="50836" xr:uid="{00000000-0005-0000-0000-00009BC60000}"/>
    <cellStyle name="표준 5 6 19" xfId="50837" xr:uid="{00000000-0005-0000-0000-00009CC60000}"/>
    <cellStyle name="표준 5 6 2" xfId="50838" xr:uid="{00000000-0005-0000-0000-00009DC60000}"/>
    <cellStyle name="표준 5 6 3" xfId="50839" xr:uid="{00000000-0005-0000-0000-00009EC60000}"/>
    <cellStyle name="표준 5 6 4" xfId="50840" xr:uid="{00000000-0005-0000-0000-00009FC60000}"/>
    <cellStyle name="표준 5 6 5" xfId="50841" xr:uid="{00000000-0005-0000-0000-0000A0C60000}"/>
    <cellStyle name="표준 5 6 6" xfId="50842" xr:uid="{00000000-0005-0000-0000-0000A1C60000}"/>
    <cellStyle name="표준 5 6 7" xfId="50843" xr:uid="{00000000-0005-0000-0000-0000A2C60000}"/>
    <cellStyle name="표준 5 6 8" xfId="50844" xr:uid="{00000000-0005-0000-0000-0000A3C60000}"/>
    <cellStyle name="표준 5 6 9" xfId="50845" xr:uid="{00000000-0005-0000-0000-0000A4C60000}"/>
    <cellStyle name="표준 5 7" xfId="50846" xr:uid="{00000000-0005-0000-0000-0000A5C60000}"/>
    <cellStyle name="표준 5 7 10" xfId="50847" xr:uid="{00000000-0005-0000-0000-0000A6C60000}"/>
    <cellStyle name="표준 5 7 11" xfId="50848" xr:uid="{00000000-0005-0000-0000-0000A7C60000}"/>
    <cellStyle name="표준 5 7 12" xfId="50849" xr:uid="{00000000-0005-0000-0000-0000A8C60000}"/>
    <cellStyle name="표준 5 7 13" xfId="50850" xr:uid="{00000000-0005-0000-0000-0000A9C60000}"/>
    <cellStyle name="표준 5 7 14" xfId="50851" xr:uid="{00000000-0005-0000-0000-0000AAC60000}"/>
    <cellStyle name="표준 5 7 15" xfId="50852" xr:uid="{00000000-0005-0000-0000-0000ABC60000}"/>
    <cellStyle name="표준 5 7 16" xfId="50853" xr:uid="{00000000-0005-0000-0000-0000ACC60000}"/>
    <cellStyle name="표준 5 7 17" xfId="50854" xr:uid="{00000000-0005-0000-0000-0000ADC60000}"/>
    <cellStyle name="표준 5 7 18" xfId="50855" xr:uid="{00000000-0005-0000-0000-0000AEC60000}"/>
    <cellStyle name="표준 5 7 19" xfId="50856" xr:uid="{00000000-0005-0000-0000-0000AFC60000}"/>
    <cellStyle name="표준 5 7 2" xfId="50857" xr:uid="{00000000-0005-0000-0000-0000B0C60000}"/>
    <cellStyle name="표준 5 7 3" xfId="50858" xr:uid="{00000000-0005-0000-0000-0000B1C60000}"/>
    <cellStyle name="표준 5 7 4" xfId="50859" xr:uid="{00000000-0005-0000-0000-0000B2C60000}"/>
    <cellStyle name="표준 5 7 5" xfId="50860" xr:uid="{00000000-0005-0000-0000-0000B3C60000}"/>
    <cellStyle name="표준 5 7 6" xfId="50861" xr:uid="{00000000-0005-0000-0000-0000B4C60000}"/>
    <cellStyle name="표준 5 7 7" xfId="50862" xr:uid="{00000000-0005-0000-0000-0000B5C60000}"/>
    <cellStyle name="표준 5 7 8" xfId="50863" xr:uid="{00000000-0005-0000-0000-0000B6C60000}"/>
    <cellStyle name="표준 5 7 9" xfId="50864" xr:uid="{00000000-0005-0000-0000-0000B7C60000}"/>
    <cellStyle name="표준 5 8" xfId="50865" xr:uid="{00000000-0005-0000-0000-0000B8C60000}"/>
    <cellStyle name="표준 5 8 10" xfId="50866" xr:uid="{00000000-0005-0000-0000-0000B9C60000}"/>
    <cellStyle name="표준 5 8 11" xfId="50867" xr:uid="{00000000-0005-0000-0000-0000BAC60000}"/>
    <cellStyle name="표준 5 8 12" xfId="50868" xr:uid="{00000000-0005-0000-0000-0000BBC60000}"/>
    <cellStyle name="표준 5 8 13" xfId="50869" xr:uid="{00000000-0005-0000-0000-0000BCC60000}"/>
    <cellStyle name="표준 5 8 14" xfId="50870" xr:uid="{00000000-0005-0000-0000-0000BDC60000}"/>
    <cellStyle name="표준 5 8 15" xfId="50871" xr:uid="{00000000-0005-0000-0000-0000BEC60000}"/>
    <cellStyle name="표준 5 8 16" xfId="50872" xr:uid="{00000000-0005-0000-0000-0000BFC60000}"/>
    <cellStyle name="표준 5 8 17" xfId="50873" xr:uid="{00000000-0005-0000-0000-0000C0C60000}"/>
    <cellStyle name="표준 5 8 18" xfId="50874" xr:uid="{00000000-0005-0000-0000-0000C1C60000}"/>
    <cellStyle name="표준 5 8 19" xfId="50875" xr:uid="{00000000-0005-0000-0000-0000C2C60000}"/>
    <cellStyle name="표준 5 8 2" xfId="50876" xr:uid="{00000000-0005-0000-0000-0000C3C60000}"/>
    <cellStyle name="표준 5 8 3" xfId="50877" xr:uid="{00000000-0005-0000-0000-0000C4C60000}"/>
    <cellStyle name="표준 5 8 4" xfId="50878" xr:uid="{00000000-0005-0000-0000-0000C5C60000}"/>
    <cellStyle name="표준 5 8 5" xfId="50879" xr:uid="{00000000-0005-0000-0000-0000C6C60000}"/>
    <cellStyle name="표준 5 8 6" xfId="50880" xr:uid="{00000000-0005-0000-0000-0000C7C60000}"/>
    <cellStyle name="표준 5 8 7" xfId="50881" xr:uid="{00000000-0005-0000-0000-0000C8C60000}"/>
    <cellStyle name="표준 5 8 8" xfId="50882" xr:uid="{00000000-0005-0000-0000-0000C9C60000}"/>
    <cellStyle name="표준 5 8 9" xfId="50883" xr:uid="{00000000-0005-0000-0000-0000CAC60000}"/>
    <cellStyle name="표준 5 9" xfId="50884" xr:uid="{00000000-0005-0000-0000-0000CBC60000}"/>
    <cellStyle name="표준 5 9 10" xfId="50885" xr:uid="{00000000-0005-0000-0000-0000CCC60000}"/>
    <cellStyle name="표준 5 9 11" xfId="50886" xr:uid="{00000000-0005-0000-0000-0000CDC60000}"/>
    <cellStyle name="표준 5 9 12" xfId="50887" xr:uid="{00000000-0005-0000-0000-0000CEC60000}"/>
    <cellStyle name="표준 5 9 13" xfId="50888" xr:uid="{00000000-0005-0000-0000-0000CFC60000}"/>
    <cellStyle name="표준 5 9 14" xfId="50889" xr:uid="{00000000-0005-0000-0000-0000D0C60000}"/>
    <cellStyle name="표준 5 9 15" xfId="50890" xr:uid="{00000000-0005-0000-0000-0000D1C60000}"/>
    <cellStyle name="표준 5 9 16" xfId="50891" xr:uid="{00000000-0005-0000-0000-0000D2C60000}"/>
    <cellStyle name="표준 5 9 17" xfId="50892" xr:uid="{00000000-0005-0000-0000-0000D3C60000}"/>
    <cellStyle name="표준 5 9 18" xfId="50893" xr:uid="{00000000-0005-0000-0000-0000D4C60000}"/>
    <cellStyle name="표준 5 9 19" xfId="50894" xr:uid="{00000000-0005-0000-0000-0000D5C60000}"/>
    <cellStyle name="표준 5 9 2" xfId="50895" xr:uid="{00000000-0005-0000-0000-0000D6C60000}"/>
    <cellStyle name="표준 5 9 3" xfId="50896" xr:uid="{00000000-0005-0000-0000-0000D7C60000}"/>
    <cellStyle name="표준 5 9 4" xfId="50897" xr:uid="{00000000-0005-0000-0000-0000D8C60000}"/>
    <cellStyle name="표준 5 9 5" xfId="50898" xr:uid="{00000000-0005-0000-0000-0000D9C60000}"/>
    <cellStyle name="표준 5 9 6" xfId="50899" xr:uid="{00000000-0005-0000-0000-0000DAC60000}"/>
    <cellStyle name="표준 5 9 7" xfId="50900" xr:uid="{00000000-0005-0000-0000-0000DBC60000}"/>
    <cellStyle name="표준 5 9 8" xfId="50901" xr:uid="{00000000-0005-0000-0000-0000DCC60000}"/>
    <cellStyle name="표준 5 9 9" xfId="50902" xr:uid="{00000000-0005-0000-0000-0000DDC60000}"/>
    <cellStyle name="표준 6" xfId="50903" xr:uid="{00000000-0005-0000-0000-0000DEC60000}"/>
    <cellStyle name="표준 6 10" xfId="50904" xr:uid="{00000000-0005-0000-0000-0000DFC60000}"/>
    <cellStyle name="표준 6 10 10" xfId="50905" xr:uid="{00000000-0005-0000-0000-0000E0C60000}"/>
    <cellStyle name="표준 6 10 11" xfId="50906" xr:uid="{00000000-0005-0000-0000-0000E1C60000}"/>
    <cellStyle name="표준 6 10 12" xfId="50907" xr:uid="{00000000-0005-0000-0000-0000E2C60000}"/>
    <cellStyle name="표준 6 10 13" xfId="50908" xr:uid="{00000000-0005-0000-0000-0000E3C60000}"/>
    <cellStyle name="표준 6 10 14" xfId="50909" xr:uid="{00000000-0005-0000-0000-0000E4C60000}"/>
    <cellStyle name="표준 6 10 15" xfId="50910" xr:uid="{00000000-0005-0000-0000-0000E5C60000}"/>
    <cellStyle name="표준 6 10 16" xfId="50911" xr:uid="{00000000-0005-0000-0000-0000E6C60000}"/>
    <cellStyle name="표준 6 10 17" xfId="50912" xr:uid="{00000000-0005-0000-0000-0000E7C60000}"/>
    <cellStyle name="표준 6 10 18" xfId="50913" xr:uid="{00000000-0005-0000-0000-0000E8C60000}"/>
    <cellStyle name="표준 6 10 19" xfId="50914" xr:uid="{00000000-0005-0000-0000-0000E9C60000}"/>
    <cellStyle name="표준 6 10 2" xfId="50915" xr:uid="{00000000-0005-0000-0000-0000EAC60000}"/>
    <cellStyle name="표준 6 10 3" xfId="50916" xr:uid="{00000000-0005-0000-0000-0000EBC60000}"/>
    <cellStyle name="표준 6 10 4" xfId="50917" xr:uid="{00000000-0005-0000-0000-0000ECC60000}"/>
    <cellStyle name="표준 6 10 5" xfId="50918" xr:uid="{00000000-0005-0000-0000-0000EDC60000}"/>
    <cellStyle name="표준 6 10 6" xfId="50919" xr:uid="{00000000-0005-0000-0000-0000EEC60000}"/>
    <cellStyle name="표준 6 10 7" xfId="50920" xr:uid="{00000000-0005-0000-0000-0000EFC60000}"/>
    <cellStyle name="표준 6 10 8" xfId="50921" xr:uid="{00000000-0005-0000-0000-0000F0C60000}"/>
    <cellStyle name="표준 6 10 9" xfId="50922" xr:uid="{00000000-0005-0000-0000-0000F1C60000}"/>
    <cellStyle name="표준 6 11" xfId="50923" xr:uid="{00000000-0005-0000-0000-0000F2C60000}"/>
    <cellStyle name="표준 6 12" xfId="50924" xr:uid="{00000000-0005-0000-0000-0000F3C60000}"/>
    <cellStyle name="표준 6 13" xfId="50925" xr:uid="{00000000-0005-0000-0000-0000F4C60000}"/>
    <cellStyle name="표준 6 14" xfId="50926" xr:uid="{00000000-0005-0000-0000-0000F5C60000}"/>
    <cellStyle name="표준 6 15" xfId="50927" xr:uid="{00000000-0005-0000-0000-0000F6C60000}"/>
    <cellStyle name="표준 6 16" xfId="50928" xr:uid="{00000000-0005-0000-0000-0000F7C60000}"/>
    <cellStyle name="표준 6 17" xfId="50929" xr:uid="{00000000-0005-0000-0000-0000F8C60000}"/>
    <cellStyle name="표준 6 18" xfId="50930" xr:uid="{00000000-0005-0000-0000-0000F9C60000}"/>
    <cellStyle name="표준 6 19" xfId="50931" xr:uid="{00000000-0005-0000-0000-0000FAC60000}"/>
    <cellStyle name="표준 6 2" xfId="50932" xr:uid="{00000000-0005-0000-0000-0000FBC60000}"/>
    <cellStyle name="표준 6 2 10" xfId="50933" xr:uid="{00000000-0005-0000-0000-0000FCC60000}"/>
    <cellStyle name="표준 6 2 10 10" xfId="50934" xr:uid="{00000000-0005-0000-0000-0000FDC60000}"/>
    <cellStyle name="표준 6 2 10 11" xfId="50935" xr:uid="{00000000-0005-0000-0000-0000FEC60000}"/>
    <cellStyle name="표준 6 2 10 12" xfId="50936" xr:uid="{00000000-0005-0000-0000-0000FFC60000}"/>
    <cellStyle name="표준 6 2 10 13" xfId="50937" xr:uid="{00000000-0005-0000-0000-000000C70000}"/>
    <cellStyle name="표준 6 2 10 14" xfId="50938" xr:uid="{00000000-0005-0000-0000-000001C70000}"/>
    <cellStyle name="표준 6 2 10 15" xfId="50939" xr:uid="{00000000-0005-0000-0000-000002C70000}"/>
    <cellStyle name="표준 6 2 10 16" xfId="50940" xr:uid="{00000000-0005-0000-0000-000003C70000}"/>
    <cellStyle name="표준 6 2 10 17" xfId="50941" xr:uid="{00000000-0005-0000-0000-000004C70000}"/>
    <cellStyle name="표준 6 2 10 18" xfId="50942" xr:uid="{00000000-0005-0000-0000-000005C70000}"/>
    <cellStyle name="표준 6 2 10 19" xfId="50943" xr:uid="{00000000-0005-0000-0000-000006C70000}"/>
    <cellStyle name="표준 6 2 10 2" xfId="50944" xr:uid="{00000000-0005-0000-0000-000007C70000}"/>
    <cellStyle name="표준 6 2 10 3" xfId="50945" xr:uid="{00000000-0005-0000-0000-000008C70000}"/>
    <cellStyle name="표준 6 2 10 4" xfId="50946" xr:uid="{00000000-0005-0000-0000-000009C70000}"/>
    <cellStyle name="표준 6 2 10 5" xfId="50947" xr:uid="{00000000-0005-0000-0000-00000AC70000}"/>
    <cellStyle name="표준 6 2 10 6" xfId="50948" xr:uid="{00000000-0005-0000-0000-00000BC70000}"/>
    <cellStyle name="표준 6 2 10 7" xfId="50949" xr:uid="{00000000-0005-0000-0000-00000CC70000}"/>
    <cellStyle name="표준 6 2 10 8" xfId="50950" xr:uid="{00000000-0005-0000-0000-00000DC70000}"/>
    <cellStyle name="표준 6 2 10 9" xfId="50951" xr:uid="{00000000-0005-0000-0000-00000EC70000}"/>
    <cellStyle name="표준 6 2 11" xfId="50952" xr:uid="{00000000-0005-0000-0000-00000FC70000}"/>
    <cellStyle name="표준 6 2 12" xfId="50953" xr:uid="{00000000-0005-0000-0000-000010C70000}"/>
    <cellStyle name="표준 6 2 13" xfId="50954" xr:uid="{00000000-0005-0000-0000-000011C70000}"/>
    <cellStyle name="표준 6 2 14" xfId="50955" xr:uid="{00000000-0005-0000-0000-000012C70000}"/>
    <cellStyle name="표준 6 2 15" xfId="50956" xr:uid="{00000000-0005-0000-0000-000013C70000}"/>
    <cellStyle name="표준 6 2 16" xfId="50957" xr:uid="{00000000-0005-0000-0000-000014C70000}"/>
    <cellStyle name="표준 6 2 17" xfId="50958" xr:uid="{00000000-0005-0000-0000-000015C70000}"/>
    <cellStyle name="표준 6 2 18" xfId="50959" xr:uid="{00000000-0005-0000-0000-000016C70000}"/>
    <cellStyle name="표준 6 2 19" xfId="50960" xr:uid="{00000000-0005-0000-0000-000017C70000}"/>
    <cellStyle name="표준 6 2 2" xfId="50961" xr:uid="{00000000-0005-0000-0000-000018C70000}"/>
    <cellStyle name="표준 6 2 2 10" xfId="50962" xr:uid="{00000000-0005-0000-0000-000019C70000}"/>
    <cellStyle name="표준 6 2 2 10 10" xfId="50963" xr:uid="{00000000-0005-0000-0000-00001AC70000}"/>
    <cellStyle name="표준 6 2 2 10 11" xfId="50964" xr:uid="{00000000-0005-0000-0000-00001BC70000}"/>
    <cellStyle name="표준 6 2 2 10 12" xfId="50965" xr:uid="{00000000-0005-0000-0000-00001CC70000}"/>
    <cellStyle name="표준 6 2 2 10 13" xfId="50966" xr:uid="{00000000-0005-0000-0000-00001DC70000}"/>
    <cellStyle name="표준 6 2 2 10 14" xfId="50967" xr:uid="{00000000-0005-0000-0000-00001EC70000}"/>
    <cellStyle name="표준 6 2 2 10 15" xfId="50968" xr:uid="{00000000-0005-0000-0000-00001FC70000}"/>
    <cellStyle name="표준 6 2 2 10 16" xfId="50969" xr:uid="{00000000-0005-0000-0000-000020C70000}"/>
    <cellStyle name="표준 6 2 2 10 17" xfId="50970" xr:uid="{00000000-0005-0000-0000-000021C70000}"/>
    <cellStyle name="표준 6 2 2 10 18" xfId="50971" xr:uid="{00000000-0005-0000-0000-000022C70000}"/>
    <cellStyle name="표준 6 2 2 10 19" xfId="50972" xr:uid="{00000000-0005-0000-0000-000023C70000}"/>
    <cellStyle name="표준 6 2 2 10 2" xfId="50973" xr:uid="{00000000-0005-0000-0000-000024C70000}"/>
    <cellStyle name="표준 6 2 2 10 3" xfId="50974" xr:uid="{00000000-0005-0000-0000-000025C70000}"/>
    <cellStyle name="표준 6 2 2 10 4" xfId="50975" xr:uid="{00000000-0005-0000-0000-000026C70000}"/>
    <cellStyle name="표준 6 2 2 10 5" xfId="50976" xr:uid="{00000000-0005-0000-0000-000027C70000}"/>
    <cellStyle name="표준 6 2 2 10 6" xfId="50977" xr:uid="{00000000-0005-0000-0000-000028C70000}"/>
    <cellStyle name="표준 6 2 2 10 7" xfId="50978" xr:uid="{00000000-0005-0000-0000-000029C70000}"/>
    <cellStyle name="표준 6 2 2 10 8" xfId="50979" xr:uid="{00000000-0005-0000-0000-00002AC70000}"/>
    <cellStyle name="표준 6 2 2 10 9" xfId="50980" xr:uid="{00000000-0005-0000-0000-00002BC70000}"/>
    <cellStyle name="표준 6 2 2 11" xfId="50981" xr:uid="{00000000-0005-0000-0000-00002CC70000}"/>
    <cellStyle name="표준 6 2 2 12" xfId="50982" xr:uid="{00000000-0005-0000-0000-00002DC70000}"/>
    <cellStyle name="표준 6 2 2 13" xfId="50983" xr:uid="{00000000-0005-0000-0000-00002EC70000}"/>
    <cellStyle name="표준 6 2 2 14" xfId="50984" xr:uid="{00000000-0005-0000-0000-00002FC70000}"/>
    <cellStyle name="표준 6 2 2 15" xfId="50985" xr:uid="{00000000-0005-0000-0000-000030C70000}"/>
    <cellStyle name="표준 6 2 2 16" xfId="50986" xr:uid="{00000000-0005-0000-0000-000031C70000}"/>
    <cellStyle name="표준 6 2 2 17" xfId="50987" xr:uid="{00000000-0005-0000-0000-000032C70000}"/>
    <cellStyle name="표준 6 2 2 18" xfId="50988" xr:uid="{00000000-0005-0000-0000-000033C70000}"/>
    <cellStyle name="표준 6 2 2 19" xfId="50989" xr:uid="{00000000-0005-0000-0000-000034C70000}"/>
    <cellStyle name="표준 6 2 2 2" xfId="50990" xr:uid="{00000000-0005-0000-0000-000035C70000}"/>
    <cellStyle name="표준 6 2 2 2 10" xfId="50991" xr:uid="{00000000-0005-0000-0000-000036C70000}"/>
    <cellStyle name="표준 6 2 2 2 11" xfId="50992" xr:uid="{00000000-0005-0000-0000-000037C70000}"/>
    <cellStyle name="표준 6 2 2 2 12" xfId="50993" xr:uid="{00000000-0005-0000-0000-000038C70000}"/>
    <cellStyle name="표준 6 2 2 2 13" xfId="50994" xr:uid="{00000000-0005-0000-0000-000039C70000}"/>
    <cellStyle name="표준 6 2 2 2 14" xfId="50995" xr:uid="{00000000-0005-0000-0000-00003AC70000}"/>
    <cellStyle name="표준 6 2 2 2 15" xfId="50996" xr:uid="{00000000-0005-0000-0000-00003BC70000}"/>
    <cellStyle name="표준 6 2 2 2 16" xfId="50997" xr:uid="{00000000-0005-0000-0000-00003CC70000}"/>
    <cellStyle name="표준 6 2 2 2 17" xfId="50998" xr:uid="{00000000-0005-0000-0000-00003DC70000}"/>
    <cellStyle name="표준 6 2 2 2 18" xfId="50999" xr:uid="{00000000-0005-0000-0000-00003EC70000}"/>
    <cellStyle name="표준 6 2 2 2 19" xfId="51000" xr:uid="{00000000-0005-0000-0000-00003FC70000}"/>
    <cellStyle name="표준 6 2 2 2 2" xfId="51001" xr:uid="{00000000-0005-0000-0000-000040C70000}"/>
    <cellStyle name="표준 6 2 2 2 2 10" xfId="51002" xr:uid="{00000000-0005-0000-0000-000041C70000}"/>
    <cellStyle name="표준 6 2 2 2 2 11" xfId="51003" xr:uid="{00000000-0005-0000-0000-000042C70000}"/>
    <cellStyle name="표준 6 2 2 2 2 12" xfId="51004" xr:uid="{00000000-0005-0000-0000-000043C70000}"/>
    <cellStyle name="표준 6 2 2 2 2 13" xfId="51005" xr:uid="{00000000-0005-0000-0000-000044C70000}"/>
    <cellStyle name="표준 6 2 2 2 2 14" xfId="51006" xr:uid="{00000000-0005-0000-0000-000045C70000}"/>
    <cellStyle name="표준 6 2 2 2 2 15" xfId="51007" xr:uid="{00000000-0005-0000-0000-000046C70000}"/>
    <cellStyle name="표준 6 2 2 2 2 16" xfId="51008" xr:uid="{00000000-0005-0000-0000-000047C70000}"/>
    <cellStyle name="표준 6 2 2 2 2 17" xfId="51009" xr:uid="{00000000-0005-0000-0000-000048C70000}"/>
    <cellStyle name="표준 6 2 2 2 2 18" xfId="51010" xr:uid="{00000000-0005-0000-0000-000049C70000}"/>
    <cellStyle name="표준 6 2 2 2 2 19" xfId="51011" xr:uid="{00000000-0005-0000-0000-00004AC70000}"/>
    <cellStyle name="표준 6 2 2 2 2 2" xfId="51012" xr:uid="{00000000-0005-0000-0000-00004BC70000}"/>
    <cellStyle name="표준 6 2 2 2 2 2 10" xfId="51013" xr:uid="{00000000-0005-0000-0000-00004CC70000}"/>
    <cellStyle name="표준 6 2 2 2 2 2 11" xfId="51014" xr:uid="{00000000-0005-0000-0000-00004DC70000}"/>
    <cellStyle name="표준 6 2 2 2 2 2 12" xfId="51015" xr:uid="{00000000-0005-0000-0000-00004EC70000}"/>
    <cellStyle name="표준 6 2 2 2 2 2 13" xfId="51016" xr:uid="{00000000-0005-0000-0000-00004FC70000}"/>
    <cellStyle name="표준 6 2 2 2 2 2 14" xfId="51017" xr:uid="{00000000-0005-0000-0000-000050C70000}"/>
    <cellStyle name="표준 6 2 2 2 2 2 15" xfId="51018" xr:uid="{00000000-0005-0000-0000-000051C70000}"/>
    <cellStyle name="표준 6 2 2 2 2 2 16" xfId="51019" xr:uid="{00000000-0005-0000-0000-000052C70000}"/>
    <cellStyle name="표준 6 2 2 2 2 2 17" xfId="51020" xr:uid="{00000000-0005-0000-0000-000053C70000}"/>
    <cellStyle name="표준 6 2 2 2 2 2 18" xfId="51021" xr:uid="{00000000-0005-0000-0000-000054C70000}"/>
    <cellStyle name="표준 6 2 2 2 2 2 19" xfId="51022" xr:uid="{00000000-0005-0000-0000-000055C70000}"/>
    <cellStyle name="표준 6 2 2 2 2 2 2" xfId="51023" xr:uid="{00000000-0005-0000-0000-000056C70000}"/>
    <cellStyle name="표준 6 2 2 2 2 2 2 10" xfId="51024" xr:uid="{00000000-0005-0000-0000-000057C70000}"/>
    <cellStyle name="표준 6 2 2 2 2 2 2 11" xfId="51025" xr:uid="{00000000-0005-0000-0000-000058C70000}"/>
    <cellStyle name="표준 6 2 2 2 2 2 2 12" xfId="51026" xr:uid="{00000000-0005-0000-0000-000059C70000}"/>
    <cellStyle name="표준 6 2 2 2 2 2 2 13" xfId="51027" xr:uid="{00000000-0005-0000-0000-00005AC70000}"/>
    <cellStyle name="표준 6 2 2 2 2 2 2 14" xfId="51028" xr:uid="{00000000-0005-0000-0000-00005BC70000}"/>
    <cellStyle name="표준 6 2 2 2 2 2 2 15" xfId="51029" xr:uid="{00000000-0005-0000-0000-00005CC70000}"/>
    <cellStyle name="표준 6 2 2 2 2 2 2 16" xfId="51030" xr:uid="{00000000-0005-0000-0000-00005DC70000}"/>
    <cellStyle name="표준 6 2 2 2 2 2 2 17" xfId="51031" xr:uid="{00000000-0005-0000-0000-00005EC70000}"/>
    <cellStyle name="표준 6 2 2 2 2 2 2 18" xfId="51032" xr:uid="{00000000-0005-0000-0000-00005FC70000}"/>
    <cellStyle name="표준 6 2 2 2 2 2 2 19" xfId="51033" xr:uid="{00000000-0005-0000-0000-000060C70000}"/>
    <cellStyle name="표준 6 2 2 2 2 2 2 2" xfId="51034" xr:uid="{00000000-0005-0000-0000-000061C70000}"/>
    <cellStyle name="표준 6 2 2 2 2 2 2 3" xfId="51035" xr:uid="{00000000-0005-0000-0000-000062C70000}"/>
    <cellStyle name="표준 6 2 2 2 2 2 2 4" xfId="51036" xr:uid="{00000000-0005-0000-0000-000063C70000}"/>
    <cellStyle name="표준 6 2 2 2 2 2 2 5" xfId="51037" xr:uid="{00000000-0005-0000-0000-000064C70000}"/>
    <cellStyle name="표준 6 2 2 2 2 2 2 6" xfId="51038" xr:uid="{00000000-0005-0000-0000-000065C70000}"/>
    <cellStyle name="표준 6 2 2 2 2 2 2 7" xfId="51039" xr:uid="{00000000-0005-0000-0000-000066C70000}"/>
    <cellStyle name="표준 6 2 2 2 2 2 2 8" xfId="51040" xr:uid="{00000000-0005-0000-0000-000067C70000}"/>
    <cellStyle name="표준 6 2 2 2 2 2 2 9" xfId="51041" xr:uid="{00000000-0005-0000-0000-000068C70000}"/>
    <cellStyle name="표준 6 2 2 2 2 2 20" xfId="51042" xr:uid="{00000000-0005-0000-0000-000069C70000}"/>
    <cellStyle name="표준 6 2 2 2 2 2 21" xfId="51043" xr:uid="{00000000-0005-0000-0000-00006AC70000}"/>
    <cellStyle name="표준 6 2 2 2 2 2 22" xfId="51044" xr:uid="{00000000-0005-0000-0000-00006BC70000}"/>
    <cellStyle name="표준 6 2 2 2 2 2 23" xfId="51045" xr:uid="{00000000-0005-0000-0000-00006CC70000}"/>
    <cellStyle name="표준 6 2 2 2 2 2 24" xfId="51046" xr:uid="{00000000-0005-0000-0000-00006DC70000}"/>
    <cellStyle name="표준 6 2 2 2 2 2 25" xfId="51047" xr:uid="{00000000-0005-0000-0000-00006EC70000}"/>
    <cellStyle name="표준 6 2 2 2 2 2 26" xfId="51048" xr:uid="{00000000-0005-0000-0000-00006FC70000}"/>
    <cellStyle name="표준 6 2 2 2 2 2 3" xfId="51049" xr:uid="{00000000-0005-0000-0000-000070C70000}"/>
    <cellStyle name="표준 6 2 2 2 2 2 3 10" xfId="51050" xr:uid="{00000000-0005-0000-0000-000071C70000}"/>
    <cellStyle name="표준 6 2 2 2 2 2 3 11" xfId="51051" xr:uid="{00000000-0005-0000-0000-000072C70000}"/>
    <cellStyle name="표준 6 2 2 2 2 2 3 12" xfId="51052" xr:uid="{00000000-0005-0000-0000-000073C70000}"/>
    <cellStyle name="표준 6 2 2 2 2 2 3 13" xfId="51053" xr:uid="{00000000-0005-0000-0000-000074C70000}"/>
    <cellStyle name="표준 6 2 2 2 2 2 3 14" xfId="51054" xr:uid="{00000000-0005-0000-0000-000075C70000}"/>
    <cellStyle name="표준 6 2 2 2 2 2 3 15" xfId="51055" xr:uid="{00000000-0005-0000-0000-000076C70000}"/>
    <cellStyle name="표준 6 2 2 2 2 2 3 16" xfId="51056" xr:uid="{00000000-0005-0000-0000-000077C70000}"/>
    <cellStyle name="표준 6 2 2 2 2 2 3 17" xfId="51057" xr:uid="{00000000-0005-0000-0000-000078C70000}"/>
    <cellStyle name="표준 6 2 2 2 2 2 3 18" xfId="51058" xr:uid="{00000000-0005-0000-0000-000079C70000}"/>
    <cellStyle name="표준 6 2 2 2 2 2 3 19" xfId="51059" xr:uid="{00000000-0005-0000-0000-00007AC70000}"/>
    <cellStyle name="표준 6 2 2 2 2 2 3 2" xfId="51060" xr:uid="{00000000-0005-0000-0000-00007BC70000}"/>
    <cellStyle name="표준 6 2 2 2 2 2 3 3" xfId="51061" xr:uid="{00000000-0005-0000-0000-00007CC70000}"/>
    <cellStyle name="표준 6 2 2 2 2 2 3 4" xfId="51062" xr:uid="{00000000-0005-0000-0000-00007DC70000}"/>
    <cellStyle name="표준 6 2 2 2 2 2 3 5" xfId="51063" xr:uid="{00000000-0005-0000-0000-00007EC70000}"/>
    <cellStyle name="표준 6 2 2 2 2 2 3 6" xfId="51064" xr:uid="{00000000-0005-0000-0000-00007FC70000}"/>
    <cellStyle name="표준 6 2 2 2 2 2 3 7" xfId="51065" xr:uid="{00000000-0005-0000-0000-000080C70000}"/>
    <cellStyle name="표준 6 2 2 2 2 2 3 8" xfId="51066" xr:uid="{00000000-0005-0000-0000-000081C70000}"/>
    <cellStyle name="표준 6 2 2 2 2 2 3 9" xfId="51067" xr:uid="{00000000-0005-0000-0000-000082C70000}"/>
    <cellStyle name="표준 6 2 2 2 2 2 4" xfId="51068" xr:uid="{00000000-0005-0000-0000-000083C70000}"/>
    <cellStyle name="표준 6 2 2 2 2 2 4 10" xfId="51069" xr:uid="{00000000-0005-0000-0000-000084C70000}"/>
    <cellStyle name="표준 6 2 2 2 2 2 4 11" xfId="51070" xr:uid="{00000000-0005-0000-0000-000085C70000}"/>
    <cellStyle name="표준 6 2 2 2 2 2 4 12" xfId="51071" xr:uid="{00000000-0005-0000-0000-000086C70000}"/>
    <cellStyle name="표준 6 2 2 2 2 2 4 13" xfId="51072" xr:uid="{00000000-0005-0000-0000-000087C70000}"/>
    <cellStyle name="표준 6 2 2 2 2 2 4 14" xfId="51073" xr:uid="{00000000-0005-0000-0000-000088C70000}"/>
    <cellStyle name="표준 6 2 2 2 2 2 4 15" xfId="51074" xr:uid="{00000000-0005-0000-0000-000089C70000}"/>
    <cellStyle name="표준 6 2 2 2 2 2 4 16" xfId="51075" xr:uid="{00000000-0005-0000-0000-00008AC70000}"/>
    <cellStyle name="표준 6 2 2 2 2 2 4 17" xfId="51076" xr:uid="{00000000-0005-0000-0000-00008BC70000}"/>
    <cellStyle name="표준 6 2 2 2 2 2 4 18" xfId="51077" xr:uid="{00000000-0005-0000-0000-00008CC70000}"/>
    <cellStyle name="표준 6 2 2 2 2 2 4 19" xfId="51078" xr:uid="{00000000-0005-0000-0000-00008DC70000}"/>
    <cellStyle name="표준 6 2 2 2 2 2 4 2" xfId="51079" xr:uid="{00000000-0005-0000-0000-00008EC70000}"/>
    <cellStyle name="표준 6 2 2 2 2 2 4 3" xfId="51080" xr:uid="{00000000-0005-0000-0000-00008FC70000}"/>
    <cellStyle name="표준 6 2 2 2 2 2 4 4" xfId="51081" xr:uid="{00000000-0005-0000-0000-000090C70000}"/>
    <cellStyle name="표준 6 2 2 2 2 2 4 5" xfId="51082" xr:uid="{00000000-0005-0000-0000-000091C70000}"/>
    <cellStyle name="표준 6 2 2 2 2 2 4 6" xfId="51083" xr:uid="{00000000-0005-0000-0000-000092C70000}"/>
    <cellStyle name="표준 6 2 2 2 2 2 4 7" xfId="51084" xr:uid="{00000000-0005-0000-0000-000093C70000}"/>
    <cellStyle name="표준 6 2 2 2 2 2 4 8" xfId="51085" xr:uid="{00000000-0005-0000-0000-000094C70000}"/>
    <cellStyle name="표준 6 2 2 2 2 2 4 9" xfId="51086" xr:uid="{00000000-0005-0000-0000-000095C70000}"/>
    <cellStyle name="표준 6 2 2 2 2 2 5" xfId="51087" xr:uid="{00000000-0005-0000-0000-000096C70000}"/>
    <cellStyle name="표준 6 2 2 2 2 2 5 10" xfId="51088" xr:uid="{00000000-0005-0000-0000-000097C70000}"/>
    <cellStyle name="표준 6 2 2 2 2 2 5 11" xfId="51089" xr:uid="{00000000-0005-0000-0000-000098C70000}"/>
    <cellStyle name="표준 6 2 2 2 2 2 5 12" xfId="51090" xr:uid="{00000000-0005-0000-0000-000099C70000}"/>
    <cellStyle name="표준 6 2 2 2 2 2 5 13" xfId="51091" xr:uid="{00000000-0005-0000-0000-00009AC70000}"/>
    <cellStyle name="표준 6 2 2 2 2 2 5 14" xfId="51092" xr:uid="{00000000-0005-0000-0000-00009BC70000}"/>
    <cellStyle name="표준 6 2 2 2 2 2 5 15" xfId="51093" xr:uid="{00000000-0005-0000-0000-00009CC70000}"/>
    <cellStyle name="표준 6 2 2 2 2 2 5 16" xfId="51094" xr:uid="{00000000-0005-0000-0000-00009DC70000}"/>
    <cellStyle name="표준 6 2 2 2 2 2 5 17" xfId="51095" xr:uid="{00000000-0005-0000-0000-00009EC70000}"/>
    <cellStyle name="표준 6 2 2 2 2 2 5 18" xfId="51096" xr:uid="{00000000-0005-0000-0000-00009FC70000}"/>
    <cellStyle name="표준 6 2 2 2 2 2 5 19" xfId="51097" xr:uid="{00000000-0005-0000-0000-0000A0C70000}"/>
    <cellStyle name="표준 6 2 2 2 2 2 5 2" xfId="51098" xr:uid="{00000000-0005-0000-0000-0000A1C70000}"/>
    <cellStyle name="표준 6 2 2 2 2 2 5 3" xfId="51099" xr:uid="{00000000-0005-0000-0000-0000A2C70000}"/>
    <cellStyle name="표준 6 2 2 2 2 2 5 4" xfId="51100" xr:uid="{00000000-0005-0000-0000-0000A3C70000}"/>
    <cellStyle name="표준 6 2 2 2 2 2 5 5" xfId="51101" xr:uid="{00000000-0005-0000-0000-0000A4C70000}"/>
    <cellStyle name="표준 6 2 2 2 2 2 5 6" xfId="51102" xr:uid="{00000000-0005-0000-0000-0000A5C70000}"/>
    <cellStyle name="표준 6 2 2 2 2 2 5 7" xfId="51103" xr:uid="{00000000-0005-0000-0000-0000A6C70000}"/>
    <cellStyle name="표준 6 2 2 2 2 2 5 8" xfId="51104" xr:uid="{00000000-0005-0000-0000-0000A7C70000}"/>
    <cellStyle name="표준 6 2 2 2 2 2 5 9" xfId="51105" xr:uid="{00000000-0005-0000-0000-0000A8C70000}"/>
    <cellStyle name="표준 6 2 2 2 2 2 6" xfId="51106" xr:uid="{00000000-0005-0000-0000-0000A9C70000}"/>
    <cellStyle name="표준 6 2 2 2 2 2 6 10" xfId="51107" xr:uid="{00000000-0005-0000-0000-0000AAC70000}"/>
    <cellStyle name="표준 6 2 2 2 2 2 6 11" xfId="51108" xr:uid="{00000000-0005-0000-0000-0000ABC70000}"/>
    <cellStyle name="표준 6 2 2 2 2 2 6 12" xfId="51109" xr:uid="{00000000-0005-0000-0000-0000ACC70000}"/>
    <cellStyle name="표준 6 2 2 2 2 2 6 13" xfId="51110" xr:uid="{00000000-0005-0000-0000-0000ADC70000}"/>
    <cellStyle name="표준 6 2 2 2 2 2 6 14" xfId="51111" xr:uid="{00000000-0005-0000-0000-0000AEC70000}"/>
    <cellStyle name="표준 6 2 2 2 2 2 6 15" xfId="51112" xr:uid="{00000000-0005-0000-0000-0000AFC70000}"/>
    <cellStyle name="표준 6 2 2 2 2 2 6 16" xfId="51113" xr:uid="{00000000-0005-0000-0000-0000B0C70000}"/>
    <cellStyle name="표준 6 2 2 2 2 2 6 17" xfId="51114" xr:uid="{00000000-0005-0000-0000-0000B1C70000}"/>
    <cellStyle name="표준 6 2 2 2 2 2 6 18" xfId="51115" xr:uid="{00000000-0005-0000-0000-0000B2C70000}"/>
    <cellStyle name="표준 6 2 2 2 2 2 6 19" xfId="51116" xr:uid="{00000000-0005-0000-0000-0000B3C70000}"/>
    <cellStyle name="표준 6 2 2 2 2 2 6 2" xfId="51117" xr:uid="{00000000-0005-0000-0000-0000B4C70000}"/>
    <cellStyle name="표준 6 2 2 2 2 2 6 3" xfId="51118" xr:uid="{00000000-0005-0000-0000-0000B5C70000}"/>
    <cellStyle name="표준 6 2 2 2 2 2 6 4" xfId="51119" xr:uid="{00000000-0005-0000-0000-0000B6C70000}"/>
    <cellStyle name="표준 6 2 2 2 2 2 6 5" xfId="51120" xr:uid="{00000000-0005-0000-0000-0000B7C70000}"/>
    <cellStyle name="표준 6 2 2 2 2 2 6 6" xfId="51121" xr:uid="{00000000-0005-0000-0000-0000B8C70000}"/>
    <cellStyle name="표준 6 2 2 2 2 2 6 7" xfId="51122" xr:uid="{00000000-0005-0000-0000-0000B9C70000}"/>
    <cellStyle name="표준 6 2 2 2 2 2 6 8" xfId="51123" xr:uid="{00000000-0005-0000-0000-0000BAC70000}"/>
    <cellStyle name="표준 6 2 2 2 2 2 6 9" xfId="51124" xr:uid="{00000000-0005-0000-0000-0000BBC70000}"/>
    <cellStyle name="표준 6 2 2 2 2 2 7" xfId="51125" xr:uid="{00000000-0005-0000-0000-0000BCC70000}"/>
    <cellStyle name="표준 6 2 2 2 2 2 7 10" xfId="51126" xr:uid="{00000000-0005-0000-0000-0000BDC70000}"/>
    <cellStyle name="표준 6 2 2 2 2 2 7 11" xfId="51127" xr:uid="{00000000-0005-0000-0000-0000BEC70000}"/>
    <cellStyle name="표준 6 2 2 2 2 2 7 12" xfId="51128" xr:uid="{00000000-0005-0000-0000-0000BFC70000}"/>
    <cellStyle name="표준 6 2 2 2 2 2 7 13" xfId="51129" xr:uid="{00000000-0005-0000-0000-0000C0C70000}"/>
    <cellStyle name="표준 6 2 2 2 2 2 7 14" xfId="51130" xr:uid="{00000000-0005-0000-0000-0000C1C70000}"/>
    <cellStyle name="표준 6 2 2 2 2 2 7 15" xfId="51131" xr:uid="{00000000-0005-0000-0000-0000C2C70000}"/>
    <cellStyle name="표준 6 2 2 2 2 2 7 16" xfId="51132" xr:uid="{00000000-0005-0000-0000-0000C3C70000}"/>
    <cellStyle name="표준 6 2 2 2 2 2 7 17" xfId="51133" xr:uid="{00000000-0005-0000-0000-0000C4C70000}"/>
    <cellStyle name="표준 6 2 2 2 2 2 7 18" xfId="51134" xr:uid="{00000000-0005-0000-0000-0000C5C70000}"/>
    <cellStyle name="표준 6 2 2 2 2 2 7 19" xfId="51135" xr:uid="{00000000-0005-0000-0000-0000C6C70000}"/>
    <cellStyle name="표준 6 2 2 2 2 2 7 2" xfId="51136" xr:uid="{00000000-0005-0000-0000-0000C7C70000}"/>
    <cellStyle name="표준 6 2 2 2 2 2 7 3" xfId="51137" xr:uid="{00000000-0005-0000-0000-0000C8C70000}"/>
    <cellStyle name="표준 6 2 2 2 2 2 7 4" xfId="51138" xr:uid="{00000000-0005-0000-0000-0000C9C70000}"/>
    <cellStyle name="표준 6 2 2 2 2 2 7 5" xfId="51139" xr:uid="{00000000-0005-0000-0000-0000CAC70000}"/>
    <cellStyle name="표준 6 2 2 2 2 2 7 6" xfId="51140" xr:uid="{00000000-0005-0000-0000-0000CBC70000}"/>
    <cellStyle name="표준 6 2 2 2 2 2 7 7" xfId="51141" xr:uid="{00000000-0005-0000-0000-0000CCC70000}"/>
    <cellStyle name="표준 6 2 2 2 2 2 7 8" xfId="51142" xr:uid="{00000000-0005-0000-0000-0000CDC70000}"/>
    <cellStyle name="표준 6 2 2 2 2 2 7 9" xfId="51143" xr:uid="{00000000-0005-0000-0000-0000CEC70000}"/>
    <cellStyle name="표준 6 2 2 2 2 2 8" xfId="51144" xr:uid="{00000000-0005-0000-0000-0000CFC70000}"/>
    <cellStyle name="표준 6 2 2 2 2 2 8 10" xfId="51145" xr:uid="{00000000-0005-0000-0000-0000D0C70000}"/>
    <cellStyle name="표준 6 2 2 2 2 2 8 11" xfId="51146" xr:uid="{00000000-0005-0000-0000-0000D1C70000}"/>
    <cellStyle name="표준 6 2 2 2 2 2 8 12" xfId="51147" xr:uid="{00000000-0005-0000-0000-0000D2C70000}"/>
    <cellStyle name="표준 6 2 2 2 2 2 8 13" xfId="51148" xr:uid="{00000000-0005-0000-0000-0000D3C70000}"/>
    <cellStyle name="표준 6 2 2 2 2 2 8 14" xfId="51149" xr:uid="{00000000-0005-0000-0000-0000D4C70000}"/>
    <cellStyle name="표준 6 2 2 2 2 2 8 15" xfId="51150" xr:uid="{00000000-0005-0000-0000-0000D5C70000}"/>
    <cellStyle name="표준 6 2 2 2 2 2 8 16" xfId="51151" xr:uid="{00000000-0005-0000-0000-0000D6C70000}"/>
    <cellStyle name="표준 6 2 2 2 2 2 8 17" xfId="51152" xr:uid="{00000000-0005-0000-0000-0000D7C70000}"/>
    <cellStyle name="표준 6 2 2 2 2 2 8 18" xfId="51153" xr:uid="{00000000-0005-0000-0000-0000D8C70000}"/>
    <cellStyle name="표준 6 2 2 2 2 2 8 19" xfId="51154" xr:uid="{00000000-0005-0000-0000-0000D9C70000}"/>
    <cellStyle name="표준 6 2 2 2 2 2 8 2" xfId="51155" xr:uid="{00000000-0005-0000-0000-0000DAC70000}"/>
    <cellStyle name="표준 6 2 2 2 2 2 8 3" xfId="51156" xr:uid="{00000000-0005-0000-0000-0000DBC70000}"/>
    <cellStyle name="표준 6 2 2 2 2 2 8 4" xfId="51157" xr:uid="{00000000-0005-0000-0000-0000DCC70000}"/>
    <cellStyle name="표준 6 2 2 2 2 2 8 5" xfId="51158" xr:uid="{00000000-0005-0000-0000-0000DDC70000}"/>
    <cellStyle name="표준 6 2 2 2 2 2 8 6" xfId="51159" xr:uid="{00000000-0005-0000-0000-0000DEC70000}"/>
    <cellStyle name="표준 6 2 2 2 2 2 8 7" xfId="51160" xr:uid="{00000000-0005-0000-0000-0000DFC70000}"/>
    <cellStyle name="표준 6 2 2 2 2 2 8 8" xfId="51161" xr:uid="{00000000-0005-0000-0000-0000E0C70000}"/>
    <cellStyle name="표준 6 2 2 2 2 2 8 9" xfId="51162" xr:uid="{00000000-0005-0000-0000-0000E1C70000}"/>
    <cellStyle name="표준 6 2 2 2 2 2 9" xfId="51163" xr:uid="{00000000-0005-0000-0000-0000E2C70000}"/>
    <cellStyle name="표준 6 2 2 2 2 20" xfId="51164" xr:uid="{00000000-0005-0000-0000-0000E3C70000}"/>
    <cellStyle name="표준 6 2 2 2 2 21" xfId="51165" xr:uid="{00000000-0005-0000-0000-0000E4C70000}"/>
    <cellStyle name="표준 6 2 2 2 2 22" xfId="51166" xr:uid="{00000000-0005-0000-0000-0000E5C70000}"/>
    <cellStyle name="표준 6 2 2 2 2 23" xfId="51167" xr:uid="{00000000-0005-0000-0000-0000E6C70000}"/>
    <cellStyle name="표준 6 2 2 2 2 24" xfId="51168" xr:uid="{00000000-0005-0000-0000-0000E7C70000}"/>
    <cellStyle name="표준 6 2 2 2 2 25" xfId="51169" xr:uid="{00000000-0005-0000-0000-0000E8C70000}"/>
    <cellStyle name="표준 6 2 2 2 2 26" xfId="51170" xr:uid="{00000000-0005-0000-0000-0000E9C70000}"/>
    <cellStyle name="표준 6 2 2 2 2 27" xfId="51171" xr:uid="{00000000-0005-0000-0000-0000EAC70000}"/>
    <cellStyle name="표준 6 2 2 2 2 3" xfId="51172" xr:uid="{00000000-0005-0000-0000-0000EBC70000}"/>
    <cellStyle name="표준 6 2 2 2 2 3 10" xfId="51173" xr:uid="{00000000-0005-0000-0000-0000ECC70000}"/>
    <cellStyle name="표준 6 2 2 2 2 3 11" xfId="51174" xr:uid="{00000000-0005-0000-0000-0000EDC70000}"/>
    <cellStyle name="표준 6 2 2 2 2 3 12" xfId="51175" xr:uid="{00000000-0005-0000-0000-0000EEC70000}"/>
    <cellStyle name="표준 6 2 2 2 2 3 13" xfId="51176" xr:uid="{00000000-0005-0000-0000-0000EFC70000}"/>
    <cellStyle name="표준 6 2 2 2 2 3 14" xfId="51177" xr:uid="{00000000-0005-0000-0000-0000F0C70000}"/>
    <cellStyle name="표준 6 2 2 2 2 3 15" xfId="51178" xr:uid="{00000000-0005-0000-0000-0000F1C70000}"/>
    <cellStyle name="표준 6 2 2 2 2 3 16" xfId="51179" xr:uid="{00000000-0005-0000-0000-0000F2C70000}"/>
    <cellStyle name="표준 6 2 2 2 2 3 17" xfId="51180" xr:uid="{00000000-0005-0000-0000-0000F3C70000}"/>
    <cellStyle name="표준 6 2 2 2 2 3 18" xfId="51181" xr:uid="{00000000-0005-0000-0000-0000F4C70000}"/>
    <cellStyle name="표준 6 2 2 2 2 3 19" xfId="51182" xr:uid="{00000000-0005-0000-0000-0000F5C70000}"/>
    <cellStyle name="표준 6 2 2 2 2 3 2" xfId="51183" xr:uid="{00000000-0005-0000-0000-0000F6C70000}"/>
    <cellStyle name="표준 6 2 2 2 2 3 3" xfId="51184" xr:uid="{00000000-0005-0000-0000-0000F7C70000}"/>
    <cellStyle name="표준 6 2 2 2 2 3 4" xfId="51185" xr:uid="{00000000-0005-0000-0000-0000F8C70000}"/>
    <cellStyle name="표준 6 2 2 2 2 3 5" xfId="51186" xr:uid="{00000000-0005-0000-0000-0000F9C70000}"/>
    <cellStyle name="표준 6 2 2 2 2 3 6" xfId="51187" xr:uid="{00000000-0005-0000-0000-0000FAC70000}"/>
    <cellStyle name="표준 6 2 2 2 2 3 7" xfId="51188" xr:uid="{00000000-0005-0000-0000-0000FBC70000}"/>
    <cellStyle name="표준 6 2 2 2 2 3 8" xfId="51189" xr:uid="{00000000-0005-0000-0000-0000FCC70000}"/>
    <cellStyle name="표준 6 2 2 2 2 3 9" xfId="51190" xr:uid="{00000000-0005-0000-0000-0000FDC70000}"/>
    <cellStyle name="표준 6 2 2 2 2 4" xfId="51191" xr:uid="{00000000-0005-0000-0000-0000FEC70000}"/>
    <cellStyle name="표준 6 2 2 2 2 4 10" xfId="51192" xr:uid="{00000000-0005-0000-0000-0000FFC70000}"/>
    <cellStyle name="표준 6 2 2 2 2 4 11" xfId="51193" xr:uid="{00000000-0005-0000-0000-000000C80000}"/>
    <cellStyle name="표준 6 2 2 2 2 4 12" xfId="51194" xr:uid="{00000000-0005-0000-0000-000001C80000}"/>
    <cellStyle name="표준 6 2 2 2 2 4 13" xfId="51195" xr:uid="{00000000-0005-0000-0000-000002C80000}"/>
    <cellStyle name="표준 6 2 2 2 2 4 14" xfId="51196" xr:uid="{00000000-0005-0000-0000-000003C80000}"/>
    <cellStyle name="표준 6 2 2 2 2 4 15" xfId="51197" xr:uid="{00000000-0005-0000-0000-000004C80000}"/>
    <cellStyle name="표준 6 2 2 2 2 4 16" xfId="51198" xr:uid="{00000000-0005-0000-0000-000005C80000}"/>
    <cellStyle name="표준 6 2 2 2 2 4 17" xfId="51199" xr:uid="{00000000-0005-0000-0000-000006C80000}"/>
    <cellStyle name="표준 6 2 2 2 2 4 18" xfId="51200" xr:uid="{00000000-0005-0000-0000-000007C80000}"/>
    <cellStyle name="표준 6 2 2 2 2 4 19" xfId="51201" xr:uid="{00000000-0005-0000-0000-000008C80000}"/>
    <cellStyle name="표준 6 2 2 2 2 4 2" xfId="51202" xr:uid="{00000000-0005-0000-0000-000009C80000}"/>
    <cellStyle name="표준 6 2 2 2 2 4 3" xfId="51203" xr:uid="{00000000-0005-0000-0000-00000AC80000}"/>
    <cellStyle name="표준 6 2 2 2 2 4 4" xfId="51204" xr:uid="{00000000-0005-0000-0000-00000BC80000}"/>
    <cellStyle name="표준 6 2 2 2 2 4 5" xfId="51205" xr:uid="{00000000-0005-0000-0000-00000CC80000}"/>
    <cellStyle name="표준 6 2 2 2 2 4 6" xfId="51206" xr:uid="{00000000-0005-0000-0000-00000DC80000}"/>
    <cellStyle name="표준 6 2 2 2 2 4 7" xfId="51207" xr:uid="{00000000-0005-0000-0000-00000EC80000}"/>
    <cellStyle name="표준 6 2 2 2 2 4 8" xfId="51208" xr:uid="{00000000-0005-0000-0000-00000FC80000}"/>
    <cellStyle name="표준 6 2 2 2 2 4 9" xfId="51209" xr:uid="{00000000-0005-0000-0000-000010C80000}"/>
    <cellStyle name="표준 6 2 2 2 2 5" xfId="51210" xr:uid="{00000000-0005-0000-0000-000011C80000}"/>
    <cellStyle name="표준 6 2 2 2 2 5 10" xfId="51211" xr:uid="{00000000-0005-0000-0000-000012C80000}"/>
    <cellStyle name="표준 6 2 2 2 2 5 11" xfId="51212" xr:uid="{00000000-0005-0000-0000-000013C80000}"/>
    <cellStyle name="표준 6 2 2 2 2 5 12" xfId="51213" xr:uid="{00000000-0005-0000-0000-000014C80000}"/>
    <cellStyle name="표준 6 2 2 2 2 5 13" xfId="51214" xr:uid="{00000000-0005-0000-0000-000015C80000}"/>
    <cellStyle name="표준 6 2 2 2 2 5 14" xfId="51215" xr:uid="{00000000-0005-0000-0000-000016C80000}"/>
    <cellStyle name="표준 6 2 2 2 2 5 15" xfId="51216" xr:uid="{00000000-0005-0000-0000-000017C80000}"/>
    <cellStyle name="표준 6 2 2 2 2 5 16" xfId="51217" xr:uid="{00000000-0005-0000-0000-000018C80000}"/>
    <cellStyle name="표준 6 2 2 2 2 5 17" xfId="51218" xr:uid="{00000000-0005-0000-0000-000019C80000}"/>
    <cellStyle name="표준 6 2 2 2 2 5 18" xfId="51219" xr:uid="{00000000-0005-0000-0000-00001AC80000}"/>
    <cellStyle name="표준 6 2 2 2 2 5 19" xfId="51220" xr:uid="{00000000-0005-0000-0000-00001BC80000}"/>
    <cellStyle name="표준 6 2 2 2 2 5 2" xfId="51221" xr:uid="{00000000-0005-0000-0000-00001CC80000}"/>
    <cellStyle name="표준 6 2 2 2 2 5 3" xfId="51222" xr:uid="{00000000-0005-0000-0000-00001DC80000}"/>
    <cellStyle name="표준 6 2 2 2 2 5 4" xfId="51223" xr:uid="{00000000-0005-0000-0000-00001EC80000}"/>
    <cellStyle name="표준 6 2 2 2 2 5 5" xfId="51224" xr:uid="{00000000-0005-0000-0000-00001FC80000}"/>
    <cellStyle name="표준 6 2 2 2 2 5 6" xfId="51225" xr:uid="{00000000-0005-0000-0000-000020C80000}"/>
    <cellStyle name="표준 6 2 2 2 2 5 7" xfId="51226" xr:uid="{00000000-0005-0000-0000-000021C80000}"/>
    <cellStyle name="표준 6 2 2 2 2 5 8" xfId="51227" xr:uid="{00000000-0005-0000-0000-000022C80000}"/>
    <cellStyle name="표준 6 2 2 2 2 5 9" xfId="51228" xr:uid="{00000000-0005-0000-0000-000023C80000}"/>
    <cellStyle name="표준 6 2 2 2 2 6" xfId="51229" xr:uid="{00000000-0005-0000-0000-000024C80000}"/>
    <cellStyle name="표준 6 2 2 2 2 6 10" xfId="51230" xr:uid="{00000000-0005-0000-0000-000025C80000}"/>
    <cellStyle name="표준 6 2 2 2 2 6 11" xfId="51231" xr:uid="{00000000-0005-0000-0000-000026C80000}"/>
    <cellStyle name="표준 6 2 2 2 2 6 12" xfId="51232" xr:uid="{00000000-0005-0000-0000-000027C80000}"/>
    <cellStyle name="표준 6 2 2 2 2 6 13" xfId="51233" xr:uid="{00000000-0005-0000-0000-000028C80000}"/>
    <cellStyle name="표준 6 2 2 2 2 6 14" xfId="51234" xr:uid="{00000000-0005-0000-0000-000029C80000}"/>
    <cellStyle name="표준 6 2 2 2 2 6 15" xfId="51235" xr:uid="{00000000-0005-0000-0000-00002AC80000}"/>
    <cellStyle name="표준 6 2 2 2 2 6 16" xfId="51236" xr:uid="{00000000-0005-0000-0000-00002BC80000}"/>
    <cellStyle name="표준 6 2 2 2 2 6 17" xfId="51237" xr:uid="{00000000-0005-0000-0000-00002CC80000}"/>
    <cellStyle name="표준 6 2 2 2 2 6 18" xfId="51238" xr:uid="{00000000-0005-0000-0000-00002DC80000}"/>
    <cellStyle name="표준 6 2 2 2 2 6 19" xfId="51239" xr:uid="{00000000-0005-0000-0000-00002EC80000}"/>
    <cellStyle name="표준 6 2 2 2 2 6 2" xfId="51240" xr:uid="{00000000-0005-0000-0000-00002FC80000}"/>
    <cellStyle name="표준 6 2 2 2 2 6 3" xfId="51241" xr:uid="{00000000-0005-0000-0000-000030C80000}"/>
    <cellStyle name="표준 6 2 2 2 2 6 4" xfId="51242" xr:uid="{00000000-0005-0000-0000-000031C80000}"/>
    <cellStyle name="표준 6 2 2 2 2 6 5" xfId="51243" xr:uid="{00000000-0005-0000-0000-000032C80000}"/>
    <cellStyle name="표준 6 2 2 2 2 6 6" xfId="51244" xr:uid="{00000000-0005-0000-0000-000033C80000}"/>
    <cellStyle name="표준 6 2 2 2 2 6 7" xfId="51245" xr:uid="{00000000-0005-0000-0000-000034C80000}"/>
    <cellStyle name="표준 6 2 2 2 2 6 8" xfId="51246" xr:uid="{00000000-0005-0000-0000-000035C80000}"/>
    <cellStyle name="표준 6 2 2 2 2 6 9" xfId="51247" xr:uid="{00000000-0005-0000-0000-000036C80000}"/>
    <cellStyle name="표준 6 2 2 2 2 7" xfId="51248" xr:uid="{00000000-0005-0000-0000-000037C80000}"/>
    <cellStyle name="표준 6 2 2 2 2 7 10" xfId="51249" xr:uid="{00000000-0005-0000-0000-000038C80000}"/>
    <cellStyle name="표준 6 2 2 2 2 7 11" xfId="51250" xr:uid="{00000000-0005-0000-0000-000039C80000}"/>
    <cellStyle name="표준 6 2 2 2 2 7 12" xfId="51251" xr:uid="{00000000-0005-0000-0000-00003AC80000}"/>
    <cellStyle name="표준 6 2 2 2 2 7 13" xfId="51252" xr:uid="{00000000-0005-0000-0000-00003BC80000}"/>
    <cellStyle name="표준 6 2 2 2 2 7 14" xfId="51253" xr:uid="{00000000-0005-0000-0000-00003CC80000}"/>
    <cellStyle name="표준 6 2 2 2 2 7 15" xfId="51254" xr:uid="{00000000-0005-0000-0000-00003DC80000}"/>
    <cellStyle name="표준 6 2 2 2 2 7 16" xfId="51255" xr:uid="{00000000-0005-0000-0000-00003EC80000}"/>
    <cellStyle name="표준 6 2 2 2 2 7 17" xfId="51256" xr:uid="{00000000-0005-0000-0000-00003FC80000}"/>
    <cellStyle name="표준 6 2 2 2 2 7 18" xfId="51257" xr:uid="{00000000-0005-0000-0000-000040C80000}"/>
    <cellStyle name="표준 6 2 2 2 2 7 19" xfId="51258" xr:uid="{00000000-0005-0000-0000-000041C80000}"/>
    <cellStyle name="표준 6 2 2 2 2 7 2" xfId="51259" xr:uid="{00000000-0005-0000-0000-000042C80000}"/>
    <cellStyle name="표준 6 2 2 2 2 7 3" xfId="51260" xr:uid="{00000000-0005-0000-0000-000043C80000}"/>
    <cellStyle name="표준 6 2 2 2 2 7 4" xfId="51261" xr:uid="{00000000-0005-0000-0000-000044C80000}"/>
    <cellStyle name="표준 6 2 2 2 2 7 5" xfId="51262" xr:uid="{00000000-0005-0000-0000-000045C80000}"/>
    <cellStyle name="표준 6 2 2 2 2 7 6" xfId="51263" xr:uid="{00000000-0005-0000-0000-000046C80000}"/>
    <cellStyle name="표준 6 2 2 2 2 7 7" xfId="51264" xr:uid="{00000000-0005-0000-0000-000047C80000}"/>
    <cellStyle name="표준 6 2 2 2 2 7 8" xfId="51265" xr:uid="{00000000-0005-0000-0000-000048C80000}"/>
    <cellStyle name="표준 6 2 2 2 2 7 9" xfId="51266" xr:uid="{00000000-0005-0000-0000-000049C80000}"/>
    <cellStyle name="표준 6 2 2 2 2 8" xfId="51267" xr:uid="{00000000-0005-0000-0000-00004AC80000}"/>
    <cellStyle name="표준 6 2 2 2 2 8 10" xfId="51268" xr:uid="{00000000-0005-0000-0000-00004BC80000}"/>
    <cellStyle name="표준 6 2 2 2 2 8 11" xfId="51269" xr:uid="{00000000-0005-0000-0000-00004CC80000}"/>
    <cellStyle name="표준 6 2 2 2 2 8 12" xfId="51270" xr:uid="{00000000-0005-0000-0000-00004DC80000}"/>
    <cellStyle name="표준 6 2 2 2 2 8 13" xfId="51271" xr:uid="{00000000-0005-0000-0000-00004EC80000}"/>
    <cellStyle name="표준 6 2 2 2 2 8 14" xfId="51272" xr:uid="{00000000-0005-0000-0000-00004FC80000}"/>
    <cellStyle name="표준 6 2 2 2 2 8 15" xfId="51273" xr:uid="{00000000-0005-0000-0000-000050C80000}"/>
    <cellStyle name="표준 6 2 2 2 2 8 16" xfId="51274" xr:uid="{00000000-0005-0000-0000-000051C80000}"/>
    <cellStyle name="표준 6 2 2 2 2 8 17" xfId="51275" xr:uid="{00000000-0005-0000-0000-000052C80000}"/>
    <cellStyle name="표준 6 2 2 2 2 8 18" xfId="51276" xr:uid="{00000000-0005-0000-0000-000053C80000}"/>
    <cellStyle name="표준 6 2 2 2 2 8 19" xfId="51277" xr:uid="{00000000-0005-0000-0000-000054C80000}"/>
    <cellStyle name="표준 6 2 2 2 2 8 2" xfId="51278" xr:uid="{00000000-0005-0000-0000-000055C80000}"/>
    <cellStyle name="표준 6 2 2 2 2 8 3" xfId="51279" xr:uid="{00000000-0005-0000-0000-000056C80000}"/>
    <cellStyle name="표준 6 2 2 2 2 8 4" xfId="51280" xr:uid="{00000000-0005-0000-0000-000057C80000}"/>
    <cellStyle name="표준 6 2 2 2 2 8 5" xfId="51281" xr:uid="{00000000-0005-0000-0000-000058C80000}"/>
    <cellStyle name="표준 6 2 2 2 2 8 6" xfId="51282" xr:uid="{00000000-0005-0000-0000-000059C80000}"/>
    <cellStyle name="표준 6 2 2 2 2 8 7" xfId="51283" xr:uid="{00000000-0005-0000-0000-00005AC80000}"/>
    <cellStyle name="표준 6 2 2 2 2 8 8" xfId="51284" xr:uid="{00000000-0005-0000-0000-00005BC80000}"/>
    <cellStyle name="표준 6 2 2 2 2 8 9" xfId="51285" xr:uid="{00000000-0005-0000-0000-00005CC80000}"/>
    <cellStyle name="표준 6 2 2 2 2 9" xfId="51286" xr:uid="{00000000-0005-0000-0000-00005DC80000}"/>
    <cellStyle name="표준 6 2 2 2 2 9 10" xfId="51287" xr:uid="{00000000-0005-0000-0000-00005EC80000}"/>
    <cellStyle name="표준 6 2 2 2 2 9 11" xfId="51288" xr:uid="{00000000-0005-0000-0000-00005FC80000}"/>
    <cellStyle name="표준 6 2 2 2 2 9 12" xfId="51289" xr:uid="{00000000-0005-0000-0000-000060C80000}"/>
    <cellStyle name="표준 6 2 2 2 2 9 13" xfId="51290" xr:uid="{00000000-0005-0000-0000-000061C80000}"/>
    <cellStyle name="표준 6 2 2 2 2 9 14" xfId="51291" xr:uid="{00000000-0005-0000-0000-000062C80000}"/>
    <cellStyle name="표준 6 2 2 2 2 9 15" xfId="51292" xr:uid="{00000000-0005-0000-0000-000063C80000}"/>
    <cellStyle name="표준 6 2 2 2 2 9 16" xfId="51293" xr:uid="{00000000-0005-0000-0000-000064C80000}"/>
    <cellStyle name="표준 6 2 2 2 2 9 17" xfId="51294" xr:uid="{00000000-0005-0000-0000-000065C80000}"/>
    <cellStyle name="표준 6 2 2 2 2 9 18" xfId="51295" xr:uid="{00000000-0005-0000-0000-000066C80000}"/>
    <cellStyle name="표준 6 2 2 2 2 9 19" xfId="51296" xr:uid="{00000000-0005-0000-0000-000067C80000}"/>
    <cellStyle name="표준 6 2 2 2 2 9 2" xfId="51297" xr:uid="{00000000-0005-0000-0000-000068C80000}"/>
    <cellStyle name="표준 6 2 2 2 2 9 3" xfId="51298" xr:uid="{00000000-0005-0000-0000-000069C80000}"/>
    <cellStyle name="표준 6 2 2 2 2 9 4" xfId="51299" xr:uid="{00000000-0005-0000-0000-00006AC80000}"/>
    <cellStyle name="표준 6 2 2 2 2 9 5" xfId="51300" xr:uid="{00000000-0005-0000-0000-00006BC80000}"/>
    <cellStyle name="표준 6 2 2 2 2 9 6" xfId="51301" xr:uid="{00000000-0005-0000-0000-00006CC80000}"/>
    <cellStyle name="표준 6 2 2 2 2 9 7" xfId="51302" xr:uid="{00000000-0005-0000-0000-00006DC80000}"/>
    <cellStyle name="표준 6 2 2 2 2 9 8" xfId="51303" xr:uid="{00000000-0005-0000-0000-00006EC80000}"/>
    <cellStyle name="표준 6 2 2 2 2 9 9" xfId="51304" xr:uid="{00000000-0005-0000-0000-00006FC80000}"/>
    <cellStyle name="표준 6 2 2 2 20" xfId="51305" xr:uid="{00000000-0005-0000-0000-000070C80000}"/>
    <cellStyle name="표준 6 2 2 2 21" xfId="51306" xr:uid="{00000000-0005-0000-0000-000071C80000}"/>
    <cellStyle name="표준 6 2 2 2 22" xfId="51307" xr:uid="{00000000-0005-0000-0000-000072C80000}"/>
    <cellStyle name="표준 6 2 2 2 23" xfId="51308" xr:uid="{00000000-0005-0000-0000-000073C80000}"/>
    <cellStyle name="표준 6 2 2 2 24" xfId="51309" xr:uid="{00000000-0005-0000-0000-000074C80000}"/>
    <cellStyle name="표준 6 2 2 2 25" xfId="51310" xr:uid="{00000000-0005-0000-0000-000075C80000}"/>
    <cellStyle name="표준 6 2 2 2 26" xfId="51311" xr:uid="{00000000-0005-0000-0000-000076C80000}"/>
    <cellStyle name="표준 6 2 2 2 27" xfId="51312" xr:uid="{00000000-0005-0000-0000-000077C80000}"/>
    <cellStyle name="표준 6 2 2 2 3" xfId="51313" xr:uid="{00000000-0005-0000-0000-000078C80000}"/>
    <cellStyle name="표준 6 2 2 2 3 10" xfId="51314" xr:uid="{00000000-0005-0000-0000-000079C80000}"/>
    <cellStyle name="표준 6 2 2 2 3 11" xfId="51315" xr:uid="{00000000-0005-0000-0000-00007AC80000}"/>
    <cellStyle name="표준 6 2 2 2 3 12" xfId="51316" xr:uid="{00000000-0005-0000-0000-00007BC80000}"/>
    <cellStyle name="표준 6 2 2 2 3 13" xfId="51317" xr:uid="{00000000-0005-0000-0000-00007CC80000}"/>
    <cellStyle name="표준 6 2 2 2 3 14" xfId="51318" xr:uid="{00000000-0005-0000-0000-00007DC80000}"/>
    <cellStyle name="표준 6 2 2 2 3 15" xfId="51319" xr:uid="{00000000-0005-0000-0000-00007EC80000}"/>
    <cellStyle name="표준 6 2 2 2 3 16" xfId="51320" xr:uid="{00000000-0005-0000-0000-00007FC80000}"/>
    <cellStyle name="표준 6 2 2 2 3 17" xfId="51321" xr:uid="{00000000-0005-0000-0000-000080C80000}"/>
    <cellStyle name="표준 6 2 2 2 3 18" xfId="51322" xr:uid="{00000000-0005-0000-0000-000081C80000}"/>
    <cellStyle name="표준 6 2 2 2 3 19" xfId="51323" xr:uid="{00000000-0005-0000-0000-000082C80000}"/>
    <cellStyle name="표준 6 2 2 2 3 2" xfId="51324" xr:uid="{00000000-0005-0000-0000-000083C80000}"/>
    <cellStyle name="표준 6 2 2 2 3 3" xfId="51325" xr:uid="{00000000-0005-0000-0000-000084C80000}"/>
    <cellStyle name="표준 6 2 2 2 3 4" xfId="51326" xr:uid="{00000000-0005-0000-0000-000085C80000}"/>
    <cellStyle name="표준 6 2 2 2 3 5" xfId="51327" xr:uid="{00000000-0005-0000-0000-000086C80000}"/>
    <cellStyle name="표준 6 2 2 2 3 6" xfId="51328" xr:uid="{00000000-0005-0000-0000-000087C80000}"/>
    <cellStyle name="표준 6 2 2 2 3 7" xfId="51329" xr:uid="{00000000-0005-0000-0000-000088C80000}"/>
    <cellStyle name="표준 6 2 2 2 3 8" xfId="51330" xr:uid="{00000000-0005-0000-0000-000089C80000}"/>
    <cellStyle name="표준 6 2 2 2 3 9" xfId="51331" xr:uid="{00000000-0005-0000-0000-00008AC80000}"/>
    <cellStyle name="표준 6 2 2 2 4" xfId="51332" xr:uid="{00000000-0005-0000-0000-00008BC80000}"/>
    <cellStyle name="표준 6 2 2 2 4 10" xfId="51333" xr:uid="{00000000-0005-0000-0000-00008CC80000}"/>
    <cellStyle name="표준 6 2 2 2 4 11" xfId="51334" xr:uid="{00000000-0005-0000-0000-00008DC80000}"/>
    <cellStyle name="표준 6 2 2 2 4 12" xfId="51335" xr:uid="{00000000-0005-0000-0000-00008EC80000}"/>
    <cellStyle name="표준 6 2 2 2 4 13" xfId="51336" xr:uid="{00000000-0005-0000-0000-00008FC80000}"/>
    <cellStyle name="표준 6 2 2 2 4 14" xfId="51337" xr:uid="{00000000-0005-0000-0000-000090C80000}"/>
    <cellStyle name="표준 6 2 2 2 4 15" xfId="51338" xr:uid="{00000000-0005-0000-0000-000091C80000}"/>
    <cellStyle name="표준 6 2 2 2 4 16" xfId="51339" xr:uid="{00000000-0005-0000-0000-000092C80000}"/>
    <cellStyle name="표준 6 2 2 2 4 17" xfId="51340" xr:uid="{00000000-0005-0000-0000-000093C80000}"/>
    <cellStyle name="표준 6 2 2 2 4 18" xfId="51341" xr:uid="{00000000-0005-0000-0000-000094C80000}"/>
    <cellStyle name="표준 6 2 2 2 4 19" xfId="51342" xr:uid="{00000000-0005-0000-0000-000095C80000}"/>
    <cellStyle name="표준 6 2 2 2 4 2" xfId="51343" xr:uid="{00000000-0005-0000-0000-000096C80000}"/>
    <cellStyle name="표준 6 2 2 2 4 3" xfId="51344" xr:uid="{00000000-0005-0000-0000-000097C80000}"/>
    <cellStyle name="표준 6 2 2 2 4 4" xfId="51345" xr:uid="{00000000-0005-0000-0000-000098C80000}"/>
    <cellStyle name="표준 6 2 2 2 4 5" xfId="51346" xr:uid="{00000000-0005-0000-0000-000099C80000}"/>
    <cellStyle name="표준 6 2 2 2 4 6" xfId="51347" xr:uid="{00000000-0005-0000-0000-00009AC80000}"/>
    <cellStyle name="표준 6 2 2 2 4 7" xfId="51348" xr:uid="{00000000-0005-0000-0000-00009BC80000}"/>
    <cellStyle name="표준 6 2 2 2 4 8" xfId="51349" xr:uid="{00000000-0005-0000-0000-00009CC80000}"/>
    <cellStyle name="표준 6 2 2 2 4 9" xfId="51350" xr:uid="{00000000-0005-0000-0000-00009DC80000}"/>
    <cellStyle name="표준 6 2 2 2 5" xfId="51351" xr:uid="{00000000-0005-0000-0000-00009EC80000}"/>
    <cellStyle name="표준 6 2 2 2 5 10" xfId="51352" xr:uid="{00000000-0005-0000-0000-00009FC80000}"/>
    <cellStyle name="표준 6 2 2 2 5 11" xfId="51353" xr:uid="{00000000-0005-0000-0000-0000A0C80000}"/>
    <cellStyle name="표준 6 2 2 2 5 12" xfId="51354" xr:uid="{00000000-0005-0000-0000-0000A1C80000}"/>
    <cellStyle name="표준 6 2 2 2 5 13" xfId="51355" xr:uid="{00000000-0005-0000-0000-0000A2C80000}"/>
    <cellStyle name="표준 6 2 2 2 5 14" xfId="51356" xr:uid="{00000000-0005-0000-0000-0000A3C80000}"/>
    <cellStyle name="표준 6 2 2 2 5 15" xfId="51357" xr:uid="{00000000-0005-0000-0000-0000A4C80000}"/>
    <cellStyle name="표준 6 2 2 2 5 16" xfId="51358" xr:uid="{00000000-0005-0000-0000-0000A5C80000}"/>
    <cellStyle name="표준 6 2 2 2 5 17" xfId="51359" xr:uid="{00000000-0005-0000-0000-0000A6C80000}"/>
    <cellStyle name="표준 6 2 2 2 5 18" xfId="51360" xr:uid="{00000000-0005-0000-0000-0000A7C80000}"/>
    <cellStyle name="표준 6 2 2 2 5 19" xfId="51361" xr:uid="{00000000-0005-0000-0000-0000A8C80000}"/>
    <cellStyle name="표준 6 2 2 2 5 2" xfId="51362" xr:uid="{00000000-0005-0000-0000-0000A9C80000}"/>
    <cellStyle name="표준 6 2 2 2 5 3" xfId="51363" xr:uid="{00000000-0005-0000-0000-0000AAC80000}"/>
    <cellStyle name="표준 6 2 2 2 5 4" xfId="51364" xr:uid="{00000000-0005-0000-0000-0000ABC80000}"/>
    <cellStyle name="표준 6 2 2 2 5 5" xfId="51365" xr:uid="{00000000-0005-0000-0000-0000ACC80000}"/>
    <cellStyle name="표준 6 2 2 2 5 6" xfId="51366" xr:uid="{00000000-0005-0000-0000-0000ADC80000}"/>
    <cellStyle name="표준 6 2 2 2 5 7" xfId="51367" xr:uid="{00000000-0005-0000-0000-0000AEC80000}"/>
    <cellStyle name="표준 6 2 2 2 5 8" xfId="51368" xr:uid="{00000000-0005-0000-0000-0000AFC80000}"/>
    <cellStyle name="표준 6 2 2 2 5 9" xfId="51369" xr:uid="{00000000-0005-0000-0000-0000B0C80000}"/>
    <cellStyle name="표준 6 2 2 2 6" xfId="51370" xr:uid="{00000000-0005-0000-0000-0000B1C80000}"/>
    <cellStyle name="표준 6 2 2 2 6 10" xfId="51371" xr:uid="{00000000-0005-0000-0000-0000B2C80000}"/>
    <cellStyle name="표준 6 2 2 2 6 11" xfId="51372" xr:uid="{00000000-0005-0000-0000-0000B3C80000}"/>
    <cellStyle name="표준 6 2 2 2 6 12" xfId="51373" xr:uid="{00000000-0005-0000-0000-0000B4C80000}"/>
    <cellStyle name="표준 6 2 2 2 6 13" xfId="51374" xr:uid="{00000000-0005-0000-0000-0000B5C80000}"/>
    <cellStyle name="표준 6 2 2 2 6 14" xfId="51375" xr:uid="{00000000-0005-0000-0000-0000B6C80000}"/>
    <cellStyle name="표준 6 2 2 2 6 15" xfId="51376" xr:uid="{00000000-0005-0000-0000-0000B7C80000}"/>
    <cellStyle name="표준 6 2 2 2 6 16" xfId="51377" xr:uid="{00000000-0005-0000-0000-0000B8C80000}"/>
    <cellStyle name="표준 6 2 2 2 6 17" xfId="51378" xr:uid="{00000000-0005-0000-0000-0000B9C80000}"/>
    <cellStyle name="표준 6 2 2 2 6 18" xfId="51379" xr:uid="{00000000-0005-0000-0000-0000BAC80000}"/>
    <cellStyle name="표준 6 2 2 2 6 19" xfId="51380" xr:uid="{00000000-0005-0000-0000-0000BBC80000}"/>
    <cellStyle name="표준 6 2 2 2 6 2" xfId="51381" xr:uid="{00000000-0005-0000-0000-0000BCC80000}"/>
    <cellStyle name="표준 6 2 2 2 6 3" xfId="51382" xr:uid="{00000000-0005-0000-0000-0000BDC80000}"/>
    <cellStyle name="표준 6 2 2 2 6 4" xfId="51383" xr:uid="{00000000-0005-0000-0000-0000BEC80000}"/>
    <cellStyle name="표준 6 2 2 2 6 5" xfId="51384" xr:uid="{00000000-0005-0000-0000-0000BFC80000}"/>
    <cellStyle name="표준 6 2 2 2 6 6" xfId="51385" xr:uid="{00000000-0005-0000-0000-0000C0C80000}"/>
    <cellStyle name="표준 6 2 2 2 6 7" xfId="51386" xr:uid="{00000000-0005-0000-0000-0000C1C80000}"/>
    <cellStyle name="표준 6 2 2 2 6 8" xfId="51387" xr:uid="{00000000-0005-0000-0000-0000C2C80000}"/>
    <cellStyle name="표준 6 2 2 2 6 9" xfId="51388" xr:uid="{00000000-0005-0000-0000-0000C3C80000}"/>
    <cellStyle name="표준 6 2 2 2 7" xfId="51389" xr:uid="{00000000-0005-0000-0000-0000C4C80000}"/>
    <cellStyle name="표준 6 2 2 2 7 10" xfId="51390" xr:uid="{00000000-0005-0000-0000-0000C5C80000}"/>
    <cellStyle name="표준 6 2 2 2 7 11" xfId="51391" xr:uid="{00000000-0005-0000-0000-0000C6C80000}"/>
    <cellStyle name="표준 6 2 2 2 7 12" xfId="51392" xr:uid="{00000000-0005-0000-0000-0000C7C80000}"/>
    <cellStyle name="표준 6 2 2 2 7 13" xfId="51393" xr:uid="{00000000-0005-0000-0000-0000C8C80000}"/>
    <cellStyle name="표준 6 2 2 2 7 14" xfId="51394" xr:uid="{00000000-0005-0000-0000-0000C9C80000}"/>
    <cellStyle name="표준 6 2 2 2 7 15" xfId="51395" xr:uid="{00000000-0005-0000-0000-0000CAC80000}"/>
    <cellStyle name="표준 6 2 2 2 7 16" xfId="51396" xr:uid="{00000000-0005-0000-0000-0000CBC80000}"/>
    <cellStyle name="표준 6 2 2 2 7 17" xfId="51397" xr:uid="{00000000-0005-0000-0000-0000CCC80000}"/>
    <cellStyle name="표준 6 2 2 2 7 18" xfId="51398" xr:uid="{00000000-0005-0000-0000-0000CDC80000}"/>
    <cellStyle name="표준 6 2 2 2 7 19" xfId="51399" xr:uid="{00000000-0005-0000-0000-0000CEC80000}"/>
    <cellStyle name="표준 6 2 2 2 7 2" xfId="51400" xr:uid="{00000000-0005-0000-0000-0000CFC80000}"/>
    <cellStyle name="표준 6 2 2 2 7 3" xfId="51401" xr:uid="{00000000-0005-0000-0000-0000D0C80000}"/>
    <cellStyle name="표준 6 2 2 2 7 4" xfId="51402" xr:uid="{00000000-0005-0000-0000-0000D1C80000}"/>
    <cellStyle name="표준 6 2 2 2 7 5" xfId="51403" xr:uid="{00000000-0005-0000-0000-0000D2C80000}"/>
    <cellStyle name="표준 6 2 2 2 7 6" xfId="51404" xr:uid="{00000000-0005-0000-0000-0000D3C80000}"/>
    <cellStyle name="표준 6 2 2 2 7 7" xfId="51405" xr:uid="{00000000-0005-0000-0000-0000D4C80000}"/>
    <cellStyle name="표준 6 2 2 2 7 8" xfId="51406" xr:uid="{00000000-0005-0000-0000-0000D5C80000}"/>
    <cellStyle name="표준 6 2 2 2 7 9" xfId="51407" xr:uid="{00000000-0005-0000-0000-0000D6C80000}"/>
    <cellStyle name="표준 6 2 2 2 8" xfId="51408" xr:uid="{00000000-0005-0000-0000-0000D7C80000}"/>
    <cellStyle name="표준 6 2 2 2 8 10" xfId="51409" xr:uid="{00000000-0005-0000-0000-0000D8C80000}"/>
    <cellStyle name="표준 6 2 2 2 8 11" xfId="51410" xr:uid="{00000000-0005-0000-0000-0000D9C80000}"/>
    <cellStyle name="표준 6 2 2 2 8 12" xfId="51411" xr:uid="{00000000-0005-0000-0000-0000DAC80000}"/>
    <cellStyle name="표준 6 2 2 2 8 13" xfId="51412" xr:uid="{00000000-0005-0000-0000-0000DBC80000}"/>
    <cellStyle name="표준 6 2 2 2 8 14" xfId="51413" xr:uid="{00000000-0005-0000-0000-0000DCC80000}"/>
    <cellStyle name="표준 6 2 2 2 8 15" xfId="51414" xr:uid="{00000000-0005-0000-0000-0000DDC80000}"/>
    <cellStyle name="표준 6 2 2 2 8 16" xfId="51415" xr:uid="{00000000-0005-0000-0000-0000DEC80000}"/>
    <cellStyle name="표준 6 2 2 2 8 17" xfId="51416" xr:uid="{00000000-0005-0000-0000-0000DFC80000}"/>
    <cellStyle name="표준 6 2 2 2 8 18" xfId="51417" xr:uid="{00000000-0005-0000-0000-0000E0C80000}"/>
    <cellStyle name="표준 6 2 2 2 8 19" xfId="51418" xr:uid="{00000000-0005-0000-0000-0000E1C80000}"/>
    <cellStyle name="표준 6 2 2 2 8 2" xfId="51419" xr:uid="{00000000-0005-0000-0000-0000E2C80000}"/>
    <cellStyle name="표준 6 2 2 2 8 3" xfId="51420" xr:uid="{00000000-0005-0000-0000-0000E3C80000}"/>
    <cellStyle name="표준 6 2 2 2 8 4" xfId="51421" xr:uid="{00000000-0005-0000-0000-0000E4C80000}"/>
    <cellStyle name="표준 6 2 2 2 8 5" xfId="51422" xr:uid="{00000000-0005-0000-0000-0000E5C80000}"/>
    <cellStyle name="표준 6 2 2 2 8 6" xfId="51423" xr:uid="{00000000-0005-0000-0000-0000E6C80000}"/>
    <cellStyle name="표준 6 2 2 2 8 7" xfId="51424" xr:uid="{00000000-0005-0000-0000-0000E7C80000}"/>
    <cellStyle name="표준 6 2 2 2 8 8" xfId="51425" xr:uid="{00000000-0005-0000-0000-0000E8C80000}"/>
    <cellStyle name="표준 6 2 2 2 8 9" xfId="51426" xr:uid="{00000000-0005-0000-0000-0000E9C80000}"/>
    <cellStyle name="표준 6 2 2 2 9" xfId="51427" xr:uid="{00000000-0005-0000-0000-0000EAC80000}"/>
    <cellStyle name="표준 6 2 2 2 9 10" xfId="51428" xr:uid="{00000000-0005-0000-0000-0000EBC80000}"/>
    <cellStyle name="표준 6 2 2 2 9 11" xfId="51429" xr:uid="{00000000-0005-0000-0000-0000ECC80000}"/>
    <cellStyle name="표준 6 2 2 2 9 12" xfId="51430" xr:uid="{00000000-0005-0000-0000-0000EDC80000}"/>
    <cellStyle name="표준 6 2 2 2 9 13" xfId="51431" xr:uid="{00000000-0005-0000-0000-0000EEC80000}"/>
    <cellStyle name="표준 6 2 2 2 9 14" xfId="51432" xr:uid="{00000000-0005-0000-0000-0000EFC80000}"/>
    <cellStyle name="표준 6 2 2 2 9 15" xfId="51433" xr:uid="{00000000-0005-0000-0000-0000F0C80000}"/>
    <cellStyle name="표준 6 2 2 2 9 16" xfId="51434" xr:uid="{00000000-0005-0000-0000-0000F1C80000}"/>
    <cellStyle name="표준 6 2 2 2 9 17" xfId="51435" xr:uid="{00000000-0005-0000-0000-0000F2C80000}"/>
    <cellStyle name="표준 6 2 2 2 9 18" xfId="51436" xr:uid="{00000000-0005-0000-0000-0000F3C80000}"/>
    <cellStyle name="표준 6 2 2 2 9 19" xfId="51437" xr:uid="{00000000-0005-0000-0000-0000F4C80000}"/>
    <cellStyle name="표준 6 2 2 2 9 2" xfId="51438" xr:uid="{00000000-0005-0000-0000-0000F5C80000}"/>
    <cellStyle name="표준 6 2 2 2 9 3" xfId="51439" xr:uid="{00000000-0005-0000-0000-0000F6C80000}"/>
    <cellStyle name="표준 6 2 2 2 9 4" xfId="51440" xr:uid="{00000000-0005-0000-0000-0000F7C80000}"/>
    <cellStyle name="표준 6 2 2 2 9 5" xfId="51441" xr:uid="{00000000-0005-0000-0000-0000F8C80000}"/>
    <cellStyle name="표준 6 2 2 2 9 6" xfId="51442" xr:uid="{00000000-0005-0000-0000-0000F9C80000}"/>
    <cellStyle name="표준 6 2 2 2 9 7" xfId="51443" xr:uid="{00000000-0005-0000-0000-0000FAC80000}"/>
    <cellStyle name="표준 6 2 2 2 9 8" xfId="51444" xr:uid="{00000000-0005-0000-0000-0000FBC80000}"/>
    <cellStyle name="표준 6 2 2 2 9 9" xfId="51445" xr:uid="{00000000-0005-0000-0000-0000FCC80000}"/>
    <cellStyle name="표준 6 2 2 20" xfId="51446" xr:uid="{00000000-0005-0000-0000-0000FDC80000}"/>
    <cellStyle name="표준 6 2 2 21" xfId="51447" xr:uid="{00000000-0005-0000-0000-0000FEC80000}"/>
    <cellStyle name="표준 6 2 2 22" xfId="51448" xr:uid="{00000000-0005-0000-0000-0000FFC80000}"/>
    <cellStyle name="표준 6 2 2 23" xfId="51449" xr:uid="{00000000-0005-0000-0000-000000C90000}"/>
    <cellStyle name="표준 6 2 2 24" xfId="51450" xr:uid="{00000000-0005-0000-0000-000001C90000}"/>
    <cellStyle name="표준 6 2 2 25" xfId="51451" xr:uid="{00000000-0005-0000-0000-000002C90000}"/>
    <cellStyle name="표준 6 2 2 26" xfId="51452" xr:uid="{00000000-0005-0000-0000-000003C90000}"/>
    <cellStyle name="표준 6 2 2 27" xfId="51453" xr:uid="{00000000-0005-0000-0000-000004C90000}"/>
    <cellStyle name="표준 6 2 2 28" xfId="51454" xr:uid="{00000000-0005-0000-0000-000005C90000}"/>
    <cellStyle name="표준 6 2 2 3" xfId="51455" xr:uid="{00000000-0005-0000-0000-000006C90000}"/>
    <cellStyle name="표준 6 2 2 3 10" xfId="51456" xr:uid="{00000000-0005-0000-0000-000007C90000}"/>
    <cellStyle name="표준 6 2 2 3 11" xfId="51457" xr:uid="{00000000-0005-0000-0000-000008C90000}"/>
    <cellStyle name="표준 6 2 2 3 12" xfId="51458" xr:uid="{00000000-0005-0000-0000-000009C90000}"/>
    <cellStyle name="표준 6 2 2 3 13" xfId="51459" xr:uid="{00000000-0005-0000-0000-00000AC90000}"/>
    <cellStyle name="표준 6 2 2 3 14" xfId="51460" xr:uid="{00000000-0005-0000-0000-00000BC90000}"/>
    <cellStyle name="표준 6 2 2 3 15" xfId="51461" xr:uid="{00000000-0005-0000-0000-00000CC90000}"/>
    <cellStyle name="표준 6 2 2 3 16" xfId="51462" xr:uid="{00000000-0005-0000-0000-00000DC90000}"/>
    <cellStyle name="표준 6 2 2 3 17" xfId="51463" xr:uid="{00000000-0005-0000-0000-00000EC90000}"/>
    <cellStyle name="표준 6 2 2 3 18" xfId="51464" xr:uid="{00000000-0005-0000-0000-00000FC90000}"/>
    <cellStyle name="표준 6 2 2 3 19" xfId="51465" xr:uid="{00000000-0005-0000-0000-000010C90000}"/>
    <cellStyle name="표준 6 2 2 3 2" xfId="51466" xr:uid="{00000000-0005-0000-0000-000011C90000}"/>
    <cellStyle name="표준 6 2 2 3 2 10" xfId="51467" xr:uid="{00000000-0005-0000-0000-000012C90000}"/>
    <cellStyle name="표준 6 2 2 3 2 11" xfId="51468" xr:uid="{00000000-0005-0000-0000-000013C90000}"/>
    <cellStyle name="표준 6 2 2 3 2 12" xfId="51469" xr:uid="{00000000-0005-0000-0000-000014C90000}"/>
    <cellStyle name="표준 6 2 2 3 2 13" xfId="51470" xr:uid="{00000000-0005-0000-0000-000015C90000}"/>
    <cellStyle name="표준 6 2 2 3 2 14" xfId="51471" xr:uid="{00000000-0005-0000-0000-000016C90000}"/>
    <cellStyle name="표준 6 2 2 3 2 15" xfId="51472" xr:uid="{00000000-0005-0000-0000-000017C90000}"/>
    <cellStyle name="표준 6 2 2 3 2 16" xfId="51473" xr:uid="{00000000-0005-0000-0000-000018C90000}"/>
    <cellStyle name="표준 6 2 2 3 2 17" xfId="51474" xr:uid="{00000000-0005-0000-0000-000019C90000}"/>
    <cellStyle name="표준 6 2 2 3 2 18" xfId="51475" xr:uid="{00000000-0005-0000-0000-00001AC90000}"/>
    <cellStyle name="표준 6 2 2 3 2 19" xfId="51476" xr:uid="{00000000-0005-0000-0000-00001BC90000}"/>
    <cellStyle name="표준 6 2 2 3 2 2" xfId="51477" xr:uid="{00000000-0005-0000-0000-00001CC90000}"/>
    <cellStyle name="표준 6 2 2 3 2 3" xfId="51478" xr:uid="{00000000-0005-0000-0000-00001DC90000}"/>
    <cellStyle name="표준 6 2 2 3 2 4" xfId="51479" xr:uid="{00000000-0005-0000-0000-00001EC90000}"/>
    <cellStyle name="표준 6 2 2 3 2 5" xfId="51480" xr:uid="{00000000-0005-0000-0000-00001FC90000}"/>
    <cellStyle name="표준 6 2 2 3 2 6" xfId="51481" xr:uid="{00000000-0005-0000-0000-000020C90000}"/>
    <cellStyle name="표준 6 2 2 3 2 7" xfId="51482" xr:uid="{00000000-0005-0000-0000-000021C90000}"/>
    <cellStyle name="표준 6 2 2 3 2 8" xfId="51483" xr:uid="{00000000-0005-0000-0000-000022C90000}"/>
    <cellStyle name="표준 6 2 2 3 2 9" xfId="51484" xr:uid="{00000000-0005-0000-0000-000023C90000}"/>
    <cellStyle name="표준 6 2 2 3 20" xfId="51485" xr:uid="{00000000-0005-0000-0000-000024C90000}"/>
    <cellStyle name="표준 6 2 2 3 21" xfId="51486" xr:uid="{00000000-0005-0000-0000-000025C90000}"/>
    <cellStyle name="표준 6 2 2 3 22" xfId="51487" xr:uid="{00000000-0005-0000-0000-000026C90000}"/>
    <cellStyle name="표준 6 2 2 3 23" xfId="51488" xr:uid="{00000000-0005-0000-0000-000027C90000}"/>
    <cellStyle name="표준 6 2 2 3 24" xfId="51489" xr:uid="{00000000-0005-0000-0000-000028C90000}"/>
    <cellStyle name="표준 6 2 2 3 25" xfId="51490" xr:uid="{00000000-0005-0000-0000-000029C90000}"/>
    <cellStyle name="표준 6 2 2 3 26" xfId="51491" xr:uid="{00000000-0005-0000-0000-00002AC90000}"/>
    <cellStyle name="표준 6 2 2 3 3" xfId="51492" xr:uid="{00000000-0005-0000-0000-00002BC90000}"/>
    <cellStyle name="표준 6 2 2 3 3 10" xfId="51493" xr:uid="{00000000-0005-0000-0000-00002CC90000}"/>
    <cellStyle name="표준 6 2 2 3 3 11" xfId="51494" xr:uid="{00000000-0005-0000-0000-00002DC90000}"/>
    <cellStyle name="표준 6 2 2 3 3 12" xfId="51495" xr:uid="{00000000-0005-0000-0000-00002EC90000}"/>
    <cellStyle name="표준 6 2 2 3 3 13" xfId="51496" xr:uid="{00000000-0005-0000-0000-00002FC90000}"/>
    <cellStyle name="표준 6 2 2 3 3 14" xfId="51497" xr:uid="{00000000-0005-0000-0000-000030C90000}"/>
    <cellStyle name="표준 6 2 2 3 3 15" xfId="51498" xr:uid="{00000000-0005-0000-0000-000031C90000}"/>
    <cellStyle name="표준 6 2 2 3 3 16" xfId="51499" xr:uid="{00000000-0005-0000-0000-000032C90000}"/>
    <cellStyle name="표준 6 2 2 3 3 17" xfId="51500" xr:uid="{00000000-0005-0000-0000-000033C90000}"/>
    <cellStyle name="표준 6 2 2 3 3 18" xfId="51501" xr:uid="{00000000-0005-0000-0000-000034C90000}"/>
    <cellStyle name="표준 6 2 2 3 3 19" xfId="51502" xr:uid="{00000000-0005-0000-0000-000035C90000}"/>
    <cellStyle name="표준 6 2 2 3 3 2" xfId="51503" xr:uid="{00000000-0005-0000-0000-000036C90000}"/>
    <cellStyle name="표준 6 2 2 3 3 3" xfId="51504" xr:uid="{00000000-0005-0000-0000-000037C90000}"/>
    <cellStyle name="표준 6 2 2 3 3 4" xfId="51505" xr:uid="{00000000-0005-0000-0000-000038C90000}"/>
    <cellStyle name="표준 6 2 2 3 3 5" xfId="51506" xr:uid="{00000000-0005-0000-0000-000039C90000}"/>
    <cellStyle name="표준 6 2 2 3 3 6" xfId="51507" xr:uid="{00000000-0005-0000-0000-00003AC90000}"/>
    <cellStyle name="표준 6 2 2 3 3 7" xfId="51508" xr:uid="{00000000-0005-0000-0000-00003BC90000}"/>
    <cellStyle name="표준 6 2 2 3 3 8" xfId="51509" xr:uid="{00000000-0005-0000-0000-00003CC90000}"/>
    <cellStyle name="표준 6 2 2 3 3 9" xfId="51510" xr:uid="{00000000-0005-0000-0000-00003DC90000}"/>
    <cellStyle name="표준 6 2 2 3 4" xfId="51511" xr:uid="{00000000-0005-0000-0000-00003EC90000}"/>
    <cellStyle name="표준 6 2 2 3 4 10" xfId="51512" xr:uid="{00000000-0005-0000-0000-00003FC90000}"/>
    <cellStyle name="표준 6 2 2 3 4 11" xfId="51513" xr:uid="{00000000-0005-0000-0000-000040C90000}"/>
    <cellStyle name="표준 6 2 2 3 4 12" xfId="51514" xr:uid="{00000000-0005-0000-0000-000041C90000}"/>
    <cellStyle name="표준 6 2 2 3 4 13" xfId="51515" xr:uid="{00000000-0005-0000-0000-000042C90000}"/>
    <cellStyle name="표준 6 2 2 3 4 14" xfId="51516" xr:uid="{00000000-0005-0000-0000-000043C90000}"/>
    <cellStyle name="표준 6 2 2 3 4 15" xfId="51517" xr:uid="{00000000-0005-0000-0000-000044C90000}"/>
    <cellStyle name="표준 6 2 2 3 4 16" xfId="51518" xr:uid="{00000000-0005-0000-0000-000045C90000}"/>
    <cellStyle name="표준 6 2 2 3 4 17" xfId="51519" xr:uid="{00000000-0005-0000-0000-000046C90000}"/>
    <cellStyle name="표준 6 2 2 3 4 18" xfId="51520" xr:uid="{00000000-0005-0000-0000-000047C90000}"/>
    <cellStyle name="표준 6 2 2 3 4 19" xfId="51521" xr:uid="{00000000-0005-0000-0000-000048C90000}"/>
    <cellStyle name="표준 6 2 2 3 4 2" xfId="51522" xr:uid="{00000000-0005-0000-0000-000049C90000}"/>
    <cellStyle name="표준 6 2 2 3 4 3" xfId="51523" xr:uid="{00000000-0005-0000-0000-00004AC90000}"/>
    <cellStyle name="표준 6 2 2 3 4 4" xfId="51524" xr:uid="{00000000-0005-0000-0000-00004BC90000}"/>
    <cellStyle name="표준 6 2 2 3 4 5" xfId="51525" xr:uid="{00000000-0005-0000-0000-00004CC90000}"/>
    <cellStyle name="표준 6 2 2 3 4 6" xfId="51526" xr:uid="{00000000-0005-0000-0000-00004DC90000}"/>
    <cellStyle name="표준 6 2 2 3 4 7" xfId="51527" xr:uid="{00000000-0005-0000-0000-00004EC90000}"/>
    <cellStyle name="표준 6 2 2 3 4 8" xfId="51528" xr:uid="{00000000-0005-0000-0000-00004FC90000}"/>
    <cellStyle name="표준 6 2 2 3 4 9" xfId="51529" xr:uid="{00000000-0005-0000-0000-000050C90000}"/>
    <cellStyle name="표준 6 2 2 3 5" xfId="51530" xr:uid="{00000000-0005-0000-0000-000051C90000}"/>
    <cellStyle name="표준 6 2 2 3 5 10" xfId="51531" xr:uid="{00000000-0005-0000-0000-000052C90000}"/>
    <cellStyle name="표준 6 2 2 3 5 11" xfId="51532" xr:uid="{00000000-0005-0000-0000-000053C90000}"/>
    <cellStyle name="표준 6 2 2 3 5 12" xfId="51533" xr:uid="{00000000-0005-0000-0000-000054C90000}"/>
    <cellStyle name="표준 6 2 2 3 5 13" xfId="51534" xr:uid="{00000000-0005-0000-0000-000055C90000}"/>
    <cellStyle name="표준 6 2 2 3 5 14" xfId="51535" xr:uid="{00000000-0005-0000-0000-000056C90000}"/>
    <cellStyle name="표준 6 2 2 3 5 15" xfId="51536" xr:uid="{00000000-0005-0000-0000-000057C90000}"/>
    <cellStyle name="표준 6 2 2 3 5 16" xfId="51537" xr:uid="{00000000-0005-0000-0000-000058C90000}"/>
    <cellStyle name="표준 6 2 2 3 5 17" xfId="51538" xr:uid="{00000000-0005-0000-0000-000059C90000}"/>
    <cellStyle name="표준 6 2 2 3 5 18" xfId="51539" xr:uid="{00000000-0005-0000-0000-00005AC90000}"/>
    <cellStyle name="표준 6 2 2 3 5 19" xfId="51540" xr:uid="{00000000-0005-0000-0000-00005BC90000}"/>
    <cellStyle name="표준 6 2 2 3 5 2" xfId="51541" xr:uid="{00000000-0005-0000-0000-00005CC90000}"/>
    <cellStyle name="표준 6 2 2 3 5 3" xfId="51542" xr:uid="{00000000-0005-0000-0000-00005DC90000}"/>
    <cellStyle name="표준 6 2 2 3 5 4" xfId="51543" xr:uid="{00000000-0005-0000-0000-00005EC90000}"/>
    <cellStyle name="표준 6 2 2 3 5 5" xfId="51544" xr:uid="{00000000-0005-0000-0000-00005FC90000}"/>
    <cellStyle name="표준 6 2 2 3 5 6" xfId="51545" xr:uid="{00000000-0005-0000-0000-000060C90000}"/>
    <cellStyle name="표준 6 2 2 3 5 7" xfId="51546" xr:uid="{00000000-0005-0000-0000-000061C90000}"/>
    <cellStyle name="표준 6 2 2 3 5 8" xfId="51547" xr:uid="{00000000-0005-0000-0000-000062C90000}"/>
    <cellStyle name="표준 6 2 2 3 5 9" xfId="51548" xr:uid="{00000000-0005-0000-0000-000063C90000}"/>
    <cellStyle name="표준 6 2 2 3 6" xfId="51549" xr:uid="{00000000-0005-0000-0000-000064C90000}"/>
    <cellStyle name="표준 6 2 2 3 6 10" xfId="51550" xr:uid="{00000000-0005-0000-0000-000065C90000}"/>
    <cellStyle name="표준 6 2 2 3 6 11" xfId="51551" xr:uid="{00000000-0005-0000-0000-000066C90000}"/>
    <cellStyle name="표준 6 2 2 3 6 12" xfId="51552" xr:uid="{00000000-0005-0000-0000-000067C90000}"/>
    <cellStyle name="표준 6 2 2 3 6 13" xfId="51553" xr:uid="{00000000-0005-0000-0000-000068C90000}"/>
    <cellStyle name="표준 6 2 2 3 6 14" xfId="51554" xr:uid="{00000000-0005-0000-0000-000069C90000}"/>
    <cellStyle name="표준 6 2 2 3 6 15" xfId="51555" xr:uid="{00000000-0005-0000-0000-00006AC90000}"/>
    <cellStyle name="표준 6 2 2 3 6 16" xfId="51556" xr:uid="{00000000-0005-0000-0000-00006BC90000}"/>
    <cellStyle name="표준 6 2 2 3 6 17" xfId="51557" xr:uid="{00000000-0005-0000-0000-00006CC90000}"/>
    <cellStyle name="표준 6 2 2 3 6 18" xfId="51558" xr:uid="{00000000-0005-0000-0000-00006DC90000}"/>
    <cellStyle name="표준 6 2 2 3 6 19" xfId="51559" xr:uid="{00000000-0005-0000-0000-00006EC90000}"/>
    <cellStyle name="표준 6 2 2 3 6 2" xfId="51560" xr:uid="{00000000-0005-0000-0000-00006FC90000}"/>
    <cellStyle name="표준 6 2 2 3 6 3" xfId="51561" xr:uid="{00000000-0005-0000-0000-000070C90000}"/>
    <cellStyle name="표준 6 2 2 3 6 4" xfId="51562" xr:uid="{00000000-0005-0000-0000-000071C90000}"/>
    <cellStyle name="표준 6 2 2 3 6 5" xfId="51563" xr:uid="{00000000-0005-0000-0000-000072C90000}"/>
    <cellStyle name="표준 6 2 2 3 6 6" xfId="51564" xr:uid="{00000000-0005-0000-0000-000073C90000}"/>
    <cellStyle name="표준 6 2 2 3 6 7" xfId="51565" xr:uid="{00000000-0005-0000-0000-000074C90000}"/>
    <cellStyle name="표준 6 2 2 3 6 8" xfId="51566" xr:uid="{00000000-0005-0000-0000-000075C90000}"/>
    <cellStyle name="표준 6 2 2 3 6 9" xfId="51567" xr:uid="{00000000-0005-0000-0000-000076C90000}"/>
    <cellStyle name="표준 6 2 2 3 7" xfId="51568" xr:uid="{00000000-0005-0000-0000-000077C90000}"/>
    <cellStyle name="표준 6 2 2 3 7 10" xfId="51569" xr:uid="{00000000-0005-0000-0000-000078C90000}"/>
    <cellStyle name="표준 6 2 2 3 7 11" xfId="51570" xr:uid="{00000000-0005-0000-0000-000079C90000}"/>
    <cellStyle name="표준 6 2 2 3 7 12" xfId="51571" xr:uid="{00000000-0005-0000-0000-00007AC90000}"/>
    <cellStyle name="표준 6 2 2 3 7 13" xfId="51572" xr:uid="{00000000-0005-0000-0000-00007BC90000}"/>
    <cellStyle name="표준 6 2 2 3 7 14" xfId="51573" xr:uid="{00000000-0005-0000-0000-00007CC90000}"/>
    <cellStyle name="표준 6 2 2 3 7 15" xfId="51574" xr:uid="{00000000-0005-0000-0000-00007DC90000}"/>
    <cellStyle name="표준 6 2 2 3 7 16" xfId="51575" xr:uid="{00000000-0005-0000-0000-00007EC90000}"/>
    <cellStyle name="표준 6 2 2 3 7 17" xfId="51576" xr:uid="{00000000-0005-0000-0000-00007FC90000}"/>
    <cellStyle name="표준 6 2 2 3 7 18" xfId="51577" xr:uid="{00000000-0005-0000-0000-000080C90000}"/>
    <cellStyle name="표준 6 2 2 3 7 19" xfId="51578" xr:uid="{00000000-0005-0000-0000-000081C90000}"/>
    <cellStyle name="표준 6 2 2 3 7 2" xfId="51579" xr:uid="{00000000-0005-0000-0000-000082C90000}"/>
    <cellStyle name="표준 6 2 2 3 7 3" xfId="51580" xr:uid="{00000000-0005-0000-0000-000083C90000}"/>
    <cellStyle name="표준 6 2 2 3 7 4" xfId="51581" xr:uid="{00000000-0005-0000-0000-000084C90000}"/>
    <cellStyle name="표준 6 2 2 3 7 5" xfId="51582" xr:uid="{00000000-0005-0000-0000-000085C90000}"/>
    <cellStyle name="표준 6 2 2 3 7 6" xfId="51583" xr:uid="{00000000-0005-0000-0000-000086C90000}"/>
    <cellStyle name="표준 6 2 2 3 7 7" xfId="51584" xr:uid="{00000000-0005-0000-0000-000087C90000}"/>
    <cellStyle name="표준 6 2 2 3 7 8" xfId="51585" xr:uid="{00000000-0005-0000-0000-000088C90000}"/>
    <cellStyle name="표준 6 2 2 3 7 9" xfId="51586" xr:uid="{00000000-0005-0000-0000-000089C90000}"/>
    <cellStyle name="표준 6 2 2 3 8" xfId="51587" xr:uid="{00000000-0005-0000-0000-00008AC90000}"/>
    <cellStyle name="표준 6 2 2 3 8 10" xfId="51588" xr:uid="{00000000-0005-0000-0000-00008BC90000}"/>
    <cellStyle name="표준 6 2 2 3 8 11" xfId="51589" xr:uid="{00000000-0005-0000-0000-00008CC90000}"/>
    <cellStyle name="표준 6 2 2 3 8 12" xfId="51590" xr:uid="{00000000-0005-0000-0000-00008DC90000}"/>
    <cellStyle name="표준 6 2 2 3 8 13" xfId="51591" xr:uid="{00000000-0005-0000-0000-00008EC90000}"/>
    <cellStyle name="표준 6 2 2 3 8 14" xfId="51592" xr:uid="{00000000-0005-0000-0000-00008FC90000}"/>
    <cellStyle name="표준 6 2 2 3 8 15" xfId="51593" xr:uid="{00000000-0005-0000-0000-000090C90000}"/>
    <cellStyle name="표준 6 2 2 3 8 16" xfId="51594" xr:uid="{00000000-0005-0000-0000-000091C90000}"/>
    <cellStyle name="표준 6 2 2 3 8 17" xfId="51595" xr:uid="{00000000-0005-0000-0000-000092C90000}"/>
    <cellStyle name="표준 6 2 2 3 8 18" xfId="51596" xr:uid="{00000000-0005-0000-0000-000093C90000}"/>
    <cellStyle name="표준 6 2 2 3 8 19" xfId="51597" xr:uid="{00000000-0005-0000-0000-000094C90000}"/>
    <cellStyle name="표준 6 2 2 3 8 2" xfId="51598" xr:uid="{00000000-0005-0000-0000-000095C90000}"/>
    <cellStyle name="표준 6 2 2 3 8 3" xfId="51599" xr:uid="{00000000-0005-0000-0000-000096C90000}"/>
    <cellStyle name="표준 6 2 2 3 8 4" xfId="51600" xr:uid="{00000000-0005-0000-0000-000097C90000}"/>
    <cellStyle name="표준 6 2 2 3 8 5" xfId="51601" xr:uid="{00000000-0005-0000-0000-000098C90000}"/>
    <cellStyle name="표준 6 2 2 3 8 6" xfId="51602" xr:uid="{00000000-0005-0000-0000-000099C90000}"/>
    <cellStyle name="표준 6 2 2 3 8 7" xfId="51603" xr:uid="{00000000-0005-0000-0000-00009AC90000}"/>
    <cellStyle name="표준 6 2 2 3 8 8" xfId="51604" xr:uid="{00000000-0005-0000-0000-00009BC90000}"/>
    <cellStyle name="표준 6 2 2 3 8 9" xfId="51605" xr:uid="{00000000-0005-0000-0000-00009CC90000}"/>
    <cellStyle name="표준 6 2 2 3 9" xfId="51606" xr:uid="{00000000-0005-0000-0000-00009DC90000}"/>
    <cellStyle name="표준 6 2 2 4" xfId="51607" xr:uid="{00000000-0005-0000-0000-00009EC90000}"/>
    <cellStyle name="표준 6 2 2 4 10" xfId="51608" xr:uid="{00000000-0005-0000-0000-00009FC90000}"/>
    <cellStyle name="표준 6 2 2 4 11" xfId="51609" xr:uid="{00000000-0005-0000-0000-0000A0C90000}"/>
    <cellStyle name="표준 6 2 2 4 12" xfId="51610" xr:uid="{00000000-0005-0000-0000-0000A1C90000}"/>
    <cellStyle name="표준 6 2 2 4 13" xfId="51611" xr:uid="{00000000-0005-0000-0000-0000A2C90000}"/>
    <cellStyle name="표준 6 2 2 4 14" xfId="51612" xr:uid="{00000000-0005-0000-0000-0000A3C90000}"/>
    <cellStyle name="표준 6 2 2 4 15" xfId="51613" xr:uid="{00000000-0005-0000-0000-0000A4C90000}"/>
    <cellStyle name="표준 6 2 2 4 16" xfId="51614" xr:uid="{00000000-0005-0000-0000-0000A5C90000}"/>
    <cellStyle name="표준 6 2 2 4 17" xfId="51615" xr:uid="{00000000-0005-0000-0000-0000A6C90000}"/>
    <cellStyle name="표준 6 2 2 4 18" xfId="51616" xr:uid="{00000000-0005-0000-0000-0000A7C90000}"/>
    <cellStyle name="표준 6 2 2 4 19" xfId="51617" xr:uid="{00000000-0005-0000-0000-0000A8C90000}"/>
    <cellStyle name="표준 6 2 2 4 2" xfId="51618" xr:uid="{00000000-0005-0000-0000-0000A9C90000}"/>
    <cellStyle name="표준 6 2 2 4 3" xfId="51619" xr:uid="{00000000-0005-0000-0000-0000AAC90000}"/>
    <cellStyle name="표준 6 2 2 4 4" xfId="51620" xr:uid="{00000000-0005-0000-0000-0000ABC90000}"/>
    <cellStyle name="표준 6 2 2 4 5" xfId="51621" xr:uid="{00000000-0005-0000-0000-0000ACC90000}"/>
    <cellStyle name="표준 6 2 2 4 6" xfId="51622" xr:uid="{00000000-0005-0000-0000-0000ADC90000}"/>
    <cellStyle name="표준 6 2 2 4 7" xfId="51623" xr:uid="{00000000-0005-0000-0000-0000AEC90000}"/>
    <cellStyle name="표준 6 2 2 4 8" xfId="51624" xr:uid="{00000000-0005-0000-0000-0000AFC90000}"/>
    <cellStyle name="표준 6 2 2 4 9" xfId="51625" xr:uid="{00000000-0005-0000-0000-0000B0C90000}"/>
    <cellStyle name="표준 6 2 2 5" xfId="51626" xr:uid="{00000000-0005-0000-0000-0000B1C90000}"/>
    <cellStyle name="표준 6 2 2 5 10" xfId="51627" xr:uid="{00000000-0005-0000-0000-0000B2C90000}"/>
    <cellStyle name="표준 6 2 2 5 11" xfId="51628" xr:uid="{00000000-0005-0000-0000-0000B3C90000}"/>
    <cellStyle name="표준 6 2 2 5 12" xfId="51629" xr:uid="{00000000-0005-0000-0000-0000B4C90000}"/>
    <cellStyle name="표준 6 2 2 5 13" xfId="51630" xr:uid="{00000000-0005-0000-0000-0000B5C90000}"/>
    <cellStyle name="표준 6 2 2 5 14" xfId="51631" xr:uid="{00000000-0005-0000-0000-0000B6C90000}"/>
    <cellStyle name="표준 6 2 2 5 15" xfId="51632" xr:uid="{00000000-0005-0000-0000-0000B7C90000}"/>
    <cellStyle name="표준 6 2 2 5 16" xfId="51633" xr:uid="{00000000-0005-0000-0000-0000B8C90000}"/>
    <cellStyle name="표준 6 2 2 5 17" xfId="51634" xr:uid="{00000000-0005-0000-0000-0000B9C90000}"/>
    <cellStyle name="표준 6 2 2 5 18" xfId="51635" xr:uid="{00000000-0005-0000-0000-0000BAC90000}"/>
    <cellStyle name="표준 6 2 2 5 19" xfId="51636" xr:uid="{00000000-0005-0000-0000-0000BBC90000}"/>
    <cellStyle name="표준 6 2 2 5 2" xfId="51637" xr:uid="{00000000-0005-0000-0000-0000BCC90000}"/>
    <cellStyle name="표준 6 2 2 5 3" xfId="51638" xr:uid="{00000000-0005-0000-0000-0000BDC90000}"/>
    <cellStyle name="표준 6 2 2 5 4" xfId="51639" xr:uid="{00000000-0005-0000-0000-0000BEC90000}"/>
    <cellStyle name="표준 6 2 2 5 5" xfId="51640" xr:uid="{00000000-0005-0000-0000-0000BFC90000}"/>
    <cellStyle name="표준 6 2 2 5 6" xfId="51641" xr:uid="{00000000-0005-0000-0000-0000C0C90000}"/>
    <cellStyle name="표준 6 2 2 5 7" xfId="51642" xr:uid="{00000000-0005-0000-0000-0000C1C90000}"/>
    <cellStyle name="표준 6 2 2 5 8" xfId="51643" xr:uid="{00000000-0005-0000-0000-0000C2C90000}"/>
    <cellStyle name="표준 6 2 2 5 9" xfId="51644" xr:uid="{00000000-0005-0000-0000-0000C3C90000}"/>
    <cellStyle name="표준 6 2 2 6" xfId="51645" xr:uid="{00000000-0005-0000-0000-0000C4C90000}"/>
    <cellStyle name="표준 6 2 2 6 10" xfId="51646" xr:uid="{00000000-0005-0000-0000-0000C5C90000}"/>
    <cellStyle name="표준 6 2 2 6 11" xfId="51647" xr:uid="{00000000-0005-0000-0000-0000C6C90000}"/>
    <cellStyle name="표준 6 2 2 6 12" xfId="51648" xr:uid="{00000000-0005-0000-0000-0000C7C90000}"/>
    <cellStyle name="표준 6 2 2 6 13" xfId="51649" xr:uid="{00000000-0005-0000-0000-0000C8C90000}"/>
    <cellStyle name="표준 6 2 2 6 14" xfId="51650" xr:uid="{00000000-0005-0000-0000-0000C9C90000}"/>
    <cellStyle name="표준 6 2 2 6 15" xfId="51651" xr:uid="{00000000-0005-0000-0000-0000CAC90000}"/>
    <cellStyle name="표준 6 2 2 6 16" xfId="51652" xr:uid="{00000000-0005-0000-0000-0000CBC90000}"/>
    <cellStyle name="표준 6 2 2 6 17" xfId="51653" xr:uid="{00000000-0005-0000-0000-0000CCC90000}"/>
    <cellStyle name="표준 6 2 2 6 18" xfId="51654" xr:uid="{00000000-0005-0000-0000-0000CDC90000}"/>
    <cellStyle name="표준 6 2 2 6 19" xfId="51655" xr:uid="{00000000-0005-0000-0000-0000CEC90000}"/>
    <cellStyle name="표준 6 2 2 6 2" xfId="51656" xr:uid="{00000000-0005-0000-0000-0000CFC90000}"/>
    <cellStyle name="표준 6 2 2 6 3" xfId="51657" xr:uid="{00000000-0005-0000-0000-0000D0C90000}"/>
    <cellStyle name="표준 6 2 2 6 4" xfId="51658" xr:uid="{00000000-0005-0000-0000-0000D1C90000}"/>
    <cellStyle name="표준 6 2 2 6 5" xfId="51659" xr:uid="{00000000-0005-0000-0000-0000D2C90000}"/>
    <cellStyle name="표준 6 2 2 6 6" xfId="51660" xr:uid="{00000000-0005-0000-0000-0000D3C90000}"/>
    <cellStyle name="표준 6 2 2 6 7" xfId="51661" xr:uid="{00000000-0005-0000-0000-0000D4C90000}"/>
    <cellStyle name="표준 6 2 2 6 8" xfId="51662" xr:uid="{00000000-0005-0000-0000-0000D5C90000}"/>
    <cellStyle name="표준 6 2 2 6 9" xfId="51663" xr:uid="{00000000-0005-0000-0000-0000D6C90000}"/>
    <cellStyle name="표준 6 2 2 7" xfId="51664" xr:uid="{00000000-0005-0000-0000-0000D7C90000}"/>
    <cellStyle name="표준 6 2 2 7 10" xfId="51665" xr:uid="{00000000-0005-0000-0000-0000D8C90000}"/>
    <cellStyle name="표준 6 2 2 7 11" xfId="51666" xr:uid="{00000000-0005-0000-0000-0000D9C90000}"/>
    <cellStyle name="표준 6 2 2 7 12" xfId="51667" xr:uid="{00000000-0005-0000-0000-0000DAC90000}"/>
    <cellStyle name="표준 6 2 2 7 13" xfId="51668" xr:uid="{00000000-0005-0000-0000-0000DBC90000}"/>
    <cellStyle name="표준 6 2 2 7 14" xfId="51669" xr:uid="{00000000-0005-0000-0000-0000DCC90000}"/>
    <cellStyle name="표준 6 2 2 7 15" xfId="51670" xr:uid="{00000000-0005-0000-0000-0000DDC90000}"/>
    <cellStyle name="표준 6 2 2 7 16" xfId="51671" xr:uid="{00000000-0005-0000-0000-0000DEC90000}"/>
    <cellStyle name="표준 6 2 2 7 17" xfId="51672" xr:uid="{00000000-0005-0000-0000-0000DFC90000}"/>
    <cellStyle name="표준 6 2 2 7 18" xfId="51673" xr:uid="{00000000-0005-0000-0000-0000E0C90000}"/>
    <cellStyle name="표준 6 2 2 7 19" xfId="51674" xr:uid="{00000000-0005-0000-0000-0000E1C90000}"/>
    <cellStyle name="표준 6 2 2 7 2" xfId="51675" xr:uid="{00000000-0005-0000-0000-0000E2C90000}"/>
    <cellStyle name="표준 6 2 2 7 3" xfId="51676" xr:uid="{00000000-0005-0000-0000-0000E3C90000}"/>
    <cellStyle name="표준 6 2 2 7 4" xfId="51677" xr:uid="{00000000-0005-0000-0000-0000E4C90000}"/>
    <cellStyle name="표준 6 2 2 7 5" xfId="51678" xr:uid="{00000000-0005-0000-0000-0000E5C90000}"/>
    <cellStyle name="표준 6 2 2 7 6" xfId="51679" xr:uid="{00000000-0005-0000-0000-0000E6C90000}"/>
    <cellStyle name="표준 6 2 2 7 7" xfId="51680" xr:uid="{00000000-0005-0000-0000-0000E7C90000}"/>
    <cellStyle name="표준 6 2 2 7 8" xfId="51681" xr:uid="{00000000-0005-0000-0000-0000E8C90000}"/>
    <cellStyle name="표준 6 2 2 7 9" xfId="51682" xr:uid="{00000000-0005-0000-0000-0000E9C90000}"/>
    <cellStyle name="표준 6 2 2 8" xfId="51683" xr:uid="{00000000-0005-0000-0000-0000EAC90000}"/>
    <cellStyle name="표준 6 2 2 8 10" xfId="51684" xr:uid="{00000000-0005-0000-0000-0000EBC90000}"/>
    <cellStyle name="표준 6 2 2 8 11" xfId="51685" xr:uid="{00000000-0005-0000-0000-0000ECC90000}"/>
    <cellStyle name="표준 6 2 2 8 12" xfId="51686" xr:uid="{00000000-0005-0000-0000-0000EDC90000}"/>
    <cellStyle name="표준 6 2 2 8 13" xfId="51687" xr:uid="{00000000-0005-0000-0000-0000EEC90000}"/>
    <cellStyle name="표준 6 2 2 8 14" xfId="51688" xr:uid="{00000000-0005-0000-0000-0000EFC90000}"/>
    <cellStyle name="표준 6 2 2 8 15" xfId="51689" xr:uid="{00000000-0005-0000-0000-0000F0C90000}"/>
    <cellStyle name="표준 6 2 2 8 16" xfId="51690" xr:uid="{00000000-0005-0000-0000-0000F1C90000}"/>
    <cellStyle name="표준 6 2 2 8 17" xfId="51691" xr:uid="{00000000-0005-0000-0000-0000F2C90000}"/>
    <cellStyle name="표준 6 2 2 8 18" xfId="51692" xr:uid="{00000000-0005-0000-0000-0000F3C90000}"/>
    <cellStyle name="표준 6 2 2 8 19" xfId="51693" xr:uid="{00000000-0005-0000-0000-0000F4C90000}"/>
    <cellStyle name="표준 6 2 2 8 2" xfId="51694" xr:uid="{00000000-0005-0000-0000-0000F5C90000}"/>
    <cellStyle name="표준 6 2 2 8 3" xfId="51695" xr:uid="{00000000-0005-0000-0000-0000F6C90000}"/>
    <cellStyle name="표준 6 2 2 8 4" xfId="51696" xr:uid="{00000000-0005-0000-0000-0000F7C90000}"/>
    <cellStyle name="표준 6 2 2 8 5" xfId="51697" xr:uid="{00000000-0005-0000-0000-0000F8C90000}"/>
    <cellStyle name="표준 6 2 2 8 6" xfId="51698" xr:uid="{00000000-0005-0000-0000-0000F9C90000}"/>
    <cellStyle name="표준 6 2 2 8 7" xfId="51699" xr:uid="{00000000-0005-0000-0000-0000FAC90000}"/>
    <cellStyle name="표준 6 2 2 8 8" xfId="51700" xr:uid="{00000000-0005-0000-0000-0000FBC90000}"/>
    <cellStyle name="표준 6 2 2 8 9" xfId="51701" xr:uid="{00000000-0005-0000-0000-0000FCC90000}"/>
    <cellStyle name="표준 6 2 2 9" xfId="51702" xr:uid="{00000000-0005-0000-0000-0000FDC90000}"/>
    <cellStyle name="표준 6 2 2 9 10" xfId="51703" xr:uid="{00000000-0005-0000-0000-0000FEC90000}"/>
    <cellStyle name="표준 6 2 2 9 11" xfId="51704" xr:uid="{00000000-0005-0000-0000-0000FFC90000}"/>
    <cellStyle name="표준 6 2 2 9 12" xfId="51705" xr:uid="{00000000-0005-0000-0000-000000CA0000}"/>
    <cellStyle name="표준 6 2 2 9 13" xfId="51706" xr:uid="{00000000-0005-0000-0000-000001CA0000}"/>
    <cellStyle name="표준 6 2 2 9 14" xfId="51707" xr:uid="{00000000-0005-0000-0000-000002CA0000}"/>
    <cellStyle name="표준 6 2 2 9 15" xfId="51708" xr:uid="{00000000-0005-0000-0000-000003CA0000}"/>
    <cellStyle name="표준 6 2 2 9 16" xfId="51709" xr:uid="{00000000-0005-0000-0000-000004CA0000}"/>
    <cellStyle name="표준 6 2 2 9 17" xfId="51710" xr:uid="{00000000-0005-0000-0000-000005CA0000}"/>
    <cellStyle name="표준 6 2 2 9 18" xfId="51711" xr:uid="{00000000-0005-0000-0000-000006CA0000}"/>
    <cellStyle name="표준 6 2 2 9 19" xfId="51712" xr:uid="{00000000-0005-0000-0000-000007CA0000}"/>
    <cellStyle name="표준 6 2 2 9 2" xfId="51713" xr:uid="{00000000-0005-0000-0000-000008CA0000}"/>
    <cellStyle name="표준 6 2 2 9 3" xfId="51714" xr:uid="{00000000-0005-0000-0000-000009CA0000}"/>
    <cellStyle name="표준 6 2 2 9 4" xfId="51715" xr:uid="{00000000-0005-0000-0000-00000ACA0000}"/>
    <cellStyle name="표준 6 2 2 9 5" xfId="51716" xr:uid="{00000000-0005-0000-0000-00000BCA0000}"/>
    <cellStyle name="표준 6 2 2 9 6" xfId="51717" xr:uid="{00000000-0005-0000-0000-00000CCA0000}"/>
    <cellStyle name="표준 6 2 2 9 7" xfId="51718" xr:uid="{00000000-0005-0000-0000-00000DCA0000}"/>
    <cellStyle name="표준 6 2 2 9 8" xfId="51719" xr:uid="{00000000-0005-0000-0000-00000ECA0000}"/>
    <cellStyle name="표준 6 2 2 9 9" xfId="51720" xr:uid="{00000000-0005-0000-0000-00000FCA0000}"/>
    <cellStyle name="표준 6 2 20" xfId="51721" xr:uid="{00000000-0005-0000-0000-000010CA0000}"/>
    <cellStyle name="표준 6 2 21" xfId="51722" xr:uid="{00000000-0005-0000-0000-000011CA0000}"/>
    <cellStyle name="표준 6 2 22" xfId="51723" xr:uid="{00000000-0005-0000-0000-000012CA0000}"/>
    <cellStyle name="표준 6 2 23" xfId="51724" xr:uid="{00000000-0005-0000-0000-000013CA0000}"/>
    <cellStyle name="표준 6 2 24" xfId="51725" xr:uid="{00000000-0005-0000-0000-000014CA0000}"/>
    <cellStyle name="표준 6 2 25" xfId="51726" xr:uid="{00000000-0005-0000-0000-000015CA0000}"/>
    <cellStyle name="표준 6 2 26" xfId="51727" xr:uid="{00000000-0005-0000-0000-000016CA0000}"/>
    <cellStyle name="표준 6 2 27" xfId="51728" xr:uid="{00000000-0005-0000-0000-000017CA0000}"/>
    <cellStyle name="표준 6 2 28" xfId="51729" xr:uid="{00000000-0005-0000-0000-000018CA0000}"/>
    <cellStyle name="표준 6 2 3" xfId="51730" xr:uid="{00000000-0005-0000-0000-000019CA0000}"/>
    <cellStyle name="표준 6 2 3 10" xfId="51731" xr:uid="{00000000-0005-0000-0000-00001ACA0000}"/>
    <cellStyle name="표준 6 2 3 11" xfId="51732" xr:uid="{00000000-0005-0000-0000-00001BCA0000}"/>
    <cellStyle name="표준 6 2 3 12" xfId="51733" xr:uid="{00000000-0005-0000-0000-00001CCA0000}"/>
    <cellStyle name="표준 6 2 3 13" xfId="51734" xr:uid="{00000000-0005-0000-0000-00001DCA0000}"/>
    <cellStyle name="표준 6 2 3 14" xfId="51735" xr:uid="{00000000-0005-0000-0000-00001ECA0000}"/>
    <cellStyle name="표준 6 2 3 15" xfId="51736" xr:uid="{00000000-0005-0000-0000-00001FCA0000}"/>
    <cellStyle name="표준 6 2 3 16" xfId="51737" xr:uid="{00000000-0005-0000-0000-000020CA0000}"/>
    <cellStyle name="표준 6 2 3 17" xfId="51738" xr:uid="{00000000-0005-0000-0000-000021CA0000}"/>
    <cellStyle name="표준 6 2 3 18" xfId="51739" xr:uid="{00000000-0005-0000-0000-000022CA0000}"/>
    <cellStyle name="표준 6 2 3 19" xfId="51740" xr:uid="{00000000-0005-0000-0000-000023CA0000}"/>
    <cellStyle name="표준 6 2 3 2" xfId="51741" xr:uid="{00000000-0005-0000-0000-000024CA0000}"/>
    <cellStyle name="표준 6 2 3 2 10" xfId="51742" xr:uid="{00000000-0005-0000-0000-000025CA0000}"/>
    <cellStyle name="표준 6 2 3 2 11" xfId="51743" xr:uid="{00000000-0005-0000-0000-000026CA0000}"/>
    <cellStyle name="표준 6 2 3 2 12" xfId="51744" xr:uid="{00000000-0005-0000-0000-000027CA0000}"/>
    <cellStyle name="표준 6 2 3 2 13" xfId="51745" xr:uid="{00000000-0005-0000-0000-000028CA0000}"/>
    <cellStyle name="표준 6 2 3 2 14" xfId="51746" xr:uid="{00000000-0005-0000-0000-000029CA0000}"/>
    <cellStyle name="표준 6 2 3 2 15" xfId="51747" xr:uid="{00000000-0005-0000-0000-00002ACA0000}"/>
    <cellStyle name="표준 6 2 3 2 16" xfId="51748" xr:uid="{00000000-0005-0000-0000-00002BCA0000}"/>
    <cellStyle name="표준 6 2 3 2 17" xfId="51749" xr:uid="{00000000-0005-0000-0000-00002CCA0000}"/>
    <cellStyle name="표준 6 2 3 2 18" xfId="51750" xr:uid="{00000000-0005-0000-0000-00002DCA0000}"/>
    <cellStyle name="표준 6 2 3 2 19" xfId="51751" xr:uid="{00000000-0005-0000-0000-00002ECA0000}"/>
    <cellStyle name="표준 6 2 3 2 2" xfId="51752" xr:uid="{00000000-0005-0000-0000-00002FCA0000}"/>
    <cellStyle name="표준 6 2 3 2 2 10" xfId="51753" xr:uid="{00000000-0005-0000-0000-000030CA0000}"/>
    <cellStyle name="표준 6 2 3 2 2 11" xfId="51754" xr:uid="{00000000-0005-0000-0000-000031CA0000}"/>
    <cellStyle name="표준 6 2 3 2 2 12" xfId="51755" xr:uid="{00000000-0005-0000-0000-000032CA0000}"/>
    <cellStyle name="표준 6 2 3 2 2 13" xfId="51756" xr:uid="{00000000-0005-0000-0000-000033CA0000}"/>
    <cellStyle name="표준 6 2 3 2 2 14" xfId="51757" xr:uid="{00000000-0005-0000-0000-000034CA0000}"/>
    <cellStyle name="표준 6 2 3 2 2 15" xfId="51758" xr:uid="{00000000-0005-0000-0000-000035CA0000}"/>
    <cellStyle name="표준 6 2 3 2 2 16" xfId="51759" xr:uid="{00000000-0005-0000-0000-000036CA0000}"/>
    <cellStyle name="표준 6 2 3 2 2 17" xfId="51760" xr:uid="{00000000-0005-0000-0000-000037CA0000}"/>
    <cellStyle name="표준 6 2 3 2 2 18" xfId="51761" xr:uid="{00000000-0005-0000-0000-000038CA0000}"/>
    <cellStyle name="표준 6 2 3 2 2 19" xfId="51762" xr:uid="{00000000-0005-0000-0000-000039CA0000}"/>
    <cellStyle name="표준 6 2 3 2 2 2" xfId="51763" xr:uid="{00000000-0005-0000-0000-00003ACA0000}"/>
    <cellStyle name="표준 6 2 3 2 2 3" xfId="51764" xr:uid="{00000000-0005-0000-0000-00003BCA0000}"/>
    <cellStyle name="표준 6 2 3 2 2 4" xfId="51765" xr:uid="{00000000-0005-0000-0000-00003CCA0000}"/>
    <cellStyle name="표준 6 2 3 2 2 5" xfId="51766" xr:uid="{00000000-0005-0000-0000-00003DCA0000}"/>
    <cellStyle name="표준 6 2 3 2 2 6" xfId="51767" xr:uid="{00000000-0005-0000-0000-00003ECA0000}"/>
    <cellStyle name="표준 6 2 3 2 2 7" xfId="51768" xr:uid="{00000000-0005-0000-0000-00003FCA0000}"/>
    <cellStyle name="표준 6 2 3 2 2 8" xfId="51769" xr:uid="{00000000-0005-0000-0000-000040CA0000}"/>
    <cellStyle name="표준 6 2 3 2 2 9" xfId="51770" xr:uid="{00000000-0005-0000-0000-000041CA0000}"/>
    <cellStyle name="표준 6 2 3 2 20" xfId="51771" xr:uid="{00000000-0005-0000-0000-000042CA0000}"/>
    <cellStyle name="표준 6 2 3 2 21" xfId="51772" xr:uid="{00000000-0005-0000-0000-000043CA0000}"/>
    <cellStyle name="표준 6 2 3 2 22" xfId="51773" xr:uid="{00000000-0005-0000-0000-000044CA0000}"/>
    <cellStyle name="표준 6 2 3 2 23" xfId="51774" xr:uid="{00000000-0005-0000-0000-000045CA0000}"/>
    <cellStyle name="표준 6 2 3 2 24" xfId="51775" xr:uid="{00000000-0005-0000-0000-000046CA0000}"/>
    <cellStyle name="표준 6 2 3 2 25" xfId="51776" xr:uid="{00000000-0005-0000-0000-000047CA0000}"/>
    <cellStyle name="표준 6 2 3 2 26" xfId="51777" xr:uid="{00000000-0005-0000-0000-000048CA0000}"/>
    <cellStyle name="표준 6 2 3 2 3" xfId="51778" xr:uid="{00000000-0005-0000-0000-000049CA0000}"/>
    <cellStyle name="표준 6 2 3 2 3 10" xfId="51779" xr:uid="{00000000-0005-0000-0000-00004ACA0000}"/>
    <cellStyle name="표준 6 2 3 2 3 11" xfId="51780" xr:uid="{00000000-0005-0000-0000-00004BCA0000}"/>
    <cellStyle name="표준 6 2 3 2 3 12" xfId="51781" xr:uid="{00000000-0005-0000-0000-00004CCA0000}"/>
    <cellStyle name="표준 6 2 3 2 3 13" xfId="51782" xr:uid="{00000000-0005-0000-0000-00004DCA0000}"/>
    <cellStyle name="표준 6 2 3 2 3 14" xfId="51783" xr:uid="{00000000-0005-0000-0000-00004ECA0000}"/>
    <cellStyle name="표준 6 2 3 2 3 15" xfId="51784" xr:uid="{00000000-0005-0000-0000-00004FCA0000}"/>
    <cellStyle name="표준 6 2 3 2 3 16" xfId="51785" xr:uid="{00000000-0005-0000-0000-000050CA0000}"/>
    <cellStyle name="표준 6 2 3 2 3 17" xfId="51786" xr:uid="{00000000-0005-0000-0000-000051CA0000}"/>
    <cellStyle name="표준 6 2 3 2 3 18" xfId="51787" xr:uid="{00000000-0005-0000-0000-000052CA0000}"/>
    <cellStyle name="표준 6 2 3 2 3 19" xfId="51788" xr:uid="{00000000-0005-0000-0000-000053CA0000}"/>
    <cellStyle name="표준 6 2 3 2 3 2" xfId="51789" xr:uid="{00000000-0005-0000-0000-000054CA0000}"/>
    <cellStyle name="표준 6 2 3 2 3 3" xfId="51790" xr:uid="{00000000-0005-0000-0000-000055CA0000}"/>
    <cellStyle name="표준 6 2 3 2 3 4" xfId="51791" xr:uid="{00000000-0005-0000-0000-000056CA0000}"/>
    <cellStyle name="표준 6 2 3 2 3 5" xfId="51792" xr:uid="{00000000-0005-0000-0000-000057CA0000}"/>
    <cellStyle name="표준 6 2 3 2 3 6" xfId="51793" xr:uid="{00000000-0005-0000-0000-000058CA0000}"/>
    <cellStyle name="표준 6 2 3 2 3 7" xfId="51794" xr:uid="{00000000-0005-0000-0000-000059CA0000}"/>
    <cellStyle name="표준 6 2 3 2 3 8" xfId="51795" xr:uid="{00000000-0005-0000-0000-00005ACA0000}"/>
    <cellStyle name="표준 6 2 3 2 3 9" xfId="51796" xr:uid="{00000000-0005-0000-0000-00005BCA0000}"/>
    <cellStyle name="표준 6 2 3 2 4" xfId="51797" xr:uid="{00000000-0005-0000-0000-00005CCA0000}"/>
    <cellStyle name="표준 6 2 3 2 4 10" xfId="51798" xr:uid="{00000000-0005-0000-0000-00005DCA0000}"/>
    <cellStyle name="표준 6 2 3 2 4 11" xfId="51799" xr:uid="{00000000-0005-0000-0000-00005ECA0000}"/>
    <cellStyle name="표준 6 2 3 2 4 12" xfId="51800" xr:uid="{00000000-0005-0000-0000-00005FCA0000}"/>
    <cellStyle name="표준 6 2 3 2 4 13" xfId="51801" xr:uid="{00000000-0005-0000-0000-000060CA0000}"/>
    <cellStyle name="표준 6 2 3 2 4 14" xfId="51802" xr:uid="{00000000-0005-0000-0000-000061CA0000}"/>
    <cellStyle name="표준 6 2 3 2 4 15" xfId="51803" xr:uid="{00000000-0005-0000-0000-000062CA0000}"/>
    <cellStyle name="표준 6 2 3 2 4 16" xfId="51804" xr:uid="{00000000-0005-0000-0000-000063CA0000}"/>
    <cellStyle name="표준 6 2 3 2 4 17" xfId="51805" xr:uid="{00000000-0005-0000-0000-000064CA0000}"/>
    <cellStyle name="표준 6 2 3 2 4 18" xfId="51806" xr:uid="{00000000-0005-0000-0000-000065CA0000}"/>
    <cellStyle name="표준 6 2 3 2 4 19" xfId="51807" xr:uid="{00000000-0005-0000-0000-000066CA0000}"/>
    <cellStyle name="표준 6 2 3 2 4 2" xfId="51808" xr:uid="{00000000-0005-0000-0000-000067CA0000}"/>
    <cellStyle name="표준 6 2 3 2 4 3" xfId="51809" xr:uid="{00000000-0005-0000-0000-000068CA0000}"/>
    <cellStyle name="표준 6 2 3 2 4 4" xfId="51810" xr:uid="{00000000-0005-0000-0000-000069CA0000}"/>
    <cellStyle name="표준 6 2 3 2 4 5" xfId="51811" xr:uid="{00000000-0005-0000-0000-00006ACA0000}"/>
    <cellStyle name="표준 6 2 3 2 4 6" xfId="51812" xr:uid="{00000000-0005-0000-0000-00006BCA0000}"/>
    <cellStyle name="표준 6 2 3 2 4 7" xfId="51813" xr:uid="{00000000-0005-0000-0000-00006CCA0000}"/>
    <cellStyle name="표준 6 2 3 2 4 8" xfId="51814" xr:uid="{00000000-0005-0000-0000-00006DCA0000}"/>
    <cellStyle name="표준 6 2 3 2 4 9" xfId="51815" xr:uid="{00000000-0005-0000-0000-00006ECA0000}"/>
    <cellStyle name="표준 6 2 3 2 5" xfId="51816" xr:uid="{00000000-0005-0000-0000-00006FCA0000}"/>
    <cellStyle name="표준 6 2 3 2 5 10" xfId="51817" xr:uid="{00000000-0005-0000-0000-000070CA0000}"/>
    <cellStyle name="표준 6 2 3 2 5 11" xfId="51818" xr:uid="{00000000-0005-0000-0000-000071CA0000}"/>
    <cellStyle name="표준 6 2 3 2 5 12" xfId="51819" xr:uid="{00000000-0005-0000-0000-000072CA0000}"/>
    <cellStyle name="표준 6 2 3 2 5 13" xfId="51820" xr:uid="{00000000-0005-0000-0000-000073CA0000}"/>
    <cellStyle name="표준 6 2 3 2 5 14" xfId="51821" xr:uid="{00000000-0005-0000-0000-000074CA0000}"/>
    <cellStyle name="표준 6 2 3 2 5 15" xfId="51822" xr:uid="{00000000-0005-0000-0000-000075CA0000}"/>
    <cellStyle name="표준 6 2 3 2 5 16" xfId="51823" xr:uid="{00000000-0005-0000-0000-000076CA0000}"/>
    <cellStyle name="표준 6 2 3 2 5 17" xfId="51824" xr:uid="{00000000-0005-0000-0000-000077CA0000}"/>
    <cellStyle name="표준 6 2 3 2 5 18" xfId="51825" xr:uid="{00000000-0005-0000-0000-000078CA0000}"/>
    <cellStyle name="표준 6 2 3 2 5 19" xfId="51826" xr:uid="{00000000-0005-0000-0000-000079CA0000}"/>
    <cellStyle name="표준 6 2 3 2 5 2" xfId="51827" xr:uid="{00000000-0005-0000-0000-00007ACA0000}"/>
    <cellStyle name="표준 6 2 3 2 5 3" xfId="51828" xr:uid="{00000000-0005-0000-0000-00007BCA0000}"/>
    <cellStyle name="표준 6 2 3 2 5 4" xfId="51829" xr:uid="{00000000-0005-0000-0000-00007CCA0000}"/>
    <cellStyle name="표준 6 2 3 2 5 5" xfId="51830" xr:uid="{00000000-0005-0000-0000-00007DCA0000}"/>
    <cellStyle name="표준 6 2 3 2 5 6" xfId="51831" xr:uid="{00000000-0005-0000-0000-00007ECA0000}"/>
    <cellStyle name="표준 6 2 3 2 5 7" xfId="51832" xr:uid="{00000000-0005-0000-0000-00007FCA0000}"/>
    <cellStyle name="표준 6 2 3 2 5 8" xfId="51833" xr:uid="{00000000-0005-0000-0000-000080CA0000}"/>
    <cellStyle name="표준 6 2 3 2 5 9" xfId="51834" xr:uid="{00000000-0005-0000-0000-000081CA0000}"/>
    <cellStyle name="표준 6 2 3 2 6" xfId="51835" xr:uid="{00000000-0005-0000-0000-000082CA0000}"/>
    <cellStyle name="표준 6 2 3 2 6 10" xfId="51836" xr:uid="{00000000-0005-0000-0000-000083CA0000}"/>
    <cellStyle name="표준 6 2 3 2 6 11" xfId="51837" xr:uid="{00000000-0005-0000-0000-000084CA0000}"/>
    <cellStyle name="표준 6 2 3 2 6 12" xfId="51838" xr:uid="{00000000-0005-0000-0000-000085CA0000}"/>
    <cellStyle name="표준 6 2 3 2 6 13" xfId="51839" xr:uid="{00000000-0005-0000-0000-000086CA0000}"/>
    <cellStyle name="표준 6 2 3 2 6 14" xfId="51840" xr:uid="{00000000-0005-0000-0000-000087CA0000}"/>
    <cellStyle name="표준 6 2 3 2 6 15" xfId="51841" xr:uid="{00000000-0005-0000-0000-000088CA0000}"/>
    <cellStyle name="표준 6 2 3 2 6 16" xfId="51842" xr:uid="{00000000-0005-0000-0000-000089CA0000}"/>
    <cellStyle name="표준 6 2 3 2 6 17" xfId="51843" xr:uid="{00000000-0005-0000-0000-00008ACA0000}"/>
    <cellStyle name="표준 6 2 3 2 6 18" xfId="51844" xr:uid="{00000000-0005-0000-0000-00008BCA0000}"/>
    <cellStyle name="표준 6 2 3 2 6 19" xfId="51845" xr:uid="{00000000-0005-0000-0000-00008CCA0000}"/>
    <cellStyle name="표준 6 2 3 2 6 2" xfId="51846" xr:uid="{00000000-0005-0000-0000-00008DCA0000}"/>
    <cellStyle name="표준 6 2 3 2 6 3" xfId="51847" xr:uid="{00000000-0005-0000-0000-00008ECA0000}"/>
    <cellStyle name="표준 6 2 3 2 6 4" xfId="51848" xr:uid="{00000000-0005-0000-0000-00008FCA0000}"/>
    <cellStyle name="표준 6 2 3 2 6 5" xfId="51849" xr:uid="{00000000-0005-0000-0000-000090CA0000}"/>
    <cellStyle name="표준 6 2 3 2 6 6" xfId="51850" xr:uid="{00000000-0005-0000-0000-000091CA0000}"/>
    <cellStyle name="표준 6 2 3 2 6 7" xfId="51851" xr:uid="{00000000-0005-0000-0000-000092CA0000}"/>
    <cellStyle name="표준 6 2 3 2 6 8" xfId="51852" xr:uid="{00000000-0005-0000-0000-000093CA0000}"/>
    <cellStyle name="표준 6 2 3 2 6 9" xfId="51853" xr:uid="{00000000-0005-0000-0000-000094CA0000}"/>
    <cellStyle name="표준 6 2 3 2 7" xfId="51854" xr:uid="{00000000-0005-0000-0000-000095CA0000}"/>
    <cellStyle name="표준 6 2 3 2 7 10" xfId="51855" xr:uid="{00000000-0005-0000-0000-000096CA0000}"/>
    <cellStyle name="표준 6 2 3 2 7 11" xfId="51856" xr:uid="{00000000-0005-0000-0000-000097CA0000}"/>
    <cellStyle name="표준 6 2 3 2 7 12" xfId="51857" xr:uid="{00000000-0005-0000-0000-000098CA0000}"/>
    <cellStyle name="표준 6 2 3 2 7 13" xfId="51858" xr:uid="{00000000-0005-0000-0000-000099CA0000}"/>
    <cellStyle name="표준 6 2 3 2 7 14" xfId="51859" xr:uid="{00000000-0005-0000-0000-00009ACA0000}"/>
    <cellStyle name="표준 6 2 3 2 7 15" xfId="51860" xr:uid="{00000000-0005-0000-0000-00009BCA0000}"/>
    <cellStyle name="표준 6 2 3 2 7 16" xfId="51861" xr:uid="{00000000-0005-0000-0000-00009CCA0000}"/>
    <cellStyle name="표준 6 2 3 2 7 17" xfId="51862" xr:uid="{00000000-0005-0000-0000-00009DCA0000}"/>
    <cellStyle name="표준 6 2 3 2 7 18" xfId="51863" xr:uid="{00000000-0005-0000-0000-00009ECA0000}"/>
    <cellStyle name="표준 6 2 3 2 7 19" xfId="51864" xr:uid="{00000000-0005-0000-0000-00009FCA0000}"/>
    <cellStyle name="표준 6 2 3 2 7 2" xfId="51865" xr:uid="{00000000-0005-0000-0000-0000A0CA0000}"/>
    <cellStyle name="표준 6 2 3 2 7 3" xfId="51866" xr:uid="{00000000-0005-0000-0000-0000A1CA0000}"/>
    <cellStyle name="표준 6 2 3 2 7 4" xfId="51867" xr:uid="{00000000-0005-0000-0000-0000A2CA0000}"/>
    <cellStyle name="표준 6 2 3 2 7 5" xfId="51868" xr:uid="{00000000-0005-0000-0000-0000A3CA0000}"/>
    <cellStyle name="표준 6 2 3 2 7 6" xfId="51869" xr:uid="{00000000-0005-0000-0000-0000A4CA0000}"/>
    <cellStyle name="표준 6 2 3 2 7 7" xfId="51870" xr:uid="{00000000-0005-0000-0000-0000A5CA0000}"/>
    <cellStyle name="표준 6 2 3 2 7 8" xfId="51871" xr:uid="{00000000-0005-0000-0000-0000A6CA0000}"/>
    <cellStyle name="표준 6 2 3 2 7 9" xfId="51872" xr:uid="{00000000-0005-0000-0000-0000A7CA0000}"/>
    <cellStyle name="표준 6 2 3 2 8" xfId="51873" xr:uid="{00000000-0005-0000-0000-0000A8CA0000}"/>
    <cellStyle name="표준 6 2 3 2 8 10" xfId="51874" xr:uid="{00000000-0005-0000-0000-0000A9CA0000}"/>
    <cellStyle name="표준 6 2 3 2 8 11" xfId="51875" xr:uid="{00000000-0005-0000-0000-0000AACA0000}"/>
    <cellStyle name="표준 6 2 3 2 8 12" xfId="51876" xr:uid="{00000000-0005-0000-0000-0000ABCA0000}"/>
    <cellStyle name="표준 6 2 3 2 8 13" xfId="51877" xr:uid="{00000000-0005-0000-0000-0000ACCA0000}"/>
    <cellStyle name="표준 6 2 3 2 8 14" xfId="51878" xr:uid="{00000000-0005-0000-0000-0000ADCA0000}"/>
    <cellStyle name="표준 6 2 3 2 8 15" xfId="51879" xr:uid="{00000000-0005-0000-0000-0000AECA0000}"/>
    <cellStyle name="표준 6 2 3 2 8 16" xfId="51880" xr:uid="{00000000-0005-0000-0000-0000AFCA0000}"/>
    <cellStyle name="표준 6 2 3 2 8 17" xfId="51881" xr:uid="{00000000-0005-0000-0000-0000B0CA0000}"/>
    <cellStyle name="표준 6 2 3 2 8 18" xfId="51882" xr:uid="{00000000-0005-0000-0000-0000B1CA0000}"/>
    <cellStyle name="표준 6 2 3 2 8 19" xfId="51883" xr:uid="{00000000-0005-0000-0000-0000B2CA0000}"/>
    <cellStyle name="표준 6 2 3 2 8 2" xfId="51884" xr:uid="{00000000-0005-0000-0000-0000B3CA0000}"/>
    <cellStyle name="표준 6 2 3 2 8 3" xfId="51885" xr:uid="{00000000-0005-0000-0000-0000B4CA0000}"/>
    <cellStyle name="표준 6 2 3 2 8 4" xfId="51886" xr:uid="{00000000-0005-0000-0000-0000B5CA0000}"/>
    <cellStyle name="표준 6 2 3 2 8 5" xfId="51887" xr:uid="{00000000-0005-0000-0000-0000B6CA0000}"/>
    <cellStyle name="표준 6 2 3 2 8 6" xfId="51888" xr:uid="{00000000-0005-0000-0000-0000B7CA0000}"/>
    <cellStyle name="표준 6 2 3 2 8 7" xfId="51889" xr:uid="{00000000-0005-0000-0000-0000B8CA0000}"/>
    <cellStyle name="표준 6 2 3 2 8 8" xfId="51890" xr:uid="{00000000-0005-0000-0000-0000B9CA0000}"/>
    <cellStyle name="표준 6 2 3 2 8 9" xfId="51891" xr:uid="{00000000-0005-0000-0000-0000BACA0000}"/>
    <cellStyle name="표준 6 2 3 2 9" xfId="51892" xr:uid="{00000000-0005-0000-0000-0000BBCA0000}"/>
    <cellStyle name="표준 6 2 3 20" xfId="51893" xr:uid="{00000000-0005-0000-0000-0000BCCA0000}"/>
    <cellStyle name="표준 6 2 3 21" xfId="51894" xr:uid="{00000000-0005-0000-0000-0000BDCA0000}"/>
    <cellStyle name="표준 6 2 3 22" xfId="51895" xr:uid="{00000000-0005-0000-0000-0000BECA0000}"/>
    <cellStyle name="표준 6 2 3 23" xfId="51896" xr:uid="{00000000-0005-0000-0000-0000BFCA0000}"/>
    <cellStyle name="표준 6 2 3 24" xfId="51897" xr:uid="{00000000-0005-0000-0000-0000C0CA0000}"/>
    <cellStyle name="표준 6 2 3 25" xfId="51898" xr:uid="{00000000-0005-0000-0000-0000C1CA0000}"/>
    <cellStyle name="표준 6 2 3 26" xfId="51899" xr:uid="{00000000-0005-0000-0000-0000C2CA0000}"/>
    <cellStyle name="표준 6 2 3 27" xfId="51900" xr:uid="{00000000-0005-0000-0000-0000C3CA0000}"/>
    <cellStyle name="표준 6 2 3 3" xfId="51901" xr:uid="{00000000-0005-0000-0000-0000C4CA0000}"/>
    <cellStyle name="표준 6 2 3 3 10" xfId="51902" xr:uid="{00000000-0005-0000-0000-0000C5CA0000}"/>
    <cellStyle name="표준 6 2 3 3 11" xfId="51903" xr:uid="{00000000-0005-0000-0000-0000C6CA0000}"/>
    <cellStyle name="표준 6 2 3 3 12" xfId="51904" xr:uid="{00000000-0005-0000-0000-0000C7CA0000}"/>
    <cellStyle name="표준 6 2 3 3 13" xfId="51905" xr:uid="{00000000-0005-0000-0000-0000C8CA0000}"/>
    <cellStyle name="표준 6 2 3 3 14" xfId="51906" xr:uid="{00000000-0005-0000-0000-0000C9CA0000}"/>
    <cellStyle name="표준 6 2 3 3 15" xfId="51907" xr:uid="{00000000-0005-0000-0000-0000CACA0000}"/>
    <cellStyle name="표준 6 2 3 3 16" xfId="51908" xr:uid="{00000000-0005-0000-0000-0000CBCA0000}"/>
    <cellStyle name="표준 6 2 3 3 17" xfId="51909" xr:uid="{00000000-0005-0000-0000-0000CCCA0000}"/>
    <cellStyle name="표준 6 2 3 3 18" xfId="51910" xr:uid="{00000000-0005-0000-0000-0000CDCA0000}"/>
    <cellStyle name="표준 6 2 3 3 19" xfId="51911" xr:uid="{00000000-0005-0000-0000-0000CECA0000}"/>
    <cellStyle name="표준 6 2 3 3 2" xfId="51912" xr:uid="{00000000-0005-0000-0000-0000CFCA0000}"/>
    <cellStyle name="표준 6 2 3 3 3" xfId="51913" xr:uid="{00000000-0005-0000-0000-0000D0CA0000}"/>
    <cellStyle name="표준 6 2 3 3 4" xfId="51914" xr:uid="{00000000-0005-0000-0000-0000D1CA0000}"/>
    <cellStyle name="표준 6 2 3 3 5" xfId="51915" xr:uid="{00000000-0005-0000-0000-0000D2CA0000}"/>
    <cellStyle name="표준 6 2 3 3 6" xfId="51916" xr:uid="{00000000-0005-0000-0000-0000D3CA0000}"/>
    <cellStyle name="표준 6 2 3 3 7" xfId="51917" xr:uid="{00000000-0005-0000-0000-0000D4CA0000}"/>
    <cellStyle name="표준 6 2 3 3 8" xfId="51918" xr:uid="{00000000-0005-0000-0000-0000D5CA0000}"/>
    <cellStyle name="표준 6 2 3 3 9" xfId="51919" xr:uid="{00000000-0005-0000-0000-0000D6CA0000}"/>
    <cellStyle name="표준 6 2 3 4" xfId="51920" xr:uid="{00000000-0005-0000-0000-0000D7CA0000}"/>
    <cellStyle name="표준 6 2 3 4 10" xfId="51921" xr:uid="{00000000-0005-0000-0000-0000D8CA0000}"/>
    <cellStyle name="표준 6 2 3 4 11" xfId="51922" xr:uid="{00000000-0005-0000-0000-0000D9CA0000}"/>
    <cellStyle name="표준 6 2 3 4 12" xfId="51923" xr:uid="{00000000-0005-0000-0000-0000DACA0000}"/>
    <cellStyle name="표준 6 2 3 4 13" xfId="51924" xr:uid="{00000000-0005-0000-0000-0000DBCA0000}"/>
    <cellStyle name="표준 6 2 3 4 14" xfId="51925" xr:uid="{00000000-0005-0000-0000-0000DCCA0000}"/>
    <cellStyle name="표준 6 2 3 4 15" xfId="51926" xr:uid="{00000000-0005-0000-0000-0000DDCA0000}"/>
    <cellStyle name="표준 6 2 3 4 16" xfId="51927" xr:uid="{00000000-0005-0000-0000-0000DECA0000}"/>
    <cellStyle name="표준 6 2 3 4 17" xfId="51928" xr:uid="{00000000-0005-0000-0000-0000DFCA0000}"/>
    <cellStyle name="표준 6 2 3 4 18" xfId="51929" xr:uid="{00000000-0005-0000-0000-0000E0CA0000}"/>
    <cellStyle name="표준 6 2 3 4 19" xfId="51930" xr:uid="{00000000-0005-0000-0000-0000E1CA0000}"/>
    <cellStyle name="표준 6 2 3 4 2" xfId="51931" xr:uid="{00000000-0005-0000-0000-0000E2CA0000}"/>
    <cellStyle name="표준 6 2 3 4 3" xfId="51932" xr:uid="{00000000-0005-0000-0000-0000E3CA0000}"/>
    <cellStyle name="표준 6 2 3 4 4" xfId="51933" xr:uid="{00000000-0005-0000-0000-0000E4CA0000}"/>
    <cellStyle name="표준 6 2 3 4 5" xfId="51934" xr:uid="{00000000-0005-0000-0000-0000E5CA0000}"/>
    <cellStyle name="표준 6 2 3 4 6" xfId="51935" xr:uid="{00000000-0005-0000-0000-0000E6CA0000}"/>
    <cellStyle name="표준 6 2 3 4 7" xfId="51936" xr:uid="{00000000-0005-0000-0000-0000E7CA0000}"/>
    <cellStyle name="표준 6 2 3 4 8" xfId="51937" xr:uid="{00000000-0005-0000-0000-0000E8CA0000}"/>
    <cellStyle name="표준 6 2 3 4 9" xfId="51938" xr:uid="{00000000-0005-0000-0000-0000E9CA0000}"/>
    <cellStyle name="표준 6 2 3 5" xfId="51939" xr:uid="{00000000-0005-0000-0000-0000EACA0000}"/>
    <cellStyle name="표준 6 2 3 5 10" xfId="51940" xr:uid="{00000000-0005-0000-0000-0000EBCA0000}"/>
    <cellStyle name="표준 6 2 3 5 11" xfId="51941" xr:uid="{00000000-0005-0000-0000-0000ECCA0000}"/>
    <cellStyle name="표준 6 2 3 5 12" xfId="51942" xr:uid="{00000000-0005-0000-0000-0000EDCA0000}"/>
    <cellStyle name="표준 6 2 3 5 13" xfId="51943" xr:uid="{00000000-0005-0000-0000-0000EECA0000}"/>
    <cellStyle name="표준 6 2 3 5 14" xfId="51944" xr:uid="{00000000-0005-0000-0000-0000EFCA0000}"/>
    <cellStyle name="표준 6 2 3 5 15" xfId="51945" xr:uid="{00000000-0005-0000-0000-0000F0CA0000}"/>
    <cellStyle name="표준 6 2 3 5 16" xfId="51946" xr:uid="{00000000-0005-0000-0000-0000F1CA0000}"/>
    <cellStyle name="표준 6 2 3 5 17" xfId="51947" xr:uid="{00000000-0005-0000-0000-0000F2CA0000}"/>
    <cellStyle name="표준 6 2 3 5 18" xfId="51948" xr:uid="{00000000-0005-0000-0000-0000F3CA0000}"/>
    <cellStyle name="표준 6 2 3 5 19" xfId="51949" xr:uid="{00000000-0005-0000-0000-0000F4CA0000}"/>
    <cellStyle name="표준 6 2 3 5 2" xfId="51950" xr:uid="{00000000-0005-0000-0000-0000F5CA0000}"/>
    <cellStyle name="표준 6 2 3 5 3" xfId="51951" xr:uid="{00000000-0005-0000-0000-0000F6CA0000}"/>
    <cellStyle name="표준 6 2 3 5 4" xfId="51952" xr:uid="{00000000-0005-0000-0000-0000F7CA0000}"/>
    <cellStyle name="표준 6 2 3 5 5" xfId="51953" xr:uid="{00000000-0005-0000-0000-0000F8CA0000}"/>
    <cellStyle name="표준 6 2 3 5 6" xfId="51954" xr:uid="{00000000-0005-0000-0000-0000F9CA0000}"/>
    <cellStyle name="표준 6 2 3 5 7" xfId="51955" xr:uid="{00000000-0005-0000-0000-0000FACA0000}"/>
    <cellStyle name="표준 6 2 3 5 8" xfId="51956" xr:uid="{00000000-0005-0000-0000-0000FBCA0000}"/>
    <cellStyle name="표준 6 2 3 5 9" xfId="51957" xr:uid="{00000000-0005-0000-0000-0000FCCA0000}"/>
    <cellStyle name="표준 6 2 3 6" xfId="51958" xr:uid="{00000000-0005-0000-0000-0000FDCA0000}"/>
    <cellStyle name="표준 6 2 3 6 10" xfId="51959" xr:uid="{00000000-0005-0000-0000-0000FECA0000}"/>
    <cellStyle name="표준 6 2 3 6 11" xfId="51960" xr:uid="{00000000-0005-0000-0000-0000FFCA0000}"/>
    <cellStyle name="표준 6 2 3 6 12" xfId="51961" xr:uid="{00000000-0005-0000-0000-000000CB0000}"/>
    <cellStyle name="표준 6 2 3 6 13" xfId="51962" xr:uid="{00000000-0005-0000-0000-000001CB0000}"/>
    <cellStyle name="표준 6 2 3 6 14" xfId="51963" xr:uid="{00000000-0005-0000-0000-000002CB0000}"/>
    <cellStyle name="표준 6 2 3 6 15" xfId="51964" xr:uid="{00000000-0005-0000-0000-000003CB0000}"/>
    <cellStyle name="표준 6 2 3 6 16" xfId="51965" xr:uid="{00000000-0005-0000-0000-000004CB0000}"/>
    <cellStyle name="표준 6 2 3 6 17" xfId="51966" xr:uid="{00000000-0005-0000-0000-000005CB0000}"/>
    <cellStyle name="표준 6 2 3 6 18" xfId="51967" xr:uid="{00000000-0005-0000-0000-000006CB0000}"/>
    <cellStyle name="표준 6 2 3 6 19" xfId="51968" xr:uid="{00000000-0005-0000-0000-000007CB0000}"/>
    <cellStyle name="표준 6 2 3 6 2" xfId="51969" xr:uid="{00000000-0005-0000-0000-000008CB0000}"/>
    <cellStyle name="표준 6 2 3 6 3" xfId="51970" xr:uid="{00000000-0005-0000-0000-000009CB0000}"/>
    <cellStyle name="표준 6 2 3 6 4" xfId="51971" xr:uid="{00000000-0005-0000-0000-00000ACB0000}"/>
    <cellStyle name="표준 6 2 3 6 5" xfId="51972" xr:uid="{00000000-0005-0000-0000-00000BCB0000}"/>
    <cellStyle name="표준 6 2 3 6 6" xfId="51973" xr:uid="{00000000-0005-0000-0000-00000CCB0000}"/>
    <cellStyle name="표준 6 2 3 6 7" xfId="51974" xr:uid="{00000000-0005-0000-0000-00000DCB0000}"/>
    <cellStyle name="표준 6 2 3 6 8" xfId="51975" xr:uid="{00000000-0005-0000-0000-00000ECB0000}"/>
    <cellStyle name="표준 6 2 3 6 9" xfId="51976" xr:uid="{00000000-0005-0000-0000-00000FCB0000}"/>
    <cellStyle name="표준 6 2 3 7" xfId="51977" xr:uid="{00000000-0005-0000-0000-000010CB0000}"/>
    <cellStyle name="표준 6 2 3 7 10" xfId="51978" xr:uid="{00000000-0005-0000-0000-000011CB0000}"/>
    <cellStyle name="표준 6 2 3 7 11" xfId="51979" xr:uid="{00000000-0005-0000-0000-000012CB0000}"/>
    <cellStyle name="표준 6 2 3 7 12" xfId="51980" xr:uid="{00000000-0005-0000-0000-000013CB0000}"/>
    <cellStyle name="표준 6 2 3 7 13" xfId="51981" xr:uid="{00000000-0005-0000-0000-000014CB0000}"/>
    <cellStyle name="표준 6 2 3 7 14" xfId="51982" xr:uid="{00000000-0005-0000-0000-000015CB0000}"/>
    <cellStyle name="표준 6 2 3 7 15" xfId="51983" xr:uid="{00000000-0005-0000-0000-000016CB0000}"/>
    <cellStyle name="표준 6 2 3 7 16" xfId="51984" xr:uid="{00000000-0005-0000-0000-000017CB0000}"/>
    <cellStyle name="표준 6 2 3 7 17" xfId="51985" xr:uid="{00000000-0005-0000-0000-000018CB0000}"/>
    <cellStyle name="표준 6 2 3 7 18" xfId="51986" xr:uid="{00000000-0005-0000-0000-000019CB0000}"/>
    <cellStyle name="표준 6 2 3 7 19" xfId="51987" xr:uid="{00000000-0005-0000-0000-00001ACB0000}"/>
    <cellStyle name="표준 6 2 3 7 2" xfId="51988" xr:uid="{00000000-0005-0000-0000-00001BCB0000}"/>
    <cellStyle name="표준 6 2 3 7 3" xfId="51989" xr:uid="{00000000-0005-0000-0000-00001CCB0000}"/>
    <cellStyle name="표준 6 2 3 7 4" xfId="51990" xr:uid="{00000000-0005-0000-0000-00001DCB0000}"/>
    <cellStyle name="표준 6 2 3 7 5" xfId="51991" xr:uid="{00000000-0005-0000-0000-00001ECB0000}"/>
    <cellStyle name="표준 6 2 3 7 6" xfId="51992" xr:uid="{00000000-0005-0000-0000-00001FCB0000}"/>
    <cellStyle name="표준 6 2 3 7 7" xfId="51993" xr:uid="{00000000-0005-0000-0000-000020CB0000}"/>
    <cellStyle name="표준 6 2 3 7 8" xfId="51994" xr:uid="{00000000-0005-0000-0000-000021CB0000}"/>
    <cellStyle name="표준 6 2 3 7 9" xfId="51995" xr:uid="{00000000-0005-0000-0000-000022CB0000}"/>
    <cellStyle name="표준 6 2 3 8" xfId="51996" xr:uid="{00000000-0005-0000-0000-000023CB0000}"/>
    <cellStyle name="표준 6 2 3 8 10" xfId="51997" xr:uid="{00000000-0005-0000-0000-000024CB0000}"/>
    <cellStyle name="표준 6 2 3 8 11" xfId="51998" xr:uid="{00000000-0005-0000-0000-000025CB0000}"/>
    <cellStyle name="표준 6 2 3 8 12" xfId="51999" xr:uid="{00000000-0005-0000-0000-000026CB0000}"/>
    <cellStyle name="표준 6 2 3 8 13" xfId="52000" xr:uid="{00000000-0005-0000-0000-000027CB0000}"/>
    <cellStyle name="표준 6 2 3 8 14" xfId="52001" xr:uid="{00000000-0005-0000-0000-000028CB0000}"/>
    <cellStyle name="표준 6 2 3 8 15" xfId="52002" xr:uid="{00000000-0005-0000-0000-000029CB0000}"/>
    <cellStyle name="표준 6 2 3 8 16" xfId="52003" xr:uid="{00000000-0005-0000-0000-00002ACB0000}"/>
    <cellStyle name="표준 6 2 3 8 17" xfId="52004" xr:uid="{00000000-0005-0000-0000-00002BCB0000}"/>
    <cellStyle name="표준 6 2 3 8 18" xfId="52005" xr:uid="{00000000-0005-0000-0000-00002CCB0000}"/>
    <cellStyle name="표준 6 2 3 8 19" xfId="52006" xr:uid="{00000000-0005-0000-0000-00002DCB0000}"/>
    <cellStyle name="표준 6 2 3 8 2" xfId="52007" xr:uid="{00000000-0005-0000-0000-00002ECB0000}"/>
    <cellStyle name="표준 6 2 3 8 3" xfId="52008" xr:uid="{00000000-0005-0000-0000-00002FCB0000}"/>
    <cellStyle name="표준 6 2 3 8 4" xfId="52009" xr:uid="{00000000-0005-0000-0000-000030CB0000}"/>
    <cellStyle name="표준 6 2 3 8 5" xfId="52010" xr:uid="{00000000-0005-0000-0000-000031CB0000}"/>
    <cellStyle name="표준 6 2 3 8 6" xfId="52011" xr:uid="{00000000-0005-0000-0000-000032CB0000}"/>
    <cellStyle name="표준 6 2 3 8 7" xfId="52012" xr:uid="{00000000-0005-0000-0000-000033CB0000}"/>
    <cellStyle name="표준 6 2 3 8 8" xfId="52013" xr:uid="{00000000-0005-0000-0000-000034CB0000}"/>
    <cellStyle name="표준 6 2 3 8 9" xfId="52014" xr:uid="{00000000-0005-0000-0000-000035CB0000}"/>
    <cellStyle name="표준 6 2 3 9" xfId="52015" xr:uid="{00000000-0005-0000-0000-000036CB0000}"/>
    <cellStyle name="표준 6 2 3 9 10" xfId="52016" xr:uid="{00000000-0005-0000-0000-000037CB0000}"/>
    <cellStyle name="표준 6 2 3 9 11" xfId="52017" xr:uid="{00000000-0005-0000-0000-000038CB0000}"/>
    <cellStyle name="표준 6 2 3 9 12" xfId="52018" xr:uid="{00000000-0005-0000-0000-000039CB0000}"/>
    <cellStyle name="표준 6 2 3 9 13" xfId="52019" xr:uid="{00000000-0005-0000-0000-00003ACB0000}"/>
    <cellStyle name="표준 6 2 3 9 14" xfId="52020" xr:uid="{00000000-0005-0000-0000-00003BCB0000}"/>
    <cellStyle name="표준 6 2 3 9 15" xfId="52021" xr:uid="{00000000-0005-0000-0000-00003CCB0000}"/>
    <cellStyle name="표준 6 2 3 9 16" xfId="52022" xr:uid="{00000000-0005-0000-0000-00003DCB0000}"/>
    <cellStyle name="표준 6 2 3 9 17" xfId="52023" xr:uid="{00000000-0005-0000-0000-00003ECB0000}"/>
    <cellStyle name="표준 6 2 3 9 18" xfId="52024" xr:uid="{00000000-0005-0000-0000-00003FCB0000}"/>
    <cellStyle name="표준 6 2 3 9 19" xfId="52025" xr:uid="{00000000-0005-0000-0000-000040CB0000}"/>
    <cellStyle name="표준 6 2 3 9 2" xfId="52026" xr:uid="{00000000-0005-0000-0000-000041CB0000}"/>
    <cellStyle name="표준 6 2 3 9 3" xfId="52027" xr:uid="{00000000-0005-0000-0000-000042CB0000}"/>
    <cellStyle name="표준 6 2 3 9 4" xfId="52028" xr:uid="{00000000-0005-0000-0000-000043CB0000}"/>
    <cellStyle name="표준 6 2 3 9 5" xfId="52029" xr:uid="{00000000-0005-0000-0000-000044CB0000}"/>
    <cellStyle name="표준 6 2 3 9 6" xfId="52030" xr:uid="{00000000-0005-0000-0000-000045CB0000}"/>
    <cellStyle name="표준 6 2 3 9 7" xfId="52031" xr:uid="{00000000-0005-0000-0000-000046CB0000}"/>
    <cellStyle name="표준 6 2 3 9 8" xfId="52032" xr:uid="{00000000-0005-0000-0000-000047CB0000}"/>
    <cellStyle name="표준 6 2 3 9 9" xfId="52033" xr:uid="{00000000-0005-0000-0000-000048CB0000}"/>
    <cellStyle name="표준 6 2 4" xfId="52034" xr:uid="{00000000-0005-0000-0000-000049CB0000}"/>
    <cellStyle name="표준 6 2 4 10" xfId="52035" xr:uid="{00000000-0005-0000-0000-00004ACB0000}"/>
    <cellStyle name="표준 6 2 4 11" xfId="52036" xr:uid="{00000000-0005-0000-0000-00004BCB0000}"/>
    <cellStyle name="표준 6 2 4 12" xfId="52037" xr:uid="{00000000-0005-0000-0000-00004CCB0000}"/>
    <cellStyle name="표준 6 2 4 13" xfId="52038" xr:uid="{00000000-0005-0000-0000-00004DCB0000}"/>
    <cellStyle name="표준 6 2 4 14" xfId="52039" xr:uid="{00000000-0005-0000-0000-00004ECB0000}"/>
    <cellStyle name="표준 6 2 4 15" xfId="52040" xr:uid="{00000000-0005-0000-0000-00004FCB0000}"/>
    <cellStyle name="표준 6 2 4 16" xfId="52041" xr:uid="{00000000-0005-0000-0000-000050CB0000}"/>
    <cellStyle name="표준 6 2 4 17" xfId="52042" xr:uid="{00000000-0005-0000-0000-000051CB0000}"/>
    <cellStyle name="표준 6 2 4 18" xfId="52043" xr:uid="{00000000-0005-0000-0000-000052CB0000}"/>
    <cellStyle name="표준 6 2 4 19" xfId="52044" xr:uid="{00000000-0005-0000-0000-000053CB0000}"/>
    <cellStyle name="표준 6 2 4 2" xfId="52045" xr:uid="{00000000-0005-0000-0000-000054CB0000}"/>
    <cellStyle name="표준 6 2 4 3" xfId="52046" xr:uid="{00000000-0005-0000-0000-000055CB0000}"/>
    <cellStyle name="표준 6 2 4 4" xfId="52047" xr:uid="{00000000-0005-0000-0000-000056CB0000}"/>
    <cellStyle name="표준 6 2 4 5" xfId="52048" xr:uid="{00000000-0005-0000-0000-000057CB0000}"/>
    <cellStyle name="표준 6 2 4 6" xfId="52049" xr:uid="{00000000-0005-0000-0000-000058CB0000}"/>
    <cellStyle name="표준 6 2 4 7" xfId="52050" xr:uid="{00000000-0005-0000-0000-000059CB0000}"/>
    <cellStyle name="표준 6 2 4 8" xfId="52051" xr:uid="{00000000-0005-0000-0000-00005ACB0000}"/>
    <cellStyle name="표준 6 2 4 9" xfId="52052" xr:uid="{00000000-0005-0000-0000-00005BCB0000}"/>
    <cellStyle name="표준 6 2 5" xfId="52053" xr:uid="{00000000-0005-0000-0000-00005CCB0000}"/>
    <cellStyle name="표준 6 2 5 10" xfId="52054" xr:uid="{00000000-0005-0000-0000-00005DCB0000}"/>
    <cellStyle name="표준 6 2 5 11" xfId="52055" xr:uid="{00000000-0005-0000-0000-00005ECB0000}"/>
    <cellStyle name="표준 6 2 5 12" xfId="52056" xr:uid="{00000000-0005-0000-0000-00005FCB0000}"/>
    <cellStyle name="표준 6 2 5 13" xfId="52057" xr:uid="{00000000-0005-0000-0000-000060CB0000}"/>
    <cellStyle name="표준 6 2 5 14" xfId="52058" xr:uid="{00000000-0005-0000-0000-000061CB0000}"/>
    <cellStyle name="표준 6 2 5 15" xfId="52059" xr:uid="{00000000-0005-0000-0000-000062CB0000}"/>
    <cellStyle name="표준 6 2 5 16" xfId="52060" xr:uid="{00000000-0005-0000-0000-000063CB0000}"/>
    <cellStyle name="표준 6 2 5 17" xfId="52061" xr:uid="{00000000-0005-0000-0000-000064CB0000}"/>
    <cellStyle name="표준 6 2 5 18" xfId="52062" xr:uid="{00000000-0005-0000-0000-000065CB0000}"/>
    <cellStyle name="표준 6 2 5 19" xfId="52063" xr:uid="{00000000-0005-0000-0000-000066CB0000}"/>
    <cellStyle name="표준 6 2 5 2" xfId="52064" xr:uid="{00000000-0005-0000-0000-000067CB0000}"/>
    <cellStyle name="표준 6 2 5 3" xfId="52065" xr:uid="{00000000-0005-0000-0000-000068CB0000}"/>
    <cellStyle name="표준 6 2 5 4" xfId="52066" xr:uid="{00000000-0005-0000-0000-000069CB0000}"/>
    <cellStyle name="표준 6 2 5 5" xfId="52067" xr:uid="{00000000-0005-0000-0000-00006ACB0000}"/>
    <cellStyle name="표준 6 2 5 6" xfId="52068" xr:uid="{00000000-0005-0000-0000-00006BCB0000}"/>
    <cellStyle name="표준 6 2 5 7" xfId="52069" xr:uid="{00000000-0005-0000-0000-00006CCB0000}"/>
    <cellStyle name="표준 6 2 5 8" xfId="52070" xr:uid="{00000000-0005-0000-0000-00006DCB0000}"/>
    <cellStyle name="표준 6 2 5 9" xfId="52071" xr:uid="{00000000-0005-0000-0000-00006ECB0000}"/>
    <cellStyle name="표준 6 2 6" xfId="52072" xr:uid="{00000000-0005-0000-0000-00006FCB0000}"/>
    <cellStyle name="표준 6 2 6 10" xfId="52073" xr:uid="{00000000-0005-0000-0000-000070CB0000}"/>
    <cellStyle name="표준 6 2 6 11" xfId="52074" xr:uid="{00000000-0005-0000-0000-000071CB0000}"/>
    <cellStyle name="표준 6 2 6 12" xfId="52075" xr:uid="{00000000-0005-0000-0000-000072CB0000}"/>
    <cellStyle name="표준 6 2 6 13" xfId="52076" xr:uid="{00000000-0005-0000-0000-000073CB0000}"/>
    <cellStyle name="표준 6 2 6 14" xfId="52077" xr:uid="{00000000-0005-0000-0000-000074CB0000}"/>
    <cellStyle name="표준 6 2 6 15" xfId="52078" xr:uid="{00000000-0005-0000-0000-000075CB0000}"/>
    <cellStyle name="표준 6 2 6 16" xfId="52079" xr:uid="{00000000-0005-0000-0000-000076CB0000}"/>
    <cellStyle name="표준 6 2 6 17" xfId="52080" xr:uid="{00000000-0005-0000-0000-000077CB0000}"/>
    <cellStyle name="표준 6 2 6 18" xfId="52081" xr:uid="{00000000-0005-0000-0000-000078CB0000}"/>
    <cellStyle name="표준 6 2 6 19" xfId="52082" xr:uid="{00000000-0005-0000-0000-000079CB0000}"/>
    <cellStyle name="표준 6 2 6 2" xfId="52083" xr:uid="{00000000-0005-0000-0000-00007ACB0000}"/>
    <cellStyle name="표준 6 2 6 3" xfId="52084" xr:uid="{00000000-0005-0000-0000-00007BCB0000}"/>
    <cellStyle name="표준 6 2 6 4" xfId="52085" xr:uid="{00000000-0005-0000-0000-00007CCB0000}"/>
    <cellStyle name="표준 6 2 6 5" xfId="52086" xr:uid="{00000000-0005-0000-0000-00007DCB0000}"/>
    <cellStyle name="표준 6 2 6 6" xfId="52087" xr:uid="{00000000-0005-0000-0000-00007ECB0000}"/>
    <cellStyle name="표준 6 2 6 7" xfId="52088" xr:uid="{00000000-0005-0000-0000-00007FCB0000}"/>
    <cellStyle name="표준 6 2 6 8" xfId="52089" xr:uid="{00000000-0005-0000-0000-000080CB0000}"/>
    <cellStyle name="표준 6 2 6 9" xfId="52090" xr:uid="{00000000-0005-0000-0000-000081CB0000}"/>
    <cellStyle name="표준 6 2 7" xfId="52091" xr:uid="{00000000-0005-0000-0000-000082CB0000}"/>
    <cellStyle name="표준 6 2 7 10" xfId="52092" xr:uid="{00000000-0005-0000-0000-000083CB0000}"/>
    <cellStyle name="표준 6 2 7 11" xfId="52093" xr:uid="{00000000-0005-0000-0000-000084CB0000}"/>
    <cellStyle name="표준 6 2 7 12" xfId="52094" xr:uid="{00000000-0005-0000-0000-000085CB0000}"/>
    <cellStyle name="표준 6 2 7 13" xfId="52095" xr:uid="{00000000-0005-0000-0000-000086CB0000}"/>
    <cellStyle name="표준 6 2 7 14" xfId="52096" xr:uid="{00000000-0005-0000-0000-000087CB0000}"/>
    <cellStyle name="표준 6 2 7 15" xfId="52097" xr:uid="{00000000-0005-0000-0000-000088CB0000}"/>
    <cellStyle name="표준 6 2 7 16" xfId="52098" xr:uid="{00000000-0005-0000-0000-000089CB0000}"/>
    <cellStyle name="표준 6 2 7 17" xfId="52099" xr:uid="{00000000-0005-0000-0000-00008ACB0000}"/>
    <cellStyle name="표준 6 2 7 18" xfId="52100" xr:uid="{00000000-0005-0000-0000-00008BCB0000}"/>
    <cellStyle name="표준 6 2 7 19" xfId="52101" xr:uid="{00000000-0005-0000-0000-00008CCB0000}"/>
    <cellStyle name="표준 6 2 7 2" xfId="52102" xr:uid="{00000000-0005-0000-0000-00008DCB0000}"/>
    <cellStyle name="표준 6 2 7 3" xfId="52103" xr:uid="{00000000-0005-0000-0000-00008ECB0000}"/>
    <cellStyle name="표준 6 2 7 4" xfId="52104" xr:uid="{00000000-0005-0000-0000-00008FCB0000}"/>
    <cellStyle name="표준 6 2 7 5" xfId="52105" xr:uid="{00000000-0005-0000-0000-000090CB0000}"/>
    <cellStyle name="표준 6 2 7 6" xfId="52106" xr:uid="{00000000-0005-0000-0000-000091CB0000}"/>
    <cellStyle name="표준 6 2 7 7" xfId="52107" xr:uid="{00000000-0005-0000-0000-000092CB0000}"/>
    <cellStyle name="표준 6 2 7 8" xfId="52108" xr:uid="{00000000-0005-0000-0000-000093CB0000}"/>
    <cellStyle name="표준 6 2 7 9" xfId="52109" xr:uid="{00000000-0005-0000-0000-000094CB0000}"/>
    <cellStyle name="표준 6 2 8" xfId="52110" xr:uid="{00000000-0005-0000-0000-000095CB0000}"/>
    <cellStyle name="표준 6 2 8 10" xfId="52111" xr:uid="{00000000-0005-0000-0000-000096CB0000}"/>
    <cellStyle name="표준 6 2 8 11" xfId="52112" xr:uid="{00000000-0005-0000-0000-000097CB0000}"/>
    <cellStyle name="표준 6 2 8 12" xfId="52113" xr:uid="{00000000-0005-0000-0000-000098CB0000}"/>
    <cellStyle name="표준 6 2 8 13" xfId="52114" xr:uid="{00000000-0005-0000-0000-000099CB0000}"/>
    <cellStyle name="표준 6 2 8 14" xfId="52115" xr:uid="{00000000-0005-0000-0000-00009ACB0000}"/>
    <cellStyle name="표준 6 2 8 15" xfId="52116" xr:uid="{00000000-0005-0000-0000-00009BCB0000}"/>
    <cellStyle name="표준 6 2 8 16" xfId="52117" xr:uid="{00000000-0005-0000-0000-00009CCB0000}"/>
    <cellStyle name="표준 6 2 8 17" xfId="52118" xr:uid="{00000000-0005-0000-0000-00009DCB0000}"/>
    <cellStyle name="표준 6 2 8 18" xfId="52119" xr:uid="{00000000-0005-0000-0000-00009ECB0000}"/>
    <cellStyle name="표준 6 2 8 19" xfId="52120" xr:uid="{00000000-0005-0000-0000-00009FCB0000}"/>
    <cellStyle name="표준 6 2 8 2" xfId="52121" xr:uid="{00000000-0005-0000-0000-0000A0CB0000}"/>
    <cellStyle name="표준 6 2 8 3" xfId="52122" xr:uid="{00000000-0005-0000-0000-0000A1CB0000}"/>
    <cellStyle name="표준 6 2 8 4" xfId="52123" xr:uid="{00000000-0005-0000-0000-0000A2CB0000}"/>
    <cellStyle name="표준 6 2 8 5" xfId="52124" xr:uid="{00000000-0005-0000-0000-0000A3CB0000}"/>
    <cellStyle name="표준 6 2 8 6" xfId="52125" xr:uid="{00000000-0005-0000-0000-0000A4CB0000}"/>
    <cellStyle name="표준 6 2 8 7" xfId="52126" xr:uid="{00000000-0005-0000-0000-0000A5CB0000}"/>
    <cellStyle name="표준 6 2 8 8" xfId="52127" xr:uid="{00000000-0005-0000-0000-0000A6CB0000}"/>
    <cellStyle name="표준 6 2 8 9" xfId="52128" xr:uid="{00000000-0005-0000-0000-0000A7CB0000}"/>
    <cellStyle name="표준 6 2 9" xfId="52129" xr:uid="{00000000-0005-0000-0000-0000A8CB0000}"/>
    <cellStyle name="표준 6 2 9 10" xfId="52130" xr:uid="{00000000-0005-0000-0000-0000A9CB0000}"/>
    <cellStyle name="표준 6 2 9 11" xfId="52131" xr:uid="{00000000-0005-0000-0000-0000AACB0000}"/>
    <cellStyle name="표준 6 2 9 12" xfId="52132" xr:uid="{00000000-0005-0000-0000-0000ABCB0000}"/>
    <cellStyle name="표준 6 2 9 13" xfId="52133" xr:uid="{00000000-0005-0000-0000-0000ACCB0000}"/>
    <cellStyle name="표준 6 2 9 14" xfId="52134" xr:uid="{00000000-0005-0000-0000-0000ADCB0000}"/>
    <cellStyle name="표준 6 2 9 15" xfId="52135" xr:uid="{00000000-0005-0000-0000-0000AECB0000}"/>
    <cellStyle name="표준 6 2 9 16" xfId="52136" xr:uid="{00000000-0005-0000-0000-0000AFCB0000}"/>
    <cellStyle name="표준 6 2 9 17" xfId="52137" xr:uid="{00000000-0005-0000-0000-0000B0CB0000}"/>
    <cellStyle name="표준 6 2 9 18" xfId="52138" xr:uid="{00000000-0005-0000-0000-0000B1CB0000}"/>
    <cellStyle name="표준 6 2 9 19" xfId="52139" xr:uid="{00000000-0005-0000-0000-0000B2CB0000}"/>
    <cellStyle name="표준 6 2 9 2" xfId="52140" xr:uid="{00000000-0005-0000-0000-0000B3CB0000}"/>
    <cellStyle name="표준 6 2 9 3" xfId="52141" xr:uid="{00000000-0005-0000-0000-0000B4CB0000}"/>
    <cellStyle name="표준 6 2 9 4" xfId="52142" xr:uid="{00000000-0005-0000-0000-0000B5CB0000}"/>
    <cellStyle name="표준 6 2 9 5" xfId="52143" xr:uid="{00000000-0005-0000-0000-0000B6CB0000}"/>
    <cellStyle name="표준 6 2 9 6" xfId="52144" xr:uid="{00000000-0005-0000-0000-0000B7CB0000}"/>
    <cellStyle name="표준 6 2 9 7" xfId="52145" xr:uid="{00000000-0005-0000-0000-0000B8CB0000}"/>
    <cellStyle name="표준 6 2 9 8" xfId="52146" xr:uid="{00000000-0005-0000-0000-0000B9CB0000}"/>
    <cellStyle name="표준 6 2 9 9" xfId="52147" xr:uid="{00000000-0005-0000-0000-0000BACB0000}"/>
    <cellStyle name="표준 6 20" xfId="52148" xr:uid="{00000000-0005-0000-0000-0000BBCB0000}"/>
    <cellStyle name="표준 6 21" xfId="52149" xr:uid="{00000000-0005-0000-0000-0000BCCB0000}"/>
    <cellStyle name="표준 6 22" xfId="52150" xr:uid="{00000000-0005-0000-0000-0000BDCB0000}"/>
    <cellStyle name="표준 6 23" xfId="52151" xr:uid="{00000000-0005-0000-0000-0000BECB0000}"/>
    <cellStyle name="표준 6 24" xfId="52152" xr:uid="{00000000-0005-0000-0000-0000BFCB0000}"/>
    <cellStyle name="표준 6 25" xfId="52153" xr:uid="{00000000-0005-0000-0000-0000C0CB0000}"/>
    <cellStyle name="표준 6 26" xfId="52154" xr:uid="{00000000-0005-0000-0000-0000C1CB0000}"/>
    <cellStyle name="표준 6 27" xfId="52155" xr:uid="{00000000-0005-0000-0000-0000C2CB0000}"/>
    <cellStyle name="표준 6 28" xfId="52156" xr:uid="{00000000-0005-0000-0000-0000C3CB0000}"/>
    <cellStyle name="표준 6 3" xfId="52157" xr:uid="{00000000-0005-0000-0000-0000C4CB0000}"/>
    <cellStyle name="표준 6 3 10" xfId="52158" xr:uid="{00000000-0005-0000-0000-0000C5CB0000}"/>
    <cellStyle name="표준 6 3 11" xfId="52159" xr:uid="{00000000-0005-0000-0000-0000C6CB0000}"/>
    <cellStyle name="표준 6 3 12" xfId="52160" xr:uid="{00000000-0005-0000-0000-0000C7CB0000}"/>
    <cellStyle name="표준 6 3 13" xfId="52161" xr:uid="{00000000-0005-0000-0000-0000C8CB0000}"/>
    <cellStyle name="표준 6 3 14" xfId="52162" xr:uid="{00000000-0005-0000-0000-0000C9CB0000}"/>
    <cellStyle name="표준 6 3 15" xfId="52163" xr:uid="{00000000-0005-0000-0000-0000CACB0000}"/>
    <cellStyle name="표준 6 3 16" xfId="52164" xr:uid="{00000000-0005-0000-0000-0000CBCB0000}"/>
    <cellStyle name="표준 6 3 17" xfId="52165" xr:uid="{00000000-0005-0000-0000-0000CCCB0000}"/>
    <cellStyle name="표준 6 3 18" xfId="52166" xr:uid="{00000000-0005-0000-0000-0000CDCB0000}"/>
    <cellStyle name="표준 6 3 19" xfId="52167" xr:uid="{00000000-0005-0000-0000-0000CECB0000}"/>
    <cellStyle name="표준 6 3 2" xfId="52168" xr:uid="{00000000-0005-0000-0000-0000CFCB0000}"/>
    <cellStyle name="표준 6 3 2 10" xfId="52169" xr:uid="{00000000-0005-0000-0000-0000D0CB0000}"/>
    <cellStyle name="표준 6 3 2 11" xfId="52170" xr:uid="{00000000-0005-0000-0000-0000D1CB0000}"/>
    <cellStyle name="표준 6 3 2 12" xfId="52171" xr:uid="{00000000-0005-0000-0000-0000D2CB0000}"/>
    <cellStyle name="표준 6 3 2 13" xfId="52172" xr:uid="{00000000-0005-0000-0000-0000D3CB0000}"/>
    <cellStyle name="표준 6 3 2 14" xfId="52173" xr:uid="{00000000-0005-0000-0000-0000D4CB0000}"/>
    <cellStyle name="표준 6 3 2 15" xfId="52174" xr:uid="{00000000-0005-0000-0000-0000D5CB0000}"/>
    <cellStyle name="표준 6 3 2 16" xfId="52175" xr:uid="{00000000-0005-0000-0000-0000D6CB0000}"/>
    <cellStyle name="표준 6 3 2 17" xfId="52176" xr:uid="{00000000-0005-0000-0000-0000D7CB0000}"/>
    <cellStyle name="표준 6 3 2 18" xfId="52177" xr:uid="{00000000-0005-0000-0000-0000D8CB0000}"/>
    <cellStyle name="표준 6 3 2 19" xfId="52178" xr:uid="{00000000-0005-0000-0000-0000D9CB0000}"/>
    <cellStyle name="표준 6 3 2 2" xfId="52179" xr:uid="{00000000-0005-0000-0000-0000DACB0000}"/>
    <cellStyle name="표준 6 3 2 3" xfId="52180" xr:uid="{00000000-0005-0000-0000-0000DBCB0000}"/>
    <cellStyle name="표준 6 3 2 4" xfId="52181" xr:uid="{00000000-0005-0000-0000-0000DCCB0000}"/>
    <cellStyle name="표준 6 3 2 5" xfId="52182" xr:uid="{00000000-0005-0000-0000-0000DDCB0000}"/>
    <cellStyle name="표준 6 3 2 6" xfId="52183" xr:uid="{00000000-0005-0000-0000-0000DECB0000}"/>
    <cellStyle name="표준 6 3 2 7" xfId="52184" xr:uid="{00000000-0005-0000-0000-0000DFCB0000}"/>
    <cellStyle name="표준 6 3 2 8" xfId="52185" xr:uid="{00000000-0005-0000-0000-0000E0CB0000}"/>
    <cellStyle name="표준 6 3 2 9" xfId="52186" xr:uid="{00000000-0005-0000-0000-0000E1CB0000}"/>
    <cellStyle name="표준 6 3 20" xfId="52187" xr:uid="{00000000-0005-0000-0000-0000E2CB0000}"/>
    <cellStyle name="표준 6 3 21" xfId="52188" xr:uid="{00000000-0005-0000-0000-0000E3CB0000}"/>
    <cellStyle name="표준 6 3 22" xfId="52189" xr:uid="{00000000-0005-0000-0000-0000E4CB0000}"/>
    <cellStyle name="표준 6 3 23" xfId="52190" xr:uid="{00000000-0005-0000-0000-0000E5CB0000}"/>
    <cellStyle name="표준 6 3 24" xfId="52191" xr:uid="{00000000-0005-0000-0000-0000E6CB0000}"/>
    <cellStyle name="표준 6 3 25" xfId="52192" xr:uid="{00000000-0005-0000-0000-0000E7CB0000}"/>
    <cellStyle name="표준 6 3 26" xfId="52193" xr:uid="{00000000-0005-0000-0000-0000E8CB0000}"/>
    <cellStyle name="표준 6 3 3" xfId="52194" xr:uid="{00000000-0005-0000-0000-0000E9CB0000}"/>
    <cellStyle name="표준 6 3 3 10" xfId="52195" xr:uid="{00000000-0005-0000-0000-0000EACB0000}"/>
    <cellStyle name="표준 6 3 3 11" xfId="52196" xr:uid="{00000000-0005-0000-0000-0000EBCB0000}"/>
    <cellStyle name="표준 6 3 3 12" xfId="52197" xr:uid="{00000000-0005-0000-0000-0000ECCB0000}"/>
    <cellStyle name="표준 6 3 3 13" xfId="52198" xr:uid="{00000000-0005-0000-0000-0000EDCB0000}"/>
    <cellStyle name="표준 6 3 3 14" xfId="52199" xr:uid="{00000000-0005-0000-0000-0000EECB0000}"/>
    <cellStyle name="표준 6 3 3 15" xfId="52200" xr:uid="{00000000-0005-0000-0000-0000EFCB0000}"/>
    <cellStyle name="표준 6 3 3 16" xfId="52201" xr:uid="{00000000-0005-0000-0000-0000F0CB0000}"/>
    <cellStyle name="표준 6 3 3 17" xfId="52202" xr:uid="{00000000-0005-0000-0000-0000F1CB0000}"/>
    <cellStyle name="표준 6 3 3 18" xfId="52203" xr:uid="{00000000-0005-0000-0000-0000F2CB0000}"/>
    <cellStyle name="표준 6 3 3 19" xfId="52204" xr:uid="{00000000-0005-0000-0000-0000F3CB0000}"/>
    <cellStyle name="표준 6 3 3 2" xfId="52205" xr:uid="{00000000-0005-0000-0000-0000F4CB0000}"/>
    <cellStyle name="표준 6 3 3 3" xfId="52206" xr:uid="{00000000-0005-0000-0000-0000F5CB0000}"/>
    <cellStyle name="표준 6 3 3 4" xfId="52207" xr:uid="{00000000-0005-0000-0000-0000F6CB0000}"/>
    <cellStyle name="표준 6 3 3 5" xfId="52208" xr:uid="{00000000-0005-0000-0000-0000F7CB0000}"/>
    <cellStyle name="표준 6 3 3 6" xfId="52209" xr:uid="{00000000-0005-0000-0000-0000F8CB0000}"/>
    <cellStyle name="표준 6 3 3 7" xfId="52210" xr:uid="{00000000-0005-0000-0000-0000F9CB0000}"/>
    <cellStyle name="표준 6 3 3 8" xfId="52211" xr:uid="{00000000-0005-0000-0000-0000FACB0000}"/>
    <cellStyle name="표준 6 3 3 9" xfId="52212" xr:uid="{00000000-0005-0000-0000-0000FBCB0000}"/>
    <cellStyle name="표준 6 3 4" xfId="52213" xr:uid="{00000000-0005-0000-0000-0000FCCB0000}"/>
    <cellStyle name="표준 6 3 4 10" xfId="52214" xr:uid="{00000000-0005-0000-0000-0000FDCB0000}"/>
    <cellStyle name="표준 6 3 4 11" xfId="52215" xr:uid="{00000000-0005-0000-0000-0000FECB0000}"/>
    <cellStyle name="표준 6 3 4 12" xfId="52216" xr:uid="{00000000-0005-0000-0000-0000FFCB0000}"/>
    <cellStyle name="표준 6 3 4 13" xfId="52217" xr:uid="{00000000-0005-0000-0000-000000CC0000}"/>
    <cellStyle name="표준 6 3 4 14" xfId="52218" xr:uid="{00000000-0005-0000-0000-000001CC0000}"/>
    <cellStyle name="표준 6 3 4 15" xfId="52219" xr:uid="{00000000-0005-0000-0000-000002CC0000}"/>
    <cellStyle name="표준 6 3 4 16" xfId="52220" xr:uid="{00000000-0005-0000-0000-000003CC0000}"/>
    <cellStyle name="표준 6 3 4 17" xfId="52221" xr:uid="{00000000-0005-0000-0000-000004CC0000}"/>
    <cellStyle name="표준 6 3 4 18" xfId="52222" xr:uid="{00000000-0005-0000-0000-000005CC0000}"/>
    <cellStyle name="표준 6 3 4 19" xfId="52223" xr:uid="{00000000-0005-0000-0000-000006CC0000}"/>
    <cellStyle name="표준 6 3 4 2" xfId="52224" xr:uid="{00000000-0005-0000-0000-000007CC0000}"/>
    <cellStyle name="표준 6 3 4 3" xfId="52225" xr:uid="{00000000-0005-0000-0000-000008CC0000}"/>
    <cellStyle name="표준 6 3 4 4" xfId="52226" xr:uid="{00000000-0005-0000-0000-000009CC0000}"/>
    <cellStyle name="표준 6 3 4 5" xfId="52227" xr:uid="{00000000-0005-0000-0000-00000ACC0000}"/>
    <cellStyle name="표준 6 3 4 6" xfId="52228" xr:uid="{00000000-0005-0000-0000-00000BCC0000}"/>
    <cellStyle name="표준 6 3 4 7" xfId="52229" xr:uid="{00000000-0005-0000-0000-00000CCC0000}"/>
    <cellStyle name="표준 6 3 4 8" xfId="52230" xr:uid="{00000000-0005-0000-0000-00000DCC0000}"/>
    <cellStyle name="표준 6 3 4 9" xfId="52231" xr:uid="{00000000-0005-0000-0000-00000ECC0000}"/>
    <cellStyle name="표준 6 3 5" xfId="52232" xr:uid="{00000000-0005-0000-0000-00000FCC0000}"/>
    <cellStyle name="표준 6 3 5 10" xfId="52233" xr:uid="{00000000-0005-0000-0000-000010CC0000}"/>
    <cellStyle name="표준 6 3 5 11" xfId="52234" xr:uid="{00000000-0005-0000-0000-000011CC0000}"/>
    <cellStyle name="표준 6 3 5 12" xfId="52235" xr:uid="{00000000-0005-0000-0000-000012CC0000}"/>
    <cellStyle name="표준 6 3 5 13" xfId="52236" xr:uid="{00000000-0005-0000-0000-000013CC0000}"/>
    <cellStyle name="표준 6 3 5 14" xfId="52237" xr:uid="{00000000-0005-0000-0000-000014CC0000}"/>
    <cellStyle name="표준 6 3 5 15" xfId="52238" xr:uid="{00000000-0005-0000-0000-000015CC0000}"/>
    <cellStyle name="표준 6 3 5 16" xfId="52239" xr:uid="{00000000-0005-0000-0000-000016CC0000}"/>
    <cellStyle name="표준 6 3 5 17" xfId="52240" xr:uid="{00000000-0005-0000-0000-000017CC0000}"/>
    <cellStyle name="표준 6 3 5 18" xfId="52241" xr:uid="{00000000-0005-0000-0000-000018CC0000}"/>
    <cellStyle name="표준 6 3 5 19" xfId="52242" xr:uid="{00000000-0005-0000-0000-000019CC0000}"/>
    <cellStyle name="표준 6 3 5 2" xfId="52243" xr:uid="{00000000-0005-0000-0000-00001ACC0000}"/>
    <cellStyle name="표준 6 3 5 3" xfId="52244" xr:uid="{00000000-0005-0000-0000-00001BCC0000}"/>
    <cellStyle name="표준 6 3 5 4" xfId="52245" xr:uid="{00000000-0005-0000-0000-00001CCC0000}"/>
    <cellStyle name="표준 6 3 5 5" xfId="52246" xr:uid="{00000000-0005-0000-0000-00001DCC0000}"/>
    <cellStyle name="표준 6 3 5 6" xfId="52247" xr:uid="{00000000-0005-0000-0000-00001ECC0000}"/>
    <cellStyle name="표준 6 3 5 7" xfId="52248" xr:uid="{00000000-0005-0000-0000-00001FCC0000}"/>
    <cellStyle name="표준 6 3 5 8" xfId="52249" xr:uid="{00000000-0005-0000-0000-000020CC0000}"/>
    <cellStyle name="표준 6 3 5 9" xfId="52250" xr:uid="{00000000-0005-0000-0000-000021CC0000}"/>
    <cellStyle name="표준 6 3 6" xfId="52251" xr:uid="{00000000-0005-0000-0000-000022CC0000}"/>
    <cellStyle name="표준 6 3 6 10" xfId="52252" xr:uid="{00000000-0005-0000-0000-000023CC0000}"/>
    <cellStyle name="표준 6 3 6 11" xfId="52253" xr:uid="{00000000-0005-0000-0000-000024CC0000}"/>
    <cellStyle name="표준 6 3 6 12" xfId="52254" xr:uid="{00000000-0005-0000-0000-000025CC0000}"/>
    <cellStyle name="표준 6 3 6 13" xfId="52255" xr:uid="{00000000-0005-0000-0000-000026CC0000}"/>
    <cellStyle name="표준 6 3 6 14" xfId="52256" xr:uid="{00000000-0005-0000-0000-000027CC0000}"/>
    <cellStyle name="표준 6 3 6 15" xfId="52257" xr:uid="{00000000-0005-0000-0000-000028CC0000}"/>
    <cellStyle name="표준 6 3 6 16" xfId="52258" xr:uid="{00000000-0005-0000-0000-000029CC0000}"/>
    <cellStyle name="표준 6 3 6 17" xfId="52259" xr:uid="{00000000-0005-0000-0000-00002ACC0000}"/>
    <cellStyle name="표준 6 3 6 18" xfId="52260" xr:uid="{00000000-0005-0000-0000-00002BCC0000}"/>
    <cellStyle name="표준 6 3 6 19" xfId="52261" xr:uid="{00000000-0005-0000-0000-00002CCC0000}"/>
    <cellStyle name="표준 6 3 6 2" xfId="52262" xr:uid="{00000000-0005-0000-0000-00002DCC0000}"/>
    <cellStyle name="표준 6 3 6 3" xfId="52263" xr:uid="{00000000-0005-0000-0000-00002ECC0000}"/>
    <cellStyle name="표준 6 3 6 4" xfId="52264" xr:uid="{00000000-0005-0000-0000-00002FCC0000}"/>
    <cellStyle name="표준 6 3 6 5" xfId="52265" xr:uid="{00000000-0005-0000-0000-000030CC0000}"/>
    <cellStyle name="표준 6 3 6 6" xfId="52266" xr:uid="{00000000-0005-0000-0000-000031CC0000}"/>
    <cellStyle name="표준 6 3 6 7" xfId="52267" xr:uid="{00000000-0005-0000-0000-000032CC0000}"/>
    <cellStyle name="표준 6 3 6 8" xfId="52268" xr:uid="{00000000-0005-0000-0000-000033CC0000}"/>
    <cellStyle name="표준 6 3 6 9" xfId="52269" xr:uid="{00000000-0005-0000-0000-000034CC0000}"/>
    <cellStyle name="표준 6 3 7" xfId="52270" xr:uid="{00000000-0005-0000-0000-000035CC0000}"/>
    <cellStyle name="표준 6 3 7 10" xfId="52271" xr:uid="{00000000-0005-0000-0000-000036CC0000}"/>
    <cellStyle name="표준 6 3 7 11" xfId="52272" xr:uid="{00000000-0005-0000-0000-000037CC0000}"/>
    <cellStyle name="표준 6 3 7 12" xfId="52273" xr:uid="{00000000-0005-0000-0000-000038CC0000}"/>
    <cellStyle name="표준 6 3 7 13" xfId="52274" xr:uid="{00000000-0005-0000-0000-000039CC0000}"/>
    <cellStyle name="표준 6 3 7 14" xfId="52275" xr:uid="{00000000-0005-0000-0000-00003ACC0000}"/>
    <cellStyle name="표준 6 3 7 15" xfId="52276" xr:uid="{00000000-0005-0000-0000-00003BCC0000}"/>
    <cellStyle name="표준 6 3 7 16" xfId="52277" xr:uid="{00000000-0005-0000-0000-00003CCC0000}"/>
    <cellStyle name="표준 6 3 7 17" xfId="52278" xr:uid="{00000000-0005-0000-0000-00003DCC0000}"/>
    <cellStyle name="표준 6 3 7 18" xfId="52279" xr:uid="{00000000-0005-0000-0000-00003ECC0000}"/>
    <cellStyle name="표준 6 3 7 19" xfId="52280" xr:uid="{00000000-0005-0000-0000-00003FCC0000}"/>
    <cellStyle name="표준 6 3 7 2" xfId="52281" xr:uid="{00000000-0005-0000-0000-000040CC0000}"/>
    <cellStyle name="표준 6 3 7 3" xfId="52282" xr:uid="{00000000-0005-0000-0000-000041CC0000}"/>
    <cellStyle name="표준 6 3 7 4" xfId="52283" xr:uid="{00000000-0005-0000-0000-000042CC0000}"/>
    <cellStyle name="표준 6 3 7 5" xfId="52284" xr:uid="{00000000-0005-0000-0000-000043CC0000}"/>
    <cellStyle name="표준 6 3 7 6" xfId="52285" xr:uid="{00000000-0005-0000-0000-000044CC0000}"/>
    <cellStyle name="표준 6 3 7 7" xfId="52286" xr:uid="{00000000-0005-0000-0000-000045CC0000}"/>
    <cellStyle name="표준 6 3 7 8" xfId="52287" xr:uid="{00000000-0005-0000-0000-000046CC0000}"/>
    <cellStyle name="표준 6 3 7 9" xfId="52288" xr:uid="{00000000-0005-0000-0000-000047CC0000}"/>
    <cellStyle name="표준 6 3 8" xfId="52289" xr:uid="{00000000-0005-0000-0000-000048CC0000}"/>
    <cellStyle name="표준 6 3 8 10" xfId="52290" xr:uid="{00000000-0005-0000-0000-000049CC0000}"/>
    <cellStyle name="표준 6 3 8 11" xfId="52291" xr:uid="{00000000-0005-0000-0000-00004ACC0000}"/>
    <cellStyle name="표준 6 3 8 12" xfId="52292" xr:uid="{00000000-0005-0000-0000-00004BCC0000}"/>
    <cellStyle name="표준 6 3 8 13" xfId="52293" xr:uid="{00000000-0005-0000-0000-00004CCC0000}"/>
    <cellStyle name="표준 6 3 8 14" xfId="52294" xr:uid="{00000000-0005-0000-0000-00004DCC0000}"/>
    <cellStyle name="표준 6 3 8 15" xfId="52295" xr:uid="{00000000-0005-0000-0000-00004ECC0000}"/>
    <cellStyle name="표준 6 3 8 16" xfId="52296" xr:uid="{00000000-0005-0000-0000-00004FCC0000}"/>
    <cellStyle name="표준 6 3 8 17" xfId="52297" xr:uid="{00000000-0005-0000-0000-000050CC0000}"/>
    <cellStyle name="표준 6 3 8 18" xfId="52298" xr:uid="{00000000-0005-0000-0000-000051CC0000}"/>
    <cellStyle name="표준 6 3 8 19" xfId="52299" xr:uid="{00000000-0005-0000-0000-000052CC0000}"/>
    <cellStyle name="표준 6 3 8 2" xfId="52300" xr:uid="{00000000-0005-0000-0000-000053CC0000}"/>
    <cellStyle name="표준 6 3 8 3" xfId="52301" xr:uid="{00000000-0005-0000-0000-000054CC0000}"/>
    <cellStyle name="표준 6 3 8 4" xfId="52302" xr:uid="{00000000-0005-0000-0000-000055CC0000}"/>
    <cellStyle name="표준 6 3 8 5" xfId="52303" xr:uid="{00000000-0005-0000-0000-000056CC0000}"/>
    <cellStyle name="표준 6 3 8 6" xfId="52304" xr:uid="{00000000-0005-0000-0000-000057CC0000}"/>
    <cellStyle name="표준 6 3 8 7" xfId="52305" xr:uid="{00000000-0005-0000-0000-000058CC0000}"/>
    <cellStyle name="표준 6 3 8 8" xfId="52306" xr:uid="{00000000-0005-0000-0000-000059CC0000}"/>
    <cellStyle name="표준 6 3 8 9" xfId="52307" xr:uid="{00000000-0005-0000-0000-00005ACC0000}"/>
    <cellStyle name="표준 6 3 9" xfId="52308" xr:uid="{00000000-0005-0000-0000-00005BCC0000}"/>
    <cellStyle name="표준 6 4" xfId="52309" xr:uid="{00000000-0005-0000-0000-00005CCC0000}"/>
    <cellStyle name="표준 6 4 10" xfId="52310" xr:uid="{00000000-0005-0000-0000-00005DCC0000}"/>
    <cellStyle name="표준 6 4 11" xfId="52311" xr:uid="{00000000-0005-0000-0000-00005ECC0000}"/>
    <cellStyle name="표준 6 4 12" xfId="52312" xr:uid="{00000000-0005-0000-0000-00005FCC0000}"/>
    <cellStyle name="표준 6 4 13" xfId="52313" xr:uid="{00000000-0005-0000-0000-000060CC0000}"/>
    <cellStyle name="표준 6 4 14" xfId="52314" xr:uid="{00000000-0005-0000-0000-000061CC0000}"/>
    <cellStyle name="표준 6 4 15" xfId="52315" xr:uid="{00000000-0005-0000-0000-000062CC0000}"/>
    <cellStyle name="표준 6 4 16" xfId="52316" xr:uid="{00000000-0005-0000-0000-000063CC0000}"/>
    <cellStyle name="표준 6 4 17" xfId="52317" xr:uid="{00000000-0005-0000-0000-000064CC0000}"/>
    <cellStyle name="표준 6 4 18" xfId="52318" xr:uid="{00000000-0005-0000-0000-000065CC0000}"/>
    <cellStyle name="표준 6 4 19" xfId="52319" xr:uid="{00000000-0005-0000-0000-000066CC0000}"/>
    <cellStyle name="표준 6 4 2" xfId="52320" xr:uid="{00000000-0005-0000-0000-000067CC0000}"/>
    <cellStyle name="표준 6 4 3" xfId="52321" xr:uid="{00000000-0005-0000-0000-000068CC0000}"/>
    <cellStyle name="표준 6 4 4" xfId="52322" xr:uid="{00000000-0005-0000-0000-000069CC0000}"/>
    <cellStyle name="표준 6 4 5" xfId="52323" xr:uid="{00000000-0005-0000-0000-00006ACC0000}"/>
    <cellStyle name="표준 6 4 6" xfId="52324" xr:uid="{00000000-0005-0000-0000-00006BCC0000}"/>
    <cellStyle name="표준 6 4 7" xfId="52325" xr:uid="{00000000-0005-0000-0000-00006CCC0000}"/>
    <cellStyle name="표준 6 4 8" xfId="52326" xr:uid="{00000000-0005-0000-0000-00006DCC0000}"/>
    <cellStyle name="표준 6 4 9" xfId="52327" xr:uid="{00000000-0005-0000-0000-00006ECC0000}"/>
    <cellStyle name="표준 6 5" xfId="52328" xr:uid="{00000000-0005-0000-0000-00006FCC0000}"/>
    <cellStyle name="표준 6 5 10" xfId="52329" xr:uid="{00000000-0005-0000-0000-000070CC0000}"/>
    <cellStyle name="표준 6 5 11" xfId="52330" xr:uid="{00000000-0005-0000-0000-000071CC0000}"/>
    <cellStyle name="표준 6 5 12" xfId="52331" xr:uid="{00000000-0005-0000-0000-000072CC0000}"/>
    <cellStyle name="표준 6 5 13" xfId="52332" xr:uid="{00000000-0005-0000-0000-000073CC0000}"/>
    <cellStyle name="표준 6 5 14" xfId="52333" xr:uid="{00000000-0005-0000-0000-000074CC0000}"/>
    <cellStyle name="표준 6 5 15" xfId="52334" xr:uid="{00000000-0005-0000-0000-000075CC0000}"/>
    <cellStyle name="표준 6 5 16" xfId="52335" xr:uid="{00000000-0005-0000-0000-000076CC0000}"/>
    <cellStyle name="표준 6 5 17" xfId="52336" xr:uid="{00000000-0005-0000-0000-000077CC0000}"/>
    <cellStyle name="표준 6 5 18" xfId="52337" xr:uid="{00000000-0005-0000-0000-000078CC0000}"/>
    <cellStyle name="표준 6 5 19" xfId="52338" xr:uid="{00000000-0005-0000-0000-000079CC0000}"/>
    <cellStyle name="표준 6 5 2" xfId="52339" xr:uid="{00000000-0005-0000-0000-00007ACC0000}"/>
    <cellStyle name="표준 6 5 3" xfId="52340" xr:uid="{00000000-0005-0000-0000-00007BCC0000}"/>
    <cellStyle name="표준 6 5 4" xfId="52341" xr:uid="{00000000-0005-0000-0000-00007CCC0000}"/>
    <cellStyle name="표준 6 5 5" xfId="52342" xr:uid="{00000000-0005-0000-0000-00007DCC0000}"/>
    <cellStyle name="표준 6 5 6" xfId="52343" xr:uid="{00000000-0005-0000-0000-00007ECC0000}"/>
    <cellStyle name="표준 6 5 7" xfId="52344" xr:uid="{00000000-0005-0000-0000-00007FCC0000}"/>
    <cellStyle name="표준 6 5 8" xfId="52345" xr:uid="{00000000-0005-0000-0000-000080CC0000}"/>
    <cellStyle name="표준 6 5 9" xfId="52346" xr:uid="{00000000-0005-0000-0000-000081CC0000}"/>
    <cellStyle name="표준 6 6" xfId="52347" xr:uid="{00000000-0005-0000-0000-000082CC0000}"/>
    <cellStyle name="표준 6 6 10" xfId="52348" xr:uid="{00000000-0005-0000-0000-000083CC0000}"/>
    <cellStyle name="표준 6 6 11" xfId="52349" xr:uid="{00000000-0005-0000-0000-000084CC0000}"/>
    <cellStyle name="표준 6 6 12" xfId="52350" xr:uid="{00000000-0005-0000-0000-000085CC0000}"/>
    <cellStyle name="표준 6 6 13" xfId="52351" xr:uid="{00000000-0005-0000-0000-000086CC0000}"/>
    <cellStyle name="표준 6 6 14" xfId="52352" xr:uid="{00000000-0005-0000-0000-000087CC0000}"/>
    <cellStyle name="표준 6 6 15" xfId="52353" xr:uid="{00000000-0005-0000-0000-000088CC0000}"/>
    <cellStyle name="표준 6 6 16" xfId="52354" xr:uid="{00000000-0005-0000-0000-000089CC0000}"/>
    <cellStyle name="표준 6 6 17" xfId="52355" xr:uid="{00000000-0005-0000-0000-00008ACC0000}"/>
    <cellStyle name="표준 6 6 18" xfId="52356" xr:uid="{00000000-0005-0000-0000-00008BCC0000}"/>
    <cellStyle name="표준 6 6 19" xfId="52357" xr:uid="{00000000-0005-0000-0000-00008CCC0000}"/>
    <cellStyle name="표준 6 6 2" xfId="52358" xr:uid="{00000000-0005-0000-0000-00008DCC0000}"/>
    <cellStyle name="표준 6 6 3" xfId="52359" xr:uid="{00000000-0005-0000-0000-00008ECC0000}"/>
    <cellStyle name="표준 6 6 4" xfId="52360" xr:uid="{00000000-0005-0000-0000-00008FCC0000}"/>
    <cellStyle name="표준 6 6 5" xfId="52361" xr:uid="{00000000-0005-0000-0000-000090CC0000}"/>
    <cellStyle name="표준 6 6 6" xfId="52362" xr:uid="{00000000-0005-0000-0000-000091CC0000}"/>
    <cellStyle name="표준 6 6 7" xfId="52363" xr:uid="{00000000-0005-0000-0000-000092CC0000}"/>
    <cellStyle name="표준 6 6 8" xfId="52364" xr:uid="{00000000-0005-0000-0000-000093CC0000}"/>
    <cellStyle name="표준 6 6 9" xfId="52365" xr:uid="{00000000-0005-0000-0000-000094CC0000}"/>
    <cellStyle name="표준 6 7" xfId="52366" xr:uid="{00000000-0005-0000-0000-000095CC0000}"/>
    <cellStyle name="표준 6 7 10" xfId="52367" xr:uid="{00000000-0005-0000-0000-000096CC0000}"/>
    <cellStyle name="표준 6 7 11" xfId="52368" xr:uid="{00000000-0005-0000-0000-000097CC0000}"/>
    <cellStyle name="표준 6 7 12" xfId="52369" xr:uid="{00000000-0005-0000-0000-000098CC0000}"/>
    <cellStyle name="표준 6 7 13" xfId="52370" xr:uid="{00000000-0005-0000-0000-000099CC0000}"/>
    <cellStyle name="표준 6 7 14" xfId="52371" xr:uid="{00000000-0005-0000-0000-00009ACC0000}"/>
    <cellStyle name="표준 6 7 15" xfId="52372" xr:uid="{00000000-0005-0000-0000-00009BCC0000}"/>
    <cellStyle name="표준 6 7 16" xfId="52373" xr:uid="{00000000-0005-0000-0000-00009CCC0000}"/>
    <cellStyle name="표준 6 7 17" xfId="52374" xr:uid="{00000000-0005-0000-0000-00009DCC0000}"/>
    <cellStyle name="표준 6 7 18" xfId="52375" xr:uid="{00000000-0005-0000-0000-00009ECC0000}"/>
    <cellStyle name="표준 6 7 19" xfId="52376" xr:uid="{00000000-0005-0000-0000-00009FCC0000}"/>
    <cellStyle name="표준 6 7 2" xfId="52377" xr:uid="{00000000-0005-0000-0000-0000A0CC0000}"/>
    <cellStyle name="표준 6 7 3" xfId="52378" xr:uid="{00000000-0005-0000-0000-0000A1CC0000}"/>
    <cellStyle name="표준 6 7 4" xfId="52379" xr:uid="{00000000-0005-0000-0000-0000A2CC0000}"/>
    <cellStyle name="표준 6 7 5" xfId="52380" xr:uid="{00000000-0005-0000-0000-0000A3CC0000}"/>
    <cellStyle name="표준 6 7 6" xfId="52381" xr:uid="{00000000-0005-0000-0000-0000A4CC0000}"/>
    <cellStyle name="표준 6 7 7" xfId="52382" xr:uid="{00000000-0005-0000-0000-0000A5CC0000}"/>
    <cellStyle name="표준 6 7 8" xfId="52383" xr:uid="{00000000-0005-0000-0000-0000A6CC0000}"/>
    <cellStyle name="표준 6 7 9" xfId="52384" xr:uid="{00000000-0005-0000-0000-0000A7CC0000}"/>
    <cellStyle name="표준 6 8" xfId="52385" xr:uid="{00000000-0005-0000-0000-0000A8CC0000}"/>
    <cellStyle name="표준 6 8 10" xfId="52386" xr:uid="{00000000-0005-0000-0000-0000A9CC0000}"/>
    <cellStyle name="표준 6 8 11" xfId="52387" xr:uid="{00000000-0005-0000-0000-0000AACC0000}"/>
    <cellStyle name="표준 6 8 12" xfId="52388" xr:uid="{00000000-0005-0000-0000-0000ABCC0000}"/>
    <cellStyle name="표준 6 8 13" xfId="52389" xr:uid="{00000000-0005-0000-0000-0000ACCC0000}"/>
    <cellStyle name="표준 6 8 14" xfId="52390" xr:uid="{00000000-0005-0000-0000-0000ADCC0000}"/>
    <cellStyle name="표준 6 8 15" xfId="52391" xr:uid="{00000000-0005-0000-0000-0000AECC0000}"/>
    <cellStyle name="표준 6 8 16" xfId="52392" xr:uid="{00000000-0005-0000-0000-0000AFCC0000}"/>
    <cellStyle name="표준 6 8 17" xfId="52393" xr:uid="{00000000-0005-0000-0000-0000B0CC0000}"/>
    <cellStyle name="표준 6 8 18" xfId="52394" xr:uid="{00000000-0005-0000-0000-0000B1CC0000}"/>
    <cellStyle name="표준 6 8 19" xfId="52395" xr:uid="{00000000-0005-0000-0000-0000B2CC0000}"/>
    <cellStyle name="표준 6 8 2" xfId="52396" xr:uid="{00000000-0005-0000-0000-0000B3CC0000}"/>
    <cellStyle name="표준 6 8 3" xfId="52397" xr:uid="{00000000-0005-0000-0000-0000B4CC0000}"/>
    <cellStyle name="표준 6 8 4" xfId="52398" xr:uid="{00000000-0005-0000-0000-0000B5CC0000}"/>
    <cellStyle name="표준 6 8 5" xfId="52399" xr:uid="{00000000-0005-0000-0000-0000B6CC0000}"/>
    <cellStyle name="표준 6 8 6" xfId="52400" xr:uid="{00000000-0005-0000-0000-0000B7CC0000}"/>
    <cellStyle name="표준 6 8 7" xfId="52401" xr:uid="{00000000-0005-0000-0000-0000B8CC0000}"/>
    <cellStyle name="표준 6 8 8" xfId="52402" xr:uid="{00000000-0005-0000-0000-0000B9CC0000}"/>
    <cellStyle name="표준 6 8 9" xfId="52403" xr:uid="{00000000-0005-0000-0000-0000BACC0000}"/>
    <cellStyle name="표준 6 9" xfId="52404" xr:uid="{00000000-0005-0000-0000-0000BBCC0000}"/>
    <cellStyle name="표준 6 9 10" xfId="52405" xr:uid="{00000000-0005-0000-0000-0000BCCC0000}"/>
    <cellStyle name="표준 6 9 11" xfId="52406" xr:uid="{00000000-0005-0000-0000-0000BDCC0000}"/>
    <cellStyle name="표준 6 9 12" xfId="52407" xr:uid="{00000000-0005-0000-0000-0000BECC0000}"/>
    <cellStyle name="표준 6 9 13" xfId="52408" xr:uid="{00000000-0005-0000-0000-0000BFCC0000}"/>
    <cellStyle name="표준 6 9 14" xfId="52409" xr:uid="{00000000-0005-0000-0000-0000C0CC0000}"/>
    <cellStyle name="표준 6 9 15" xfId="52410" xr:uid="{00000000-0005-0000-0000-0000C1CC0000}"/>
    <cellStyle name="표준 6 9 16" xfId="52411" xr:uid="{00000000-0005-0000-0000-0000C2CC0000}"/>
    <cellStyle name="표준 6 9 17" xfId="52412" xr:uid="{00000000-0005-0000-0000-0000C3CC0000}"/>
    <cellStyle name="표준 6 9 18" xfId="52413" xr:uid="{00000000-0005-0000-0000-0000C4CC0000}"/>
    <cellStyle name="표준 6 9 19" xfId="52414" xr:uid="{00000000-0005-0000-0000-0000C5CC0000}"/>
    <cellStyle name="표준 6 9 2" xfId="52415" xr:uid="{00000000-0005-0000-0000-0000C6CC0000}"/>
    <cellStyle name="표준 6 9 3" xfId="52416" xr:uid="{00000000-0005-0000-0000-0000C7CC0000}"/>
    <cellStyle name="표준 6 9 4" xfId="52417" xr:uid="{00000000-0005-0000-0000-0000C8CC0000}"/>
    <cellStyle name="표준 6 9 5" xfId="52418" xr:uid="{00000000-0005-0000-0000-0000C9CC0000}"/>
    <cellStyle name="표준 6 9 6" xfId="52419" xr:uid="{00000000-0005-0000-0000-0000CACC0000}"/>
    <cellStyle name="표준 6 9 7" xfId="52420" xr:uid="{00000000-0005-0000-0000-0000CBCC0000}"/>
    <cellStyle name="표준 6 9 8" xfId="52421" xr:uid="{00000000-0005-0000-0000-0000CCCC0000}"/>
    <cellStyle name="표준 6 9 9" xfId="52422" xr:uid="{00000000-0005-0000-0000-0000CDCC0000}"/>
    <cellStyle name="표준 7" xfId="52423" xr:uid="{00000000-0005-0000-0000-0000CECC0000}"/>
    <cellStyle name="표준 7 2" xfId="52424" xr:uid="{00000000-0005-0000-0000-0000CFCC0000}"/>
    <cellStyle name="표준 7 2 10" xfId="52425" xr:uid="{00000000-0005-0000-0000-0000D0CC0000}"/>
    <cellStyle name="표준 7 2 11" xfId="52426" xr:uid="{00000000-0005-0000-0000-0000D1CC0000}"/>
    <cellStyle name="표준 7 2 12" xfId="52427" xr:uid="{00000000-0005-0000-0000-0000D2CC0000}"/>
    <cellStyle name="표준 7 2 13" xfId="52428" xr:uid="{00000000-0005-0000-0000-0000D3CC0000}"/>
    <cellStyle name="표준 7 2 14" xfId="52429" xr:uid="{00000000-0005-0000-0000-0000D4CC0000}"/>
    <cellStyle name="표준 7 2 15" xfId="52430" xr:uid="{00000000-0005-0000-0000-0000D5CC0000}"/>
    <cellStyle name="표준 7 2 16" xfId="52431" xr:uid="{00000000-0005-0000-0000-0000D6CC0000}"/>
    <cellStyle name="표준 7 2 17" xfId="52432" xr:uid="{00000000-0005-0000-0000-0000D7CC0000}"/>
    <cellStyle name="표준 7 2 18" xfId="52433" xr:uid="{00000000-0005-0000-0000-0000D8CC0000}"/>
    <cellStyle name="표준 7 2 19" xfId="52434" xr:uid="{00000000-0005-0000-0000-0000D9CC0000}"/>
    <cellStyle name="표준 7 2 2" xfId="52435" xr:uid="{00000000-0005-0000-0000-0000DACC0000}"/>
    <cellStyle name="표준 7 2 2 10" xfId="52436" xr:uid="{00000000-0005-0000-0000-0000DBCC0000}"/>
    <cellStyle name="표준 7 2 2 11" xfId="52437" xr:uid="{00000000-0005-0000-0000-0000DCCC0000}"/>
    <cellStyle name="표준 7 2 2 12" xfId="52438" xr:uid="{00000000-0005-0000-0000-0000DDCC0000}"/>
    <cellStyle name="표준 7 2 2 13" xfId="52439" xr:uid="{00000000-0005-0000-0000-0000DECC0000}"/>
    <cellStyle name="표준 7 2 2 14" xfId="52440" xr:uid="{00000000-0005-0000-0000-0000DFCC0000}"/>
    <cellStyle name="표준 7 2 2 15" xfId="52441" xr:uid="{00000000-0005-0000-0000-0000E0CC0000}"/>
    <cellStyle name="표준 7 2 2 16" xfId="52442" xr:uid="{00000000-0005-0000-0000-0000E1CC0000}"/>
    <cellStyle name="표준 7 2 2 17" xfId="52443" xr:uid="{00000000-0005-0000-0000-0000E2CC0000}"/>
    <cellStyle name="표준 7 2 2 18" xfId="52444" xr:uid="{00000000-0005-0000-0000-0000E3CC0000}"/>
    <cellStyle name="표준 7 2 2 19" xfId="52445" xr:uid="{00000000-0005-0000-0000-0000E4CC0000}"/>
    <cellStyle name="표준 7 2 2 2" xfId="52446" xr:uid="{00000000-0005-0000-0000-0000E5CC0000}"/>
    <cellStyle name="표준 7 2 2 3" xfId="52447" xr:uid="{00000000-0005-0000-0000-0000E6CC0000}"/>
    <cellStyle name="표준 7 2 2 4" xfId="52448" xr:uid="{00000000-0005-0000-0000-0000E7CC0000}"/>
    <cellStyle name="표준 7 2 2 5" xfId="52449" xr:uid="{00000000-0005-0000-0000-0000E8CC0000}"/>
    <cellStyle name="표준 7 2 2 6" xfId="52450" xr:uid="{00000000-0005-0000-0000-0000E9CC0000}"/>
    <cellStyle name="표준 7 2 2 7" xfId="52451" xr:uid="{00000000-0005-0000-0000-0000EACC0000}"/>
    <cellStyle name="표준 7 2 2 8" xfId="52452" xr:uid="{00000000-0005-0000-0000-0000EBCC0000}"/>
    <cellStyle name="표준 7 2 2 9" xfId="52453" xr:uid="{00000000-0005-0000-0000-0000ECCC0000}"/>
    <cellStyle name="표준 7 2 20" xfId="52454" xr:uid="{00000000-0005-0000-0000-0000EDCC0000}"/>
    <cellStyle name="표준 7 2 21" xfId="52455" xr:uid="{00000000-0005-0000-0000-0000EECC0000}"/>
    <cellStyle name="표준 7 2 22" xfId="52456" xr:uid="{00000000-0005-0000-0000-0000EFCC0000}"/>
    <cellStyle name="표준 7 2 23" xfId="52457" xr:uid="{00000000-0005-0000-0000-0000F0CC0000}"/>
    <cellStyle name="표준 7 2 24" xfId="52458" xr:uid="{00000000-0005-0000-0000-0000F1CC0000}"/>
    <cellStyle name="표준 7 2 25" xfId="52459" xr:uid="{00000000-0005-0000-0000-0000F2CC0000}"/>
    <cellStyle name="표준 7 2 26" xfId="52460" xr:uid="{00000000-0005-0000-0000-0000F3CC0000}"/>
    <cellStyle name="표준 7 2 3" xfId="52461" xr:uid="{00000000-0005-0000-0000-0000F4CC0000}"/>
    <cellStyle name="표준 7 2 3 10" xfId="52462" xr:uid="{00000000-0005-0000-0000-0000F5CC0000}"/>
    <cellStyle name="표준 7 2 3 11" xfId="52463" xr:uid="{00000000-0005-0000-0000-0000F6CC0000}"/>
    <cellStyle name="표준 7 2 3 12" xfId="52464" xr:uid="{00000000-0005-0000-0000-0000F7CC0000}"/>
    <cellStyle name="표준 7 2 3 13" xfId="52465" xr:uid="{00000000-0005-0000-0000-0000F8CC0000}"/>
    <cellStyle name="표준 7 2 3 14" xfId="52466" xr:uid="{00000000-0005-0000-0000-0000F9CC0000}"/>
    <cellStyle name="표준 7 2 3 15" xfId="52467" xr:uid="{00000000-0005-0000-0000-0000FACC0000}"/>
    <cellStyle name="표준 7 2 3 16" xfId="52468" xr:uid="{00000000-0005-0000-0000-0000FBCC0000}"/>
    <cellStyle name="표준 7 2 3 17" xfId="52469" xr:uid="{00000000-0005-0000-0000-0000FCCC0000}"/>
    <cellStyle name="표준 7 2 3 18" xfId="52470" xr:uid="{00000000-0005-0000-0000-0000FDCC0000}"/>
    <cellStyle name="표준 7 2 3 19" xfId="52471" xr:uid="{00000000-0005-0000-0000-0000FECC0000}"/>
    <cellStyle name="표준 7 2 3 2" xfId="52472" xr:uid="{00000000-0005-0000-0000-0000FFCC0000}"/>
    <cellStyle name="표준 7 2 3 3" xfId="52473" xr:uid="{00000000-0005-0000-0000-000000CD0000}"/>
    <cellStyle name="표준 7 2 3 4" xfId="52474" xr:uid="{00000000-0005-0000-0000-000001CD0000}"/>
    <cellStyle name="표준 7 2 3 5" xfId="52475" xr:uid="{00000000-0005-0000-0000-000002CD0000}"/>
    <cellStyle name="표준 7 2 3 6" xfId="52476" xr:uid="{00000000-0005-0000-0000-000003CD0000}"/>
    <cellStyle name="표준 7 2 3 7" xfId="52477" xr:uid="{00000000-0005-0000-0000-000004CD0000}"/>
    <cellStyle name="표준 7 2 3 8" xfId="52478" xr:uid="{00000000-0005-0000-0000-000005CD0000}"/>
    <cellStyle name="표준 7 2 3 9" xfId="52479" xr:uid="{00000000-0005-0000-0000-000006CD0000}"/>
    <cellStyle name="표준 7 2 4" xfId="52480" xr:uid="{00000000-0005-0000-0000-000007CD0000}"/>
    <cellStyle name="표준 7 2 4 10" xfId="52481" xr:uid="{00000000-0005-0000-0000-000008CD0000}"/>
    <cellStyle name="표준 7 2 4 11" xfId="52482" xr:uid="{00000000-0005-0000-0000-000009CD0000}"/>
    <cellStyle name="표준 7 2 4 12" xfId="52483" xr:uid="{00000000-0005-0000-0000-00000ACD0000}"/>
    <cellStyle name="표준 7 2 4 13" xfId="52484" xr:uid="{00000000-0005-0000-0000-00000BCD0000}"/>
    <cellStyle name="표준 7 2 4 14" xfId="52485" xr:uid="{00000000-0005-0000-0000-00000CCD0000}"/>
    <cellStyle name="표준 7 2 4 15" xfId="52486" xr:uid="{00000000-0005-0000-0000-00000DCD0000}"/>
    <cellStyle name="표준 7 2 4 16" xfId="52487" xr:uid="{00000000-0005-0000-0000-00000ECD0000}"/>
    <cellStyle name="표준 7 2 4 17" xfId="52488" xr:uid="{00000000-0005-0000-0000-00000FCD0000}"/>
    <cellStyle name="표준 7 2 4 18" xfId="52489" xr:uid="{00000000-0005-0000-0000-000010CD0000}"/>
    <cellStyle name="표준 7 2 4 19" xfId="52490" xr:uid="{00000000-0005-0000-0000-000011CD0000}"/>
    <cellStyle name="표준 7 2 4 2" xfId="52491" xr:uid="{00000000-0005-0000-0000-000012CD0000}"/>
    <cellStyle name="표준 7 2 4 3" xfId="52492" xr:uid="{00000000-0005-0000-0000-000013CD0000}"/>
    <cellStyle name="표준 7 2 4 4" xfId="52493" xr:uid="{00000000-0005-0000-0000-000014CD0000}"/>
    <cellStyle name="표준 7 2 4 5" xfId="52494" xr:uid="{00000000-0005-0000-0000-000015CD0000}"/>
    <cellStyle name="표준 7 2 4 6" xfId="52495" xr:uid="{00000000-0005-0000-0000-000016CD0000}"/>
    <cellStyle name="표준 7 2 4 7" xfId="52496" xr:uid="{00000000-0005-0000-0000-000017CD0000}"/>
    <cellStyle name="표준 7 2 4 8" xfId="52497" xr:uid="{00000000-0005-0000-0000-000018CD0000}"/>
    <cellStyle name="표준 7 2 4 9" xfId="52498" xr:uid="{00000000-0005-0000-0000-000019CD0000}"/>
    <cellStyle name="표준 7 2 5" xfId="52499" xr:uid="{00000000-0005-0000-0000-00001ACD0000}"/>
    <cellStyle name="표준 7 2 5 10" xfId="52500" xr:uid="{00000000-0005-0000-0000-00001BCD0000}"/>
    <cellStyle name="표준 7 2 5 11" xfId="52501" xr:uid="{00000000-0005-0000-0000-00001CCD0000}"/>
    <cellStyle name="표준 7 2 5 12" xfId="52502" xr:uid="{00000000-0005-0000-0000-00001DCD0000}"/>
    <cellStyle name="표준 7 2 5 13" xfId="52503" xr:uid="{00000000-0005-0000-0000-00001ECD0000}"/>
    <cellStyle name="표준 7 2 5 14" xfId="52504" xr:uid="{00000000-0005-0000-0000-00001FCD0000}"/>
    <cellStyle name="표준 7 2 5 15" xfId="52505" xr:uid="{00000000-0005-0000-0000-000020CD0000}"/>
    <cellStyle name="표준 7 2 5 16" xfId="52506" xr:uid="{00000000-0005-0000-0000-000021CD0000}"/>
    <cellStyle name="표준 7 2 5 17" xfId="52507" xr:uid="{00000000-0005-0000-0000-000022CD0000}"/>
    <cellStyle name="표준 7 2 5 18" xfId="52508" xr:uid="{00000000-0005-0000-0000-000023CD0000}"/>
    <cellStyle name="표준 7 2 5 19" xfId="52509" xr:uid="{00000000-0005-0000-0000-000024CD0000}"/>
    <cellStyle name="표준 7 2 5 2" xfId="52510" xr:uid="{00000000-0005-0000-0000-000025CD0000}"/>
    <cellStyle name="표준 7 2 5 3" xfId="52511" xr:uid="{00000000-0005-0000-0000-000026CD0000}"/>
    <cellStyle name="표준 7 2 5 4" xfId="52512" xr:uid="{00000000-0005-0000-0000-000027CD0000}"/>
    <cellStyle name="표준 7 2 5 5" xfId="52513" xr:uid="{00000000-0005-0000-0000-000028CD0000}"/>
    <cellStyle name="표준 7 2 5 6" xfId="52514" xr:uid="{00000000-0005-0000-0000-000029CD0000}"/>
    <cellStyle name="표준 7 2 5 7" xfId="52515" xr:uid="{00000000-0005-0000-0000-00002ACD0000}"/>
    <cellStyle name="표준 7 2 5 8" xfId="52516" xr:uid="{00000000-0005-0000-0000-00002BCD0000}"/>
    <cellStyle name="표준 7 2 5 9" xfId="52517" xr:uid="{00000000-0005-0000-0000-00002CCD0000}"/>
    <cellStyle name="표준 7 2 6" xfId="52518" xr:uid="{00000000-0005-0000-0000-00002DCD0000}"/>
    <cellStyle name="표준 7 2 6 10" xfId="52519" xr:uid="{00000000-0005-0000-0000-00002ECD0000}"/>
    <cellStyle name="표준 7 2 6 11" xfId="52520" xr:uid="{00000000-0005-0000-0000-00002FCD0000}"/>
    <cellStyle name="표준 7 2 6 12" xfId="52521" xr:uid="{00000000-0005-0000-0000-000030CD0000}"/>
    <cellStyle name="표준 7 2 6 13" xfId="52522" xr:uid="{00000000-0005-0000-0000-000031CD0000}"/>
    <cellStyle name="표준 7 2 6 14" xfId="52523" xr:uid="{00000000-0005-0000-0000-000032CD0000}"/>
    <cellStyle name="표준 7 2 6 15" xfId="52524" xr:uid="{00000000-0005-0000-0000-000033CD0000}"/>
    <cellStyle name="표준 7 2 6 16" xfId="52525" xr:uid="{00000000-0005-0000-0000-000034CD0000}"/>
    <cellStyle name="표준 7 2 6 17" xfId="52526" xr:uid="{00000000-0005-0000-0000-000035CD0000}"/>
    <cellStyle name="표준 7 2 6 18" xfId="52527" xr:uid="{00000000-0005-0000-0000-000036CD0000}"/>
    <cellStyle name="표준 7 2 6 19" xfId="52528" xr:uid="{00000000-0005-0000-0000-000037CD0000}"/>
    <cellStyle name="표준 7 2 6 2" xfId="52529" xr:uid="{00000000-0005-0000-0000-000038CD0000}"/>
    <cellStyle name="표준 7 2 6 3" xfId="52530" xr:uid="{00000000-0005-0000-0000-000039CD0000}"/>
    <cellStyle name="표준 7 2 6 4" xfId="52531" xr:uid="{00000000-0005-0000-0000-00003ACD0000}"/>
    <cellStyle name="표준 7 2 6 5" xfId="52532" xr:uid="{00000000-0005-0000-0000-00003BCD0000}"/>
    <cellStyle name="표준 7 2 6 6" xfId="52533" xr:uid="{00000000-0005-0000-0000-00003CCD0000}"/>
    <cellStyle name="표준 7 2 6 7" xfId="52534" xr:uid="{00000000-0005-0000-0000-00003DCD0000}"/>
    <cellStyle name="표준 7 2 6 8" xfId="52535" xr:uid="{00000000-0005-0000-0000-00003ECD0000}"/>
    <cellStyle name="표준 7 2 6 9" xfId="52536" xr:uid="{00000000-0005-0000-0000-00003FCD0000}"/>
    <cellStyle name="표준 7 2 7" xfId="52537" xr:uid="{00000000-0005-0000-0000-000040CD0000}"/>
    <cellStyle name="표준 7 2 7 10" xfId="52538" xr:uid="{00000000-0005-0000-0000-000041CD0000}"/>
    <cellStyle name="표준 7 2 7 11" xfId="52539" xr:uid="{00000000-0005-0000-0000-000042CD0000}"/>
    <cellStyle name="표준 7 2 7 12" xfId="52540" xr:uid="{00000000-0005-0000-0000-000043CD0000}"/>
    <cellStyle name="표준 7 2 7 13" xfId="52541" xr:uid="{00000000-0005-0000-0000-000044CD0000}"/>
    <cellStyle name="표준 7 2 7 14" xfId="52542" xr:uid="{00000000-0005-0000-0000-000045CD0000}"/>
    <cellStyle name="표준 7 2 7 15" xfId="52543" xr:uid="{00000000-0005-0000-0000-000046CD0000}"/>
    <cellStyle name="표준 7 2 7 16" xfId="52544" xr:uid="{00000000-0005-0000-0000-000047CD0000}"/>
    <cellStyle name="표준 7 2 7 17" xfId="52545" xr:uid="{00000000-0005-0000-0000-000048CD0000}"/>
    <cellStyle name="표준 7 2 7 18" xfId="52546" xr:uid="{00000000-0005-0000-0000-000049CD0000}"/>
    <cellStyle name="표준 7 2 7 19" xfId="52547" xr:uid="{00000000-0005-0000-0000-00004ACD0000}"/>
    <cellStyle name="표준 7 2 7 2" xfId="52548" xr:uid="{00000000-0005-0000-0000-00004BCD0000}"/>
    <cellStyle name="표준 7 2 7 3" xfId="52549" xr:uid="{00000000-0005-0000-0000-00004CCD0000}"/>
    <cellStyle name="표준 7 2 7 4" xfId="52550" xr:uid="{00000000-0005-0000-0000-00004DCD0000}"/>
    <cellStyle name="표준 7 2 7 5" xfId="52551" xr:uid="{00000000-0005-0000-0000-00004ECD0000}"/>
    <cellStyle name="표준 7 2 7 6" xfId="52552" xr:uid="{00000000-0005-0000-0000-00004FCD0000}"/>
    <cellStyle name="표준 7 2 7 7" xfId="52553" xr:uid="{00000000-0005-0000-0000-000050CD0000}"/>
    <cellStyle name="표준 7 2 7 8" xfId="52554" xr:uid="{00000000-0005-0000-0000-000051CD0000}"/>
    <cellStyle name="표준 7 2 7 9" xfId="52555" xr:uid="{00000000-0005-0000-0000-000052CD0000}"/>
    <cellStyle name="표준 7 2 8" xfId="52556" xr:uid="{00000000-0005-0000-0000-000053CD0000}"/>
    <cellStyle name="표준 7 2 8 10" xfId="52557" xr:uid="{00000000-0005-0000-0000-000054CD0000}"/>
    <cellStyle name="표준 7 2 8 11" xfId="52558" xr:uid="{00000000-0005-0000-0000-000055CD0000}"/>
    <cellStyle name="표준 7 2 8 12" xfId="52559" xr:uid="{00000000-0005-0000-0000-000056CD0000}"/>
    <cellStyle name="표준 7 2 8 13" xfId="52560" xr:uid="{00000000-0005-0000-0000-000057CD0000}"/>
    <cellStyle name="표준 7 2 8 14" xfId="52561" xr:uid="{00000000-0005-0000-0000-000058CD0000}"/>
    <cellStyle name="표준 7 2 8 15" xfId="52562" xr:uid="{00000000-0005-0000-0000-000059CD0000}"/>
    <cellStyle name="표준 7 2 8 16" xfId="52563" xr:uid="{00000000-0005-0000-0000-00005ACD0000}"/>
    <cellStyle name="표준 7 2 8 17" xfId="52564" xr:uid="{00000000-0005-0000-0000-00005BCD0000}"/>
    <cellStyle name="표준 7 2 8 18" xfId="52565" xr:uid="{00000000-0005-0000-0000-00005CCD0000}"/>
    <cellStyle name="표준 7 2 8 19" xfId="52566" xr:uid="{00000000-0005-0000-0000-00005DCD0000}"/>
    <cellStyle name="표준 7 2 8 2" xfId="52567" xr:uid="{00000000-0005-0000-0000-00005ECD0000}"/>
    <cellStyle name="표준 7 2 8 3" xfId="52568" xr:uid="{00000000-0005-0000-0000-00005FCD0000}"/>
    <cellStyle name="표준 7 2 8 4" xfId="52569" xr:uid="{00000000-0005-0000-0000-000060CD0000}"/>
    <cellStyle name="표준 7 2 8 5" xfId="52570" xr:uid="{00000000-0005-0000-0000-000061CD0000}"/>
    <cellStyle name="표준 7 2 8 6" xfId="52571" xr:uid="{00000000-0005-0000-0000-000062CD0000}"/>
    <cellStyle name="표준 7 2 8 7" xfId="52572" xr:uid="{00000000-0005-0000-0000-000063CD0000}"/>
    <cellStyle name="표준 7 2 8 8" xfId="52573" xr:uid="{00000000-0005-0000-0000-000064CD0000}"/>
    <cellStyle name="표준 7 2 8 9" xfId="52574" xr:uid="{00000000-0005-0000-0000-000065CD0000}"/>
    <cellStyle name="표준 7 2 9" xfId="52575" xr:uid="{00000000-0005-0000-0000-000066CD0000}"/>
    <cellStyle name="표준 7 3" xfId="52576" xr:uid="{00000000-0005-0000-0000-000067CD0000}"/>
    <cellStyle name="표준 7 4" xfId="52577" xr:uid="{00000000-0005-0000-0000-000068CD0000}"/>
    <cellStyle name="표준 7 5" xfId="52578" xr:uid="{00000000-0005-0000-0000-000069CD0000}"/>
    <cellStyle name="표준 7 6" xfId="52579" xr:uid="{00000000-0005-0000-0000-00006ACD0000}"/>
    <cellStyle name="표준 7 7" xfId="52821" xr:uid="{00000000-0005-0000-0000-00006BCD0000}"/>
    <cellStyle name="표준 8" xfId="52580" xr:uid="{00000000-0005-0000-0000-00006CCD0000}"/>
    <cellStyle name="표준 8 2" xfId="52581" xr:uid="{00000000-0005-0000-0000-00006DCD0000}"/>
    <cellStyle name="표준 8 2 10" xfId="52582" xr:uid="{00000000-0005-0000-0000-00006ECD0000}"/>
    <cellStyle name="표준 8 2 11" xfId="52583" xr:uid="{00000000-0005-0000-0000-00006FCD0000}"/>
    <cellStyle name="표준 8 2 12" xfId="52584" xr:uid="{00000000-0005-0000-0000-000070CD0000}"/>
    <cellStyle name="표준 8 2 13" xfId="52585" xr:uid="{00000000-0005-0000-0000-000071CD0000}"/>
    <cellStyle name="표준 8 2 14" xfId="52586" xr:uid="{00000000-0005-0000-0000-000072CD0000}"/>
    <cellStyle name="표준 8 2 15" xfId="52587" xr:uid="{00000000-0005-0000-0000-000073CD0000}"/>
    <cellStyle name="표준 8 2 16" xfId="52588" xr:uid="{00000000-0005-0000-0000-000074CD0000}"/>
    <cellStyle name="표준 8 2 17" xfId="52589" xr:uid="{00000000-0005-0000-0000-000075CD0000}"/>
    <cellStyle name="표준 8 2 18" xfId="52590" xr:uid="{00000000-0005-0000-0000-000076CD0000}"/>
    <cellStyle name="표준 8 2 19" xfId="52591" xr:uid="{00000000-0005-0000-0000-000077CD0000}"/>
    <cellStyle name="표준 8 2 2" xfId="52592" xr:uid="{00000000-0005-0000-0000-000078CD0000}"/>
    <cellStyle name="표준 8 2 2 10" xfId="52593" xr:uid="{00000000-0005-0000-0000-000079CD0000}"/>
    <cellStyle name="표준 8 2 2 11" xfId="52594" xr:uid="{00000000-0005-0000-0000-00007ACD0000}"/>
    <cellStyle name="표준 8 2 2 12" xfId="52595" xr:uid="{00000000-0005-0000-0000-00007BCD0000}"/>
    <cellStyle name="표준 8 2 2 13" xfId="52596" xr:uid="{00000000-0005-0000-0000-00007CCD0000}"/>
    <cellStyle name="표준 8 2 2 14" xfId="52597" xr:uid="{00000000-0005-0000-0000-00007DCD0000}"/>
    <cellStyle name="표준 8 2 2 15" xfId="52598" xr:uid="{00000000-0005-0000-0000-00007ECD0000}"/>
    <cellStyle name="표준 8 2 2 16" xfId="52599" xr:uid="{00000000-0005-0000-0000-00007FCD0000}"/>
    <cellStyle name="표준 8 2 2 17" xfId="52600" xr:uid="{00000000-0005-0000-0000-000080CD0000}"/>
    <cellStyle name="표준 8 2 2 18" xfId="52601" xr:uid="{00000000-0005-0000-0000-000081CD0000}"/>
    <cellStyle name="표준 8 2 2 19" xfId="52602" xr:uid="{00000000-0005-0000-0000-000082CD0000}"/>
    <cellStyle name="표준 8 2 2 2" xfId="52603" xr:uid="{00000000-0005-0000-0000-000083CD0000}"/>
    <cellStyle name="표준 8 2 2 3" xfId="52604" xr:uid="{00000000-0005-0000-0000-000084CD0000}"/>
    <cellStyle name="표준 8 2 2 4" xfId="52605" xr:uid="{00000000-0005-0000-0000-000085CD0000}"/>
    <cellStyle name="표준 8 2 2 5" xfId="52606" xr:uid="{00000000-0005-0000-0000-000086CD0000}"/>
    <cellStyle name="표준 8 2 2 6" xfId="52607" xr:uid="{00000000-0005-0000-0000-000087CD0000}"/>
    <cellStyle name="표준 8 2 2 7" xfId="52608" xr:uid="{00000000-0005-0000-0000-000088CD0000}"/>
    <cellStyle name="표준 8 2 2 8" xfId="52609" xr:uid="{00000000-0005-0000-0000-000089CD0000}"/>
    <cellStyle name="표준 8 2 2 9" xfId="52610" xr:uid="{00000000-0005-0000-0000-00008ACD0000}"/>
    <cellStyle name="표준 8 2 20" xfId="52611" xr:uid="{00000000-0005-0000-0000-00008BCD0000}"/>
    <cellStyle name="표준 8 2 21" xfId="52612" xr:uid="{00000000-0005-0000-0000-00008CCD0000}"/>
    <cellStyle name="표준 8 2 22" xfId="52613" xr:uid="{00000000-0005-0000-0000-00008DCD0000}"/>
    <cellStyle name="표준 8 2 23" xfId="52614" xr:uid="{00000000-0005-0000-0000-00008ECD0000}"/>
    <cellStyle name="표준 8 2 24" xfId="52615" xr:uid="{00000000-0005-0000-0000-00008FCD0000}"/>
    <cellStyle name="표준 8 2 25" xfId="52616" xr:uid="{00000000-0005-0000-0000-000090CD0000}"/>
    <cellStyle name="표준 8 2 26" xfId="52617" xr:uid="{00000000-0005-0000-0000-000091CD0000}"/>
    <cellStyle name="표준 8 2 3" xfId="52618" xr:uid="{00000000-0005-0000-0000-000092CD0000}"/>
    <cellStyle name="표준 8 2 3 10" xfId="52619" xr:uid="{00000000-0005-0000-0000-000093CD0000}"/>
    <cellStyle name="표준 8 2 3 11" xfId="52620" xr:uid="{00000000-0005-0000-0000-000094CD0000}"/>
    <cellStyle name="표준 8 2 3 12" xfId="52621" xr:uid="{00000000-0005-0000-0000-000095CD0000}"/>
    <cellStyle name="표준 8 2 3 13" xfId="52622" xr:uid="{00000000-0005-0000-0000-000096CD0000}"/>
    <cellStyle name="표준 8 2 3 14" xfId="52623" xr:uid="{00000000-0005-0000-0000-000097CD0000}"/>
    <cellStyle name="표준 8 2 3 15" xfId="52624" xr:uid="{00000000-0005-0000-0000-000098CD0000}"/>
    <cellStyle name="표준 8 2 3 16" xfId="52625" xr:uid="{00000000-0005-0000-0000-000099CD0000}"/>
    <cellStyle name="표준 8 2 3 17" xfId="52626" xr:uid="{00000000-0005-0000-0000-00009ACD0000}"/>
    <cellStyle name="표준 8 2 3 18" xfId="52627" xr:uid="{00000000-0005-0000-0000-00009BCD0000}"/>
    <cellStyle name="표준 8 2 3 19" xfId="52628" xr:uid="{00000000-0005-0000-0000-00009CCD0000}"/>
    <cellStyle name="표준 8 2 3 2" xfId="52629" xr:uid="{00000000-0005-0000-0000-00009DCD0000}"/>
    <cellStyle name="표준 8 2 3 3" xfId="52630" xr:uid="{00000000-0005-0000-0000-00009ECD0000}"/>
    <cellStyle name="표준 8 2 3 4" xfId="52631" xr:uid="{00000000-0005-0000-0000-00009FCD0000}"/>
    <cellStyle name="표준 8 2 3 5" xfId="52632" xr:uid="{00000000-0005-0000-0000-0000A0CD0000}"/>
    <cellStyle name="표준 8 2 3 6" xfId="52633" xr:uid="{00000000-0005-0000-0000-0000A1CD0000}"/>
    <cellStyle name="표준 8 2 3 7" xfId="52634" xr:uid="{00000000-0005-0000-0000-0000A2CD0000}"/>
    <cellStyle name="표준 8 2 3 8" xfId="52635" xr:uid="{00000000-0005-0000-0000-0000A3CD0000}"/>
    <cellStyle name="표준 8 2 3 9" xfId="52636" xr:uid="{00000000-0005-0000-0000-0000A4CD0000}"/>
    <cellStyle name="표준 8 2 4" xfId="52637" xr:uid="{00000000-0005-0000-0000-0000A5CD0000}"/>
    <cellStyle name="표준 8 2 4 10" xfId="52638" xr:uid="{00000000-0005-0000-0000-0000A6CD0000}"/>
    <cellStyle name="표준 8 2 4 11" xfId="52639" xr:uid="{00000000-0005-0000-0000-0000A7CD0000}"/>
    <cellStyle name="표준 8 2 4 12" xfId="52640" xr:uid="{00000000-0005-0000-0000-0000A8CD0000}"/>
    <cellStyle name="표준 8 2 4 13" xfId="52641" xr:uid="{00000000-0005-0000-0000-0000A9CD0000}"/>
    <cellStyle name="표준 8 2 4 14" xfId="52642" xr:uid="{00000000-0005-0000-0000-0000AACD0000}"/>
    <cellStyle name="표준 8 2 4 15" xfId="52643" xr:uid="{00000000-0005-0000-0000-0000ABCD0000}"/>
    <cellStyle name="표준 8 2 4 16" xfId="52644" xr:uid="{00000000-0005-0000-0000-0000ACCD0000}"/>
    <cellStyle name="표준 8 2 4 17" xfId="52645" xr:uid="{00000000-0005-0000-0000-0000ADCD0000}"/>
    <cellStyle name="표준 8 2 4 18" xfId="52646" xr:uid="{00000000-0005-0000-0000-0000AECD0000}"/>
    <cellStyle name="표준 8 2 4 19" xfId="52647" xr:uid="{00000000-0005-0000-0000-0000AFCD0000}"/>
    <cellStyle name="표준 8 2 4 2" xfId="52648" xr:uid="{00000000-0005-0000-0000-0000B0CD0000}"/>
    <cellStyle name="표준 8 2 4 3" xfId="52649" xr:uid="{00000000-0005-0000-0000-0000B1CD0000}"/>
    <cellStyle name="표준 8 2 4 4" xfId="52650" xr:uid="{00000000-0005-0000-0000-0000B2CD0000}"/>
    <cellStyle name="표준 8 2 4 5" xfId="52651" xr:uid="{00000000-0005-0000-0000-0000B3CD0000}"/>
    <cellStyle name="표준 8 2 4 6" xfId="52652" xr:uid="{00000000-0005-0000-0000-0000B4CD0000}"/>
    <cellStyle name="표준 8 2 4 7" xfId="52653" xr:uid="{00000000-0005-0000-0000-0000B5CD0000}"/>
    <cellStyle name="표준 8 2 4 8" xfId="52654" xr:uid="{00000000-0005-0000-0000-0000B6CD0000}"/>
    <cellStyle name="표준 8 2 4 9" xfId="52655" xr:uid="{00000000-0005-0000-0000-0000B7CD0000}"/>
    <cellStyle name="표준 8 2 5" xfId="52656" xr:uid="{00000000-0005-0000-0000-0000B8CD0000}"/>
    <cellStyle name="표준 8 2 5 10" xfId="52657" xr:uid="{00000000-0005-0000-0000-0000B9CD0000}"/>
    <cellStyle name="표준 8 2 5 11" xfId="52658" xr:uid="{00000000-0005-0000-0000-0000BACD0000}"/>
    <cellStyle name="표준 8 2 5 12" xfId="52659" xr:uid="{00000000-0005-0000-0000-0000BBCD0000}"/>
    <cellStyle name="표준 8 2 5 13" xfId="52660" xr:uid="{00000000-0005-0000-0000-0000BCCD0000}"/>
    <cellStyle name="표준 8 2 5 14" xfId="52661" xr:uid="{00000000-0005-0000-0000-0000BDCD0000}"/>
    <cellStyle name="표준 8 2 5 15" xfId="52662" xr:uid="{00000000-0005-0000-0000-0000BECD0000}"/>
    <cellStyle name="표준 8 2 5 16" xfId="52663" xr:uid="{00000000-0005-0000-0000-0000BFCD0000}"/>
    <cellStyle name="표준 8 2 5 17" xfId="52664" xr:uid="{00000000-0005-0000-0000-0000C0CD0000}"/>
    <cellStyle name="표준 8 2 5 18" xfId="52665" xr:uid="{00000000-0005-0000-0000-0000C1CD0000}"/>
    <cellStyle name="표준 8 2 5 19" xfId="52666" xr:uid="{00000000-0005-0000-0000-0000C2CD0000}"/>
    <cellStyle name="표준 8 2 5 2" xfId="52667" xr:uid="{00000000-0005-0000-0000-0000C3CD0000}"/>
    <cellStyle name="표준 8 2 5 3" xfId="52668" xr:uid="{00000000-0005-0000-0000-0000C4CD0000}"/>
    <cellStyle name="표준 8 2 5 4" xfId="52669" xr:uid="{00000000-0005-0000-0000-0000C5CD0000}"/>
    <cellStyle name="표준 8 2 5 5" xfId="52670" xr:uid="{00000000-0005-0000-0000-0000C6CD0000}"/>
    <cellStyle name="표준 8 2 5 6" xfId="52671" xr:uid="{00000000-0005-0000-0000-0000C7CD0000}"/>
    <cellStyle name="표준 8 2 5 7" xfId="52672" xr:uid="{00000000-0005-0000-0000-0000C8CD0000}"/>
    <cellStyle name="표준 8 2 5 8" xfId="52673" xr:uid="{00000000-0005-0000-0000-0000C9CD0000}"/>
    <cellStyle name="표준 8 2 5 9" xfId="52674" xr:uid="{00000000-0005-0000-0000-0000CACD0000}"/>
    <cellStyle name="표준 8 2 6" xfId="52675" xr:uid="{00000000-0005-0000-0000-0000CBCD0000}"/>
    <cellStyle name="표준 8 2 6 10" xfId="52676" xr:uid="{00000000-0005-0000-0000-0000CCCD0000}"/>
    <cellStyle name="표준 8 2 6 11" xfId="52677" xr:uid="{00000000-0005-0000-0000-0000CDCD0000}"/>
    <cellStyle name="표준 8 2 6 12" xfId="52678" xr:uid="{00000000-0005-0000-0000-0000CECD0000}"/>
    <cellStyle name="표준 8 2 6 13" xfId="52679" xr:uid="{00000000-0005-0000-0000-0000CFCD0000}"/>
    <cellStyle name="표준 8 2 6 14" xfId="52680" xr:uid="{00000000-0005-0000-0000-0000D0CD0000}"/>
    <cellStyle name="표준 8 2 6 15" xfId="52681" xr:uid="{00000000-0005-0000-0000-0000D1CD0000}"/>
    <cellStyle name="표준 8 2 6 16" xfId="52682" xr:uid="{00000000-0005-0000-0000-0000D2CD0000}"/>
    <cellStyle name="표준 8 2 6 17" xfId="52683" xr:uid="{00000000-0005-0000-0000-0000D3CD0000}"/>
    <cellStyle name="표준 8 2 6 18" xfId="52684" xr:uid="{00000000-0005-0000-0000-0000D4CD0000}"/>
    <cellStyle name="표준 8 2 6 19" xfId="52685" xr:uid="{00000000-0005-0000-0000-0000D5CD0000}"/>
    <cellStyle name="표준 8 2 6 2" xfId="52686" xr:uid="{00000000-0005-0000-0000-0000D6CD0000}"/>
    <cellStyle name="표준 8 2 6 3" xfId="52687" xr:uid="{00000000-0005-0000-0000-0000D7CD0000}"/>
    <cellStyle name="표준 8 2 6 4" xfId="52688" xr:uid="{00000000-0005-0000-0000-0000D8CD0000}"/>
    <cellStyle name="표준 8 2 6 5" xfId="52689" xr:uid="{00000000-0005-0000-0000-0000D9CD0000}"/>
    <cellStyle name="표준 8 2 6 6" xfId="52690" xr:uid="{00000000-0005-0000-0000-0000DACD0000}"/>
    <cellStyle name="표준 8 2 6 7" xfId="52691" xr:uid="{00000000-0005-0000-0000-0000DBCD0000}"/>
    <cellStyle name="표준 8 2 6 8" xfId="52692" xr:uid="{00000000-0005-0000-0000-0000DCCD0000}"/>
    <cellStyle name="표준 8 2 6 9" xfId="52693" xr:uid="{00000000-0005-0000-0000-0000DDCD0000}"/>
    <cellStyle name="표준 8 2 7" xfId="52694" xr:uid="{00000000-0005-0000-0000-0000DECD0000}"/>
    <cellStyle name="표준 8 2 7 10" xfId="52695" xr:uid="{00000000-0005-0000-0000-0000DFCD0000}"/>
    <cellStyle name="표준 8 2 7 11" xfId="52696" xr:uid="{00000000-0005-0000-0000-0000E0CD0000}"/>
    <cellStyle name="표준 8 2 7 12" xfId="52697" xr:uid="{00000000-0005-0000-0000-0000E1CD0000}"/>
    <cellStyle name="표준 8 2 7 13" xfId="52698" xr:uid="{00000000-0005-0000-0000-0000E2CD0000}"/>
    <cellStyle name="표준 8 2 7 14" xfId="52699" xr:uid="{00000000-0005-0000-0000-0000E3CD0000}"/>
    <cellStyle name="표준 8 2 7 15" xfId="52700" xr:uid="{00000000-0005-0000-0000-0000E4CD0000}"/>
    <cellStyle name="표준 8 2 7 16" xfId="52701" xr:uid="{00000000-0005-0000-0000-0000E5CD0000}"/>
    <cellStyle name="표준 8 2 7 17" xfId="52702" xr:uid="{00000000-0005-0000-0000-0000E6CD0000}"/>
    <cellStyle name="표준 8 2 7 18" xfId="52703" xr:uid="{00000000-0005-0000-0000-0000E7CD0000}"/>
    <cellStyle name="표준 8 2 7 19" xfId="52704" xr:uid="{00000000-0005-0000-0000-0000E8CD0000}"/>
    <cellStyle name="표준 8 2 7 2" xfId="52705" xr:uid="{00000000-0005-0000-0000-0000E9CD0000}"/>
    <cellStyle name="표준 8 2 7 3" xfId="52706" xr:uid="{00000000-0005-0000-0000-0000EACD0000}"/>
    <cellStyle name="표준 8 2 7 4" xfId="52707" xr:uid="{00000000-0005-0000-0000-0000EBCD0000}"/>
    <cellStyle name="표준 8 2 7 5" xfId="52708" xr:uid="{00000000-0005-0000-0000-0000ECCD0000}"/>
    <cellStyle name="표준 8 2 7 6" xfId="52709" xr:uid="{00000000-0005-0000-0000-0000EDCD0000}"/>
    <cellStyle name="표준 8 2 7 7" xfId="52710" xr:uid="{00000000-0005-0000-0000-0000EECD0000}"/>
    <cellStyle name="표준 8 2 7 8" xfId="52711" xr:uid="{00000000-0005-0000-0000-0000EFCD0000}"/>
    <cellStyle name="표준 8 2 7 9" xfId="52712" xr:uid="{00000000-0005-0000-0000-0000F0CD0000}"/>
    <cellStyle name="표준 8 2 8" xfId="52713" xr:uid="{00000000-0005-0000-0000-0000F1CD0000}"/>
    <cellStyle name="표준 8 2 8 10" xfId="52714" xr:uid="{00000000-0005-0000-0000-0000F2CD0000}"/>
    <cellStyle name="표준 8 2 8 11" xfId="52715" xr:uid="{00000000-0005-0000-0000-0000F3CD0000}"/>
    <cellStyle name="표준 8 2 8 12" xfId="52716" xr:uid="{00000000-0005-0000-0000-0000F4CD0000}"/>
    <cellStyle name="표준 8 2 8 13" xfId="52717" xr:uid="{00000000-0005-0000-0000-0000F5CD0000}"/>
    <cellStyle name="표준 8 2 8 14" xfId="52718" xr:uid="{00000000-0005-0000-0000-0000F6CD0000}"/>
    <cellStyle name="표준 8 2 8 15" xfId="52719" xr:uid="{00000000-0005-0000-0000-0000F7CD0000}"/>
    <cellStyle name="표준 8 2 8 16" xfId="52720" xr:uid="{00000000-0005-0000-0000-0000F8CD0000}"/>
    <cellStyle name="표준 8 2 8 17" xfId="52721" xr:uid="{00000000-0005-0000-0000-0000F9CD0000}"/>
    <cellStyle name="표준 8 2 8 18" xfId="52722" xr:uid="{00000000-0005-0000-0000-0000FACD0000}"/>
    <cellStyle name="표준 8 2 8 19" xfId="52723" xr:uid="{00000000-0005-0000-0000-0000FBCD0000}"/>
    <cellStyle name="표준 8 2 8 2" xfId="52724" xr:uid="{00000000-0005-0000-0000-0000FCCD0000}"/>
    <cellStyle name="표준 8 2 8 3" xfId="52725" xr:uid="{00000000-0005-0000-0000-0000FDCD0000}"/>
    <cellStyle name="표준 8 2 8 4" xfId="52726" xr:uid="{00000000-0005-0000-0000-0000FECD0000}"/>
    <cellStyle name="표준 8 2 8 5" xfId="52727" xr:uid="{00000000-0005-0000-0000-0000FFCD0000}"/>
    <cellStyle name="표준 8 2 8 6" xfId="52728" xr:uid="{00000000-0005-0000-0000-000000CE0000}"/>
    <cellStyle name="표준 8 2 8 7" xfId="52729" xr:uid="{00000000-0005-0000-0000-000001CE0000}"/>
    <cellStyle name="표준 8 2 8 8" xfId="52730" xr:uid="{00000000-0005-0000-0000-000002CE0000}"/>
    <cellStyle name="표준 8 2 8 9" xfId="52731" xr:uid="{00000000-0005-0000-0000-000003CE0000}"/>
    <cellStyle name="표준 8 2 9" xfId="52732" xr:uid="{00000000-0005-0000-0000-000004CE0000}"/>
    <cellStyle name="표준 8 3" xfId="52733" xr:uid="{00000000-0005-0000-0000-000005CE0000}"/>
    <cellStyle name="표준 8 4" xfId="52734" xr:uid="{00000000-0005-0000-0000-000006CE0000}"/>
    <cellStyle name="표준 8 5" xfId="52735" xr:uid="{00000000-0005-0000-0000-000007CE0000}"/>
    <cellStyle name="표준 8 6" xfId="52736" xr:uid="{00000000-0005-0000-0000-000008CE0000}"/>
    <cellStyle name="표준 8 7" xfId="52822" xr:uid="{00000000-0005-0000-0000-000009CE0000}"/>
    <cellStyle name="표준 9" xfId="52737" xr:uid="{00000000-0005-0000-0000-00000ACE0000}"/>
    <cellStyle name="표준 9 2" xfId="52738" xr:uid="{00000000-0005-0000-0000-00000BCE0000}"/>
    <cellStyle name="표준 9 2 2" xfId="52739" xr:uid="{00000000-0005-0000-0000-00000CCE0000}"/>
    <cellStyle name="표준 9 2 3" xfId="52740" xr:uid="{00000000-0005-0000-0000-00000DCE0000}"/>
    <cellStyle name="표준 9 2 4" xfId="52741" xr:uid="{00000000-0005-0000-0000-00000ECE0000}"/>
    <cellStyle name="표준 9 2 5" xfId="52742" xr:uid="{00000000-0005-0000-0000-00000FCE0000}"/>
    <cellStyle name="표준 9 3" xfId="52743" xr:uid="{00000000-0005-0000-0000-000010CE0000}"/>
    <cellStyle name="표준 9 4" xfId="52744" xr:uid="{00000000-0005-0000-0000-000011CE0000}"/>
    <cellStyle name="표준 9 5" xfId="52745" xr:uid="{00000000-0005-0000-0000-000012CE0000}"/>
    <cellStyle name="표준 9 6" xfId="52746" xr:uid="{00000000-0005-0000-0000-000013CE0000}"/>
    <cellStyle name="標準_BKS-ESTIMATE" xfId="52747" xr:uid="{00000000-0005-0000-0000-000014CE0000}"/>
    <cellStyle name="표준_D-3191" xfId="306" xr:uid="{00000000-0005-0000-0000-000015CE0000}"/>
    <cellStyle name="표준_P7001" xfId="52748" xr:uid="{00000000-0005-0000-0000-000016CE0000}"/>
    <cellStyle name="標準_Short Spec_PC_Agitator" xfId="293" xr:uid="{00000000-0005-0000-0000-000017CE0000}"/>
    <cellStyle name="표준_TANK SHOP DWG LIST" xfId="305" xr:uid="{00000000-0005-0000-0000-000018CE0000}"/>
    <cellStyle name="표준_Vessel(2001.2.5, final)" xfId="304" xr:uid="{00000000-0005-0000-0000-000019CE0000}"/>
    <cellStyle name="합산" xfId="52749" xr:uid="{00000000-0005-0000-0000-00001ACE0000}"/>
    <cellStyle name="합산 10" xfId="52750" xr:uid="{00000000-0005-0000-0000-00001BCE0000}"/>
    <cellStyle name="합산 11" xfId="52751" xr:uid="{00000000-0005-0000-0000-00001CCE0000}"/>
    <cellStyle name="합산 12" xfId="52752" xr:uid="{00000000-0005-0000-0000-00001DCE0000}"/>
    <cellStyle name="합산 13" xfId="52753" xr:uid="{00000000-0005-0000-0000-00001ECE0000}"/>
    <cellStyle name="합산 14" xfId="52754" xr:uid="{00000000-0005-0000-0000-00001FCE0000}"/>
    <cellStyle name="합산 15" xfId="52755" xr:uid="{00000000-0005-0000-0000-000020CE0000}"/>
    <cellStyle name="합산 16" xfId="52756" xr:uid="{00000000-0005-0000-0000-000021CE0000}"/>
    <cellStyle name="합산 17" xfId="52757" xr:uid="{00000000-0005-0000-0000-000022CE0000}"/>
    <cellStyle name="합산 18" xfId="52758" xr:uid="{00000000-0005-0000-0000-000023CE0000}"/>
    <cellStyle name="합산 19" xfId="52759" xr:uid="{00000000-0005-0000-0000-000024CE0000}"/>
    <cellStyle name="합산 2" xfId="52760" xr:uid="{00000000-0005-0000-0000-000025CE0000}"/>
    <cellStyle name="합산 2 2" xfId="52761" xr:uid="{00000000-0005-0000-0000-000026CE0000}"/>
    <cellStyle name="합산 2 3" xfId="52762" xr:uid="{00000000-0005-0000-0000-000027CE0000}"/>
    <cellStyle name="합산 2 4" xfId="52763" xr:uid="{00000000-0005-0000-0000-000028CE0000}"/>
    <cellStyle name="합산 2 5" xfId="52764" xr:uid="{00000000-0005-0000-0000-000029CE0000}"/>
    <cellStyle name="합산 20" xfId="52765" xr:uid="{00000000-0005-0000-0000-00002ACE0000}"/>
    <cellStyle name="합산 21" xfId="52766" xr:uid="{00000000-0005-0000-0000-00002BCE0000}"/>
    <cellStyle name="합산 22" xfId="52767" xr:uid="{00000000-0005-0000-0000-00002CCE0000}"/>
    <cellStyle name="합산 23" xfId="52768" xr:uid="{00000000-0005-0000-0000-00002DCE0000}"/>
    <cellStyle name="합산 24" xfId="52769" xr:uid="{00000000-0005-0000-0000-00002ECE0000}"/>
    <cellStyle name="합산 25" xfId="52770" xr:uid="{00000000-0005-0000-0000-00002FCE0000}"/>
    <cellStyle name="합산 26" xfId="52771" xr:uid="{00000000-0005-0000-0000-000030CE0000}"/>
    <cellStyle name="합산 27" xfId="52772" xr:uid="{00000000-0005-0000-0000-000031CE0000}"/>
    <cellStyle name="합산 3" xfId="52773" xr:uid="{00000000-0005-0000-0000-000032CE0000}"/>
    <cellStyle name="합산 4" xfId="52774" xr:uid="{00000000-0005-0000-0000-000033CE0000}"/>
    <cellStyle name="합산 5" xfId="52775" xr:uid="{00000000-0005-0000-0000-000034CE0000}"/>
    <cellStyle name="합산 6" xfId="52776" xr:uid="{00000000-0005-0000-0000-000035CE0000}"/>
    <cellStyle name="합산 7" xfId="52777" xr:uid="{00000000-0005-0000-0000-000036CE0000}"/>
    <cellStyle name="합산 8" xfId="52778" xr:uid="{00000000-0005-0000-0000-000037CE0000}"/>
    <cellStyle name="합산 9" xfId="52779" xr:uid="{00000000-0005-0000-0000-000038CE0000}"/>
    <cellStyle name="桁区切り [0.00]_BKS-ESTIMATE" xfId="52780" xr:uid="{00000000-0005-0000-0000-000039CE0000}"/>
    <cellStyle name="桁区切り_BKS-ESTIMATE" xfId="52781" xr:uid="{00000000-0005-0000-0000-00003ACE0000}"/>
    <cellStyle name="화폐기호" xfId="52782" xr:uid="{00000000-0005-0000-0000-00003BCE0000}"/>
    <cellStyle name="화폐기호 2" xfId="52783" xr:uid="{00000000-0005-0000-0000-00003CCE0000}"/>
    <cellStyle name="화폐기호 2 2" xfId="52784" xr:uid="{00000000-0005-0000-0000-00003DCE0000}"/>
    <cellStyle name="화폐기호 2 3" xfId="52785" xr:uid="{00000000-0005-0000-0000-00003ECE0000}"/>
    <cellStyle name="화폐기호 2 4" xfId="52786" xr:uid="{00000000-0005-0000-0000-00003FCE0000}"/>
    <cellStyle name="화폐기호 3" xfId="52787" xr:uid="{00000000-0005-0000-0000-000040CE0000}"/>
    <cellStyle name="화폐기호 4" xfId="52788" xr:uid="{00000000-0005-0000-0000-000041CE0000}"/>
    <cellStyle name="화폐기호 5" xfId="52789" xr:uid="{00000000-0005-0000-0000-000042CE0000}"/>
    <cellStyle name="화폐기호 6" xfId="52790" xr:uid="{00000000-0005-0000-0000-000043CE0000}"/>
    <cellStyle name="화폐기호0" xfId="52791" xr:uid="{00000000-0005-0000-0000-000044CE0000}"/>
    <cellStyle name="화폐기호0 2" xfId="52792" xr:uid="{00000000-0005-0000-0000-000045CE0000}"/>
    <cellStyle name="화폐기호0 2 2" xfId="52793" xr:uid="{00000000-0005-0000-0000-000046CE0000}"/>
    <cellStyle name="화폐기호0 2 3" xfId="52794" xr:uid="{00000000-0005-0000-0000-000047CE0000}"/>
    <cellStyle name="화폐기호0 2 4" xfId="52795" xr:uid="{00000000-0005-0000-0000-000048CE0000}"/>
    <cellStyle name="화폐기호0 3" xfId="52796" xr:uid="{00000000-0005-0000-0000-000049CE0000}"/>
    <cellStyle name="화폐기호0 4" xfId="52797" xr:uid="{00000000-0005-0000-0000-00004ACE0000}"/>
    <cellStyle name="화폐기호0 5" xfId="52798" xr:uid="{00000000-0005-0000-0000-00004BCE0000}"/>
    <cellStyle name="화폐기호0 6" xfId="52799" xr:uid="{00000000-0005-0000-0000-00004CCE0000}"/>
    <cellStyle name="횅" xfId="52800" xr:uid="{00000000-0005-0000-0000-00004DCE0000}"/>
    <cellStyle name="횅 2" xfId="52801" xr:uid="{00000000-0005-0000-0000-00004ECE0000}"/>
    <cellStyle name="횅 2 2" xfId="52802" xr:uid="{00000000-0005-0000-0000-00004FCE0000}"/>
    <cellStyle name="횅 2 3" xfId="52803" xr:uid="{00000000-0005-0000-0000-000050CE0000}"/>
    <cellStyle name="횅 2 4" xfId="52804" xr:uid="{00000000-0005-0000-0000-000051CE0000}"/>
    <cellStyle name="횅 2 5" xfId="52805" xr:uid="{00000000-0005-0000-0000-000052CE0000}"/>
    <cellStyle name="횅 3" xfId="52806" xr:uid="{00000000-0005-0000-0000-000053CE0000}"/>
    <cellStyle name="횅 4" xfId="52807" xr:uid="{00000000-0005-0000-0000-000054CE0000}"/>
    <cellStyle name="횅 5" xfId="52808" xr:uid="{00000000-0005-0000-0000-000055CE0000}"/>
    <cellStyle name="횅 6" xfId="52809" xr:uid="{00000000-0005-0000-0000-000056CE0000}"/>
  </cellStyles>
  <dxfs count="0"/>
  <tableStyles count="0" defaultTableStyle="TableStyleMedium9" defaultPivotStyle="PivotStyleLight16"/>
  <colors>
    <mruColors>
      <color rgb="FFCCFFCC"/>
      <color rgb="FFDDDDDD"/>
      <color rgb="FFC0C0C0"/>
      <color rgb="FF0000FF"/>
      <color rgb="FF66FFCC"/>
      <color rgb="FFFF9900"/>
      <color rgb="FF00FF99"/>
      <color rgb="FF66CCFF"/>
      <color rgb="FF3333FF"/>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68036</xdr:rowOff>
    </xdr:from>
    <xdr:to>
      <xdr:col>5</xdr:col>
      <xdr:colOff>95609</xdr:colOff>
      <xdr:row>4</xdr:row>
      <xdr:rowOff>337779</xdr:rowOff>
    </xdr:to>
    <xdr:pic>
      <xdr:nvPicPr>
        <xdr:cNvPr id="2" name="그림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685800" y="239486"/>
          <a:ext cx="648059" cy="76504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36634</xdr:colOff>
      <xdr:row>2</xdr:row>
      <xdr:rowOff>102578</xdr:rowOff>
    </xdr:from>
    <xdr:to>
      <xdr:col>37</xdr:col>
      <xdr:colOff>27842</xdr:colOff>
      <xdr:row>5</xdr:row>
      <xdr:rowOff>102716</xdr:rowOff>
    </xdr:to>
    <xdr:grpSp>
      <xdr:nvGrpSpPr>
        <xdr:cNvPr id="2" name="그룹 14">
          <a:extLst>
            <a:ext uri="{FF2B5EF4-FFF2-40B4-BE49-F238E27FC236}">
              <a16:creationId xmlns:a16="http://schemas.microsoft.com/office/drawing/2014/main" id="{00000000-0008-0000-0100-000002000000}"/>
            </a:ext>
          </a:extLst>
        </xdr:cNvPr>
        <xdr:cNvGrpSpPr>
          <a:grpSpLocks/>
        </xdr:cNvGrpSpPr>
      </xdr:nvGrpSpPr>
      <xdr:grpSpPr bwMode="auto">
        <a:xfrm>
          <a:off x="787428" y="281872"/>
          <a:ext cx="2209973" cy="470785"/>
          <a:chOff x="8613040" y="2332547"/>
          <a:chExt cx="2152822" cy="413488"/>
        </a:xfrm>
      </xdr:grpSpPr>
      <xdr:pic>
        <xdr:nvPicPr>
          <xdr:cNvPr id="3" name="Picture 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986367" y="2581883"/>
            <a:ext cx="1779495" cy="115586"/>
          </a:xfrm>
          <a:prstGeom prst="rect">
            <a:avLst/>
          </a:prstGeom>
          <a:noFill/>
          <a:ln w="1">
            <a:noFill/>
            <a:miter lim="800000"/>
            <a:headEnd/>
            <a:tailEnd/>
          </a:ln>
        </xdr:spPr>
      </xdr:pic>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4</xdr:row>
          <xdr:rowOff>38100</xdr:rowOff>
        </xdr:from>
        <xdr:to>
          <xdr:col>15</xdr:col>
          <xdr:colOff>1276350</xdr:colOff>
          <xdr:row>5</xdr:row>
          <xdr:rowOff>9525</xdr:rowOff>
        </xdr:to>
        <xdr:sp macro="" textlink="">
          <xdr:nvSpPr>
            <xdr:cNvPr id="1038" name="ComboBox1" hidden="1">
              <a:extLst>
                <a:ext uri="{63B3BB69-23CF-44E3-9099-C40C66FF867C}">
                  <a14:compatExt spid="_x0000_s1038"/>
                </a:ext>
                <a:ext uri="{FF2B5EF4-FFF2-40B4-BE49-F238E27FC236}">
                  <a16:creationId xmlns:a16="http://schemas.microsoft.com/office/drawing/2014/main" id="{4DE0DBB5-4B41-4A3D-9C50-65627ADA47A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19050</xdr:rowOff>
        </xdr:from>
        <xdr:to>
          <xdr:col>3</xdr:col>
          <xdr:colOff>133350</xdr:colOff>
          <xdr:row>10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1D3E16B5-0B29-42B0-97C3-10E145DD1CDC}"/>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500" b="0" i="0" u="none" strike="noStrike" baseline="0">
                  <a:solidFill>
                    <a:srgbClr val="000000"/>
                  </a:solidFill>
                  <a:latin typeface="맑은 고딕"/>
                  <a:ea typeface="맑은 고딕"/>
                </a:rPr>
                <a:t>양식 복사</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nloading%20Line%20Hydraulic%20Calculation_Rev.1_18.12.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UMMARY"/>
      <sheetName val="Sketch1"/>
      <sheetName val="Case1"/>
      <sheetName val="Case2"/>
      <sheetName val="Case3"/>
      <sheetName val="PUMP SUMMARY"/>
      <sheetName val="PUMP Cal_Result"/>
      <sheetName val="piping"/>
    </sheetNames>
    <sheetDataSet>
      <sheetData sheetId="0">
        <row r="16">
          <cell r="N16" t="str">
            <v>Unloading Line to Tank</v>
          </cell>
        </row>
        <row r="24">
          <cell r="N24" t="str">
            <v>3080</v>
          </cell>
        </row>
        <row r="25">
          <cell r="N25" t="str">
            <v xml:space="preserve">NFC MR TERMINAL PROJECT </v>
          </cell>
        </row>
        <row r="27">
          <cell r="N27" t="str">
            <v>3080-PE-RP-003</v>
          </cell>
        </row>
        <row r="38">
          <cell r="B38" t="str">
            <v>A</v>
          </cell>
        </row>
      </sheetData>
      <sheetData sheetId="1"/>
      <sheetData sheetId="2"/>
      <sheetData sheetId="3">
        <row r="18">
          <cell r="Q18">
            <v>1500</v>
          </cell>
        </row>
        <row r="19">
          <cell r="Q19">
            <v>755</v>
          </cell>
        </row>
        <row r="20">
          <cell r="Q20">
            <v>0.56000000000000005</v>
          </cell>
        </row>
        <row r="22">
          <cell r="M22">
            <v>20</v>
          </cell>
          <cell r="N22"/>
          <cell r="O22"/>
          <cell r="P22"/>
          <cell r="Q22">
            <v>20</v>
          </cell>
          <cell r="R22"/>
          <cell r="S22"/>
          <cell r="T22"/>
        </row>
        <row r="24">
          <cell r="Q24">
            <v>1132500</v>
          </cell>
        </row>
        <row r="25">
          <cell r="Q25">
            <v>3.5358330939532117</v>
          </cell>
        </row>
        <row r="27">
          <cell r="M27">
            <v>33.163322765074007</v>
          </cell>
          <cell r="N27"/>
          <cell r="O27"/>
          <cell r="P27"/>
          <cell r="Q27">
            <v>51.389721846810211</v>
          </cell>
          <cell r="R27"/>
          <cell r="S27"/>
          <cell r="T27"/>
          <cell r="U27">
            <v>87.132413408113919</v>
          </cell>
          <cell r="V27"/>
          <cell r="W27"/>
          <cell r="X27"/>
          <cell r="Y27">
            <v>315.71080446937128</v>
          </cell>
          <cell r="Z27"/>
          <cell r="AA27"/>
          <cell r="AB27"/>
          <cell r="AC27">
            <v>993.24321384418636</v>
          </cell>
          <cell r="AD27"/>
          <cell r="AE27"/>
          <cell r="AF27"/>
          <cell r="AG27">
            <v>527.14112562569085</v>
          </cell>
          <cell r="AH27"/>
          <cell r="AI27"/>
          <cell r="AJ27"/>
        </row>
        <row r="33">
          <cell r="M33">
            <v>0.46556098005759472</v>
          </cell>
          <cell r="N33"/>
          <cell r="O33"/>
          <cell r="P33"/>
          <cell r="Q33">
            <v>8.4012844111805443E-2</v>
          </cell>
          <cell r="R33"/>
          <cell r="S33"/>
          <cell r="T33"/>
          <cell r="U33">
            <v>0.14244564091166867</v>
          </cell>
          <cell r="V33"/>
          <cell r="W33"/>
          <cell r="X33"/>
          <cell r="Y33">
            <v>0.51612971713222699</v>
          </cell>
          <cell r="Z33"/>
          <cell r="AA33"/>
          <cell r="AB33"/>
          <cell r="AC33">
            <v>1.6237719195785014</v>
          </cell>
          <cell r="AD33"/>
          <cell r="AE33"/>
          <cell r="AF33"/>
          <cell r="AG33">
            <v>0.86177981939907522</v>
          </cell>
          <cell r="AH33"/>
          <cell r="AI33"/>
          <cell r="AJ33"/>
        </row>
        <row r="35">
          <cell r="M35">
            <v>6.1663705967893341</v>
          </cell>
          <cell r="N35"/>
          <cell r="O35"/>
          <cell r="P35"/>
          <cell r="Q35">
            <v>1.1127529021431184</v>
          </cell>
          <cell r="R35"/>
          <cell r="S35"/>
          <cell r="T35"/>
          <cell r="U35">
            <v>1.886697230618128</v>
          </cell>
          <cell r="V35"/>
          <cell r="W35"/>
          <cell r="X35"/>
          <cell r="Y35">
            <v>6.8361551938043306</v>
          </cell>
          <cell r="Z35"/>
          <cell r="AA35"/>
          <cell r="AB35"/>
          <cell r="AC35">
            <v>21.506912842099357</v>
          </cell>
          <cell r="AD35"/>
          <cell r="AE35"/>
          <cell r="AF35"/>
          <cell r="AG35">
            <v>11.414302243696362</v>
          </cell>
        </row>
        <row r="36">
          <cell r="M36">
            <v>5.1882009211908731</v>
          </cell>
        </row>
        <row r="37">
          <cell r="Q37">
            <v>4.6086270970214729</v>
          </cell>
        </row>
      </sheetData>
      <sheetData sheetId="4">
        <row r="25">
          <cell r="Q25">
            <v>4.6838145043075468</v>
          </cell>
        </row>
        <row r="27">
          <cell r="M27">
            <v>30.020184367697482</v>
          </cell>
          <cell r="N27"/>
          <cell r="O27"/>
          <cell r="P27"/>
          <cell r="Q27">
            <v>47.139539234896006</v>
          </cell>
          <cell r="R27"/>
          <cell r="S27"/>
          <cell r="T27"/>
          <cell r="U27">
            <v>80.744912015096915</v>
          </cell>
          <cell r="V27"/>
          <cell r="W27"/>
          <cell r="X27"/>
          <cell r="Y27">
            <v>313.58163733836562</v>
          </cell>
          <cell r="Z27"/>
          <cell r="AA27"/>
          <cell r="AB27"/>
          <cell r="AC27">
            <v>967.05437661631572</v>
          </cell>
          <cell r="AD27"/>
          <cell r="AE27"/>
          <cell r="AF27"/>
          <cell r="AG27">
            <v>477.444313204656</v>
          </cell>
          <cell r="AH27"/>
          <cell r="AI27"/>
          <cell r="AJ27"/>
        </row>
        <row r="33">
          <cell r="M33">
            <v>0.15659236512191815</v>
          </cell>
          <cell r="N33"/>
          <cell r="O33"/>
          <cell r="P33"/>
          <cell r="Q33">
            <v>0.15784624067022493</v>
          </cell>
          <cell r="R33"/>
          <cell r="S33"/>
          <cell r="T33"/>
          <cell r="U33">
            <v>0.27037347037529319</v>
          </cell>
          <cell r="V33"/>
          <cell r="W33"/>
          <cell r="X33"/>
          <cell r="Y33">
            <v>1.0500247435688381</v>
          </cell>
          <cell r="Z33"/>
          <cell r="AA33"/>
          <cell r="AB33"/>
          <cell r="AC33">
            <v>3.2381711902600454</v>
          </cell>
          <cell r="AD33"/>
          <cell r="AE33"/>
          <cell r="AF33"/>
          <cell r="AG33">
            <v>1.598717153199146</v>
          </cell>
          <cell r="AH33"/>
          <cell r="AI33"/>
          <cell r="AJ33"/>
        </row>
        <row r="35">
          <cell r="M35">
            <v>2.0740710612174587</v>
          </cell>
          <cell r="N35"/>
          <cell r="O35"/>
          <cell r="P35"/>
          <cell r="Q35">
            <v>2.0906786843738399</v>
          </cell>
          <cell r="R35"/>
          <cell r="S35"/>
          <cell r="T35"/>
          <cell r="U35">
            <v>3.5811055678846779</v>
          </cell>
          <cell r="V35"/>
          <cell r="W35"/>
          <cell r="X35"/>
          <cell r="Y35">
            <v>13.907612497600505</v>
          </cell>
          <cell r="Z35"/>
          <cell r="AA35"/>
          <cell r="AB35"/>
          <cell r="AC35">
            <v>42.889684639205903</v>
          </cell>
          <cell r="AD35"/>
          <cell r="AE35"/>
          <cell r="AF35"/>
          <cell r="AG35">
            <v>21.175061631776767</v>
          </cell>
        </row>
        <row r="36">
          <cell r="M36">
            <v>8.4362251631954663</v>
          </cell>
        </row>
      </sheetData>
      <sheetData sheetId="5">
        <row r="25">
          <cell r="Q25">
            <v>2.763460395421109</v>
          </cell>
        </row>
        <row r="27">
          <cell r="M27">
            <v>30.020184367697482</v>
          </cell>
          <cell r="N27"/>
          <cell r="O27"/>
          <cell r="P27"/>
          <cell r="Q27">
            <v>55.5989902292282</v>
          </cell>
          <cell r="R27"/>
          <cell r="S27"/>
          <cell r="T27"/>
          <cell r="U27">
            <v>93.460279659543957</v>
          </cell>
          <cell r="V27"/>
          <cell r="W27"/>
          <cell r="X27"/>
          <cell r="Y27">
            <v>317.82009321984799</v>
          </cell>
          <cell r="Z27"/>
          <cell r="AA27"/>
          <cell r="AB27"/>
          <cell r="AC27">
            <v>1019.1875585662349</v>
          </cell>
          <cell r="AD27"/>
          <cell r="AE27"/>
          <cell r="AF27"/>
          <cell r="AG27">
            <v>576.3549357790298</v>
          </cell>
          <cell r="AH27"/>
          <cell r="AI27"/>
          <cell r="AJ27"/>
        </row>
        <row r="33">
          <cell r="M33">
            <v>0.15659236512191815</v>
          </cell>
          <cell r="N33"/>
          <cell r="O33"/>
          <cell r="P33"/>
          <cell r="Q33">
            <v>4.8611184414832601E-2</v>
          </cell>
          <cell r="R33"/>
          <cell r="S33"/>
          <cell r="T33"/>
          <cell r="U33">
            <v>8.1713982057241896E-2</v>
          </cell>
          <cell r="V33"/>
          <cell r="W33"/>
          <cell r="X33"/>
          <cell r="Y33">
            <v>0.27787575095433142</v>
          </cell>
          <cell r="Z33"/>
          <cell r="AA33"/>
          <cell r="AB33"/>
          <cell r="AC33">
            <v>0.89109377991403149</v>
          </cell>
          <cell r="AD33"/>
          <cell r="AE33"/>
          <cell r="AF33"/>
          <cell r="AG33">
            <v>0.50391735454261577</v>
          </cell>
          <cell r="AH33"/>
          <cell r="AI33"/>
          <cell r="AJ33"/>
        </row>
        <row r="35">
          <cell r="M35">
            <v>2.0740710612174587</v>
          </cell>
          <cell r="N35"/>
          <cell r="O35"/>
          <cell r="P35"/>
          <cell r="Q35">
            <v>0.6438567472163258</v>
          </cell>
          <cell r="R35"/>
          <cell r="S35"/>
          <cell r="T35"/>
          <cell r="U35">
            <v>1.0823043981091642</v>
          </cell>
          <cell r="V35"/>
          <cell r="W35"/>
          <cell r="X35"/>
          <cell r="Y35">
            <v>3.6804735225739265</v>
          </cell>
          <cell r="Z35"/>
          <cell r="AA35"/>
          <cell r="AB35"/>
          <cell r="AC35">
            <v>11.802566621377901</v>
          </cell>
          <cell r="AD35"/>
          <cell r="AE35"/>
          <cell r="AF35"/>
          <cell r="AG35">
            <v>6.6744020469220624</v>
          </cell>
        </row>
        <row r="37">
          <cell r="M37">
            <v>3.5697120518830534</v>
          </cell>
        </row>
      </sheetData>
      <sheetData sheetId="6"/>
      <sheetData sheetId="7"/>
      <sheetData sheetId="8"/>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4.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D41"/>
  <sheetViews>
    <sheetView showGridLines="0" view="pageBreakPreview" zoomScale="85" zoomScaleSheetLayoutView="85" workbookViewId="0">
      <selection activeCell="AF19" sqref="AF19"/>
    </sheetView>
  </sheetViews>
  <sheetFormatPr defaultRowHeight="12.75"/>
  <cols>
    <col min="1" max="1" width="1.75" style="238" customWidth="1"/>
    <col min="2" max="7" width="3.625" style="238" customWidth="1"/>
    <col min="8" max="9" width="3.75" style="238" customWidth="1"/>
    <col min="10" max="19" width="3.625" style="238" customWidth="1"/>
    <col min="20" max="20" width="4.125" style="238" customWidth="1"/>
    <col min="21" max="22" width="3.625" style="238" customWidth="1"/>
    <col min="23" max="24" width="4.625" style="238" customWidth="1"/>
    <col min="25" max="25" width="4.125" style="238" customWidth="1"/>
    <col min="26" max="26" width="4.625" style="238" customWidth="1"/>
    <col min="27" max="27" width="1.75" style="238" customWidth="1"/>
    <col min="28" max="16384" width="9" style="238"/>
  </cols>
  <sheetData>
    <row r="1" spans="2:56" ht="13.5" thickBot="1"/>
    <row r="2" spans="2:56" ht="8.4499999999999993" customHeight="1">
      <c r="B2" s="239"/>
      <c r="C2" s="240"/>
      <c r="D2" s="240"/>
      <c r="E2" s="240"/>
      <c r="F2" s="240"/>
      <c r="G2" s="240"/>
      <c r="H2" s="240"/>
      <c r="I2" s="683" t="s">
        <v>190</v>
      </c>
      <c r="J2" s="684"/>
      <c r="K2" s="684"/>
      <c r="L2" s="684"/>
      <c r="M2" s="684"/>
      <c r="N2" s="684"/>
      <c r="O2" s="684"/>
      <c r="P2" s="684"/>
      <c r="Q2" s="684"/>
      <c r="R2" s="684"/>
      <c r="S2" s="684"/>
      <c r="T2" s="685"/>
      <c r="U2" s="240"/>
      <c r="V2" s="240"/>
      <c r="W2" s="240"/>
      <c r="X2" s="240"/>
      <c r="Y2" s="240"/>
      <c r="Z2" s="241"/>
    </row>
    <row r="3" spans="2:56" ht="27.2" customHeight="1">
      <c r="B3" s="242"/>
      <c r="C3" s="243"/>
      <c r="D3" s="243"/>
      <c r="E3" s="243"/>
      <c r="F3" s="243"/>
      <c r="G3" s="243"/>
      <c r="H3" s="243"/>
      <c r="I3" s="686"/>
      <c r="J3" s="687"/>
      <c r="K3" s="687"/>
      <c r="L3" s="687"/>
      <c r="M3" s="687"/>
      <c r="N3" s="687"/>
      <c r="O3" s="687"/>
      <c r="P3" s="687"/>
      <c r="Q3" s="687"/>
      <c r="R3" s="687"/>
      <c r="S3" s="687"/>
      <c r="T3" s="688"/>
      <c r="U3" s="689" t="s">
        <v>191</v>
      </c>
      <c r="V3" s="690"/>
      <c r="W3" s="690"/>
      <c r="X3" s="244">
        <v>1</v>
      </c>
      <c r="Y3" s="245" t="s">
        <v>130</v>
      </c>
      <c r="Z3" s="246">
        <v>6</v>
      </c>
    </row>
    <row r="4" spans="2:56" ht="3.75" customHeight="1">
      <c r="B4" s="242"/>
      <c r="C4" s="243"/>
      <c r="D4" s="243"/>
      <c r="E4" s="243"/>
      <c r="F4" s="243"/>
      <c r="G4" s="243"/>
      <c r="H4" s="243"/>
      <c r="I4" s="686"/>
      <c r="J4" s="687"/>
      <c r="K4" s="687"/>
      <c r="L4" s="687"/>
      <c r="M4" s="687"/>
      <c r="N4" s="687"/>
      <c r="O4" s="687"/>
      <c r="P4" s="687"/>
      <c r="Q4" s="687"/>
      <c r="R4" s="687"/>
      <c r="S4" s="687"/>
      <c r="T4" s="688"/>
      <c r="U4" s="247"/>
      <c r="V4" s="247"/>
      <c r="W4" s="247"/>
      <c r="X4" s="243"/>
      <c r="Y4" s="243"/>
      <c r="Z4" s="248"/>
    </row>
    <row r="5" spans="2:56" ht="27.75" customHeight="1">
      <c r="B5" s="242"/>
      <c r="C5" s="243"/>
      <c r="D5" s="243"/>
      <c r="E5" s="243"/>
      <c r="F5" s="243"/>
      <c r="G5" s="243"/>
      <c r="H5" s="243"/>
      <c r="I5" s="691" t="s">
        <v>192</v>
      </c>
      <c r="J5" s="692"/>
      <c r="K5" s="692"/>
      <c r="L5" s="692"/>
      <c r="M5" s="692"/>
      <c r="N5" s="692"/>
      <c r="O5" s="692"/>
      <c r="P5" s="692"/>
      <c r="Q5" s="692"/>
      <c r="R5" s="692"/>
      <c r="S5" s="692"/>
      <c r="T5" s="693"/>
      <c r="U5" s="697" t="s">
        <v>137</v>
      </c>
      <c r="V5" s="698"/>
      <c r="W5" s="698"/>
      <c r="X5" s="701" t="s">
        <v>193</v>
      </c>
      <c r="Y5" s="249"/>
      <c r="Z5" s="250"/>
    </row>
    <row r="6" spans="2:56" ht="6.2" customHeight="1" thickBot="1">
      <c r="B6" s="242"/>
      <c r="C6" s="243"/>
      <c r="D6" s="243"/>
      <c r="E6" s="243"/>
      <c r="F6" s="243"/>
      <c r="G6" s="243"/>
      <c r="H6" s="243"/>
      <c r="I6" s="694"/>
      <c r="J6" s="695"/>
      <c r="K6" s="695"/>
      <c r="L6" s="695"/>
      <c r="M6" s="695"/>
      <c r="N6" s="695"/>
      <c r="O6" s="695"/>
      <c r="P6" s="695"/>
      <c r="Q6" s="695"/>
      <c r="R6" s="695"/>
      <c r="S6" s="695"/>
      <c r="T6" s="696"/>
      <c r="U6" s="699"/>
      <c r="V6" s="700"/>
      <c r="W6" s="700"/>
      <c r="X6" s="702"/>
      <c r="Y6" s="243"/>
      <c r="Z6" s="248"/>
    </row>
    <row r="7" spans="2:56" ht="30" customHeight="1">
      <c r="B7" s="679"/>
      <c r="C7" s="680"/>
      <c r="D7" s="680"/>
      <c r="E7" s="251"/>
      <c r="F7" s="681"/>
      <c r="G7" s="681"/>
      <c r="H7" s="681"/>
      <c r="I7" s="681"/>
      <c r="J7" s="681"/>
      <c r="K7" s="681"/>
      <c r="L7" s="681"/>
      <c r="M7" s="681"/>
      <c r="N7" s="680"/>
      <c r="O7" s="680"/>
      <c r="P7" s="680"/>
      <c r="Q7" s="681"/>
      <c r="R7" s="681"/>
      <c r="S7" s="681"/>
      <c r="T7" s="681"/>
      <c r="U7" s="681"/>
      <c r="V7" s="681"/>
      <c r="W7" s="681"/>
      <c r="X7" s="681"/>
      <c r="Y7" s="681"/>
      <c r="Z7" s="682"/>
    </row>
    <row r="8" spans="2:56" ht="30" customHeight="1">
      <c r="B8" s="252"/>
      <c r="C8" s="253"/>
      <c r="D8" s="253"/>
      <c r="E8" s="253"/>
      <c r="F8" s="244"/>
      <c r="G8" s="244"/>
      <c r="H8" s="244"/>
      <c r="I8" s="244"/>
      <c r="J8" s="244"/>
      <c r="K8" s="244"/>
      <c r="L8" s="244"/>
      <c r="M8" s="244"/>
      <c r="N8" s="253"/>
      <c r="O8" s="253"/>
      <c r="P8" s="253"/>
      <c r="Q8" s="244"/>
      <c r="R8" s="244"/>
      <c r="S8" s="244"/>
      <c r="T8" s="244"/>
      <c r="U8" s="244"/>
      <c r="V8" s="244"/>
      <c r="W8" s="244"/>
      <c r="X8" s="244"/>
      <c r="Y8" s="244"/>
      <c r="Z8" s="246"/>
    </row>
    <row r="9" spans="2:56" ht="30" customHeight="1">
      <c r="B9" s="703"/>
      <c r="C9" s="704"/>
      <c r="D9" s="704"/>
      <c r="E9" s="253"/>
      <c r="F9" s="705"/>
      <c r="G9" s="706"/>
      <c r="H9" s="706"/>
      <c r="I9" s="706"/>
      <c r="J9" s="706"/>
      <c r="K9" s="706"/>
      <c r="L9" s="706"/>
      <c r="M9" s="706"/>
      <c r="N9" s="247"/>
      <c r="O9" s="247"/>
      <c r="P9" s="247"/>
      <c r="Q9" s="707"/>
      <c r="R9" s="707"/>
      <c r="S9" s="707"/>
      <c r="T9" s="707"/>
      <c r="U9" s="707"/>
      <c r="V9" s="707"/>
      <c r="W9" s="707"/>
      <c r="X9" s="707"/>
      <c r="Y9" s="707"/>
      <c r="Z9" s="708"/>
    </row>
    <row r="10" spans="2:56" ht="30" customHeight="1">
      <c r="B10" s="252"/>
      <c r="C10" s="253"/>
      <c r="D10" s="253"/>
      <c r="E10" s="253"/>
      <c r="F10" s="254"/>
      <c r="G10" s="255"/>
      <c r="H10" s="255"/>
      <c r="I10" s="255"/>
      <c r="J10" s="255"/>
      <c r="K10" s="255"/>
      <c r="L10" s="255"/>
      <c r="M10" s="255"/>
      <c r="N10" s="247"/>
      <c r="O10" s="247"/>
      <c r="P10" s="247"/>
      <c r="Q10" s="244"/>
      <c r="R10" s="244"/>
      <c r="S10" s="244"/>
      <c r="T10" s="244"/>
      <c r="U10" s="244"/>
      <c r="V10" s="244"/>
      <c r="W10" s="244"/>
      <c r="X10" s="244"/>
      <c r="Y10" s="244"/>
      <c r="Z10" s="246"/>
    </row>
    <row r="11" spans="2:56" ht="30" customHeight="1">
      <c r="B11" s="703"/>
      <c r="C11" s="704"/>
      <c r="D11" s="704"/>
      <c r="E11" s="253"/>
      <c r="F11" s="709"/>
      <c r="G11" s="709"/>
      <c r="H11" s="709"/>
      <c r="I11" s="709"/>
      <c r="J11" s="709"/>
      <c r="K11" s="709"/>
      <c r="L11" s="709"/>
      <c r="M11" s="709"/>
      <c r="N11" s="247"/>
      <c r="O11" s="247"/>
      <c r="P11" s="247"/>
      <c r="Q11" s="707"/>
      <c r="R11" s="707"/>
      <c r="S11" s="707"/>
      <c r="T11" s="707"/>
      <c r="U11" s="707"/>
      <c r="V11" s="707"/>
      <c r="W11" s="707"/>
      <c r="X11" s="707"/>
      <c r="Y11" s="707"/>
      <c r="Z11" s="708"/>
    </row>
    <row r="12" spans="2:56" ht="30" customHeight="1">
      <c r="B12" s="256"/>
      <c r="C12" s="257"/>
      <c r="D12" s="257"/>
      <c r="E12" s="257"/>
      <c r="F12" s="257"/>
      <c r="G12" s="257"/>
      <c r="H12" s="243"/>
      <c r="I12" s="243"/>
      <c r="J12" s="243"/>
      <c r="K12" s="243"/>
      <c r="L12" s="243"/>
      <c r="M12" s="243"/>
      <c r="N12" s="243"/>
      <c r="O12" s="243"/>
      <c r="P12" s="243"/>
      <c r="Q12" s="243"/>
      <c r="R12" s="243"/>
      <c r="S12" s="243"/>
      <c r="T12" s="257"/>
      <c r="U12" s="257"/>
      <c r="V12" s="257"/>
      <c r="W12" s="257"/>
      <c r="X12" s="257"/>
      <c r="Y12" s="257"/>
      <c r="Z12" s="258"/>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row>
    <row r="13" spans="2:56" ht="30" customHeight="1">
      <c r="B13" s="259"/>
      <c r="C13" s="260"/>
      <c r="D13" s="260"/>
      <c r="E13" s="260"/>
      <c r="F13" s="260"/>
      <c r="G13" s="260"/>
      <c r="H13" s="243"/>
      <c r="I13" s="243"/>
      <c r="J13" s="243"/>
      <c r="K13" s="243"/>
      <c r="L13" s="243"/>
      <c r="M13" s="243"/>
      <c r="N13" s="243"/>
      <c r="O13" s="243"/>
      <c r="P13" s="243"/>
      <c r="Q13" s="243"/>
      <c r="R13" s="243"/>
      <c r="S13" s="243"/>
      <c r="T13" s="260"/>
      <c r="U13" s="260"/>
      <c r="V13" s="260"/>
      <c r="W13" s="260"/>
      <c r="X13" s="260"/>
      <c r="Y13" s="260"/>
      <c r="Z13" s="261"/>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row>
    <row r="14" spans="2:56" ht="30" customHeight="1">
      <c r="B14" s="262"/>
      <c r="C14" s="263"/>
      <c r="D14" s="263"/>
      <c r="E14" s="263"/>
      <c r="F14" s="263"/>
      <c r="G14" s="264"/>
      <c r="I14" s="265" t="s">
        <v>194</v>
      </c>
      <c r="J14" s="264"/>
      <c r="K14" s="264"/>
      <c r="L14" s="264"/>
      <c r="M14" s="266"/>
      <c r="N14" s="264"/>
      <c r="O14" s="264"/>
      <c r="P14" s="264"/>
      <c r="Q14" s="264"/>
      <c r="R14" s="264"/>
      <c r="S14" s="263"/>
      <c r="U14" s="263"/>
      <c r="V14" s="263"/>
      <c r="W14" s="263"/>
      <c r="X14" s="263"/>
      <c r="Y14" s="263"/>
      <c r="Z14" s="267"/>
      <c r="AC14" s="243"/>
      <c r="AD14" s="704"/>
      <c r="AE14" s="704"/>
      <c r="AF14" s="704"/>
      <c r="AG14" s="707"/>
      <c r="AH14" s="707"/>
      <c r="AI14" s="707"/>
      <c r="AJ14" s="707"/>
      <c r="AK14" s="707"/>
      <c r="AL14" s="707"/>
      <c r="AM14" s="707"/>
      <c r="AN14" s="707"/>
      <c r="AO14" s="707"/>
      <c r="AP14" s="704"/>
      <c r="AQ14" s="704"/>
      <c r="AR14" s="704"/>
      <c r="AS14" s="707"/>
      <c r="AT14" s="707"/>
      <c r="AU14" s="707"/>
      <c r="AV14" s="707"/>
      <c r="AW14" s="707"/>
      <c r="AX14" s="707"/>
      <c r="AY14" s="707"/>
      <c r="AZ14" s="707"/>
      <c r="BA14" s="707"/>
      <c r="BB14" s="707"/>
      <c r="BC14" s="243"/>
      <c r="BD14" s="243"/>
    </row>
    <row r="15" spans="2:56" ht="12" customHeight="1">
      <c r="B15" s="268"/>
      <c r="C15" s="264"/>
      <c r="D15" s="264"/>
      <c r="E15" s="264"/>
      <c r="F15" s="264"/>
      <c r="V15" s="264"/>
      <c r="W15" s="264"/>
      <c r="X15" s="264"/>
      <c r="Y15" s="264"/>
      <c r="Z15" s="269"/>
      <c r="AC15" s="243"/>
      <c r="AD15" s="704"/>
      <c r="AE15" s="704"/>
      <c r="AF15" s="704"/>
      <c r="AG15" s="705"/>
      <c r="AH15" s="706"/>
      <c r="AI15" s="706"/>
      <c r="AJ15" s="706"/>
      <c r="AK15" s="706"/>
      <c r="AL15" s="706"/>
      <c r="AM15" s="706"/>
      <c r="AN15" s="706"/>
      <c r="AO15" s="706"/>
      <c r="AP15" s="247"/>
      <c r="AQ15" s="247"/>
      <c r="AR15" s="247"/>
      <c r="AS15" s="707"/>
      <c r="AT15" s="707"/>
      <c r="AU15" s="707"/>
      <c r="AV15" s="707"/>
      <c r="AW15" s="707"/>
      <c r="AX15" s="707"/>
      <c r="AY15" s="707"/>
      <c r="AZ15" s="707"/>
      <c r="BA15" s="707"/>
      <c r="BB15" s="707"/>
      <c r="BC15" s="243"/>
      <c r="BD15" s="243"/>
    </row>
    <row r="16" spans="2:56" ht="27" customHeight="1">
      <c r="B16" s="270"/>
      <c r="C16" s="271"/>
      <c r="D16" s="271"/>
      <c r="E16" s="271"/>
      <c r="F16" s="272"/>
      <c r="G16" s="264" t="s">
        <v>195</v>
      </c>
      <c r="I16" s="265"/>
      <c r="J16" s="264"/>
      <c r="K16" s="264"/>
      <c r="L16" s="264"/>
      <c r="M16" s="266" t="s">
        <v>196</v>
      </c>
      <c r="N16" s="264" t="s">
        <v>197</v>
      </c>
      <c r="O16" s="264"/>
      <c r="P16" s="264"/>
      <c r="Q16" s="264"/>
      <c r="R16" s="264"/>
      <c r="S16" s="264"/>
      <c r="U16" s="264"/>
      <c r="V16" s="272"/>
      <c r="W16" s="272"/>
      <c r="X16" s="272"/>
      <c r="Y16" s="272"/>
      <c r="Z16" s="273"/>
      <c r="AC16" s="243"/>
      <c r="AD16" s="704"/>
      <c r="AE16" s="704"/>
      <c r="AF16" s="704"/>
      <c r="AG16" s="709"/>
      <c r="AH16" s="709"/>
      <c r="AI16" s="709"/>
      <c r="AJ16" s="709"/>
      <c r="AK16" s="709"/>
      <c r="AL16" s="709"/>
      <c r="AM16" s="709"/>
      <c r="AN16" s="709"/>
      <c r="AO16" s="709"/>
      <c r="AP16" s="247"/>
      <c r="AQ16" s="247"/>
      <c r="AR16" s="247"/>
      <c r="AS16" s="707"/>
      <c r="AT16" s="707"/>
      <c r="AU16" s="707"/>
      <c r="AV16" s="707"/>
      <c r="AW16" s="707"/>
      <c r="AX16" s="707"/>
      <c r="AY16" s="707"/>
      <c r="AZ16" s="707"/>
      <c r="BA16" s="707"/>
      <c r="BB16" s="707"/>
      <c r="BC16" s="243"/>
      <c r="BD16" s="243"/>
    </row>
    <row r="17" spans="1:56" ht="27" customHeight="1">
      <c r="B17" s="270"/>
      <c r="C17" s="271"/>
      <c r="D17" s="271"/>
      <c r="E17" s="271"/>
      <c r="F17" s="272"/>
      <c r="G17" s="272"/>
      <c r="H17" s="272"/>
      <c r="I17" s="272"/>
      <c r="J17" s="272"/>
      <c r="K17" s="272"/>
      <c r="L17" s="272"/>
      <c r="M17" s="272"/>
      <c r="N17" s="272"/>
      <c r="O17" s="272"/>
      <c r="P17" s="272"/>
      <c r="Q17" s="272"/>
      <c r="R17" s="272"/>
      <c r="S17" s="272"/>
      <c r="U17" s="272"/>
      <c r="V17" s="272"/>
      <c r="W17" s="272"/>
      <c r="X17" s="272"/>
      <c r="Y17" s="272"/>
      <c r="Z17" s="273"/>
      <c r="AC17" s="243"/>
      <c r="AD17" s="243"/>
      <c r="AE17" s="243"/>
      <c r="AF17" s="243"/>
      <c r="AG17" s="243"/>
      <c r="AH17" s="243"/>
      <c r="AI17" s="243"/>
      <c r="AJ17" s="243"/>
      <c r="AK17" s="243"/>
      <c r="AL17" s="243"/>
      <c r="AM17" s="243"/>
      <c r="AN17" s="243"/>
      <c r="AO17" s="243"/>
      <c r="AP17" s="243"/>
      <c r="AQ17" s="243"/>
      <c r="AR17" s="243"/>
      <c r="AS17" s="243"/>
      <c r="AT17" s="243"/>
      <c r="AU17" s="243"/>
      <c r="AV17" s="243"/>
      <c r="AW17" s="243"/>
      <c r="AX17" s="243"/>
      <c r="AY17" s="243"/>
      <c r="AZ17" s="243"/>
      <c r="BA17" s="243"/>
      <c r="BB17" s="243"/>
      <c r="BC17" s="243"/>
      <c r="BD17" s="243"/>
    </row>
    <row r="18" spans="1:56" ht="27" customHeight="1">
      <c r="B18" s="270"/>
      <c r="C18" s="271"/>
      <c r="D18" s="271"/>
      <c r="E18" s="271"/>
      <c r="F18" s="272"/>
      <c r="G18" s="272"/>
      <c r="Z18" s="273"/>
      <c r="AC18" s="243"/>
      <c r="AD18" s="243"/>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row>
    <row r="19" spans="1:56" ht="27" customHeight="1">
      <c r="B19" s="270"/>
      <c r="C19" s="271"/>
      <c r="D19" s="271"/>
      <c r="E19" s="271"/>
      <c r="F19" s="272"/>
      <c r="G19" s="272"/>
      <c r="Z19" s="273"/>
      <c r="AC19" s="243"/>
      <c r="AD19" s="243"/>
      <c r="AE19" s="243"/>
      <c r="AF19" s="243"/>
      <c r="AG19" s="243"/>
      <c r="AH19" s="243"/>
      <c r="AI19" s="243"/>
      <c r="AJ19" s="243"/>
      <c r="AK19" s="243"/>
      <c r="AL19" s="243"/>
      <c r="AM19" s="243"/>
      <c r="AN19" s="243"/>
      <c r="AO19" s="243"/>
      <c r="AP19" s="243"/>
      <c r="AQ19" s="243"/>
      <c r="AR19" s="243"/>
      <c r="AS19" s="243"/>
      <c r="AT19" s="243"/>
      <c r="AU19" s="243"/>
      <c r="AV19" s="243"/>
      <c r="AW19" s="243"/>
      <c r="AX19" s="243"/>
      <c r="AY19" s="243"/>
      <c r="AZ19" s="243"/>
      <c r="BA19" s="243"/>
      <c r="BB19" s="243"/>
      <c r="BC19" s="243"/>
      <c r="BD19" s="243"/>
    </row>
    <row r="20" spans="1:56" ht="27" customHeight="1">
      <c r="A20" s="274"/>
      <c r="B20" s="275"/>
      <c r="C20" s="276"/>
      <c r="D20" s="276"/>
      <c r="E20" s="276"/>
      <c r="F20" s="276"/>
      <c r="G20" s="276"/>
      <c r="Z20" s="277"/>
    </row>
    <row r="21" spans="1:56" ht="27" customHeight="1">
      <c r="A21" s="274"/>
      <c r="B21" s="275"/>
      <c r="C21" s="276"/>
      <c r="D21" s="276"/>
      <c r="E21" s="276"/>
      <c r="F21" s="276"/>
      <c r="G21" s="276"/>
      <c r="Z21" s="277"/>
    </row>
    <row r="22" spans="1:56" ht="27" customHeight="1">
      <c r="A22" s="274"/>
      <c r="B22" s="278"/>
      <c r="C22" s="279"/>
      <c r="D22" s="279"/>
      <c r="E22" s="279"/>
      <c r="F22" s="279"/>
      <c r="G22" s="279"/>
      <c r="Z22" s="280"/>
    </row>
    <row r="23" spans="1:56" ht="27" customHeight="1">
      <c r="A23" s="274"/>
      <c r="B23" s="281"/>
      <c r="C23" s="282"/>
      <c r="D23" s="282"/>
      <c r="E23" s="282"/>
      <c r="F23" s="282"/>
      <c r="G23" s="282"/>
      <c r="Y23" s="282"/>
      <c r="Z23" s="283"/>
    </row>
    <row r="24" spans="1:56" ht="27" customHeight="1">
      <c r="A24" s="274"/>
      <c r="B24" s="281"/>
      <c r="C24" s="282"/>
      <c r="D24" s="282"/>
      <c r="E24" s="282"/>
      <c r="F24" s="282"/>
      <c r="G24" s="284" t="s">
        <v>198</v>
      </c>
      <c r="H24" s="243"/>
      <c r="I24" s="285"/>
      <c r="J24" s="285"/>
      <c r="K24" s="285"/>
      <c r="L24" s="243"/>
      <c r="M24" s="286" t="s">
        <v>196</v>
      </c>
      <c r="N24" s="287" t="s">
        <v>199</v>
      </c>
      <c r="O24" s="285"/>
      <c r="P24" s="285"/>
      <c r="Q24" s="285"/>
      <c r="R24" s="285"/>
      <c r="S24" s="285"/>
      <c r="T24" s="282"/>
      <c r="U24" s="282"/>
      <c r="V24" s="282"/>
      <c r="W24" s="282"/>
      <c r="X24" s="272"/>
      <c r="Z24" s="283"/>
    </row>
    <row r="25" spans="1:56" ht="27" customHeight="1">
      <c r="A25" s="274"/>
      <c r="B25" s="281"/>
      <c r="C25" s="282"/>
      <c r="D25" s="282"/>
      <c r="E25" s="282"/>
      <c r="F25" s="282"/>
      <c r="G25" s="284" t="s">
        <v>200</v>
      </c>
      <c r="H25" s="243"/>
      <c r="I25" s="285"/>
      <c r="J25" s="285"/>
      <c r="K25" s="285"/>
      <c r="L25" s="243"/>
      <c r="M25" s="286" t="s">
        <v>196</v>
      </c>
      <c r="N25" s="288" t="s">
        <v>201</v>
      </c>
      <c r="O25" s="285"/>
      <c r="P25" s="272"/>
      <c r="Q25" s="272"/>
      <c r="R25" s="272"/>
      <c r="S25" s="272"/>
      <c r="T25" s="272"/>
      <c r="U25" s="272"/>
      <c r="V25" s="272"/>
      <c r="W25" s="272"/>
      <c r="X25" s="243"/>
      <c r="Z25" s="283"/>
    </row>
    <row r="26" spans="1:56" ht="27" customHeight="1">
      <c r="A26" s="274"/>
      <c r="B26" s="281"/>
      <c r="C26" s="282"/>
      <c r="D26" s="282"/>
      <c r="E26" s="282"/>
      <c r="F26" s="282"/>
      <c r="G26" s="243"/>
      <c r="H26" s="243"/>
      <c r="I26" s="243"/>
      <c r="J26" s="243"/>
      <c r="K26" s="243"/>
      <c r="L26" s="243"/>
      <c r="M26" s="243"/>
      <c r="N26" s="289" t="s">
        <v>202</v>
      </c>
      <c r="O26" s="243"/>
      <c r="P26" s="243"/>
      <c r="Q26" s="243"/>
      <c r="R26" s="243"/>
      <c r="S26" s="243"/>
      <c r="T26" s="243"/>
      <c r="U26" s="243"/>
      <c r="V26" s="243"/>
      <c r="W26" s="243"/>
      <c r="X26" s="282"/>
      <c r="Z26" s="283"/>
    </row>
    <row r="27" spans="1:56" ht="27" customHeight="1">
      <c r="A27" s="274"/>
      <c r="B27" s="281"/>
      <c r="C27" s="282"/>
      <c r="D27" s="282"/>
      <c r="E27" s="282"/>
      <c r="F27" s="282"/>
      <c r="G27" s="284" t="s">
        <v>203</v>
      </c>
      <c r="H27" s="243"/>
      <c r="I27" s="285"/>
      <c r="J27" s="285"/>
      <c r="K27" s="285"/>
      <c r="L27" s="243"/>
      <c r="M27" s="286" t="s">
        <v>196</v>
      </c>
      <c r="N27" s="285" t="s">
        <v>204</v>
      </c>
      <c r="O27" s="285"/>
      <c r="P27" s="285"/>
      <c r="Q27" s="285"/>
      <c r="R27" s="285"/>
      <c r="S27" s="285"/>
      <c r="T27" s="282"/>
      <c r="U27" s="282"/>
      <c r="V27" s="282"/>
      <c r="W27" s="282"/>
      <c r="X27" s="282"/>
      <c r="Z27" s="283"/>
    </row>
    <row r="28" spans="1:56" ht="27" customHeight="1">
      <c r="A28" s="274"/>
      <c r="B28" s="281"/>
      <c r="C28" s="282"/>
      <c r="D28" s="282"/>
      <c r="E28" s="282"/>
      <c r="F28" s="282"/>
      <c r="G28" s="288" t="s">
        <v>205</v>
      </c>
      <c r="H28" s="243"/>
      <c r="I28" s="285"/>
      <c r="J28" s="285"/>
      <c r="K28" s="285"/>
      <c r="L28" s="243"/>
      <c r="M28" s="286" t="s">
        <v>196</v>
      </c>
      <c r="N28" s="285" t="s">
        <v>206</v>
      </c>
      <c r="O28" s="285"/>
      <c r="P28" s="285"/>
      <c r="Q28" s="285"/>
      <c r="R28" s="285"/>
      <c r="S28" s="285"/>
      <c r="T28" s="282"/>
      <c r="U28" s="282"/>
      <c r="V28" s="282"/>
      <c r="W28" s="282"/>
      <c r="X28" s="282"/>
      <c r="Z28" s="283"/>
    </row>
    <row r="29" spans="1:56" ht="27" customHeight="1">
      <c r="A29" s="274"/>
      <c r="B29" s="281"/>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3"/>
    </row>
    <row r="30" spans="1:56" ht="27" customHeight="1" thickBot="1">
      <c r="B30" s="290"/>
      <c r="C30" s="291"/>
      <c r="D30" s="291"/>
      <c r="E30" s="291"/>
      <c r="F30" s="291"/>
      <c r="G30" s="291"/>
      <c r="H30" s="291"/>
      <c r="I30" s="291"/>
      <c r="J30" s="291"/>
      <c r="K30" s="291"/>
      <c r="L30" s="291"/>
      <c r="M30" s="291"/>
      <c r="N30" s="291"/>
      <c r="O30" s="291"/>
      <c r="P30" s="291"/>
      <c r="Q30" s="291"/>
      <c r="R30" s="291"/>
      <c r="S30" s="291"/>
      <c r="T30" s="291"/>
      <c r="U30" s="291"/>
      <c r="V30" s="291"/>
      <c r="W30" s="291"/>
      <c r="X30" s="291"/>
      <c r="Y30" s="291"/>
      <c r="Z30" s="292"/>
    </row>
    <row r="31" spans="1:56" ht="20.100000000000001" customHeight="1" thickTop="1">
      <c r="B31" s="710"/>
      <c r="C31" s="711"/>
      <c r="D31" s="712"/>
      <c r="E31" s="713"/>
      <c r="F31" s="714"/>
      <c r="G31" s="715"/>
      <c r="H31" s="716"/>
      <c r="I31" s="716"/>
      <c r="J31" s="716"/>
      <c r="K31" s="716"/>
      <c r="L31" s="716"/>
      <c r="M31" s="716"/>
      <c r="N31" s="717"/>
      <c r="O31" s="718"/>
      <c r="P31" s="719"/>
      <c r="Q31" s="711"/>
      <c r="R31" s="718"/>
      <c r="S31" s="719"/>
      <c r="T31" s="711"/>
      <c r="U31" s="718"/>
      <c r="V31" s="719"/>
      <c r="W31" s="711"/>
      <c r="X31" s="718"/>
      <c r="Y31" s="719"/>
      <c r="Z31" s="720"/>
    </row>
    <row r="32" spans="1:56" ht="20.100000000000001" customHeight="1">
      <c r="B32" s="724"/>
      <c r="C32" s="725"/>
      <c r="D32" s="721"/>
      <c r="E32" s="722"/>
      <c r="F32" s="725"/>
      <c r="G32" s="721"/>
      <c r="H32" s="722"/>
      <c r="I32" s="722"/>
      <c r="J32" s="722"/>
      <c r="K32" s="722"/>
      <c r="L32" s="722"/>
      <c r="M32" s="722"/>
      <c r="N32" s="725"/>
      <c r="O32" s="721"/>
      <c r="P32" s="722"/>
      <c r="Q32" s="725"/>
      <c r="R32" s="721"/>
      <c r="S32" s="722"/>
      <c r="T32" s="725"/>
      <c r="U32" s="721"/>
      <c r="V32" s="722"/>
      <c r="W32" s="725"/>
      <c r="X32" s="721"/>
      <c r="Y32" s="722"/>
      <c r="Z32" s="723"/>
    </row>
    <row r="33" spans="2:26" ht="20.100000000000001" customHeight="1">
      <c r="B33" s="724"/>
      <c r="C33" s="725"/>
      <c r="D33" s="721"/>
      <c r="E33" s="722"/>
      <c r="F33" s="725"/>
      <c r="G33" s="721"/>
      <c r="H33" s="722"/>
      <c r="I33" s="722"/>
      <c r="J33" s="722"/>
      <c r="K33" s="722"/>
      <c r="L33" s="722"/>
      <c r="M33" s="722"/>
      <c r="N33" s="725"/>
      <c r="O33" s="721"/>
      <c r="P33" s="722"/>
      <c r="Q33" s="725"/>
      <c r="R33" s="721"/>
      <c r="S33" s="722"/>
      <c r="T33" s="725"/>
      <c r="U33" s="721"/>
      <c r="V33" s="722"/>
      <c r="W33" s="725"/>
      <c r="X33" s="721"/>
      <c r="Y33" s="722"/>
      <c r="Z33" s="723"/>
    </row>
    <row r="34" spans="2:26" ht="20.100000000000001" customHeight="1">
      <c r="B34" s="724"/>
      <c r="C34" s="725"/>
      <c r="D34" s="721"/>
      <c r="E34" s="722"/>
      <c r="F34" s="725"/>
      <c r="G34" s="721"/>
      <c r="H34" s="722"/>
      <c r="I34" s="722"/>
      <c r="J34" s="722"/>
      <c r="K34" s="722"/>
      <c r="L34" s="722"/>
      <c r="M34" s="722"/>
      <c r="N34" s="725"/>
      <c r="O34" s="721"/>
      <c r="P34" s="722"/>
      <c r="Q34" s="725"/>
      <c r="R34" s="721"/>
      <c r="S34" s="722"/>
      <c r="T34" s="725"/>
      <c r="U34" s="721"/>
      <c r="V34" s="722"/>
      <c r="W34" s="725"/>
      <c r="X34" s="721"/>
      <c r="Y34" s="722"/>
      <c r="Z34" s="723"/>
    </row>
    <row r="35" spans="2:26" ht="20.100000000000001" customHeight="1">
      <c r="B35" s="724"/>
      <c r="C35" s="725"/>
      <c r="D35" s="721"/>
      <c r="E35" s="722"/>
      <c r="F35" s="725"/>
      <c r="G35" s="721"/>
      <c r="H35" s="722"/>
      <c r="I35" s="722"/>
      <c r="J35" s="722"/>
      <c r="K35" s="722"/>
      <c r="L35" s="722"/>
      <c r="M35" s="722"/>
      <c r="N35" s="725"/>
      <c r="O35" s="721"/>
      <c r="P35" s="722"/>
      <c r="Q35" s="725"/>
      <c r="R35" s="721"/>
      <c r="S35" s="722"/>
      <c r="T35" s="725"/>
      <c r="U35" s="721"/>
      <c r="V35" s="722"/>
      <c r="W35" s="725"/>
      <c r="X35" s="721"/>
      <c r="Y35" s="722"/>
      <c r="Z35" s="723"/>
    </row>
    <row r="36" spans="2:26" ht="20.100000000000001" customHeight="1">
      <c r="B36" s="724"/>
      <c r="C36" s="725"/>
      <c r="D36" s="721"/>
      <c r="E36" s="722"/>
      <c r="F36" s="725"/>
      <c r="G36" s="721"/>
      <c r="H36" s="722"/>
      <c r="I36" s="722"/>
      <c r="J36" s="722"/>
      <c r="K36" s="722"/>
      <c r="L36" s="722"/>
      <c r="M36" s="722"/>
      <c r="N36" s="725"/>
      <c r="O36" s="721"/>
      <c r="P36" s="722"/>
      <c r="Q36" s="725"/>
      <c r="R36" s="721"/>
      <c r="S36" s="722"/>
      <c r="T36" s="725"/>
      <c r="U36" s="721"/>
      <c r="V36" s="722"/>
      <c r="W36" s="725"/>
      <c r="X36" s="721"/>
      <c r="Y36" s="722"/>
      <c r="Z36" s="723"/>
    </row>
    <row r="37" spans="2:26" ht="20.100000000000001" customHeight="1">
      <c r="B37" s="724"/>
      <c r="C37" s="725"/>
      <c r="D37" s="721"/>
      <c r="E37" s="722"/>
      <c r="F37" s="725"/>
      <c r="G37" s="721"/>
      <c r="H37" s="722"/>
      <c r="I37" s="722"/>
      <c r="J37" s="722"/>
      <c r="K37" s="722"/>
      <c r="L37" s="722"/>
      <c r="M37" s="722"/>
      <c r="N37" s="725"/>
      <c r="O37" s="721"/>
      <c r="P37" s="722"/>
      <c r="Q37" s="725"/>
      <c r="R37" s="721"/>
      <c r="S37" s="722"/>
      <c r="T37" s="725"/>
      <c r="U37" s="721"/>
      <c r="V37" s="722"/>
      <c r="W37" s="725"/>
      <c r="X37" s="721"/>
      <c r="Y37" s="722"/>
      <c r="Z37" s="723"/>
    </row>
    <row r="38" spans="2:26" ht="20.100000000000001" customHeight="1" thickBot="1">
      <c r="B38" s="741" t="s">
        <v>207</v>
      </c>
      <c r="C38" s="742"/>
      <c r="D38" s="743" t="s">
        <v>208</v>
      </c>
      <c r="E38" s="744"/>
      <c r="F38" s="745"/>
      <c r="G38" s="743" t="s">
        <v>209</v>
      </c>
      <c r="H38" s="744"/>
      <c r="I38" s="744"/>
      <c r="J38" s="744"/>
      <c r="K38" s="744"/>
      <c r="L38" s="744"/>
      <c r="M38" s="744"/>
      <c r="N38" s="745"/>
      <c r="O38" s="721" t="s">
        <v>210</v>
      </c>
      <c r="P38" s="722"/>
      <c r="Q38" s="725"/>
      <c r="R38" s="721" t="s">
        <v>211</v>
      </c>
      <c r="S38" s="722"/>
      <c r="T38" s="725"/>
      <c r="U38" s="721" t="s">
        <v>212</v>
      </c>
      <c r="V38" s="722"/>
      <c r="W38" s="725"/>
      <c r="X38" s="726"/>
      <c r="Y38" s="727"/>
      <c r="Z38" s="728"/>
    </row>
    <row r="39" spans="2:26" ht="20.100000000000001" customHeight="1" thickBot="1">
      <c r="B39" s="729" t="s">
        <v>213</v>
      </c>
      <c r="C39" s="730"/>
      <c r="D39" s="733" t="s">
        <v>214</v>
      </c>
      <c r="E39" s="734"/>
      <c r="F39" s="730"/>
      <c r="G39" s="733" t="s">
        <v>215</v>
      </c>
      <c r="H39" s="734"/>
      <c r="I39" s="734"/>
      <c r="J39" s="734"/>
      <c r="K39" s="734"/>
      <c r="L39" s="734"/>
      <c r="M39" s="734"/>
      <c r="N39" s="730"/>
      <c r="O39" s="733" t="s">
        <v>216</v>
      </c>
      <c r="P39" s="734"/>
      <c r="Q39" s="730"/>
      <c r="R39" s="733" t="s">
        <v>216</v>
      </c>
      <c r="S39" s="734"/>
      <c r="T39" s="730"/>
      <c r="U39" s="733" t="s">
        <v>217</v>
      </c>
      <c r="V39" s="734"/>
      <c r="W39" s="730"/>
      <c r="X39" s="733" t="s">
        <v>218</v>
      </c>
      <c r="Y39" s="734"/>
      <c r="Z39" s="737"/>
    </row>
    <row r="40" spans="2:26" ht="20.100000000000001" customHeight="1" thickTop="1" thickBot="1">
      <c r="B40" s="731"/>
      <c r="C40" s="732"/>
      <c r="D40" s="735"/>
      <c r="E40" s="736"/>
      <c r="F40" s="732"/>
      <c r="G40" s="735"/>
      <c r="H40" s="736"/>
      <c r="I40" s="736"/>
      <c r="J40" s="736"/>
      <c r="K40" s="736"/>
      <c r="L40" s="736"/>
      <c r="M40" s="736"/>
      <c r="N40" s="732"/>
      <c r="O40" s="735"/>
      <c r="P40" s="736"/>
      <c r="Q40" s="732"/>
      <c r="R40" s="735"/>
      <c r="S40" s="736"/>
      <c r="T40" s="732"/>
      <c r="U40" s="735"/>
      <c r="V40" s="736"/>
      <c r="W40" s="732"/>
      <c r="X40" s="738" t="s">
        <v>217</v>
      </c>
      <c r="Y40" s="739"/>
      <c r="Z40" s="740"/>
    </row>
    <row r="41" spans="2:26">
      <c r="Z41" s="293" t="s">
        <v>219</v>
      </c>
    </row>
  </sheetData>
  <mergeCells count="89">
    <mergeCell ref="X38:Z38"/>
    <mergeCell ref="B39:C40"/>
    <mergeCell ref="D39:F40"/>
    <mergeCell ref="G39:N40"/>
    <mergeCell ref="O39:Q40"/>
    <mergeCell ref="R39:T40"/>
    <mergeCell ref="U39:W40"/>
    <mergeCell ref="X39:Z39"/>
    <mergeCell ref="X40:Z40"/>
    <mergeCell ref="B38:C38"/>
    <mergeCell ref="D38:F38"/>
    <mergeCell ref="G38:N38"/>
    <mergeCell ref="O38:Q38"/>
    <mergeCell ref="R38:T38"/>
    <mergeCell ref="U38:W38"/>
    <mergeCell ref="X36:Z36"/>
    <mergeCell ref="B37:C37"/>
    <mergeCell ref="D37:F37"/>
    <mergeCell ref="G37:N37"/>
    <mergeCell ref="O37:Q37"/>
    <mergeCell ref="R37:T37"/>
    <mergeCell ref="U37:W37"/>
    <mergeCell ref="X37:Z37"/>
    <mergeCell ref="B36:C36"/>
    <mergeCell ref="D36:F36"/>
    <mergeCell ref="G36:N36"/>
    <mergeCell ref="O36:Q36"/>
    <mergeCell ref="R36:T36"/>
    <mergeCell ref="U36:W36"/>
    <mergeCell ref="X34:Z34"/>
    <mergeCell ref="B35:C35"/>
    <mergeCell ref="D35:F35"/>
    <mergeCell ref="G35:N35"/>
    <mergeCell ref="O35:Q35"/>
    <mergeCell ref="R35:T35"/>
    <mergeCell ref="U35:W35"/>
    <mergeCell ref="X35:Z35"/>
    <mergeCell ref="B34:C34"/>
    <mergeCell ref="D34:F34"/>
    <mergeCell ref="G34:N34"/>
    <mergeCell ref="O34:Q34"/>
    <mergeCell ref="R34:T34"/>
    <mergeCell ref="U34:W34"/>
    <mergeCell ref="X32:Z32"/>
    <mergeCell ref="B33:C33"/>
    <mergeCell ref="D33:F33"/>
    <mergeCell ref="G33:N33"/>
    <mergeCell ref="O33:Q33"/>
    <mergeCell ref="R33:T33"/>
    <mergeCell ref="U33:W33"/>
    <mergeCell ref="X33:Z33"/>
    <mergeCell ref="B32:C32"/>
    <mergeCell ref="D32:F32"/>
    <mergeCell ref="G32:N32"/>
    <mergeCell ref="O32:Q32"/>
    <mergeCell ref="R32:T32"/>
    <mergeCell ref="U32:W32"/>
    <mergeCell ref="AD16:AF16"/>
    <mergeCell ref="AG16:AO16"/>
    <mergeCell ref="AS16:BB16"/>
    <mergeCell ref="B31:C31"/>
    <mergeCell ref="D31:F31"/>
    <mergeCell ref="G31:N31"/>
    <mergeCell ref="O31:Q31"/>
    <mergeCell ref="R31:T31"/>
    <mergeCell ref="U31:W31"/>
    <mergeCell ref="X31:Z31"/>
    <mergeCell ref="AD14:AF14"/>
    <mergeCell ref="AG14:AO14"/>
    <mergeCell ref="AP14:AR14"/>
    <mergeCell ref="AS14:BB14"/>
    <mergeCell ref="AD15:AF15"/>
    <mergeCell ref="AG15:AO15"/>
    <mergeCell ref="AS15:BB15"/>
    <mergeCell ref="B9:D9"/>
    <mergeCell ref="F9:M9"/>
    <mergeCell ref="Q9:Z9"/>
    <mergeCell ref="B11:D11"/>
    <mergeCell ref="F11:M11"/>
    <mergeCell ref="Q11:Z11"/>
    <mergeCell ref="B7:D7"/>
    <mergeCell ref="F7:M7"/>
    <mergeCell ref="N7:P7"/>
    <mergeCell ref="Q7:Z7"/>
    <mergeCell ref="I2:T4"/>
    <mergeCell ref="U3:W3"/>
    <mergeCell ref="I5:T6"/>
    <mergeCell ref="U5:W6"/>
    <mergeCell ref="X5:X6"/>
  </mergeCells>
  <phoneticPr fontId="1" type="noConversion"/>
  <printOptions horizontalCentered="1" gridLinesSet="0"/>
  <pageMargins left="0.39370078740157483" right="0.23622047244094491" top="0.59055118110236227" bottom="0.39370078740157483" header="0.27559055118110237" footer="0.27559055118110237"/>
  <pageSetup paperSize="9" scale="80"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GJ74"/>
  <sheetViews>
    <sheetView showGridLines="0" view="pageBreakPreview" zoomScale="85" zoomScaleSheetLayoutView="85" workbookViewId="0">
      <selection activeCell="AQ51" sqref="AQ51"/>
    </sheetView>
  </sheetViews>
  <sheetFormatPr defaultRowHeight="16.5"/>
  <cols>
    <col min="1" max="1" width="3.625" customWidth="1"/>
    <col min="2" max="3" width="2.625" customWidth="1"/>
    <col min="4" max="97" width="0.875" customWidth="1"/>
    <col min="98" max="98" width="2.625" customWidth="1"/>
    <col min="99" max="99" width="2.375" customWidth="1"/>
    <col min="101" max="192" width="1.5" customWidth="1"/>
  </cols>
  <sheetData>
    <row r="1" spans="1:99" ht="2.1" customHeight="1">
      <c r="B1" s="746"/>
      <c r="C1" s="746"/>
      <c r="D1" s="746"/>
      <c r="E1" s="746"/>
      <c r="F1" s="746"/>
      <c r="G1" s="746"/>
      <c r="H1" s="746"/>
      <c r="I1" s="746"/>
      <c r="J1" s="746"/>
      <c r="K1" s="746"/>
      <c r="L1" s="746"/>
      <c r="M1" s="746"/>
      <c r="N1" s="746"/>
      <c r="O1" s="746"/>
      <c r="P1" s="746"/>
      <c r="Q1" s="746"/>
      <c r="R1" s="746"/>
      <c r="S1" s="746"/>
      <c r="T1" s="746"/>
      <c r="U1" s="746"/>
      <c r="V1" s="746"/>
      <c r="W1" s="746"/>
      <c r="X1" s="746"/>
      <c r="Y1" s="746"/>
      <c r="Z1" s="746"/>
      <c r="AA1" s="746"/>
      <c r="AB1" s="746"/>
      <c r="AC1" s="746"/>
      <c r="AD1" s="746"/>
      <c r="AE1" s="746"/>
      <c r="AF1" s="746"/>
      <c r="AG1" s="746"/>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6"/>
      <c r="BK1" s="746"/>
      <c r="BL1" s="746"/>
      <c r="BM1" s="746"/>
      <c r="BN1" s="746"/>
      <c r="BO1" s="746"/>
      <c r="BP1" s="746"/>
      <c r="BQ1" s="746"/>
      <c r="BR1" s="746"/>
      <c r="BS1" s="746"/>
      <c r="BT1" s="746"/>
      <c r="BU1" s="746"/>
      <c r="BV1" s="746"/>
      <c r="BW1" s="746"/>
      <c r="BX1" s="746"/>
      <c r="BY1" s="746"/>
      <c r="BZ1" s="746"/>
      <c r="CA1" s="746"/>
      <c r="CB1" s="746"/>
      <c r="CC1" s="746"/>
      <c r="CD1" s="746"/>
      <c r="CE1" s="746"/>
      <c r="CF1" s="746"/>
      <c r="CG1" s="746"/>
      <c r="CH1" s="746"/>
      <c r="CI1" s="746"/>
      <c r="CJ1" s="746"/>
      <c r="CK1" s="746"/>
      <c r="CL1" s="746"/>
      <c r="CM1" s="746"/>
      <c r="CN1" s="746"/>
      <c r="CO1" s="746"/>
      <c r="CP1" s="746"/>
      <c r="CQ1" s="746"/>
      <c r="CR1" s="746"/>
      <c r="CS1" s="746"/>
      <c r="CT1" s="746"/>
      <c r="CU1" s="155"/>
    </row>
    <row r="2" spans="1:99" ht="12" customHeight="1" thickBot="1">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7"/>
      <c r="AV2" s="157"/>
      <c r="AW2" s="157"/>
      <c r="AX2" s="157"/>
      <c r="AY2" s="157"/>
      <c r="AZ2" s="157"/>
      <c r="BA2" s="157"/>
      <c r="BB2" s="157"/>
      <c r="BC2" s="157"/>
      <c r="BD2" s="157"/>
      <c r="BE2" s="157"/>
      <c r="BF2" s="157"/>
      <c r="BG2" s="157"/>
      <c r="BH2" s="157"/>
      <c r="BI2" s="157"/>
      <c r="BJ2" s="157"/>
      <c r="BK2" s="157"/>
      <c r="BL2" s="157"/>
      <c r="BM2" s="157"/>
      <c r="BN2" s="157"/>
      <c r="BO2" s="157"/>
      <c r="BP2" s="157"/>
      <c r="BQ2" s="157"/>
      <c r="BR2" s="157"/>
      <c r="BS2" s="157"/>
      <c r="BT2" s="157"/>
      <c r="BU2" s="157"/>
      <c r="BV2" s="157"/>
      <c r="BW2" s="157"/>
      <c r="BX2" s="157"/>
      <c r="BY2" s="157"/>
      <c r="BZ2" s="157"/>
      <c r="CA2" s="157"/>
      <c r="CB2" s="157"/>
      <c r="CC2" s="157"/>
      <c r="CD2" s="157"/>
      <c r="CE2" s="157"/>
      <c r="CF2" s="157"/>
      <c r="CG2" s="157"/>
      <c r="CH2" s="157"/>
      <c r="CI2" s="157"/>
      <c r="CJ2" s="157"/>
      <c r="CK2" s="157"/>
      <c r="CL2" s="157"/>
      <c r="CM2" s="157"/>
      <c r="CN2" s="157"/>
      <c r="CO2" s="157"/>
      <c r="CP2" s="157"/>
      <c r="CQ2" s="157"/>
      <c r="CR2" s="157"/>
      <c r="CS2" s="157"/>
      <c r="CT2" s="157"/>
      <c r="CU2" s="155"/>
    </row>
    <row r="3" spans="1:99" ht="12" customHeight="1">
      <c r="A3" s="747" t="s">
        <v>128</v>
      </c>
      <c r="B3" s="158"/>
      <c r="C3" s="159"/>
      <c r="D3" s="160"/>
      <c r="E3" s="161"/>
      <c r="F3" s="161"/>
      <c r="G3" s="161"/>
      <c r="H3" s="161"/>
      <c r="I3" s="161"/>
      <c r="J3" s="161"/>
      <c r="K3" s="161"/>
      <c r="L3" s="161"/>
      <c r="M3" s="161"/>
      <c r="N3" s="161"/>
      <c r="O3" s="161"/>
      <c r="P3" s="161"/>
      <c r="Q3" s="161"/>
      <c r="R3" s="161"/>
      <c r="S3" s="161"/>
      <c r="T3" s="161"/>
      <c r="U3" s="161"/>
      <c r="V3" s="161"/>
      <c r="W3" s="161"/>
      <c r="X3" s="161"/>
      <c r="Y3" s="161"/>
      <c r="Z3" s="161"/>
      <c r="AA3" s="161"/>
      <c r="AB3" s="162"/>
      <c r="AC3" s="162"/>
      <c r="AD3" s="162"/>
      <c r="AE3" s="162"/>
      <c r="AF3" s="162"/>
      <c r="AG3" s="162"/>
      <c r="AH3" s="160"/>
      <c r="AI3" s="160"/>
      <c r="AJ3" s="160"/>
      <c r="AK3" s="160"/>
      <c r="AL3" s="160"/>
      <c r="AM3" s="160"/>
      <c r="AN3" s="160"/>
      <c r="AO3" s="163"/>
      <c r="AP3" s="164"/>
      <c r="AQ3" s="161"/>
      <c r="AR3" s="165"/>
      <c r="AS3" s="164"/>
      <c r="AT3" s="166"/>
      <c r="AU3" s="167"/>
      <c r="AV3" s="168"/>
      <c r="AW3" s="168"/>
      <c r="AX3" s="168"/>
      <c r="AY3" s="168"/>
      <c r="AZ3" s="168"/>
      <c r="BA3" s="168"/>
      <c r="BB3" s="168"/>
      <c r="BC3" s="168"/>
      <c r="BD3" s="168"/>
      <c r="BE3" s="168"/>
      <c r="BF3" s="168"/>
      <c r="BG3" s="168"/>
      <c r="BH3" s="168"/>
      <c r="BI3" s="168"/>
      <c r="BJ3" s="168"/>
      <c r="BK3" s="168"/>
      <c r="BL3" s="168"/>
      <c r="BM3" s="168"/>
      <c r="BN3" s="168"/>
      <c r="BO3" s="168"/>
      <c r="BP3" s="168"/>
      <c r="BQ3" s="168"/>
      <c r="BR3" s="168"/>
      <c r="BS3" s="168"/>
      <c r="BT3" s="168"/>
      <c r="BU3" s="168"/>
      <c r="BV3" s="168"/>
      <c r="BW3" s="168"/>
      <c r="BX3" s="168"/>
      <c r="BY3" s="168"/>
      <c r="BZ3" s="168"/>
      <c r="CA3" s="748" t="s">
        <v>129</v>
      </c>
      <c r="CB3" s="748"/>
      <c r="CC3" s="748"/>
      <c r="CD3" s="748"/>
      <c r="CE3" s="748"/>
      <c r="CF3" s="748"/>
      <c r="CG3" s="748"/>
      <c r="CH3" s="748"/>
      <c r="CI3" s="749">
        <v>2</v>
      </c>
      <c r="CJ3" s="749"/>
      <c r="CK3" s="749"/>
      <c r="CL3" s="749"/>
      <c r="CM3" s="169" t="s">
        <v>130</v>
      </c>
      <c r="CN3" s="169"/>
      <c r="CO3" s="169"/>
      <c r="CP3" s="750">
        <v>6</v>
      </c>
      <c r="CQ3" s="750"/>
      <c r="CR3" s="750"/>
      <c r="CS3" s="750"/>
      <c r="CT3" s="170"/>
      <c r="CU3" s="155"/>
    </row>
    <row r="4" spans="1:99" ht="12" customHeight="1">
      <c r="A4" s="747"/>
      <c r="B4" s="158"/>
      <c r="C4" s="171"/>
      <c r="D4" s="172"/>
      <c r="E4" s="172"/>
      <c r="F4" s="172"/>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72"/>
      <c r="AM4" s="172"/>
      <c r="AN4" s="172"/>
      <c r="AO4" s="172"/>
      <c r="AP4" s="172"/>
      <c r="AQ4" s="173"/>
      <c r="AR4" s="174"/>
      <c r="AS4" s="175"/>
      <c r="AT4" s="176" t="s">
        <v>131</v>
      </c>
      <c r="AU4" s="177"/>
      <c r="AV4" s="178"/>
      <c r="AW4" s="178"/>
      <c r="AX4" s="178"/>
      <c r="AY4" s="178"/>
      <c r="AZ4" s="178"/>
      <c r="BA4" s="178"/>
      <c r="BB4" s="178"/>
      <c r="BC4" s="178"/>
      <c r="BD4" s="179"/>
      <c r="BE4" s="179"/>
      <c r="BF4" s="179"/>
      <c r="BG4" s="751" t="str">
        <f>[1]Cover!N24</f>
        <v>3080</v>
      </c>
      <c r="BH4" s="751"/>
      <c r="BI4" s="751"/>
      <c r="BJ4" s="751"/>
      <c r="BK4" s="751"/>
      <c r="BL4" s="751"/>
      <c r="BM4" s="751"/>
      <c r="BN4" s="751"/>
      <c r="BO4" s="751"/>
      <c r="BP4" s="751"/>
      <c r="BQ4" s="751"/>
      <c r="BR4" s="751"/>
      <c r="BS4" s="751"/>
      <c r="BT4" s="751"/>
      <c r="BU4" s="751"/>
      <c r="BV4" s="751"/>
      <c r="BW4" s="751"/>
      <c r="BX4" s="751"/>
      <c r="BY4" s="751"/>
      <c r="BZ4" s="751"/>
      <c r="CA4" s="751"/>
      <c r="CB4" s="751"/>
      <c r="CC4" s="751"/>
      <c r="CD4" s="751"/>
      <c r="CE4" s="751"/>
      <c r="CF4" s="751"/>
      <c r="CG4" s="751"/>
      <c r="CH4" s="751"/>
      <c r="CI4" s="751"/>
      <c r="CJ4" s="751"/>
      <c r="CK4" s="751"/>
      <c r="CL4" s="751"/>
      <c r="CM4" s="751"/>
      <c r="CN4" s="751"/>
      <c r="CO4" s="751"/>
      <c r="CP4" s="751"/>
      <c r="CQ4" s="751"/>
      <c r="CR4" s="751"/>
      <c r="CS4" s="751"/>
      <c r="CT4" s="180"/>
      <c r="CU4" s="155"/>
    </row>
    <row r="5" spans="1:99" ht="12" customHeight="1">
      <c r="A5" s="747"/>
      <c r="B5" s="158"/>
      <c r="C5" s="173"/>
      <c r="D5" s="172"/>
      <c r="E5" s="172"/>
      <c r="F5" s="172"/>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72"/>
      <c r="AM5" s="172"/>
      <c r="AN5" s="172"/>
      <c r="AO5" s="172"/>
      <c r="AP5" s="172"/>
      <c r="AQ5" s="173"/>
      <c r="AR5" s="174"/>
      <c r="AS5" s="181"/>
      <c r="AT5" s="176" t="s">
        <v>132</v>
      </c>
      <c r="AU5" s="177"/>
      <c r="AV5" s="178"/>
      <c r="AW5" s="178"/>
      <c r="AX5" s="178"/>
      <c r="AY5" s="178"/>
      <c r="AZ5" s="178"/>
      <c r="BA5" s="178"/>
      <c r="BB5" s="178"/>
      <c r="BC5" s="178"/>
      <c r="BD5" s="176"/>
      <c r="BE5" s="176"/>
      <c r="BF5" s="179"/>
      <c r="BG5" s="752" t="str">
        <f>[1]Cover!N25</f>
        <v xml:space="preserve">NFC MR TERMINAL PROJECT </v>
      </c>
      <c r="BH5" s="752"/>
      <c r="BI5" s="752"/>
      <c r="BJ5" s="752"/>
      <c r="BK5" s="752"/>
      <c r="BL5" s="752"/>
      <c r="BM5" s="752"/>
      <c r="BN5" s="752"/>
      <c r="BO5" s="752"/>
      <c r="BP5" s="752"/>
      <c r="BQ5" s="752"/>
      <c r="BR5" s="752"/>
      <c r="BS5" s="752"/>
      <c r="BT5" s="752"/>
      <c r="BU5" s="752"/>
      <c r="BV5" s="752"/>
      <c r="BW5" s="752"/>
      <c r="BX5" s="752"/>
      <c r="BY5" s="752"/>
      <c r="BZ5" s="752"/>
      <c r="CA5" s="752"/>
      <c r="CB5" s="752"/>
      <c r="CC5" s="752"/>
      <c r="CD5" s="752"/>
      <c r="CE5" s="752"/>
      <c r="CF5" s="752"/>
      <c r="CG5" s="752"/>
      <c r="CH5" s="752"/>
      <c r="CI5" s="752"/>
      <c r="CJ5" s="752"/>
      <c r="CK5" s="752"/>
      <c r="CL5" s="752"/>
      <c r="CM5" s="752"/>
      <c r="CN5" s="752"/>
      <c r="CO5" s="752"/>
      <c r="CP5" s="752"/>
      <c r="CQ5" s="752"/>
      <c r="CR5" s="752"/>
      <c r="CS5" s="752"/>
      <c r="CT5" s="180"/>
      <c r="CU5" s="155"/>
    </row>
    <row r="6" spans="1:99" ht="12" customHeight="1">
      <c r="A6" s="747"/>
      <c r="B6" s="174"/>
      <c r="D6" s="182"/>
      <c r="E6" s="182"/>
      <c r="F6" s="182"/>
      <c r="G6" s="182"/>
      <c r="H6" s="182"/>
      <c r="I6" s="182"/>
      <c r="J6" s="182"/>
      <c r="K6" s="182"/>
      <c r="L6" s="182"/>
      <c r="M6" s="182"/>
      <c r="N6" s="182"/>
      <c r="O6" s="182"/>
      <c r="P6" s="182"/>
      <c r="Q6" s="182"/>
      <c r="R6" s="182"/>
      <c r="S6" s="182"/>
      <c r="T6" s="182"/>
      <c r="U6" s="182"/>
      <c r="V6" s="182"/>
      <c r="W6" s="182"/>
      <c r="X6" s="182"/>
      <c r="Y6" s="182"/>
      <c r="Z6" s="182"/>
      <c r="AA6" s="182"/>
      <c r="AB6" s="182"/>
      <c r="AC6" s="182"/>
      <c r="AD6" s="182"/>
      <c r="AE6" s="182"/>
      <c r="AF6" s="182"/>
      <c r="AG6" s="182"/>
      <c r="AH6" s="182"/>
      <c r="AI6" s="182"/>
      <c r="AJ6" s="182"/>
      <c r="AK6" s="182"/>
      <c r="AL6" s="182"/>
      <c r="AM6" s="182"/>
      <c r="AN6" s="182"/>
      <c r="AO6" s="182"/>
      <c r="AP6" s="182"/>
      <c r="AQ6" s="182"/>
      <c r="AR6" s="183"/>
      <c r="AS6" s="175"/>
      <c r="AT6" s="176" t="s">
        <v>133</v>
      </c>
      <c r="AU6" s="177"/>
      <c r="AV6" s="178"/>
      <c r="AW6" s="178"/>
      <c r="AX6" s="178"/>
      <c r="AY6" s="178"/>
      <c r="AZ6" s="178"/>
      <c r="BA6" s="178"/>
      <c r="BB6" s="178"/>
      <c r="BC6" s="178"/>
      <c r="BD6" s="179"/>
      <c r="BE6" s="179"/>
      <c r="BF6" s="179"/>
      <c r="BG6" s="752"/>
      <c r="BH6" s="752"/>
      <c r="BI6" s="752"/>
      <c r="BJ6" s="752"/>
      <c r="BK6" s="752"/>
      <c r="BL6" s="752"/>
      <c r="BM6" s="752"/>
      <c r="BN6" s="752"/>
      <c r="BO6" s="752"/>
      <c r="BP6" s="752"/>
      <c r="BQ6" s="752"/>
      <c r="BR6" s="752"/>
      <c r="BS6" s="752"/>
      <c r="BT6" s="752"/>
      <c r="BU6" s="752"/>
      <c r="BV6" s="752"/>
      <c r="BW6" s="752"/>
      <c r="BX6" s="752"/>
      <c r="BY6" s="752"/>
      <c r="BZ6" s="752"/>
      <c r="CA6" s="753" t="s">
        <v>134</v>
      </c>
      <c r="CB6" s="753"/>
      <c r="CC6" s="753"/>
      <c r="CD6" s="753"/>
      <c r="CE6" s="753"/>
      <c r="CF6" s="753"/>
      <c r="CG6" s="752">
        <v>1</v>
      </c>
      <c r="CH6" s="752"/>
      <c r="CI6" s="752"/>
      <c r="CJ6" s="752"/>
      <c r="CK6" s="752"/>
      <c r="CL6" s="752"/>
      <c r="CM6" s="752"/>
      <c r="CN6" s="752"/>
      <c r="CO6" s="752"/>
      <c r="CP6" s="752"/>
      <c r="CQ6" s="752"/>
      <c r="CR6" s="752"/>
      <c r="CS6" s="752"/>
      <c r="CT6" s="180"/>
      <c r="CU6" s="155"/>
    </row>
    <row r="7" spans="1:99" ht="12" customHeight="1">
      <c r="A7" s="747"/>
      <c r="B7" s="183"/>
      <c r="C7" s="754" t="s">
        <v>135</v>
      </c>
      <c r="D7" s="754"/>
      <c r="E7" s="754"/>
      <c r="F7" s="754"/>
      <c r="G7" s="754"/>
      <c r="H7" s="754"/>
      <c r="I7" s="754"/>
      <c r="J7" s="754"/>
      <c r="K7" s="754"/>
      <c r="L7" s="754"/>
      <c r="M7" s="754"/>
      <c r="N7" s="754"/>
      <c r="O7" s="754"/>
      <c r="P7" s="754"/>
      <c r="Q7" s="754"/>
      <c r="R7" s="754"/>
      <c r="S7" s="754"/>
      <c r="T7" s="754"/>
      <c r="U7" s="754"/>
      <c r="V7" s="754"/>
      <c r="W7" s="754"/>
      <c r="X7" s="754"/>
      <c r="Y7" s="754"/>
      <c r="Z7" s="754"/>
      <c r="AA7" s="754"/>
      <c r="AB7" s="754"/>
      <c r="AC7" s="754"/>
      <c r="AD7" s="754"/>
      <c r="AE7" s="754"/>
      <c r="AF7" s="754"/>
      <c r="AG7" s="754"/>
      <c r="AH7" s="754"/>
      <c r="AI7" s="754"/>
      <c r="AJ7" s="754"/>
      <c r="AK7" s="754"/>
      <c r="AL7" s="754"/>
      <c r="AM7" s="754"/>
      <c r="AN7" s="754"/>
      <c r="AO7" s="754"/>
      <c r="AP7" s="754"/>
      <c r="AQ7" s="754"/>
      <c r="AR7" s="755"/>
      <c r="AS7" s="175"/>
      <c r="AT7" s="176" t="s">
        <v>21</v>
      </c>
      <c r="AU7" s="177"/>
      <c r="AV7" s="178"/>
      <c r="AW7" s="178"/>
      <c r="AX7" s="178"/>
      <c r="AY7" s="178"/>
      <c r="AZ7" s="178"/>
      <c r="BA7" s="178"/>
      <c r="BB7" s="178"/>
      <c r="BC7" s="178"/>
      <c r="BD7" s="179"/>
      <c r="BE7" s="179"/>
      <c r="BF7" s="179"/>
      <c r="BG7" s="751" t="str">
        <f>[1]Cover!N16</f>
        <v>Unloading Line to Tank</v>
      </c>
      <c r="BH7" s="751"/>
      <c r="BI7" s="751"/>
      <c r="BJ7" s="751"/>
      <c r="BK7" s="751"/>
      <c r="BL7" s="751"/>
      <c r="BM7" s="751"/>
      <c r="BN7" s="751"/>
      <c r="BO7" s="751"/>
      <c r="BP7" s="751"/>
      <c r="BQ7" s="751"/>
      <c r="BR7" s="751"/>
      <c r="BS7" s="751"/>
      <c r="BT7" s="751"/>
      <c r="BU7" s="751"/>
      <c r="BV7" s="751"/>
      <c r="BW7" s="751"/>
      <c r="BX7" s="751"/>
      <c r="BY7" s="751"/>
      <c r="BZ7" s="751"/>
      <c r="CA7" s="751"/>
      <c r="CB7" s="751"/>
      <c r="CC7" s="751"/>
      <c r="CD7" s="751"/>
      <c r="CE7" s="751"/>
      <c r="CF7" s="751"/>
      <c r="CG7" s="751"/>
      <c r="CH7" s="751"/>
      <c r="CI7" s="751"/>
      <c r="CJ7" s="751"/>
      <c r="CK7" s="751"/>
      <c r="CL7" s="751"/>
      <c r="CM7" s="751"/>
      <c r="CN7" s="751"/>
      <c r="CO7" s="751"/>
      <c r="CP7" s="751"/>
      <c r="CQ7" s="751"/>
      <c r="CR7" s="751"/>
      <c r="CS7" s="751"/>
      <c r="CT7" s="180"/>
      <c r="CU7" s="155"/>
    </row>
    <row r="8" spans="1:99" ht="12" customHeight="1">
      <c r="A8" s="747"/>
      <c r="B8" s="183"/>
      <c r="C8" s="756"/>
      <c r="D8" s="756"/>
      <c r="E8" s="756"/>
      <c r="F8" s="756"/>
      <c r="G8" s="756"/>
      <c r="H8" s="756"/>
      <c r="I8" s="756"/>
      <c r="J8" s="756"/>
      <c r="K8" s="756"/>
      <c r="L8" s="756"/>
      <c r="M8" s="756"/>
      <c r="N8" s="756"/>
      <c r="O8" s="756"/>
      <c r="P8" s="756"/>
      <c r="Q8" s="756"/>
      <c r="R8" s="756"/>
      <c r="S8" s="756"/>
      <c r="T8" s="756"/>
      <c r="U8" s="756"/>
      <c r="V8" s="756"/>
      <c r="W8" s="756"/>
      <c r="X8" s="756"/>
      <c r="Y8" s="756"/>
      <c r="Z8" s="756"/>
      <c r="AA8" s="756"/>
      <c r="AB8" s="756"/>
      <c r="AC8" s="756"/>
      <c r="AD8" s="756"/>
      <c r="AE8" s="756"/>
      <c r="AF8" s="756"/>
      <c r="AG8" s="756"/>
      <c r="AH8" s="756"/>
      <c r="AI8" s="756"/>
      <c r="AJ8" s="756"/>
      <c r="AK8" s="756"/>
      <c r="AL8" s="756"/>
      <c r="AM8" s="756"/>
      <c r="AN8" s="756"/>
      <c r="AO8" s="756"/>
      <c r="AP8" s="756"/>
      <c r="AQ8" s="756"/>
      <c r="AR8" s="757"/>
      <c r="AS8" s="175"/>
      <c r="AT8" s="184" t="s">
        <v>136</v>
      </c>
      <c r="AU8" s="177"/>
      <c r="AV8" s="178"/>
      <c r="AW8" s="178"/>
      <c r="AX8" s="178"/>
      <c r="AY8" s="178"/>
      <c r="AZ8" s="178"/>
      <c r="BA8" s="178"/>
      <c r="BB8" s="178"/>
      <c r="BC8" s="178"/>
      <c r="BD8" s="179"/>
      <c r="BE8" s="179"/>
      <c r="BF8" s="179"/>
      <c r="BG8" s="758" t="str">
        <f>[1]Cover!N27</f>
        <v>3080-PE-RP-003</v>
      </c>
      <c r="BH8" s="758"/>
      <c r="BI8" s="758"/>
      <c r="BJ8" s="758"/>
      <c r="BK8" s="758"/>
      <c r="BL8" s="758"/>
      <c r="BM8" s="758"/>
      <c r="BN8" s="758"/>
      <c r="BO8" s="758"/>
      <c r="BP8" s="758"/>
      <c r="BQ8" s="758"/>
      <c r="BR8" s="758"/>
      <c r="BS8" s="758"/>
      <c r="BT8" s="758"/>
      <c r="BU8" s="758"/>
      <c r="BV8" s="758"/>
      <c r="BW8" s="758"/>
      <c r="BX8" s="758"/>
      <c r="BY8" s="758"/>
      <c r="BZ8" s="758"/>
      <c r="CA8" s="753" t="s">
        <v>137</v>
      </c>
      <c r="CB8" s="753"/>
      <c r="CC8" s="753"/>
      <c r="CD8" s="753"/>
      <c r="CE8" s="753"/>
      <c r="CF8" s="753"/>
      <c r="CG8" s="758" t="str">
        <f>[1]Cover!B38</f>
        <v>A</v>
      </c>
      <c r="CH8" s="758"/>
      <c r="CI8" s="758"/>
      <c r="CJ8" s="758"/>
      <c r="CK8" s="758"/>
      <c r="CL8" s="758"/>
      <c r="CM8" s="758"/>
      <c r="CN8" s="758"/>
      <c r="CO8" s="758"/>
      <c r="CP8" s="758"/>
      <c r="CQ8" s="758"/>
      <c r="CR8" s="758"/>
      <c r="CS8" s="758"/>
      <c r="CT8" s="180"/>
      <c r="CU8" s="155"/>
    </row>
    <row r="9" spans="1:99" ht="3" customHeight="1">
      <c r="A9" s="747"/>
      <c r="B9" s="185"/>
      <c r="C9" s="186"/>
      <c r="D9" s="187"/>
      <c r="E9" s="187"/>
      <c r="F9" s="187"/>
      <c r="G9" s="187"/>
      <c r="H9" s="187"/>
      <c r="I9" s="187"/>
      <c r="J9" s="187"/>
      <c r="K9" s="187"/>
      <c r="L9" s="187"/>
      <c r="M9" s="187"/>
      <c r="N9" s="187"/>
      <c r="O9" s="187"/>
      <c r="P9" s="187"/>
      <c r="Q9" s="187"/>
      <c r="R9" s="187"/>
      <c r="S9" s="188"/>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90"/>
      <c r="AV9" s="191"/>
      <c r="AW9" s="191"/>
      <c r="AX9" s="191"/>
      <c r="AY9" s="191"/>
      <c r="AZ9" s="191"/>
      <c r="BA9" s="191"/>
      <c r="BB9" s="191"/>
      <c r="BC9" s="191"/>
      <c r="BD9" s="192"/>
      <c r="BE9" s="192"/>
      <c r="BF9" s="192"/>
      <c r="BG9" s="193"/>
      <c r="BH9" s="193"/>
      <c r="BI9" s="193"/>
      <c r="BJ9" s="193"/>
      <c r="BK9" s="193"/>
      <c r="BL9" s="193"/>
      <c r="BM9" s="193"/>
      <c r="BN9" s="188"/>
      <c r="BO9" s="193"/>
      <c r="BP9" s="193"/>
      <c r="BQ9" s="189"/>
      <c r="BR9" s="189"/>
      <c r="BS9" s="189"/>
      <c r="BT9" s="189"/>
      <c r="BU9" s="189"/>
      <c r="BV9" s="189"/>
      <c r="BW9" s="189"/>
      <c r="BX9" s="189"/>
      <c r="BY9" s="189"/>
      <c r="BZ9" s="189"/>
      <c r="CA9" s="189"/>
      <c r="CB9" s="189"/>
      <c r="CC9" s="189"/>
      <c r="CD9" s="189"/>
      <c r="CE9" s="189"/>
      <c r="CF9" s="189"/>
      <c r="CG9" s="189"/>
      <c r="CH9" s="189"/>
      <c r="CI9" s="189"/>
      <c r="CJ9" s="189"/>
      <c r="CK9" s="189"/>
      <c r="CL9" s="189"/>
      <c r="CM9" s="189"/>
      <c r="CN9" s="189"/>
      <c r="CO9" s="189"/>
      <c r="CP9" s="189"/>
      <c r="CQ9" s="189"/>
      <c r="CR9" s="189"/>
      <c r="CS9" s="189"/>
      <c r="CT9" s="194"/>
      <c r="CU9" s="155"/>
    </row>
    <row r="10" spans="1:99" ht="13.5" customHeight="1">
      <c r="A10" s="747"/>
      <c r="B10" s="195">
        <v>1</v>
      </c>
      <c r="C10" s="196"/>
      <c r="D10" s="197"/>
      <c r="E10" s="197"/>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c r="AP10" s="197"/>
      <c r="AQ10" s="197"/>
      <c r="AR10" s="197"/>
      <c r="AS10" s="197"/>
      <c r="AT10" s="197"/>
      <c r="AU10" s="197"/>
      <c r="AV10" s="197"/>
      <c r="AW10" s="197"/>
      <c r="AX10" s="197"/>
      <c r="AY10" s="197"/>
      <c r="AZ10" s="197"/>
      <c r="BA10" s="197"/>
      <c r="BB10" s="197"/>
      <c r="BC10" s="197"/>
      <c r="BD10" s="197"/>
      <c r="BE10" s="197"/>
      <c r="BF10" s="197"/>
      <c r="BG10" s="197"/>
      <c r="BH10" s="197"/>
      <c r="BI10" s="197"/>
      <c r="BJ10" s="197"/>
      <c r="BK10" s="197"/>
      <c r="BL10" s="197"/>
      <c r="BM10" s="197"/>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197"/>
      <c r="CR10" s="197"/>
      <c r="CS10" s="197"/>
      <c r="CT10" s="196"/>
      <c r="CU10" s="155"/>
    </row>
    <row r="11" spans="1:99" ht="13.5" customHeight="1">
      <c r="A11" s="747"/>
      <c r="B11" s="195">
        <v>2</v>
      </c>
      <c r="C11" s="196"/>
      <c r="D11" s="198"/>
      <c r="F11" s="199" t="s">
        <v>138</v>
      </c>
      <c r="CR11" s="200"/>
      <c r="CS11" s="200"/>
      <c r="CT11" s="196"/>
      <c r="CU11" s="155"/>
    </row>
    <row r="12" spans="1:99" ht="13.5" customHeight="1">
      <c r="A12" s="747"/>
      <c r="B12" s="195">
        <v>3</v>
      </c>
      <c r="C12" s="196"/>
      <c r="D12" s="201"/>
      <c r="G12" s="202" t="s">
        <v>139</v>
      </c>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3"/>
      <c r="CP12" s="203"/>
      <c r="CQ12" s="203"/>
      <c r="CR12" s="204"/>
      <c r="CS12" s="204"/>
      <c r="CT12" s="196"/>
      <c r="CU12" s="155"/>
    </row>
    <row r="13" spans="1:99" ht="13.5" customHeight="1">
      <c r="A13" s="747"/>
      <c r="B13" s="195">
        <v>4</v>
      </c>
      <c r="C13" s="196"/>
      <c r="D13" s="201"/>
      <c r="G13" s="202" t="s">
        <v>140</v>
      </c>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3"/>
      <c r="CP13" s="203"/>
      <c r="CQ13" s="203"/>
      <c r="CR13" s="204"/>
      <c r="CS13" s="204"/>
      <c r="CT13" s="196"/>
      <c r="CU13" s="155"/>
    </row>
    <row r="14" spans="1:99" ht="13.5" customHeight="1">
      <c r="A14" s="747"/>
      <c r="B14" s="195">
        <v>5</v>
      </c>
      <c r="C14" s="196"/>
      <c r="D14" s="201"/>
      <c r="G14" s="202"/>
      <c r="H14" s="202"/>
      <c r="I14" s="202"/>
      <c r="J14" s="202"/>
      <c r="K14" s="202"/>
      <c r="L14" s="202"/>
      <c r="M14" s="202"/>
      <c r="N14" s="202"/>
      <c r="O14" s="202"/>
      <c r="P14" s="202"/>
      <c r="Q14" s="202"/>
      <c r="R14" s="202"/>
      <c r="S14" s="202"/>
      <c r="T14" s="202"/>
      <c r="U14" s="202"/>
      <c r="V14" s="202"/>
      <c r="W14" s="202"/>
      <c r="X14" s="202"/>
      <c r="Y14" s="202"/>
      <c r="Z14" s="202"/>
      <c r="AA14" s="202"/>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3"/>
      <c r="CP14" s="203"/>
      <c r="CQ14" s="203"/>
      <c r="CR14" s="204"/>
      <c r="CS14" s="204"/>
      <c r="CT14" s="196"/>
      <c r="CU14" s="155"/>
    </row>
    <row r="15" spans="1:99" ht="13.5" customHeight="1">
      <c r="A15" s="747"/>
      <c r="B15" s="195">
        <v>6</v>
      </c>
      <c r="C15" s="196"/>
      <c r="D15" s="201"/>
      <c r="F15" s="199" t="s">
        <v>141</v>
      </c>
      <c r="G15" s="175"/>
      <c r="H15" s="205"/>
      <c r="I15" s="205"/>
      <c r="J15" s="205"/>
      <c r="K15" s="205"/>
      <c r="L15" s="205"/>
      <c r="M15" s="205"/>
      <c r="N15" s="205"/>
      <c r="O15" s="205"/>
      <c r="P15" s="200"/>
      <c r="Q15" s="200"/>
      <c r="R15" s="200"/>
      <c r="S15" s="200"/>
      <c r="T15" s="200"/>
      <c r="U15" s="200"/>
      <c r="V15" s="200"/>
      <c r="W15" s="200"/>
      <c r="X15" s="200"/>
      <c r="Y15" s="200"/>
      <c r="Z15" s="200"/>
      <c r="AA15" s="200"/>
      <c r="AB15" s="200"/>
      <c r="AC15" s="200"/>
      <c r="AD15" s="200"/>
      <c r="AE15" s="200"/>
      <c r="AF15" s="200"/>
      <c r="AG15" s="200"/>
      <c r="AH15" s="200"/>
      <c r="AI15" s="200"/>
      <c r="AJ15" s="200"/>
      <c r="AK15" s="200"/>
      <c r="AL15" s="200"/>
      <c r="AM15" s="200"/>
      <c r="AN15" s="200"/>
      <c r="AO15" s="200"/>
      <c r="AP15" s="200"/>
      <c r="AQ15" s="200"/>
      <c r="AR15" s="200"/>
      <c r="AS15" s="200"/>
      <c r="AT15" s="200"/>
      <c r="AU15" s="200"/>
      <c r="AV15" s="200"/>
      <c r="AW15" s="200"/>
      <c r="AX15" s="200"/>
      <c r="AY15" s="200"/>
      <c r="AZ15" s="200"/>
      <c r="BA15" s="200"/>
      <c r="BB15" s="200"/>
      <c r="BC15" s="200"/>
      <c r="BD15" s="200"/>
      <c r="BE15" s="200"/>
      <c r="BF15" s="200"/>
      <c r="BG15" s="200"/>
      <c r="BH15" s="200"/>
      <c r="BI15" s="200"/>
      <c r="BJ15" s="200"/>
      <c r="BK15" s="200"/>
      <c r="BL15" s="200"/>
      <c r="BM15" s="200"/>
      <c r="BN15" s="200"/>
      <c r="BO15" s="200"/>
      <c r="BP15" s="200"/>
      <c r="BQ15" s="200"/>
      <c r="BR15" s="200"/>
      <c r="BS15" s="200"/>
      <c r="BT15" s="200"/>
      <c r="BU15" s="200"/>
      <c r="BV15" s="200"/>
      <c r="BW15" s="200"/>
      <c r="BX15" s="200"/>
      <c r="BY15" s="200"/>
      <c r="BZ15" s="200"/>
      <c r="CA15" s="200"/>
      <c r="CB15" s="200"/>
      <c r="CC15" s="200"/>
      <c r="CD15" s="200"/>
      <c r="CE15" s="200"/>
      <c r="CF15" s="200"/>
      <c r="CG15" s="200"/>
      <c r="CH15" s="200"/>
      <c r="CI15" s="200"/>
      <c r="CJ15" s="200"/>
      <c r="CK15" s="200"/>
      <c r="CL15" s="200"/>
      <c r="CM15" s="200"/>
      <c r="CN15" s="200"/>
      <c r="CO15" s="200"/>
      <c r="CP15" s="200"/>
      <c r="CQ15" s="200"/>
      <c r="CR15" s="204"/>
      <c r="CS15" s="204"/>
      <c r="CT15" s="196"/>
      <c r="CU15" s="155"/>
    </row>
    <row r="16" spans="1:99" ht="13.5" customHeight="1">
      <c r="A16" s="747"/>
      <c r="B16" s="195">
        <v>7</v>
      </c>
      <c r="C16" s="196"/>
      <c r="D16" s="201"/>
      <c r="F16" s="206"/>
      <c r="G16" s="202" t="s">
        <v>142</v>
      </c>
      <c r="CR16" s="204"/>
      <c r="CS16" s="204"/>
      <c r="CT16" s="196"/>
      <c r="CU16" s="155"/>
    </row>
    <row r="17" spans="1:192" ht="13.5" customHeight="1">
      <c r="A17" s="747"/>
      <c r="B17" s="195">
        <v>8</v>
      </c>
      <c r="C17" s="196"/>
      <c r="D17" s="198"/>
      <c r="F17" s="206"/>
      <c r="G17" s="202" t="s">
        <v>143</v>
      </c>
      <c r="CR17" s="200"/>
      <c r="CS17" s="204"/>
      <c r="CT17" s="196"/>
      <c r="CU17" s="155"/>
    </row>
    <row r="18" spans="1:192" ht="12.75" customHeight="1">
      <c r="A18" s="747"/>
      <c r="B18" s="195">
        <v>9</v>
      </c>
      <c r="C18" s="196"/>
      <c r="D18" s="201"/>
      <c r="F18" s="206"/>
      <c r="CR18" s="204"/>
      <c r="CS18" s="204"/>
      <c r="CT18" s="196"/>
      <c r="CU18" s="155"/>
    </row>
    <row r="19" spans="1:192" ht="13.5" customHeight="1">
      <c r="A19" s="747"/>
      <c r="B19" s="195">
        <v>10</v>
      </c>
      <c r="C19" s="196"/>
      <c r="D19" s="201"/>
      <c r="F19" s="206"/>
      <c r="G19" s="207" t="s">
        <v>144</v>
      </c>
      <c r="H19" s="204"/>
      <c r="I19" s="20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c r="AG19" s="204"/>
      <c r="AH19" s="204"/>
      <c r="AI19" s="208"/>
      <c r="AJ19" s="204"/>
      <c r="AK19" s="204"/>
      <c r="AL19" s="204"/>
      <c r="AM19" s="204"/>
      <c r="AN19" s="204"/>
      <c r="AO19" s="204"/>
      <c r="AP19" s="204"/>
      <c r="AQ19" s="204"/>
      <c r="AR19" s="204"/>
      <c r="AS19" s="204"/>
      <c r="AT19" s="204"/>
      <c r="AU19" s="204"/>
      <c r="AV19" s="204"/>
      <c r="AW19" s="204"/>
      <c r="AX19" s="204"/>
      <c r="AY19" s="204"/>
      <c r="AZ19" s="204"/>
      <c r="BA19" s="204"/>
      <c r="BB19" s="204"/>
      <c r="BC19" s="204"/>
      <c r="BD19" s="204"/>
      <c r="BE19" s="204"/>
      <c r="BF19" s="204"/>
      <c r="BG19" s="204"/>
      <c r="BH19" s="204"/>
      <c r="BI19" s="204"/>
      <c r="BJ19" s="204"/>
      <c r="BK19" s="204"/>
      <c r="BL19" s="204"/>
      <c r="BM19" s="204"/>
      <c r="BN19" s="204"/>
      <c r="BO19" s="204"/>
      <c r="BP19" s="204"/>
      <c r="BQ19" s="204"/>
      <c r="BR19" s="204"/>
      <c r="BS19" s="204"/>
      <c r="BT19" s="204"/>
      <c r="BU19" s="204"/>
      <c r="BV19" s="204"/>
      <c r="BW19" s="204"/>
      <c r="BX19" s="204"/>
      <c r="BY19" s="204"/>
      <c r="BZ19" s="204"/>
      <c r="CA19" s="204"/>
      <c r="CB19" s="204"/>
      <c r="CC19" s="204"/>
      <c r="CD19" s="204"/>
      <c r="CE19" s="204"/>
      <c r="CF19" s="204"/>
      <c r="CG19" s="204"/>
      <c r="CH19" s="204"/>
      <c r="CI19" s="204"/>
      <c r="CJ19" s="204"/>
      <c r="CK19" s="204"/>
      <c r="CL19" s="204"/>
      <c r="CM19" s="204"/>
      <c r="CN19" s="204"/>
      <c r="CO19" s="204"/>
      <c r="CP19" s="204"/>
      <c r="CQ19" s="204"/>
      <c r="CR19" s="204"/>
      <c r="CS19" s="204"/>
      <c r="CT19" s="196"/>
      <c r="CU19" s="155"/>
    </row>
    <row r="20" spans="1:192" ht="13.5" customHeight="1">
      <c r="A20" s="747"/>
      <c r="B20" s="195">
        <v>11</v>
      </c>
      <c r="C20" s="196"/>
      <c r="D20" s="198"/>
      <c r="F20" s="206"/>
      <c r="G20" s="204"/>
      <c r="H20" s="209" t="s">
        <v>145</v>
      </c>
      <c r="I20" s="209"/>
      <c r="J20" s="209"/>
      <c r="K20" s="209"/>
      <c r="L20" s="209"/>
      <c r="M20" s="209"/>
      <c r="N20" s="209"/>
      <c r="O20" s="209"/>
      <c r="P20" s="209"/>
      <c r="Q20" s="209"/>
      <c r="R20" s="209"/>
      <c r="S20" s="209"/>
      <c r="T20" s="209"/>
      <c r="U20" s="209"/>
      <c r="X20" s="759">
        <f>[1]Case1!Q24</f>
        <v>1132500</v>
      </c>
      <c r="Y20" s="759"/>
      <c r="Z20" s="759"/>
      <c r="AA20" s="759"/>
      <c r="AB20" s="759"/>
      <c r="AC20" s="759"/>
      <c r="AD20" s="759"/>
      <c r="AE20" s="759"/>
      <c r="AF20" s="759"/>
      <c r="AG20" s="759"/>
      <c r="AH20" s="209"/>
      <c r="AI20" s="208" t="s">
        <v>146</v>
      </c>
      <c r="AK20" s="208"/>
      <c r="AL20" s="208"/>
      <c r="AM20" s="208"/>
      <c r="AN20" s="208"/>
      <c r="AO20" s="208"/>
      <c r="AP20" s="208"/>
      <c r="AQ20" s="208"/>
      <c r="AR20" s="209"/>
      <c r="AS20" s="209"/>
      <c r="AT20" s="209"/>
      <c r="AU20" s="209" t="s">
        <v>147</v>
      </c>
      <c r="AV20" s="209"/>
      <c r="AW20" s="209"/>
      <c r="AX20" s="209"/>
      <c r="AY20" s="209"/>
      <c r="AZ20" s="209"/>
      <c r="BA20" s="209"/>
      <c r="BB20" s="209"/>
      <c r="BC20" s="209"/>
      <c r="BD20" s="209"/>
      <c r="BE20" s="209"/>
      <c r="BF20" s="209"/>
      <c r="BG20" s="784">
        <f>[1]Case1!Q19</f>
        <v>755</v>
      </c>
      <c r="BH20" s="772"/>
      <c r="BI20" s="772"/>
      <c r="BJ20" s="772"/>
      <c r="BK20" s="772"/>
      <c r="BL20" s="772"/>
      <c r="BM20" s="772"/>
      <c r="BN20" s="772"/>
      <c r="BO20" s="772"/>
      <c r="BP20" s="772"/>
      <c r="BQ20" s="209"/>
      <c r="BR20" s="209"/>
      <c r="BS20" s="209" t="s">
        <v>148</v>
      </c>
      <c r="BT20" s="204"/>
      <c r="BU20" s="204"/>
      <c r="BV20" s="204"/>
      <c r="BW20" s="204"/>
      <c r="BX20" s="204"/>
      <c r="BY20" s="204"/>
      <c r="BZ20" s="204"/>
      <c r="CA20" s="204"/>
      <c r="CB20" s="204"/>
      <c r="CC20" s="204"/>
      <c r="CD20" s="204"/>
      <c r="CE20" s="204"/>
      <c r="CF20" s="204"/>
      <c r="CG20" s="204"/>
      <c r="CH20" s="204"/>
      <c r="CI20" s="204"/>
      <c r="CJ20" s="204"/>
      <c r="CK20" s="204"/>
      <c r="CL20" s="204"/>
      <c r="CM20" s="204"/>
      <c r="CN20" s="204"/>
      <c r="CO20" s="204"/>
      <c r="CP20" s="204"/>
      <c r="CQ20" s="204"/>
      <c r="CR20" s="204"/>
      <c r="CS20" s="204"/>
      <c r="CT20" s="196"/>
      <c r="CU20" s="155"/>
    </row>
    <row r="21" spans="1:192" ht="13.5" customHeight="1">
      <c r="A21" s="747"/>
      <c r="B21" s="195">
        <v>12</v>
      </c>
      <c r="C21" s="196"/>
      <c r="D21" s="201"/>
      <c r="F21" s="206"/>
      <c r="G21" s="204"/>
      <c r="H21" s="210"/>
      <c r="I21" s="210"/>
      <c r="J21" s="209"/>
      <c r="K21" s="209"/>
      <c r="L21" s="209"/>
      <c r="M21" s="209"/>
      <c r="N21" s="209"/>
      <c r="O21" s="209"/>
      <c r="P21" s="209"/>
      <c r="Q21" s="209"/>
      <c r="R21" s="209"/>
      <c r="S21" s="209"/>
      <c r="T21" s="209"/>
      <c r="U21" s="209"/>
      <c r="X21" s="759">
        <f>[1]Case1!Q18</f>
        <v>1500</v>
      </c>
      <c r="Y21" s="759"/>
      <c r="Z21" s="759"/>
      <c r="AA21" s="759"/>
      <c r="AB21" s="759"/>
      <c r="AC21" s="759"/>
      <c r="AD21" s="759"/>
      <c r="AE21" s="759"/>
      <c r="AF21" s="759"/>
      <c r="AG21" s="759"/>
      <c r="AH21" s="209"/>
      <c r="AI21" s="208" t="s">
        <v>149</v>
      </c>
      <c r="AK21" s="208"/>
      <c r="AL21" s="208"/>
      <c r="AM21" s="208"/>
      <c r="AN21" s="208"/>
      <c r="AO21" s="208"/>
      <c r="AP21" s="208"/>
      <c r="AQ21" s="208"/>
      <c r="AR21" s="209"/>
      <c r="AS21" s="209"/>
      <c r="AT21" s="209"/>
      <c r="AU21" s="209" t="s">
        <v>150</v>
      </c>
      <c r="AV21" s="209"/>
      <c r="AW21" s="209"/>
      <c r="AX21" s="209"/>
      <c r="AY21" s="209"/>
      <c r="AZ21" s="209"/>
      <c r="BA21" s="209"/>
      <c r="BB21" s="209"/>
      <c r="BC21" s="209"/>
      <c r="BD21" s="209"/>
      <c r="BE21" s="209"/>
      <c r="BF21" s="209"/>
      <c r="BG21" s="772">
        <f>[1]Case1!Q20</f>
        <v>0.56000000000000005</v>
      </c>
      <c r="BH21" s="772"/>
      <c r="BI21" s="772"/>
      <c r="BJ21" s="772"/>
      <c r="BK21" s="772"/>
      <c r="BL21" s="772"/>
      <c r="BM21" s="772"/>
      <c r="BN21" s="772"/>
      <c r="BO21" s="772"/>
      <c r="BP21" s="772"/>
      <c r="BQ21" s="209"/>
      <c r="BR21" s="209"/>
      <c r="BS21" s="209" t="s">
        <v>151</v>
      </c>
      <c r="BT21" s="204"/>
      <c r="BU21" s="204"/>
      <c r="BV21" s="204"/>
      <c r="BW21" s="204"/>
      <c r="BX21" s="204"/>
      <c r="BY21" s="204"/>
      <c r="BZ21" s="204"/>
      <c r="CA21" s="204"/>
      <c r="CB21" s="204"/>
      <c r="CC21" s="204"/>
      <c r="CD21" s="204"/>
      <c r="CE21" s="204"/>
      <c r="CF21" s="204"/>
      <c r="CG21" s="204"/>
      <c r="CH21" s="204"/>
      <c r="CI21" s="204"/>
      <c r="CJ21" s="204"/>
      <c r="CK21" s="204"/>
      <c r="CL21" s="204"/>
      <c r="CM21" s="204"/>
      <c r="CN21" s="204"/>
      <c r="CO21" s="204"/>
      <c r="CP21" s="204"/>
      <c r="CQ21" s="204"/>
      <c r="CR21" s="204"/>
      <c r="CS21" s="204"/>
      <c r="CT21" s="196"/>
      <c r="CU21" s="155"/>
    </row>
    <row r="22" spans="1:192" ht="13.5" customHeight="1">
      <c r="A22" s="747"/>
      <c r="B22" s="195">
        <v>13</v>
      </c>
      <c r="C22" s="196"/>
      <c r="D22" s="201"/>
      <c r="F22" s="206"/>
      <c r="G22" s="204"/>
      <c r="H22" s="210"/>
      <c r="I22" s="210"/>
      <c r="J22" s="209"/>
      <c r="K22" s="209"/>
      <c r="L22" s="209"/>
      <c r="M22" s="209"/>
      <c r="N22" s="209"/>
      <c r="O22" s="209"/>
      <c r="P22" s="209"/>
      <c r="Q22" s="209"/>
      <c r="R22" s="209"/>
      <c r="S22" s="209"/>
      <c r="T22" s="209"/>
      <c r="U22" s="209"/>
      <c r="V22" s="209"/>
      <c r="W22" s="209"/>
      <c r="X22" s="209"/>
      <c r="Y22" s="209"/>
      <c r="Z22" s="209"/>
      <c r="AA22" s="209"/>
      <c r="AB22" s="209"/>
      <c r="AC22" s="209"/>
      <c r="AD22" s="209"/>
      <c r="AE22" s="209"/>
      <c r="AF22" s="209"/>
      <c r="AG22" s="209"/>
      <c r="AH22" s="209"/>
      <c r="AI22" s="209"/>
      <c r="AJ22" s="209"/>
      <c r="AK22" s="209"/>
      <c r="AL22" s="209"/>
      <c r="AM22" s="209"/>
      <c r="AN22" s="209"/>
      <c r="AO22" s="209"/>
      <c r="AP22" s="209"/>
      <c r="AQ22" s="209"/>
      <c r="AR22" s="209"/>
      <c r="AS22" s="209"/>
      <c r="AT22" s="209"/>
      <c r="AU22" s="209"/>
      <c r="AV22" s="209"/>
      <c r="AW22" s="209"/>
      <c r="AX22" s="209"/>
      <c r="AY22" s="209"/>
      <c r="AZ22" s="209"/>
      <c r="BA22" s="209"/>
      <c r="BB22" s="209"/>
      <c r="BC22" s="209"/>
      <c r="BD22" s="209"/>
      <c r="BE22" s="209"/>
      <c r="BF22" s="209"/>
      <c r="BG22" s="209"/>
      <c r="BH22" s="209"/>
      <c r="BI22" s="209"/>
      <c r="BJ22" s="209"/>
      <c r="BK22" s="209"/>
      <c r="BL22" s="209"/>
      <c r="BM22" s="209"/>
      <c r="BN22" s="209"/>
      <c r="BO22" s="209"/>
      <c r="BP22" s="209"/>
      <c r="BQ22" s="209"/>
      <c r="BR22" s="209"/>
      <c r="BS22" s="209"/>
      <c r="BT22" s="204"/>
      <c r="BU22" s="204"/>
      <c r="BV22" s="204"/>
      <c r="BW22" s="204"/>
      <c r="BX22" s="204"/>
      <c r="BY22" s="204"/>
      <c r="BZ22" s="204"/>
      <c r="CA22" s="204"/>
      <c r="CB22" s="204"/>
      <c r="CC22" s="204"/>
      <c r="CD22" s="204"/>
      <c r="CE22" s="204"/>
      <c r="CF22" s="204"/>
      <c r="CG22" s="204"/>
      <c r="CH22" s="204"/>
      <c r="CI22" s="204"/>
      <c r="CJ22" s="204"/>
      <c r="CK22" s="204"/>
      <c r="CL22" s="204"/>
      <c r="CM22" s="204"/>
      <c r="CN22" s="204"/>
      <c r="CO22" s="204"/>
      <c r="CP22" s="204"/>
      <c r="CQ22" s="204"/>
      <c r="CR22" s="204"/>
      <c r="CS22" s="204"/>
      <c r="CT22" s="196"/>
      <c r="CU22" s="155"/>
    </row>
    <row r="23" spans="1:192" ht="13.5" customHeight="1">
      <c r="A23" s="747"/>
      <c r="B23" s="195">
        <v>14</v>
      </c>
      <c r="C23" s="196"/>
      <c r="D23" s="201"/>
      <c r="F23" s="206"/>
      <c r="G23" s="207" t="s">
        <v>152</v>
      </c>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c r="AH23" s="209"/>
      <c r="AI23" s="209"/>
      <c r="AJ23" s="209"/>
      <c r="AK23" s="209"/>
      <c r="AL23" s="209"/>
      <c r="AM23" s="209"/>
      <c r="AN23" s="209"/>
      <c r="AO23" s="209"/>
      <c r="AP23" s="209"/>
      <c r="AQ23" s="209"/>
      <c r="AR23" s="209"/>
      <c r="AS23" s="209"/>
      <c r="AT23" s="209"/>
      <c r="AU23" s="209"/>
      <c r="AV23" s="209"/>
      <c r="AW23" s="209"/>
      <c r="AX23" s="209"/>
      <c r="AY23" s="209"/>
      <c r="AZ23" s="209"/>
      <c r="BA23" s="209"/>
      <c r="BB23" s="209"/>
      <c r="BC23" s="209"/>
      <c r="BD23" s="209"/>
      <c r="BE23" s="209"/>
      <c r="BF23" s="209"/>
      <c r="BG23" s="209"/>
      <c r="BH23" s="209"/>
      <c r="BI23" s="209"/>
      <c r="BJ23" s="209"/>
      <c r="BK23" s="209"/>
      <c r="BL23" s="209"/>
      <c r="BM23" s="209"/>
      <c r="BN23" s="209"/>
      <c r="BO23" s="209"/>
      <c r="BP23" s="209"/>
      <c r="BQ23" s="209"/>
      <c r="BR23" s="209"/>
      <c r="BS23" s="209"/>
      <c r="BT23" s="204"/>
      <c r="BU23" s="204"/>
      <c r="BV23" s="204"/>
      <c r="BW23" s="204"/>
      <c r="BX23" s="204"/>
      <c r="BY23" s="204"/>
      <c r="BZ23" s="204"/>
      <c r="CA23" s="204"/>
      <c r="CB23" s="204"/>
      <c r="CC23" s="204"/>
      <c r="CD23" s="204"/>
      <c r="CE23" s="204"/>
      <c r="CF23" s="204"/>
      <c r="CG23" s="204"/>
      <c r="CH23" s="204"/>
      <c r="CI23" s="204"/>
      <c r="CJ23" s="204"/>
      <c r="CK23" s="204"/>
      <c r="CL23" s="204"/>
      <c r="CM23" s="204"/>
      <c r="CN23" s="204"/>
      <c r="CO23" s="204"/>
      <c r="CP23" s="204"/>
      <c r="CQ23" s="204"/>
      <c r="CR23" s="204"/>
      <c r="CS23" s="211"/>
      <c r="CT23" s="196"/>
      <c r="CU23" s="155"/>
    </row>
    <row r="24" spans="1:192" ht="13.5" customHeight="1">
      <c r="A24" s="747"/>
      <c r="B24" s="195">
        <v>15</v>
      </c>
      <c r="C24" s="196"/>
      <c r="D24" s="201"/>
      <c r="H24" s="209" t="s">
        <v>153</v>
      </c>
      <c r="I24" s="209"/>
      <c r="J24" s="209"/>
      <c r="K24" s="209"/>
      <c r="L24" s="209"/>
      <c r="M24" s="209"/>
      <c r="N24" s="209"/>
      <c r="O24" s="209"/>
      <c r="P24" s="209"/>
      <c r="Q24" s="209"/>
      <c r="R24" s="209"/>
      <c r="S24" s="209"/>
      <c r="T24" s="209"/>
      <c r="U24" s="209"/>
      <c r="V24" s="209"/>
      <c r="W24" s="209"/>
      <c r="X24" s="773">
        <f>SUM([1]Case1!M22:T22)</f>
        <v>40</v>
      </c>
      <c r="Y24" s="773"/>
      <c r="Z24" s="773"/>
      <c r="AA24" s="773"/>
      <c r="AB24" s="773"/>
      <c r="AC24" s="773"/>
      <c r="AD24" s="773"/>
      <c r="AE24" s="773"/>
      <c r="AF24" s="773"/>
      <c r="AG24" s="773"/>
      <c r="AH24" s="209"/>
      <c r="AI24" s="209" t="s">
        <v>154</v>
      </c>
      <c r="AJ24" s="209"/>
      <c r="AK24" s="209"/>
      <c r="AL24" s="209"/>
      <c r="AM24" s="209"/>
      <c r="AN24" s="209"/>
      <c r="AO24" s="209"/>
      <c r="AP24" s="209"/>
      <c r="AQ24" s="209"/>
      <c r="AR24" s="209"/>
      <c r="AS24" s="209"/>
      <c r="AT24" s="209"/>
      <c r="AU24" s="209" t="s">
        <v>155</v>
      </c>
      <c r="AV24" s="209"/>
      <c r="AW24" s="209"/>
      <c r="AX24" s="209"/>
      <c r="AY24" s="209"/>
      <c r="AZ24" s="209"/>
      <c r="BA24" s="209"/>
      <c r="BB24" s="209"/>
      <c r="BC24" s="209"/>
      <c r="BD24" s="209"/>
      <c r="BE24" s="209"/>
      <c r="BF24" s="209"/>
      <c r="BG24" s="209"/>
      <c r="BH24" s="209"/>
      <c r="BI24" s="209"/>
      <c r="BJ24" s="209"/>
      <c r="BK24" s="209"/>
      <c r="BL24" s="209"/>
      <c r="BM24" s="209"/>
      <c r="BN24" s="209"/>
      <c r="BO24" s="209"/>
      <c r="BP24" s="209"/>
      <c r="BQ24" s="209"/>
      <c r="BR24" s="209"/>
      <c r="BS24" s="209"/>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c r="CP24" s="204"/>
      <c r="CQ24" s="204"/>
      <c r="CR24" s="204"/>
      <c r="CS24" s="204"/>
      <c r="CT24" s="196"/>
      <c r="CU24" s="155"/>
    </row>
    <row r="25" spans="1:192" ht="13.5" customHeight="1">
      <c r="A25" s="747"/>
      <c r="B25" s="195">
        <v>16</v>
      </c>
      <c r="C25" s="196"/>
      <c r="D25" s="201"/>
      <c r="G25" s="204"/>
      <c r="H25" s="209"/>
      <c r="I25" s="209"/>
      <c r="J25" s="209"/>
      <c r="K25" s="209"/>
      <c r="L25" s="209"/>
      <c r="M25" s="209"/>
      <c r="N25" s="209"/>
      <c r="O25" s="209"/>
      <c r="P25" s="209"/>
      <c r="Q25" s="209"/>
      <c r="R25" s="209"/>
      <c r="S25" s="209"/>
      <c r="T25" s="209"/>
      <c r="U25" s="209"/>
      <c r="V25" s="209"/>
      <c r="W25" s="209"/>
      <c r="X25" s="774"/>
      <c r="Y25" s="775"/>
      <c r="Z25" s="775"/>
      <c r="AA25" s="775"/>
      <c r="AB25" s="775"/>
      <c r="AC25" s="775"/>
      <c r="AD25" s="775"/>
      <c r="AE25" s="775"/>
      <c r="AF25" s="775"/>
      <c r="AG25" s="775"/>
      <c r="AH25" s="209"/>
      <c r="AI25" s="209"/>
      <c r="AJ25" s="209"/>
      <c r="AK25" s="209"/>
      <c r="AL25" s="209"/>
      <c r="AM25" s="209"/>
      <c r="AN25" s="209"/>
      <c r="AO25" s="209"/>
      <c r="AP25" s="209"/>
      <c r="AQ25" s="209"/>
      <c r="AR25" s="209"/>
      <c r="AS25" s="209"/>
      <c r="AT25" s="209"/>
      <c r="AU25" s="209"/>
      <c r="AV25" s="209"/>
      <c r="AW25" s="209"/>
      <c r="AX25" s="209"/>
      <c r="AY25" s="209"/>
      <c r="AZ25" s="209"/>
      <c r="BA25" s="209"/>
      <c r="BB25" s="209"/>
      <c r="BC25" s="209"/>
      <c r="BD25" s="209"/>
      <c r="BE25" s="209"/>
      <c r="BF25" s="209"/>
      <c r="BG25" s="209"/>
      <c r="BH25" s="209"/>
      <c r="BI25" s="209"/>
      <c r="BJ25" s="209"/>
      <c r="BK25" s="209"/>
      <c r="BL25" s="209"/>
      <c r="BM25" s="209"/>
      <c r="BN25" s="209"/>
      <c r="BO25" s="209"/>
      <c r="BP25" s="209"/>
      <c r="BQ25" s="209"/>
      <c r="BR25" s="209"/>
      <c r="BS25" s="209"/>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c r="CP25" s="204"/>
      <c r="CQ25" s="204"/>
      <c r="CR25" s="204"/>
      <c r="CS25" s="204"/>
      <c r="CT25" s="196"/>
      <c r="CU25" s="155"/>
    </row>
    <row r="26" spans="1:192" ht="13.5" customHeight="1">
      <c r="A26" s="747"/>
      <c r="B26" s="195">
        <v>17</v>
      </c>
      <c r="C26" s="196"/>
      <c r="D26" s="201"/>
      <c r="G26" s="204"/>
      <c r="H26" s="209" t="s">
        <v>156</v>
      </c>
      <c r="X26" s="212"/>
      <c r="Y26" s="212"/>
      <c r="Z26" s="212"/>
      <c r="AA26" s="212"/>
      <c r="AB26" s="212"/>
      <c r="AC26" s="212"/>
      <c r="AD26" s="212"/>
      <c r="AE26" s="212"/>
      <c r="AF26" s="212"/>
      <c r="AG26" s="212"/>
      <c r="CA26" s="204"/>
      <c r="CB26" s="204"/>
      <c r="CC26" s="204"/>
      <c r="CD26" s="204"/>
      <c r="CE26" s="204"/>
      <c r="CF26" s="204"/>
      <c r="CG26" s="204"/>
      <c r="CH26" s="204"/>
      <c r="CI26" s="204"/>
      <c r="CJ26" s="204"/>
      <c r="CK26" s="204"/>
      <c r="CL26" s="204"/>
      <c r="CM26" s="204"/>
      <c r="CN26" s="204"/>
      <c r="CO26" s="204"/>
      <c r="CP26" s="204"/>
      <c r="CQ26" s="204"/>
      <c r="CS26" s="204"/>
      <c r="CT26" s="196"/>
      <c r="CU26" s="155"/>
    </row>
    <row r="27" spans="1:192" ht="13.5" customHeight="1">
      <c r="A27" s="747"/>
      <c r="B27" s="195">
        <v>18</v>
      </c>
      <c r="C27" s="196"/>
      <c r="D27" s="198"/>
      <c r="G27" s="207"/>
      <c r="H27" s="209"/>
      <c r="I27" s="209" t="s">
        <v>157</v>
      </c>
      <c r="X27" s="776">
        <f>[1]Case1!Q37</f>
        <v>4.6086270970214729</v>
      </c>
      <c r="Y27" s="776"/>
      <c r="Z27" s="776"/>
      <c r="AA27" s="776"/>
      <c r="AB27" s="776"/>
      <c r="AC27" s="776"/>
      <c r="AD27" s="776"/>
      <c r="AE27" s="776"/>
      <c r="AF27" s="776"/>
      <c r="AG27" s="776"/>
      <c r="AI27" s="209" t="s">
        <v>158</v>
      </c>
      <c r="AU27" s="209" t="s">
        <v>159</v>
      </c>
      <c r="BG27" s="777">
        <v>18.5</v>
      </c>
      <c r="BH27" s="777"/>
      <c r="BI27" s="777"/>
      <c r="BJ27" s="777"/>
      <c r="BK27" s="777"/>
      <c r="BL27" s="777"/>
      <c r="BM27" s="777"/>
      <c r="BN27" s="777"/>
      <c r="BO27" s="777"/>
      <c r="BP27" s="777"/>
      <c r="BR27" t="s">
        <v>160</v>
      </c>
      <c r="CS27" s="204"/>
      <c r="CT27" s="196"/>
      <c r="CU27" s="155"/>
    </row>
    <row r="28" spans="1:192" ht="13.5" customHeight="1">
      <c r="A28" s="747"/>
      <c r="B28" s="195">
        <v>19</v>
      </c>
      <c r="C28" s="196"/>
      <c r="D28" s="201"/>
      <c r="F28" s="201"/>
      <c r="CS28" s="204"/>
      <c r="CT28" s="196"/>
      <c r="CU28" s="155"/>
    </row>
    <row r="29" spans="1:192" ht="13.5" customHeight="1">
      <c r="A29" s="747"/>
      <c r="B29" s="195">
        <v>20</v>
      </c>
      <c r="C29" s="196"/>
      <c r="D29" s="201"/>
      <c r="F29" s="199" t="s">
        <v>161</v>
      </c>
      <c r="H29" s="204"/>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S29" s="204"/>
      <c r="CT29" s="196"/>
      <c r="CU29" s="155"/>
      <c r="CX29" s="198"/>
      <c r="CY29" s="209" t="s">
        <v>162</v>
      </c>
      <c r="DA29" s="213"/>
      <c r="DB29" s="213"/>
      <c r="DC29" s="213"/>
      <c r="DD29" s="213"/>
      <c r="DE29" s="213"/>
      <c r="DF29" s="213"/>
      <c r="DG29" s="213"/>
      <c r="DH29" s="213"/>
      <c r="DI29" s="213"/>
      <c r="DJ29" s="213"/>
      <c r="DK29" s="213"/>
      <c r="DL29" s="213"/>
      <c r="DM29" s="213"/>
      <c r="DN29" s="213"/>
      <c r="DO29" s="213"/>
      <c r="DP29" s="213"/>
      <c r="DQ29" s="213"/>
      <c r="DR29" s="213"/>
      <c r="DS29" s="213"/>
      <c r="DT29" s="213"/>
      <c r="DU29" s="213"/>
      <c r="DV29" s="213"/>
      <c r="DW29" s="213"/>
      <c r="DX29" s="213"/>
      <c r="DY29" s="213"/>
      <c r="DZ29" s="213"/>
      <c r="EA29" s="213"/>
      <c r="EB29" s="213"/>
      <c r="EC29" s="213"/>
      <c r="ED29" s="213"/>
      <c r="EE29" s="213"/>
      <c r="EF29" s="213"/>
      <c r="EG29" s="213"/>
      <c r="EH29" s="213"/>
      <c r="EI29" s="213"/>
      <c r="EJ29" s="213"/>
      <c r="EK29" s="213"/>
      <c r="EL29" s="213"/>
      <c r="EM29" s="213"/>
      <c r="EN29" s="213"/>
      <c r="EO29" s="213"/>
      <c r="EP29" s="213"/>
      <c r="EQ29" s="213"/>
      <c r="ER29" s="213"/>
      <c r="ES29" s="213"/>
      <c r="ET29" s="213"/>
      <c r="EU29" s="213"/>
      <c r="EV29" s="213"/>
      <c r="EW29" s="213"/>
      <c r="EX29" s="213"/>
      <c r="EY29" s="213"/>
      <c r="EZ29" s="213"/>
      <c r="FA29" s="213"/>
      <c r="FB29" s="213"/>
      <c r="FC29" s="213"/>
      <c r="FD29" s="213"/>
      <c r="FE29" s="213"/>
      <c r="FF29" s="213"/>
      <c r="FG29" s="213"/>
      <c r="FH29" s="213"/>
      <c r="FI29" s="213"/>
      <c r="FJ29" s="213"/>
      <c r="FK29" s="213"/>
      <c r="FL29" s="204"/>
      <c r="FM29" s="204"/>
      <c r="FN29" s="204"/>
      <c r="FO29" s="204"/>
      <c r="FP29" s="204"/>
      <c r="FQ29" s="204"/>
      <c r="FR29" s="204"/>
      <c r="FS29" s="204"/>
      <c r="FT29" s="204"/>
      <c r="FU29" s="204"/>
      <c r="FV29" s="204"/>
      <c r="FW29" s="204"/>
      <c r="FX29" s="204"/>
      <c r="FY29" s="204"/>
      <c r="FZ29" s="204"/>
      <c r="GA29" s="204"/>
      <c r="GB29" s="204"/>
      <c r="GC29" s="204"/>
      <c r="GD29" s="204"/>
      <c r="GE29" s="204"/>
      <c r="GF29" s="204"/>
      <c r="GH29" s="204"/>
      <c r="GI29" s="204"/>
      <c r="GJ29" s="204"/>
    </row>
    <row r="30" spans="1:192" ht="13.5" customHeight="1">
      <c r="A30" s="747"/>
      <c r="B30" s="195">
        <v>21</v>
      </c>
      <c r="C30" s="196"/>
      <c r="F30" s="198"/>
      <c r="G30" s="209" t="s">
        <v>163</v>
      </c>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04"/>
      <c r="BU30" s="204"/>
      <c r="BV30" s="204"/>
      <c r="BW30" s="204"/>
      <c r="BX30" s="204"/>
      <c r="BY30" s="204"/>
      <c r="BZ30" s="204"/>
      <c r="CA30" s="204"/>
      <c r="CB30" s="204"/>
      <c r="CC30" s="204"/>
      <c r="CD30" s="204"/>
      <c r="CE30" s="204"/>
      <c r="CF30" s="204"/>
      <c r="CG30" s="204"/>
      <c r="CH30" s="204"/>
      <c r="CI30" s="204"/>
      <c r="CJ30" s="204"/>
      <c r="CK30" s="204"/>
      <c r="CL30" s="204"/>
      <c r="CM30" s="204"/>
      <c r="CN30" s="204"/>
      <c r="CP30" s="204"/>
      <c r="CQ30" s="204"/>
      <c r="CR30" s="204"/>
      <c r="CS30" s="204"/>
      <c r="CT30" s="196"/>
      <c r="CU30" s="155"/>
      <c r="CX30" s="201"/>
      <c r="CY30" s="209" t="s">
        <v>164</v>
      </c>
      <c r="GJ30" s="204"/>
    </row>
    <row r="31" spans="1:192" ht="13.5" customHeight="1">
      <c r="A31" s="747"/>
      <c r="B31" s="195">
        <v>22</v>
      </c>
      <c r="C31" s="196"/>
      <c r="F31" s="201"/>
      <c r="G31" s="209" t="s">
        <v>165</v>
      </c>
      <c r="I31" s="213"/>
      <c r="CR31" s="204"/>
      <c r="CS31" s="204"/>
      <c r="CT31" s="196"/>
      <c r="CU31" s="155"/>
      <c r="CX31" s="201"/>
    </row>
    <row r="32" spans="1:192" ht="13.5" customHeight="1">
      <c r="A32" s="747"/>
      <c r="B32" s="195">
        <v>23</v>
      </c>
      <c r="C32" s="196"/>
      <c r="F32" s="201"/>
      <c r="G32" s="209" t="s">
        <v>164</v>
      </c>
      <c r="CR32" s="204"/>
      <c r="CS32" s="204"/>
      <c r="CT32" s="196"/>
      <c r="CU32" s="155"/>
      <c r="CZ32" s="790"/>
      <c r="DA32" s="791"/>
      <c r="DB32" s="791"/>
      <c r="DC32" s="791"/>
      <c r="DD32" s="791"/>
      <c r="DE32" s="791"/>
      <c r="DF32" s="791"/>
      <c r="DG32" s="791"/>
      <c r="DH32" s="791"/>
      <c r="DI32" s="791"/>
      <c r="DJ32" s="791"/>
      <c r="DK32" s="792"/>
      <c r="DL32" s="760" t="s">
        <v>166</v>
      </c>
      <c r="DM32" s="761"/>
      <c r="DN32" s="761"/>
      <c r="DO32" s="761"/>
      <c r="DP32" s="761"/>
      <c r="DQ32" s="761"/>
      <c r="DR32" s="761"/>
      <c r="DS32" s="761"/>
      <c r="DT32" s="761"/>
      <c r="DU32" s="761"/>
      <c r="DV32" s="761"/>
      <c r="DW32" s="761"/>
      <c r="DX32" s="761"/>
      <c r="DY32" s="761"/>
      <c r="DZ32" s="761"/>
      <c r="EA32" s="761"/>
      <c r="EB32" s="761"/>
      <c r="EC32" s="761"/>
      <c r="ED32" s="761"/>
      <c r="EE32" s="761"/>
      <c r="EF32" s="214"/>
      <c r="EG32" s="766" t="s">
        <v>167</v>
      </c>
      <c r="EH32" s="767"/>
      <c r="EI32" s="767"/>
      <c r="EJ32" s="767"/>
      <c r="EK32" s="767"/>
      <c r="EL32" s="767"/>
      <c r="EM32" s="767"/>
      <c r="EN32" s="767"/>
      <c r="EO32" s="767"/>
      <c r="EP32" s="767"/>
      <c r="EQ32" s="767"/>
      <c r="ER32" s="767"/>
      <c r="ES32" s="767"/>
      <c r="ET32" s="767"/>
      <c r="EU32" s="767"/>
      <c r="EV32" s="767"/>
      <c r="EW32" s="767"/>
      <c r="EX32" s="767"/>
      <c r="EY32" s="767"/>
      <c r="EZ32" s="767"/>
      <c r="FA32" s="768"/>
      <c r="FB32" s="778" t="s">
        <v>168</v>
      </c>
      <c r="FC32" s="779"/>
      <c r="FD32" s="779"/>
      <c r="FE32" s="779"/>
      <c r="FF32" s="779"/>
      <c r="FG32" s="779"/>
      <c r="FH32" s="779"/>
      <c r="FI32" s="779"/>
      <c r="FJ32" s="779"/>
      <c r="FK32" s="779"/>
      <c r="FL32" s="780"/>
      <c r="FM32" s="760" t="s">
        <v>169</v>
      </c>
      <c r="FN32" s="761"/>
      <c r="FO32" s="761"/>
      <c r="FP32" s="761"/>
      <c r="FQ32" s="761"/>
      <c r="FR32" s="761"/>
      <c r="FS32" s="761"/>
      <c r="FT32" s="761"/>
      <c r="FU32" s="761"/>
      <c r="FV32" s="761"/>
      <c r="FW32" s="762"/>
      <c r="FX32" s="766" t="s">
        <v>170</v>
      </c>
      <c r="FY32" s="767"/>
      <c r="FZ32" s="767"/>
      <c r="GA32" s="767"/>
      <c r="GB32" s="767"/>
      <c r="GC32" s="767"/>
      <c r="GD32" s="767"/>
      <c r="GE32" s="767"/>
      <c r="GF32" s="767"/>
      <c r="GG32" s="767"/>
      <c r="GH32" s="767"/>
      <c r="GI32" s="768"/>
      <c r="GJ32" s="215"/>
    </row>
    <row r="33" spans="1:192" ht="13.5" customHeight="1">
      <c r="A33" s="747"/>
      <c r="B33" s="195">
        <v>24</v>
      </c>
      <c r="C33" s="196"/>
      <c r="F33" s="201"/>
      <c r="CS33" s="204"/>
      <c r="CT33" s="196"/>
      <c r="CU33" s="155"/>
      <c r="CZ33" s="793"/>
      <c r="DA33" s="794"/>
      <c r="DB33" s="794"/>
      <c r="DC33" s="794"/>
      <c r="DD33" s="794"/>
      <c r="DE33" s="794"/>
      <c r="DF33" s="794"/>
      <c r="DG33" s="794"/>
      <c r="DH33" s="794"/>
      <c r="DI33" s="794"/>
      <c r="DJ33" s="794"/>
      <c r="DK33" s="795"/>
      <c r="DL33" s="763"/>
      <c r="DM33" s="764"/>
      <c r="DN33" s="764"/>
      <c r="DO33" s="764"/>
      <c r="DP33" s="764"/>
      <c r="DQ33" s="764"/>
      <c r="DR33" s="764"/>
      <c r="DS33" s="764"/>
      <c r="DT33" s="764"/>
      <c r="DU33" s="764"/>
      <c r="DV33" s="764"/>
      <c r="DW33" s="764"/>
      <c r="DX33" s="764"/>
      <c r="DY33" s="764"/>
      <c r="DZ33" s="764"/>
      <c r="EA33" s="764"/>
      <c r="EB33" s="764"/>
      <c r="EC33" s="764"/>
      <c r="ED33" s="764"/>
      <c r="EE33" s="764"/>
      <c r="EF33" s="216"/>
      <c r="EG33" s="769"/>
      <c r="EH33" s="770"/>
      <c r="EI33" s="770"/>
      <c r="EJ33" s="770"/>
      <c r="EK33" s="770"/>
      <c r="EL33" s="770"/>
      <c r="EM33" s="770"/>
      <c r="EN33" s="770"/>
      <c r="EO33" s="770"/>
      <c r="EP33" s="770"/>
      <c r="EQ33" s="770"/>
      <c r="ER33" s="770"/>
      <c r="ES33" s="770"/>
      <c r="ET33" s="770"/>
      <c r="EU33" s="770"/>
      <c r="EV33" s="770"/>
      <c r="EW33" s="770"/>
      <c r="EX33" s="770"/>
      <c r="EY33" s="770"/>
      <c r="EZ33" s="770"/>
      <c r="FA33" s="771"/>
      <c r="FB33" s="781"/>
      <c r="FC33" s="782"/>
      <c r="FD33" s="782"/>
      <c r="FE33" s="782"/>
      <c r="FF33" s="782"/>
      <c r="FG33" s="782"/>
      <c r="FH33" s="782"/>
      <c r="FI33" s="782"/>
      <c r="FJ33" s="782"/>
      <c r="FK33" s="782"/>
      <c r="FL33" s="783"/>
      <c r="FM33" s="763"/>
      <c r="FN33" s="764"/>
      <c r="FO33" s="764"/>
      <c r="FP33" s="764"/>
      <c r="FQ33" s="764"/>
      <c r="FR33" s="764"/>
      <c r="FS33" s="764"/>
      <c r="FT33" s="764"/>
      <c r="FU33" s="764"/>
      <c r="FV33" s="764"/>
      <c r="FW33" s="765"/>
      <c r="FX33" s="769"/>
      <c r="FY33" s="770"/>
      <c r="FZ33" s="770"/>
      <c r="GA33" s="770"/>
      <c r="GB33" s="770"/>
      <c r="GC33" s="770"/>
      <c r="GD33" s="770"/>
      <c r="GE33" s="770"/>
      <c r="GF33" s="770"/>
      <c r="GG33" s="770"/>
      <c r="GH33" s="770"/>
      <c r="GI33" s="771"/>
      <c r="GJ33" s="217"/>
    </row>
    <row r="34" spans="1:192" ht="13.5" customHeight="1">
      <c r="A34" s="747"/>
      <c r="B34" s="195">
        <v>25</v>
      </c>
      <c r="C34" s="196"/>
      <c r="H34" s="790"/>
      <c r="I34" s="785"/>
      <c r="J34" s="785"/>
      <c r="K34" s="785"/>
      <c r="L34" s="785"/>
      <c r="M34" s="785"/>
      <c r="N34" s="785"/>
      <c r="O34" s="785"/>
      <c r="P34" s="785"/>
      <c r="Q34" s="785"/>
      <c r="R34" s="785"/>
      <c r="S34" s="786"/>
      <c r="T34" s="760" t="s">
        <v>166</v>
      </c>
      <c r="U34" s="785"/>
      <c r="V34" s="785"/>
      <c r="W34" s="785"/>
      <c r="X34" s="785"/>
      <c r="Y34" s="785"/>
      <c r="Z34" s="785"/>
      <c r="AA34" s="785"/>
      <c r="AB34" s="785"/>
      <c r="AC34" s="785"/>
      <c r="AD34" s="785"/>
      <c r="AE34" s="785"/>
      <c r="AF34" s="785"/>
      <c r="AG34" s="785"/>
      <c r="AH34" s="785"/>
      <c r="AI34" s="785"/>
      <c r="AJ34" s="785"/>
      <c r="AK34" s="785"/>
      <c r="AL34" s="785"/>
      <c r="AM34" s="785"/>
      <c r="AN34" s="214"/>
      <c r="AO34" s="760" t="s">
        <v>171</v>
      </c>
      <c r="AP34" s="785"/>
      <c r="AQ34" s="785"/>
      <c r="AR34" s="785"/>
      <c r="AS34" s="785"/>
      <c r="AT34" s="785"/>
      <c r="AU34" s="785"/>
      <c r="AV34" s="785"/>
      <c r="AW34" s="785"/>
      <c r="AX34" s="785"/>
      <c r="AY34" s="785"/>
      <c r="AZ34" s="785"/>
      <c r="BA34" s="785"/>
      <c r="BB34" s="785"/>
      <c r="BC34" s="785"/>
      <c r="BD34" s="785"/>
      <c r="BE34" s="785"/>
      <c r="BF34" s="785"/>
      <c r="BG34" s="785"/>
      <c r="BH34" s="785"/>
      <c r="BI34" s="786"/>
      <c r="BJ34" s="778" t="s">
        <v>168</v>
      </c>
      <c r="BK34" s="785"/>
      <c r="BL34" s="785"/>
      <c r="BM34" s="785"/>
      <c r="BN34" s="785"/>
      <c r="BO34" s="785"/>
      <c r="BP34" s="785"/>
      <c r="BQ34" s="785"/>
      <c r="BR34" s="785"/>
      <c r="BS34" s="785"/>
      <c r="BT34" s="786"/>
      <c r="BU34" s="760" t="s">
        <v>169</v>
      </c>
      <c r="BV34" s="785"/>
      <c r="BW34" s="785"/>
      <c r="BX34" s="785"/>
      <c r="BY34" s="785"/>
      <c r="BZ34" s="785"/>
      <c r="CA34" s="785"/>
      <c r="CB34" s="785"/>
      <c r="CC34" s="785"/>
      <c r="CD34" s="785"/>
      <c r="CE34" s="786"/>
      <c r="CF34" s="766" t="s">
        <v>170</v>
      </c>
      <c r="CG34" s="785"/>
      <c r="CH34" s="785"/>
      <c r="CI34" s="785"/>
      <c r="CJ34" s="785"/>
      <c r="CK34" s="785"/>
      <c r="CL34" s="785"/>
      <c r="CM34" s="785"/>
      <c r="CN34" s="785"/>
      <c r="CO34" s="785"/>
      <c r="CP34" s="785"/>
      <c r="CQ34" s="786"/>
      <c r="CR34" s="215"/>
      <c r="CS34" s="204"/>
      <c r="CT34" s="196"/>
      <c r="CU34" s="155"/>
      <c r="CZ34" s="798" t="s">
        <v>172</v>
      </c>
      <c r="DA34" s="799"/>
      <c r="DB34" s="799"/>
      <c r="DC34" s="799"/>
      <c r="DD34" s="799"/>
      <c r="DE34" s="799"/>
      <c r="DF34" s="799"/>
      <c r="DG34" s="799"/>
      <c r="DH34" s="799"/>
      <c r="DI34" s="799"/>
      <c r="DJ34" s="799"/>
      <c r="DK34" s="800"/>
      <c r="DL34" s="796">
        <f>[1]Case1!$M$36</f>
        <v>5.1882009211908731</v>
      </c>
      <c r="DM34" s="797"/>
      <c r="DN34" s="797"/>
      <c r="DO34" s="797"/>
      <c r="DP34" s="797"/>
      <c r="DQ34" s="797"/>
      <c r="DR34" s="797"/>
      <c r="DS34" s="797"/>
      <c r="DT34" s="797"/>
      <c r="DU34" s="797"/>
      <c r="DV34" s="797"/>
      <c r="DX34" s="218" t="s">
        <v>158</v>
      </c>
      <c r="DY34" s="219"/>
      <c r="DZ34" s="218"/>
      <c r="EA34" s="220"/>
      <c r="EB34" s="221"/>
      <c r="EC34" s="221"/>
      <c r="ED34" s="221"/>
      <c r="EE34" s="221"/>
      <c r="EF34" s="222"/>
      <c r="EG34" s="796">
        <f>SUM([1]Case1!$M$33:$AJ$33)</f>
        <v>3.6937009211908722</v>
      </c>
      <c r="EH34" s="797"/>
      <c r="EI34" s="797"/>
      <c r="EJ34" s="797"/>
      <c r="EK34" s="797"/>
      <c r="EL34" s="797"/>
      <c r="EM34" s="797"/>
      <c r="EN34" s="797"/>
      <c r="EO34" s="797"/>
      <c r="EP34" s="797"/>
      <c r="EQ34" s="797"/>
      <c r="ES34" s="218" t="s">
        <v>173</v>
      </c>
      <c r="ET34" s="219"/>
      <c r="EU34" s="218"/>
      <c r="EV34" s="220"/>
      <c r="EW34" s="221"/>
      <c r="EX34" s="221"/>
      <c r="EY34" s="221"/>
      <c r="EZ34" s="221"/>
      <c r="FA34" s="222"/>
      <c r="FB34" s="801">
        <f>SUM([1]Case1!$M$27:$AJ$27)</f>
        <v>2007.7806019592465</v>
      </c>
      <c r="FC34" s="802"/>
      <c r="FD34" s="802"/>
      <c r="FE34" s="802"/>
      <c r="FF34" s="802"/>
      <c r="FG34" s="802"/>
      <c r="FH34" s="802"/>
      <c r="FI34" s="223"/>
      <c r="FJ34" s="224" t="s">
        <v>160</v>
      </c>
      <c r="FK34" s="223"/>
      <c r="FL34" s="225"/>
      <c r="FM34" s="803">
        <f>SUM([1]Case1!$M$35:$T$35)</f>
        <v>7.2791234989324529</v>
      </c>
      <c r="FN34" s="804"/>
      <c r="FO34" s="804"/>
      <c r="FP34" s="804"/>
      <c r="FQ34" s="804"/>
      <c r="FR34" s="804"/>
      <c r="FS34" s="804"/>
      <c r="FT34" s="223"/>
      <c r="FU34" s="226" t="s">
        <v>160</v>
      </c>
      <c r="FV34" s="223"/>
      <c r="FW34" s="225"/>
      <c r="FX34" s="796">
        <f>[1]Case1!$Q$25</f>
        <v>3.5358330939532117</v>
      </c>
      <c r="FY34" s="797"/>
      <c r="FZ34" s="797"/>
      <c r="GA34" s="797"/>
      <c r="GB34" s="797"/>
      <c r="GC34" s="797"/>
      <c r="GD34" s="797"/>
      <c r="GE34" s="223"/>
      <c r="GF34" s="223" t="s">
        <v>174</v>
      </c>
      <c r="GG34" s="223"/>
      <c r="GH34" s="223"/>
      <c r="GI34" s="222"/>
      <c r="GJ34" s="217"/>
    </row>
    <row r="35" spans="1:192" ht="13.5" customHeight="1">
      <c r="A35" s="747"/>
      <c r="B35" s="195">
        <v>26</v>
      </c>
      <c r="C35" s="196"/>
      <c r="H35" s="787"/>
      <c r="I35" s="788"/>
      <c r="J35" s="788"/>
      <c r="K35" s="788"/>
      <c r="L35" s="788"/>
      <c r="M35" s="788"/>
      <c r="N35" s="788"/>
      <c r="O35" s="788"/>
      <c r="P35" s="788"/>
      <c r="Q35" s="788"/>
      <c r="R35" s="788"/>
      <c r="S35" s="789"/>
      <c r="T35" s="787"/>
      <c r="U35" s="788"/>
      <c r="V35" s="788"/>
      <c r="W35" s="788"/>
      <c r="X35" s="788"/>
      <c r="Y35" s="788"/>
      <c r="Z35" s="788"/>
      <c r="AA35" s="788"/>
      <c r="AB35" s="788"/>
      <c r="AC35" s="788"/>
      <c r="AD35" s="788"/>
      <c r="AE35" s="788"/>
      <c r="AF35" s="788"/>
      <c r="AG35" s="788"/>
      <c r="AH35" s="788"/>
      <c r="AI35" s="788"/>
      <c r="AJ35" s="788"/>
      <c r="AK35" s="788"/>
      <c r="AL35" s="788"/>
      <c r="AM35" s="788"/>
      <c r="AN35" s="216"/>
      <c r="AO35" s="787"/>
      <c r="AP35" s="788"/>
      <c r="AQ35" s="788"/>
      <c r="AR35" s="788"/>
      <c r="AS35" s="788"/>
      <c r="AT35" s="788"/>
      <c r="AU35" s="788"/>
      <c r="AV35" s="788"/>
      <c r="AW35" s="788"/>
      <c r="AX35" s="788"/>
      <c r="AY35" s="788"/>
      <c r="AZ35" s="788"/>
      <c r="BA35" s="788"/>
      <c r="BB35" s="788"/>
      <c r="BC35" s="788"/>
      <c r="BD35" s="788"/>
      <c r="BE35" s="788"/>
      <c r="BF35" s="788"/>
      <c r="BG35" s="788"/>
      <c r="BH35" s="788"/>
      <c r="BI35" s="789"/>
      <c r="BJ35" s="787"/>
      <c r="BK35" s="788"/>
      <c r="BL35" s="788"/>
      <c r="BM35" s="788"/>
      <c r="BN35" s="788"/>
      <c r="BO35" s="788"/>
      <c r="BP35" s="788"/>
      <c r="BQ35" s="788"/>
      <c r="BR35" s="788"/>
      <c r="BS35" s="788"/>
      <c r="BT35" s="789"/>
      <c r="BU35" s="787"/>
      <c r="BV35" s="788"/>
      <c r="BW35" s="788"/>
      <c r="BX35" s="788"/>
      <c r="BY35" s="788"/>
      <c r="BZ35" s="788"/>
      <c r="CA35" s="788"/>
      <c r="CB35" s="788"/>
      <c r="CC35" s="788"/>
      <c r="CD35" s="788"/>
      <c r="CE35" s="789"/>
      <c r="CF35" s="787"/>
      <c r="CG35" s="788"/>
      <c r="CH35" s="788"/>
      <c r="CI35" s="788"/>
      <c r="CJ35" s="788"/>
      <c r="CK35" s="788"/>
      <c r="CL35" s="788"/>
      <c r="CM35" s="788"/>
      <c r="CN35" s="788"/>
      <c r="CO35" s="788"/>
      <c r="CP35" s="788"/>
      <c r="CQ35" s="789"/>
      <c r="CR35" s="217"/>
      <c r="CS35" s="204"/>
      <c r="CT35" s="196"/>
      <c r="CU35" s="155"/>
      <c r="CZ35" s="798" t="s">
        <v>175</v>
      </c>
      <c r="DA35" s="799"/>
      <c r="DB35" s="799"/>
      <c r="DC35" s="799"/>
      <c r="DD35" s="799"/>
      <c r="DE35" s="799"/>
      <c r="DF35" s="799"/>
      <c r="DG35" s="799"/>
      <c r="DH35" s="799"/>
      <c r="DI35" s="799"/>
      <c r="DJ35" s="799"/>
      <c r="DK35" s="800"/>
      <c r="DL35" s="796">
        <f>[1]Case2!$M$36</f>
        <v>8.4362251631954663</v>
      </c>
      <c r="DM35" s="797"/>
      <c r="DN35" s="797"/>
      <c r="DO35" s="797"/>
      <c r="DP35" s="797"/>
      <c r="DQ35" s="797"/>
      <c r="DR35" s="797"/>
      <c r="DS35" s="797"/>
      <c r="DT35" s="797"/>
      <c r="DU35" s="797"/>
      <c r="DV35" s="797"/>
      <c r="DW35" s="227"/>
      <c r="DX35" s="218" t="s">
        <v>158</v>
      </c>
      <c r="DY35" s="219"/>
      <c r="DZ35" s="218"/>
      <c r="EA35" s="220"/>
      <c r="EB35" s="221"/>
      <c r="EC35" s="221"/>
      <c r="ED35" s="221"/>
      <c r="EE35" s="221"/>
      <c r="EF35" s="222"/>
      <c r="EG35" s="796">
        <f>SUM([1]Case2!$M$33:$AJ$33)</f>
        <v>6.4717251631954653</v>
      </c>
      <c r="EH35" s="797"/>
      <c r="EI35" s="797"/>
      <c r="EJ35" s="797"/>
      <c r="EK35" s="797"/>
      <c r="EL35" s="797"/>
      <c r="EM35" s="797"/>
      <c r="EN35" s="797"/>
      <c r="EO35" s="797"/>
      <c r="EP35" s="797"/>
      <c r="EQ35" s="797"/>
      <c r="ER35" s="227"/>
      <c r="ES35" s="218" t="s">
        <v>173</v>
      </c>
      <c r="ET35" s="219"/>
      <c r="EU35" s="218"/>
      <c r="EV35" s="220"/>
      <c r="EW35" s="221"/>
      <c r="EX35" s="221"/>
      <c r="EY35" s="221"/>
      <c r="EZ35" s="221"/>
      <c r="FA35" s="222"/>
      <c r="FB35" s="801">
        <f>SUM([1]Case2!$M$27:$AJ$27)</f>
        <v>1915.9849627770279</v>
      </c>
      <c r="FC35" s="802"/>
      <c r="FD35" s="802"/>
      <c r="FE35" s="802"/>
      <c r="FF35" s="802"/>
      <c r="FG35" s="802"/>
      <c r="FH35" s="802"/>
      <c r="FI35" s="223"/>
      <c r="FJ35" s="224" t="s">
        <v>160</v>
      </c>
      <c r="FK35" s="223"/>
      <c r="FL35" s="228"/>
      <c r="FM35" s="803">
        <f>SUM([1]Case2!$M$35:$T$35)</f>
        <v>4.1647497455912985</v>
      </c>
      <c r="FN35" s="804"/>
      <c r="FO35" s="804"/>
      <c r="FP35" s="804"/>
      <c r="FQ35" s="804"/>
      <c r="FR35" s="804"/>
      <c r="FS35" s="804"/>
      <c r="FT35" s="223"/>
      <c r="FU35" s="226" t="s">
        <v>160</v>
      </c>
      <c r="FV35" s="223"/>
      <c r="FW35" s="228"/>
      <c r="FX35" s="796">
        <f>[1]Case2!$Q$25</f>
        <v>4.6838145043075468</v>
      </c>
      <c r="FY35" s="797"/>
      <c r="FZ35" s="797"/>
      <c r="GA35" s="797"/>
      <c r="GB35" s="797"/>
      <c r="GC35" s="797"/>
      <c r="GD35" s="797"/>
      <c r="GE35" s="223"/>
      <c r="GF35" s="223" t="s">
        <v>174</v>
      </c>
      <c r="GG35" s="223"/>
      <c r="GH35" s="223"/>
      <c r="GI35" s="222"/>
      <c r="GJ35" s="217"/>
    </row>
    <row r="36" spans="1:192" ht="13.5" customHeight="1">
      <c r="A36" s="747"/>
      <c r="B36" s="195">
        <v>27</v>
      </c>
      <c r="C36" s="196"/>
      <c r="H36" s="798" t="s">
        <v>172</v>
      </c>
      <c r="I36" s="805"/>
      <c r="J36" s="805"/>
      <c r="K36" s="805"/>
      <c r="L36" s="805"/>
      <c r="M36" s="805"/>
      <c r="N36" s="805"/>
      <c r="O36" s="805"/>
      <c r="P36" s="805"/>
      <c r="Q36" s="805"/>
      <c r="R36" s="805"/>
      <c r="S36" s="806"/>
      <c r="T36" s="796">
        <f>[1]Case1!$M$36</f>
        <v>5.1882009211908731</v>
      </c>
      <c r="U36" s="805"/>
      <c r="V36" s="805"/>
      <c r="W36" s="805"/>
      <c r="X36" s="805"/>
      <c r="Y36" s="805"/>
      <c r="Z36" s="805"/>
      <c r="AA36" s="805"/>
      <c r="AB36" s="805"/>
      <c r="AC36" s="805"/>
      <c r="AD36" s="805"/>
      <c r="AF36" s="218" t="s">
        <v>158</v>
      </c>
      <c r="AG36" s="219"/>
      <c r="AH36" s="218"/>
      <c r="AI36" s="220"/>
      <c r="AJ36" s="221"/>
      <c r="AK36" s="221"/>
      <c r="AL36" s="221"/>
      <c r="AM36" s="221"/>
      <c r="AN36" s="222"/>
      <c r="AO36" s="796">
        <f>SUM([1]Case1!$M$33:$AJ$33)/BJ36*100</f>
        <v>0.18396934991733954</v>
      </c>
      <c r="AP36" s="805"/>
      <c r="AQ36" s="805"/>
      <c r="AR36" s="805"/>
      <c r="AS36" s="805"/>
      <c r="AT36" s="805"/>
      <c r="AU36" s="805"/>
      <c r="AV36" s="805"/>
      <c r="AW36" s="805"/>
      <c r="AX36" s="805"/>
      <c r="AY36" s="805"/>
      <c r="BA36" s="218" t="s">
        <v>173</v>
      </c>
      <c r="BB36" s="219"/>
      <c r="BC36" s="218"/>
      <c r="BD36" s="220"/>
      <c r="BE36" s="221"/>
      <c r="BF36" s="221"/>
      <c r="BG36" s="221"/>
      <c r="BH36" s="221"/>
      <c r="BI36" s="222"/>
      <c r="BJ36" s="801">
        <f>SUM([1]Case1!$M$27:$AJ$27)</f>
        <v>2007.7806019592465</v>
      </c>
      <c r="BK36" s="805"/>
      <c r="BL36" s="805"/>
      <c r="BM36" s="805"/>
      <c r="BN36" s="805"/>
      <c r="BO36" s="805"/>
      <c r="BP36" s="805"/>
      <c r="BQ36" s="223"/>
      <c r="BR36" s="224" t="s">
        <v>160</v>
      </c>
      <c r="BS36" s="223"/>
      <c r="BT36" s="225"/>
      <c r="BU36" s="803">
        <f>SUM([1]Case1!$M$35:$AG$35)</f>
        <v>48.923191009150635</v>
      </c>
      <c r="BV36" s="805"/>
      <c r="BW36" s="805"/>
      <c r="BX36" s="805"/>
      <c r="BY36" s="805"/>
      <c r="BZ36" s="805"/>
      <c r="CA36" s="805"/>
      <c r="CB36" s="223"/>
      <c r="CC36" s="226" t="s">
        <v>160</v>
      </c>
      <c r="CD36" s="223"/>
      <c r="CE36" s="225"/>
      <c r="CF36" s="796">
        <f>[1]Case1!$Q$25</f>
        <v>3.5358330939532117</v>
      </c>
      <c r="CG36" s="805"/>
      <c r="CH36" s="805"/>
      <c r="CI36" s="805"/>
      <c r="CJ36" s="805"/>
      <c r="CK36" s="805"/>
      <c r="CL36" s="805"/>
      <c r="CM36" s="223"/>
      <c r="CN36" s="223" t="s">
        <v>174</v>
      </c>
      <c r="CO36" s="223"/>
      <c r="CP36" s="223"/>
      <c r="CQ36" s="222"/>
      <c r="CR36" s="217"/>
      <c r="CS36" s="204"/>
      <c r="CT36" s="196"/>
      <c r="CU36" s="155"/>
      <c r="CX36" s="202"/>
      <c r="CZ36" s="798" t="s">
        <v>176</v>
      </c>
      <c r="DA36" s="799"/>
      <c r="DB36" s="799"/>
      <c r="DC36" s="799"/>
      <c r="DD36" s="799"/>
      <c r="DE36" s="799"/>
      <c r="DF36" s="799"/>
      <c r="DG36" s="799"/>
      <c r="DH36" s="799"/>
      <c r="DI36" s="799"/>
      <c r="DJ36" s="799"/>
      <c r="DK36" s="800"/>
      <c r="DL36" s="796">
        <f>[1]Case3!$M$37</f>
        <v>3.5697120518830534</v>
      </c>
      <c r="DM36" s="797"/>
      <c r="DN36" s="797"/>
      <c r="DO36" s="797"/>
      <c r="DP36" s="797"/>
      <c r="DQ36" s="797"/>
      <c r="DR36" s="797"/>
      <c r="DS36" s="797"/>
      <c r="DT36" s="797"/>
      <c r="DU36" s="797"/>
      <c r="DV36" s="797"/>
      <c r="DW36" s="227"/>
      <c r="DX36" s="218" t="s">
        <v>158</v>
      </c>
      <c r="DY36" s="219"/>
      <c r="DZ36" s="218"/>
      <c r="EA36" s="220"/>
      <c r="EB36" s="221"/>
      <c r="EC36" s="221"/>
      <c r="ED36" s="221"/>
      <c r="EE36" s="221"/>
      <c r="EF36" s="222"/>
      <c r="EG36" s="796">
        <f>SUM([1]Case3!$M$33:$AJ$33)</f>
        <v>1.9598044170049711</v>
      </c>
      <c r="EH36" s="797"/>
      <c r="EI36" s="797"/>
      <c r="EJ36" s="797"/>
      <c r="EK36" s="797"/>
      <c r="EL36" s="797"/>
      <c r="EM36" s="797"/>
      <c r="EN36" s="797"/>
      <c r="EO36" s="797"/>
      <c r="EP36" s="797"/>
      <c r="EQ36" s="797"/>
      <c r="ER36" s="227"/>
      <c r="ES36" s="218" t="s">
        <v>173</v>
      </c>
      <c r="ET36" s="219"/>
      <c r="EU36" s="218"/>
      <c r="EV36" s="220"/>
      <c r="EW36" s="221"/>
      <c r="EX36" s="221"/>
      <c r="EY36" s="221"/>
      <c r="EZ36" s="221"/>
      <c r="FA36" s="222"/>
      <c r="FB36" s="801">
        <f>SUM([1]Case3!$M$27:$AJ$27)</f>
        <v>2092.4420418215823</v>
      </c>
      <c r="FC36" s="802"/>
      <c r="FD36" s="802"/>
      <c r="FE36" s="802"/>
      <c r="FF36" s="802"/>
      <c r="FG36" s="802"/>
      <c r="FH36" s="802"/>
      <c r="FI36" s="223"/>
      <c r="FJ36" s="224" t="s">
        <v>160</v>
      </c>
      <c r="FK36" s="223"/>
      <c r="FL36" s="228"/>
      <c r="FM36" s="803">
        <f>SUM([1]Case3!$M$35:$T$35)</f>
        <v>2.7179278084337843</v>
      </c>
      <c r="FN36" s="804"/>
      <c r="FO36" s="804"/>
      <c r="FP36" s="804"/>
      <c r="FQ36" s="804"/>
      <c r="FR36" s="804"/>
      <c r="FS36" s="804"/>
      <c r="FT36" s="223"/>
      <c r="FU36" s="226" t="s">
        <v>160</v>
      </c>
      <c r="FV36" s="223"/>
      <c r="FW36" s="228"/>
      <c r="FX36" s="796">
        <f>[1]Case3!$Q$25</f>
        <v>2.763460395421109</v>
      </c>
      <c r="FY36" s="797"/>
      <c r="FZ36" s="797"/>
      <c r="GA36" s="797"/>
      <c r="GB36" s="797"/>
      <c r="GC36" s="797"/>
      <c r="GD36" s="797"/>
      <c r="GE36" s="223"/>
      <c r="GF36" s="223" t="s">
        <v>174</v>
      </c>
      <c r="GG36" s="223"/>
      <c r="GH36" s="223"/>
      <c r="GI36" s="222"/>
    </row>
    <row r="37" spans="1:192" ht="13.5" customHeight="1">
      <c r="A37" s="747"/>
      <c r="B37" s="195">
        <v>28</v>
      </c>
      <c r="C37" s="196"/>
      <c r="H37" s="798" t="s">
        <v>175</v>
      </c>
      <c r="I37" s="805"/>
      <c r="J37" s="805"/>
      <c r="K37" s="805"/>
      <c r="L37" s="805"/>
      <c r="M37" s="805"/>
      <c r="N37" s="805"/>
      <c r="O37" s="805"/>
      <c r="P37" s="805"/>
      <c r="Q37" s="805"/>
      <c r="R37" s="805"/>
      <c r="S37" s="806"/>
      <c r="T37" s="796">
        <f>[1]Case2!$M$36</f>
        <v>8.4362251631954663</v>
      </c>
      <c r="U37" s="805"/>
      <c r="V37" s="805"/>
      <c r="W37" s="805"/>
      <c r="X37" s="805"/>
      <c r="Y37" s="805"/>
      <c r="Z37" s="805"/>
      <c r="AA37" s="805"/>
      <c r="AB37" s="805"/>
      <c r="AC37" s="805"/>
      <c r="AD37" s="805"/>
      <c r="AE37" s="227"/>
      <c r="AF37" s="218" t="s">
        <v>158</v>
      </c>
      <c r="AG37" s="219"/>
      <c r="AH37" s="218"/>
      <c r="AI37" s="220"/>
      <c r="AJ37" s="221"/>
      <c r="AK37" s="221"/>
      <c r="AL37" s="221"/>
      <c r="AM37" s="221"/>
      <c r="AN37" s="222"/>
      <c r="AO37" s="796">
        <f>SUM([1]Case2!$M$33:$AJ$33)/BJ37*100</f>
        <v>0.33777536300782596</v>
      </c>
      <c r="AP37" s="805"/>
      <c r="AQ37" s="805"/>
      <c r="AR37" s="805"/>
      <c r="AS37" s="805"/>
      <c r="AT37" s="805"/>
      <c r="AU37" s="805"/>
      <c r="AV37" s="805"/>
      <c r="AW37" s="805"/>
      <c r="AX37" s="805"/>
      <c r="AY37" s="805"/>
      <c r="AZ37" s="227"/>
      <c r="BA37" s="218" t="s">
        <v>173</v>
      </c>
      <c r="BB37" s="219"/>
      <c r="BC37" s="218"/>
      <c r="BD37" s="220"/>
      <c r="BE37" s="221"/>
      <c r="BF37" s="221"/>
      <c r="BG37" s="221"/>
      <c r="BH37" s="221"/>
      <c r="BI37" s="222"/>
      <c r="BJ37" s="801">
        <f>SUM([1]Case2!$M$27:$AJ$27)</f>
        <v>1915.9849627770279</v>
      </c>
      <c r="BK37" s="805"/>
      <c r="BL37" s="805"/>
      <c r="BM37" s="805"/>
      <c r="BN37" s="805"/>
      <c r="BO37" s="805"/>
      <c r="BP37" s="805"/>
      <c r="BQ37" s="223"/>
      <c r="BR37" s="224" t="s">
        <v>160</v>
      </c>
      <c r="BS37" s="223"/>
      <c r="BT37" s="228"/>
      <c r="BU37" s="803">
        <f>SUM([1]Case2!$M$35:$AG$35)</f>
        <v>85.718214082059148</v>
      </c>
      <c r="BV37" s="805"/>
      <c r="BW37" s="805"/>
      <c r="BX37" s="805"/>
      <c r="BY37" s="805"/>
      <c r="BZ37" s="805"/>
      <c r="CA37" s="805"/>
      <c r="CB37" s="223"/>
      <c r="CC37" s="226" t="s">
        <v>160</v>
      </c>
      <c r="CD37" s="223"/>
      <c r="CE37" s="228"/>
      <c r="CF37" s="796">
        <f>[1]Case2!$Q$25</f>
        <v>4.6838145043075468</v>
      </c>
      <c r="CG37" s="805"/>
      <c r="CH37" s="805"/>
      <c r="CI37" s="805"/>
      <c r="CJ37" s="805"/>
      <c r="CK37" s="805"/>
      <c r="CL37" s="805"/>
      <c r="CM37" s="223"/>
      <c r="CN37" s="223" t="s">
        <v>174</v>
      </c>
      <c r="CO37" s="223"/>
      <c r="CP37" s="223"/>
      <c r="CQ37" s="222"/>
      <c r="CR37" s="217"/>
      <c r="CS37" s="204"/>
      <c r="CT37" s="196"/>
      <c r="CU37" s="155"/>
      <c r="CX37" s="202"/>
      <c r="DL37" s="229"/>
      <c r="DM37" s="229"/>
      <c r="DN37" s="229"/>
      <c r="DO37" s="229"/>
      <c r="DP37" s="229"/>
      <c r="DQ37" s="229"/>
      <c r="DR37" s="229"/>
      <c r="DS37" s="229"/>
      <c r="DT37" s="229"/>
      <c r="DU37" s="229"/>
    </row>
    <row r="38" spans="1:192" ht="13.5" customHeight="1">
      <c r="A38" s="747"/>
      <c r="B38" s="195">
        <v>29</v>
      </c>
      <c r="C38" s="196"/>
      <c r="D38" s="201"/>
      <c r="F38" s="202"/>
      <c r="H38" s="798" t="s">
        <v>176</v>
      </c>
      <c r="I38" s="805"/>
      <c r="J38" s="805"/>
      <c r="K38" s="805"/>
      <c r="L38" s="805"/>
      <c r="M38" s="805"/>
      <c r="N38" s="805"/>
      <c r="O38" s="805"/>
      <c r="P38" s="805"/>
      <c r="Q38" s="805"/>
      <c r="R38" s="805"/>
      <c r="S38" s="806"/>
      <c r="T38" s="796">
        <f>[1]Case3!$M$37</f>
        <v>3.5697120518830534</v>
      </c>
      <c r="U38" s="805"/>
      <c r="V38" s="805"/>
      <c r="W38" s="805"/>
      <c r="X38" s="805"/>
      <c r="Y38" s="805"/>
      <c r="Z38" s="805"/>
      <c r="AA38" s="805"/>
      <c r="AB38" s="805"/>
      <c r="AC38" s="805"/>
      <c r="AD38" s="805"/>
      <c r="AE38" s="227"/>
      <c r="AF38" s="218" t="s">
        <v>158</v>
      </c>
      <c r="AG38" s="219"/>
      <c r="AH38" s="218"/>
      <c r="AI38" s="220"/>
      <c r="AJ38" s="221"/>
      <c r="AK38" s="221"/>
      <c r="AL38" s="221"/>
      <c r="AM38" s="221"/>
      <c r="AN38" s="222"/>
      <c r="AO38" s="796">
        <f>SUM([1]Case3!$M$33:$AJ$33)/BJ38*100</f>
        <v>9.3661108782676583E-2</v>
      </c>
      <c r="AP38" s="805"/>
      <c r="AQ38" s="805"/>
      <c r="AR38" s="805"/>
      <c r="AS38" s="805"/>
      <c r="AT38" s="805"/>
      <c r="AU38" s="805"/>
      <c r="AV38" s="805"/>
      <c r="AW38" s="805"/>
      <c r="AX38" s="805"/>
      <c r="AY38" s="805"/>
      <c r="AZ38" s="227"/>
      <c r="BA38" s="218" t="s">
        <v>173</v>
      </c>
      <c r="BB38" s="219"/>
      <c r="BC38" s="218"/>
      <c r="BD38" s="220"/>
      <c r="BE38" s="221"/>
      <c r="BF38" s="221"/>
      <c r="BG38" s="221"/>
      <c r="BH38" s="221"/>
      <c r="BI38" s="222"/>
      <c r="BJ38" s="801">
        <f>SUM([1]Case3!$M$27:$AJ$27)</f>
        <v>2092.4420418215823</v>
      </c>
      <c r="BK38" s="805"/>
      <c r="BL38" s="805"/>
      <c r="BM38" s="805"/>
      <c r="BN38" s="805"/>
      <c r="BO38" s="805"/>
      <c r="BP38" s="805"/>
      <c r="BQ38" s="223"/>
      <c r="BR38" s="224" t="s">
        <v>160</v>
      </c>
      <c r="BS38" s="223"/>
      <c r="BT38" s="228"/>
      <c r="BU38" s="803">
        <f>SUM([1]Case3!$M$35:$AG$35)</f>
        <v>25.957674397416838</v>
      </c>
      <c r="BV38" s="805"/>
      <c r="BW38" s="805"/>
      <c r="BX38" s="805"/>
      <c r="BY38" s="805"/>
      <c r="BZ38" s="805"/>
      <c r="CA38" s="805"/>
      <c r="CB38" s="223"/>
      <c r="CC38" s="226" t="s">
        <v>160</v>
      </c>
      <c r="CD38" s="223"/>
      <c r="CE38" s="228"/>
      <c r="CF38" s="796">
        <f>[1]Case3!$Q$25</f>
        <v>2.763460395421109</v>
      </c>
      <c r="CG38" s="805"/>
      <c r="CH38" s="805"/>
      <c r="CI38" s="805"/>
      <c r="CJ38" s="805"/>
      <c r="CK38" s="805"/>
      <c r="CL38" s="805"/>
      <c r="CM38" s="223"/>
      <c r="CN38" s="223" t="s">
        <v>174</v>
      </c>
      <c r="CO38" s="223"/>
      <c r="CP38" s="223"/>
      <c r="CQ38" s="222"/>
      <c r="CS38" s="204"/>
      <c r="CT38" s="196"/>
      <c r="CU38" s="155"/>
      <c r="CX38" s="199" t="s">
        <v>177</v>
      </c>
    </row>
    <row r="39" spans="1:192" ht="13.5" customHeight="1">
      <c r="A39" s="747"/>
      <c r="B39" s="195">
        <v>30</v>
      </c>
      <c r="C39" s="196"/>
      <c r="D39" s="201"/>
      <c r="F39" s="202"/>
      <c r="T39" s="229"/>
      <c r="U39" s="229"/>
      <c r="V39" s="229"/>
      <c r="W39" s="229"/>
      <c r="X39" s="229"/>
      <c r="Y39" s="229"/>
      <c r="Z39" s="229"/>
      <c r="AA39" s="229"/>
      <c r="AB39" s="229"/>
      <c r="AC39" s="229"/>
      <c r="CS39" s="204"/>
      <c r="CT39" s="196"/>
      <c r="CU39" s="155"/>
      <c r="CX39" s="230"/>
      <c r="CY39" s="202"/>
      <c r="CZ39" s="202"/>
      <c r="DA39" s="202"/>
      <c r="DB39" s="202"/>
      <c r="DC39" s="202"/>
    </row>
    <row r="40" spans="1:192" ht="13.5" customHeight="1">
      <c r="A40" s="747"/>
      <c r="B40" s="195">
        <v>31</v>
      </c>
      <c r="C40" s="196"/>
      <c r="D40" s="201"/>
      <c r="F40" s="199" t="s">
        <v>177</v>
      </c>
      <c r="CS40" s="204"/>
      <c r="CT40" s="196"/>
      <c r="CU40" s="155"/>
      <c r="CX40" s="230"/>
      <c r="CY40" s="202"/>
      <c r="CZ40" s="202" t="s">
        <v>178</v>
      </c>
      <c r="DA40" s="202"/>
      <c r="DB40" s="202"/>
      <c r="DC40" s="202"/>
      <c r="DD40" s="202"/>
      <c r="DE40" s="202"/>
      <c r="DF40" s="202"/>
      <c r="DG40" s="202"/>
      <c r="DH40" s="202"/>
      <c r="DI40" s="202"/>
      <c r="DJ40" s="202"/>
      <c r="DK40" s="202"/>
      <c r="DL40" s="202"/>
      <c r="DM40" s="202"/>
      <c r="DN40" s="202"/>
      <c r="DO40" s="202"/>
      <c r="DP40" s="202"/>
      <c r="DQ40" s="202"/>
      <c r="DR40" s="202"/>
      <c r="DS40" s="202"/>
      <c r="DT40" s="202"/>
      <c r="DU40" s="202"/>
      <c r="DV40" s="202"/>
      <c r="DW40" s="202"/>
      <c r="DX40" s="202"/>
      <c r="DY40" s="202"/>
      <c r="DZ40" s="202"/>
      <c r="EA40" s="202"/>
      <c r="EB40" s="202"/>
      <c r="EC40" s="202"/>
      <c r="ED40" s="202"/>
      <c r="EE40" s="202"/>
      <c r="EF40" s="202"/>
      <c r="EG40" s="202"/>
      <c r="EH40" s="202"/>
      <c r="EI40" s="202"/>
      <c r="EJ40" s="202"/>
      <c r="EK40" s="202"/>
      <c r="EL40" s="202"/>
      <c r="EM40" s="202"/>
      <c r="EN40" s="202"/>
      <c r="EO40" s="202"/>
      <c r="EP40" s="202"/>
      <c r="EQ40" s="202"/>
      <c r="ER40" s="202"/>
      <c r="ES40" s="202"/>
      <c r="ET40" s="202"/>
      <c r="EU40" s="202"/>
      <c r="EV40" s="202"/>
      <c r="EW40" s="202"/>
      <c r="EX40" s="202"/>
      <c r="EY40" s="202"/>
      <c r="EZ40" s="202"/>
      <c r="FA40" s="202"/>
      <c r="FB40" s="202"/>
      <c r="FC40" s="202"/>
      <c r="FD40" s="202"/>
      <c r="FE40" s="202"/>
      <c r="FF40" s="202"/>
      <c r="FG40" s="202"/>
      <c r="FH40" s="202"/>
      <c r="FI40" s="202"/>
      <c r="FJ40" s="202"/>
      <c r="FK40" s="202"/>
      <c r="FL40" s="202"/>
      <c r="FM40" s="202"/>
      <c r="FN40" s="202"/>
      <c r="FO40" s="202"/>
      <c r="FP40" s="202"/>
      <c r="FQ40" s="202"/>
      <c r="FR40" s="202"/>
      <c r="FS40" s="202"/>
      <c r="FT40" s="202"/>
      <c r="FU40" s="202"/>
      <c r="FV40" s="202"/>
      <c r="FW40" s="202"/>
      <c r="FX40" s="202"/>
      <c r="FY40" s="202"/>
      <c r="FZ40" s="202"/>
      <c r="GA40" s="202"/>
      <c r="GB40" s="202"/>
      <c r="GC40" s="202"/>
      <c r="GD40" s="202"/>
      <c r="GE40" s="202"/>
      <c r="GG40" s="202"/>
      <c r="GH40" s="202"/>
      <c r="GI40" s="202"/>
      <c r="GJ40" s="202"/>
    </row>
    <row r="41" spans="1:192" ht="13.5" customHeight="1">
      <c r="A41" s="747"/>
      <c r="B41" s="195">
        <v>32</v>
      </c>
      <c r="C41" s="196"/>
      <c r="D41" s="201"/>
      <c r="F41" s="230"/>
      <c r="G41" s="202" t="s">
        <v>179</v>
      </c>
      <c r="H41" s="202"/>
      <c r="I41" s="202"/>
      <c r="J41" s="202"/>
      <c r="K41" s="202"/>
      <c r="CS41" s="204"/>
      <c r="CT41" s="196"/>
      <c r="CU41" s="155"/>
      <c r="CX41" s="230"/>
      <c r="CY41" s="202" t="s">
        <v>180</v>
      </c>
      <c r="DC41" s="202"/>
      <c r="DD41" s="202"/>
      <c r="DE41" s="202"/>
      <c r="DF41" s="202"/>
      <c r="DG41" s="202"/>
      <c r="DH41" s="202"/>
      <c r="DI41" s="202"/>
      <c r="DJ41" s="202"/>
      <c r="DK41" s="202"/>
      <c r="DL41" s="202"/>
      <c r="DM41" s="202"/>
      <c r="DN41" s="202"/>
      <c r="DO41" s="202"/>
      <c r="DP41" s="202"/>
      <c r="DQ41" s="202"/>
      <c r="DR41" s="202"/>
      <c r="DS41" s="202"/>
      <c r="DT41" s="202"/>
      <c r="DU41" s="202"/>
      <c r="DV41" s="202"/>
      <c r="DW41" s="202"/>
      <c r="DX41" s="202"/>
      <c r="DY41" s="202"/>
      <c r="DZ41" s="202"/>
      <c r="EA41" s="202"/>
      <c r="EB41" s="202"/>
      <c r="EC41" s="202"/>
      <c r="ED41" s="202"/>
      <c r="EE41" s="202"/>
      <c r="EF41" s="202"/>
      <c r="EG41" s="202"/>
      <c r="EH41" s="202"/>
      <c r="EI41" s="202"/>
      <c r="EJ41" s="202"/>
      <c r="EK41" s="202"/>
      <c r="EL41" s="202"/>
      <c r="EM41" s="202"/>
      <c r="EN41" s="202"/>
      <c r="EO41" s="202"/>
      <c r="EP41" s="202"/>
      <c r="EQ41" s="202"/>
      <c r="ER41" s="202"/>
      <c r="ES41" s="202"/>
      <c r="ET41" s="202"/>
      <c r="EU41" s="202"/>
      <c r="EV41" s="202"/>
      <c r="EW41" s="202"/>
      <c r="EX41" s="202"/>
      <c r="EY41" s="202"/>
      <c r="EZ41" s="202"/>
      <c r="FA41" s="202"/>
      <c r="FB41" s="202"/>
      <c r="FC41" s="202"/>
      <c r="FD41" s="202"/>
      <c r="FE41" s="202"/>
      <c r="FF41" s="202"/>
      <c r="FG41" s="202"/>
      <c r="FH41" s="202"/>
      <c r="FI41" s="202"/>
      <c r="FJ41" s="202"/>
      <c r="FK41" s="202"/>
      <c r="FL41" s="202"/>
      <c r="FM41" s="202"/>
      <c r="FN41" s="202"/>
      <c r="FO41" s="202"/>
      <c r="FP41" s="202"/>
      <c r="FQ41" s="202"/>
      <c r="FR41" s="202"/>
      <c r="FS41" s="202"/>
      <c r="FT41" s="202"/>
      <c r="FU41" s="202"/>
      <c r="FV41" s="202"/>
      <c r="FW41" s="202"/>
      <c r="FX41" s="202"/>
      <c r="FY41" s="202"/>
      <c r="FZ41" s="202"/>
      <c r="GA41" s="202"/>
      <c r="GB41" s="202"/>
      <c r="GC41" s="202"/>
      <c r="GD41" s="202"/>
      <c r="GE41" s="202"/>
      <c r="GG41" s="202"/>
      <c r="GH41" s="202"/>
      <c r="GI41" s="202"/>
      <c r="GJ41" s="202"/>
    </row>
    <row r="42" spans="1:192" ht="13.5" customHeight="1">
      <c r="A42" s="747"/>
      <c r="B42" s="195">
        <v>33</v>
      </c>
      <c r="C42" s="196"/>
      <c r="D42" s="201"/>
      <c r="F42" s="230"/>
      <c r="G42" s="202" t="s">
        <v>181</v>
      </c>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202"/>
      <c r="AF42" s="202"/>
      <c r="AG42" s="202"/>
      <c r="AH42" s="202"/>
      <c r="AI42" s="202"/>
      <c r="AJ42" s="202"/>
      <c r="AK42" s="202"/>
      <c r="AL42" s="202"/>
      <c r="AM42" s="202"/>
      <c r="AN42" s="202"/>
      <c r="AO42" s="202"/>
      <c r="AP42" s="202"/>
      <c r="AQ42" s="202"/>
      <c r="AR42" s="202"/>
      <c r="AS42" s="202"/>
      <c r="AT42" s="202"/>
      <c r="AU42" s="202"/>
      <c r="AV42" s="202"/>
      <c r="AW42" s="202"/>
      <c r="AX42" s="202"/>
      <c r="AY42" s="202"/>
      <c r="AZ42" s="202"/>
      <c r="BA42" s="202"/>
      <c r="BB42" s="202"/>
      <c r="BC42" s="202"/>
      <c r="BD42" s="202"/>
      <c r="BE42" s="202"/>
      <c r="BF42" s="202"/>
      <c r="BG42" s="202"/>
      <c r="BH42" s="202"/>
      <c r="BI42" s="202"/>
      <c r="BJ42" s="202"/>
      <c r="BK42" s="202"/>
      <c r="BL42" s="202"/>
      <c r="BM42" s="202"/>
      <c r="BN42" s="202"/>
      <c r="BO42" s="202"/>
      <c r="BP42" s="202"/>
      <c r="BQ42" s="202"/>
      <c r="BR42" s="202"/>
      <c r="BS42" s="202"/>
      <c r="BT42" s="202"/>
      <c r="BU42" s="202"/>
      <c r="BV42" s="202"/>
      <c r="BW42" s="202"/>
      <c r="BX42" s="202"/>
      <c r="BY42" s="202"/>
      <c r="BZ42" s="202"/>
      <c r="CA42" s="202"/>
      <c r="CB42" s="202"/>
      <c r="CC42" s="202"/>
      <c r="CD42" s="202"/>
      <c r="CE42" s="202"/>
      <c r="CF42" s="202"/>
      <c r="CG42" s="202"/>
      <c r="CH42" s="202"/>
      <c r="CI42" s="202"/>
      <c r="CJ42" s="202"/>
      <c r="CK42" s="202"/>
      <c r="CL42" s="202"/>
      <c r="CM42" s="202"/>
      <c r="CO42" s="202"/>
      <c r="CP42" s="202"/>
      <c r="CQ42" s="202"/>
      <c r="CR42" s="202"/>
      <c r="CS42" s="204"/>
      <c r="CT42" s="196"/>
      <c r="CU42" s="155"/>
      <c r="CX42" s="230"/>
      <c r="CY42" s="202" t="s">
        <v>182</v>
      </c>
      <c r="GJ42" s="213"/>
    </row>
    <row r="43" spans="1:192" ht="13.5" customHeight="1">
      <c r="A43" s="747"/>
      <c r="B43" s="195">
        <v>34</v>
      </c>
      <c r="C43" s="196"/>
      <c r="D43" s="201"/>
      <c r="F43" s="230"/>
      <c r="G43" s="202"/>
      <c r="I43" s="231" t="s">
        <v>183</v>
      </c>
      <c r="K43" s="202"/>
      <c r="L43" s="202"/>
      <c r="M43" s="202"/>
      <c r="N43" s="202"/>
      <c r="O43" s="202"/>
      <c r="P43" s="202"/>
      <c r="Q43" s="202"/>
      <c r="R43" s="202"/>
      <c r="S43" s="202"/>
      <c r="T43" s="202"/>
      <c r="U43" s="202"/>
      <c r="V43" s="202"/>
      <c r="W43" s="202"/>
      <c r="X43" s="202"/>
      <c r="Y43" s="202"/>
      <c r="Z43" s="202"/>
      <c r="AA43" s="202"/>
      <c r="AB43" s="202"/>
      <c r="AC43" s="202"/>
      <c r="AD43" s="202"/>
      <c r="AE43" s="202"/>
      <c r="AF43" s="202"/>
      <c r="AG43" s="202"/>
      <c r="AH43" s="202"/>
      <c r="AI43" s="202"/>
      <c r="AJ43" s="202"/>
      <c r="AK43" s="202"/>
      <c r="AL43" s="202"/>
      <c r="AM43" s="202"/>
      <c r="AN43" s="202"/>
      <c r="AO43" s="202"/>
      <c r="AP43" s="202"/>
      <c r="AQ43" s="202"/>
      <c r="AR43" s="202"/>
      <c r="AS43" s="202"/>
      <c r="AT43" s="202"/>
      <c r="AU43" s="202"/>
      <c r="AV43" s="202"/>
      <c r="AW43" s="202"/>
      <c r="AX43" s="202"/>
      <c r="AY43" s="202"/>
      <c r="AZ43" s="202"/>
      <c r="BA43" s="202"/>
      <c r="BB43" s="202"/>
      <c r="BC43" s="202"/>
      <c r="BD43" s="202"/>
      <c r="BE43" s="202"/>
      <c r="BF43" s="202"/>
      <c r="BG43" s="202"/>
      <c r="BH43" s="202"/>
      <c r="BI43" s="202"/>
      <c r="BJ43" s="202"/>
      <c r="BK43" s="202"/>
      <c r="BL43" s="202"/>
      <c r="BM43" s="202"/>
      <c r="BN43" s="202"/>
      <c r="BO43" s="202"/>
      <c r="BP43" s="202"/>
      <c r="BQ43" s="202"/>
      <c r="BR43" s="202"/>
      <c r="BS43" s="202"/>
      <c r="BT43" s="202"/>
      <c r="BU43" s="202"/>
      <c r="BV43" s="202"/>
      <c r="BW43" s="202"/>
      <c r="BX43" s="202"/>
      <c r="BY43" s="202"/>
      <c r="BZ43" s="202"/>
      <c r="CA43" s="202"/>
      <c r="CB43" s="202"/>
      <c r="CC43" s="202"/>
      <c r="CD43" s="202"/>
      <c r="CE43" s="202"/>
      <c r="CF43" s="202"/>
      <c r="CG43" s="202"/>
      <c r="CH43" s="202"/>
      <c r="CI43" s="202"/>
      <c r="CJ43" s="202"/>
      <c r="CK43" s="202"/>
      <c r="CL43" s="202"/>
      <c r="CM43" s="202"/>
      <c r="CO43" s="202"/>
      <c r="CP43" s="202"/>
      <c r="CQ43" s="202"/>
      <c r="CR43" s="202"/>
      <c r="CS43" s="204"/>
      <c r="CT43" s="196"/>
      <c r="CU43" s="155"/>
      <c r="CX43" s="230"/>
      <c r="CY43" s="202" t="s">
        <v>184</v>
      </c>
      <c r="CZ43" s="202"/>
      <c r="DA43" s="202"/>
      <c r="DB43" s="202"/>
      <c r="DC43" s="202"/>
      <c r="DD43" s="202"/>
      <c r="DE43" s="202"/>
      <c r="DF43" s="202"/>
      <c r="DG43" s="202"/>
      <c r="DH43" s="202"/>
      <c r="DI43" s="202"/>
      <c r="DJ43" s="202"/>
      <c r="DK43" s="202"/>
      <c r="DL43" s="202"/>
      <c r="DM43" s="202"/>
      <c r="DN43" s="202"/>
      <c r="DO43" s="202"/>
      <c r="DP43" s="202"/>
      <c r="DQ43" s="202"/>
      <c r="DR43" s="202"/>
      <c r="DS43" s="202"/>
      <c r="DT43" s="202"/>
      <c r="DU43" s="202"/>
      <c r="DV43" s="202"/>
      <c r="DW43" s="202"/>
      <c r="DX43" s="202"/>
      <c r="DY43" s="202"/>
      <c r="DZ43" s="202"/>
      <c r="EA43" s="202"/>
      <c r="EB43" s="202"/>
      <c r="EC43" s="202"/>
      <c r="ED43" s="202"/>
      <c r="EE43" s="202"/>
      <c r="EF43" s="202"/>
      <c r="EG43" s="202"/>
      <c r="EH43" s="202"/>
      <c r="EI43" s="202"/>
      <c r="EJ43" s="202"/>
      <c r="EK43" s="202"/>
      <c r="EL43" s="202"/>
      <c r="EM43" s="202"/>
      <c r="EN43" s="202"/>
      <c r="EO43" s="202"/>
      <c r="EP43" s="202"/>
      <c r="EQ43" s="202"/>
      <c r="ER43" s="202"/>
      <c r="ES43" s="202"/>
      <c r="ET43" s="202"/>
      <c r="EU43" s="202"/>
      <c r="EV43" s="202"/>
      <c r="EW43" s="202"/>
      <c r="EX43" s="202"/>
      <c r="EY43" s="202"/>
      <c r="EZ43" s="202"/>
      <c r="FA43" s="202"/>
      <c r="FB43" s="202"/>
      <c r="FC43" s="202"/>
      <c r="FD43" s="202"/>
      <c r="FE43" s="202"/>
      <c r="FF43" s="202"/>
      <c r="FG43" s="202"/>
      <c r="FH43" s="202"/>
      <c r="FI43" s="202"/>
      <c r="FJ43" s="202"/>
      <c r="FK43" s="202"/>
      <c r="FL43" s="202"/>
      <c r="FM43" s="202"/>
      <c r="FN43" s="202"/>
      <c r="FO43" s="202"/>
      <c r="FP43" s="202"/>
      <c r="FQ43" s="202"/>
      <c r="FR43" s="202"/>
      <c r="FS43" s="202"/>
      <c r="FT43" s="202"/>
      <c r="FU43" s="202"/>
      <c r="FV43" s="202"/>
      <c r="FW43" s="202"/>
      <c r="FX43" s="202"/>
      <c r="FY43" s="202"/>
      <c r="FZ43" s="202"/>
      <c r="GA43" s="202"/>
      <c r="GB43" s="202"/>
      <c r="GC43" s="203"/>
      <c r="GD43" s="203"/>
      <c r="GE43" s="203"/>
      <c r="GG43" s="203"/>
      <c r="GH43" s="203"/>
      <c r="GI43" s="203"/>
      <c r="GJ43" s="213"/>
    </row>
    <row r="44" spans="1:192" ht="13.5" customHeight="1">
      <c r="A44" s="747"/>
      <c r="B44" s="195">
        <v>35</v>
      </c>
      <c r="C44" s="196"/>
      <c r="D44" s="201"/>
      <c r="F44" s="230"/>
      <c r="G44" s="202" t="s">
        <v>185</v>
      </c>
      <c r="CR44" s="213"/>
      <c r="CS44" s="204"/>
      <c r="CT44" s="196"/>
      <c r="CU44" s="155"/>
      <c r="CX44" s="230"/>
      <c r="CY44" s="202">
        <v>4</v>
      </c>
      <c r="CZ44" s="202"/>
      <c r="DA44" s="202"/>
      <c r="DB44" s="202"/>
      <c r="DC44" s="202"/>
      <c r="DD44" s="202"/>
      <c r="DE44" s="202"/>
      <c r="DF44" s="202"/>
      <c r="DG44" s="202"/>
      <c r="DH44" s="202"/>
      <c r="DI44" s="202"/>
      <c r="DJ44" s="202"/>
      <c r="DK44" s="202"/>
      <c r="DL44" s="202"/>
      <c r="DM44" s="202"/>
      <c r="DN44" s="202"/>
      <c r="DO44" s="202"/>
      <c r="DP44" s="202"/>
      <c r="DQ44" s="202"/>
      <c r="DR44" s="202"/>
      <c r="DS44" s="202"/>
      <c r="DT44" s="202"/>
      <c r="DU44" s="202"/>
      <c r="DV44" s="202"/>
      <c r="DW44" s="202"/>
      <c r="DX44" s="202"/>
      <c r="DY44" s="202"/>
      <c r="DZ44" s="202"/>
      <c r="EA44" s="202"/>
      <c r="EB44" s="202"/>
      <c r="EC44" s="202"/>
      <c r="ED44" s="202"/>
      <c r="EE44" s="202"/>
      <c r="EF44" s="202"/>
      <c r="EG44" s="202"/>
      <c r="EH44" s="202"/>
      <c r="EI44" s="202"/>
      <c r="EJ44" s="202"/>
      <c r="EK44" s="202"/>
      <c r="EL44" s="202"/>
      <c r="EM44" s="202"/>
      <c r="EN44" s="202"/>
      <c r="EO44" s="202"/>
      <c r="EP44" s="202"/>
      <c r="EQ44" s="202"/>
      <c r="ER44" s="202"/>
      <c r="ES44" s="202"/>
      <c r="ET44" s="202"/>
      <c r="EU44" s="202"/>
      <c r="EV44" s="202"/>
      <c r="EW44" s="202"/>
      <c r="EX44" s="202"/>
      <c r="EY44" s="202"/>
      <c r="EZ44" s="202"/>
      <c r="FA44" s="202"/>
      <c r="FB44" s="202"/>
      <c r="FC44" s="202"/>
      <c r="FD44" s="202"/>
      <c r="FE44" s="202"/>
      <c r="FF44" s="202"/>
      <c r="FG44" s="202"/>
      <c r="FH44" s="202"/>
      <c r="FI44" s="202"/>
      <c r="FJ44" s="202"/>
      <c r="FK44" s="202"/>
      <c r="FL44" s="202"/>
      <c r="FM44" s="202"/>
      <c r="FN44" s="202"/>
      <c r="FO44" s="202"/>
      <c r="FP44" s="202"/>
      <c r="FQ44" s="202"/>
      <c r="FR44" s="202"/>
      <c r="FS44" s="202"/>
      <c r="FT44" s="202"/>
      <c r="FU44" s="202"/>
      <c r="FV44" s="202"/>
      <c r="FW44" s="202"/>
      <c r="FX44" s="202"/>
      <c r="FY44" s="202"/>
      <c r="FZ44" s="202"/>
      <c r="GA44" s="202"/>
      <c r="GB44" s="202"/>
      <c r="GC44" s="203"/>
      <c r="GD44" s="203"/>
      <c r="GE44" s="203"/>
      <c r="GG44" s="203"/>
      <c r="GH44" s="203"/>
      <c r="GI44" s="203"/>
      <c r="GJ44" s="213"/>
    </row>
    <row r="45" spans="1:192" ht="13.5" customHeight="1">
      <c r="A45" s="747"/>
      <c r="B45" s="195">
        <v>36</v>
      </c>
      <c r="C45" s="196"/>
      <c r="D45" s="198"/>
      <c r="E45" s="230"/>
      <c r="F45" s="230"/>
      <c r="G45" s="202" t="s">
        <v>186</v>
      </c>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2"/>
      <c r="AH45" s="202"/>
      <c r="AI45" s="202"/>
      <c r="AJ45" s="202"/>
      <c r="AK45" s="202"/>
      <c r="AL45" s="202"/>
      <c r="AM45" s="202"/>
      <c r="AN45" s="202"/>
      <c r="AO45" s="202"/>
      <c r="AP45" s="202"/>
      <c r="AQ45" s="202"/>
      <c r="AR45" s="202"/>
      <c r="AS45" s="202"/>
      <c r="AT45" s="202"/>
      <c r="AU45" s="202"/>
      <c r="AV45" s="202"/>
      <c r="AW45" s="202"/>
      <c r="AX45" s="202"/>
      <c r="AY45" s="202"/>
      <c r="AZ45" s="202"/>
      <c r="BA45" s="202"/>
      <c r="BB45" s="202"/>
      <c r="BC45" s="202"/>
      <c r="BD45" s="202"/>
      <c r="BE45" s="202"/>
      <c r="BF45" s="202"/>
      <c r="BG45" s="202"/>
      <c r="BH45" s="202"/>
      <c r="BI45" s="202"/>
      <c r="BJ45" s="202"/>
      <c r="BK45" s="202"/>
      <c r="BL45" s="202"/>
      <c r="BM45" s="202"/>
      <c r="BN45" s="202"/>
      <c r="BO45" s="202"/>
      <c r="BP45" s="202"/>
      <c r="BQ45" s="202"/>
      <c r="BR45" s="202"/>
      <c r="BS45" s="202"/>
      <c r="BT45" s="202"/>
      <c r="BU45" s="202"/>
      <c r="BV45" s="202"/>
      <c r="BW45" s="202"/>
      <c r="BX45" s="202"/>
      <c r="BY45" s="202"/>
      <c r="BZ45" s="202"/>
      <c r="CA45" s="202"/>
      <c r="CB45" s="202"/>
      <c r="CC45" s="202"/>
      <c r="CD45" s="202"/>
      <c r="CE45" s="202"/>
      <c r="CF45" s="202"/>
      <c r="CG45" s="202"/>
      <c r="CH45" s="202"/>
      <c r="CI45" s="202"/>
      <c r="CJ45" s="202"/>
      <c r="CK45" s="203"/>
      <c r="CL45" s="203"/>
      <c r="CM45" s="203"/>
      <c r="CO45" s="203"/>
      <c r="CP45" s="203"/>
      <c r="CQ45" s="203"/>
      <c r="CR45" s="213"/>
      <c r="CS45" s="204"/>
      <c r="CT45" s="196"/>
      <c r="CU45" s="155"/>
      <c r="GJ45" s="213"/>
    </row>
    <row r="46" spans="1:192" ht="13.5" customHeight="1">
      <c r="A46" s="747"/>
      <c r="B46" s="195">
        <v>37</v>
      </c>
      <c r="C46" s="196"/>
      <c r="D46" s="201"/>
      <c r="E46" s="230"/>
      <c r="F46" s="230"/>
      <c r="G46" s="202"/>
      <c r="H46" s="202"/>
      <c r="I46" s="202" t="s">
        <v>187</v>
      </c>
      <c r="J46" s="202"/>
      <c r="K46" s="202"/>
      <c r="L46" s="202"/>
      <c r="M46" s="202"/>
      <c r="N46" s="202"/>
      <c r="O46" s="202"/>
      <c r="P46" s="202"/>
      <c r="Q46" s="202"/>
      <c r="R46" s="202"/>
      <c r="S46" s="202"/>
      <c r="T46" s="202"/>
      <c r="U46" s="202"/>
      <c r="V46" s="202"/>
      <c r="W46" s="202"/>
      <c r="X46" s="202"/>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02"/>
      <c r="AW46" s="202"/>
      <c r="AX46" s="202"/>
      <c r="AY46" s="202"/>
      <c r="AZ46" s="202"/>
      <c r="BA46" s="202"/>
      <c r="BB46" s="202"/>
      <c r="BC46" s="202"/>
      <c r="BD46" s="202"/>
      <c r="BE46" s="202"/>
      <c r="BF46" s="202"/>
      <c r="BG46" s="202"/>
      <c r="BH46" s="202"/>
      <c r="BI46" s="202"/>
      <c r="BJ46" s="202"/>
      <c r="BK46" s="202"/>
      <c r="BL46" s="202"/>
      <c r="BM46" s="202"/>
      <c r="BN46" s="202"/>
      <c r="BO46" s="202"/>
      <c r="BP46" s="202"/>
      <c r="BQ46" s="202"/>
      <c r="BR46" s="202"/>
      <c r="BS46" s="202"/>
      <c r="BT46" s="202"/>
      <c r="BU46" s="202"/>
      <c r="BV46" s="202"/>
      <c r="BW46" s="202"/>
      <c r="BX46" s="202"/>
      <c r="BY46" s="202"/>
      <c r="BZ46" s="202"/>
      <c r="CA46" s="202"/>
      <c r="CB46" s="202"/>
      <c r="CC46" s="202"/>
      <c r="CD46" s="202"/>
      <c r="CE46" s="202"/>
      <c r="CF46" s="202"/>
      <c r="CG46" s="202"/>
      <c r="CH46" s="202"/>
      <c r="CI46" s="202"/>
      <c r="CJ46" s="202"/>
      <c r="CK46" s="203"/>
      <c r="CL46" s="203"/>
      <c r="CM46" s="203"/>
      <c r="CO46" s="203"/>
      <c r="CP46" s="203"/>
      <c r="CQ46" s="203"/>
      <c r="CR46" s="213"/>
      <c r="CS46" s="204"/>
      <c r="CT46" s="196"/>
      <c r="CU46" s="155"/>
    </row>
    <row r="47" spans="1:192" ht="13.5" customHeight="1">
      <c r="A47" s="747"/>
      <c r="B47" s="195">
        <v>38</v>
      </c>
      <c r="C47" s="196"/>
      <c r="D47" s="201"/>
      <c r="E47" s="230"/>
      <c r="G47" s="202" t="s">
        <v>188</v>
      </c>
      <c r="CR47" s="213"/>
      <c r="CS47" s="204"/>
      <c r="CT47" s="196"/>
      <c r="CU47" s="155"/>
    </row>
    <row r="48" spans="1:192" ht="13.5" customHeight="1">
      <c r="A48" s="747"/>
      <c r="B48" s="195">
        <v>39</v>
      </c>
      <c r="C48" s="196"/>
      <c r="D48" s="201"/>
      <c r="E48" s="230"/>
      <c r="G48" s="202" t="s">
        <v>189</v>
      </c>
      <c r="CR48" s="213"/>
      <c r="CS48" s="204"/>
      <c r="CT48" s="196"/>
      <c r="CU48" s="155"/>
    </row>
    <row r="49" spans="1:99" ht="13.5" customHeight="1">
      <c r="A49" s="747"/>
      <c r="B49" s="195">
        <v>40</v>
      </c>
      <c r="C49" s="196"/>
      <c r="D49" s="201"/>
      <c r="E49" s="230"/>
      <c r="G49" s="202"/>
      <c r="H49" s="202"/>
      <c r="I49" s="202"/>
      <c r="J49" s="202"/>
      <c r="CR49" s="213"/>
      <c r="CS49" s="204"/>
      <c r="CT49" s="196"/>
      <c r="CU49" s="155"/>
    </row>
    <row r="50" spans="1:99" ht="13.5" customHeight="1">
      <c r="A50" s="747"/>
      <c r="B50" s="195">
        <v>41</v>
      </c>
      <c r="C50" s="196"/>
      <c r="D50" s="201"/>
      <c r="E50" s="230"/>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c r="BW50" s="202"/>
      <c r="BX50" s="202"/>
      <c r="BY50" s="202"/>
      <c r="BZ50" s="202"/>
      <c r="CA50" s="202"/>
      <c r="CB50" s="202"/>
      <c r="CC50" s="202"/>
      <c r="CD50" s="202"/>
      <c r="CE50" s="202"/>
      <c r="CF50" s="202"/>
      <c r="CG50" s="202"/>
      <c r="CH50" s="202"/>
      <c r="CI50" s="202"/>
      <c r="CJ50" s="202"/>
      <c r="CK50" s="203"/>
      <c r="CL50" s="203"/>
      <c r="CM50" s="203"/>
      <c r="CN50" s="203"/>
      <c r="CO50" s="203"/>
      <c r="CP50" s="203"/>
      <c r="CQ50" s="213"/>
      <c r="CR50" s="213"/>
      <c r="CS50" s="204"/>
      <c r="CT50" s="196"/>
      <c r="CU50" s="155"/>
    </row>
    <row r="51" spans="1:99" ht="13.5" customHeight="1">
      <c r="A51" s="747"/>
      <c r="B51" s="195">
        <v>42</v>
      </c>
      <c r="C51" s="196"/>
      <c r="D51" s="201"/>
      <c r="E51" s="230"/>
      <c r="G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c r="BW51" s="202"/>
      <c r="BX51" s="202"/>
      <c r="BY51" s="202"/>
      <c r="BZ51" s="202"/>
      <c r="CA51" s="202"/>
      <c r="CB51" s="202"/>
      <c r="CC51" s="202"/>
      <c r="CD51" s="202"/>
      <c r="CE51" s="202"/>
      <c r="CF51" s="202"/>
      <c r="CG51" s="202"/>
      <c r="CH51" s="202"/>
      <c r="CI51" s="202"/>
      <c r="CJ51" s="202"/>
      <c r="CK51" s="202"/>
      <c r="CL51" s="202"/>
      <c r="CM51" s="202"/>
      <c r="CO51" s="203"/>
      <c r="CP51" s="203"/>
      <c r="CQ51" s="213"/>
      <c r="CR51" s="213"/>
      <c r="CS51" s="204"/>
      <c r="CT51" s="196"/>
      <c r="CU51" s="155"/>
    </row>
    <row r="52" spans="1:99" ht="13.5" customHeight="1">
      <c r="A52" s="747"/>
      <c r="B52" s="195">
        <v>43</v>
      </c>
      <c r="C52" s="196"/>
      <c r="D52" s="201"/>
      <c r="E52" s="230"/>
      <c r="G52" s="202"/>
      <c r="CO52" s="203"/>
      <c r="CP52" s="203"/>
      <c r="CQ52" s="213"/>
      <c r="CR52" s="213"/>
      <c r="CS52" s="204"/>
      <c r="CT52" s="196"/>
      <c r="CU52" s="155"/>
    </row>
    <row r="53" spans="1:99" ht="13.5" customHeight="1">
      <c r="A53" s="747"/>
      <c r="B53" s="195">
        <v>44</v>
      </c>
      <c r="C53" s="196"/>
      <c r="D53" s="201"/>
      <c r="E53" s="230"/>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c r="BW53" s="202"/>
      <c r="BX53" s="202"/>
      <c r="BY53" s="202"/>
      <c r="BZ53" s="202"/>
      <c r="CA53" s="202"/>
      <c r="CB53" s="202"/>
      <c r="CC53" s="202"/>
      <c r="CD53" s="202"/>
      <c r="CE53" s="202"/>
      <c r="CF53" s="202"/>
      <c r="CG53" s="202"/>
      <c r="CH53" s="202"/>
      <c r="CI53" s="202"/>
      <c r="CJ53" s="202"/>
      <c r="CK53" s="203"/>
      <c r="CL53" s="203"/>
      <c r="CM53" s="203"/>
      <c r="CO53" s="203"/>
      <c r="CP53" s="203"/>
      <c r="CQ53" s="213"/>
      <c r="CR53" s="213"/>
      <c r="CS53" s="204"/>
      <c r="CT53" s="196"/>
      <c r="CU53" s="155"/>
    </row>
    <row r="54" spans="1:99" ht="13.5" customHeight="1">
      <c r="A54" s="747"/>
      <c r="B54" s="195">
        <v>45</v>
      </c>
      <c r="C54" s="196"/>
      <c r="D54" s="201"/>
      <c r="E54" s="230"/>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202"/>
      <c r="AF54" s="202"/>
      <c r="AG54" s="202"/>
      <c r="AH54" s="202"/>
      <c r="AI54" s="202"/>
      <c r="AJ54" s="202"/>
      <c r="AK54" s="202"/>
      <c r="AL54" s="202"/>
      <c r="AM54" s="202"/>
      <c r="AN54" s="202"/>
      <c r="AO54" s="202"/>
      <c r="AP54" s="202"/>
      <c r="AQ54" s="202"/>
      <c r="AR54" s="202"/>
      <c r="AS54" s="202"/>
      <c r="AT54" s="202"/>
      <c r="AU54" s="202"/>
      <c r="AV54" s="202"/>
      <c r="AW54" s="202"/>
      <c r="AX54" s="202"/>
      <c r="AY54" s="202"/>
      <c r="AZ54" s="202"/>
      <c r="BA54" s="202"/>
      <c r="BB54" s="202"/>
      <c r="BC54" s="202"/>
      <c r="BD54" s="202"/>
      <c r="BE54" s="202"/>
      <c r="BF54" s="202"/>
      <c r="BG54" s="202"/>
      <c r="BH54" s="202"/>
      <c r="BI54" s="202"/>
      <c r="BJ54" s="202"/>
      <c r="BK54" s="202"/>
      <c r="BL54" s="202"/>
      <c r="BM54" s="202"/>
      <c r="BN54" s="202"/>
      <c r="BO54" s="202"/>
      <c r="BP54" s="202"/>
      <c r="BQ54" s="202"/>
      <c r="BR54" s="202"/>
      <c r="BS54" s="202"/>
      <c r="BT54" s="202"/>
      <c r="BU54" s="202"/>
      <c r="BV54" s="202"/>
      <c r="BW54" s="202"/>
      <c r="BX54" s="202"/>
      <c r="BY54" s="202"/>
      <c r="BZ54" s="202"/>
      <c r="CA54" s="202"/>
      <c r="CB54" s="202"/>
      <c r="CC54" s="202"/>
      <c r="CD54" s="202"/>
      <c r="CE54" s="202"/>
      <c r="CF54" s="202"/>
      <c r="CG54" s="202"/>
      <c r="CH54" s="202"/>
      <c r="CI54" s="202"/>
      <c r="CJ54" s="202"/>
      <c r="CK54" s="203"/>
      <c r="CL54" s="203"/>
      <c r="CM54" s="203"/>
      <c r="CO54" s="203"/>
      <c r="CP54" s="203"/>
      <c r="CQ54" s="213"/>
      <c r="CR54" s="213"/>
      <c r="CS54" s="204"/>
      <c r="CT54" s="196"/>
      <c r="CU54" s="155"/>
    </row>
    <row r="55" spans="1:99" ht="13.5" customHeight="1">
      <c r="A55" s="747"/>
      <c r="B55" s="195">
        <v>46</v>
      </c>
      <c r="C55" s="196"/>
      <c r="D55" s="201"/>
      <c r="E55" s="230"/>
      <c r="CO55" s="203"/>
      <c r="CP55" s="203"/>
      <c r="CQ55" s="213"/>
      <c r="CR55" s="213"/>
      <c r="CS55" s="204"/>
      <c r="CT55" s="196"/>
      <c r="CU55" s="155"/>
    </row>
    <row r="56" spans="1:99" ht="13.5" customHeight="1">
      <c r="A56" s="747"/>
      <c r="B56" s="195">
        <v>47</v>
      </c>
      <c r="C56" s="196"/>
      <c r="D56" s="201"/>
      <c r="E56" s="230"/>
      <c r="CO56" s="203"/>
      <c r="CP56" s="203"/>
      <c r="CQ56" s="213"/>
      <c r="CR56" s="213"/>
      <c r="CS56" s="204"/>
      <c r="CT56" s="196"/>
      <c r="CU56" s="155"/>
    </row>
    <row r="57" spans="1:99" ht="13.5" customHeight="1">
      <c r="A57" s="747"/>
      <c r="B57" s="195">
        <v>48</v>
      </c>
      <c r="C57" s="196"/>
      <c r="D57" s="201"/>
      <c r="E57" s="230"/>
      <c r="CO57" s="203"/>
      <c r="CP57" s="203"/>
      <c r="CQ57" s="213"/>
      <c r="CR57" s="213"/>
      <c r="CS57" s="204"/>
      <c r="CT57" s="196"/>
      <c r="CU57" s="155"/>
    </row>
    <row r="58" spans="1:99" ht="13.5" customHeight="1">
      <c r="A58" s="747"/>
      <c r="B58" s="195">
        <v>49</v>
      </c>
      <c r="C58" s="196"/>
      <c r="D58" s="198"/>
      <c r="E58" s="230"/>
      <c r="G58" s="202"/>
      <c r="CO58" s="203"/>
      <c r="CP58" s="203"/>
      <c r="CQ58" s="213"/>
      <c r="CR58" s="213"/>
      <c r="CS58" s="204"/>
      <c r="CT58" s="196"/>
      <c r="CU58" s="155"/>
    </row>
    <row r="59" spans="1:99" ht="13.5" customHeight="1">
      <c r="A59" s="747"/>
      <c r="B59" s="195">
        <v>50</v>
      </c>
      <c r="C59" s="196"/>
      <c r="D59" s="201"/>
      <c r="E59" s="230"/>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2"/>
      <c r="AL59" s="202"/>
      <c r="AM59" s="202"/>
      <c r="AN59" s="202"/>
      <c r="AO59" s="202"/>
      <c r="AP59" s="202"/>
      <c r="AQ59" s="202"/>
      <c r="AR59" s="202"/>
      <c r="AS59" s="202"/>
      <c r="AT59" s="202"/>
      <c r="AU59" s="202"/>
      <c r="AV59" s="202"/>
      <c r="AW59" s="202"/>
      <c r="AX59" s="202"/>
      <c r="AY59" s="202"/>
      <c r="AZ59" s="202"/>
      <c r="BA59" s="202"/>
      <c r="BB59" s="202"/>
      <c r="BC59" s="202"/>
      <c r="BD59" s="202"/>
      <c r="BE59" s="202"/>
      <c r="BF59" s="202"/>
      <c r="BG59" s="202"/>
      <c r="BH59" s="202"/>
      <c r="BI59" s="202"/>
      <c r="BJ59" s="202"/>
      <c r="BK59" s="202"/>
      <c r="BL59" s="202"/>
      <c r="BM59" s="202"/>
      <c r="BN59" s="202"/>
      <c r="BO59" s="202"/>
      <c r="BP59" s="202"/>
      <c r="BQ59" s="202"/>
      <c r="BR59" s="202"/>
      <c r="BS59" s="202"/>
      <c r="BT59" s="202"/>
      <c r="BU59" s="202"/>
      <c r="BV59" s="202"/>
      <c r="BW59" s="202"/>
      <c r="BX59" s="202"/>
      <c r="BY59" s="202"/>
      <c r="BZ59" s="202"/>
      <c r="CA59" s="202"/>
      <c r="CB59" s="202"/>
      <c r="CC59" s="202"/>
      <c r="CD59" s="202"/>
      <c r="CE59" s="202"/>
      <c r="CF59" s="202"/>
      <c r="CG59" s="202"/>
      <c r="CH59" s="202"/>
      <c r="CI59" s="202"/>
      <c r="CJ59" s="202"/>
      <c r="CK59" s="203"/>
      <c r="CL59" s="203"/>
      <c r="CM59" s="203"/>
      <c r="CN59" s="203"/>
      <c r="CO59" s="203"/>
      <c r="CP59" s="203"/>
      <c r="CQ59" s="213"/>
      <c r="CR59" s="213"/>
      <c r="CS59" s="204"/>
      <c r="CT59" s="196"/>
      <c r="CU59" s="155"/>
    </row>
    <row r="60" spans="1:99" ht="13.5" customHeight="1">
      <c r="A60" s="747"/>
      <c r="B60" s="195">
        <v>51</v>
      </c>
      <c r="C60" s="196"/>
      <c r="D60" s="201"/>
      <c r="E60" s="230"/>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202"/>
      <c r="AF60" s="202"/>
      <c r="AG60" s="202"/>
      <c r="AH60" s="202"/>
      <c r="AI60" s="202"/>
      <c r="AJ60" s="202"/>
      <c r="AK60" s="202"/>
      <c r="AL60" s="202"/>
      <c r="AM60" s="202"/>
      <c r="AN60" s="202"/>
      <c r="AO60" s="202"/>
      <c r="AP60" s="202"/>
      <c r="AQ60" s="202"/>
      <c r="AR60" s="202"/>
      <c r="AS60" s="202"/>
      <c r="AT60" s="202"/>
      <c r="AU60" s="202"/>
      <c r="AV60" s="202"/>
      <c r="AW60" s="202"/>
      <c r="AX60" s="202"/>
      <c r="AY60" s="202"/>
      <c r="AZ60" s="202"/>
      <c r="BA60" s="202"/>
      <c r="BB60" s="202"/>
      <c r="BC60" s="202"/>
      <c r="BD60" s="202"/>
      <c r="BE60" s="202"/>
      <c r="BF60" s="202"/>
      <c r="BG60" s="202"/>
      <c r="BH60" s="202"/>
      <c r="BI60" s="202"/>
      <c r="BJ60" s="202"/>
      <c r="BK60" s="202"/>
      <c r="BL60" s="202"/>
      <c r="BM60" s="202"/>
      <c r="BN60" s="202"/>
      <c r="BO60" s="202"/>
      <c r="BP60" s="202"/>
      <c r="BQ60" s="202"/>
      <c r="BR60" s="202"/>
      <c r="BS60" s="202"/>
      <c r="BT60" s="202"/>
      <c r="BU60" s="202"/>
      <c r="BV60" s="202"/>
      <c r="BW60" s="202"/>
      <c r="BX60" s="202"/>
      <c r="BY60" s="202"/>
      <c r="BZ60" s="202"/>
      <c r="CA60" s="202"/>
      <c r="CB60" s="202"/>
      <c r="CC60" s="202"/>
      <c r="CD60" s="202"/>
      <c r="CE60" s="202"/>
      <c r="CF60" s="202"/>
      <c r="CG60" s="202"/>
      <c r="CH60" s="202"/>
      <c r="CI60" s="202"/>
      <c r="CJ60" s="202"/>
      <c r="CK60" s="203"/>
      <c r="CL60" s="203"/>
      <c r="CM60" s="203"/>
      <c r="CN60" s="203"/>
      <c r="CO60" s="203"/>
      <c r="CP60" s="203"/>
      <c r="CQ60" s="213"/>
      <c r="CR60" s="213"/>
      <c r="CS60" s="204"/>
      <c r="CT60" s="196"/>
      <c r="CU60" s="155"/>
    </row>
    <row r="61" spans="1:99" ht="13.5" customHeight="1">
      <c r="A61" s="747"/>
      <c r="B61" s="195">
        <v>52</v>
      </c>
      <c r="C61" s="196"/>
      <c r="D61" s="198"/>
      <c r="E61" s="230"/>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c r="AN61" s="202"/>
      <c r="AO61" s="202"/>
      <c r="AP61" s="202"/>
      <c r="AQ61" s="202"/>
      <c r="AR61" s="202"/>
      <c r="AS61" s="202"/>
      <c r="AT61" s="202"/>
      <c r="AU61" s="202"/>
      <c r="AV61" s="202"/>
      <c r="AW61" s="202"/>
      <c r="AX61" s="202"/>
      <c r="AY61" s="202"/>
      <c r="AZ61" s="202"/>
      <c r="BA61" s="202"/>
      <c r="BB61" s="202"/>
      <c r="BC61" s="202"/>
      <c r="BD61" s="202"/>
      <c r="BE61" s="202"/>
      <c r="BF61" s="202"/>
      <c r="BG61" s="202"/>
      <c r="BH61" s="202"/>
      <c r="BI61" s="202"/>
      <c r="BJ61" s="202"/>
      <c r="BK61" s="202"/>
      <c r="BL61" s="202"/>
      <c r="BM61" s="202"/>
      <c r="BN61" s="202"/>
      <c r="BO61" s="202"/>
      <c r="BP61" s="202"/>
      <c r="BQ61" s="202"/>
      <c r="BR61" s="202"/>
      <c r="BS61" s="202"/>
      <c r="BT61" s="202"/>
      <c r="BU61" s="202"/>
      <c r="BV61" s="202"/>
      <c r="BW61" s="202"/>
      <c r="BX61" s="202"/>
      <c r="BY61" s="202"/>
      <c r="BZ61" s="202"/>
      <c r="CA61" s="202"/>
      <c r="CB61" s="202"/>
      <c r="CC61" s="202"/>
      <c r="CD61" s="202"/>
      <c r="CE61" s="202"/>
      <c r="CF61" s="202"/>
      <c r="CG61" s="202"/>
      <c r="CH61" s="202"/>
      <c r="CI61" s="202"/>
      <c r="CJ61" s="202"/>
      <c r="CK61" s="203"/>
      <c r="CL61" s="203"/>
      <c r="CM61" s="203"/>
      <c r="CN61" s="203"/>
      <c r="CO61" s="203"/>
      <c r="CP61" s="203"/>
      <c r="CQ61" s="213"/>
      <c r="CR61" s="213"/>
      <c r="CS61" s="204"/>
      <c r="CT61" s="196"/>
      <c r="CU61" s="155"/>
    </row>
    <row r="62" spans="1:99" ht="13.5" customHeight="1">
      <c r="A62" s="747"/>
      <c r="B62" s="195">
        <v>53</v>
      </c>
      <c r="C62" s="196"/>
      <c r="D62" s="201"/>
      <c r="E62" s="230"/>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202"/>
      <c r="AF62" s="202"/>
      <c r="AG62" s="202"/>
      <c r="AH62" s="202"/>
      <c r="AI62" s="202"/>
      <c r="AJ62" s="202"/>
      <c r="AK62" s="202"/>
      <c r="AL62" s="202"/>
      <c r="AM62" s="202"/>
      <c r="AN62" s="202"/>
      <c r="AO62" s="202"/>
      <c r="AP62" s="202"/>
      <c r="AQ62" s="202"/>
      <c r="AR62" s="202"/>
      <c r="AS62" s="202"/>
      <c r="AT62" s="202"/>
      <c r="AU62" s="202"/>
      <c r="AV62" s="202"/>
      <c r="AW62" s="202"/>
      <c r="AX62" s="202"/>
      <c r="AY62" s="202"/>
      <c r="AZ62" s="202"/>
      <c r="BA62" s="202"/>
      <c r="BB62" s="202"/>
      <c r="BC62" s="202"/>
      <c r="BD62" s="202"/>
      <c r="BE62" s="202"/>
      <c r="BF62" s="202"/>
      <c r="BG62" s="202"/>
      <c r="BH62" s="202"/>
      <c r="BI62" s="202"/>
      <c r="BJ62" s="202"/>
      <c r="BK62" s="202"/>
      <c r="BL62" s="202"/>
      <c r="BM62" s="202"/>
      <c r="BN62" s="202"/>
      <c r="BO62" s="202"/>
      <c r="BP62" s="202"/>
      <c r="BQ62" s="202"/>
      <c r="BR62" s="202"/>
      <c r="BS62" s="202"/>
      <c r="BT62" s="202"/>
      <c r="BU62" s="202"/>
      <c r="BV62" s="202"/>
      <c r="BW62" s="202"/>
      <c r="BX62" s="202"/>
      <c r="BY62" s="202"/>
      <c r="BZ62" s="202"/>
      <c r="CA62" s="202"/>
      <c r="CB62" s="202"/>
      <c r="CC62" s="202"/>
      <c r="CD62" s="202"/>
      <c r="CE62" s="202"/>
      <c r="CF62" s="202"/>
      <c r="CG62" s="202"/>
      <c r="CH62" s="202"/>
      <c r="CI62" s="202"/>
      <c r="CJ62" s="202"/>
      <c r="CK62" s="203"/>
      <c r="CL62" s="203"/>
      <c r="CM62" s="203"/>
      <c r="CN62" s="203"/>
      <c r="CO62" s="203"/>
      <c r="CP62" s="203"/>
      <c r="CQ62" s="213"/>
      <c r="CR62" s="213"/>
      <c r="CS62" s="204"/>
      <c r="CT62" s="196"/>
      <c r="CU62" s="155"/>
    </row>
    <row r="63" spans="1:99" ht="13.5" customHeight="1" thickBot="1">
      <c r="A63" s="747"/>
      <c r="B63" s="195">
        <v>54</v>
      </c>
      <c r="C63" s="232"/>
      <c r="D63" s="233"/>
      <c r="E63" s="234"/>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6"/>
      <c r="CT63" s="232"/>
      <c r="CU63" s="155"/>
    </row>
    <row r="64" spans="1:99">
      <c r="A64" s="237"/>
      <c r="CU64" s="155"/>
    </row>
    <row r="65" spans="1:99">
      <c r="A65" s="237"/>
      <c r="CU65" s="155"/>
    </row>
    <row r="66" spans="1:99">
      <c r="A66" s="237"/>
      <c r="CU66" s="155"/>
    </row>
    <row r="67" spans="1:99">
      <c r="A67" s="237"/>
    </row>
    <row r="68" spans="1:99">
      <c r="A68" s="237"/>
    </row>
    <row r="69" spans="1:99">
      <c r="A69" s="237"/>
    </row>
    <row r="70" spans="1:99">
      <c r="A70" s="237"/>
    </row>
    <row r="71" spans="1:99">
      <c r="A71" s="237"/>
    </row>
    <row r="72" spans="1:99">
      <c r="A72" s="237"/>
    </row>
    <row r="73" spans="1:99">
      <c r="A73" s="237"/>
    </row>
    <row r="74" spans="1:99">
      <c r="A74" s="237"/>
    </row>
  </sheetData>
  <mergeCells count="71">
    <mergeCell ref="CF38:CL38"/>
    <mergeCell ref="H37:S37"/>
    <mergeCell ref="T37:AD37"/>
    <mergeCell ref="AO37:AY37"/>
    <mergeCell ref="BJ37:BP37"/>
    <mergeCell ref="BU37:CA37"/>
    <mergeCell ref="CF37:CL37"/>
    <mergeCell ref="H38:S38"/>
    <mergeCell ref="T38:AD38"/>
    <mergeCell ref="AO38:AY38"/>
    <mergeCell ref="BJ38:BP38"/>
    <mergeCell ref="BU38:CA38"/>
    <mergeCell ref="FX36:GD36"/>
    <mergeCell ref="H36:S36"/>
    <mergeCell ref="T36:AD36"/>
    <mergeCell ref="AO36:AY36"/>
    <mergeCell ref="BJ36:BP36"/>
    <mergeCell ref="BU36:CA36"/>
    <mergeCell ref="CF36:CL36"/>
    <mergeCell ref="CZ36:DK36"/>
    <mergeCell ref="DL36:DV36"/>
    <mergeCell ref="EG36:EQ36"/>
    <mergeCell ref="FB36:FH36"/>
    <mergeCell ref="FM36:FS36"/>
    <mergeCell ref="FX35:GD35"/>
    <mergeCell ref="CZ34:DK34"/>
    <mergeCell ref="DL34:DV34"/>
    <mergeCell ref="EG34:EQ34"/>
    <mergeCell ref="FB34:FH34"/>
    <mergeCell ref="FM34:FS34"/>
    <mergeCell ref="FX34:GD34"/>
    <mergeCell ref="CZ35:DK35"/>
    <mergeCell ref="DL35:DV35"/>
    <mergeCell ref="EG35:EQ35"/>
    <mergeCell ref="FB35:FH35"/>
    <mergeCell ref="FM35:FS35"/>
    <mergeCell ref="H34:S35"/>
    <mergeCell ref="T34:AM35"/>
    <mergeCell ref="AO34:BI35"/>
    <mergeCell ref="BJ34:BT35"/>
    <mergeCell ref="BU34:CE35"/>
    <mergeCell ref="BG20:BP20"/>
    <mergeCell ref="CF34:CQ35"/>
    <mergeCell ref="CZ32:DK33"/>
    <mergeCell ref="DL32:EE33"/>
    <mergeCell ref="EG32:FA33"/>
    <mergeCell ref="FM32:FW33"/>
    <mergeCell ref="FX32:GI33"/>
    <mergeCell ref="X21:AG21"/>
    <mergeCell ref="BG21:BP21"/>
    <mergeCell ref="X24:AG24"/>
    <mergeCell ref="X25:AG25"/>
    <mergeCell ref="X27:AG27"/>
    <mergeCell ref="BG27:BP27"/>
    <mergeCell ref="FB32:FL33"/>
    <mergeCell ref="B1:CT1"/>
    <mergeCell ref="A3:A63"/>
    <mergeCell ref="CA3:CH3"/>
    <mergeCell ref="CI3:CL3"/>
    <mergeCell ref="CP3:CS3"/>
    <mergeCell ref="BG4:CS4"/>
    <mergeCell ref="BG5:CS5"/>
    <mergeCell ref="BG6:BZ6"/>
    <mergeCell ref="CA6:CF6"/>
    <mergeCell ref="CG6:CS6"/>
    <mergeCell ref="C7:AR8"/>
    <mergeCell ref="BG7:CS7"/>
    <mergeCell ref="BG8:BZ8"/>
    <mergeCell ref="CA8:CF8"/>
    <mergeCell ref="CG8:CS8"/>
    <mergeCell ref="X20:AG20"/>
  </mergeCells>
  <phoneticPr fontId="1" type="noConversion"/>
  <printOptions horizontalCentered="1"/>
  <pageMargins left="0" right="0" top="0.51181102362204722" bottom="0.39370078740157483" header="0.31496062992125984" footer="0.31496062992125984"/>
  <pageSetup paperSize="9" scale="8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transitionEntry="1" codeName="Sheet9"/>
  <dimension ref="A1:S213"/>
  <sheetViews>
    <sheetView tabSelected="1" view="pageBreakPreview" zoomScale="70" zoomScaleSheetLayoutView="70" workbookViewId="0">
      <selection activeCell="V14" sqref="V14"/>
    </sheetView>
  </sheetViews>
  <sheetFormatPr defaultRowHeight="12.75"/>
  <cols>
    <col min="1" max="3" width="9" style="2"/>
    <col min="4" max="4" width="9" style="2" customWidth="1"/>
    <col min="5" max="5" width="3.625" style="36" customWidth="1"/>
    <col min="6" max="6" width="15.625" style="2" customWidth="1"/>
    <col min="7" max="7" width="13.625" style="2" customWidth="1"/>
    <col min="8" max="9" width="8.625" style="2" customWidth="1"/>
    <col min="10" max="19" width="17.125" style="2" customWidth="1"/>
    <col min="20" max="176" width="9" style="2"/>
    <col min="177" max="179" width="11.125" style="2" customWidth="1"/>
    <col min="180" max="200" width="8.5" style="2" customWidth="1"/>
    <col min="201" max="201" width="3.375" style="2" customWidth="1"/>
    <col min="202" max="202" width="5" style="2" customWidth="1"/>
    <col min="203" max="203" width="5.875" style="2" customWidth="1"/>
    <col min="204" max="219" width="7.625" style="2" customWidth="1"/>
    <col min="220" max="432" width="9" style="2"/>
    <col min="433" max="435" width="11.125" style="2" customWidth="1"/>
    <col min="436" max="456" width="8.5" style="2" customWidth="1"/>
    <col min="457" max="457" width="3.375" style="2" customWidth="1"/>
    <col min="458" max="458" width="5" style="2" customWidth="1"/>
    <col min="459" max="459" width="5.875" style="2" customWidth="1"/>
    <col min="460" max="475" width="7.625" style="2" customWidth="1"/>
    <col min="476" max="688" width="9" style="2"/>
    <col min="689" max="691" width="11.125" style="2" customWidth="1"/>
    <col min="692" max="712" width="8.5" style="2" customWidth="1"/>
    <col min="713" max="713" width="3.375" style="2" customWidth="1"/>
    <col min="714" max="714" width="5" style="2" customWidth="1"/>
    <col min="715" max="715" width="5.875" style="2" customWidth="1"/>
    <col min="716" max="731" width="7.625" style="2" customWidth="1"/>
    <col min="732" max="944" width="9" style="2"/>
    <col min="945" max="947" width="11.125" style="2" customWidth="1"/>
    <col min="948" max="968" width="8.5" style="2" customWidth="1"/>
    <col min="969" max="969" width="3.375" style="2" customWidth="1"/>
    <col min="970" max="970" width="5" style="2" customWidth="1"/>
    <col min="971" max="971" width="5.875" style="2" customWidth="1"/>
    <col min="972" max="987" width="7.625" style="2" customWidth="1"/>
    <col min="988" max="1200" width="9" style="2"/>
    <col min="1201" max="1203" width="11.125" style="2" customWidth="1"/>
    <col min="1204" max="1224" width="8.5" style="2" customWidth="1"/>
    <col min="1225" max="1225" width="3.375" style="2" customWidth="1"/>
    <col min="1226" max="1226" width="5" style="2" customWidth="1"/>
    <col min="1227" max="1227" width="5.875" style="2" customWidth="1"/>
    <col min="1228" max="1243" width="7.625" style="2" customWidth="1"/>
    <col min="1244" max="1456" width="9" style="2"/>
    <col min="1457" max="1459" width="11.125" style="2" customWidth="1"/>
    <col min="1460" max="1480" width="8.5" style="2" customWidth="1"/>
    <col min="1481" max="1481" width="3.375" style="2" customWidth="1"/>
    <col min="1482" max="1482" width="5" style="2" customWidth="1"/>
    <col min="1483" max="1483" width="5.875" style="2" customWidth="1"/>
    <col min="1484" max="1499" width="7.625" style="2" customWidth="1"/>
    <col min="1500" max="1712" width="9" style="2"/>
    <col min="1713" max="1715" width="11.125" style="2" customWidth="1"/>
    <col min="1716" max="1736" width="8.5" style="2" customWidth="1"/>
    <col min="1737" max="1737" width="3.375" style="2" customWidth="1"/>
    <col min="1738" max="1738" width="5" style="2" customWidth="1"/>
    <col min="1739" max="1739" width="5.875" style="2" customWidth="1"/>
    <col min="1740" max="1755" width="7.625" style="2" customWidth="1"/>
    <col min="1756" max="1968" width="9" style="2"/>
    <col min="1969" max="1971" width="11.125" style="2" customWidth="1"/>
    <col min="1972" max="1992" width="8.5" style="2" customWidth="1"/>
    <col min="1993" max="1993" width="3.375" style="2" customWidth="1"/>
    <col min="1994" max="1994" width="5" style="2" customWidth="1"/>
    <col min="1995" max="1995" width="5.875" style="2" customWidth="1"/>
    <col min="1996" max="2011" width="7.625" style="2" customWidth="1"/>
    <col min="2012" max="2224" width="9" style="2"/>
    <col min="2225" max="2227" width="11.125" style="2" customWidth="1"/>
    <col min="2228" max="2248" width="8.5" style="2" customWidth="1"/>
    <col min="2249" max="2249" width="3.375" style="2" customWidth="1"/>
    <col min="2250" max="2250" width="5" style="2" customWidth="1"/>
    <col min="2251" max="2251" width="5.875" style="2" customWidth="1"/>
    <col min="2252" max="2267" width="7.625" style="2" customWidth="1"/>
    <col min="2268" max="2480" width="9" style="2"/>
    <col min="2481" max="2483" width="11.125" style="2" customWidth="1"/>
    <col min="2484" max="2504" width="8.5" style="2" customWidth="1"/>
    <col min="2505" max="2505" width="3.375" style="2" customWidth="1"/>
    <col min="2506" max="2506" width="5" style="2" customWidth="1"/>
    <col min="2507" max="2507" width="5.875" style="2" customWidth="1"/>
    <col min="2508" max="2523" width="7.625" style="2" customWidth="1"/>
    <col min="2524" max="2736" width="9" style="2"/>
    <col min="2737" max="2739" width="11.125" style="2" customWidth="1"/>
    <col min="2740" max="2760" width="8.5" style="2" customWidth="1"/>
    <col min="2761" max="2761" width="3.375" style="2" customWidth="1"/>
    <col min="2762" max="2762" width="5" style="2" customWidth="1"/>
    <col min="2763" max="2763" width="5.875" style="2" customWidth="1"/>
    <col min="2764" max="2779" width="7.625" style="2" customWidth="1"/>
    <col min="2780" max="2992" width="9" style="2"/>
    <col min="2993" max="2995" width="11.125" style="2" customWidth="1"/>
    <col min="2996" max="3016" width="8.5" style="2" customWidth="1"/>
    <col min="3017" max="3017" width="3.375" style="2" customWidth="1"/>
    <col min="3018" max="3018" width="5" style="2" customWidth="1"/>
    <col min="3019" max="3019" width="5.875" style="2" customWidth="1"/>
    <col min="3020" max="3035" width="7.625" style="2" customWidth="1"/>
    <col min="3036" max="3248" width="9" style="2"/>
    <col min="3249" max="3251" width="11.125" style="2" customWidth="1"/>
    <col min="3252" max="3272" width="8.5" style="2" customWidth="1"/>
    <col min="3273" max="3273" width="3.375" style="2" customWidth="1"/>
    <col min="3274" max="3274" width="5" style="2" customWidth="1"/>
    <col min="3275" max="3275" width="5.875" style="2" customWidth="1"/>
    <col min="3276" max="3291" width="7.625" style="2" customWidth="1"/>
    <col min="3292" max="3504" width="9" style="2"/>
    <col min="3505" max="3507" width="11.125" style="2" customWidth="1"/>
    <col min="3508" max="3528" width="8.5" style="2" customWidth="1"/>
    <col min="3529" max="3529" width="3.375" style="2" customWidth="1"/>
    <col min="3530" max="3530" width="5" style="2" customWidth="1"/>
    <col min="3531" max="3531" width="5.875" style="2" customWidth="1"/>
    <col min="3532" max="3547" width="7.625" style="2" customWidth="1"/>
    <col min="3548" max="3760" width="9" style="2"/>
    <col min="3761" max="3763" width="11.125" style="2" customWidth="1"/>
    <col min="3764" max="3784" width="8.5" style="2" customWidth="1"/>
    <col min="3785" max="3785" width="3.375" style="2" customWidth="1"/>
    <col min="3786" max="3786" width="5" style="2" customWidth="1"/>
    <col min="3787" max="3787" width="5.875" style="2" customWidth="1"/>
    <col min="3788" max="3803" width="7.625" style="2" customWidth="1"/>
    <col min="3804" max="4016" width="9" style="2"/>
    <col min="4017" max="4019" width="11.125" style="2" customWidth="1"/>
    <col min="4020" max="4040" width="8.5" style="2" customWidth="1"/>
    <col min="4041" max="4041" width="3.375" style="2" customWidth="1"/>
    <col min="4042" max="4042" width="5" style="2" customWidth="1"/>
    <col min="4043" max="4043" width="5.875" style="2" customWidth="1"/>
    <col min="4044" max="4059" width="7.625" style="2" customWidth="1"/>
    <col min="4060" max="4272" width="9" style="2"/>
    <col min="4273" max="4275" width="11.125" style="2" customWidth="1"/>
    <col min="4276" max="4296" width="8.5" style="2" customWidth="1"/>
    <col min="4297" max="4297" width="3.375" style="2" customWidth="1"/>
    <col min="4298" max="4298" width="5" style="2" customWidth="1"/>
    <col min="4299" max="4299" width="5.875" style="2" customWidth="1"/>
    <col min="4300" max="4315" width="7.625" style="2" customWidth="1"/>
    <col min="4316" max="4528" width="9" style="2"/>
    <col min="4529" max="4531" width="11.125" style="2" customWidth="1"/>
    <col min="4532" max="4552" width="8.5" style="2" customWidth="1"/>
    <col min="4553" max="4553" width="3.375" style="2" customWidth="1"/>
    <col min="4554" max="4554" width="5" style="2" customWidth="1"/>
    <col min="4555" max="4555" width="5.875" style="2" customWidth="1"/>
    <col min="4556" max="4571" width="7.625" style="2" customWidth="1"/>
    <col min="4572" max="4784" width="9" style="2"/>
    <col min="4785" max="4787" width="11.125" style="2" customWidth="1"/>
    <col min="4788" max="4808" width="8.5" style="2" customWidth="1"/>
    <col min="4809" max="4809" width="3.375" style="2" customWidth="1"/>
    <col min="4810" max="4810" width="5" style="2" customWidth="1"/>
    <col min="4811" max="4811" width="5.875" style="2" customWidth="1"/>
    <col min="4812" max="4827" width="7.625" style="2" customWidth="1"/>
    <col min="4828" max="5040" width="9" style="2"/>
    <col min="5041" max="5043" width="11.125" style="2" customWidth="1"/>
    <col min="5044" max="5064" width="8.5" style="2" customWidth="1"/>
    <col min="5065" max="5065" width="3.375" style="2" customWidth="1"/>
    <col min="5066" max="5066" width="5" style="2" customWidth="1"/>
    <col min="5067" max="5067" width="5.875" style="2" customWidth="1"/>
    <col min="5068" max="5083" width="7.625" style="2" customWidth="1"/>
    <col min="5084" max="5296" width="9" style="2"/>
    <col min="5297" max="5299" width="11.125" style="2" customWidth="1"/>
    <col min="5300" max="5320" width="8.5" style="2" customWidth="1"/>
    <col min="5321" max="5321" width="3.375" style="2" customWidth="1"/>
    <col min="5322" max="5322" width="5" style="2" customWidth="1"/>
    <col min="5323" max="5323" width="5.875" style="2" customWidth="1"/>
    <col min="5324" max="5339" width="7.625" style="2" customWidth="1"/>
    <col min="5340" max="5552" width="9" style="2"/>
    <col min="5553" max="5555" width="11.125" style="2" customWidth="1"/>
    <col min="5556" max="5576" width="8.5" style="2" customWidth="1"/>
    <col min="5577" max="5577" width="3.375" style="2" customWidth="1"/>
    <col min="5578" max="5578" width="5" style="2" customWidth="1"/>
    <col min="5579" max="5579" width="5.875" style="2" customWidth="1"/>
    <col min="5580" max="5595" width="7.625" style="2" customWidth="1"/>
    <col min="5596" max="5808" width="9" style="2"/>
    <col min="5809" max="5811" width="11.125" style="2" customWidth="1"/>
    <col min="5812" max="5832" width="8.5" style="2" customWidth="1"/>
    <col min="5833" max="5833" width="3.375" style="2" customWidth="1"/>
    <col min="5834" max="5834" width="5" style="2" customWidth="1"/>
    <col min="5835" max="5835" width="5.875" style="2" customWidth="1"/>
    <col min="5836" max="5851" width="7.625" style="2" customWidth="1"/>
    <col min="5852" max="6064" width="9" style="2"/>
    <col min="6065" max="6067" width="11.125" style="2" customWidth="1"/>
    <col min="6068" max="6088" width="8.5" style="2" customWidth="1"/>
    <col min="6089" max="6089" width="3.375" style="2" customWidth="1"/>
    <col min="6090" max="6090" width="5" style="2" customWidth="1"/>
    <col min="6091" max="6091" width="5.875" style="2" customWidth="1"/>
    <col min="6092" max="6107" width="7.625" style="2" customWidth="1"/>
    <col min="6108" max="6320" width="9" style="2"/>
    <col min="6321" max="6323" width="11.125" style="2" customWidth="1"/>
    <col min="6324" max="6344" width="8.5" style="2" customWidth="1"/>
    <col min="6345" max="6345" width="3.375" style="2" customWidth="1"/>
    <col min="6346" max="6346" width="5" style="2" customWidth="1"/>
    <col min="6347" max="6347" width="5.875" style="2" customWidth="1"/>
    <col min="6348" max="6363" width="7.625" style="2" customWidth="1"/>
    <col min="6364" max="6576" width="9" style="2"/>
    <col min="6577" max="6579" width="11.125" style="2" customWidth="1"/>
    <col min="6580" max="6600" width="8.5" style="2" customWidth="1"/>
    <col min="6601" max="6601" width="3.375" style="2" customWidth="1"/>
    <col min="6602" max="6602" width="5" style="2" customWidth="1"/>
    <col min="6603" max="6603" width="5.875" style="2" customWidth="1"/>
    <col min="6604" max="6619" width="7.625" style="2" customWidth="1"/>
    <col min="6620" max="6832" width="9" style="2"/>
    <col min="6833" max="6835" width="11.125" style="2" customWidth="1"/>
    <col min="6836" max="6856" width="8.5" style="2" customWidth="1"/>
    <col min="6857" max="6857" width="3.375" style="2" customWidth="1"/>
    <col min="6858" max="6858" width="5" style="2" customWidth="1"/>
    <col min="6859" max="6859" width="5.875" style="2" customWidth="1"/>
    <col min="6860" max="6875" width="7.625" style="2" customWidth="1"/>
    <col min="6876" max="7088" width="9" style="2"/>
    <col min="7089" max="7091" width="11.125" style="2" customWidth="1"/>
    <col min="7092" max="7112" width="8.5" style="2" customWidth="1"/>
    <col min="7113" max="7113" width="3.375" style="2" customWidth="1"/>
    <col min="7114" max="7114" width="5" style="2" customWidth="1"/>
    <col min="7115" max="7115" width="5.875" style="2" customWidth="1"/>
    <col min="7116" max="7131" width="7.625" style="2" customWidth="1"/>
    <col min="7132" max="7344" width="9" style="2"/>
    <col min="7345" max="7347" width="11.125" style="2" customWidth="1"/>
    <col min="7348" max="7368" width="8.5" style="2" customWidth="1"/>
    <col min="7369" max="7369" width="3.375" style="2" customWidth="1"/>
    <col min="7370" max="7370" width="5" style="2" customWidth="1"/>
    <col min="7371" max="7371" width="5.875" style="2" customWidth="1"/>
    <col min="7372" max="7387" width="7.625" style="2" customWidth="1"/>
    <col min="7388" max="7600" width="9" style="2"/>
    <col min="7601" max="7603" width="11.125" style="2" customWidth="1"/>
    <col min="7604" max="7624" width="8.5" style="2" customWidth="1"/>
    <col min="7625" max="7625" width="3.375" style="2" customWidth="1"/>
    <col min="7626" max="7626" width="5" style="2" customWidth="1"/>
    <col min="7627" max="7627" width="5.875" style="2" customWidth="1"/>
    <col min="7628" max="7643" width="7.625" style="2" customWidth="1"/>
    <col min="7644" max="7856" width="9" style="2"/>
    <col min="7857" max="7859" width="11.125" style="2" customWidth="1"/>
    <col min="7860" max="7880" width="8.5" style="2" customWidth="1"/>
    <col min="7881" max="7881" width="3.375" style="2" customWidth="1"/>
    <col min="7882" max="7882" width="5" style="2" customWidth="1"/>
    <col min="7883" max="7883" width="5.875" style="2" customWidth="1"/>
    <col min="7884" max="7899" width="7.625" style="2" customWidth="1"/>
    <col min="7900" max="8112" width="9" style="2"/>
    <col min="8113" max="8115" width="11.125" style="2" customWidth="1"/>
    <col min="8116" max="8136" width="8.5" style="2" customWidth="1"/>
    <col min="8137" max="8137" width="3.375" style="2" customWidth="1"/>
    <col min="8138" max="8138" width="5" style="2" customWidth="1"/>
    <col min="8139" max="8139" width="5.875" style="2" customWidth="1"/>
    <col min="8140" max="8155" width="7.625" style="2" customWidth="1"/>
    <col min="8156" max="8368" width="9" style="2"/>
    <col min="8369" max="8371" width="11.125" style="2" customWidth="1"/>
    <col min="8372" max="8392" width="8.5" style="2" customWidth="1"/>
    <col min="8393" max="8393" width="3.375" style="2" customWidth="1"/>
    <col min="8394" max="8394" width="5" style="2" customWidth="1"/>
    <col min="8395" max="8395" width="5.875" style="2" customWidth="1"/>
    <col min="8396" max="8411" width="7.625" style="2" customWidth="1"/>
    <col min="8412" max="8624" width="9" style="2"/>
    <col min="8625" max="8627" width="11.125" style="2" customWidth="1"/>
    <col min="8628" max="8648" width="8.5" style="2" customWidth="1"/>
    <col min="8649" max="8649" width="3.375" style="2" customWidth="1"/>
    <col min="8650" max="8650" width="5" style="2" customWidth="1"/>
    <col min="8651" max="8651" width="5.875" style="2" customWidth="1"/>
    <col min="8652" max="8667" width="7.625" style="2" customWidth="1"/>
    <col min="8668" max="8880" width="9" style="2"/>
    <col min="8881" max="8883" width="11.125" style="2" customWidth="1"/>
    <col min="8884" max="8904" width="8.5" style="2" customWidth="1"/>
    <col min="8905" max="8905" width="3.375" style="2" customWidth="1"/>
    <col min="8906" max="8906" width="5" style="2" customWidth="1"/>
    <col min="8907" max="8907" width="5.875" style="2" customWidth="1"/>
    <col min="8908" max="8923" width="7.625" style="2" customWidth="1"/>
    <col min="8924" max="9136" width="9" style="2"/>
    <col min="9137" max="9139" width="11.125" style="2" customWidth="1"/>
    <col min="9140" max="9160" width="8.5" style="2" customWidth="1"/>
    <col min="9161" max="9161" width="3.375" style="2" customWidth="1"/>
    <col min="9162" max="9162" width="5" style="2" customWidth="1"/>
    <col min="9163" max="9163" width="5.875" style="2" customWidth="1"/>
    <col min="9164" max="9179" width="7.625" style="2" customWidth="1"/>
    <col min="9180" max="9392" width="9" style="2"/>
    <col min="9393" max="9395" width="11.125" style="2" customWidth="1"/>
    <col min="9396" max="9416" width="8.5" style="2" customWidth="1"/>
    <col min="9417" max="9417" width="3.375" style="2" customWidth="1"/>
    <col min="9418" max="9418" width="5" style="2" customWidth="1"/>
    <col min="9419" max="9419" width="5.875" style="2" customWidth="1"/>
    <col min="9420" max="9435" width="7.625" style="2" customWidth="1"/>
    <col min="9436" max="9648" width="9" style="2"/>
    <col min="9649" max="9651" width="11.125" style="2" customWidth="1"/>
    <col min="9652" max="9672" width="8.5" style="2" customWidth="1"/>
    <col min="9673" max="9673" width="3.375" style="2" customWidth="1"/>
    <col min="9674" max="9674" width="5" style="2" customWidth="1"/>
    <col min="9675" max="9675" width="5.875" style="2" customWidth="1"/>
    <col min="9676" max="9691" width="7.625" style="2" customWidth="1"/>
    <col min="9692" max="9904" width="9" style="2"/>
    <col min="9905" max="9907" width="11.125" style="2" customWidth="1"/>
    <col min="9908" max="9928" width="8.5" style="2" customWidth="1"/>
    <col min="9929" max="9929" width="3.375" style="2" customWidth="1"/>
    <col min="9930" max="9930" width="5" style="2" customWidth="1"/>
    <col min="9931" max="9931" width="5.875" style="2" customWidth="1"/>
    <col min="9932" max="9947" width="7.625" style="2" customWidth="1"/>
    <col min="9948" max="10160" width="9" style="2"/>
    <col min="10161" max="10163" width="11.125" style="2" customWidth="1"/>
    <col min="10164" max="10184" width="8.5" style="2" customWidth="1"/>
    <col min="10185" max="10185" width="3.375" style="2" customWidth="1"/>
    <col min="10186" max="10186" width="5" style="2" customWidth="1"/>
    <col min="10187" max="10187" width="5.875" style="2" customWidth="1"/>
    <col min="10188" max="10203" width="7.625" style="2" customWidth="1"/>
    <col min="10204" max="10416" width="9" style="2"/>
    <col min="10417" max="10419" width="11.125" style="2" customWidth="1"/>
    <col min="10420" max="10440" width="8.5" style="2" customWidth="1"/>
    <col min="10441" max="10441" width="3.375" style="2" customWidth="1"/>
    <col min="10442" max="10442" width="5" style="2" customWidth="1"/>
    <col min="10443" max="10443" width="5.875" style="2" customWidth="1"/>
    <col min="10444" max="10459" width="7.625" style="2" customWidth="1"/>
    <col min="10460" max="10672" width="9" style="2"/>
    <col min="10673" max="10675" width="11.125" style="2" customWidth="1"/>
    <col min="10676" max="10696" width="8.5" style="2" customWidth="1"/>
    <col min="10697" max="10697" width="3.375" style="2" customWidth="1"/>
    <col min="10698" max="10698" width="5" style="2" customWidth="1"/>
    <col min="10699" max="10699" width="5.875" style="2" customWidth="1"/>
    <col min="10700" max="10715" width="7.625" style="2" customWidth="1"/>
    <col min="10716" max="10928" width="9" style="2"/>
    <col min="10929" max="10931" width="11.125" style="2" customWidth="1"/>
    <col min="10932" max="10952" width="8.5" style="2" customWidth="1"/>
    <col min="10953" max="10953" width="3.375" style="2" customWidth="1"/>
    <col min="10954" max="10954" width="5" style="2" customWidth="1"/>
    <col min="10955" max="10955" width="5.875" style="2" customWidth="1"/>
    <col min="10956" max="10971" width="7.625" style="2" customWidth="1"/>
    <col min="10972" max="11184" width="9" style="2"/>
    <col min="11185" max="11187" width="11.125" style="2" customWidth="1"/>
    <col min="11188" max="11208" width="8.5" style="2" customWidth="1"/>
    <col min="11209" max="11209" width="3.375" style="2" customWidth="1"/>
    <col min="11210" max="11210" width="5" style="2" customWidth="1"/>
    <col min="11211" max="11211" width="5.875" style="2" customWidth="1"/>
    <col min="11212" max="11227" width="7.625" style="2" customWidth="1"/>
    <col min="11228" max="11440" width="9" style="2"/>
    <col min="11441" max="11443" width="11.125" style="2" customWidth="1"/>
    <col min="11444" max="11464" width="8.5" style="2" customWidth="1"/>
    <col min="11465" max="11465" width="3.375" style="2" customWidth="1"/>
    <col min="11466" max="11466" width="5" style="2" customWidth="1"/>
    <col min="11467" max="11467" width="5.875" style="2" customWidth="1"/>
    <col min="11468" max="11483" width="7.625" style="2" customWidth="1"/>
    <col min="11484" max="11696" width="9" style="2"/>
    <col min="11697" max="11699" width="11.125" style="2" customWidth="1"/>
    <col min="11700" max="11720" width="8.5" style="2" customWidth="1"/>
    <col min="11721" max="11721" width="3.375" style="2" customWidth="1"/>
    <col min="11722" max="11722" width="5" style="2" customWidth="1"/>
    <col min="11723" max="11723" width="5.875" style="2" customWidth="1"/>
    <col min="11724" max="11739" width="7.625" style="2" customWidth="1"/>
    <col min="11740" max="11952" width="9" style="2"/>
    <col min="11953" max="11955" width="11.125" style="2" customWidth="1"/>
    <col min="11956" max="11976" width="8.5" style="2" customWidth="1"/>
    <col min="11977" max="11977" width="3.375" style="2" customWidth="1"/>
    <col min="11978" max="11978" width="5" style="2" customWidth="1"/>
    <col min="11979" max="11979" width="5.875" style="2" customWidth="1"/>
    <col min="11980" max="11995" width="7.625" style="2" customWidth="1"/>
    <col min="11996" max="12208" width="9" style="2"/>
    <col min="12209" max="12211" width="11.125" style="2" customWidth="1"/>
    <col min="12212" max="12232" width="8.5" style="2" customWidth="1"/>
    <col min="12233" max="12233" width="3.375" style="2" customWidth="1"/>
    <col min="12234" max="12234" width="5" style="2" customWidth="1"/>
    <col min="12235" max="12235" width="5.875" style="2" customWidth="1"/>
    <col min="12236" max="12251" width="7.625" style="2" customWidth="1"/>
    <col min="12252" max="12464" width="9" style="2"/>
    <col min="12465" max="12467" width="11.125" style="2" customWidth="1"/>
    <col min="12468" max="12488" width="8.5" style="2" customWidth="1"/>
    <col min="12489" max="12489" width="3.375" style="2" customWidth="1"/>
    <col min="12490" max="12490" width="5" style="2" customWidth="1"/>
    <col min="12491" max="12491" width="5.875" style="2" customWidth="1"/>
    <col min="12492" max="12507" width="7.625" style="2" customWidth="1"/>
    <col min="12508" max="12720" width="9" style="2"/>
    <col min="12721" max="12723" width="11.125" style="2" customWidth="1"/>
    <col min="12724" max="12744" width="8.5" style="2" customWidth="1"/>
    <col min="12745" max="12745" width="3.375" style="2" customWidth="1"/>
    <col min="12746" max="12746" width="5" style="2" customWidth="1"/>
    <col min="12747" max="12747" width="5.875" style="2" customWidth="1"/>
    <col min="12748" max="12763" width="7.625" style="2" customWidth="1"/>
    <col min="12764" max="12976" width="9" style="2"/>
    <col min="12977" max="12979" width="11.125" style="2" customWidth="1"/>
    <col min="12980" max="13000" width="8.5" style="2" customWidth="1"/>
    <col min="13001" max="13001" width="3.375" style="2" customWidth="1"/>
    <col min="13002" max="13002" width="5" style="2" customWidth="1"/>
    <col min="13003" max="13003" width="5.875" style="2" customWidth="1"/>
    <col min="13004" max="13019" width="7.625" style="2" customWidth="1"/>
    <col min="13020" max="13232" width="9" style="2"/>
    <col min="13233" max="13235" width="11.125" style="2" customWidth="1"/>
    <col min="13236" max="13256" width="8.5" style="2" customWidth="1"/>
    <col min="13257" max="13257" width="3.375" style="2" customWidth="1"/>
    <col min="13258" max="13258" width="5" style="2" customWidth="1"/>
    <col min="13259" max="13259" width="5.875" style="2" customWidth="1"/>
    <col min="13260" max="13275" width="7.625" style="2" customWidth="1"/>
    <col min="13276" max="13488" width="9" style="2"/>
    <col min="13489" max="13491" width="11.125" style="2" customWidth="1"/>
    <col min="13492" max="13512" width="8.5" style="2" customWidth="1"/>
    <col min="13513" max="13513" width="3.375" style="2" customWidth="1"/>
    <col min="13514" max="13514" width="5" style="2" customWidth="1"/>
    <col min="13515" max="13515" width="5.875" style="2" customWidth="1"/>
    <col min="13516" max="13531" width="7.625" style="2" customWidth="1"/>
    <col min="13532" max="13744" width="9" style="2"/>
    <col min="13745" max="13747" width="11.125" style="2" customWidth="1"/>
    <col min="13748" max="13768" width="8.5" style="2" customWidth="1"/>
    <col min="13769" max="13769" width="3.375" style="2" customWidth="1"/>
    <col min="13770" max="13770" width="5" style="2" customWidth="1"/>
    <col min="13771" max="13771" width="5.875" style="2" customWidth="1"/>
    <col min="13772" max="13787" width="7.625" style="2" customWidth="1"/>
    <col min="13788" max="14000" width="9" style="2"/>
    <col min="14001" max="14003" width="11.125" style="2" customWidth="1"/>
    <col min="14004" max="14024" width="8.5" style="2" customWidth="1"/>
    <col min="14025" max="14025" width="3.375" style="2" customWidth="1"/>
    <col min="14026" max="14026" width="5" style="2" customWidth="1"/>
    <col min="14027" max="14027" width="5.875" style="2" customWidth="1"/>
    <col min="14028" max="14043" width="7.625" style="2" customWidth="1"/>
    <col min="14044" max="14256" width="9" style="2"/>
    <col min="14257" max="14259" width="11.125" style="2" customWidth="1"/>
    <col min="14260" max="14280" width="8.5" style="2" customWidth="1"/>
    <col min="14281" max="14281" width="3.375" style="2" customWidth="1"/>
    <col min="14282" max="14282" width="5" style="2" customWidth="1"/>
    <col min="14283" max="14283" width="5.875" style="2" customWidth="1"/>
    <col min="14284" max="14299" width="7.625" style="2" customWidth="1"/>
    <col min="14300" max="14512" width="9" style="2"/>
    <col min="14513" max="14515" width="11.125" style="2" customWidth="1"/>
    <col min="14516" max="14536" width="8.5" style="2" customWidth="1"/>
    <col min="14537" max="14537" width="3.375" style="2" customWidth="1"/>
    <col min="14538" max="14538" width="5" style="2" customWidth="1"/>
    <col min="14539" max="14539" width="5.875" style="2" customWidth="1"/>
    <col min="14540" max="14555" width="7.625" style="2" customWidth="1"/>
    <col min="14556" max="14768" width="9" style="2"/>
    <col min="14769" max="14771" width="11.125" style="2" customWidth="1"/>
    <col min="14772" max="14792" width="8.5" style="2" customWidth="1"/>
    <col min="14793" max="14793" width="3.375" style="2" customWidth="1"/>
    <col min="14794" max="14794" width="5" style="2" customWidth="1"/>
    <col min="14795" max="14795" width="5.875" style="2" customWidth="1"/>
    <col min="14796" max="14811" width="7.625" style="2" customWidth="1"/>
    <col min="14812" max="15024" width="9" style="2"/>
    <col min="15025" max="15027" width="11.125" style="2" customWidth="1"/>
    <col min="15028" max="15048" width="8.5" style="2" customWidth="1"/>
    <col min="15049" max="15049" width="3.375" style="2" customWidth="1"/>
    <col min="15050" max="15050" width="5" style="2" customWidth="1"/>
    <col min="15051" max="15051" width="5.875" style="2" customWidth="1"/>
    <col min="15052" max="15067" width="7.625" style="2" customWidth="1"/>
    <col min="15068" max="15280" width="9" style="2"/>
    <col min="15281" max="15283" width="11.125" style="2" customWidth="1"/>
    <col min="15284" max="15304" width="8.5" style="2" customWidth="1"/>
    <col min="15305" max="15305" width="3.375" style="2" customWidth="1"/>
    <col min="15306" max="15306" width="5" style="2" customWidth="1"/>
    <col min="15307" max="15307" width="5.875" style="2" customWidth="1"/>
    <col min="15308" max="15323" width="7.625" style="2" customWidth="1"/>
    <col min="15324" max="15536" width="9" style="2"/>
    <col min="15537" max="15539" width="11.125" style="2" customWidth="1"/>
    <col min="15540" max="15560" width="8.5" style="2" customWidth="1"/>
    <col min="15561" max="15561" width="3.375" style="2" customWidth="1"/>
    <col min="15562" max="15562" width="5" style="2" customWidth="1"/>
    <col min="15563" max="15563" width="5.875" style="2" customWidth="1"/>
    <col min="15564" max="15579" width="7.625" style="2" customWidth="1"/>
    <col min="15580" max="15792" width="9" style="2"/>
    <col min="15793" max="15795" width="11.125" style="2" customWidth="1"/>
    <col min="15796" max="15816" width="8.5" style="2" customWidth="1"/>
    <col min="15817" max="15817" width="3.375" style="2" customWidth="1"/>
    <col min="15818" max="15818" width="5" style="2" customWidth="1"/>
    <col min="15819" max="15819" width="5.875" style="2" customWidth="1"/>
    <col min="15820" max="15835" width="7.625" style="2" customWidth="1"/>
    <col min="15836" max="16384" width="9" style="2"/>
  </cols>
  <sheetData>
    <row r="1" spans="2:19" ht="18" customHeight="1">
      <c r="F1" s="807" t="s">
        <v>228</v>
      </c>
      <c r="G1" s="807"/>
      <c r="H1" s="807"/>
      <c r="I1" s="807"/>
      <c r="J1" s="807"/>
      <c r="K1" s="807"/>
      <c r="L1" s="807"/>
      <c r="M1" s="807"/>
      <c r="N1" s="807"/>
      <c r="O1" s="807"/>
      <c r="P1" s="807"/>
      <c r="Q1" s="807"/>
      <c r="R1" s="807"/>
      <c r="S1" s="807"/>
    </row>
    <row r="2" spans="2:19" ht="18" customHeight="1">
      <c r="B2" s="2">
        <v>3</v>
      </c>
      <c r="F2" s="807"/>
      <c r="G2" s="807"/>
      <c r="H2" s="807"/>
      <c r="I2" s="807"/>
      <c r="J2" s="807"/>
      <c r="K2" s="807"/>
      <c r="L2" s="807"/>
      <c r="M2" s="807"/>
      <c r="N2" s="807"/>
      <c r="O2" s="807"/>
      <c r="P2" s="807"/>
      <c r="Q2" s="807"/>
      <c r="R2" s="807"/>
      <c r="S2" s="807"/>
    </row>
    <row r="3" spans="2:19" s="454" customFormat="1" ht="18" customHeight="1">
      <c r="E3" s="456"/>
      <c r="F3" s="807"/>
      <c r="G3" s="807"/>
      <c r="H3" s="807"/>
      <c r="I3" s="807"/>
      <c r="J3" s="807"/>
      <c r="K3" s="807"/>
      <c r="L3" s="807"/>
      <c r="M3" s="807"/>
      <c r="N3" s="807"/>
      <c r="O3" s="807"/>
      <c r="P3" s="807"/>
      <c r="Q3" s="807"/>
      <c r="R3" s="807"/>
      <c r="S3" s="807"/>
    </row>
    <row r="4" spans="2:19" ht="18" customHeight="1" thickBot="1">
      <c r="F4" s="35"/>
      <c r="G4" s="35"/>
      <c r="H4" s="35"/>
      <c r="I4" s="35"/>
      <c r="J4" s="35"/>
      <c r="K4" s="35"/>
      <c r="L4" s="35"/>
      <c r="M4" s="35"/>
      <c r="N4" s="35"/>
      <c r="O4" s="41"/>
      <c r="P4" s="350"/>
      <c r="Q4" s="350"/>
      <c r="R4" s="350"/>
      <c r="S4" s="350"/>
    </row>
    <row r="5" spans="2:19" ht="24.75" customHeight="1" thickTop="1" thickBot="1">
      <c r="C5" s="2" t="s">
        <v>231</v>
      </c>
      <c r="F5" s="644" t="s">
        <v>229</v>
      </c>
      <c r="G5" s="808" t="str">
        <f>IF(AND(K5&lt;&gt;"",M5&lt;&gt;""),"NON-NEWTONIAN","NEWTONIAN")</f>
        <v>NEWTONIAN</v>
      </c>
      <c r="H5" s="808"/>
      <c r="I5" s="808"/>
      <c r="J5" s="643" t="s">
        <v>334</v>
      </c>
      <c r="K5" s="665"/>
      <c r="L5" s="643" t="s">
        <v>335</v>
      </c>
      <c r="M5" s="665"/>
      <c r="N5" s="371"/>
      <c r="O5" s="376" t="s">
        <v>230</v>
      </c>
      <c r="P5" s="377" t="s">
        <v>333</v>
      </c>
      <c r="R5" s="349"/>
      <c r="S5" s="349"/>
    </row>
    <row r="6" spans="2:19" ht="16.5" customHeight="1" thickTop="1">
      <c r="C6" s="2" t="s">
        <v>232</v>
      </c>
      <c r="E6" s="370">
        <v>1</v>
      </c>
      <c r="F6" s="381" t="s">
        <v>22</v>
      </c>
      <c r="G6" s="351"/>
      <c r="H6" s="351"/>
      <c r="I6" s="352"/>
      <c r="J6" s="372">
        <v>1</v>
      </c>
      <c r="K6" s="372">
        <v>2</v>
      </c>
      <c r="L6" s="373">
        <v>3</v>
      </c>
      <c r="M6" s="372">
        <v>4</v>
      </c>
      <c r="N6" s="374">
        <v>5</v>
      </c>
      <c r="O6" s="372">
        <v>6</v>
      </c>
      <c r="P6" s="374">
        <v>7</v>
      </c>
      <c r="Q6" s="372">
        <v>8</v>
      </c>
      <c r="R6" s="374">
        <v>9</v>
      </c>
      <c r="S6" s="434">
        <v>10</v>
      </c>
    </row>
    <row r="7" spans="2:19" ht="16.5" customHeight="1">
      <c r="C7" s="2" t="s">
        <v>233</v>
      </c>
      <c r="E7" s="370">
        <v>2</v>
      </c>
      <c r="F7" s="348"/>
      <c r="G7" s="666"/>
      <c r="H7" s="666"/>
      <c r="I7" s="380" t="s">
        <v>234</v>
      </c>
      <c r="J7" s="672" t="s">
        <v>330</v>
      </c>
      <c r="K7" s="672" t="s">
        <v>315</v>
      </c>
      <c r="L7" s="672" t="s">
        <v>315</v>
      </c>
      <c r="M7" s="672" t="s">
        <v>315</v>
      </c>
      <c r="N7" s="672" t="s">
        <v>315</v>
      </c>
      <c r="O7" s="672" t="s">
        <v>315</v>
      </c>
      <c r="P7" s="484"/>
      <c r="Q7" s="485"/>
      <c r="R7" s="486"/>
      <c r="S7" s="487"/>
    </row>
    <row r="8" spans="2:19" ht="16.5" customHeight="1">
      <c r="E8" s="370">
        <v>3</v>
      </c>
      <c r="F8" s="348"/>
      <c r="G8" s="666"/>
      <c r="H8" s="666"/>
      <c r="I8" s="380" t="s">
        <v>235</v>
      </c>
      <c r="J8" s="674"/>
      <c r="K8" s="668"/>
      <c r="L8" s="488"/>
      <c r="M8" s="668"/>
      <c r="N8" s="668"/>
      <c r="O8" s="489"/>
      <c r="P8" s="490"/>
      <c r="Q8" s="491"/>
      <c r="R8" s="492"/>
      <c r="S8" s="493"/>
    </row>
    <row r="9" spans="2:19" ht="16.5" customHeight="1">
      <c r="E9" s="370">
        <v>4</v>
      </c>
      <c r="F9" s="348"/>
      <c r="G9" s="666"/>
      <c r="H9" s="666"/>
      <c r="I9" s="380" t="s">
        <v>236</v>
      </c>
      <c r="J9" s="668"/>
      <c r="K9" s="668"/>
      <c r="L9" s="488"/>
      <c r="M9" s="668"/>
      <c r="N9" s="668"/>
      <c r="O9" s="494"/>
      <c r="P9" s="495"/>
      <c r="Q9" s="490"/>
      <c r="R9" s="492"/>
      <c r="S9" s="519"/>
    </row>
    <row r="10" spans="2:19" ht="16.5" customHeight="1" thickBot="1">
      <c r="E10" s="370">
        <v>5</v>
      </c>
      <c r="F10" s="348"/>
      <c r="G10" s="666"/>
      <c r="H10" s="666"/>
      <c r="I10" s="380" t="s">
        <v>237</v>
      </c>
      <c r="J10" s="496"/>
      <c r="K10" s="496"/>
      <c r="L10" s="497"/>
      <c r="M10" s="496"/>
      <c r="N10" s="496"/>
      <c r="O10" s="498"/>
      <c r="P10" s="499"/>
      <c r="Q10" s="500"/>
      <c r="R10" s="501"/>
      <c r="S10" s="502"/>
    </row>
    <row r="11" spans="2:19" ht="16.5" customHeight="1" thickTop="1">
      <c r="E11" s="370">
        <v>6</v>
      </c>
      <c r="F11" s="404" t="s">
        <v>269</v>
      </c>
      <c r="G11" s="405"/>
      <c r="H11" s="405"/>
      <c r="I11" s="406"/>
      <c r="J11" s="375"/>
      <c r="K11" s="379"/>
      <c r="L11" s="379"/>
      <c r="M11" s="379"/>
      <c r="N11" s="379"/>
      <c r="O11" s="379"/>
      <c r="P11" s="379"/>
      <c r="Q11" s="379"/>
      <c r="R11" s="379"/>
      <c r="S11" s="378"/>
    </row>
    <row r="12" spans="2:19" ht="16.5" customHeight="1">
      <c r="E12" s="370">
        <v>7</v>
      </c>
      <c r="F12" s="414" t="s">
        <v>283</v>
      </c>
      <c r="G12" s="588"/>
      <c r="H12" s="588"/>
      <c r="I12" s="663" t="s">
        <v>263</v>
      </c>
      <c r="J12" s="382">
        <v>5</v>
      </c>
      <c r="K12" s="382">
        <v>5</v>
      </c>
      <c r="L12" s="383">
        <v>5</v>
      </c>
      <c r="M12" s="382">
        <v>7</v>
      </c>
      <c r="N12" s="382">
        <v>7</v>
      </c>
      <c r="O12" s="382">
        <v>7</v>
      </c>
      <c r="P12" s="382">
        <v>210</v>
      </c>
      <c r="Q12" s="382">
        <v>210</v>
      </c>
      <c r="R12" s="382"/>
      <c r="S12" s="384"/>
    </row>
    <row r="13" spans="2:19" ht="16.5" customHeight="1">
      <c r="E13" s="370">
        <v>8</v>
      </c>
      <c r="F13" s="415" t="s">
        <v>252</v>
      </c>
      <c r="G13" s="401" t="s">
        <v>258</v>
      </c>
      <c r="H13" s="401"/>
      <c r="I13" s="402" t="s">
        <v>261</v>
      </c>
      <c r="J13" s="589">
        <v>675.6</v>
      </c>
      <c r="K13" s="590">
        <v>675.5</v>
      </c>
      <c r="L13" s="590">
        <v>675.5</v>
      </c>
      <c r="M13" s="590">
        <v>650.20000000000005</v>
      </c>
      <c r="N13" s="590">
        <v>650.20000000000005</v>
      </c>
      <c r="O13" s="590">
        <v>650.20000000000005</v>
      </c>
      <c r="P13" s="590">
        <v>650.20000000000005</v>
      </c>
      <c r="Q13" s="590">
        <v>650.20000000000005</v>
      </c>
      <c r="R13" s="590"/>
      <c r="S13" s="626"/>
    </row>
    <row r="14" spans="2:19" s="454" customFormat="1" ht="16.5" customHeight="1">
      <c r="E14" s="370">
        <v>9</v>
      </c>
      <c r="F14" s="415" t="s">
        <v>253</v>
      </c>
      <c r="G14" s="401" t="s">
        <v>258</v>
      </c>
      <c r="H14" s="401"/>
      <c r="I14" s="403" t="s">
        <v>262</v>
      </c>
      <c r="J14" s="591">
        <v>0.35799999999999998</v>
      </c>
      <c r="K14" s="592">
        <v>0.35699999999999998</v>
      </c>
      <c r="L14" s="592">
        <v>0.35699999999999998</v>
      </c>
      <c r="M14" s="592">
        <v>0.214</v>
      </c>
      <c r="N14" s="592">
        <v>0.214</v>
      </c>
      <c r="O14" s="592">
        <v>0.214</v>
      </c>
      <c r="P14" s="592">
        <v>0.214</v>
      </c>
      <c r="Q14" s="592">
        <v>0.214</v>
      </c>
      <c r="R14" s="590"/>
      <c r="S14" s="626"/>
    </row>
    <row r="15" spans="2:19" ht="16.5" customHeight="1">
      <c r="E15" s="370">
        <v>10</v>
      </c>
      <c r="F15" s="415" t="s">
        <v>311</v>
      </c>
      <c r="G15" s="401"/>
      <c r="H15" s="401"/>
      <c r="I15" s="403"/>
      <c r="J15" s="589"/>
      <c r="K15" s="590"/>
      <c r="L15" s="590"/>
      <c r="M15" s="590"/>
      <c r="N15" s="590"/>
      <c r="O15" s="590"/>
      <c r="P15" s="590"/>
      <c r="Q15" s="590"/>
      <c r="R15" s="590"/>
      <c r="S15" s="626"/>
    </row>
    <row r="16" spans="2:19" ht="16.5" customHeight="1">
      <c r="E16" s="370">
        <v>11</v>
      </c>
      <c r="F16" s="415" t="s">
        <v>312</v>
      </c>
      <c r="G16" s="401"/>
      <c r="H16" s="401"/>
      <c r="I16" s="403"/>
      <c r="J16" s="589"/>
      <c r="K16" s="590"/>
      <c r="L16" s="590"/>
      <c r="M16" s="590"/>
      <c r="N16" s="590"/>
      <c r="O16" s="590"/>
      <c r="P16" s="590"/>
      <c r="Q16" s="590"/>
      <c r="R16" s="590"/>
      <c r="S16" s="626"/>
    </row>
    <row r="17" spans="5:19" s="454" customFormat="1" ht="16.5" customHeight="1">
      <c r="E17" s="370">
        <v>12</v>
      </c>
      <c r="F17" s="415" t="s">
        <v>331</v>
      </c>
      <c r="G17" s="666"/>
      <c r="H17" s="666"/>
      <c r="I17" s="666"/>
      <c r="J17" s="589"/>
      <c r="K17" s="590"/>
      <c r="L17" s="590"/>
      <c r="M17" s="590"/>
      <c r="N17" s="590"/>
      <c r="O17" s="590"/>
      <c r="P17" s="590"/>
      <c r="Q17" s="590"/>
      <c r="R17" s="590"/>
      <c r="S17" s="626"/>
    </row>
    <row r="18" spans="5:19" s="454" customFormat="1" ht="16.5" customHeight="1">
      <c r="E18" s="370">
        <v>13</v>
      </c>
      <c r="F18" s="414" t="s">
        <v>252</v>
      </c>
      <c r="G18" s="588" t="s">
        <v>259</v>
      </c>
      <c r="H18" s="588"/>
      <c r="I18" s="663" t="s">
        <v>261</v>
      </c>
      <c r="J18" s="627"/>
      <c r="K18" s="628"/>
      <c r="L18" s="628"/>
      <c r="M18" s="628"/>
      <c r="N18" s="628"/>
      <c r="O18" s="628"/>
      <c r="P18" s="628"/>
      <c r="Q18" s="628"/>
      <c r="R18" s="628"/>
      <c r="S18" s="629"/>
    </row>
    <row r="19" spans="5:19" ht="16.5" customHeight="1">
      <c r="E19" s="370">
        <v>14</v>
      </c>
      <c r="F19" s="415" t="s">
        <v>253</v>
      </c>
      <c r="G19" s="401" t="s">
        <v>259</v>
      </c>
      <c r="H19" s="401"/>
      <c r="I19" s="402" t="s">
        <v>262</v>
      </c>
      <c r="J19" s="589"/>
      <c r="K19" s="590"/>
      <c r="L19" s="590"/>
      <c r="M19" s="590"/>
      <c r="N19" s="590"/>
      <c r="O19" s="590"/>
      <c r="P19" s="630">
        <v>0.01</v>
      </c>
      <c r="Q19" s="630">
        <v>0.01</v>
      </c>
      <c r="R19" s="590"/>
      <c r="S19" s="626"/>
    </row>
    <row r="20" spans="5:19" ht="16.5" customHeight="1">
      <c r="E20" s="370">
        <v>15</v>
      </c>
      <c r="F20" s="415" t="s">
        <v>264</v>
      </c>
      <c r="G20" s="480"/>
      <c r="H20" s="480"/>
      <c r="I20" s="402"/>
      <c r="J20" s="589"/>
      <c r="K20" s="590"/>
      <c r="L20" s="590"/>
      <c r="M20" s="590"/>
      <c r="N20" s="590"/>
      <c r="O20" s="590"/>
      <c r="P20" s="590">
        <v>87.2</v>
      </c>
      <c r="Q20" s="590">
        <v>87.2</v>
      </c>
      <c r="R20" s="590"/>
      <c r="S20" s="626"/>
    </row>
    <row r="21" spans="5:19" ht="16.5" customHeight="1">
      <c r="E21" s="370">
        <v>16</v>
      </c>
      <c r="F21" s="415" t="s">
        <v>265</v>
      </c>
      <c r="G21" s="480"/>
      <c r="H21" s="480"/>
      <c r="I21" s="402"/>
      <c r="J21" s="589"/>
      <c r="K21" s="590"/>
      <c r="L21" s="590"/>
      <c r="M21" s="590"/>
      <c r="N21" s="590"/>
      <c r="O21" s="590"/>
      <c r="P21" s="631">
        <v>0.92720000000000002</v>
      </c>
      <c r="Q21" s="631">
        <v>0.92720000000000002</v>
      </c>
      <c r="R21" s="590"/>
      <c r="S21" s="626"/>
    </row>
    <row r="22" spans="5:19" ht="16.5" customHeight="1">
      <c r="E22" s="370">
        <v>17</v>
      </c>
      <c r="F22" s="415" t="s">
        <v>266</v>
      </c>
      <c r="G22" s="480"/>
      <c r="H22" s="480"/>
      <c r="I22" s="402"/>
      <c r="J22" s="632"/>
      <c r="K22" s="590"/>
      <c r="L22" s="590"/>
      <c r="M22" s="590"/>
      <c r="N22" s="590"/>
      <c r="O22" s="590"/>
      <c r="P22" s="631">
        <v>1.0763</v>
      </c>
      <c r="Q22" s="631">
        <v>1.0763</v>
      </c>
      <c r="R22" s="590"/>
      <c r="S22" s="626"/>
    </row>
    <row r="23" spans="5:19" ht="16.5" customHeight="1">
      <c r="E23" s="370">
        <v>18</v>
      </c>
      <c r="F23" s="414" t="s">
        <v>239</v>
      </c>
      <c r="G23" s="479"/>
      <c r="H23" s="479"/>
      <c r="I23" s="435" t="s">
        <v>310</v>
      </c>
      <c r="J23" s="395">
        <f>27683</f>
        <v>27683</v>
      </c>
      <c r="K23" s="395">
        <v>27683</v>
      </c>
      <c r="L23" s="395">
        <v>3933</v>
      </c>
      <c r="M23" s="396">
        <v>9876.6</v>
      </c>
      <c r="N23" s="396">
        <v>9876.6</v>
      </c>
      <c r="O23" s="554">
        <v>9876.6</v>
      </c>
      <c r="P23" s="396">
        <v>435.84</v>
      </c>
      <c r="Q23" s="396">
        <v>435.84</v>
      </c>
      <c r="R23" s="396"/>
      <c r="S23" s="520"/>
    </row>
    <row r="24" spans="5:19" s="454" customFormat="1" ht="16.5" hidden="1" customHeight="1">
      <c r="E24" s="370">
        <v>19</v>
      </c>
      <c r="F24" s="415"/>
      <c r="G24" s="480"/>
      <c r="H24" s="480"/>
      <c r="I24" s="402"/>
      <c r="J24" s="436">
        <f>IF($I$23="kg/hr",J23,IF(J28="LIQUID",J13*J23,#REF!*J23))</f>
        <v>27683</v>
      </c>
      <c r="K24" s="436">
        <f>IF($I$23="kg/hr",K23,IF(K28="LIQUID",K13*K23,#REF!*K23))</f>
        <v>27683</v>
      </c>
      <c r="L24" s="436">
        <f>IF($I$23="kg/hr",L23,IF(L28="LIQUID",L13*L23,#REF!*L23))</f>
        <v>3933</v>
      </c>
      <c r="M24" s="436">
        <f>IF($I$23="kg/hr",M23,IF(M28="LIQUID",M13*M23,#REF!*M23))</f>
        <v>9876.6</v>
      </c>
      <c r="N24" s="436">
        <f>IF($I$23="kg/hr",N23,IF(N28="LIQUID",N13*N23,#REF!*N23))</f>
        <v>9876.6</v>
      </c>
      <c r="O24" s="436">
        <f>IF($I$23="kg/hr",O23,IF(O28="LIQUID",O13*O23,#REF!*O23))</f>
        <v>9876.6</v>
      </c>
      <c r="P24" s="436">
        <f>IF($I$23="kg/hr",P23,IF(P28="LIQUID",P13*P23,#REF!*P23))</f>
        <v>435.84</v>
      </c>
      <c r="Q24" s="436">
        <f>IF($I$23="kg/hr",Q23,IF(Q28="LIQUID",Q13*Q23,#REF!*Q23))</f>
        <v>435.84</v>
      </c>
      <c r="R24" s="436">
        <f>IF($I$23="kg/hr",R23,IF(R28="LIQUID",R13*R23,#REF!*R23))</f>
        <v>0</v>
      </c>
      <c r="S24" s="615">
        <f>IF($I$23="kg/hr",S23,IF(S28="LIQUID",S13*S23,#REF!*S23))</f>
        <v>0</v>
      </c>
    </row>
    <row r="25" spans="5:19" ht="16.5" customHeight="1">
      <c r="E25" s="370">
        <v>20</v>
      </c>
      <c r="F25" s="415" t="s">
        <v>240</v>
      </c>
      <c r="G25" s="480"/>
      <c r="H25" s="480"/>
      <c r="I25" s="402" t="s">
        <v>260</v>
      </c>
      <c r="J25" s="382">
        <v>10</v>
      </c>
      <c r="K25" s="382">
        <v>10</v>
      </c>
      <c r="L25" s="383">
        <v>10</v>
      </c>
      <c r="M25" s="382">
        <v>10</v>
      </c>
      <c r="N25" s="382">
        <v>10</v>
      </c>
      <c r="O25" s="383">
        <v>10</v>
      </c>
      <c r="P25" s="382"/>
      <c r="Q25" s="382"/>
      <c r="R25" s="382"/>
      <c r="S25" s="384"/>
    </row>
    <row r="26" spans="5:19" ht="16.5" customHeight="1">
      <c r="E26" s="370">
        <v>21</v>
      </c>
      <c r="F26" s="415" t="s">
        <v>249</v>
      </c>
      <c r="G26" s="480"/>
      <c r="H26" s="480"/>
      <c r="I26" s="402"/>
      <c r="J26" s="590"/>
      <c r="K26" s="590"/>
      <c r="L26" s="589"/>
      <c r="M26" s="590"/>
      <c r="N26" s="590"/>
      <c r="O26" s="589"/>
      <c r="P26" s="590">
        <v>1</v>
      </c>
      <c r="Q26" s="590">
        <v>1</v>
      </c>
      <c r="R26" s="590"/>
      <c r="S26" s="626"/>
    </row>
    <row r="27" spans="5:19" ht="16.5" customHeight="1">
      <c r="E27" s="370">
        <v>22</v>
      </c>
      <c r="F27" s="415" t="s">
        <v>247</v>
      </c>
      <c r="G27" s="480"/>
      <c r="H27" s="480"/>
      <c r="I27" s="402"/>
      <c r="J27" s="590"/>
      <c r="K27" s="590"/>
      <c r="L27" s="589"/>
      <c r="M27" s="590"/>
      <c r="N27" s="590"/>
      <c r="O27" s="589"/>
      <c r="P27" s="590"/>
      <c r="Q27" s="590"/>
      <c r="R27" s="590"/>
      <c r="S27" s="626"/>
    </row>
    <row r="28" spans="5:19" ht="16.5" customHeight="1">
      <c r="E28" s="370">
        <v>23</v>
      </c>
      <c r="F28" s="415" t="s">
        <v>250</v>
      </c>
      <c r="G28" s="480"/>
      <c r="H28" s="480"/>
      <c r="I28" s="402"/>
      <c r="J28" s="392" t="str">
        <f>IF(J23=OR(0," ")," ",IF(J26=OR(0," "),"LIQUID",IF(J26=1,"VAPOR","2PH")))</f>
        <v>LIQUID</v>
      </c>
      <c r="K28" s="392" t="str">
        <f t="shared" ref="K28:S28" si="0">IF(K23=OR(0," ")," ",IF(K26=OR(0," "),"LIQUID",IF(K26=1,"VAPOR","2PH")))</f>
        <v>LIQUID</v>
      </c>
      <c r="L28" s="392" t="str">
        <f t="shared" si="0"/>
        <v>LIQUID</v>
      </c>
      <c r="M28" s="392" t="str">
        <f t="shared" si="0"/>
        <v>LIQUID</v>
      </c>
      <c r="N28" s="392" t="str">
        <f t="shared" si="0"/>
        <v>LIQUID</v>
      </c>
      <c r="O28" s="555" t="str">
        <f t="shared" si="0"/>
        <v>LIQUID</v>
      </c>
      <c r="P28" s="392" t="str">
        <f t="shared" si="0"/>
        <v>VAPOR</v>
      </c>
      <c r="Q28" s="392" t="str">
        <f t="shared" si="0"/>
        <v>VAPOR</v>
      </c>
      <c r="R28" s="392" t="str">
        <f t="shared" si="0"/>
        <v xml:space="preserve"> </v>
      </c>
      <c r="S28" s="507" t="str">
        <f t="shared" si="0"/>
        <v xml:space="preserve"> </v>
      </c>
    </row>
    <row r="29" spans="5:19" ht="16.5" customHeight="1" thickBot="1">
      <c r="E29" s="370">
        <v>24</v>
      </c>
      <c r="F29" s="415" t="s">
        <v>251</v>
      </c>
      <c r="G29" s="480"/>
      <c r="H29" s="480"/>
      <c r="I29" s="402" t="s">
        <v>248</v>
      </c>
      <c r="J29" s="602">
        <f>IF(J24=" "," ",J24*(1+J25/100))</f>
        <v>30451.300000000003</v>
      </c>
      <c r="K29" s="602">
        <f t="shared" ref="K29:S29" si="1">IF(K24=" "," ",K24*(1+K25/100))</f>
        <v>30451.300000000003</v>
      </c>
      <c r="L29" s="602">
        <f t="shared" si="1"/>
        <v>4326.3</v>
      </c>
      <c r="M29" s="602">
        <f t="shared" si="1"/>
        <v>10864.260000000002</v>
      </c>
      <c r="N29" s="602">
        <f t="shared" si="1"/>
        <v>10864.260000000002</v>
      </c>
      <c r="O29" s="603">
        <f t="shared" si="1"/>
        <v>10864.260000000002</v>
      </c>
      <c r="P29" s="602">
        <f t="shared" si="1"/>
        <v>435.84</v>
      </c>
      <c r="Q29" s="602">
        <f t="shared" si="1"/>
        <v>435.84</v>
      </c>
      <c r="R29" s="602" t="str">
        <f t="shared" si="1"/>
        <v xml:space="preserve"> </v>
      </c>
      <c r="S29" s="604" t="str">
        <f t="shared" si="1"/>
        <v xml:space="preserve"> </v>
      </c>
    </row>
    <row r="30" spans="5:19" ht="16.5" customHeight="1" thickTop="1" thickBot="1">
      <c r="E30" s="370">
        <v>25</v>
      </c>
      <c r="F30" s="605" t="s">
        <v>254</v>
      </c>
      <c r="G30" s="606"/>
      <c r="H30" s="606"/>
      <c r="I30" s="607" t="s">
        <v>267</v>
      </c>
      <c r="J30" s="608">
        <v>3.5</v>
      </c>
      <c r="K30" s="640">
        <v>7.0180458711224691</v>
      </c>
      <c r="L30" s="640">
        <f>K40</f>
        <v>7.0048128069779754</v>
      </c>
      <c r="M30" s="609">
        <f>L40-0.29-1</f>
        <v>5.3900956914698783</v>
      </c>
      <c r="N30" s="609">
        <f>M40-0.35</f>
        <v>5.0061363596044099</v>
      </c>
      <c r="O30" s="609">
        <f>N40-0.35-0.35</f>
        <v>4.2838204683964518</v>
      </c>
      <c r="P30" s="609"/>
      <c r="Q30" s="609"/>
      <c r="R30" s="609"/>
      <c r="S30" s="616"/>
    </row>
    <row r="31" spans="5:19" ht="16.5" customHeight="1" thickTop="1">
      <c r="E31" s="370">
        <v>25</v>
      </c>
      <c r="F31" s="605" t="s">
        <v>255</v>
      </c>
      <c r="G31" s="613"/>
      <c r="H31" s="613"/>
      <c r="I31" s="607" t="s">
        <v>267</v>
      </c>
      <c r="J31" s="614">
        <f>IF(J23="","",IF($P$5=$C$7,Pin_1(J52,J53,J54,J55,J56,J57,J58,J59,J60,J61,J62,J63,J64,J65,J66,J67,J68,J69,J70,J71,J72,J73,J74,J75,J76,J77,J78,J79,J80,J81,J82,J83,J84,J85,J86,J87,J88,J89,J90,J41,IF(J18="",0,J18),J20,J21,J12,J161,J19,J46,J43,J45,IF(J47="Fitting",5,J47),J48,J50,J38),J30))</f>
        <v>3.5</v>
      </c>
      <c r="K31" s="614">
        <f>IF(K23="","",IF($P$5=$C$7,Pin_1(K52,K53,K54,K55,K56,K57,K58,K59,K60,K61,K62,K63,K64,K65,K66,K67,K68,K69,K70,K71,K72,K73,K74,K75,K76,K77,K78,K79,K80,K81,K82,K83,K84,K85,K86,K87,K88,K89,K90,K41,IF(K18="",0,K18),K20,K21,K12,K161,K19,K46,K43,K45,IF(K47="Fitting",5,K47),K48,K50,K38),K30))</f>
        <v>7.0180458711224691</v>
      </c>
      <c r="L31" s="614">
        <f>IF(L23="","",IF($P$5=$C$7,Pin_1(L52,L53,L54,L55,L56,L57,L58,L59,L60,L61,L62,L63,L64,L65,L66,L67,L68,L69,L70,L71,L72,L73,L74,L75,L76,L77,L78,L79,L80,L81,L82,L83,L84,L85,L86,L87,L88,L89,L90,L41,IF(L18="",0,L18),L20,L21,L12,L161,L19,L46,L43,L45,IF(L47="Fitting",5,L47),L48,L50,L38),L30))</f>
        <v>7.0048128069779754</v>
      </c>
      <c r="M31" s="614">
        <f>IF(M23="","",IF($P$5=$C$7,Pin_1(M52,M53,M54,M55,M56,M57,M58,M59,M60,M61,M62,M63,M64,M65,M66,M67,M68,M69,M70,M71,M72,M73,M74,M75,M76,M77,M78,M79,M80,M81,M82,M83,M84,M85,M86,M87,M88,M89,M90,M41,IF(M18="",0,M18),M20,M21,M12,M161,M19,M46,M43,M45,IF(M47="Fitting",5,M47),M48,M50,M38),M30))</f>
        <v>5.3900956914698783</v>
      </c>
      <c r="N31" s="614">
        <f>IF(N23="","",IF($P$5=$C$7,Pin_1(N52,N53,N54,N55,N56,N57,N58,N59,N60,N61,N62,N63,N64,N65,N66,N67,N68,N69,N70,N71,N72,N73,N74,N75,N76,N77,N78,N79,N80,N81,N82,N83,N84,N85,N86,N87,N88,N89,N90,N41,IF(N18="",0,N18),N20,N21,N12,N161,N19,N46,N43,N45,IF(N47="Fitting",5,N47),N48,N50,N38),N30))</f>
        <v>5.0061363596044099</v>
      </c>
      <c r="O31" s="614">
        <f>IF(O23="","",IF($P$5=$C$7,Pin_1(O52,O53,O54,O55,O56,O57,O58,O59,O60,O61,O62,O63,O64,O65,O66,O67,O68,O69,O70,O71,O72,O73,O74,O75,O76,O77,O78,O79,O80,O81,O82,O83,O84,O85,O86,O87,O88,O89,O90,O41,IF(O18="",0,O18),O20,O21,O12,O161,O19,O46,O43,O45,IF(O47="Fitting",5,O47),O48,O50,O38),O30))</f>
        <v>4.2838204683964518</v>
      </c>
      <c r="P31" s="614">
        <f>IF(P23="","",IF($P$5=$C$7,Pin_1(P52,P53,P54,P55,P56,P57,P58,P59,P60,P61,P62,P63,P64,P65,P66,P67,P68,P69,P70,P71,P72,P73,P74,P75,P76,P77,P78,P79,P80,P81,P82,P83,P84,P85,P86,P87,P88,P89,P90,P41,IF(P18="",0,P18),P20,P21,P12,P161,P19,P46,P43,P45,IF(P47="Fitting",5,P47),P48,P50,P38),P30))</f>
        <v>0</v>
      </c>
      <c r="Q31" s="614">
        <f>IF(Q23="","",IF($P$5=$C$7,Pin_1(Q52,Q53,Q54,Q55,Q56,Q57,Q58,Q59,Q60,Q61,Q62,Q63,Q64,Q65,Q66,Q67,Q68,Q69,Q70,Q71,Q72,Q73,Q74,Q75,Q76,Q77,Q78,Q79,Q80,Q81,Q82,Q83,Q84,Q85,Q86,Q87,Q88,Q89,Q90,Q41,IF(Q18="",0,Q18),Q20,Q21,Q12,Q161,Q19,Q46,Q43,Q45,IF(Q47="Fitting",5,Q47),Q48,Q50,Q38),Q30))</f>
        <v>0</v>
      </c>
      <c r="R31" s="614" t="str">
        <f>IF(R23="","",IF($P$5=$C$7,Pin_1(R52,R53,R54,R55,R56,R57,R58,R59,R60,R61,R62,R63,R64,R65,R66,R67,R68,R69,R70,R71,R72,R73,R74,R75,R76,R77,R78,R79,R80,R81,R82,R83,R84,R85,R86,R87,R88,R89,R90,R41,IF(R18="",0,R18),R20,R21,R12,R161,R19,R46,R43,R45,IF(R47="Fitting",5,R47),R48,R50,R38),R30))</f>
        <v/>
      </c>
      <c r="S31" s="617" t="str">
        <f>IF(S23="","",IF($P$5=$C$7,Pin_1(S52,S53,S54,S55,S56,S57,S58,S59,S60,S61,S62,S63,S64,S65,S66,S67,S68,S69,S70,S71,S72,S73,S74,S75,S76,S77,S78,S79,S80,S81,S82,S83,S84,S85,S86,S87,S88,S89,S90,S41,IF(S18="",0,S18),S20,S21,S12,S161,S19,S46,S43,S45,IF(S47="Fitting",5,S47),S48,S50,S38),S30))</f>
        <v/>
      </c>
    </row>
    <row r="32" spans="5:19" ht="16.5" customHeight="1">
      <c r="E32" s="370">
        <v>26</v>
      </c>
      <c r="F32" s="415" t="s">
        <v>256</v>
      </c>
      <c r="G32" s="397"/>
      <c r="H32" s="397"/>
      <c r="I32" s="402" t="s">
        <v>268</v>
      </c>
      <c r="J32" s="400">
        <f t="shared" ref="J32:P32" si="2">IF(J23="","",IF(J28="LIQUID",J154,IF(J28="VAPOR",J164," ")))</f>
        <v>0.6717387620013735</v>
      </c>
      <c r="K32" s="400">
        <f t="shared" si="2"/>
        <v>1.5246723541719773</v>
      </c>
      <c r="L32" s="400">
        <f t="shared" si="2"/>
        <v>1.354767204633933</v>
      </c>
      <c r="M32" s="400">
        <f t="shared" si="2"/>
        <v>0.97308650721489509</v>
      </c>
      <c r="N32" s="400">
        <f t="shared" si="2"/>
        <v>0.97308650721489509</v>
      </c>
      <c r="O32" s="400">
        <f t="shared" si="2"/>
        <v>0.97308650721489509</v>
      </c>
      <c r="P32" s="400">
        <f t="shared" si="2"/>
        <v>38.868494906019031</v>
      </c>
      <c r="Q32" s="400">
        <f>IF(Q23="","",IF(Q28="LIQUID",Q154,IF(Q28="VAPOR",Q164," ")))</f>
        <v>38.868494906019031</v>
      </c>
      <c r="R32" s="400" t="str">
        <f t="shared" ref="R32:S32" si="3">IF(R23="","",IF(R28="LIQUID",R154,IF(R28="VAPOR",R164," ")))</f>
        <v/>
      </c>
      <c r="S32" s="618" t="str">
        <f t="shared" si="3"/>
        <v/>
      </c>
    </row>
    <row r="33" spans="5:19" ht="16.5" customHeight="1">
      <c r="E33" s="370">
        <v>27</v>
      </c>
      <c r="F33" s="415" t="s">
        <v>276</v>
      </c>
      <c r="G33" s="397"/>
      <c r="H33" s="397"/>
      <c r="I33" s="403" t="s">
        <v>268</v>
      </c>
      <c r="J33" s="409" t="str">
        <f t="shared" ref="J33:P33" si="4">IF(J23="","",IF(J28="LIQUID","",((J40+1.03323)*10000*J22*9.80665/J162)^0.5))</f>
        <v/>
      </c>
      <c r="K33" s="409" t="str">
        <f t="shared" si="4"/>
        <v/>
      </c>
      <c r="L33" s="409" t="str">
        <f t="shared" si="4"/>
        <v/>
      </c>
      <c r="M33" s="409" t="str">
        <f t="shared" si="4"/>
        <v/>
      </c>
      <c r="N33" s="409" t="str">
        <f t="shared" si="4"/>
        <v/>
      </c>
      <c r="O33" s="409" t="str">
        <f t="shared" si="4"/>
        <v/>
      </c>
      <c r="P33" s="611">
        <f t="shared" si="4"/>
        <v>193.14914512361946</v>
      </c>
      <c r="Q33" s="611">
        <f>IF(Q23="","",IF(Q28="LIQUID","",((Q40+1.03323)*10000*Q22*9.80665/Q162)^0.5))</f>
        <v>193.14914512361946</v>
      </c>
      <c r="R33" s="409" t="str">
        <f t="shared" ref="R33:S33" si="5">IF(R23="","",IF(R28="LIQUID","",((R40+1.03323)*10000*R22*9.80665/R162)^0.5))</f>
        <v/>
      </c>
      <c r="S33" s="619" t="str">
        <f t="shared" si="5"/>
        <v/>
      </c>
    </row>
    <row r="34" spans="5:19" ht="16.5" customHeight="1">
      <c r="E34" s="370">
        <v>28</v>
      </c>
      <c r="F34" s="415" t="s">
        <v>277</v>
      </c>
      <c r="G34" s="397"/>
      <c r="H34" s="397"/>
      <c r="I34" s="403"/>
      <c r="J34" s="400" t="str">
        <f t="shared" ref="J34:P34" si="6">IF(J23="","",IF(J28="LIQUID","",J32/J33))</f>
        <v/>
      </c>
      <c r="K34" s="400" t="str">
        <f t="shared" si="6"/>
        <v/>
      </c>
      <c r="L34" s="400" t="str">
        <f t="shared" si="6"/>
        <v/>
      </c>
      <c r="M34" s="400" t="str">
        <f t="shared" si="6"/>
        <v/>
      </c>
      <c r="N34" s="400" t="str">
        <f t="shared" si="6"/>
        <v/>
      </c>
      <c r="O34" s="400" t="str">
        <f t="shared" si="6"/>
        <v/>
      </c>
      <c r="P34" s="400">
        <f t="shared" si="6"/>
        <v>0.20123565590281223</v>
      </c>
      <c r="Q34" s="400">
        <f>IF(Q23="","",IF(Q28="LIQUID","",Q32/Q33))</f>
        <v>0.20123565590281223</v>
      </c>
      <c r="R34" s="400" t="str">
        <f t="shared" ref="R34:S34" si="7">IF(R23="","",IF(R28="LIQUID","",R32/R33))</f>
        <v/>
      </c>
      <c r="S34" s="618" t="str">
        <f t="shared" si="7"/>
        <v/>
      </c>
    </row>
    <row r="35" spans="5:19" ht="16.5" customHeight="1">
      <c r="E35" s="370">
        <v>29</v>
      </c>
      <c r="F35" s="415" t="s">
        <v>257</v>
      </c>
      <c r="G35" s="398"/>
      <c r="H35" s="398"/>
      <c r="I35" s="393"/>
      <c r="J35" s="399">
        <f t="shared" ref="J35:P35" si="8">IF(J23=" "," ",IF(J28="LIQUID",J157,IF(J28="VAPOR",J165,J182)))</f>
        <v>195284.92823193327</v>
      </c>
      <c r="K35" s="399">
        <f t="shared" si="8"/>
        <v>295011.84336237155</v>
      </c>
      <c r="L35" s="399">
        <f t="shared" si="8"/>
        <v>104818.73708346995</v>
      </c>
      <c r="M35" s="399">
        <f t="shared" si="8"/>
        <v>230403.63086924466</v>
      </c>
      <c r="N35" s="399">
        <f t="shared" si="8"/>
        <v>230403.63086924466</v>
      </c>
      <c r="O35" s="399">
        <f t="shared" si="8"/>
        <v>230403.63086924466</v>
      </c>
      <c r="P35" s="399">
        <f t="shared" si="8"/>
        <v>376979.37771892973</v>
      </c>
      <c r="Q35" s="399">
        <f>IF(Q23=" "," ",IF(Q28="LIQUID",Q157,IF(Q28="VAPOR",Q165,Q182)))</f>
        <v>376979.37771892973</v>
      </c>
      <c r="R35" s="399" t="str">
        <f t="shared" ref="R35:S35" si="9">IF(R23=" "," ",IF(R28="LIQUID",R157,IF(R28="VAPOR",R165,R182)))</f>
        <v xml:space="preserve"> </v>
      </c>
      <c r="S35" s="620" t="str">
        <f t="shared" si="9"/>
        <v xml:space="preserve"> </v>
      </c>
    </row>
    <row r="36" spans="5:19" ht="16.5" customHeight="1">
      <c r="E36" s="370">
        <v>30</v>
      </c>
      <c r="F36" s="414" t="s">
        <v>278</v>
      </c>
      <c r="G36" s="479"/>
      <c r="H36" s="479"/>
      <c r="I36" s="663" t="s">
        <v>284</v>
      </c>
      <c r="J36" s="594">
        <f t="shared" ref="J36:P36" si="10">IF(J23=" ","",IF(J28="LIQUID",J159,IF(J28="VAPOR",J167,IF(J27="HTFS",(J183+J185)/(1-J186^2),J183))))</f>
        <v>1.0485418418777976E-2</v>
      </c>
      <c r="K36" s="594">
        <f t="shared" si="10"/>
        <v>1.3233064144493557E-2</v>
      </c>
      <c r="L36" s="594">
        <f t="shared" si="10"/>
        <v>0.3247171155080974</v>
      </c>
      <c r="M36" s="594">
        <f t="shared" si="10"/>
        <v>3.3959331865468845E-2</v>
      </c>
      <c r="N36" s="594">
        <f t="shared" si="10"/>
        <v>1.0612291207959016E-2</v>
      </c>
      <c r="O36" s="594">
        <f t="shared" si="10"/>
        <v>0.13748545728613276</v>
      </c>
      <c r="P36" s="594">
        <f t="shared" si="10"/>
        <v>0.19486271364439373</v>
      </c>
      <c r="Q36" s="594">
        <f>IF(Q23=" ","",IF(Q28="LIQUID",Q159,IF(Q28="VAPOR",Q167,IF(Q27="HTFS",(Q183+Q185)/(1-Q186^2),Q183))))</f>
        <v>0.19486271364439373</v>
      </c>
      <c r="R36" s="594" t="str">
        <f t="shared" ref="R36:S36" si="11">IF(R23=" ","",IF(R28="LIQUID",R159,IF(R28="VAPOR",R167,IF(R27="HTFS",(R183+R185)/(1-R186^2),R183))))</f>
        <v/>
      </c>
      <c r="S36" s="621" t="str">
        <f t="shared" si="11"/>
        <v/>
      </c>
    </row>
    <row r="37" spans="5:19" ht="16.5" customHeight="1">
      <c r="E37" s="370">
        <v>31</v>
      </c>
      <c r="F37" s="415" t="s">
        <v>279</v>
      </c>
      <c r="G37" s="480"/>
      <c r="H37" s="480"/>
      <c r="I37" s="402" t="s">
        <v>284</v>
      </c>
      <c r="J37" s="391">
        <f t="shared" ref="J37:P37" si="12">IF(J23=" "," ",IF(J28="LIQUID",(J50*J13/1000)/10,IF(J28="VAPOR",(J50*J162/1000)/10,IF(J27="HTFS",J184/(1-J186^2),J184))))</f>
        <v>-9.7962000000000007E-2</v>
      </c>
      <c r="K37" s="391">
        <f t="shared" si="12"/>
        <v>0</v>
      </c>
      <c r="L37" s="391">
        <f t="shared" si="12"/>
        <v>0</v>
      </c>
      <c r="M37" s="391">
        <f t="shared" si="12"/>
        <v>0</v>
      </c>
      <c r="N37" s="391">
        <f t="shared" si="12"/>
        <v>1.17036E-2</v>
      </c>
      <c r="O37" s="391">
        <f t="shared" si="12"/>
        <v>0.27633500000000005</v>
      </c>
      <c r="P37" s="391">
        <f t="shared" si="12"/>
        <v>0</v>
      </c>
      <c r="Q37" s="391">
        <f t="shared" ref="Q37" si="13">IF(Q23=" "," ",IF(Q28="LIQUID",(Q50*Q13/1000)/10,IF(Q28="VAPOR",(Q50*Q162/1000)/10,IF(Q27="HTFS",Q184/(1-Q186^2),Q184))))</f>
        <v>0</v>
      </c>
      <c r="R37" s="391" t="str">
        <f t="shared" ref="R37:S37" si="14">IF(R23=" "," ",IF(R28="LIQUID",(R50*R13/1000)/10,IF(R28="VAPOR",(R50*R162/1000)/10,IF(R27="HTFS",R184/(1-R186^2),R184))))</f>
        <v xml:space="preserve"> </v>
      </c>
      <c r="S37" s="622" t="str">
        <f t="shared" si="14"/>
        <v xml:space="preserve"> </v>
      </c>
    </row>
    <row r="38" spans="5:19" s="454" customFormat="1" ht="16.5" customHeight="1">
      <c r="E38" s="370">
        <v>32</v>
      </c>
      <c r="F38" s="415" t="s">
        <v>305</v>
      </c>
      <c r="G38" s="480"/>
      <c r="H38" s="480"/>
      <c r="I38" s="402" t="s">
        <v>284</v>
      </c>
      <c r="J38" s="399">
        <f t="shared" ref="J38:P38" si="15">IF(J23=0,"",SUM(J91:J92))</f>
        <v>0</v>
      </c>
      <c r="K38" s="399">
        <f t="shared" si="15"/>
        <v>0</v>
      </c>
      <c r="L38" s="399">
        <f t="shared" si="15"/>
        <v>0</v>
      </c>
      <c r="M38" s="399">
        <f t="shared" si="15"/>
        <v>0</v>
      </c>
      <c r="N38" s="399">
        <f t="shared" si="15"/>
        <v>0</v>
      </c>
      <c r="O38" s="399">
        <f t="shared" si="15"/>
        <v>0</v>
      </c>
      <c r="P38" s="399">
        <f t="shared" si="15"/>
        <v>0</v>
      </c>
      <c r="Q38" s="399">
        <f t="shared" ref="Q38" si="16">IF(Q23=0,"",SUM(Q91:Q92))</f>
        <v>0</v>
      </c>
      <c r="R38" s="399" t="str">
        <f t="shared" ref="R38:S38" si="17">IF(R23=0,"",SUM(R91:R92))</f>
        <v/>
      </c>
      <c r="S38" s="620" t="str">
        <f t="shared" si="17"/>
        <v/>
      </c>
    </row>
    <row r="39" spans="5:19" ht="16.5" customHeight="1">
      <c r="E39" s="370">
        <v>33</v>
      </c>
      <c r="F39" s="415" t="s">
        <v>280</v>
      </c>
      <c r="G39" s="480"/>
      <c r="H39" s="480"/>
      <c r="I39" s="402" t="s">
        <v>284</v>
      </c>
      <c r="J39" s="593">
        <f t="shared" ref="J39:P39" si="18">IF(J23=" ","",IF(J36&lt;&gt;0,J36/J49*100,""))</f>
        <v>1.7911594332649248E-2</v>
      </c>
      <c r="K39" s="593">
        <f t="shared" si="18"/>
        <v>0.14049628556178662</v>
      </c>
      <c r="L39" s="593">
        <f t="shared" si="18"/>
        <v>0.34776663543715414</v>
      </c>
      <c r="M39" s="593">
        <f t="shared" si="18"/>
        <v>7.6740911277536086E-2</v>
      </c>
      <c r="N39" s="593">
        <f t="shared" si="18"/>
        <v>7.67409112775361E-2</v>
      </c>
      <c r="O39" s="593">
        <f t="shared" si="18"/>
        <v>7.6740911277536086E-2</v>
      </c>
      <c r="P39" s="593">
        <f t="shared" si="18"/>
        <v>1.0795209143598243</v>
      </c>
      <c r="Q39" s="593">
        <f>IF(Q23=" ","",IF(Q36&lt;&gt;0,Q36/Q49*100,""))</f>
        <v>1.0795209143598243</v>
      </c>
      <c r="R39" s="593" t="str">
        <f t="shared" ref="R39:S39" si="19">IF(R23=" ","",IF(R36&lt;&gt;0,R36/R49*100,""))</f>
        <v/>
      </c>
      <c r="S39" s="623" t="str">
        <f t="shared" si="19"/>
        <v/>
      </c>
    </row>
    <row r="40" spans="5:19" ht="16.5" customHeight="1" thickBot="1">
      <c r="E40" s="370">
        <v>34</v>
      </c>
      <c r="F40" s="415" t="s">
        <v>271</v>
      </c>
      <c r="G40" s="398"/>
      <c r="H40" s="398"/>
      <c r="I40" s="402" t="s">
        <v>267</v>
      </c>
      <c r="J40" s="610">
        <f t="shared" ref="J40:S40" si="20">IF($P$5=$C$7,J31,J30)-J36-J37-J38</f>
        <v>3.587476581581222</v>
      </c>
      <c r="K40" s="610">
        <f t="shared" si="20"/>
        <v>7.0048128069779754</v>
      </c>
      <c r="L40" s="610">
        <f t="shared" si="20"/>
        <v>6.6800956914698784</v>
      </c>
      <c r="M40" s="610">
        <f t="shared" si="20"/>
        <v>5.3561363596044096</v>
      </c>
      <c r="N40" s="610">
        <f t="shared" si="20"/>
        <v>4.9838204683964511</v>
      </c>
      <c r="O40" s="610">
        <f t="shared" si="20"/>
        <v>3.8700000111103194</v>
      </c>
      <c r="P40" s="610">
        <f t="shared" si="20"/>
        <v>-0.19486271364439373</v>
      </c>
      <c r="Q40" s="612">
        <f t="shared" si="20"/>
        <v>-0.19486271364439373</v>
      </c>
      <c r="R40" s="610">
        <f t="shared" si="20"/>
        <v>0</v>
      </c>
      <c r="S40" s="624">
        <f t="shared" si="20"/>
        <v>0</v>
      </c>
    </row>
    <row r="41" spans="5:19" ht="16.5" hidden="1" customHeight="1" thickBot="1">
      <c r="E41" s="370">
        <v>35</v>
      </c>
      <c r="F41" s="633" t="s">
        <v>272</v>
      </c>
      <c r="G41" s="634"/>
      <c r="H41" s="634"/>
      <c r="I41" s="635" t="s">
        <v>267</v>
      </c>
      <c r="J41" s="636"/>
      <c r="K41" s="637"/>
      <c r="L41" s="637"/>
      <c r="M41" s="638"/>
      <c r="N41" s="638"/>
      <c r="O41" s="638"/>
      <c r="P41" s="638">
        <f>Q31</f>
        <v>0</v>
      </c>
      <c r="Q41" s="638">
        <v>1.9</v>
      </c>
      <c r="R41" s="638"/>
      <c r="S41" s="639"/>
    </row>
    <row r="42" spans="5:19" ht="18" customHeight="1" thickTop="1">
      <c r="E42" s="370">
        <v>36</v>
      </c>
      <c r="F42" s="404" t="s">
        <v>270</v>
      </c>
      <c r="G42" s="405"/>
      <c r="H42" s="405"/>
      <c r="I42" s="407"/>
      <c r="J42" s="375"/>
      <c r="K42" s="379"/>
      <c r="L42" s="379"/>
      <c r="M42" s="379"/>
      <c r="N42" s="379"/>
      <c r="O42" s="379"/>
      <c r="P42" s="379"/>
      <c r="Q42" s="379"/>
      <c r="R42" s="379"/>
      <c r="S42" s="378"/>
    </row>
    <row r="43" spans="5:19" ht="16.5" customHeight="1">
      <c r="E43" s="370">
        <v>37</v>
      </c>
      <c r="F43" s="414" t="s">
        <v>238</v>
      </c>
      <c r="G43" s="479"/>
      <c r="H43" s="479"/>
      <c r="I43" s="662"/>
      <c r="J43" s="388">
        <v>6</v>
      </c>
      <c r="K43" s="388">
        <v>4</v>
      </c>
      <c r="L43" s="388">
        <v>1.5</v>
      </c>
      <c r="M43" s="388">
        <v>3</v>
      </c>
      <c r="N43" s="388">
        <v>3</v>
      </c>
      <c r="O43" s="389">
        <v>3</v>
      </c>
      <c r="P43" s="388">
        <v>1.5</v>
      </c>
      <c r="Q43" s="388">
        <v>1.5</v>
      </c>
      <c r="R43" s="388"/>
      <c r="S43" s="390"/>
    </row>
    <row r="44" spans="5:19" ht="16.5" customHeight="1">
      <c r="E44" s="370">
        <v>38</v>
      </c>
      <c r="F44" s="415" t="s">
        <v>242</v>
      </c>
      <c r="G44" s="480"/>
      <c r="H44" s="480"/>
      <c r="I44" s="394"/>
      <c r="J44" s="382">
        <v>150</v>
      </c>
      <c r="K44" s="382" t="s">
        <v>5</v>
      </c>
      <c r="L44" s="382" t="s">
        <v>246</v>
      </c>
      <c r="M44" s="382" t="s">
        <v>5</v>
      </c>
      <c r="N44" s="382" t="s">
        <v>5</v>
      </c>
      <c r="O44" s="552" t="s">
        <v>5</v>
      </c>
      <c r="P44" s="382" t="s">
        <v>332</v>
      </c>
      <c r="Q44" s="382" t="s">
        <v>332</v>
      </c>
      <c r="R44" s="382"/>
      <c r="S44" s="521"/>
    </row>
    <row r="45" spans="5:19" ht="16.5" customHeight="1">
      <c r="E45" s="370">
        <v>39</v>
      </c>
      <c r="F45" s="415" t="s">
        <v>241</v>
      </c>
      <c r="G45" s="480"/>
      <c r="H45" s="480"/>
      <c r="I45" s="402" t="s">
        <v>275</v>
      </c>
      <c r="J45" s="391">
        <f t="shared" ref="J45:S45" si="21">IF(J23=" "," ",INDEX(PIPE,MATCH(J43,PIPE1,0),MATCH(J44,SCH,0)))</f>
        <v>0.15404999999999999</v>
      </c>
      <c r="K45" s="391">
        <f t="shared" si="21"/>
        <v>0.10226</v>
      </c>
      <c r="L45" s="391">
        <f t="shared" si="21"/>
        <v>4.0890000000000003E-2</v>
      </c>
      <c r="M45" s="391">
        <f t="shared" si="21"/>
        <v>7.7929999999999999E-2</v>
      </c>
      <c r="N45" s="391">
        <f t="shared" si="21"/>
        <v>7.7929999999999999E-2</v>
      </c>
      <c r="O45" s="391">
        <f t="shared" si="21"/>
        <v>7.7929999999999999E-2</v>
      </c>
      <c r="P45" s="391">
        <f t="shared" si="21"/>
        <v>4.0890000000000003E-2</v>
      </c>
      <c r="Q45" s="391">
        <f t="shared" si="21"/>
        <v>4.0890000000000003E-2</v>
      </c>
      <c r="R45" s="391" t="str">
        <f t="shared" si="21"/>
        <v xml:space="preserve"> </v>
      </c>
      <c r="S45" s="622" t="str">
        <f t="shared" si="21"/>
        <v xml:space="preserve"> </v>
      </c>
    </row>
    <row r="46" spans="5:19" ht="16.5" customHeight="1">
      <c r="E46" s="370">
        <v>40</v>
      </c>
      <c r="F46" s="415" t="s">
        <v>243</v>
      </c>
      <c r="G46" s="480"/>
      <c r="H46" s="480"/>
      <c r="I46" s="402" t="s">
        <v>275</v>
      </c>
      <c r="J46" s="385">
        <v>9.5</v>
      </c>
      <c r="K46" s="386">
        <v>3.34</v>
      </c>
      <c r="L46" s="385">
        <v>56.9</v>
      </c>
      <c r="M46" s="385">
        <v>16.8</v>
      </c>
      <c r="N46" s="386">
        <v>5.25</v>
      </c>
      <c r="O46" s="386">
        <v>80.5</v>
      </c>
      <c r="P46" s="385">
        <v>11</v>
      </c>
      <c r="Q46" s="385">
        <v>11</v>
      </c>
      <c r="R46" s="385"/>
      <c r="S46" s="522"/>
    </row>
    <row r="47" spans="5:19" ht="16.5" customHeight="1">
      <c r="E47" s="370">
        <v>41</v>
      </c>
      <c r="F47" s="415" t="s">
        <v>244</v>
      </c>
      <c r="G47" s="480"/>
      <c r="H47" s="480"/>
      <c r="I47" s="394"/>
      <c r="J47" s="382" t="s">
        <v>23</v>
      </c>
      <c r="K47" s="382">
        <v>2</v>
      </c>
      <c r="L47" s="382">
        <v>1</v>
      </c>
      <c r="M47" s="382">
        <v>2</v>
      </c>
      <c r="N47" s="382">
        <v>2</v>
      </c>
      <c r="O47" s="382">
        <v>1.5</v>
      </c>
      <c r="P47" s="382">
        <v>1</v>
      </c>
      <c r="Q47" s="382">
        <v>1</v>
      </c>
      <c r="R47" s="382"/>
      <c r="S47" s="384"/>
    </row>
    <row r="48" spans="5:19" ht="16.5" customHeight="1">
      <c r="E48" s="370">
        <v>42</v>
      </c>
      <c r="F48" s="415" t="s">
        <v>245</v>
      </c>
      <c r="G48" s="480"/>
      <c r="H48" s="480"/>
      <c r="I48" s="402" t="s">
        <v>275</v>
      </c>
      <c r="J48" s="382">
        <v>4.5719999999999997E-2</v>
      </c>
      <c r="K48" s="387">
        <v>4.5999999999999999E-2</v>
      </c>
      <c r="L48" s="387">
        <v>4.5999999999999999E-2</v>
      </c>
      <c r="M48" s="387">
        <v>4.5999999999999999E-2</v>
      </c>
      <c r="N48" s="387">
        <v>4.5999999999999999E-2</v>
      </c>
      <c r="O48" s="387">
        <v>4.5999999999999999E-2</v>
      </c>
      <c r="P48" s="387">
        <v>4.5999999999999999E-2</v>
      </c>
      <c r="Q48" s="387">
        <v>4.5999999999999999E-2</v>
      </c>
      <c r="R48" s="387"/>
      <c r="S48" s="523"/>
    </row>
    <row r="49" spans="2:19" ht="16.5" customHeight="1">
      <c r="E49" s="370">
        <v>43</v>
      </c>
      <c r="F49" s="415" t="s">
        <v>273</v>
      </c>
      <c r="G49" s="480"/>
      <c r="H49" s="480"/>
      <c r="I49" s="402" t="s">
        <v>275</v>
      </c>
      <c r="J49" s="585">
        <f>IF(J23=" "," ",IF(ISTEXT(J47),J150*J45/(ffactor(J48,J45,J35))+J46,J46*(1+(0.347*J43^0.5+0.216)*J47)))</f>
        <v>58.539838632148779</v>
      </c>
      <c r="K49" s="553">
        <f>IF(K23=" "," ",IF(ISTEXT(K47),K150*K45/(ffactor(K48,K45,K35))+K46,K46*(1+(0.347*K43^0.5+0.216)*K47)))</f>
        <v>9.4187999999999992</v>
      </c>
      <c r="L49" s="553">
        <f>IF(L23=" "," ",IF(ISTEXT(L47),L150*L45/(ffactor(L48,L45,L35))+L46,L46*(1+(0.347*L43^0.5+0.216)*L47)))</f>
        <v>93.372130164216941</v>
      </c>
      <c r="M49" s="553">
        <f>IF(M23=" "," ",IF(ISTEXT(M47),M150*M45/(ffactor(M48,M45,M35))+M46,M46*(1+(0.347*M43^0.5+0.216)*M47)))</f>
        <v>44.251926775607053</v>
      </c>
      <c r="N49" s="642">
        <f>IF(N23=" "," ",IF(ISTEXT(N47),N150*N45/(ffactor(N48,N45,N35))+N46,N46*(1+(0.347*N43^0.5+0.216)*N47)))</f>
        <v>13.828727117377204</v>
      </c>
      <c r="O49" s="553">
        <f>IF(O23=" "," ",IF(ISTEXT(O47),O150*O45/(ffactor(O48,O45,O35))+O46,O46*(1+(0.347*O43^0.5+0.216)*O47)))</f>
        <v>179.15536184983782</v>
      </c>
      <c r="P49" s="553">
        <f>IF(P23=" "," ",IF(ISTEXT(P47),P150*P45/(ffactor(P48,P45,P35))+P46,P46*(1+(0.347*P43^0.5+0.216)*P47)))</f>
        <v>18.050851174101695</v>
      </c>
      <c r="Q49" s="553">
        <f>IF(Q23=" "," ",IF(ISTEXT(Q47),Q150*Q45/(ffactor(Q48,Q45,Q35))+Q46,Q46*(1+(0.347*Q43^0.5+0.216)*Q47)))</f>
        <v>18.050851174101695</v>
      </c>
      <c r="R49" s="408" t="str">
        <f>IF(R23=" "," ",IF(ISTEXT(R47),R150*R45/(ffactor(R48,R45,R35))+R46,R46*(1+(0.347*R43^0.5+0.216)*R47)))</f>
        <v xml:space="preserve"> </v>
      </c>
      <c r="S49" s="625" t="str">
        <f>IF(S23=" "," ",IF(ISTEXT(S47),S150*S45/(ffactor(S48,S45,S35))+S46,S46*(1+(0.347*S43^0.5+0.216)*S47)))</f>
        <v xml:space="preserve"> </v>
      </c>
    </row>
    <row r="50" spans="2:19" ht="16.5" customHeight="1">
      <c r="E50" s="370">
        <v>44</v>
      </c>
      <c r="F50" s="415" t="s">
        <v>274</v>
      </c>
      <c r="G50" s="480"/>
      <c r="H50" s="480"/>
      <c r="I50" s="402" t="s">
        <v>275</v>
      </c>
      <c r="J50" s="382">
        <v>-1.45</v>
      </c>
      <c r="K50" s="382"/>
      <c r="L50" s="383"/>
      <c r="M50" s="382"/>
      <c r="N50" s="641">
        <v>0.18</v>
      </c>
      <c r="O50" s="382">
        <v>4.25</v>
      </c>
      <c r="P50" s="382"/>
      <c r="Q50" s="382"/>
      <c r="R50" s="382"/>
      <c r="S50" s="384"/>
    </row>
    <row r="51" spans="2:19" ht="16.5" customHeight="1">
      <c r="B51" s="443" t="s">
        <v>287</v>
      </c>
      <c r="C51" s="443" t="s">
        <v>288</v>
      </c>
      <c r="E51" s="370">
        <v>45</v>
      </c>
      <c r="F51" s="421" t="s">
        <v>281</v>
      </c>
      <c r="G51" s="667"/>
      <c r="H51" s="667"/>
      <c r="I51" s="413"/>
      <c r="J51" s="417"/>
      <c r="K51" s="418"/>
      <c r="L51" s="418"/>
      <c r="M51" s="418"/>
      <c r="N51" s="418"/>
      <c r="O51" s="418"/>
      <c r="P51" s="418"/>
      <c r="Q51" s="418"/>
      <c r="R51" s="418"/>
      <c r="S51" s="419"/>
    </row>
    <row r="52" spans="2:19" ht="16.5" customHeight="1">
      <c r="B52" s="444">
        <v>800</v>
      </c>
      <c r="C52" s="445">
        <v>0.4</v>
      </c>
      <c r="E52" s="370">
        <v>46</v>
      </c>
      <c r="F52" s="414" t="s">
        <v>285</v>
      </c>
      <c r="G52" s="412" t="s">
        <v>25</v>
      </c>
      <c r="H52" s="479"/>
      <c r="I52" s="663"/>
      <c r="J52" s="596"/>
      <c r="K52" s="596"/>
      <c r="L52" s="597"/>
      <c r="M52" s="596"/>
      <c r="N52" s="596"/>
      <c r="O52" s="596"/>
      <c r="P52" s="596"/>
      <c r="Q52" s="596"/>
      <c r="R52" s="596"/>
      <c r="S52" s="598"/>
    </row>
    <row r="53" spans="2:19" ht="16.5" customHeight="1">
      <c r="B53" s="446">
        <v>800</v>
      </c>
      <c r="C53" s="447">
        <v>0.25</v>
      </c>
      <c r="E53" s="370">
        <v>47</v>
      </c>
      <c r="F53" s="415"/>
      <c r="G53" s="669" t="s">
        <v>282</v>
      </c>
      <c r="H53" s="666"/>
      <c r="I53" s="439"/>
      <c r="J53" s="559">
        <v>1</v>
      </c>
      <c r="K53" s="559"/>
      <c r="L53" s="567"/>
      <c r="M53" s="559"/>
      <c r="N53" s="559"/>
      <c r="O53" s="559"/>
      <c r="P53" s="559"/>
      <c r="Q53" s="559">
        <v>1</v>
      </c>
      <c r="R53" s="559"/>
      <c r="S53" s="560"/>
    </row>
    <row r="54" spans="2:19" ht="16.5" customHeight="1">
      <c r="B54" s="446">
        <v>800</v>
      </c>
      <c r="C54" s="447">
        <v>0.4</v>
      </c>
      <c r="E54" s="370">
        <v>48</v>
      </c>
      <c r="F54" s="415"/>
      <c r="G54" s="669" t="s">
        <v>28</v>
      </c>
      <c r="H54" s="666"/>
      <c r="I54" s="439"/>
      <c r="J54" s="559"/>
      <c r="K54" s="559">
        <v>2</v>
      </c>
      <c r="L54" s="567"/>
      <c r="M54" s="559"/>
      <c r="N54" s="559"/>
      <c r="O54" s="559"/>
      <c r="P54" s="559"/>
      <c r="Q54" s="559"/>
      <c r="R54" s="559"/>
      <c r="S54" s="560"/>
    </row>
    <row r="55" spans="2:19" ht="16.5" customHeight="1">
      <c r="B55" s="446">
        <v>800</v>
      </c>
      <c r="C55" s="447">
        <v>0.2</v>
      </c>
      <c r="E55" s="370">
        <v>49</v>
      </c>
      <c r="F55" s="415"/>
      <c r="G55" s="669" t="s">
        <v>30</v>
      </c>
      <c r="H55" s="666"/>
      <c r="I55" s="439"/>
      <c r="J55" s="559"/>
      <c r="K55" s="559"/>
      <c r="L55" s="567"/>
      <c r="M55" s="559"/>
      <c r="N55" s="559"/>
      <c r="O55" s="559"/>
      <c r="P55" s="559"/>
      <c r="Q55" s="559"/>
      <c r="R55" s="559"/>
      <c r="S55" s="560"/>
    </row>
    <row r="56" spans="2:19" ht="16.5" customHeight="1">
      <c r="B56" s="444">
        <v>500</v>
      </c>
      <c r="C56" s="448">
        <v>0.4</v>
      </c>
      <c r="E56" s="370">
        <v>50</v>
      </c>
      <c r="F56" s="414" t="s">
        <v>289</v>
      </c>
      <c r="G56" s="441" t="s">
        <v>32</v>
      </c>
      <c r="H56" s="673"/>
      <c r="I56" s="661"/>
      <c r="J56" s="561"/>
      <c r="K56" s="561"/>
      <c r="L56" s="562"/>
      <c r="M56" s="561"/>
      <c r="N56" s="561"/>
      <c r="O56" s="561"/>
      <c r="P56" s="561"/>
      <c r="Q56" s="561"/>
      <c r="R56" s="561"/>
      <c r="S56" s="563"/>
    </row>
    <row r="57" spans="2:19" ht="16.5" customHeight="1">
      <c r="B57" s="446">
        <v>500</v>
      </c>
      <c r="C57" s="447">
        <v>0.25</v>
      </c>
      <c r="E57" s="370">
        <v>51</v>
      </c>
      <c r="F57" s="415"/>
      <c r="G57" s="669" t="s">
        <v>27</v>
      </c>
      <c r="H57" s="666"/>
      <c r="I57" s="416"/>
      <c r="J57" s="559"/>
      <c r="K57" s="559"/>
      <c r="L57" s="567"/>
      <c r="M57" s="559"/>
      <c r="N57" s="559"/>
      <c r="O57" s="559"/>
      <c r="P57" s="559"/>
      <c r="Q57" s="559">
        <v>2</v>
      </c>
      <c r="R57" s="559"/>
      <c r="S57" s="560"/>
    </row>
    <row r="58" spans="2:19" ht="16.5" customHeight="1">
      <c r="B58" s="446">
        <v>500</v>
      </c>
      <c r="C58" s="447">
        <v>0.2</v>
      </c>
      <c r="E58" s="370">
        <v>52</v>
      </c>
      <c r="F58" s="348"/>
      <c r="G58" s="669" t="s">
        <v>28</v>
      </c>
      <c r="H58" s="666"/>
      <c r="I58" s="676"/>
      <c r="J58" s="559"/>
      <c r="K58" s="559">
        <v>3</v>
      </c>
      <c r="L58" s="567"/>
      <c r="M58" s="559"/>
      <c r="N58" s="559"/>
      <c r="O58" s="559"/>
      <c r="P58" s="559"/>
      <c r="Q58" s="559"/>
      <c r="R58" s="559"/>
      <c r="S58" s="560"/>
    </row>
    <row r="59" spans="2:19" ht="16.5" customHeight="1">
      <c r="B59" s="446">
        <v>500</v>
      </c>
      <c r="C59" s="447">
        <v>0.15</v>
      </c>
      <c r="E59" s="370">
        <v>53</v>
      </c>
      <c r="F59" s="420"/>
      <c r="G59" s="440" t="s">
        <v>30</v>
      </c>
      <c r="H59" s="677"/>
      <c r="I59" s="678"/>
      <c r="J59" s="559"/>
      <c r="K59" s="559"/>
      <c r="L59" s="567"/>
      <c r="M59" s="559"/>
      <c r="N59" s="559"/>
      <c r="O59" s="559"/>
      <c r="P59" s="559"/>
      <c r="Q59" s="559"/>
      <c r="R59" s="559"/>
      <c r="S59" s="560"/>
    </row>
    <row r="60" spans="2:19" ht="16.5" customHeight="1">
      <c r="B60" s="444">
        <v>1000</v>
      </c>
      <c r="C60" s="448">
        <v>0.6</v>
      </c>
      <c r="E60" s="370">
        <v>54</v>
      </c>
      <c r="F60" s="414" t="s">
        <v>286</v>
      </c>
      <c r="G60" s="441" t="s">
        <v>32</v>
      </c>
      <c r="H60" s="673"/>
      <c r="I60" s="673"/>
      <c r="J60" s="561"/>
      <c r="K60" s="561"/>
      <c r="L60" s="562"/>
      <c r="M60" s="561"/>
      <c r="N60" s="561"/>
      <c r="O60" s="561"/>
      <c r="P60" s="561"/>
      <c r="Q60" s="561"/>
      <c r="R60" s="561"/>
      <c r="S60" s="563"/>
    </row>
    <row r="61" spans="2:19" ht="16.5" customHeight="1">
      <c r="B61" s="446">
        <v>1000</v>
      </c>
      <c r="C61" s="447">
        <v>0.35</v>
      </c>
      <c r="E61" s="370">
        <v>55</v>
      </c>
      <c r="F61" s="348"/>
      <c r="G61" s="669" t="s">
        <v>27</v>
      </c>
      <c r="H61" s="666"/>
      <c r="I61" s="666"/>
      <c r="J61" s="559"/>
      <c r="K61" s="559"/>
      <c r="L61" s="567"/>
      <c r="M61" s="559"/>
      <c r="N61" s="559"/>
      <c r="O61" s="559"/>
      <c r="P61" s="559"/>
      <c r="Q61" s="559"/>
      <c r="R61" s="559"/>
      <c r="S61" s="560"/>
    </row>
    <row r="62" spans="2:19" ht="16.5" customHeight="1">
      <c r="B62" s="446">
        <v>1000</v>
      </c>
      <c r="C62" s="447">
        <v>0.5</v>
      </c>
      <c r="E62" s="370">
        <v>56</v>
      </c>
      <c r="F62" s="348"/>
      <c r="G62" s="669" t="s">
        <v>28</v>
      </c>
      <c r="H62" s="666"/>
      <c r="I62" s="666"/>
      <c r="J62" s="559"/>
      <c r="K62" s="559"/>
      <c r="L62" s="567"/>
      <c r="M62" s="559"/>
      <c r="N62" s="559"/>
      <c r="O62" s="559"/>
      <c r="P62" s="559"/>
      <c r="Q62" s="559"/>
      <c r="R62" s="559"/>
      <c r="S62" s="560"/>
    </row>
    <row r="63" spans="2:19" ht="16.5" customHeight="1">
      <c r="B63" s="449">
        <v>1000</v>
      </c>
      <c r="C63" s="450">
        <v>0.3</v>
      </c>
      <c r="E63" s="370">
        <v>57</v>
      </c>
      <c r="F63" s="420"/>
      <c r="G63" s="669" t="s">
        <v>30</v>
      </c>
      <c r="H63" s="677"/>
      <c r="I63" s="677"/>
      <c r="J63" s="559"/>
      <c r="K63" s="559"/>
      <c r="L63" s="567"/>
      <c r="M63" s="559"/>
      <c r="N63" s="559"/>
      <c r="O63" s="559"/>
      <c r="P63" s="559"/>
      <c r="Q63" s="559"/>
      <c r="R63" s="559"/>
      <c r="S63" s="560"/>
    </row>
    <row r="64" spans="2:19" ht="16.5" customHeight="1">
      <c r="B64" s="43">
        <v>500</v>
      </c>
      <c r="C64" s="46">
        <v>0.7</v>
      </c>
      <c r="E64" s="370">
        <v>58</v>
      </c>
      <c r="F64" s="414" t="s">
        <v>290</v>
      </c>
      <c r="G64" s="441" t="s">
        <v>36</v>
      </c>
      <c r="H64" s="666"/>
      <c r="I64" s="666"/>
      <c r="J64" s="561">
        <v>1</v>
      </c>
      <c r="K64" s="561">
        <v>1</v>
      </c>
      <c r="L64" s="597"/>
      <c r="M64" s="596"/>
      <c r="N64" s="596"/>
      <c r="O64" s="596"/>
      <c r="P64" s="596"/>
      <c r="Q64" s="596"/>
      <c r="R64" s="596"/>
      <c r="S64" s="598"/>
    </row>
    <row r="65" spans="1:19" ht="16.5" customHeight="1">
      <c r="B65" s="44">
        <v>800</v>
      </c>
      <c r="C65" s="45">
        <v>0.4</v>
      </c>
      <c r="E65" s="370">
        <v>59</v>
      </c>
      <c r="F65" s="348" t="s">
        <v>291</v>
      </c>
      <c r="G65" s="669" t="s">
        <v>38</v>
      </c>
      <c r="H65" s="666"/>
      <c r="I65" s="666"/>
      <c r="J65" s="559"/>
      <c r="K65" s="559"/>
      <c r="L65" s="567"/>
      <c r="M65" s="559"/>
      <c r="N65" s="559"/>
      <c r="O65" s="559"/>
      <c r="P65" s="559"/>
      <c r="Q65" s="559"/>
      <c r="R65" s="559"/>
      <c r="S65" s="560"/>
    </row>
    <row r="66" spans="1:19" ht="16.5" customHeight="1">
      <c r="B66" s="44">
        <v>800</v>
      </c>
      <c r="C66" s="45">
        <v>0.8</v>
      </c>
      <c r="E66" s="370">
        <v>60</v>
      </c>
      <c r="F66" s="348"/>
      <c r="G66" s="669" t="s">
        <v>39</v>
      </c>
      <c r="H66" s="666"/>
      <c r="I66" s="666"/>
      <c r="J66" s="559"/>
      <c r="K66" s="559"/>
      <c r="L66" s="567"/>
      <c r="M66" s="559"/>
      <c r="N66" s="559"/>
      <c r="O66" s="559"/>
      <c r="P66" s="559"/>
      <c r="Q66" s="559"/>
      <c r="R66" s="559"/>
      <c r="S66" s="560"/>
    </row>
    <row r="67" spans="1:19" ht="16.5" customHeight="1">
      <c r="B67" s="44">
        <v>1000</v>
      </c>
      <c r="C67" s="45">
        <v>1</v>
      </c>
      <c r="E67" s="370">
        <v>61</v>
      </c>
      <c r="F67" s="348"/>
      <c r="G67" s="669" t="s">
        <v>40</v>
      </c>
      <c r="H67" s="666"/>
      <c r="I67" s="666"/>
      <c r="J67" s="559"/>
      <c r="K67" s="559"/>
      <c r="L67" s="567"/>
      <c r="M67" s="559"/>
      <c r="N67" s="559"/>
      <c r="O67" s="559"/>
      <c r="P67" s="559"/>
      <c r="Q67" s="559"/>
      <c r="R67" s="559"/>
      <c r="S67" s="560"/>
    </row>
    <row r="68" spans="1:19" ht="16.5" customHeight="1">
      <c r="B68" s="43">
        <v>200</v>
      </c>
      <c r="C68" s="46">
        <v>0.1</v>
      </c>
      <c r="E68" s="370">
        <v>62</v>
      </c>
      <c r="F68" s="414" t="s">
        <v>290</v>
      </c>
      <c r="G68" s="441" t="s">
        <v>42</v>
      </c>
      <c r="H68" s="673"/>
      <c r="I68" s="673"/>
      <c r="J68" s="561"/>
      <c r="K68" s="561"/>
      <c r="L68" s="562"/>
      <c r="M68" s="561"/>
      <c r="N68" s="561"/>
      <c r="O68" s="561"/>
      <c r="P68" s="561"/>
      <c r="Q68" s="561"/>
      <c r="R68" s="561"/>
      <c r="S68" s="563"/>
    </row>
    <row r="69" spans="1:19" ht="16.5" customHeight="1">
      <c r="B69" s="44">
        <v>150</v>
      </c>
      <c r="C69" s="44">
        <v>0.05</v>
      </c>
      <c r="E69" s="370">
        <v>63</v>
      </c>
      <c r="F69" s="348" t="s">
        <v>292</v>
      </c>
      <c r="G69" s="669" t="s">
        <v>43</v>
      </c>
      <c r="H69" s="666"/>
      <c r="I69" s="666"/>
      <c r="J69" s="559"/>
      <c r="K69" s="559"/>
      <c r="L69" s="567"/>
      <c r="M69" s="559"/>
      <c r="N69" s="559"/>
      <c r="O69" s="559"/>
      <c r="P69" s="559"/>
      <c r="Q69" s="559"/>
      <c r="R69" s="559"/>
      <c r="S69" s="560"/>
    </row>
    <row r="70" spans="1:19" ht="16.5" customHeight="1">
      <c r="B70" s="47">
        <v>100</v>
      </c>
      <c r="C70" s="48">
        <v>0</v>
      </c>
      <c r="E70" s="370">
        <v>64</v>
      </c>
      <c r="F70" s="420"/>
      <c r="G70" s="669" t="s">
        <v>40</v>
      </c>
      <c r="H70" s="677"/>
      <c r="I70" s="677"/>
      <c r="J70" s="559"/>
      <c r="K70" s="559"/>
      <c r="L70" s="567"/>
      <c r="M70" s="559"/>
      <c r="N70" s="559"/>
      <c r="O70" s="559"/>
      <c r="P70" s="559"/>
      <c r="Q70" s="559"/>
      <c r="R70" s="559"/>
      <c r="S70" s="560"/>
    </row>
    <row r="71" spans="1:19" ht="16.5" customHeight="1">
      <c r="B71" s="43">
        <v>300</v>
      </c>
      <c r="C71" s="46">
        <v>0.1</v>
      </c>
      <c r="E71" s="370">
        <v>65</v>
      </c>
      <c r="F71" s="414" t="s">
        <v>293</v>
      </c>
      <c r="G71" s="441" t="s">
        <v>46</v>
      </c>
      <c r="H71" s="666"/>
      <c r="I71" s="666"/>
      <c r="J71" s="574"/>
      <c r="K71" s="574"/>
      <c r="L71" s="599"/>
      <c r="M71" s="574"/>
      <c r="N71" s="574"/>
      <c r="O71" s="574"/>
      <c r="P71" s="574"/>
      <c r="Q71" s="574"/>
      <c r="R71" s="574"/>
      <c r="S71" s="600"/>
    </row>
    <row r="72" spans="1:19" s="442" customFormat="1" ht="16.5" customHeight="1">
      <c r="B72" s="44">
        <v>500</v>
      </c>
      <c r="C72" s="45">
        <v>0.15</v>
      </c>
      <c r="E72" s="370">
        <v>66</v>
      </c>
      <c r="F72" s="415" t="s">
        <v>294</v>
      </c>
      <c r="G72" s="669" t="s">
        <v>48</v>
      </c>
      <c r="H72" s="666"/>
      <c r="I72" s="666"/>
      <c r="J72" s="559"/>
      <c r="K72" s="559"/>
      <c r="L72" s="567"/>
      <c r="M72" s="559"/>
      <c r="N72" s="559"/>
      <c r="O72" s="559"/>
      <c r="P72" s="559"/>
      <c r="Q72" s="559"/>
      <c r="R72" s="559"/>
      <c r="S72" s="560"/>
    </row>
    <row r="73" spans="1:19" s="442" customFormat="1" ht="16.5" customHeight="1">
      <c r="B73" s="44">
        <v>1000</v>
      </c>
      <c r="C73" s="45">
        <v>0.25</v>
      </c>
      <c r="E73" s="370">
        <v>67</v>
      </c>
      <c r="F73" s="415" t="s">
        <v>295</v>
      </c>
      <c r="G73" s="669" t="s">
        <v>50</v>
      </c>
      <c r="H73" s="666"/>
      <c r="I73" s="666"/>
      <c r="J73" s="564"/>
      <c r="K73" s="564"/>
      <c r="L73" s="565"/>
      <c r="M73" s="564"/>
      <c r="N73" s="564"/>
      <c r="O73" s="564"/>
      <c r="P73" s="564"/>
      <c r="Q73" s="564"/>
      <c r="R73" s="564"/>
      <c r="S73" s="566"/>
    </row>
    <row r="74" spans="1:19" s="442" customFormat="1" ht="16.5" customHeight="1">
      <c r="B74" s="43">
        <v>2000</v>
      </c>
      <c r="C74" s="46">
        <v>10</v>
      </c>
      <c r="E74" s="370">
        <v>68</v>
      </c>
      <c r="F74" s="414" t="s">
        <v>296</v>
      </c>
      <c r="G74" s="441" t="s">
        <v>57</v>
      </c>
      <c r="H74" s="673"/>
      <c r="I74" s="673"/>
      <c r="J74" s="561"/>
      <c r="K74" s="561"/>
      <c r="L74" s="562"/>
      <c r="M74" s="561"/>
      <c r="N74" s="561"/>
      <c r="O74" s="561"/>
      <c r="P74" s="561"/>
      <c r="Q74" s="561"/>
      <c r="R74" s="561"/>
      <c r="S74" s="563"/>
    </row>
    <row r="75" spans="1:19" s="442" customFormat="1" ht="16.5" customHeight="1">
      <c r="A75" s="442">
        <f>COUNTA($B$52:B75)</f>
        <v>24</v>
      </c>
      <c r="B75" s="44">
        <v>1500</v>
      </c>
      <c r="C75" s="45">
        <v>1.5</v>
      </c>
      <c r="E75" s="370">
        <v>69</v>
      </c>
      <c r="F75" s="348"/>
      <c r="G75" s="669" t="s">
        <v>58</v>
      </c>
      <c r="H75" s="666"/>
      <c r="I75" s="666"/>
      <c r="J75" s="559"/>
      <c r="K75" s="559"/>
      <c r="L75" s="567"/>
      <c r="M75" s="559"/>
      <c r="N75" s="559"/>
      <c r="O75" s="559"/>
      <c r="P75" s="559"/>
      <c r="Q75" s="559"/>
      <c r="R75" s="559"/>
      <c r="S75" s="560"/>
    </row>
    <row r="76" spans="1:19" s="442" customFormat="1" ht="16.5" customHeight="1">
      <c r="A76" s="454">
        <f>COUNTA($B$52:B76)</f>
        <v>25</v>
      </c>
      <c r="B76" s="47">
        <v>1000</v>
      </c>
      <c r="C76" s="48">
        <v>0.5</v>
      </c>
      <c r="E76" s="370">
        <v>70</v>
      </c>
      <c r="F76" s="348"/>
      <c r="G76" s="669" t="s">
        <v>59</v>
      </c>
      <c r="H76" s="666"/>
      <c r="I76" s="666"/>
      <c r="J76" s="559"/>
      <c r="K76" s="559"/>
      <c r="L76" s="567"/>
      <c r="M76" s="559"/>
      <c r="N76" s="559"/>
      <c r="O76" s="559"/>
      <c r="P76" s="559"/>
      <c r="Q76" s="559"/>
      <c r="R76" s="559"/>
      <c r="S76" s="560"/>
    </row>
    <row r="77" spans="1:19" ht="16.5" customHeight="1">
      <c r="A77" s="454">
        <f>COUNTA($B$52:B77)</f>
        <v>26</v>
      </c>
      <c r="B77" s="43">
        <v>1500</v>
      </c>
      <c r="C77" s="46">
        <v>4</v>
      </c>
      <c r="E77" s="370">
        <v>71</v>
      </c>
      <c r="F77" s="414" t="s">
        <v>297</v>
      </c>
      <c r="G77" s="441" t="s">
        <v>52</v>
      </c>
      <c r="H77" s="673"/>
      <c r="I77" s="673"/>
      <c r="J77" s="561"/>
      <c r="K77" s="561"/>
      <c r="L77" s="562"/>
      <c r="M77" s="561"/>
      <c r="N77" s="561"/>
      <c r="O77" s="561"/>
      <c r="P77" s="561"/>
      <c r="Q77" s="561"/>
      <c r="R77" s="561"/>
      <c r="S77" s="563"/>
    </row>
    <row r="78" spans="1:19" s="442" customFormat="1" ht="16.5" customHeight="1">
      <c r="A78" s="454">
        <f>COUNTA($B$52:B78)</f>
        <v>27</v>
      </c>
      <c r="B78" s="44">
        <v>1000</v>
      </c>
      <c r="C78" s="45">
        <v>2</v>
      </c>
      <c r="E78" s="370">
        <v>72</v>
      </c>
      <c r="F78" s="348"/>
      <c r="G78" s="669" t="s">
        <v>53</v>
      </c>
      <c r="H78" s="666"/>
      <c r="I78" s="666"/>
      <c r="J78" s="559"/>
      <c r="K78" s="559"/>
      <c r="L78" s="567"/>
      <c r="M78" s="559"/>
      <c r="N78" s="559"/>
      <c r="O78" s="559"/>
      <c r="P78" s="559"/>
      <c r="Q78" s="559"/>
      <c r="R78" s="559"/>
      <c r="S78" s="560"/>
    </row>
    <row r="79" spans="1:19" s="442" customFormat="1" ht="16.5" customHeight="1">
      <c r="A79" s="454">
        <f>COUNTA($B$52:B79)</f>
        <v>28</v>
      </c>
      <c r="B79" s="44">
        <v>1000</v>
      </c>
      <c r="C79" s="45">
        <v>2</v>
      </c>
      <c r="E79" s="370">
        <v>73</v>
      </c>
      <c r="F79" s="348"/>
      <c r="G79" s="669" t="s">
        <v>54</v>
      </c>
      <c r="H79" s="666"/>
      <c r="I79" s="666"/>
      <c r="J79" s="559"/>
      <c r="K79" s="559"/>
      <c r="L79" s="567"/>
      <c r="M79" s="559"/>
      <c r="N79" s="559"/>
      <c r="O79" s="559"/>
      <c r="P79" s="559"/>
      <c r="Q79" s="559"/>
      <c r="R79" s="559"/>
      <c r="S79" s="560"/>
    </row>
    <row r="80" spans="1:19" s="442" customFormat="1" ht="16.5" customHeight="1">
      <c r="A80" s="454">
        <f>COUNTA($B$52:B80)</f>
        <v>29</v>
      </c>
      <c r="B80" s="44">
        <v>800</v>
      </c>
      <c r="C80" s="45">
        <v>0.25</v>
      </c>
      <c r="E80" s="370">
        <v>74</v>
      </c>
      <c r="F80" s="420"/>
      <c r="G80" s="669" t="s">
        <v>55</v>
      </c>
      <c r="H80" s="677"/>
      <c r="I80" s="677"/>
      <c r="J80" s="559"/>
      <c r="K80" s="559"/>
      <c r="L80" s="567"/>
      <c r="M80" s="559"/>
      <c r="N80" s="559"/>
      <c r="O80" s="559"/>
      <c r="P80" s="559"/>
      <c r="Q80" s="559"/>
      <c r="R80" s="559"/>
      <c r="S80" s="560"/>
    </row>
    <row r="81" spans="1:19" s="442" customFormat="1" ht="16.5" customHeight="1">
      <c r="A81" s="454">
        <f>COUNTA($B$52:B81)</f>
        <v>30</v>
      </c>
      <c r="B81" s="43">
        <v>160</v>
      </c>
      <c r="C81" s="46">
        <v>1.5</v>
      </c>
      <c r="E81" s="370">
        <v>75</v>
      </c>
      <c r="F81" s="414" t="s">
        <v>298</v>
      </c>
      <c r="G81" s="452" t="s">
        <v>299</v>
      </c>
      <c r="H81" s="666"/>
      <c r="I81" s="666"/>
      <c r="J81" s="596"/>
      <c r="K81" s="596"/>
      <c r="L81" s="597"/>
      <c r="M81" s="596"/>
      <c r="N81" s="596"/>
      <c r="O81" s="596"/>
      <c r="P81" s="596"/>
      <c r="Q81" s="596"/>
      <c r="R81" s="596"/>
      <c r="S81" s="598"/>
    </row>
    <row r="82" spans="1:19" s="442" customFormat="1" ht="16.5" customHeight="1">
      <c r="A82" s="454">
        <f>COUNTA($B$52:B82)</f>
        <v>31</v>
      </c>
      <c r="B82" s="44">
        <v>160</v>
      </c>
      <c r="C82" s="45">
        <v>2</v>
      </c>
      <c r="E82" s="370">
        <v>76</v>
      </c>
      <c r="F82" s="348"/>
      <c r="G82" s="670" t="s">
        <v>300</v>
      </c>
      <c r="H82" s="666"/>
      <c r="I82" s="666"/>
      <c r="J82" s="559"/>
      <c r="K82" s="559"/>
      <c r="L82" s="567"/>
      <c r="M82" s="559"/>
      <c r="N82" s="559"/>
      <c r="O82" s="559"/>
      <c r="P82" s="559"/>
      <c r="Q82" s="559"/>
      <c r="R82" s="559"/>
      <c r="S82" s="560"/>
    </row>
    <row r="83" spans="1:19" s="442" customFormat="1" ht="16.5" customHeight="1">
      <c r="A83" s="454">
        <f>COUNTA($B$52:B83)</f>
        <v>32</v>
      </c>
      <c r="B83" s="44">
        <v>160</v>
      </c>
      <c r="C83" s="45">
        <v>1.23</v>
      </c>
      <c r="E83" s="370">
        <v>77</v>
      </c>
      <c r="F83" s="348"/>
      <c r="G83" s="670" t="s">
        <v>301</v>
      </c>
      <c r="H83" s="666"/>
      <c r="I83" s="666"/>
      <c r="J83" s="559"/>
      <c r="K83" s="559"/>
      <c r="L83" s="567"/>
      <c r="M83" s="559"/>
      <c r="N83" s="559"/>
      <c r="O83" s="559"/>
      <c r="P83" s="559"/>
      <c r="Q83" s="559"/>
      <c r="R83" s="559"/>
      <c r="S83" s="560"/>
    </row>
    <row r="84" spans="1:19" s="442" customFormat="1" ht="16.5" customHeight="1">
      <c r="B84" s="50"/>
      <c r="C84" s="51">
        <v>0</v>
      </c>
      <c r="E84" s="370">
        <v>78</v>
      </c>
      <c r="F84" s="421" t="s">
        <v>303</v>
      </c>
      <c r="G84" s="423" t="s">
        <v>302</v>
      </c>
      <c r="H84" s="424"/>
      <c r="I84" s="424"/>
      <c r="J84" s="568">
        <v>1</v>
      </c>
      <c r="K84" s="568"/>
      <c r="L84" s="569"/>
      <c r="M84" s="568"/>
      <c r="N84" s="568"/>
      <c r="O84" s="568"/>
      <c r="P84" s="568"/>
      <c r="Q84" s="568"/>
      <c r="R84" s="568"/>
      <c r="S84" s="570"/>
    </row>
    <row r="85" spans="1:19" ht="16.5" customHeight="1">
      <c r="E85" s="370">
        <v>79</v>
      </c>
      <c r="F85" s="414" t="s">
        <v>306</v>
      </c>
      <c r="G85" s="452" t="s">
        <v>67</v>
      </c>
      <c r="H85" s="666"/>
      <c r="I85" s="666"/>
      <c r="J85" s="574">
        <v>4</v>
      </c>
      <c r="K85" s="596"/>
      <c r="L85" s="597"/>
      <c r="M85" s="596"/>
      <c r="N85" s="596"/>
      <c r="O85" s="596"/>
      <c r="P85" s="596"/>
      <c r="Q85" s="596"/>
      <c r="R85" s="596"/>
      <c r="S85" s="598"/>
    </row>
    <row r="86" spans="1:19" s="454" customFormat="1" ht="16.5" customHeight="1">
      <c r="E86" s="370">
        <v>80</v>
      </c>
      <c r="F86" s="348"/>
      <c r="G86" s="670" t="s">
        <v>68</v>
      </c>
      <c r="H86" s="666"/>
      <c r="I86" s="666"/>
      <c r="J86" s="559">
        <v>10</v>
      </c>
      <c r="K86" s="559"/>
      <c r="L86" s="567"/>
      <c r="M86" s="559"/>
      <c r="N86" s="559"/>
      <c r="O86" s="559"/>
      <c r="P86" s="559"/>
      <c r="Q86" s="559"/>
      <c r="R86" s="559"/>
      <c r="S86" s="560"/>
    </row>
    <row r="87" spans="1:19" s="454" customFormat="1" ht="16.5" customHeight="1">
      <c r="B87" s="454">
        <f>COUNTA(G52:G84)</f>
        <v>33</v>
      </c>
      <c r="C87" s="454">
        <f>COUNTA(G85:G90)</f>
        <v>6</v>
      </c>
      <c r="E87" s="370">
        <v>81</v>
      </c>
      <c r="F87" s="348"/>
      <c r="G87" s="670" t="s">
        <v>69</v>
      </c>
      <c r="H87" s="666"/>
      <c r="I87" s="666"/>
      <c r="J87" s="564">
        <v>1</v>
      </c>
      <c r="K87" s="564"/>
      <c r="L87" s="565"/>
      <c r="M87" s="564"/>
      <c r="N87" s="564"/>
      <c r="O87" s="564"/>
      <c r="P87" s="564"/>
      <c r="Q87" s="564"/>
      <c r="R87" s="564"/>
      <c r="S87" s="566"/>
    </row>
    <row r="88" spans="1:19" s="454" customFormat="1" ht="16.5" customHeight="1">
      <c r="E88" s="370">
        <v>82</v>
      </c>
      <c r="F88" s="414" t="s">
        <v>307</v>
      </c>
      <c r="G88" s="452" t="s">
        <v>67</v>
      </c>
      <c r="H88" s="673"/>
      <c r="I88" s="675"/>
      <c r="J88" s="561">
        <v>6</v>
      </c>
      <c r="K88" s="561"/>
      <c r="L88" s="562"/>
      <c r="M88" s="561"/>
      <c r="N88" s="561"/>
      <c r="O88" s="561"/>
      <c r="P88" s="561"/>
      <c r="Q88" s="561"/>
      <c r="R88" s="561"/>
      <c r="S88" s="563"/>
    </row>
    <row r="89" spans="1:19" s="454" customFormat="1" ht="16.5" customHeight="1">
      <c r="E89" s="370">
        <v>83</v>
      </c>
      <c r="F89" s="348"/>
      <c r="G89" s="670" t="s">
        <v>68</v>
      </c>
      <c r="H89" s="666"/>
      <c r="I89" s="676"/>
      <c r="J89" s="559">
        <v>10</v>
      </c>
      <c r="K89" s="559"/>
      <c r="L89" s="567"/>
      <c r="M89" s="559"/>
      <c r="N89" s="559"/>
      <c r="O89" s="559"/>
      <c r="P89" s="559"/>
      <c r="Q89" s="559"/>
      <c r="R89" s="559"/>
      <c r="S89" s="560"/>
    </row>
    <row r="90" spans="1:19" ht="16.5" customHeight="1">
      <c r="E90" s="370">
        <v>84</v>
      </c>
      <c r="F90" s="420"/>
      <c r="G90" s="451" t="s">
        <v>70</v>
      </c>
      <c r="H90" s="677"/>
      <c r="I90" s="678"/>
      <c r="J90" s="559">
        <v>1</v>
      </c>
      <c r="K90" s="559"/>
      <c r="L90" s="567"/>
      <c r="M90" s="559"/>
      <c r="N90" s="559"/>
      <c r="O90" s="559"/>
      <c r="P90" s="559"/>
      <c r="Q90" s="559"/>
      <c r="R90" s="559"/>
      <c r="S90" s="560"/>
    </row>
    <row r="91" spans="1:19" ht="16.5" customHeight="1">
      <c r="E91" s="370">
        <v>85</v>
      </c>
      <c r="F91" s="415" t="s">
        <v>127</v>
      </c>
      <c r="G91" s="430"/>
      <c r="H91" s="481"/>
      <c r="I91" s="431"/>
      <c r="J91" s="561"/>
      <c r="K91" s="561"/>
      <c r="L91" s="562"/>
      <c r="M91" s="561"/>
      <c r="N91" s="561"/>
      <c r="O91" s="561"/>
      <c r="P91" s="561"/>
      <c r="Q91" s="561"/>
      <c r="R91" s="561"/>
      <c r="S91" s="563"/>
    </row>
    <row r="92" spans="1:19" ht="16.5" customHeight="1" thickBot="1">
      <c r="E92" s="370">
        <v>86</v>
      </c>
      <c r="F92" s="415" t="s">
        <v>304</v>
      </c>
      <c r="G92" s="432"/>
      <c r="H92" s="432"/>
      <c r="I92" s="433"/>
      <c r="J92" s="571"/>
      <c r="K92" s="571"/>
      <c r="L92" s="572"/>
      <c r="M92" s="571"/>
      <c r="N92" s="571"/>
      <c r="O92" s="571"/>
      <c r="P92" s="571"/>
      <c r="Q92" s="571"/>
      <c r="R92" s="571"/>
      <c r="S92" s="573"/>
    </row>
    <row r="93" spans="1:19" ht="16.5" customHeight="1" thickTop="1">
      <c r="E93" s="370">
        <v>87</v>
      </c>
      <c r="F93" s="404" t="s">
        <v>308</v>
      </c>
      <c r="G93" s="482"/>
      <c r="H93" s="482"/>
      <c r="I93" s="482"/>
      <c r="J93" s="482"/>
      <c r="K93" s="425"/>
      <c r="L93" s="425"/>
      <c r="M93" s="482"/>
      <c r="N93" s="425"/>
      <c r="O93" s="425"/>
      <c r="P93" s="425"/>
      <c r="Q93" s="425"/>
      <c r="R93" s="425"/>
      <c r="S93" s="426"/>
    </row>
    <row r="94" spans="1:19" ht="16.5" customHeight="1">
      <c r="E94" s="370">
        <v>88</v>
      </c>
      <c r="F94" s="415" t="s">
        <v>309</v>
      </c>
      <c r="G94" s="380" t="s">
        <v>316</v>
      </c>
      <c r="H94" s="666"/>
      <c r="I94" s="666"/>
      <c r="J94" s="504" t="s">
        <v>317</v>
      </c>
      <c r="K94" s="504" t="s">
        <v>317</v>
      </c>
      <c r="L94" s="504" t="s">
        <v>317</v>
      </c>
      <c r="M94" s="504" t="s">
        <v>317</v>
      </c>
      <c r="N94" s="504" t="s">
        <v>317</v>
      </c>
      <c r="O94" s="504" t="s">
        <v>317</v>
      </c>
      <c r="P94" s="504"/>
      <c r="Q94" s="504"/>
      <c r="R94" s="504"/>
      <c r="S94" s="505"/>
    </row>
    <row r="95" spans="1:19" s="454" customFormat="1" ht="16.5" customHeight="1">
      <c r="A95" s="506"/>
      <c r="E95" s="370">
        <v>89</v>
      </c>
      <c r="F95" s="415"/>
      <c r="G95" s="380" t="s">
        <v>313</v>
      </c>
      <c r="H95" s="669"/>
      <c r="I95" s="666"/>
      <c r="J95" s="504">
        <f>IF(J23="","",IF(J28="2PH",10.85*J178,cri_v(J7)))</f>
        <v>61</v>
      </c>
      <c r="K95" s="504">
        <f>IF(K23="","",IF(K28="2PH",10.85*K178,cri_v(K7)))</f>
        <v>61</v>
      </c>
      <c r="L95" s="504">
        <f>IF(L23="","",IF(L28="2PH",10.85*L178,cri_v(L7)))</f>
        <v>61</v>
      </c>
      <c r="M95" s="504">
        <f>IF(M23="","",IF(M28="2PH",10.85*M178,cri_v(M7)))</f>
        <v>61</v>
      </c>
      <c r="N95" s="504">
        <f>IF(N23="","",IF(N28="2PH",10.85*N178,cri_v(N7)))</f>
        <v>61</v>
      </c>
      <c r="O95" s="504">
        <f>IF(O23="","",IF(O28="2PH",10.85*O178,cri_v(O7)))</f>
        <v>61</v>
      </c>
      <c r="P95" s="504" t="str">
        <f>IF(P23="","",IF(P28="2PH",10.85*P178,cri_v(P7)))</f>
        <v>삭제 후 입력</v>
      </c>
      <c r="Q95" s="504" t="str">
        <f>IF(Q23="","",IF(Q28="2PH",10.85*Q178,cri_v(Q7)))</f>
        <v>삭제 후 입력</v>
      </c>
      <c r="R95" s="504" t="str">
        <f>IF(R23="","",IF(R28="2PH",10.85*R178,cri_v(R7)))</f>
        <v/>
      </c>
      <c r="S95" s="505" t="str">
        <f>IF(S23="","",IF(S28="2PH",10.85*S178,cri_v(S7)))</f>
        <v/>
      </c>
    </row>
    <row r="96" spans="1:19" s="454" customFormat="1" ht="16.5" customHeight="1">
      <c r="E96" s="370">
        <v>90</v>
      </c>
      <c r="F96" s="415"/>
      <c r="G96" s="380"/>
      <c r="H96" s="669"/>
      <c r="I96" s="666"/>
      <c r="J96" s="558" t="str">
        <f t="shared" ref="J96:S96" si="22">IF(J23="","",IF(ISTEXT(J95),"",IF(J32&gt;J95,"WARNING","Acceptable")))</f>
        <v>Acceptable</v>
      </c>
      <c r="K96" s="558" t="str">
        <f t="shared" si="22"/>
        <v>Acceptable</v>
      </c>
      <c r="L96" s="558" t="str">
        <f t="shared" si="22"/>
        <v>Acceptable</v>
      </c>
      <c r="M96" s="558" t="str">
        <f t="shared" si="22"/>
        <v>Acceptable</v>
      </c>
      <c r="N96" s="558" t="str">
        <f t="shared" si="22"/>
        <v>Acceptable</v>
      </c>
      <c r="O96" s="558" t="str">
        <f t="shared" si="22"/>
        <v>Acceptable</v>
      </c>
      <c r="P96" s="558" t="str">
        <f t="shared" si="22"/>
        <v/>
      </c>
      <c r="Q96" s="558" t="str">
        <f t="shared" si="22"/>
        <v/>
      </c>
      <c r="R96" s="558" t="str">
        <f t="shared" si="22"/>
        <v/>
      </c>
      <c r="S96" s="518" t="str">
        <f t="shared" si="22"/>
        <v/>
      </c>
    </row>
    <row r="97" spans="5:19" s="454" customFormat="1" ht="16.5" customHeight="1">
      <c r="E97" s="370">
        <v>91</v>
      </c>
      <c r="F97" s="415"/>
      <c r="G97" s="380" t="s">
        <v>314</v>
      </c>
      <c r="H97" s="669"/>
      <c r="I97" s="666"/>
      <c r="J97" s="380"/>
      <c r="K97" s="380"/>
      <c r="L97" s="380"/>
      <c r="M97" s="380"/>
      <c r="N97" s="380"/>
      <c r="O97" s="380"/>
      <c r="P97" s="380"/>
      <c r="Q97" s="380"/>
      <c r="R97" s="380"/>
      <c r="S97" s="503"/>
    </row>
    <row r="98" spans="5:19" s="454" customFormat="1" ht="16.5" customHeight="1">
      <c r="E98" s="370">
        <v>92</v>
      </c>
      <c r="F98" s="415"/>
      <c r="G98" s="380"/>
      <c r="H98" s="669"/>
      <c r="I98" s="666"/>
      <c r="J98" s="380"/>
      <c r="K98" s="380"/>
      <c r="L98" s="380"/>
      <c r="M98" s="380"/>
      <c r="N98" s="380"/>
      <c r="O98" s="380"/>
      <c r="P98" s="380"/>
      <c r="Q98" s="380"/>
      <c r="R98" s="380"/>
      <c r="S98" s="503"/>
    </row>
    <row r="99" spans="5:19" s="454" customFormat="1" ht="16.5" customHeight="1">
      <c r="E99" s="370">
        <v>93</v>
      </c>
      <c r="F99" s="415"/>
      <c r="G99" s="380"/>
      <c r="H99" s="669"/>
      <c r="I99" s="666"/>
      <c r="J99" s="666"/>
      <c r="K99" s="666"/>
      <c r="L99" s="666"/>
      <c r="M99" s="666"/>
      <c r="N99" s="666"/>
      <c r="O99" s="666"/>
      <c r="P99" s="666"/>
      <c r="Q99" s="666"/>
      <c r="R99" s="666"/>
      <c r="S99" s="453"/>
    </row>
    <row r="100" spans="5:19" ht="16.5" customHeight="1" thickBot="1">
      <c r="E100" s="370">
        <v>94</v>
      </c>
      <c r="F100" s="427"/>
      <c r="G100" s="428"/>
      <c r="H100" s="428"/>
      <c r="I100" s="422"/>
      <c r="J100" s="422"/>
      <c r="K100" s="422"/>
      <c r="L100" s="422"/>
      <c r="M100" s="422"/>
      <c r="N100" s="422"/>
      <c r="O100" s="422"/>
      <c r="P100" s="422"/>
      <c r="Q100" s="422"/>
      <c r="R100" s="422"/>
      <c r="S100" s="429"/>
    </row>
    <row r="101" spans="5:19" ht="16.5" customHeight="1" thickTop="1">
      <c r="F101" s="457"/>
      <c r="G101" s="457"/>
      <c r="H101" s="457"/>
      <c r="I101" s="457"/>
      <c r="J101" s="459"/>
      <c r="K101" s="459"/>
      <c r="L101" s="459"/>
      <c r="M101" s="483"/>
      <c r="N101" s="459"/>
      <c r="O101" s="459"/>
      <c r="P101" s="459"/>
      <c r="Q101" s="459"/>
      <c r="R101" s="459"/>
      <c r="S101" s="459"/>
    </row>
    <row r="102" spans="5:19" ht="16.5" customHeight="1">
      <c r="F102" s="54" t="s">
        <v>71</v>
      </c>
      <c r="G102" s="54"/>
      <c r="H102" s="54"/>
      <c r="I102" s="55"/>
      <c r="J102" s="53"/>
      <c r="K102" s="53"/>
      <c r="L102" s="53"/>
      <c r="M102" s="671"/>
      <c r="N102" s="53"/>
      <c r="O102" s="53"/>
      <c r="P102" s="53"/>
      <c r="Q102" s="53"/>
      <c r="R102" s="53"/>
      <c r="S102" s="53"/>
    </row>
    <row r="103" spans="5:19" ht="16.5" customHeight="1" thickBot="1">
      <c r="F103" s="56" t="s">
        <v>72</v>
      </c>
      <c r="G103" s="56"/>
      <c r="H103" s="56"/>
      <c r="I103" s="57"/>
      <c r="J103" s="601"/>
      <c r="K103" s="601"/>
      <c r="L103" s="53"/>
      <c r="M103" s="664"/>
      <c r="N103" s="53"/>
      <c r="O103" s="53"/>
      <c r="P103" s="53"/>
      <c r="Q103" s="601"/>
      <c r="R103" s="53"/>
      <c r="S103" s="53"/>
    </row>
    <row r="104" spans="5:19" ht="16.5" customHeight="1">
      <c r="F104" s="58" t="s">
        <v>24</v>
      </c>
      <c r="G104" s="59" t="s">
        <v>25</v>
      </c>
      <c r="H104" s="333"/>
      <c r="I104" s="333"/>
      <c r="J104" s="60">
        <f t="shared" ref="J104:S104" si="23">(+$B52/J$35+$C52*(1+1/(J$45/0.0254)))*J52</f>
        <v>0</v>
      </c>
      <c r="K104" s="60">
        <f t="shared" si="23"/>
        <v>0</v>
      </c>
      <c r="L104" s="60">
        <f t="shared" si="23"/>
        <v>0</v>
      </c>
      <c r="M104" s="60">
        <f t="shared" si="23"/>
        <v>0</v>
      </c>
      <c r="N104" s="60">
        <f t="shared" si="23"/>
        <v>0</v>
      </c>
      <c r="O104" s="60">
        <f t="shared" si="23"/>
        <v>0</v>
      </c>
      <c r="P104" s="60">
        <f t="shared" si="23"/>
        <v>0</v>
      </c>
      <c r="Q104" s="60">
        <f t="shared" si="23"/>
        <v>0</v>
      </c>
      <c r="R104" s="60" t="e">
        <f t="shared" si="23"/>
        <v>#DIV/0!</v>
      </c>
      <c r="S104" s="524" t="e">
        <f t="shared" si="23"/>
        <v>#DIV/0!</v>
      </c>
    </row>
    <row r="105" spans="5:19" ht="16.5" customHeight="1">
      <c r="F105" s="62" t="s">
        <v>26</v>
      </c>
      <c r="G105" s="63" t="s">
        <v>27</v>
      </c>
      <c r="H105" s="54"/>
      <c r="I105" s="460"/>
      <c r="J105" s="353">
        <f t="shared" ref="J105:S105" si="24">(+$B53/J$35+$C53*(1+1/(J$45/0.0254)))*J53</f>
        <v>0.29531696129605794</v>
      </c>
      <c r="K105" s="353">
        <f t="shared" si="24"/>
        <v>0</v>
      </c>
      <c r="L105" s="353">
        <f t="shared" si="24"/>
        <v>0</v>
      </c>
      <c r="M105" s="353">
        <f t="shared" si="24"/>
        <v>0</v>
      </c>
      <c r="N105" s="353">
        <f t="shared" si="24"/>
        <v>0</v>
      </c>
      <c r="O105" s="353">
        <f t="shared" si="24"/>
        <v>0</v>
      </c>
      <c r="P105" s="353">
        <f t="shared" si="24"/>
        <v>0</v>
      </c>
      <c r="Q105" s="353">
        <f t="shared" si="24"/>
        <v>0.4074168250768771</v>
      </c>
      <c r="R105" s="353" t="e">
        <f t="shared" si="24"/>
        <v>#DIV/0!</v>
      </c>
      <c r="S105" s="525" t="e">
        <f t="shared" si="24"/>
        <v>#DIV/0!</v>
      </c>
    </row>
    <row r="106" spans="5:19" ht="16.5" customHeight="1">
      <c r="F106" s="62" t="s">
        <v>26</v>
      </c>
      <c r="G106" s="63" t="s">
        <v>28</v>
      </c>
      <c r="H106" s="54"/>
      <c r="I106" s="460"/>
      <c r="J106" s="353">
        <f t="shared" ref="J106:S106" si="25">(+$B54/J$35+$C54*(1+1/(J$45/0.0254)))*J54</f>
        <v>0</v>
      </c>
      <c r="K106" s="353">
        <f t="shared" si="25"/>
        <v>1.0041326837729552</v>
      </c>
      <c r="L106" s="353">
        <f t="shared" si="25"/>
        <v>0</v>
      </c>
      <c r="M106" s="353">
        <f t="shared" si="25"/>
        <v>0</v>
      </c>
      <c r="N106" s="353">
        <f t="shared" si="25"/>
        <v>0</v>
      </c>
      <c r="O106" s="353">
        <f t="shared" si="25"/>
        <v>0</v>
      </c>
      <c r="P106" s="353">
        <f t="shared" si="25"/>
        <v>0</v>
      </c>
      <c r="Q106" s="353">
        <f t="shared" si="25"/>
        <v>0</v>
      </c>
      <c r="R106" s="353" t="e">
        <f t="shared" si="25"/>
        <v>#DIV/0!</v>
      </c>
      <c r="S106" s="525" t="e">
        <f t="shared" si="25"/>
        <v>#DIV/0!</v>
      </c>
    </row>
    <row r="107" spans="5:19" ht="16.5" customHeight="1">
      <c r="F107" s="62" t="s">
        <v>29</v>
      </c>
      <c r="G107" s="63" t="s">
        <v>30</v>
      </c>
      <c r="H107" s="54"/>
      <c r="I107" s="460"/>
      <c r="J107" s="353">
        <f t="shared" ref="J107:S107" si="26">(+$B55/J$35+$C55*(1+1/(J$45/0.0254)))*J55</f>
        <v>0</v>
      </c>
      <c r="K107" s="353">
        <f t="shared" si="26"/>
        <v>0</v>
      </c>
      <c r="L107" s="353">
        <f t="shared" si="26"/>
        <v>0</v>
      </c>
      <c r="M107" s="353">
        <f t="shared" si="26"/>
        <v>0</v>
      </c>
      <c r="N107" s="353">
        <f t="shared" si="26"/>
        <v>0</v>
      </c>
      <c r="O107" s="353">
        <f t="shared" si="26"/>
        <v>0</v>
      </c>
      <c r="P107" s="353">
        <f t="shared" si="26"/>
        <v>0</v>
      </c>
      <c r="Q107" s="353">
        <f t="shared" si="26"/>
        <v>0</v>
      </c>
      <c r="R107" s="353" t="e">
        <f t="shared" si="26"/>
        <v>#DIV/0!</v>
      </c>
      <c r="S107" s="525" t="e">
        <f t="shared" si="26"/>
        <v>#DIV/0!</v>
      </c>
    </row>
    <row r="108" spans="5:19" ht="16.5" customHeight="1">
      <c r="F108" s="64" t="s">
        <v>31</v>
      </c>
      <c r="G108" s="65" t="s">
        <v>32</v>
      </c>
      <c r="H108" s="334"/>
      <c r="I108" s="437"/>
      <c r="J108" s="354">
        <f t="shared" ref="J108:S108" si="27">(+$B56/J$35+$C56*(1+1/(J$45/0.0254)))*J56</f>
        <v>0</v>
      </c>
      <c r="K108" s="354">
        <f t="shared" si="27"/>
        <v>0</v>
      </c>
      <c r="L108" s="354">
        <f t="shared" si="27"/>
        <v>0</v>
      </c>
      <c r="M108" s="354">
        <f t="shared" si="27"/>
        <v>0</v>
      </c>
      <c r="N108" s="354">
        <f t="shared" si="27"/>
        <v>0</v>
      </c>
      <c r="O108" s="354">
        <f t="shared" si="27"/>
        <v>0</v>
      </c>
      <c r="P108" s="354">
        <f t="shared" si="27"/>
        <v>0</v>
      </c>
      <c r="Q108" s="354">
        <f t="shared" si="27"/>
        <v>0</v>
      </c>
      <c r="R108" s="354" t="e">
        <f t="shared" si="27"/>
        <v>#DIV/0!</v>
      </c>
      <c r="S108" s="526" t="e">
        <f t="shared" si="27"/>
        <v>#DIV/0!</v>
      </c>
    </row>
    <row r="109" spans="5:19" ht="16.5" customHeight="1">
      <c r="F109" s="62" t="s">
        <v>33</v>
      </c>
      <c r="G109" s="63" t="s">
        <v>27</v>
      </c>
      <c r="H109" s="54"/>
      <c r="I109" s="477"/>
      <c r="J109" s="353">
        <f t="shared" ref="J109:S109" si="28">(+$B57/J$35+$C57*(1+1/(J$45/0.0254)))*J57</f>
        <v>0</v>
      </c>
      <c r="K109" s="353">
        <f t="shared" si="28"/>
        <v>0</v>
      </c>
      <c r="L109" s="353">
        <f t="shared" si="28"/>
        <v>0</v>
      </c>
      <c r="M109" s="353">
        <f t="shared" si="28"/>
        <v>0</v>
      </c>
      <c r="N109" s="353">
        <f t="shared" si="28"/>
        <v>0</v>
      </c>
      <c r="O109" s="353">
        <f t="shared" si="28"/>
        <v>0</v>
      </c>
      <c r="P109" s="353">
        <f t="shared" si="28"/>
        <v>0</v>
      </c>
      <c r="Q109" s="353">
        <f t="shared" si="28"/>
        <v>0.81324205115534065</v>
      </c>
      <c r="R109" s="353" t="e">
        <f t="shared" si="28"/>
        <v>#DIV/0!</v>
      </c>
      <c r="S109" s="525" t="e">
        <f t="shared" si="28"/>
        <v>#DIV/0!</v>
      </c>
    </row>
    <row r="110" spans="5:19" ht="16.5" customHeight="1">
      <c r="F110" s="62" t="s">
        <v>26</v>
      </c>
      <c r="G110" s="63" t="s">
        <v>28</v>
      </c>
      <c r="H110" s="54"/>
      <c r="I110" s="477"/>
      <c r="J110" s="353">
        <f t="shared" ref="J110:S110" si="29">(+$B58/J$35+$C58*(1+1/(J$45/0.0254)))*J58</f>
        <v>0</v>
      </c>
      <c r="K110" s="353">
        <f t="shared" si="29"/>
        <v>0.75411642115644917</v>
      </c>
      <c r="L110" s="353">
        <f t="shared" si="29"/>
        <v>0</v>
      </c>
      <c r="M110" s="353">
        <f t="shared" si="29"/>
        <v>0</v>
      </c>
      <c r="N110" s="353">
        <f t="shared" si="29"/>
        <v>0</v>
      </c>
      <c r="O110" s="353">
        <f t="shared" si="29"/>
        <v>0</v>
      </c>
      <c r="P110" s="353">
        <f t="shared" si="29"/>
        <v>0</v>
      </c>
      <c r="Q110" s="353">
        <f t="shared" si="29"/>
        <v>0</v>
      </c>
      <c r="R110" s="353" t="e">
        <f t="shared" si="29"/>
        <v>#DIV/0!</v>
      </c>
      <c r="S110" s="525" t="e">
        <f t="shared" si="29"/>
        <v>#DIV/0!</v>
      </c>
    </row>
    <row r="111" spans="5:19" ht="16.5" customHeight="1">
      <c r="F111" s="66" t="s">
        <v>33</v>
      </c>
      <c r="G111" s="67" t="s">
        <v>30</v>
      </c>
      <c r="H111" s="335"/>
      <c r="I111" s="478"/>
      <c r="J111" s="355">
        <f t="shared" ref="J111:S111" si="30">(+$B59/J$35+$C59*(1+1/(J$45/0.0254)))*J59</f>
        <v>0</v>
      </c>
      <c r="K111" s="355">
        <f t="shared" si="30"/>
        <v>0</v>
      </c>
      <c r="L111" s="355">
        <f t="shared" si="30"/>
        <v>0</v>
      </c>
      <c r="M111" s="355">
        <f t="shared" si="30"/>
        <v>0</v>
      </c>
      <c r="N111" s="355">
        <f t="shared" si="30"/>
        <v>0</v>
      </c>
      <c r="O111" s="355">
        <f t="shared" si="30"/>
        <v>0</v>
      </c>
      <c r="P111" s="355">
        <f t="shared" si="30"/>
        <v>0</v>
      </c>
      <c r="Q111" s="355">
        <f t="shared" si="30"/>
        <v>0</v>
      </c>
      <c r="R111" s="355" t="e">
        <f t="shared" si="30"/>
        <v>#DIV/0!</v>
      </c>
      <c r="S111" s="527" t="e">
        <f t="shared" si="30"/>
        <v>#DIV/0!</v>
      </c>
    </row>
    <row r="112" spans="5:19" ht="16.5" customHeight="1">
      <c r="F112" s="62" t="s">
        <v>34</v>
      </c>
      <c r="G112" s="63" t="s">
        <v>32</v>
      </c>
      <c r="H112" s="54"/>
      <c r="J112" s="353">
        <f t="shared" ref="J112:S112" si="31">(+$B60/J$35+$C60*(1+1/(J$45/0.0254)))*J60</f>
        <v>0</v>
      </c>
      <c r="K112" s="353">
        <f t="shared" si="31"/>
        <v>0</v>
      </c>
      <c r="L112" s="353">
        <f t="shared" si="31"/>
        <v>0</v>
      </c>
      <c r="M112" s="353">
        <f t="shared" si="31"/>
        <v>0</v>
      </c>
      <c r="N112" s="353">
        <f t="shared" si="31"/>
        <v>0</v>
      </c>
      <c r="O112" s="353">
        <f t="shared" si="31"/>
        <v>0</v>
      </c>
      <c r="P112" s="353">
        <f t="shared" si="31"/>
        <v>0</v>
      </c>
      <c r="Q112" s="353">
        <f t="shared" si="31"/>
        <v>0</v>
      </c>
      <c r="R112" s="353" t="e">
        <f t="shared" si="31"/>
        <v>#DIV/0!</v>
      </c>
      <c r="S112" s="525" t="e">
        <f t="shared" si="31"/>
        <v>#DIV/0!</v>
      </c>
    </row>
    <row r="113" spans="6:19" ht="16.5" customHeight="1">
      <c r="F113" s="62" t="s">
        <v>33</v>
      </c>
      <c r="G113" s="63" t="s">
        <v>27</v>
      </c>
      <c r="H113" s="54"/>
      <c r="J113" s="353">
        <f t="shared" ref="J113:S113" si="32">(+$B61/J$35+$C61*(1+1/(J$45/0.0254)))*J61</f>
        <v>0</v>
      </c>
      <c r="K113" s="353">
        <f t="shared" si="32"/>
        <v>0</v>
      </c>
      <c r="L113" s="353">
        <f t="shared" si="32"/>
        <v>0</v>
      </c>
      <c r="M113" s="353">
        <f t="shared" si="32"/>
        <v>0</v>
      </c>
      <c r="N113" s="353">
        <f t="shared" si="32"/>
        <v>0</v>
      </c>
      <c r="O113" s="353">
        <f t="shared" si="32"/>
        <v>0</v>
      </c>
      <c r="P113" s="353">
        <f t="shared" si="32"/>
        <v>0</v>
      </c>
      <c r="Q113" s="353">
        <f t="shared" si="32"/>
        <v>0</v>
      </c>
      <c r="R113" s="353" t="e">
        <f t="shared" si="32"/>
        <v>#DIV/0!</v>
      </c>
      <c r="S113" s="525" t="e">
        <f t="shared" si="32"/>
        <v>#DIV/0!</v>
      </c>
    </row>
    <row r="114" spans="6:19" ht="16.5" customHeight="1">
      <c r="F114" s="62" t="s">
        <v>33</v>
      </c>
      <c r="G114" s="63" t="s">
        <v>28</v>
      </c>
      <c r="H114" s="54"/>
      <c r="J114" s="353">
        <f t="shared" ref="J114:S114" si="33">(+$B62/J$35+$C62*(1+1/(J$45/0.0254)))*J62</f>
        <v>0</v>
      </c>
      <c r="K114" s="353">
        <f t="shared" si="33"/>
        <v>0</v>
      </c>
      <c r="L114" s="353">
        <f t="shared" si="33"/>
        <v>0</v>
      </c>
      <c r="M114" s="353">
        <f t="shared" si="33"/>
        <v>0</v>
      </c>
      <c r="N114" s="353">
        <f t="shared" si="33"/>
        <v>0</v>
      </c>
      <c r="O114" s="353">
        <f t="shared" si="33"/>
        <v>0</v>
      </c>
      <c r="P114" s="353">
        <f t="shared" si="33"/>
        <v>0</v>
      </c>
      <c r="Q114" s="353">
        <f t="shared" si="33"/>
        <v>0</v>
      </c>
      <c r="R114" s="353" t="e">
        <f t="shared" si="33"/>
        <v>#DIV/0!</v>
      </c>
      <c r="S114" s="525" t="e">
        <f t="shared" si="33"/>
        <v>#DIV/0!</v>
      </c>
    </row>
    <row r="115" spans="6:19" ht="16.5" customHeight="1" thickBot="1">
      <c r="F115" s="68" t="s">
        <v>26</v>
      </c>
      <c r="G115" s="69" t="s">
        <v>30</v>
      </c>
      <c r="H115" s="336"/>
      <c r="I115" s="438"/>
      <c r="J115" s="356">
        <f t="shared" ref="J115:S115" si="34">(+$B63/J$35+$C63*(1+1/(J$45/0.0254)))*J63</f>
        <v>0</v>
      </c>
      <c r="K115" s="356">
        <f t="shared" si="34"/>
        <v>0</v>
      </c>
      <c r="L115" s="356">
        <f t="shared" si="34"/>
        <v>0</v>
      </c>
      <c r="M115" s="356">
        <f t="shared" si="34"/>
        <v>0</v>
      </c>
      <c r="N115" s="356">
        <f t="shared" si="34"/>
        <v>0</v>
      </c>
      <c r="O115" s="356">
        <f t="shared" si="34"/>
        <v>0</v>
      </c>
      <c r="P115" s="356">
        <f t="shared" si="34"/>
        <v>0</v>
      </c>
      <c r="Q115" s="356">
        <f t="shared" si="34"/>
        <v>0</v>
      </c>
      <c r="R115" s="356" t="e">
        <f t="shared" si="34"/>
        <v>#DIV/0!</v>
      </c>
      <c r="S115" s="528" t="e">
        <f t="shared" si="34"/>
        <v>#DIV/0!</v>
      </c>
    </row>
    <row r="116" spans="6:19" ht="16.5" customHeight="1" thickBot="1">
      <c r="F116" s="56" t="s">
        <v>73</v>
      </c>
      <c r="G116" s="54"/>
      <c r="H116" s="337"/>
      <c r="J116" s="70"/>
      <c r="K116" s="70"/>
      <c r="L116" s="70"/>
      <c r="M116" s="367"/>
      <c r="N116" s="70"/>
      <c r="O116" s="70"/>
      <c r="P116" s="70"/>
      <c r="Q116" s="70"/>
      <c r="R116" s="70"/>
      <c r="S116" s="70"/>
    </row>
    <row r="117" spans="6:19" ht="16.5" customHeight="1">
      <c r="F117" s="58" t="s">
        <v>35</v>
      </c>
      <c r="G117" s="71" t="s">
        <v>36</v>
      </c>
      <c r="H117" s="333"/>
      <c r="I117" s="333"/>
      <c r="J117" s="61">
        <f t="shared" ref="J117:S117" si="35">(+$B64/J$35+$C64*(1+1/(J$45/0.0254)))*J64</f>
        <v>0.81797743381879962</v>
      </c>
      <c r="K117" s="461">
        <f t="shared" si="35"/>
        <v>0.87556537332113726</v>
      </c>
      <c r="L117" s="461">
        <f t="shared" si="35"/>
        <v>0</v>
      </c>
      <c r="M117" s="461">
        <f t="shared" si="35"/>
        <v>0</v>
      </c>
      <c r="N117" s="461">
        <f t="shared" si="35"/>
        <v>0</v>
      </c>
      <c r="O117" s="461">
        <f t="shared" si="35"/>
        <v>0</v>
      </c>
      <c r="P117" s="461">
        <f t="shared" si="35"/>
        <v>0</v>
      </c>
      <c r="Q117" s="461">
        <f t="shared" si="35"/>
        <v>0</v>
      </c>
      <c r="R117" s="461" t="e">
        <f t="shared" si="35"/>
        <v>#DIV/0!</v>
      </c>
      <c r="S117" s="524" t="e">
        <f t="shared" si="35"/>
        <v>#DIV/0!</v>
      </c>
    </row>
    <row r="118" spans="6:19" ht="16.5" customHeight="1">
      <c r="F118" s="62" t="s">
        <v>37</v>
      </c>
      <c r="G118" s="63" t="s">
        <v>38</v>
      </c>
      <c r="H118" s="54"/>
      <c r="J118" s="462">
        <f t="shared" ref="J118:S118" si="36">(+$B65/J$35+$C65*(1+1/(J$45/0.0254)))*J65</f>
        <v>0</v>
      </c>
      <c r="K118" s="462">
        <f t="shared" si="36"/>
        <v>0</v>
      </c>
      <c r="L118" s="462">
        <f t="shared" si="36"/>
        <v>0</v>
      </c>
      <c r="M118" s="462">
        <f t="shared" si="36"/>
        <v>0</v>
      </c>
      <c r="N118" s="462">
        <f t="shared" si="36"/>
        <v>0</v>
      </c>
      <c r="O118" s="462">
        <f t="shared" si="36"/>
        <v>0</v>
      </c>
      <c r="P118" s="462">
        <f t="shared" si="36"/>
        <v>0</v>
      </c>
      <c r="Q118" s="462">
        <f t="shared" si="36"/>
        <v>0</v>
      </c>
      <c r="R118" s="462" t="e">
        <f t="shared" si="36"/>
        <v>#DIV/0!</v>
      </c>
      <c r="S118" s="525" t="e">
        <f t="shared" si="36"/>
        <v>#DIV/0!</v>
      </c>
    </row>
    <row r="119" spans="6:19" ht="16.5" customHeight="1">
      <c r="F119" s="62" t="s">
        <v>37</v>
      </c>
      <c r="G119" s="63" t="s">
        <v>39</v>
      </c>
      <c r="H119" s="54"/>
      <c r="J119" s="462">
        <f t="shared" ref="J119:S119" si="37">(+$B66/J$35+$C66*(1+1/(J$45/0.0254)))*J66</f>
        <v>0</v>
      </c>
      <c r="K119" s="462">
        <f t="shared" si="37"/>
        <v>0</v>
      </c>
      <c r="L119" s="462">
        <f t="shared" si="37"/>
        <v>0</v>
      </c>
      <c r="M119" s="462">
        <f t="shared" si="37"/>
        <v>0</v>
      </c>
      <c r="N119" s="462">
        <f t="shared" si="37"/>
        <v>0</v>
      </c>
      <c r="O119" s="462">
        <f t="shared" si="37"/>
        <v>0</v>
      </c>
      <c r="P119" s="462">
        <f t="shared" si="37"/>
        <v>0</v>
      </c>
      <c r="Q119" s="462">
        <f t="shared" si="37"/>
        <v>0</v>
      </c>
      <c r="R119" s="462" t="e">
        <f t="shared" si="37"/>
        <v>#DIV/0!</v>
      </c>
      <c r="S119" s="525" t="e">
        <f t="shared" si="37"/>
        <v>#DIV/0!</v>
      </c>
    </row>
    <row r="120" spans="6:19" ht="16.5" customHeight="1">
      <c r="F120" s="62" t="s">
        <v>37</v>
      </c>
      <c r="G120" s="63" t="s">
        <v>40</v>
      </c>
      <c r="H120" s="54"/>
      <c r="J120" s="464">
        <f t="shared" ref="J120:S120" si="38">(+$B67/J$35+$C67*(1+1/(J$45/0.0254)))*J67</f>
        <v>0</v>
      </c>
      <c r="K120" s="464">
        <f t="shared" si="38"/>
        <v>0</v>
      </c>
      <c r="L120" s="464">
        <f t="shared" si="38"/>
        <v>0</v>
      </c>
      <c r="M120" s="464">
        <f t="shared" si="38"/>
        <v>0</v>
      </c>
      <c r="N120" s="464">
        <f t="shared" si="38"/>
        <v>0</v>
      </c>
      <c r="O120" s="464">
        <f t="shared" si="38"/>
        <v>0</v>
      </c>
      <c r="P120" s="464">
        <f t="shared" si="38"/>
        <v>0</v>
      </c>
      <c r="Q120" s="464">
        <f t="shared" si="38"/>
        <v>0</v>
      </c>
      <c r="R120" s="464" t="e">
        <f t="shared" si="38"/>
        <v>#DIV/0!</v>
      </c>
      <c r="S120" s="527" t="e">
        <f t="shared" si="38"/>
        <v>#DIV/0!</v>
      </c>
    </row>
    <row r="121" spans="6:19" ht="16.5" customHeight="1">
      <c r="F121" s="64" t="s">
        <v>41</v>
      </c>
      <c r="G121" s="65" t="s">
        <v>42</v>
      </c>
      <c r="H121" s="334"/>
      <c r="I121" s="476"/>
      <c r="J121" s="462">
        <f t="shared" ref="J121:S121" si="39">(+$B68/J$35+$C68*(1+1/(J$45/0.0254)))*J68</f>
        <v>0</v>
      </c>
      <c r="K121" s="462">
        <f t="shared" si="39"/>
        <v>0</v>
      </c>
      <c r="L121" s="462">
        <f t="shared" si="39"/>
        <v>0</v>
      </c>
      <c r="M121" s="462">
        <f t="shared" si="39"/>
        <v>0</v>
      </c>
      <c r="N121" s="462">
        <f t="shared" si="39"/>
        <v>0</v>
      </c>
      <c r="O121" s="462">
        <f t="shared" si="39"/>
        <v>0</v>
      </c>
      <c r="P121" s="462">
        <f t="shared" si="39"/>
        <v>0</v>
      </c>
      <c r="Q121" s="462">
        <f t="shared" si="39"/>
        <v>0</v>
      </c>
      <c r="R121" s="462" t="e">
        <f t="shared" si="39"/>
        <v>#DIV/0!</v>
      </c>
      <c r="S121" s="525" t="e">
        <f t="shared" si="39"/>
        <v>#DIV/0!</v>
      </c>
    </row>
    <row r="122" spans="6:19" ht="16.5" customHeight="1">
      <c r="F122" s="62"/>
      <c r="G122" s="63" t="s">
        <v>43</v>
      </c>
      <c r="H122" s="54"/>
      <c r="J122" s="462">
        <f t="shared" ref="J122:S122" si="40">(+$B69/J$35+$C69*(1+1/(J$45/0.0254)))*J69</f>
        <v>0</v>
      </c>
      <c r="K122" s="462">
        <f t="shared" si="40"/>
        <v>0</v>
      </c>
      <c r="L122" s="462">
        <f t="shared" si="40"/>
        <v>0</v>
      </c>
      <c r="M122" s="462">
        <f t="shared" si="40"/>
        <v>0</v>
      </c>
      <c r="N122" s="462">
        <f t="shared" si="40"/>
        <v>0</v>
      </c>
      <c r="O122" s="462">
        <f t="shared" si="40"/>
        <v>0</v>
      </c>
      <c r="P122" s="462">
        <f t="shared" si="40"/>
        <v>0</v>
      </c>
      <c r="Q122" s="462">
        <f t="shared" si="40"/>
        <v>0</v>
      </c>
      <c r="R122" s="462" t="e">
        <f t="shared" si="40"/>
        <v>#DIV/0!</v>
      </c>
      <c r="S122" s="525" t="e">
        <f t="shared" si="40"/>
        <v>#DIV/0!</v>
      </c>
    </row>
    <row r="123" spans="6:19" ht="16.5" customHeight="1" thickBot="1">
      <c r="F123" s="68" t="s">
        <v>37</v>
      </c>
      <c r="G123" s="69" t="s">
        <v>40</v>
      </c>
      <c r="H123" s="336"/>
      <c r="I123" s="336"/>
      <c r="J123" s="465">
        <f t="shared" ref="J123:S123" si="41">(+$B70/J$35+$C70*(1+1/(J$45/0.0254)))*J70</f>
        <v>0</v>
      </c>
      <c r="K123" s="465">
        <f t="shared" si="41"/>
        <v>0</v>
      </c>
      <c r="L123" s="465">
        <f t="shared" si="41"/>
        <v>0</v>
      </c>
      <c r="M123" s="465">
        <f t="shared" si="41"/>
        <v>0</v>
      </c>
      <c r="N123" s="465">
        <f t="shared" si="41"/>
        <v>0</v>
      </c>
      <c r="O123" s="465">
        <f t="shared" si="41"/>
        <v>0</v>
      </c>
      <c r="P123" s="465">
        <f t="shared" si="41"/>
        <v>0</v>
      </c>
      <c r="Q123" s="465">
        <f t="shared" si="41"/>
        <v>0</v>
      </c>
      <c r="R123" s="465" t="e">
        <f t="shared" si="41"/>
        <v>#DIV/0!</v>
      </c>
      <c r="S123" s="528" t="e">
        <f t="shared" si="41"/>
        <v>#DIV/0!</v>
      </c>
    </row>
    <row r="124" spans="6:19" ht="16.5" customHeight="1" thickBot="1">
      <c r="F124" s="56" t="s">
        <v>44</v>
      </c>
      <c r="G124" s="56"/>
      <c r="H124" s="56"/>
      <c r="I124" s="56"/>
      <c r="J124" s="72"/>
      <c r="K124" s="72"/>
      <c r="L124" s="72"/>
      <c r="M124" s="368"/>
      <c r="N124" s="72"/>
      <c r="O124" s="72"/>
      <c r="P124" s="72"/>
      <c r="Q124" s="72"/>
      <c r="R124" s="72"/>
      <c r="S124" s="72"/>
    </row>
    <row r="125" spans="6:19" ht="16.5" customHeight="1">
      <c r="F125" s="82" t="s">
        <v>45</v>
      </c>
      <c r="G125" s="74" t="s">
        <v>46</v>
      </c>
      <c r="H125" s="341"/>
      <c r="I125" s="466"/>
      <c r="J125" s="461">
        <f t="shared" ref="J125:S125" si="42">(+$B71/J$35+$C71*(1+1/(J$45/0.0254)))*J71</f>
        <v>0</v>
      </c>
      <c r="K125" s="461">
        <f t="shared" si="42"/>
        <v>0</v>
      </c>
      <c r="L125" s="461">
        <f t="shared" si="42"/>
        <v>0</v>
      </c>
      <c r="M125" s="461">
        <f t="shared" si="42"/>
        <v>0</v>
      </c>
      <c r="N125" s="461">
        <f t="shared" si="42"/>
        <v>0</v>
      </c>
      <c r="O125" s="461">
        <f t="shared" si="42"/>
        <v>0</v>
      </c>
      <c r="P125" s="461">
        <f t="shared" si="42"/>
        <v>0</v>
      </c>
      <c r="Q125" s="461">
        <f t="shared" si="42"/>
        <v>0</v>
      </c>
      <c r="R125" s="461" t="e">
        <f t="shared" si="42"/>
        <v>#DIV/0!</v>
      </c>
      <c r="S125" s="524" t="e">
        <f t="shared" si="42"/>
        <v>#DIV/0!</v>
      </c>
    </row>
    <row r="126" spans="6:19" ht="16.5" customHeight="1">
      <c r="F126" s="73" t="s">
        <v>47</v>
      </c>
      <c r="G126" s="575" t="s">
        <v>48</v>
      </c>
      <c r="H126" s="338"/>
      <c r="I126" s="455"/>
      <c r="J126" s="462">
        <f t="shared" ref="J126:S126" si="43">(+$B72/J$35+$C72*(1+1/(J$45/0.0254)))*J72</f>
        <v>0</v>
      </c>
      <c r="K126" s="462">
        <f t="shared" si="43"/>
        <v>0</v>
      </c>
      <c r="L126" s="462">
        <f t="shared" si="43"/>
        <v>0</v>
      </c>
      <c r="M126" s="462">
        <f t="shared" si="43"/>
        <v>0</v>
      </c>
      <c r="N126" s="462">
        <f t="shared" si="43"/>
        <v>0</v>
      </c>
      <c r="O126" s="462">
        <f t="shared" si="43"/>
        <v>0</v>
      </c>
      <c r="P126" s="462">
        <f t="shared" si="43"/>
        <v>0</v>
      </c>
      <c r="Q126" s="462">
        <f t="shared" si="43"/>
        <v>0</v>
      </c>
      <c r="R126" s="462" t="e">
        <f t="shared" si="43"/>
        <v>#DIV/0!</v>
      </c>
      <c r="S126" s="525" t="e">
        <f t="shared" si="43"/>
        <v>#DIV/0!</v>
      </c>
    </row>
    <row r="127" spans="6:19" ht="16.5" customHeight="1">
      <c r="F127" s="76" t="s">
        <v>49</v>
      </c>
      <c r="G127" s="77" t="s">
        <v>50</v>
      </c>
      <c r="H127" s="578"/>
      <c r="I127" s="455"/>
      <c r="J127" s="462">
        <f t="shared" ref="J127:S127" si="44">(+$B73/J$35+$C73*(1+1/(J$45/0.0254)))*J73</f>
        <v>0</v>
      </c>
      <c r="K127" s="462">
        <f t="shared" si="44"/>
        <v>0</v>
      </c>
      <c r="L127" s="462">
        <f t="shared" si="44"/>
        <v>0</v>
      </c>
      <c r="M127" s="462">
        <f t="shared" si="44"/>
        <v>0</v>
      </c>
      <c r="N127" s="462">
        <f t="shared" si="44"/>
        <v>0</v>
      </c>
      <c r="O127" s="462">
        <f t="shared" si="44"/>
        <v>0</v>
      </c>
      <c r="P127" s="462">
        <f t="shared" si="44"/>
        <v>0</v>
      </c>
      <c r="Q127" s="462">
        <f t="shared" si="44"/>
        <v>0</v>
      </c>
      <c r="R127" s="462" t="e">
        <f t="shared" si="44"/>
        <v>#DIV/0!</v>
      </c>
      <c r="S127" s="525" t="e">
        <f t="shared" si="44"/>
        <v>#DIV/0!</v>
      </c>
    </row>
    <row r="128" spans="6:19" ht="16.5" customHeight="1">
      <c r="F128" s="78" t="s">
        <v>56</v>
      </c>
      <c r="G128" s="576" t="s">
        <v>57</v>
      </c>
      <c r="H128" s="547"/>
      <c r="I128" s="476"/>
      <c r="J128" s="463">
        <f t="shared" ref="J128:S128" si="45">(+$B74/J$35+$C74*(1+1/(J$45/0.0254)))*J74</f>
        <v>0</v>
      </c>
      <c r="K128" s="463">
        <f t="shared" si="45"/>
        <v>0</v>
      </c>
      <c r="L128" s="463">
        <f t="shared" si="45"/>
        <v>0</v>
      </c>
      <c r="M128" s="463">
        <f t="shared" si="45"/>
        <v>0</v>
      </c>
      <c r="N128" s="463">
        <f t="shared" si="45"/>
        <v>0</v>
      </c>
      <c r="O128" s="463">
        <f t="shared" si="45"/>
        <v>0</v>
      </c>
      <c r="P128" s="463">
        <f t="shared" si="45"/>
        <v>0</v>
      </c>
      <c r="Q128" s="463">
        <f t="shared" si="45"/>
        <v>0</v>
      </c>
      <c r="R128" s="463" t="e">
        <f t="shared" si="45"/>
        <v>#DIV/0!</v>
      </c>
      <c r="S128" s="526" t="e">
        <f t="shared" si="45"/>
        <v>#DIV/0!</v>
      </c>
    </row>
    <row r="129" spans="5:19" ht="16.5" customHeight="1">
      <c r="F129" s="73"/>
      <c r="G129" s="575" t="s">
        <v>58</v>
      </c>
      <c r="H129" s="338"/>
      <c r="I129" s="455"/>
      <c r="J129" s="462">
        <f t="shared" ref="J129:S129" si="46">(+$B75/J$35+$C75*(1+1/(J$45/0.0254)))*J75</f>
        <v>0</v>
      </c>
      <c r="K129" s="462">
        <f t="shared" si="46"/>
        <v>0</v>
      </c>
      <c r="L129" s="462">
        <f t="shared" si="46"/>
        <v>0</v>
      </c>
      <c r="M129" s="462">
        <f t="shared" si="46"/>
        <v>0</v>
      </c>
      <c r="N129" s="462">
        <f t="shared" si="46"/>
        <v>0</v>
      </c>
      <c r="O129" s="462">
        <f t="shared" si="46"/>
        <v>0</v>
      </c>
      <c r="P129" s="462">
        <f t="shared" si="46"/>
        <v>0</v>
      </c>
      <c r="Q129" s="462">
        <f t="shared" si="46"/>
        <v>0</v>
      </c>
      <c r="R129" s="462" t="e">
        <f t="shared" si="46"/>
        <v>#DIV/0!</v>
      </c>
      <c r="S129" s="525" t="e">
        <f t="shared" si="46"/>
        <v>#DIV/0!</v>
      </c>
    </row>
    <row r="130" spans="5:19" ht="16.5" customHeight="1">
      <c r="F130" s="73" t="s">
        <v>37</v>
      </c>
      <c r="G130" s="575" t="s">
        <v>59</v>
      </c>
      <c r="H130" s="338"/>
      <c r="I130" s="338"/>
      <c r="J130" s="462">
        <f t="shared" ref="J130:S130" si="47">(+$B76/J$35+$C76*(1+1/(J$45/0.0254)))*J76</f>
        <v>0</v>
      </c>
      <c r="K130" s="462">
        <f t="shared" si="47"/>
        <v>0</v>
      </c>
      <c r="L130" s="462">
        <f t="shared" si="47"/>
        <v>0</v>
      </c>
      <c r="M130" s="462">
        <f t="shared" si="47"/>
        <v>0</v>
      </c>
      <c r="N130" s="462">
        <f t="shared" si="47"/>
        <v>0</v>
      </c>
      <c r="O130" s="462">
        <f t="shared" si="47"/>
        <v>0</v>
      </c>
      <c r="P130" s="462">
        <f t="shared" si="47"/>
        <v>0</v>
      </c>
      <c r="Q130" s="462">
        <f t="shared" si="47"/>
        <v>0</v>
      </c>
      <c r="R130" s="462" t="e">
        <f t="shared" si="47"/>
        <v>#DIV/0!</v>
      </c>
      <c r="S130" s="525" t="e">
        <f t="shared" si="47"/>
        <v>#DIV/0!</v>
      </c>
    </row>
    <row r="131" spans="5:19" s="454" customFormat="1" ht="16.5" customHeight="1">
      <c r="E131" s="456"/>
      <c r="F131" s="78" t="s">
        <v>51</v>
      </c>
      <c r="G131" s="576" t="s">
        <v>52</v>
      </c>
      <c r="H131" s="547"/>
      <c r="I131" s="577"/>
      <c r="J131" s="463">
        <f t="shared" ref="J131:S131" si="48">(+$B77/J$35+$C77*(1+1/(J$45/0.0254)))*J77</f>
        <v>0</v>
      </c>
      <c r="K131" s="463">
        <f t="shared" si="48"/>
        <v>0</v>
      </c>
      <c r="L131" s="463">
        <f t="shared" si="48"/>
        <v>0</v>
      </c>
      <c r="M131" s="463">
        <f t="shared" si="48"/>
        <v>0</v>
      </c>
      <c r="N131" s="463">
        <f t="shared" si="48"/>
        <v>0</v>
      </c>
      <c r="O131" s="463">
        <f t="shared" si="48"/>
        <v>0</v>
      </c>
      <c r="P131" s="463">
        <f t="shared" si="48"/>
        <v>0</v>
      </c>
      <c r="Q131" s="463">
        <f t="shared" si="48"/>
        <v>0</v>
      </c>
      <c r="R131" s="463" t="e">
        <f t="shared" si="48"/>
        <v>#DIV/0!</v>
      </c>
      <c r="S131" s="526" t="e">
        <f t="shared" si="48"/>
        <v>#DIV/0!</v>
      </c>
    </row>
    <row r="132" spans="5:19" s="454" customFormat="1" ht="16.5" customHeight="1">
      <c r="E132" s="456"/>
      <c r="F132" s="73" t="s">
        <v>33</v>
      </c>
      <c r="G132" s="575" t="s">
        <v>53</v>
      </c>
      <c r="H132" s="338"/>
      <c r="I132" s="338"/>
      <c r="J132" s="462">
        <f t="shared" ref="J132:S132" si="49">(+$B78/J$35+$C78*(1+1/(J$45/0.0254)))*J78</f>
        <v>0</v>
      </c>
      <c r="K132" s="462">
        <f t="shared" si="49"/>
        <v>0</v>
      </c>
      <c r="L132" s="462">
        <f t="shared" si="49"/>
        <v>0</v>
      </c>
      <c r="M132" s="462">
        <f t="shared" si="49"/>
        <v>0</v>
      </c>
      <c r="N132" s="462">
        <f t="shared" si="49"/>
        <v>0</v>
      </c>
      <c r="O132" s="462">
        <f t="shared" si="49"/>
        <v>0</v>
      </c>
      <c r="P132" s="462">
        <f t="shared" si="49"/>
        <v>0</v>
      </c>
      <c r="Q132" s="462">
        <f t="shared" si="49"/>
        <v>0</v>
      </c>
      <c r="R132" s="462" t="e">
        <f t="shared" si="49"/>
        <v>#DIV/0!</v>
      </c>
      <c r="S132" s="525" t="e">
        <f t="shared" si="49"/>
        <v>#DIV/0!</v>
      </c>
    </row>
    <row r="133" spans="5:19" s="454" customFormat="1" ht="16.5" customHeight="1">
      <c r="E133" s="456"/>
      <c r="F133" s="73" t="s">
        <v>26</v>
      </c>
      <c r="G133" s="575" t="s">
        <v>54</v>
      </c>
      <c r="H133" s="338"/>
      <c r="I133" s="338"/>
      <c r="J133" s="462">
        <f t="shared" ref="J133:S133" si="50">(+$B79/J$35+$C79*(1+1/(J$45/0.0254)))*J79</f>
        <v>0</v>
      </c>
      <c r="K133" s="462">
        <f t="shared" si="50"/>
        <v>0</v>
      </c>
      <c r="L133" s="462">
        <f t="shared" si="50"/>
        <v>0</v>
      </c>
      <c r="M133" s="462">
        <f t="shared" si="50"/>
        <v>0</v>
      </c>
      <c r="N133" s="462">
        <f t="shared" si="50"/>
        <v>0</v>
      </c>
      <c r="O133" s="462">
        <f t="shared" si="50"/>
        <v>0</v>
      </c>
      <c r="P133" s="462">
        <f t="shared" si="50"/>
        <v>0</v>
      </c>
      <c r="Q133" s="462">
        <f t="shared" si="50"/>
        <v>0</v>
      </c>
      <c r="R133" s="462" t="e">
        <f t="shared" si="50"/>
        <v>#DIV/0!</v>
      </c>
      <c r="S133" s="525" t="e">
        <f t="shared" si="50"/>
        <v>#DIV/0!</v>
      </c>
    </row>
    <row r="134" spans="5:19" s="454" customFormat="1" ht="16.5" customHeight="1" thickBot="1">
      <c r="E134" s="456"/>
      <c r="F134" s="79" t="s">
        <v>33</v>
      </c>
      <c r="G134" s="80" t="s">
        <v>55</v>
      </c>
      <c r="H134" s="340"/>
      <c r="I134" s="340"/>
      <c r="J134" s="465">
        <f t="shared" ref="J134:S134" si="51">(+$B80/J$35+$C80*(1+1/(J$45/0.0254)))*J80</f>
        <v>0</v>
      </c>
      <c r="K134" s="465">
        <f t="shared" si="51"/>
        <v>0</v>
      </c>
      <c r="L134" s="465">
        <f t="shared" si="51"/>
        <v>0</v>
      </c>
      <c r="M134" s="465">
        <f t="shared" si="51"/>
        <v>0</v>
      </c>
      <c r="N134" s="465">
        <f t="shared" si="51"/>
        <v>0</v>
      </c>
      <c r="O134" s="465">
        <f t="shared" si="51"/>
        <v>0</v>
      </c>
      <c r="P134" s="465">
        <f t="shared" si="51"/>
        <v>0</v>
      </c>
      <c r="Q134" s="465">
        <f t="shared" si="51"/>
        <v>0</v>
      </c>
      <c r="R134" s="465" t="e">
        <f t="shared" si="51"/>
        <v>#DIV/0!</v>
      </c>
      <c r="S134" s="528" t="e">
        <f t="shared" si="51"/>
        <v>#DIV/0!</v>
      </c>
    </row>
    <row r="135" spans="5:19" ht="16.5" customHeight="1" thickBot="1">
      <c r="F135" s="56" t="s">
        <v>60</v>
      </c>
      <c r="G135" s="81"/>
      <c r="H135" s="337"/>
      <c r="J135" s="72"/>
      <c r="K135" s="72"/>
      <c r="L135" s="72"/>
      <c r="M135" s="368"/>
      <c r="N135" s="72"/>
      <c r="O135" s="72"/>
      <c r="P135" s="72"/>
      <c r="Q135" s="72"/>
      <c r="R135" s="72"/>
      <c r="S135" s="72"/>
    </row>
    <row r="136" spans="5:19" ht="16.5" customHeight="1">
      <c r="F136" s="82" t="s">
        <v>61</v>
      </c>
      <c r="G136" s="74" t="s">
        <v>62</v>
      </c>
      <c r="H136" s="341"/>
      <c r="I136" s="341"/>
      <c r="J136" s="61">
        <f t="shared" ref="J136:S136" si="52">($B81/J$35+$C81)*J81</f>
        <v>0</v>
      </c>
      <c r="K136" s="461">
        <f t="shared" si="52"/>
        <v>0</v>
      </c>
      <c r="L136" s="461">
        <f t="shared" si="52"/>
        <v>0</v>
      </c>
      <c r="M136" s="461">
        <f t="shared" si="52"/>
        <v>0</v>
      </c>
      <c r="N136" s="461">
        <f t="shared" si="52"/>
        <v>0</v>
      </c>
      <c r="O136" s="461">
        <f t="shared" si="52"/>
        <v>0</v>
      </c>
      <c r="P136" s="461">
        <f t="shared" si="52"/>
        <v>0</v>
      </c>
      <c r="Q136" s="461">
        <f t="shared" si="52"/>
        <v>0</v>
      </c>
      <c r="R136" s="461" t="e">
        <f t="shared" si="52"/>
        <v>#DIV/0!</v>
      </c>
      <c r="S136" s="524" t="e">
        <f t="shared" si="52"/>
        <v>#DIV/0!</v>
      </c>
    </row>
    <row r="137" spans="5:19" ht="16.5" customHeight="1">
      <c r="F137" s="73"/>
      <c r="G137" s="75" t="s">
        <v>63</v>
      </c>
      <c r="H137" s="338"/>
      <c r="J137" s="462">
        <f t="shared" ref="J137:S137" si="53">($B82/J$35+$C82)*J82</f>
        <v>0</v>
      </c>
      <c r="K137" s="462">
        <f t="shared" si="53"/>
        <v>0</v>
      </c>
      <c r="L137" s="462">
        <f t="shared" si="53"/>
        <v>0</v>
      </c>
      <c r="M137" s="462">
        <f t="shared" si="53"/>
        <v>0</v>
      </c>
      <c r="N137" s="462">
        <f t="shared" si="53"/>
        <v>0</v>
      </c>
      <c r="O137" s="462">
        <f t="shared" si="53"/>
        <v>0</v>
      </c>
      <c r="P137" s="462">
        <f t="shared" si="53"/>
        <v>0</v>
      </c>
      <c r="Q137" s="462">
        <f t="shared" si="53"/>
        <v>0</v>
      </c>
      <c r="R137" s="462" t="e">
        <f t="shared" si="53"/>
        <v>#DIV/0!</v>
      </c>
      <c r="S137" s="525" t="e">
        <f t="shared" si="53"/>
        <v>#DIV/0!</v>
      </c>
    </row>
    <row r="138" spans="5:19" ht="16.5" customHeight="1">
      <c r="F138" s="76"/>
      <c r="G138" s="77" t="s">
        <v>64</v>
      </c>
      <c r="H138" s="339"/>
      <c r="J138" s="464">
        <f t="shared" ref="J138:S138" si="54">($B83/J$35+$C83)*J83</f>
        <v>0</v>
      </c>
      <c r="K138" s="464">
        <f t="shared" si="54"/>
        <v>0</v>
      </c>
      <c r="L138" s="464">
        <f t="shared" si="54"/>
        <v>0</v>
      </c>
      <c r="M138" s="464">
        <f t="shared" si="54"/>
        <v>0</v>
      </c>
      <c r="N138" s="464">
        <f t="shared" si="54"/>
        <v>0</v>
      </c>
      <c r="O138" s="464">
        <f t="shared" si="54"/>
        <v>0</v>
      </c>
      <c r="P138" s="464">
        <f t="shared" si="54"/>
        <v>0</v>
      </c>
      <c r="Q138" s="464">
        <f t="shared" si="54"/>
        <v>0</v>
      </c>
      <c r="R138" s="464" t="e">
        <f t="shared" si="54"/>
        <v>#DIV/0!</v>
      </c>
      <c r="S138" s="527" t="e">
        <f t="shared" si="54"/>
        <v>#DIV/0!</v>
      </c>
    </row>
    <row r="139" spans="5:19" ht="16.5" customHeight="1">
      <c r="F139" s="73" t="s">
        <v>65</v>
      </c>
      <c r="G139" s="75" t="s">
        <v>66</v>
      </c>
      <c r="H139" s="338"/>
      <c r="I139" s="547"/>
      <c r="J139" s="462">
        <f t="shared" ref="J139:S139" si="55">($B84/J$35+$C84)*J84</f>
        <v>0</v>
      </c>
      <c r="K139" s="462">
        <f t="shared" si="55"/>
        <v>0</v>
      </c>
      <c r="L139" s="462">
        <f t="shared" si="55"/>
        <v>0</v>
      </c>
      <c r="M139" s="462">
        <f t="shared" si="55"/>
        <v>0</v>
      </c>
      <c r="N139" s="462">
        <f t="shared" si="55"/>
        <v>0</v>
      </c>
      <c r="O139" s="462">
        <f t="shared" si="55"/>
        <v>0</v>
      </c>
      <c r="P139" s="462">
        <f t="shared" si="55"/>
        <v>0</v>
      </c>
      <c r="Q139" s="462">
        <f t="shared" si="55"/>
        <v>0</v>
      </c>
      <c r="R139" s="462" t="e">
        <f t="shared" si="55"/>
        <v>#DIV/0!</v>
      </c>
      <c r="S139" s="527" t="e">
        <f t="shared" si="55"/>
        <v>#DIV/0!</v>
      </c>
    </row>
    <row r="140" spans="5:19" ht="16.5" customHeight="1">
      <c r="F140" s="83" t="s">
        <v>74</v>
      </c>
      <c r="G140" s="84" t="s">
        <v>67</v>
      </c>
      <c r="H140" s="342"/>
      <c r="I140" s="548"/>
      <c r="J140" s="473">
        <f t="shared" ref="J140:S140" si="56">J85</f>
        <v>4</v>
      </c>
      <c r="K140" s="136">
        <f t="shared" si="56"/>
        <v>0</v>
      </c>
      <c r="L140" s="357">
        <f t="shared" si="56"/>
        <v>0</v>
      </c>
      <c r="M140" s="136">
        <f t="shared" si="56"/>
        <v>0</v>
      </c>
      <c r="N140" s="136">
        <f t="shared" si="56"/>
        <v>0</v>
      </c>
      <c r="O140" s="136">
        <f t="shared" si="56"/>
        <v>0</v>
      </c>
      <c r="P140" s="136">
        <f t="shared" si="56"/>
        <v>0</v>
      </c>
      <c r="Q140" s="136">
        <f t="shared" si="56"/>
        <v>0</v>
      </c>
      <c r="R140" s="136">
        <f t="shared" si="56"/>
        <v>0</v>
      </c>
      <c r="S140" s="529">
        <f t="shared" si="56"/>
        <v>0</v>
      </c>
    </row>
    <row r="141" spans="5:19" ht="16.5" customHeight="1">
      <c r="F141" s="62"/>
      <c r="G141" s="85" t="s">
        <v>75</v>
      </c>
      <c r="H141" s="54"/>
      <c r="I141" s="460"/>
      <c r="J141" s="474">
        <f t="shared" ref="J141:S141" si="57">J86</f>
        <v>10</v>
      </c>
      <c r="K141" s="137">
        <f t="shared" si="57"/>
        <v>0</v>
      </c>
      <c r="L141" s="358">
        <f t="shared" si="57"/>
        <v>0</v>
      </c>
      <c r="M141" s="137">
        <f t="shared" si="57"/>
        <v>0</v>
      </c>
      <c r="N141" s="137">
        <f t="shared" si="57"/>
        <v>0</v>
      </c>
      <c r="O141" s="137">
        <f t="shared" si="57"/>
        <v>0</v>
      </c>
      <c r="P141" s="137">
        <f t="shared" si="57"/>
        <v>0</v>
      </c>
      <c r="Q141" s="137">
        <f t="shared" si="57"/>
        <v>0</v>
      </c>
      <c r="R141" s="137">
        <f t="shared" si="57"/>
        <v>0</v>
      </c>
      <c r="S141" s="530">
        <f t="shared" si="57"/>
        <v>0</v>
      </c>
    </row>
    <row r="142" spans="5:19" ht="16.5" customHeight="1">
      <c r="F142" s="62"/>
      <c r="G142" s="85" t="s">
        <v>76</v>
      </c>
      <c r="H142" s="54"/>
      <c r="I142" s="460"/>
      <c r="J142" s="474">
        <f>IF(J87="",0,ReducerK(J$45/0.0254,J140,J141)*J87)</f>
        <v>0.2081163463220814</v>
      </c>
      <c r="K142" s="137">
        <f>IF(K87="",0,ReducerK(K$45/0.0254,K140,K141)*K87)</f>
        <v>0</v>
      </c>
      <c r="L142" s="358">
        <f>IF(L87="",0,ReducerK(L$45/0.0254,L140,L141)*L87)</f>
        <v>0</v>
      </c>
      <c r="M142" s="137">
        <f>IF(M87="",0,ReducerK(M$45/0.0254,M140,M141)*M87)</f>
        <v>0</v>
      </c>
      <c r="N142" s="137">
        <f>IF(N87="",0,ReducerK(N$45/0.0254,N140,N141)*N87)</f>
        <v>0</v>
      </c>
      <c r="O142" s="137">
        <f>IF(O87="",0,ReducerK(O$45/0.0254,O140,O141)*O87)</f>
        <v>0</v>
      </c>
      <c r="P142" s="137">
        <f>IF(P87="",0,ReducerK(P$45/0.0254,P140,P141)*P87)</f>
        <v>0</v>
      </c>
      <c r="Q142" s="137">
        <f>IF(Q87="",0,ReducerK(Q$45/0.0254,Q140,Q141)*Q87)</f>
        <v>0</v>
      </c>
      <c r="R142" s="137">
        <f>IF(R87="",0,ReducerK(R$45/0.0254,R140,R141)*R87)</f>
        <v>0</v>
      </c>
      <c r="S142" s="530">
        <f>IF(S87="",0,ReducerK(S$45/0.0254,S140,S141)*S87)</f>
        <v>0</v>
      </c>
    </row>
    <row r="143" spans="5:19" ht="16.5" customHeight="1">
      <c r="F143" s="62"/>
      <c r="G143" s="85" t="s">
        <v>77</v>
      </c>
      <c r="H143" s="54"/>
      <c r="I143" s="460"/>
      <c r="J143" s="474">
        <f t="shared" ref="J143:S143" si="58">IF(J87="",0,((1-(J140/(J$45/0.0254))^4)/(J140/(J$45/0.0254))^4)*J87)</f>
        <v>4.2853284215361311</v>
      </c>
      <c r="K143" s="137">
        <f t="shared" si="58"/>
        <v>0</v>
      </c>
      <c r="L143" s="358">
        <f t="shared" si="58"/>
        <v>0</v>
      </c>
      <c r="M143" s="137">
        <f t="shared" si="58"/>
        <v>0</v>
      </c>
      <c r="N143" s="137">
        <f t="shared" si="58"/>
        <v>0</v>
      </c>
      <c r="O143" s="137">
        <f t="shared" si="58"/>
        <v>0</v>
      </c>
      <c r="P143" s="137">
        <f t="shared" si="58"/>
        <v>0</v>
      </c>
      <c r="Q143" s="137">
        <f t="shared" si="58"/>
        <v>0</v>
      </c>
      <c r="R143" s="137">
        <f t="shared" si="58"/>
        <v>0</v>
      </c>
      <c r="S143" s="530">
        <f t="shared" si="58"/>
        <v>0</v>
      </c>
    </row>
    <row r="144" spans="5:19" ht="16.5" customHeight="1">
      <c r="F144" s="62"/>
      <c r="G144" s="85" t="s">
        <v>78</v>
      </c>
      <c r="H144" s="54"/>
      <c r="I144" s="549"/>
      <c r="J144" s="474">
        <f t="shared" ref="J144:S144" si="59">IF(J87=" ",0,J142+J143)</f>
        <v>4.4934447678582128</v>
      </c>
      <c r="K144" s="137">
        <f t="shared" si="59"/>
        <v>0</v>
      </c>
      <c r="L144" s="358">
        <f t="shared" si="59"/>
        <v>0</v>
      </c>
      <c r="M144" s="137">
        <f t="shared" si="59"/>
        <v>0</v>
      </c>
      <c r="N144" s="137">
        <f t="shared" si="59"/>
        <v>0</v>
      </c>
      <c r="O144" s="137">
        <f t="shared" si="59"/>
        <v>0</v>
      </c>
      <c r="P144" s="137">
        <f t="shared" si="59"/>
        <v>0</v>
      </c>
      <c r="Q144" s="137">
        <f t="shared" si="59"/>
        <v>0</v>
      </c>
      <c r="R144" s="137">
        <f t="shared" si="59"/>
        <v>0</v>
      </c>
      <c r="S144" s="530">
        <f t="shared" si="59"/>
        <v>0</v>
      </c>
    </row>
    <row r="145" spans="6:19" ht="16.5" customHeight="1">
      <c r="F145" s="83" t="s">
        <v>79</v>
      </c>
      <c r="G145" s="84" t="s">
        <v>67</v>
      </c>
      <c r="H145" s="342"/>
      <c r="J145" s="473">
        <f t="shared" ref="J145:S145" si="60">J88</f>
        <v>6</v>
      </c>
      <c r="K145" s="136">
        <f t="shared" si="60"/>
        <v>0</v>
      </c>
      <c r="L145" s="357">
        <f t="shared" si="60"/>
        <v>0</v>
      </c>
      <c r="M145" s="136">
        <f t="shared" si="60"/>
        <v>0</v>
      </c>
      <c r="N145" s="136">
        <f t="shared" si="60"/>
        <v>0</v>
      </c>
      <c r="O145" s="136">
        <f t="shared" si="60"/>
        <v>0</v>
      </c>
      <c r="P145" s="136">
        <f t="shared" si="60"/>
        <v>0</v>
      </c>
      <c r="Q145" s="136">
        <f t="shared" si="60"/>
        <v>0</v>
      </c>
      <c r="R145" s="136">
        <f t="shared" si="60"/>
        <v>0</v>
      </c>
      <c r="S145" s="529">
        <f t="shared" si="60"/>
        <v>0</v>
      </c>
    </row>
    <row r="146" spans="6:19" ht="16.5" customHeight="1">
      <c r="F146" s="62"/>
      <c r="G146" s="85" t="s">
        <v>75</v>
      </c>
      <c r="H146" s="54"/>
      <c r="J146" s="474">
        <f t="shared" ref="J146:S146" si="61">J89</f>
        <v>10</v>
      </c>
      <c r="K146" s="137">
        <f t="shared" si="61"/>
        <v>0</v>
      </c>
      <c r="L146" s="358">
        <f t="shared" si="61"/>
        <v>0</v>
      </c>
      <c r="M146" s="137">
        <f t="shared" si="61"/>
        <v>0</v>
      </c>
      <c r="N146" s="137">
        <f t="shared" si="61"/>
        <v>0</v>
      </c>
      <c r="O146" s="137">
        <f t="shared" si="61"/>
        <v>0</v>
      </c>
      <c r="P146" s="137">
        <f t="shared" si="61"/>
        <v>0</v>
      </c>
      <c r="Q146" s="137">
        <f t="shared" si="61"/>
        <v>0</v>
      </c>
      <c r="R146" s="137">
        <f t="shared" si="61"/>
        <v>0</v>
      </c>
      <c r="S146" s="530">
        <f t="shared" si="61"/>
        <v>0</v>
      </c>
    </row>
    <row r="147" spans="6:19" ht="16.5" customHeight="1">
      <c r="F147" s="62"/>
      <c r="G147" s="85" t="s">
        <v>76</v>
      </c>
      <c r="H147" s="54"/>
      <c r="J147" s="474">
        <f>IF(J90="",0,EnlargerK(J$45/0.0254,J145,J146)*J90)</f>
        <v>1.0734874277119826E-4</v>
      </c>
      <c r="K147" s="137">
        <f>IF(K90="",0,EnlargerK(K$45/0.0254,K145,K146)*K90)</f>
        <v>0</v>
      </c>
      <c r="L147" s="358">
        <f>IF(L90="",0,EnlargerK(L$45/0.0254,L145,L146)*L90)</f>
        <v>0</v>
      </c>
      <c r="M147" s="137">
        <f>IF(M90="",0,EnlargerK(M$45/0.0254,M145,M146)*M90)</f>
        <v>0</v>
      </c>
      <c r="N147" s="137">
        <f>IF(N90="",0,EnlargerK(N$45/0.0254,N145,N146)*N90)</f>
        <v>0</v>
      </c>
      <c r="O147" s="137">
        <f>IF(O90="",0,EnlargerK(O$45/0.0254,O145,O146)*O90)</f>
        <v>0</v>
      </c>
      <c r="P147" s="137">
        <f>IF(P90="",0,EnlargerK(P$45/0.0254,P145,P146)*P90)</f>
        <v>0</v>
      </c>
      <c r="Q147" s="137">
        <f>IF(Q90="",0,EnlargerK(Q$45/0.0254,Q145,Q146)*Q90)</f>
        <v>0</v>
      </c>
      <c r="R147" s="137">
        <f>IF(R90="",0,EnlargerK(R$45/0.0254,R145,R146)*R90)</f>
        <v>0</v>
      </c>
      <c r="S147" s="530">
        <f>IF(S90="",0,EnlargerK(S$45/0.0254,S145,S146)*S90)</f>
        <v>0</v>
      </c>
    </row>
    <row r="148" spans="6:19" ht="16.5" customHeight="1">
      <c r="F148" s="62"/>
      <c r="G148" s="85" t="s">
        <v>77</v>
      </c>
      <c r="H148" s="54"/>
      <c r="J148" s="474">
        <f t="shared" ref="J148:S148" si="62">IF(J90="",0,-(1-((J$45/0.0254)/J145)^4)*J90)</f>
        <v>4.4015490673803281E-2</v>
      </c>
      <c r="K148" s="137">
        <f t="shared" si="62"/>
        <v>0</v>
      </c>
      <c r="L148" s="358">
        <f t="shared" si="62"/>
        <v>0</v>
      </c>
      <c r="M148" s="137">
        <f t="shared" si="62"/>
        <v>0</v>
      </c>
      <c r="N148" s="137">
        <f t="shared" si="62"/>
        <v>0</v>
      </c>
      <c r="O148" s="137">
        <f t="shared" si="62"/>
        <v>0</v>
      </c>
      <c r="P148" s="137">
        <f t="shared" si="62"/>
        <v>0</v>
      </c>
      <c r="Q148" s="137">
        <f t="shared" si="62"/>
        <v>0</v>
      </c>
      <c r="R148" s="137">
        <f t="shared" si="62"/>
        <v>0</v>
      </c>
      <c r="S148" s="530">
        <f t="shared" si="62"/>
        <v>0</v>
      </c>
    </row>
    <row r="149" spans="6:19" ht="16.5" customHeight="1">
      <c r="F149" s="66"/>
      <c r="G149" s="86" t="s">
        <v>78</v>
      </c>
      <c r="H149" s="335"/>
      <c r="I149" s="335"/>
      <c r="J149" s="472">
        <f t="shared" ref="J149:S149" si="63">IF(J90=" ",0,J147+J148)</f>
        <v>4.412283941657448E-2</v>
      </c>
      <c r="K149" s="135">
        <f t="shared" si="63"/>
        <v>0</v>
      </c>
      <c r="L149" s="359">
        <f t="shared" si="63"/>
        <v>0</v>
      </c>
      <c r="M149" s="135">
        <f t="shared" si="63"/>
        <v>0</v>
      </c>
      <c r="N149" s="135">
        <f t="shared" si="63"/>
        <v>0</v>
      </c>
      <c r="O149" s="135">
        <f t="shared" si="63"/>
        <v>0</v>
      </c>
      <c r="P149" s="135">
        <f t="shared" si="63"/>
        <v>0</v>
      </c>
      <c r="Q149" s="135">
        <f t="shared" si="63"/>
        <v>0</v>
      </c>
      <c r="R149" s="135">
        <f t="shared" si="63"/>
        <v>0</v>
      </c>
      <c r="S149" s="531">
        <f t="shared" si="63"/>
        <v>0</v>
      </c>
    </row>
    <row r="150" spans="6:19" ht="16.5" customHeight="1" thickBot="1">
      <c r="F150" s="87" t="s">
        <v>80</v>
      </c>
      <c r="G150" s="88" t="s">
        <v>81</v>
      </c>
      <c r="H150" s="343"/>
      <c r="J150" s="595">
        <f t="shared" ref="J150:S150" si="64">SUM(J104:J139)+J144+J149</f>
        <v>5.650862002389645</v>
      </c>
      <c r="K150" s="139">
        <f t="shared" si="64"/>
        <v>2.6338144782505415</v>
      </c>
      <c r="L150" s="138">
        <f t="shared" si="64"/>
        <v>0</v>
      </c>
      <c r="M150" s="139">
        <f t="shared" si="64"/>
        <v>0</v>
      </c>
      <c r="N150" s="139">
        <f t="shared" si="64"/>
        <v>0</v>
      </c>
      <c r="O150" s="139">
        <f t="shared" si="64"/>
        <v>0</v>
      </c>
      <c r="P150" s="139">
        <f t="shared" si="64"/>
        <v>0</v>
      </c>
      <c r="Q150" s="139">
        <f t="shared" si="64"/>
        <v>1.2206588762322177</v>
      </c>
      <c r="R150" s="139" t="e">
        <f t="shared" si="64"/>
        <v>#DIV/0!</v>
      </c>
      <c r="S150" s="532" t="e">
        <f t="shared" si="64"/>
        <v>#DIV/0!</v>
      </c>
    </row>
    <row r="151" spans="6:19" ht="16.5" customHeight="1">
      <c r="F151" s="89"/>
      <c r="G151" s="89"/>
      <c r="H151" s="89"/>
      <c r="I151" s="89"/>
      <c r="J151" s="89"/>
      <c r="K151" s="89"/>
      <c r="L151" s="89"/>
      <c r="M151" s="120"/>
      <c r="N151" s="89"/>
      <c r="O151" s="89"/>
      <c r="P151" s="89"/>
      <c r="Q151" s="89"/>
      <c r="R151" s="89"/>
      <c r="S151" s="89"/>
    </row>
    <row r="152" spans="6:19" ht="16.5" customHeight="1" thickBot="1">
      <c r="F152" s="40" t="s">
        <v>82</v>
      </c>
      <c r="G152" s="40"/>
      <c r="H152" s="40"/>
      <c r="I152" s="40"/>
      <c r="M152" s="149"/>
    </row>
    <row r="153" spans="6:19" ht="16.5" customHeight="1">
      <c r="F153" s="579" t="s">
        <v>83</v>
      </c>
      <c r="G153" s="580"/>
      <c r="H153" s="580"/>
      <c r="I153" s="580"/>
      <c r="J153" s="581">
        <f t="shared" ref="J153:S153" si="65">IF(J23=" "," ",J29*(1-J26))</f>
        <v>30451.300000000003</v>
      </c>
      <c r="K153" s="581">
        <f t="shared" si="65"/>
        <v>30451.300000000003</v>
      </c>
      <c r="L153" s="581">
        <f t="shared" si="65"/>
        <v>4326.3</v>
      </c>
      <c r="M153" s="581">
        <f t="shared" si="65"/>
        <v>10864.260000000002</v>
      </c>
      <c r="N153" s="581">
        <f t="shared" si="65"/>
        <v>10864.260000000002</v>
      </c>
      <c r="O153" s="581">
        <f t="shared" si="65"/>
        <v>10864.260000000002</v>
      </c>
      <c r="P153" s="581">
        <f t="shared" si="65"/>
        <v>0</v>
      </c>
      <c r="Q153" s="581">
        <f t="shared" si="65"/>
        <v>0</v>
      </c>
      <c r="R153" s="581" t="str">
        <f t="shared" si="65"/>
        <v xml:space="preserve"> </v>
      </c>
      <c r="S153" s="582" t="str">
        <f t="shared" si="65"/>
        <v xml:space="preserve"> </v>
      </c>
    </row>
    <row r="154" spans="6:19" ht="16.5" customHeight="1">
      <c r="F154" s="95" t="s">
        <v>84</v>
      </c>
      <c r="G154" s="344"/>
      <c r="H154" s="344"/>
      <c r="I154" s="96"/>
      <c r="J154" s="146">
        <f t="shared" ref="J154:S154" si="66">IF(OR(J6=" ",ISTEXT(J6)),"",J29/J13/3600/(PI()*J45^2/4))</f>
        <v>0.6717387620013735</v>
      </c>
      <c r="K154" s="146">
        <f t="shared" si="66"/>
        <v>1.5246723541719773</v>
      </c>
      <c r="L154" s="146">
        <f t="shared" si="66"/>
        <v>1.354767204633933</v>
      </c>
      <c r="M154" s="146">
        <f t="shared" si="66"/>
        <v>0.97308650721489509</v>
      </c>
      <c r="N154" s="146">
        <f t="shared" si="66"/>
        <v>0.97308650721489509</v>
      </c>
      <c r="O154" s="146">
        <f t="shared" si="66"/>
        <v>0.97308650721489509</v>
      </c>
      <c r="P154" s="146">
        <f t="shared" si="66"/>
        <v>0.14179258413515583</v>
      </c>
      <c r="Q154" s="146">
        <f t="shared" si="66"/>
        <v>0.14179258413515583</v>
      </c>
      <c r="R154" s="146" t="e">
        <f t="shared" si="66"/>
        <v>#DIV/0!</v>
      </c>
      <c r="S154" s="556" t="e">
        <f t="shared" si="66"/>
        <v>#DIV/0!</v>
      </c>
    </row>
    <row r="155" spans="6:19" ht="16.5" customHeight="1">
      <c r="F155" s="97" t="s">
        <v>85</v>
      </c>
      <c r="G155" s="98"/>
      <c r="H155" s="98"/>
      <c r="I155" s="98"/>
      <c r="J155" s="99">
        <f>$K$5</f>
        <v>0</v>
      </c>
      <c r="K155" s="648">
        <f t="shared" ref="K155:S155" si="67">$K$5</f>
        <v>0</v>
      </c>
      <c r="L155" s="648">
        <f t="shared" si="67"/>
        <v>0</v>
      </c>
      <c r="M155" s="648">
        <f t="shared" si="67"/>
        <v>0</v>
      </c>
      <c r="N155" s="648">
        <f t="shared" si="67"/>
        <v>0</v>
      </c>
      <c r="O155" s="648">
        <f t="shared" si="67"/>
        <v>0</v>
      </c>
      <c r="P155" s="648">
        <f t="shared" si="67"/>
        <v>0</v>
      </c>
      <c r="Q155" s="648">
        <f t="shared" si="67"/>
        <v>0</v>
      </c>
      <c r="R155" s="648">
        <f t="shared" si="67"/>
        <v>0</v>
      </c>
      <c r="S155" s="534">
        <f t="shared" si="67"/>
        <v>0</v>
      </c>
    </row>
    <row r="156" spans="6:19" ht="16.5" customHeight="1">
      <c r="F156" s="97" t="s">
        <v>86</v>
      </c>
      <c r="G156" s="98"/>
      <c r="H156" s="98"/>
      <c r="I156" s="98"/>
      <c r="J156" s="144">
        <f>$M$5</f>
        <v>0</v>
      </c>
      <c r="K156" s="660">
        <f t="shared" ref="K156:S156" si="68">$M$5</f>
        <v>0</v>
      </c>
      <c r="L156" s="660">
        <f t="shared" si="68"/>
        <v>0</v>
      </c>
      <c r="M156" s="660">
        <f t="shared" si="68"/>
        <v>0</v>
      </c>
      <c r="N156" s="660">
        <f t="shared" si="68"/>
        <v>0</v>
      </c>
      <c r="O156" s="660">
        <f t="shared" si="68"/>
        <v>0</v>
      </c>
      <c r="P156" s="660">
        <f t="shared" si="68"/>
        <v>0</v>
      </c>
      <c r="Q156" s="660">
        <f t="shared" si="68"/>
        <v>0</v>
      </c>
      <c r="R156" s="660">
        <f t="shared" si="68"/>
        <v>0</v>
      </c>
      <c r="S156" s="535">
        <f t="shared" si="68"/>
        <v>0</v>
      </c>
    </row>
    <row r="157" spans="6:19" ht="16.5" customHeight="1">
      <c r="F157" s="100" t="s">
        <v>87</v>
      </c>
      <c r="G157" s="101"/>
      <c r="H157" s="101"/>
      <c r="I157" s="101"/>
      <c r="J157" s="147">
        <f>IF(J153=" "," ",Reynold($G$5,J45,J154,J13,J14,J156,J155))</f>
        <v>195284.92823193327</v>
      </c>
      <c r="K157" s="147">
        <f>IF(K153=" "," ",Reynold($G$5,K45,K154,K13,K14,K156,K155))</f>
        <v>295011.84336237155</v>
      </c>
      <c r="L157" s="147">
        <f>IF(L153=" "," ",Reynold($G$5,L45,L154,L13,L14,L156,L155))</f>
        <v>104818.73708346995</v>
      </c>
      <c r="M157" s="147">
        <f>IF(M153=" "," ",Reynold($G$5,M45,M154,M13,M14,M156,M155))</f>
        <v>230403.63086924466</v>
      </c>
      <c r="N157" s="147">
        <f>IF(N153=" "," ",Reynold($G$5,N45,N154,N13,N14,N156,N155))</f>
        <v>230403.63086924466</v>
      </c>
      <c r="O157" s="147">
        <f>IF(O153=" "," ",Reynold($G$5,O45,O154,O13,O14,O156,O155))</f>
        <v>230403.63086924466</v>
      </c>
      <c r="P157" s="147" t="str">
        <f>IF(P153=" "," ",Reynold($G$5,P45,P154,P13,P14,P156,P155))</f>
        <v xml:space="preserve"> </v>
      </c>
      <c r="Q157" s="147" t="str">
        <f>IF(Q153=" "," ",Reynold($G$5,Q45,Q154,Q13,Q14,Q156,Q155))</f>
        <v xml:space="preserve"> </v>
      </c>
      <c r="R157" s="147" t="str">
        <f>IF(R153=" "," ",Reynold($G$5,R45,R154,R13,R14,R156,R155))</f>
        <v xml:space="preserve"> </v>
      </c>
      <c r="S157" s="557" t="str">
        <f>IF(S153=" "," ",Reynold($G$5,S45,S154,S13,S14,S156,S155))</f>
        <v xml:space="preserve"> </v>
      </c>
    </row>
    <row r="158" spans="6:19" ht="16.5" customHeight="1">
      <c r="F158" s="100" t="s">
        <v>88</v>
      </c>
      <c r="G158" s="101"/>
      <c r="H158" s="101"/>
      <c r="I158" s="101"/>
      <c r="J158" s="102">
        <f>IF(OR(J28="VAPOR",J28=" ")," ",ffactor(J48,J45,J157))</f>
        <v>1.7751185887823168E-2</v>
      </c>
      <c r="K158" s="102">
        <f>IF(OR(K28="VAPOR",K28=" ")," ",ffactor(K48,K45,K157))</f>
        <v>1.7943787229656279E-2</v>
      </c>
      <c r="L158" s="360">
        <f>IF(OR(L28="VAPOR",L28=" ")," ",ffactor(L48,L45,L157))</f>
        <v>2.2494285631712956E-2</v>
      </c>
      <c r="M158" s="102">
        <f>IF(OR(M28="VAPOR",M28=" ")," ",ffactor(M48,M45,M157))</f>
        <v>1.9050380144178366E-2</v>
      </c>
      <c r="N158" s="102">
        <f>IF(OR(N28="VAPOR",N28=" ")," ",ffactor(N48,N45,N157))</f>
        <v>1.9050380144178366E-2</v>
      </c>
      <c r="O158" s="102">
        <f>IF(OR(O28="VAPOR",O28=" ")," ",ffactor(O48,O45,O157))</f>
        <v>1.9050380144178366E-2</v>
      </c>
      <c r="P158" s="102" t="str">
        <f>IF(OR(P28="VAPOR",P28=" ")," ",ffactor(P48,P45,P157))</f>
        <v xml:space="preserve"> </v>
      </c>
      <c r="Q158" s="102" t="str">
        <f>IF(OR(Q28="VAPOR",Q28=" ")," ",ffactor(Q48,Q45,Q157))</f>
        <v xml:space="preserve"> </v>
      </c>
      <c r="R158" s="102" t="str">
        <f>IF(OR(R28="VAPOR",R28=" ")," ",ffactor(R48,R45,R157))</f>
        <v xml:space="preserve"> </v>
      </c>
      <c r="S158" s="649" t="str">
        <f>IF(OR(S28="VAPOR",S28=" ")," ",ffactor(S48,S45,S157))</f>
        <v xml:space="preserve"> </v>
      </c>
    </row>
    <row r="159" spans="6:19" ht="16.5" customHeight="1" thickBot="1">
      <c r="F159" s="130" t="s">
        <v>126</v>
      </c>
      <c r="G159" s="346"/>
      <c r="H159" s="346"/>
      <c r="I159" s="586"/>
      <c r="J159" s="150">
        <f t="shared" ref="J159:S159" si="69">IF(OR(J28="VAPOR",J6=" ")," ",(J13*J158*J49/J45*J154^2/2/100000)/0.9806)</f>
        <v>1.0485418418777976E-2</v>
      </c>
      <c r="K159" s="150">
        <f t="shared" si="69"/>
        <v>1.3233064144493557E-2</v>
      </c>
      <c r="L159" s="150">
        <f t="shared" si="69"/>
        <v>0.3247171155080974</v>
      </c>
      <c r="M159" s="150">
        <f t="shared" si="69"/>
        <v>3.3959331865468845E-2</v>
      </c>
      <c r="N159" s="150">
        <f t="shared" si="69"/>
        <v>1.0612291207959016E-2</v>
      </c>
      <c r="O159" s="150">
        <f t="shared" si="69"/>
        <v>0.13748545728613276</v>
      </c>
      <c r="P159" s="150" t="str">
        <f t="shared" si="69"/>
        <v xml:space="preserve"> </v>
      </c>
      <c r="Q159" s="150" t="str">
        <f t="shared" si="69"/>
        <v xml:space="preserve"> </v>
      </c>
      <c r="R159" s="150" t="e">
        <f t="shared" si="69"/>
        <v>#DIV/0!</v>
      </c>
      <c r="S159" s="645" t="e">
        <f t="shared" si="69"/>
        <v>#DIV/0!</v>
      </c>
    </row>
    <row r="160" spans="6:19" ht="16.5" customHeight="1" thickBot="1">
      <c r="F160" s="40" t="s">
        <v>89</v>
      </c>
      <c r="G160" s="40"/>
      <c r="H160" s="40"/>
      <c r="I160" s="40"/>
      <c r="J160" s="455"/>
      <c r="K160" s="455"/>
      <c r="L160" s="455"/>
      <c r="M160" s="149"/>
      <c r="N160" s="455"/>
      <c r="O160" s="455"/>
      <c r="P160" s="455"/>
      <c r="Q160" s="455"/>
      <c r="R160" s="455"/>
      <c r="S160" s="455"/>
    </row>
    <row r="161" spans="5:19" ht="16.5" customHeight="1">
      <c r="F161" s="118" t="s">
        <v>90</v>
      </c>
      <c r="G161" s="119"/>
      <c r="H161" s="119"/>
      <c r="I161" s="119"/>
      <c r="J161" s="583">
        <f t="shared" ref="J161:P161" si="70">IF(J23=" "," ",J29*J26)</f>
        <v>0</v>
      </c>
      <c r="K161" s="583">
        <f t="shared" si="70"/>
        <v>0</v>
      </c>
      <c r="L161" s="583">
        <f t="shared" si="70"/>
        <v>0</v>
      </c>
      <c r="M161" s="583">
        <f t="shared" si="70"/>
        <v>0</v>
      </c>
      <c r="N161" s="583">
        <f t="shared" si="70"/>
        <v>0</v>
      </c>
      <c r="O161" s="583">
        <f t="shared" si="70"/>
        <v>0</v>
      </c>
      <c r="P161" s="583">
        <f t="shared" si="70"/>
        <v>435.84</v>
      </c>
      <c r="Q161" s="583">
        <f>IF(Q23=" "," ",Q29*Q26)</f>
        <v>435.84</v>
      </c>
      <c r="R161" s="583" t="str">
        <f t="shared" ref="R161:S161" si="71">IF(R23=" "," ",R29*R26)</f>
        <v xml:space="preserve"> </v>
      </c>
      <c r="S161" s="584" t="str">
        <f t="shared" si="71"/>
        <v xml:space="preserve"> </v>
      </c>
    </row>
    <row r="162" spans="5:19" ht="16.5" customHeight="1">
      <c r="F162" s="30" t="s">
        <v>91</v>
      </c>
      <c r="G162" s="31"/>
      <c r="H162" s="31"/>
      <c r="I162" s="31"/>
      <c r="J162" s="468" t="str">
        <f t="shared" ref="J162:S162" si="72">IF(J26&lt;&gt;0,IF(J18=0,0.9806*(IF($P$5=$C$7,J31,J30)+1.033)*100000*J20/J21/(J12+273.06)/8314.41,J18)," ")</f>
        <v xml:space="preserve"> </v>
      </c>
      <c r="K162" s="468" t="str">
        <f t="shared" si="72"/>
        <v xml:space="preserve"> </v>
      </c>
      <c r="L162" s="468" t="str">
        <f t="shared" si="72"/>
        <v xml:space="preserve"> </v>
      </c>
      <c r="M162" s="468" t="str">
        <f t="shared" si="72"/>
        <v xml:space="preserve"> </v>
      </c>
      <c r="N162" s="468" t="str">
        <f t="shared" si="72"/>
        <v xml:space="preserve"> </v>
      </c>
      <c r="O162" s="468" t="str">
        <f t="shared" si="72"/>
        <v xml:space="preserve"> </v>
      </c>
      <c r="P162" s="468">
        <f t="shared" si="72"/>
        <v>2.3719348646659735</v>
      </c>
      <c r="Q162" s="468">
        <f t="shared" si="72"/>
        <v>2.3719348646659735</v>
      </c>
      <c r="R162" s="468" t="str">
        <f t="shared" si="72"/>
        <v xml:space="preserve"> </v>
      </c>
      <c r="S162" s="536" t="str">
        <f t="shared" si="72"/>
        <v xml:space="preserve"> </v>
      </c>
    </row>
    <row r="163" spans="5:19" ht="16.5" customHeight="1">
      <c r="F163" s="30" t="s">
        <v>92</v>
      </c>
      <c r="G163" s="31"/>
      <c r="H163" s="31"/>
      <c r="I163" s="31"/>
      <c r="J163" s="105" t="str">
        <f t="shared" ref="J163:P163" si="73">IF(J26&lt;&gt;0,J161/J162/3600," ")</f>
        <v xml:space="preserve"> </v>
      </c>
      <c r="K163" s="105" t="str">
        <f t="shared" si="73"/>
        <v xml:space="preserve"> </v>
      </c>
      <c r="L163" s="105" t="str">
        <f t="shared" si="73"/>
        <v xml:space="preserve"> </v>
      </c>
      <c r="M163" s="105" t="str">
        <f t="shared" si="73"/>
        <v xml:space="preserve"> </v>
      </c>
      <c r="N163" s="105" t="str">
        <f t="shared" si="73"/>
        <v xml:space="preserve"> </v>
      </c>
      <c r="O163" s="105" t="str">
        <f t="shared" si="73"/>
        <v xml:space="preserve"> </v>
      </c>
      <c r="P163" s="105">
        <f t="shared" si="73"/>
        <v>5.1041311660856174E-2</v>
      </c>
      <c r="Q163" s="105">
        <f t="shared" ref="Q163" si="74">IF(Q26&lt;&gt;0,Q161/Q162/3600," ")</f>
        <v>5.1041311660856174E-2</v>
      </c>
      <c r="R163" s="105" t="str">
        <f t="shared" ref="R163:S163" si="75">IF(R26&lt;&gt;0,R161/R162/3600," ")</f>
        <v xml:space="preserve"> </v>
      </c>
      <c r="S163" s="537" t="str">
        <f t="shared" si="75"/>
        <v xml:space="preserve"> </v>
      </c>
    </row>
    <row r="164" spans="5:19" ht="16.5" customHeight="1">
      <c r="F164" s="30" t="s">
        <v>93</v>
      </c>
      <c r="G164" s="31"/>
      <c r="H164" s="31"/>
      <c r="I164" s="31"/>
      <c r="J164" s="105" t="str">
        <f t="shared" ref="J164:P164" si="76">IF(J26&lt;&gt;0,J163/(PI()*J45^2/4)," ")</f>
        <v xml:space="preserve"> </v>
      </c>
      <c r="K164" s="105" t="str">
        <f t="shared" si="76"/>
        <v xml:space="preserve"> </v>
      </c>
      <c r="L164" s="105" t="str">
        <f t="shared" si="76"/>
        <v xml:space="preserve"> </v>
      </c>
      <c r="M164" s="105" t="str">
        <f t="shared" si="76"/>
        <v xml:space="preserve"> </v>
      </c>
      <c r="N164" s="105" t="str">
        <f t="shared" si="76"/>
        <v xml:space="preserve"> </v>
      </c>
      <c r="O164" s="105" t="str">
        <f t="shared" si="76"/>
        <v xml:space="preserve"> </v>
      </c>
      <c r="P164" s="105">
        <f t="shared" si="76"/>
        <v>38.868494906019031</v>
      </c>
      <c r="Q164" s="105">
        <f t="shared" ref="Q164" si="77">IF(Q26&lt;&gt;0,Q163/(PI()*Q45^2/4)," ")</f>
        <v>38.868494906019031</v>
      </c>
      <c r="R164" s="105" t="str">
        <f t="shared" ref="R164:S164" si="78">IF(R26&lt;&gt;0,R163/(PI()*R45^2/4)," ")</f>
        <v xml:space="preserve"> </v>
      </c>
      <c r="S164" s="537" t="str">
        <f t="shared" si="78"/>
        <v xml:space="preserve"> </v>
      </c>
    </row>
    <row r="165" spans="5:19" ht="16.5" customHeight="1">
      <c r="F165" s="30" t="s">
        <v>94</v>
      </c>
      <c r="G165" s="31"/>
      <c r="H165" s="31"/>
      <c r="I165" s="31"/>
      <c r="J165" s="468" t="str">
        <f>IF(J26&lt;&gt;0,Reynold($G$5,J45,J164,J162,J19,J156,J155)," ")</f>
        <v xml:space="preserve"> </v>
      </c>
      <c r="K165" s="468" t="str">
        <f>IF(K26&lt;&gt;0,Reynold($G$5,K45,K164,K162,K19,K156,K155)," ")</f>
        <v xml:space="preserve"> </v>
      </c>
      <c r="L165" s="468" t="str">
        <f>IF(L26&lt;&gt;0,Reynold($G$5,L45,L164,L162,L19,L156,L155)," ")</f>
        <v xml:space="preserve"> </v>
      </c>
      <c r="M165" s="468" t="str">
        <f>IF(M26&lt;&gt;0,Reynold($G$5,M45,M164,M162,M19,M156,M155)," ")</f>
        <v xml:space="preserve"> </v>
      </c>
      <c r="N165" s="468" t="str">
        <f>IF(N26&lt;&gt;0,Reynold($G$5,N45,N164,N162,N19,N156,N155)," ")</f>
        <v xml:space="preserve"> </v>
      </c>
      <c r="O165" s="468" t="str">
        <f>IF(O26&lt;&gt;0,Reynold($G$5,O45,O164,O162,O19,O156,O155)," ")</f>
        <v xml:space="preserve"> </v>
      </c>
      <c r="P165" s="468">
        <f>IF(P26&lt;&gt;0,Reynold($G$5,P45,P164,P162,P19,P156,P155)," ")</f>
        <v>376979.37771892973</v>
      </c>
      <c r="Q165" s="468">
        <f>IF(Q26&lt;&gt;0,Reynold($G$5,Q45,Q164,Q162,Q19,Q156,Q155)," ")</f>
        <v>376979.37771892973</v>
      </c>
      <c r="R165" s="468" t="str">
        <f>IF(R26&lt;&gt;0,Reynold($G$5,R45,R164,R162,R19,R156,R155)," ")</f>
        <v xml:space="preserve"> </v>
      </c>
      <c r="S165" s="651" t="str">
        <f>IF(S26&lt;&gt;0,Reynold($G$5,S45,S164,S162,S19,S156,S155)," ")</f>
        <v xml:space="preserve"> </v>
      </c>
    </row>
    <row r="166" spans="5:19" ht="16.5" customHeight="1">
      <c r="F166" s="30" t="s">
        <v>88</v>
      </c>
      <c r="G166" s="31"/>
      <c r="H166" s="31"/>
      <c r="I166" s="31"/>
      <c r="J166" s="468" t="str">
        <f>IF(OR(J28="LIQUID",J28=" ")," ",ffactor(J48,J45,J165))</f>
        <v xml:space="preserve"> </v>
      </c>
      <c r="K166" s="468" t="str">
        <f>IF(OR(K28="LIQUID",K28=" ")," ",ffactor(K48,K45,K165))</f>
        <v xml:space="preserve"> </v>
      </c>
      <c r="L166" s="468" t="str">
        <f>IF(OR(L28="LIQUID",L28=" ")," ",ffactor(L48,L45,L165))</f>
        <v xml:space="preserve"> </v>
      </c>
      <c r="M166" s="468" t="str">
        <f>IF(OR(M28="LIQUID",M28=" ")," ",ffactor(M48,M45,M165))</f>
        <v xml:space="preserve"> </v>
      </c>
      <c r="N166" s="468" t="str">
        <f>IF(OR(N28="LIQUID",N28=" ")," ",ffactor(N48,N45,N165))</f>
        <v xml:space="preserve"> </v>
      </c>
      <c r="O166" s="468" t="str">
        <f>IF(OR(O28="LIQUID",O28=" ")," ",ffactor(O48,O45,O165))</f>
        <v xml:space="preserve"> </v>
      </c>
      <c r="P166" s="468">
        <f>IF(OR(P28="LIQUID",P28=" ")," ",ffactor(P48,P45,P165))</f>
        <v>2.0932927920102876E-2</v>
      </c>
      <c r="Q166" s="468">
        <f>IF(OR(Q28="LIQUID",Q28=" ")," ",ffactor(Q48,Q45,Q165))</f>
        <v>2.0932927920102876E-2</v>
      </c>
      <c r="R166" s="468" t="str">
        <f>IF(OR(R28="LIQUID",R28=" ")," ",ffactor(R48,R45,R165))</f>
        <v xml:space="preserve"> </v>
      </c>
      <c r="S166" s="536" t="str">
        <f>IF(OR(S28="LIQUID",S28=" ")," ",ffactor(S48,S45,S165))</f>
        <v xml:space="preserve"> </v>
      </c>
    </row>
    <row r="167" spans="5:19" ht="16.5" customHeight="1">
      <c r="F167" s="30" t="s">
        <v>95</v>
      </c>
      <c r="G167" s="31"/>
      <c r="H167" s="31"/>
      <c r="I167" s="477"/>
      <c r="J167" s="653" t="b">
        <f>IF(J26&lt;&gt;0,IF(I5=$C$7,J31,J30)-Voutpres(IF(I5=$C$7,J31,J30),J162,J164,J49,J45,J166))</f>
        <v>0</v>
      </c>
      <c r="K167" s="653" t="b">
        <f>IF(K26&lt;&gt;0,IF(J5=$C$7,K31,K30)-Voutpres(IF(J5=$C$7,K31,K30),K162,K164,K49,K45,K166))</f>
        <v>0</v>
      </c>
      <c r="L167" s="653" t="b">
        <f>IF(L26&lt;&gt;0,IF(K5=$C$7,L31,L30)-Voutpres(IF(K5=$C$7,L31,L30),L162,L164,L49,L45,L166))</f>
        <v>0</v>
      </c>
      <c r="M167" s="653" t="b">
        <f>IF(M26&lt;&gt;0,IF(L5=$C$7,M31,M30)-Voutpres(IF(L5=$C$7,M31,M30),M162,M164,M49,M45,M166))</f>
        <v>0</v>
      </c>
      <c r="N167" s="653" t="b">
        <f>IF(N26&lt;&gt;0,IF(M5=$C$7,N31,N30)-Voutpres(IF(M5=$C$7,N31,N30),N162,N164,N49,N45,N166))</f>
        <v>0</v>
      </c>
      <c r="O167" s="653" t="b">
        <f>IF(O26&lt;&gt;0,IF(N5=$C$7,O31,O30)-Voutpres(IF(N5=$C$7,O31,O30),O162,O164,O49,O45,O166))</f>
        <v>0</v>
      </c>
      <c r="P167" s="470">
        <f>IF(P26&lt;&gt;0,IF(O5=$C$7,P31,P30)-Voutpres(IF(O5=$C$7,P31,P30),P162,P164,P49,P45,P166))</f>
        <v>0.19486271364439373</v>
      </c>
      <c r="Q167" s="653">
        <f>IF(Q26&lt;&gt;0,IF(P5=$C$7,Q31,Q30)-Voutpres(IF(P5=$C$7,Q31,Q30),Q162,Q164,Q49,Q45,Q166))</f>
        <v>0.19486271364439373</v>
      </c>
      <c r="R167" s="653" t="b">
        <f>IF(R26&lt;&gt;0,IF(Q5=$C$7,R31,R30)-Voutpres(IF(Q5=$C$7,R31,R30),R162,R164,R49,R45,R166))</f>
        <v>0</v>
      </c>
      <c r="S167" s="659" t="b">
        <f>IF(S26&lt;&gt;0,IF(R5=$C$7,S31,S30)-Voutpres(IF(R5=$C$7,S31,S30),S162,S164,S49,S45,S166))</f>
        <v>0</v>
      </c>
    </row>
    <row r="168" spans="5:19" ht="16.5" customHeight="1">
      <c r="F168" s="30" t="s">
        <v>96</v>
      </c>
      <c r="G168" s="31"/>
      <c r="H168" s="31"/>
      <c r="I168" s="477"/>
      <c r="J168" s="469" t="str">
        <f t="shared" ref="J168:P168" si="79">IF(J26&lt;&gt;0,(J30-J167-(J50*J162/1000)/10)," ")</f>
        <v xml:space="preserve"> </v>
      </c>
      <c r="K168" s="469" t="str">
        <f t="shared" si="79"/>
        <v xml:space="preserve"> </v>
      </c>
      <c r="L168" s="469" t="str">
        <f t="shared" si="79"/>
        <v xml:space="preserve"> </v>
      </c>
      <c r="M168" s="469" t="str">
        <f t="shared" si="79"/>
        <v xml:space="preserve"> </v>
      </c>
      <c r="N168" s="469" t="str">
        <f t="shared" si="79"/>
        <v xml:space="preserve"> </v>
      </c>
      <c r="O168" s="469" t="str">
        <f t="shared" si="79"/>
        <v xml:space="preserve"> </v>
      </c>
      <c r="P168" s="469">
        <f t="shared" si="79"/>
        <v>-0.19486271364439373</v>
      </c>
      <c r="Q168" s="469">
        <f>IF(Q26&lt;&gt;0,(Q30-Q167-(Q50*Q162/1000)/10)," ")</f>
        <v>-0.19486271364439373</v>
      </c>
      <c r="R168" s="469" t="str">
        <f t="shared" ref="R168:S168" si="80">IF(R26&lt;&gt;0,(R30-R167-(R50*R162/1000)/10)," ")</f>
        <v xml:space="preserve"> </v>
      </c>
      <c r="S168" s="537" t="str">
        <f t="shared" si="80"/>
        <v xml:space="preserve"> </v>
      </c>
    </row>
    <row r="169" spans="5:19" s="143" customFormat="1" ht="16.5" customHeight="1">
      <c r="E169" s="369"/>
      <c r="F169" s="141" t="s">
        <v>97</v>
      </c>
      <c r="G169" s="142"/>
      <c r="H169" s="142"/>
      <c r="I169" s="550"/>
      <c r="J169" s="475" t="str">
        <f t="shared" ref="J169:P169" si="81">IF(J26&lt;&gt;0,J162/(J30+1.033)*(J168+1.033)," ")</f>
        <v xml:space="preserve"> </v>
      </c>
      <c r="K169" s="475" t="str">
        <f t="shared" si="81"/>
        <v xml:space="preserve"> </v>
      </c>
      <c r="L169" s="475" t="str">
        <f t="shared" si="81"/>
        <v xml:space="preserve"> </v>
      </c>
      <c r="M169" s="475" t="str">
        <f t="shared" si="81"/>
        <v xml:space="preserve"> </v>
      </c>
      <c r="N169" s="475" t="str">
        <f t="shared" si="81"/>
        <v xml:space="preserve"> </v>
      </c>
      <c r="O169" s="475" t="str">
        <f t="shared" si="81"/>
        <v xml:space="preserve"> </v>
      </c>
      <c r="P169" s="475">
        <f t="shared" si="81"/>
        <v>1.9244985971765647</v>
      </c>
      <c r="Q169" s="475">
        <f>IF(Q26&lt;&gt;0,Q162/(Q30+1.033)*(Q168+1.033)," ")</f>
        <v>1.9244985971765647</v>
      </c>
      <c r="R169" s="475" t="str">
        <f t="shared" ref="R169:S169" si="82">IF(R26&lt;&gt;0,R162/(R30+1.033)*(R168+1.033)," ")</f>
        <v xml:space="preserve"> </v>
      </c>
      <c r="S169" s="538" t="str">
        <f t="shared" si="82"/>
        <v xml:space="preserve"> </v>
      </c>
    </row>
    <row r="170" spans="5:19" ht="16.5" customHeight="1">
      <c r="F170" s="30" t="s">
        <v>98</v>
      </c>
      <c r="G170" s="31"/>
      <c r="H170" s="31"/>
      <c r="I170" s="477"/>
      <c r="J170" s="467" t="str">
        <f t="shared" ref="J170:P170" si="83">IF(J26&lt;&gt;0,J164/(J30+1.033)*(J168+1.033)," ")</f>
        <v xml:space="preserve"> </v>
      </c>
      <c r="K170" s="467" t="str">
        <f t="shared" si="83"/>
        <v xml:space="preserve"> </v>
      </c>
      <c r="L170" s="467" t="str">
        <f t="shared" si="83"/>
        <v xml:space="preserve"> </v>
      </c>
      <c r="M170" s="467" t="str">
        <f t="shared" si="83"/>
        <v xml:space="preserve"> </v>
      </c>
      <c r="N170" s="467" t="str">
        <f t="shared" si="83"/>
        <v xml:space="preserve"> </v>
      </c>
      <c r="O170" s="467" t="str">
        <f t="shared" si="83"/>
        <v xml:space="preserve"> </v>
      </c>
      <c r="P170" s="467">
        <f t="shared" si="83"/>
        <v>31.536432570433206</v>
      </c>
      <c r="Q170" s="467">
        <f>IF(Q26&lt;&gt;0,Q164/(Q30+1.033)*(Q168+1.033)," ")</f>
        <v>31.536432570433206</v>
      </c>
      <c r="R170" s="467" t="str">
        <f t="shared" ref="R170:S170" si="84">IF(R26&lt;&gt;0,R164/(R30+1.033)*(R168+1.033)," ")</f>
        <v xml:space="preserve"> </v>
      </c>
      <c r="S170" s="536" t="str">
        <f t="shared" si="84"/>
        <v xml:space="preserve"> </v>
      </c>
    </row>
    <row r="171" spans="5:19" ht="16.5" customHeight="1" thickBot="1">
      <c r="F171" s="108" t="s">
        <v>99</v>
      </c>
      <c r="G171" s="38"/>
      <c r="H171" s="38"/>
      <c r="I171" s="551"/>
      <c r="J171" s="471" t="str">
        <f t="shared" ref="J171:P171" si="85">IF(J26&lt;&gt;0,MAXA(J164,J170)/SQRT(1.4*0.9806*(J168+1.033)*100000/J169)," ")</f>
        <v xml:space="preserve"> </v>
      </c>
      <c r="K171" s="471" t="str">
        <f t="shared" si="85"/>
        <v xml:space="preserve"> </v>
      </c>
      <c r="L171" s="471" t="str">
        <f t="shared" si="85"/>
        <v xml:space="preserve"> </v>
      </c>
      <c r="M171" s="471" t="str">
        <f t="shared" si="85"/>
        <v xml:space="preserve"> </v>
      </c>
      <c r="N171" s="471" t="str">
        <f t="shared" si="85"/>
        <v xml:space="preserve"> </v>
      </c>
      <c r="O171" s="471" t="str">
        <f t="shared" si="85"/>
        <v xml:space="preserve"> </v>
      </c>
      <c r="P171" s="471">
        <f t="shared" si="85"/>
        <v>0.15896041218080267</v>
      </c>
      <c r="Q171" s="471">
        <f t="shared" ref="Q171" si="86">IF(Q26&lt;&gt;0,MAXA(Q164,Q170)/SQRT(1.4*0.9806*(Q168+1.033)*100000/Q169)," ")</f>
        <v>0.15896041218080267</v>
      </c>
      <c r="R171" s="471" t="str">
        <f t="shared" ref="R171:S171" si="87">IF(R26&lt;&gt;0,MAXA(R164,R170)/SQRT(1.4*0.9806*(R168+1.033)*100000/R169)," ")</f>
        <v xml:space="preserve"> </v>
      </c>
      <c r="S171" s="539" t="str">
        <f t="shared" si="87"/>
        <v xml:space="preserve"> </v>
      </c>
    </row>
    <row r="172" spans="5:19" ht="16.5" customHeight="1">
      <c r="F172" s="110"/>
      <c r="G172" s="110"/>
      <c r="H172" s="110"/>
      <c r="I172" s="110"/>
      <c r="J172" s="89"/>
      <c r="K172" s="89"/>
      <c r="L172" s="89"/>
      <c r="M172" s="120"/>
      <c r="N172" s="89"/>
      <c r="O172" s="89"/>
      <c r="P172" s="89"/>
      <c r="Q172" s="89"/>
      <c r="R172" s="89"/>
      <c r="S172" s="89"/>
    </row>
    <row r="173" spans="5:19" ht="16.5" customHeight="1" thickBot="1">
      <c r="F173" s="40" t="s">
        <v>100</v>
      </c>
      <c r="G173" s="40"/>
      <c r="H173" s="40"/>
      <c r="I173" s="40"/>
      <c r="J173" s="31"/>
      <c r="K173" s="31"/>
      <c r="L173" s="31"/>
      <c r="M173" s="149"/>
      <c r="N173" s="31"/>
      <c r="O173" s="31"/>
      <c r="P173" s="31"/>
      <c r="Q173" s="31"/>
      <c r="R173" s="31"/>
      <c r="S173" s="145"/>
    </row>
    <row r="174" spans="5:19" ht="16.5" customHeight="1" thickBot="1">
      <c r="F174" s="111" t="s">
        <v>101</v>
      </c>
      <c r="G174" s="112"/>
      <c r="H174" s="112"/>
      <c r="I174" s="112"/>
      <c r="J174" s="100"/>
      <c r="K174" s="101"/>
      <c r="L174" s="101"/>
      <c r="M174" s="131"/>
      <c r="N174" s="37"/>
      <c r="O174" s="37"/>
      <c r="P174" s="37"/>
      <c r="Q174" s="37"/>
      <c r="R174" s="37"/>
      <c r="S174" s="37"/>
    </row>
    <row r="175" spans="5:19" ht="16.5" customHeight="1" thickBot="1">
      <c r="F175" s="113" t="s">
        <v>102</v>
      </c>
      <c r="G175" s="114"/>
      <c r="H175" s="114"/>
      <c r="I175" s="114"/>
      <c r="J175" s="140"/>
      <c r="K175" s="140"/>
      <c r="L175" s="362"/>
      <c r="M175" s="91"/>
      <c r="N175" s="91"/>
      <c r="O175" s="91"/>
      <c r="P175" s="91"/>
      <c r="Q175" s="91"/>
      <c r="R175" s="91"/>
      <c r="S175" s="533"/>
    </row>
    <row r="176" spans="5:19" ht="16.5" customHeight="1" thickTop="1">
      <c r="F176" s="103" t="s">
        <v>103</v>
      </c>
      <c r="G176" s="104"/>
      <c r="H176" s="104"/>
      <c r="I176" s="104"/>
      <c r="J176" s="93" t="str">
        <f t="shared" ref="J176:S176" si="88">IF(J28="2PH",J161," ")</f>
        <v xml:space="preserve"> </v>
      </c>
      <c r="K176" s="93" t="str">
        <f t="shared" si="88"/>
        <v xml:space="preserve"> </v>
      </c>
      <c r="L176" s="94" t="str">
        <f t="shared" si="88"/>
        <v xml:space="preserve"> </v>
      </c>
      <c r="M176" s="93" t="str">
        <f t="shared" si="88"/>
        <v xml:space="preserve"> </v>
      </c>
      <c r="N176" s="93" t="str">
        <f t="shared" si="88"/>
        <v xml:space="preserve"> </v>
      </c>
      <c r="O176" s="93" t="str">
        <f t="shared" si="88"/>
        <v xml:space="preserve"> </v>
      </c>
      <c r="P176" s="93" t="str">
        <f t="shared" si="88"/>
        <v xml:space="preserve"> </v>
      </c>
      <c r="Q176" s="93" t="str">
        <f t="shared" si="88"/>
        <v xml:space="preserve"> </v>
      </c>
      <c r="R176" s="93" t="str">
        <f t="shared" si="88"/>
        <v xml:space="preserve"> </v>
      </c>
      <c r="S176" s="650" t="str">
        <f t="shared" si="88"/>
        <v xml:space="preserve"> </v>
      </c>
    </row>
    <row r="177" spans="6:19" ht="16.5" customHeight="1">
      <c r="F177" s="30" t="s">
        <v>104</v>
      </c>
      <c r="G177" s="31"/>
      <c r="H177" s="31"/>
      <c r="I177" s="31"/>
      <c r="J177" s="107" t="str">
        <f>IF(J28="2PH",Cfactor(J13,J154,J162,J164,J14,J19,J48,J45)," ")</f>
        <v xml:space="preserve"> </v>
      </c>
      <c r="K177" s="654" t="str">
        <f>IF(K28="2PH",Cfactor(K13,K154,K162,K164,K14,K19,K48,K45)," ")</f>
        <v xml:space="preserve"> </v>
      </c>
      <c r="L177" s="654" t="str">
        <f>IF(L28="2PH",Cfactor(L13,L154,L162,L164,L14,L19,L48,L45)," ")</f>
        <v xml:space="preserve"> </v>
      </c>
      <c r="M177" s="654" t="str">
        <f>IF(M28="2PH",Cfactor(M13,M154,M162,M164,M14,M19,M48,M45)," ")</f>
        <v xml:space="preserve"> </v>
      </c>
      <c r="N177" s="654" t="str">
        <f>IF(N28="2PH",Cfactor(N13,N154,N162,N164,N14,N19,N48,N45)," ")</f>
        <v xml:space="preserve"> </v>
      </c>
      <c r="O177" s="654" t="str">
        <f>IF(O28="2PH",Cfactor(O13,O154,O162,O164,O14,O19,O48,O45)," ")</f>
        <v xml:space="preserve"> </v>
      </c>
      <c r="P177" s="654" t="str">
        <f>IF(P28="2PH",Cfactor(P13,P154,P162,P164,P14,P19,P48,P45)," ")</f>
        <v xml:space="preserve"> </v>
      </c>
      <c r="Q177" s="654" t="str">
        <f>IF(Q28="2PH",Cfactor(Q13,Q154,Q162,Q164,Q14,Q19,Q48,Q45)," ")</f>
        <v xml:space="preserve"> </v>
      </c>
      <c r="R177" s="654" t="str">
        <f>IF(R28="2PH",Cfactor(R13,R154,R162,R164,R14,R19,R48,R45)," ")</f>
        <v xml:space="preserve"> </v>
      </c>
      <c r="S177" s="655" t="str">
        <f>IF(S28="2PH",Cfactor(S13,S154,S162,S164,S14,S19,S48,S45)," ")</f>
        <v xml:space="preserve"> </v>
      </c>
    </row>
    <row r="178" spans="6:19" ht="16.5" customHeight="1">
      <c r="F178" s="30" t="s">
        <v>105</v>
      </c>
      <c r="G178" s="31"/>
      <c r="H178" s="31"/>
      <c r="I178" s="31"/>
      <c r="J178" s="92" t="str">
        <f>IF(J28="2PH",TPHDen(J27,J13,J154,J162,J164,J14,J19,J175,J153,J161,J45)," ")</f>
        <v xml:space="preserve"> </v>
      </c>
      <c r="K178" s="647" t="str">
        <f>IF(K28="2PH",TPHDen(K27,K13,K154,K162,K164,K14,K19,K175,K153,K161,K45)," ")</f>
        <v xml:space="preserve"> </v>
      </c>
      <c r="L178" s="647" t="str">
        <f>IF(L28="2PH",TPHDen(L27,L13,L154,L162,L164,L14,L19,L175,L153,L161,L45)," ")</f>
        <v xml:space="preserve"> </v>
      </c>
      <c r="M178" s="647" t="str">
        <f>IF(M28="2PH",TPHDen(M27,M13,M154,M162,M164,M14,M19,M175,M153,M161,M45)," ")</f>
        <v xml:space="preserve"> </v>
      </c>
      <c r="N178" s="647" t="str">
        <f>IF(N28="2PH",TPHDen(N27,N13,N154,N162,N164,N14,N19,N175,N153,N161,N45)," ")</f>
        <v xml:space="preserve"> </v>
      </c>
      <c r="O178" s="647" t="str">
        <f>IF(O28="2PH",TPHDen(O27,O13,O154,O162,O164,O14,O19,O175,O153,O161,O45)," ")</f>
        <v xml:space="preserve"> </v>
      </c>
      <c r="P178" s="647" t="str">
        <f>IF(P28="2PH",TPHDen(P27,P13,P154,P162,P164,P14,P19,P175,P153,P161,P45)," ")</f>
        <v xml:space="preserve"> </v>
      </c>
      <c r="Q178" s="647" t="str">
        <f>IF(Q28="2PH",TPHDen(Q27,Q13,Q154,Q162,Q164,Q14,Q19,Q175,Q153,Q161,Q45)," ")</f>
        <v xml:space="preserve"> </v>
      </c>
      <c r="R178" s="647" t="str">
        <f>IF(R28="2PH",TPHDen(R27,R13,R154,R162,R164,R14,R19,R175,R153,R161,R45)," ")</f>
        <v xml:space="preserve"> </v>
      </c>
      <c r="S178" s="651" t="str">
        <f>IF(S28="2PH",TPHDen(S27,S13,S154,S162,S164,S14,S19,S175,S153,S161,S45)," ")</f>
        <v xml:space="preserve"> </v>
      </c>
    </row>
    <row r="179" spans="6:19" ht="16.5" customHeight="1">
      <c r="F179" s="30" t="s">
        <v>106</v>
      </c>
      <c r="G179" s="31"/>
      <c r="H179" s="31"/>
      <c r="I179" s="31"/>
      <c r="J179" s="92" t="str">
        <f t="shared" ref="J179:S179" si="89">IF(J28="2PH",J29/(J153/J13+J176/J162)," ")</f>
        <v xml:space="preserve"> </v>
      </c>
      <c r="K179" s="467" t="str">
        <f t="shared" si="89"/>
        <v xml:space="preserve"> </v>
      </c>
      <c r="L179" s="467" t="str">
        <f t="shared" si="89"/>
        <v xml:space="preserve"> </v>
      </c>
      <c r="M179" s="467" t="str">
        <f t="shared" si="89"/>
        <v xml:space="preserve"> </v>
      </c>
      <c r="N179" s="467" t="str">
        <f t="shared" si="89"/>
        <v xml:space="preserve"> </v>
      </c>
      <c r="O179" s="467" t="str">
        <f t="shared" si="89"/>
        <v xml:space="preserve"> </v>
      </c>
      <c r="P179" s="467" t="str">
        <f t="shared" si="89"/>
        <v xml:space="preserve"> </v>
      </c>
      <c r="Q179" s="467" t="str">
        <f t="shared" si="89"/>
        <v xml:space="preserve"> </v>
      </c>
      <c r="R179" s="467" t="str">
        <f t="shared" si="89"/>
        <v xml:space="preserve"> </v>
      </c>
      <c r="S179" s="651" t="str">
        <f t="shared" si="89"/>
        <v xml:space="preserve"> </v>
      </c>
    </row>
    <row r="180" spans="6:19" ht="16.5" customHeight="1">
      <c r="F180" s="30" t="s">
        <v>107</v>
      </c>
      <c r="G180" s="31"/>
      <c r="H180" s="31"/>
      <c r="I180" s="31"/>
      <c r="J180" s="92" t="str">
        <f>IF(J28="2PH",J14*(J153/J13)/(J153/J13+J176/J162)+J19*(J176/J162)/(J153/J13+J176/J162),"")</f>
        <v/>
      </c>
      <c r="K180" s="647" t="str">
        <f t="shared" ref="K180:S180" si="90">IF(K28="2PH",K14*(K153/K13)/(K153/K13+K176/K162)+K19*(K176/K162)/(K153/K13+K176/K162),"")</f>
        <v/>
      </c>
      <c r="L180" s="647" t="str">
        <f t="shared" si="90"/>
        <v/>
      </c>
      <c r="M180" s="647" t="str">
        <f t="shared" si="90"/>
        <v/>
      </c>
      <c r="N180" s="647" t="str">
        <f t="shared" si="90"/>
        <v/>
      </c>
      <c r="O180" s="647" t="str">
        <f t="shared" si="90"/>
        <v/>
      </c>
      <c r="P180" s="647" t="str">
        <f t="shared" si="90"/>
        <v/>
      </c>
      <c r="Q180" s="647" t="str">
        <f t="shared" si="90"/>
        <v/>
      </c>
      <c r="R180" s="647" t="str">
        <f t="shared" si="90"/>
        <v/>
      </c>
      <c r="S180" s="651" t="str">
        <f t="shared" si="90"/>
        <v/>
      </c>
    </row>
    <row r="181" spans="6:19" ht="16.5" customHeight="1">
      <c r="F181" s="30" t="s">
        <v>108</v>
      </c>
      <c r="G181" s="31"/>
      <c r="H181" s="31"/>
      <c r="I181" s="31"/>
      <c r="J181" s="106" t="str">
        <f>IF(J28="2PH",J29/J179/3600/(PI()*J45^2/4)," ")</f>
        <v xml:space="preserve"> </v>
      </c>
      <c r="K181" s="106" t="str">
        <f>IF(K28="2PH",K26/K179/3600/(PI()*K45^2/4)," ")</f>
        <v xml:space="preserve"> </v>
      </c>
      <c r="L181" s="361" t="str">
        <f t="shared" ref="L181:S181" si="91">IF(L28="2PH",L29/L179/3600/(PI()*L45^2/4)," ")</f>
        <v xml:space="preserve"> </v>
      </c>
      <c r="M181" s="106" t="str">
        <f t="shared" si="91"/>
        <v xml:space="preserve"> </v>
      </c>
      <c r="N181" s="106" t="str">
        <f t="shared" si="91"/>
        <v xml:space="preserve"> </v>
      </c>
      <c r="O181" s="106" t="str">
        <f t="shared" si="91"/>
        <v xml:space="preserve"> </v>
      </c>
      <c r="P181" s="106" t="str">
        <f t="shared" si="91"/>
        <v xml:space="preserve"> </v>
      </c>
      <c r="Q181" s="106" t="str">
        <f t="shared" si="91"/>
        <v xml:space="preserve"> </v>
      </c>
      <c r="R181" s="106" t="str">
        <f t="shared" si="91"/>
        <v xml:space="preserve"> </v>
      </c>
      <c r="S181" s="652" t="str">
        <f t="shared" si="91"/>
        <v xml:space="preserve"> </v>
      </c>
    </row>
    <row r="182" spans="6:19" ht="16.5" customHeight="1">
      <c r="F182" s="30" t="s">
        <v>109</v>
      </c>
      <c r="G182" s="31"/>
      <c r="H182" s="31"/>
      <c r="I182" s="31"/>
      <c r="J182" s="92" t="str">
        <f>IF(J28="2PH",IF(J27="DuklerII",N_re_tp(J153,J176,J13,J162,J14,J19,J45),Reynold($G$5,J45,J181,J179,J180,J156,J155))," ")</f>
        <v xml:space="preserve"> </v>
      </c>
      <c r="K182" s="647" t="str">
        <f>IF(K28="2PH",IF(K27="DuklerII",N_re_tp(K153,K176,K13,K162,K14,K19,K45),Reynold($G$5,K45,K181,K179,K180,K156,K155))," ")</f>
        <v xml:space="preserve"> </v>
      </c>
      <c r="L182" s="647" t="str">
        <f>IF(L28="2PH",IF(L27="DuklerII",N_re_tp(L153,L176,L13,L162,L14,L19,L45),Reynold($G$5,L45,L181,L179,L180,L156,L155))," ")</f>
        <v xml:space="preserve"> </v>
      </c>
      <c r="M182" s="647" t="str">
        <f>IF(M28="2PH",IF(M27="DuklerII",N_re_tp(M153,M176,M13,M162,M14,M19,M45),Reynold($G$5,M45,M181,M179,M180,M156,M155))," ")</f>
        <v xml:space="preserve"> </v>
      </c>
      <c r="N182" s="647" t="str">
        <f>IF(N28="2PH",IF(N27="DuklerII",N_re_tp(N153,N176,N13,N162,N14,N19,N45),Reynold($G$5,N45,N181,N179,N180,N156,N155))," ")</f>
        <v xml:space="preserve"> </v>
      </c>
      <c r="O182" s="647" t="str">
        <f>IF(O28="2PH",IF(O27="DuklerII",N_re_tp(O153,O176,O13,O162,O14,O19,O45),Reynold($G$5,O45,O181,O179,O180,O156,O155))," ")</f>
        <v xml:space="preserve"> </v>
      </c>
      <c r="P182" s="647" t="str">
        <f>IF(P28="2PH",IF(P27="DuklerII",N_re_tp(P153,P176,P13,P162,P14,P19,P45),Reynold($G$5,P45,P181,P179,P180,P156,P155))," ")</f>
        <v xml:space="preserve"> </v>
      </c>
      <c r="Q182" s="647" t="str">
        <f>IF(Q28="2PH",IF(Q27="DuklerII",N_re_tp(Q153,Q176,Q13,Q162,Q14,Q19,Q45),Reynold($G$5,Q45,Q181,Q179,Q180,Q156,Q155))," ")</f>
        <v xml:space="preserve"> </v>
      </c>
      <c r="R182" s="647" t="str">
        <f>IF(R28="2PH",IF(R27="DuklerII",N_re_tp(R153,R176,R13,R162,R14,R19,R45),Reynold($G$5,R45,R181,R179,R180,R156,R155))," ")</f>
        <v xml:space="preserve"> </v>
      </c>
      <c r="S182" s="651" t="str">
        <f>IF(S28="2PH",IF(S27="DuklerII",N_re_tp(S153,S176,S13,S162,S14,S19,S45),Reynold($G$5,S45,S181,S179,S180,S156,S155))," ")</f>
        <v xml:space="preserve"> </v>
      </c>
    </row>
    <row r="183" spans="6:19" ht="16.5" customHeight="1">
      <c r="F183" s="30" t="s">
        <v>110</v>
      </c>
      <c r="G183" s="31"/>
      <c r="H183" s="31"/>
      <c r="I183" s="31"/>
      <c r="J183" s="92" t="str">
        <f>IF(J28="2PH",TPHfr(J27,J159,J167,J177,J14,J19,J182,J181,J179,J13,J162,J153,J161,J48,J45,J49)," ")</f>
        <v xml:space="preserve"> </v>
      </c>
      <c r="K183" s="647" t="str">
        <f>IF(K28="2PH",TPHfr(K27,K159,K167,K177,K14,K19,K182,K181,K179,K13,K162,K153,K161,K48,K45,K49)," ")</f>
        <v xml:space="preserve"> </v>
      </c>
      <c r="L183" s="647" t="str">
        <f>IF(L28="2PH",TPHfr(L27,L159,L167,L177,L14,L19,L182,L181,L179,L13,L162,L153,L161,L48,L45,L49)," ")</f>
        <v xml:space="preserve"> </v>
      </c>
      <c r="M183" s="647" t="str">
        <f>IF(M28="2PH",TPHfr(M27,M159,M167,M177,M14,M19,M182,M181,M179,M13,M162,M153,M161,M48,M45,M49)," ")</f>
        <v xml:space="preserve"> </v>
      </c>
      <c r="N183" s="647" t="str">
        <f>IF(N28="2PH",TPHfr(N27,N159,N167,N177,N14,N19,N182,N181,N179,N13,N162,N153,N161,N48,N45,N49)," ")</f>
        <v xml:space="preserve"> </v>
      </c>
      <c r="O183" s="647" t="str">
        <f>IF(O28="2PH",TPHfr(O27,O159,O167,O177,O14,O19,O182,O181,O179,O13,O162,O153,O161,O48,O45,O49)," ")</f>
        <v xml:space="preserve"> </v>
      </c>
      <c r="P183" s="647" t="str">
        <f>IF(P28="2PH",TPHfr(P27,P159,P167,P177,P14,P19,P182,P181,P179,P13,P162,P153,P161,P48,P45,P49)," ")</f>
        <v xml:space="preserve"> </v>
      </c>
      <c r="Q183" s="647" t="str">
        <f>IF(Q28="2PH",TPHfr(Q27,Q159,Q167,Q177,Q14,Q19,Q182,Q181,Q179,Q13,Q162,Q153,Q161,Q48,Q45,Q49)," ")</f>
        <v xml:space="preserve"> </v>
      </c>
      <c r="R183" s="647" t="str">
        <f>IF(R28="2PH",TPHfr(R27,R159,R167,R177,R14,R19,R182,R181,R179,R13,R162,R153,R161,R48,R45,R49)," ")</f>
        <v xml:space="preserve"> </v>
      </c>
      <c r="S183" s="651" t="str">
        <f>IF(S28="2PH",TPHfr(S27,S159,S167,S177,S14,S19,S182,S181,S179,S13,S162,S153,S161,S48,S45,S49)," ")</f>
        <v xml:space="preserve"> </v>
      </c>
    </row>
    <row r="184" spans="6:19" ht="16.5" customHeight="1">
      <c r="F184" s="30" t="s">
        <v>111</v>
      </c>
      <c r="G184" s="31"/>
      <c r="H184" s="31"/>
      <c r="I184" s="31"/>
      <c r="J184" s="115" t="str">
        <f t="shared" ref="J184:S184" si="92">IF(J28="2PH",IF(J27="HTFS",J50*J178/1000/10,IF(J27="Homogeneous",(J50*J179/1000)/10,(J50*J178/1000)/10))," ")</f>
        <v xml:space="preserve"> </v>
      </c>
      <c r="K184" s="115" t="str">
        <f t="shared" si="92"/>
        <v xml:space="preserve"> </v>
      </c>
      <c r="L184" s="115" t="str">
        <f t="shared" si="92"/>
        <v xml:space="preserve"> </v>
      </c>
      <c r="M184" s="115" t="str">
        <f t="shared" si="92"/>
        <v xml:space="preserve"> </v>
      </c>
      <c r="N184" s="115" t="str">
        <f t="shared" si="92"/>
        <v xml:space="preserve"> </v>
      </c>
      <c r="O184" s="115" t="str">
        <f t="shared" si="92"/>
        <v xml:space="preserve"> </v>
      </c>
      <c r="P184" s="115" t="str">
        <f t="shared" si="92"/>
        <v xml:space="preserve"> </v>
      </c>
      <c r="Q184" s="115" t="str">
        <f t="shared" si="92"/>
        <v xml:space="preserve"> </v>
      </c>
      <c r="R184" s="115" t="str">
        <f t="shared" si="92"/>
        <v xml:space="preserve"> </v>
      </c>
      <c r="S184" s="658" t="str">
        <f t="shared" si="92"/>
        <v xml:space="preserve"> </v>
      </c>
    </row>
    <row r="185" spans="6:19" ht="16.5" customHeight="1">
      <c r="F185" s="30" t="s">
        <v>112</v>
      </c>
      <c r="G185" s="31"/>
      <c r="H185" s="31"/>
      <c r="I185" s="31"/>
      <c r="J185" s="92" t="str">
        <f>IF(AND(J28="2PH",J27="HTFS"),dp_acc(J13,J154,J162,J164,J45,J183,J184,J30,J161)," ")</f>
        <v xml:space="preserve"> </v>
      </c>
      <c r="K185" s="467" t="str">
        <f>IF(AND(K28="2PH",K27="HTFS"),dp_acc(K13,K154,K162,K164,K45,K183,K184,K30,K161)," ")</f>
        <v xml:space="preserve"> </v>
      </c>
      <c r="L185" s="467" t="str">
        <f>IF(AND(L28="2PH",L27="HTFS"),dp_acc(L13,L154,L162,L164,L45,L183,L184,L30,L161)," ")</f>
        <v xml:space="preserve"> </v>
      </c>
      <c r="M185" s="467" t="str">
        <f>IF(AND(M28="2PH",M27="HTFS"),dp_acc(M13,M154,M162,M164,M45,M183,M184,M30,M161)," ")</f>
        <v xml:space="preserve"> </v>
      </c>
      <c r="N185" s="467" t="str">
        <f>IF(AND(N28="2PH",N27="HTFS"),dp_acc(N13,N154,N162,N164,N45,N183,N184,N30,N161)," ")</f>
        <v xml:space="preserve"> </v>
      </c>
      <c r="O185" s="467" t="str">
        <f>IF(AND(O28="2PH",O27="HTFS"),dp_acc(O13,O154,O162,O164,O45,O183,O184,O30,O161)," ")</f>
        <v xml:space="preserve"> </v>
      </c>
      <c r="P185" s="467" t="str">
        <f>IF(AND(P28="2PH",P27="HTFS"),dp_acc(P13,P154,P162,P164,P45,P183,P184,P30,P161)," ")</f>
        <v xml:space="preserve"> </v>
      </c>
      <c r="Q185" s="467" t="str">
        <f>IF(AND(Q28="2PH",Q27="HTFS"),dp_acc(Q13,Q154,Q162,Q164,Q45,Q183,Q184,Q30,Q161)," ")</f>
        <v xml:space="preserve"> </v>
      </c>
      <c r="R185" s="467" t="str">
        <f>IF(AND(R28="2PH",R27="HTFS"),dp_acc(R13,R154,R162,R164,R45,R183,R184,R30,R161)," ")</f>
        <v xml:space="preserve"> </v>
      </c>
      <c r="S185" s="651" t="str">
        <f>IF(AND(S28="2PH",S27="HTFS"),dp_acc(S13,S154,S162,S164,S45,S183,S184,S30,S161)," ")</f>
        <v xml:space="preserve"> </v>
      </c>
    </row>
    <row r="186" spans="6:19" ht="16.5" customHeight="1" thickBot="1">
      <c r="F186" s="116" t="s">
        <v>113</v>
      </c>
      <c r="G186" s="37"/>
      <c r="H186" s="37"/>
      <c r="I186" s="37"/>
      <c r="J186" s="117" t="str">
        <f>IF(AND(J28="2PH",J27="HTFS"),MachNo(J13,J154,J162,J164,J30)," ")</f>
        <v xml:space="preserve"> </v>
      </c>
      <c r="K186" s="117" t="str">
        <f>IF(AND(K28="2PH",K27="HTFS"),MachNo(K13,K154,K162,K164,K30)," ")</f>
        <v xml:space="preserve"> </v>
      </c>
      <c r="L186" s="117" t="str">
        <f>IF(AND(L28="2PH",L27="HTFS"),MachNo(L13,L154,L162,L164,L30)," ")</f>
        <v xml:space="preserve"> </v>
      </c>
      <c r="M186" s="117" t="str">
        <f>IF(AND(M28="2PH",M27="HTFS"),MachNo(M13,M154,M162,M164,M30)," ")</f>
        <v xml:space="preserve"> </v>
      </c>
      <c r="N186" s="117" t="str">
        <f>IF(AND(N28="2PH",N27="HTFS"),MachNo(N13,N154,N162,N164,N30)," ")</f>
        <v xml:space="preserve"> </v>
      </c>
      <c r="O186" s="117" t="str">
        <f>IF(AND(O28="2PH",O27="HTFS"),MachNo(O13,O154,O162,O164,O30)," ")</f>
        <v xml:space="preserve"> </v>
      </c>
      <c r="P186" s="117" t="str">
        <f>IF(AND(P28="2PH",P27="HTFS"),MachNo(P13,P154,P162,P164,P30)," ")</f>
        <v xml:space="preserve"> </v>
      </c>
      <c r="Q186" s="117" t="str">
        <f>IF(AND(Q28="2PH",Q27="HTFS"),MachNo(Q13,Q154,Q162,Q164,Q30)," ")</f>
        <v xml:space="preserve"> </v>
      </c>
      <c r="R186" s="117" t="str">
        <f>IF(AND(R28="2PH",R27="HTFS"),MachNo(R13,R154,R162,R164,R30)," ")</f>
        <v xml:space="preserve"> </v>
      </c>
      <c r="S186" s="656" t="str">
        <f>IF(AND(S28="2PH",S27="HTFS"),MachNo(S13,S154,S162,S164,S30)," ")</f>
        <v xml:space="preserve"> </v>
      </c>
    </row>
    <row r="187" spans="6:19" ht="16.5" customHeight="1">
      <c r="M187" s="149"/>
    </row>
    <row r="188" spans="6:19" ht="16.5" customHeight="1" thickBot="1">
      <c r="F188" s="29" t="s">
        <v>114</v>
      </c>
      <c r="G188" s="29"/>
      <c r="H188" s="29"/>
      <c r="M188" s="149"/>
    </row>
    <row r="189" spans="6:19" ht="16.5" customHeight="1">
      <c r="F189" s="118" t="s">
        <v>115</v>
      </c>
      <c r="G189" s="119"/>
      <c r="H189" s="119"/>
      <c r="I189" s="119"/>
      <c r="J189" s="90" t="str">
        <f>IF(J28="2PH",IF(J157&gt;=1800,J154*(J14*0.001/(J45^5*9.806^4*J13))^(1/7)*(J162/(J13-J162))^(4/7),J164*J14*0.001/(J45^2*9.806*(J13-J162)))," ")</f>
        <v xml:space="preserve"> </v>
      </c>
      <c r="K189" s="646" t="str">
        <f t="shared" ref="K189:S189" si="93">IF(K28="2PH",IF(K157&gt;=1800,K154*(K14*0.001/(K45^5*9.806^4*K13))^(1/7)*(K162/(K13-K162))^(4/7),K164*K14*0.001/(K45^2*9.806*(K13-K162)))," ")</f>
        <v xml:space="preserve"> </v>
      </c>
      <c r="L189" s="646" t="str">
        <f t="shared" si="93"/>
        <v xml:space="preserve"> </v>
      </c>
      <c r="M189" s="646" t="str">
        <f t="shared" si="93"/>
        <v xml:space="preserve"> </v>
      </c>
      <c r="N189" s="646" t="str">
        <f t="shared" si="93"/>
        <v xml:space="preserve"> </v>
      </c>
      <c r="O189" s="646" t="str">
        <f t="shared" si="93"/>
        <v xml:space="preserve"> </v>
      </c>
      <c r="P189" s="646" t="str">
        <f t="shared" si="93"/>
        <v xml:space="preserve"> </v>
      </c>
      <c r="Q189" s="646" t="str">
        <f t="shared" si="93"/>
        <v xml:space="preserve"> </v>
      </c>
      <c r="R189" s="646" t="str">
        <f t="shared" si="93"/>
        <v xml:space="preserve"> </v>
      </c>
      <c r="S189" s="657" t="str">
        <f t="shared" si="93"/>
        <v xml:space="preserve"> </v>
      </c>
    </row>
    <row r="190" spans="6:19" ht="16.5" customHeight="1">
      <c r="F190" s="30"/>
      <c r="G190" s="31"/>
      <c r="H190" s="31"/>
      <c r="I190" s="31"/>
      <c r="J190" s="92" t="str">
        <f t="shared" ref="J190:S190" si="94">IF(J28="2PH",J164*SQRT(J162/(9.806*J45*(J13-J162)))," ")</f>
        <v xml:space="preserve"> </v>
      </c>
      <c r="K190" s="467" t="str">
        <f t="shared" si="94"/>
        <v xml:space="preserve"> </v>
      </c>
      <c r="L190" s="467" t="str">
        <f t="shared" si="94"/>
        <v xml:space="preserve"> </v>
      </c>
      <c r="M190" s="467" t="str">
        <f t="shared" si="94"/>
        <v xml:space="preserve"> </v>
      </c>
      <c r="N190" s="467" t="str">
        <f t="shared" si="94"/>
        <v xml:space="preserve"> </v>
      </c>
      <c r="O190" s="467" t="str">
        <f t="shared" si="94"/>
        <v xml:space="preserve"> </v>
      </c>
      <c r="P190" s="467" t="str">
        <f t="shared" si="94"/>
        <v xml:space="preserve"> </v>
      </c>
      <c r="Q190" s="467" t="str">
        <f t="shared" si="94"/>
        <v xml:space="preserve"> </v>
      </c>
      <c r="R190" s="467" t="str">
        <f t="shared" si="94"/>
        <v xml:space="preserve"> </v>
      </c>
      <c r="S190" s="536" t="str">
        <f t="shared" si="94"/>
        <v xml:space="preserve"> </v>
      </c>
    </row>
    <row r="191" spans="6:19" ht="16.5" customHeight="1">
      <c r="F191" s="30"/>
      <c r="G191" s="31"/>
      <c r="H191" s="31"/>
      <c r="I191" s="31"/>
      <c r="J191" s="121" t="str">
        <f>IF(J28="2PH",Simpson(J189,J190,J157)," ")</f>
        <v xml:space="preserve"> </v>
      </c>
      <c r="K191" s="121" t="str">
        <f>IF(K28="2PH",Simpson(K189,K190,K157)," ")</f>
        <v xml:space="preserve"> </v>
      </c>
      <c r="L191" s="363" t="str">
        <f>IF(L28="2PH",Simpson(L189,L190,L157)," ")</f>
        <v xml:space="preserve"> </v>
      </c>
      <c r="M191" s="121" t="str">
        <f>IF(M28="2PH",Simpson(M189,M190,M157)," ")</f>
        <v xml:space="preserve"> </v>
      </c>
      <c r="N191" s="121" t="str">
        <f>IF(N28="2PH",Simpson(N189,N190,N157)," ")</f>
        <v xml:space="preserve"> </v>
      </c>
      <c r="O191" s="121" t="str">
        <f>IF(O28="2PH",Simpson(O189,O190,O157)," ")</f>
        <v xml:space="preserve"> </v>
      </c>
      <c r="P191" s="121" t="str">
        <f>IF(P28="2PH",Simpson(P189,P190,P157)," ")</f>
        <v xml:space="preserve"> </v>
      </c>
      <c r="Q191" s="121" t="str">
        <f>IF(Q28="2PH",Simpson(Q189,Q190,Q157)," ")</f>
        <v xml:space="preserve"> </v>
      </c>
      <c r="R191" s="121" t="str">
        <f>IF(R28="2PH",Simpson(R189,R190,R157)," ")</f>
        <v xml:space="preserve"> </v>
      </c>
      <c r="S191" s="540" t="str">
        <f>IF(S28="2PH",Simpson(S189,S190,S157)," ")</f>
        <v xml:space="preserve"> </v>
      </c>
    </row>
    <row r="192" spans="6:19" ht="16.5" customHeight="1">
      <c r="F192" s="122" t="s">
        <v>116</v>
      </c>
      <c r="G192" s="345"/>
      <c r="H192" s="345"/>
      <c r="I192" s="123"/>
      <c r="J192" s="124" t="str">
        <f t="shared" ref="J192:S192" si="95">IF(J28="2PH",(J164+J154)^2/(9.806*J45)," ")</f>
        <v xml:space="preserve"> </v>
      </c>
      <c r="K192" s="125" t="str">
        <f t="shared" si="95"/>
        <v xml:space="preserve"> </v>
      </c>
      <c r="L192" s="364" t="str">
        <f t="shared" si="95"/>
        <v xml:space="preserve"> </v>
      </c>
      <c r="M192" s="124" t="str">
        <f t="shared" si="95"/>
        <v xml:space="preserve"> </v>
      </c>
      <c r="N192" s="124" t="str">
        <f t="shared" si="95"/>
        <v xml:space="preserve"> </v>
      </c>
      <c r="O192" s="124" t="str">
        <f t="shared" si="95"/>
        <v xml:space="preserve"> </v>
      </c>
      <c r="P192" s="124" t="str">
        <f t="shared" si="95"/>
        <v xml:space="preserve"> </v>
      </c>
      <c r="Q192" s="124" t="str">
        <f t="shared" si="95"/>
        <v xml:space="preserve"> </v>
      </c>
      <c r="R192" s="124" t="str">
        <f t="shared" si="95"/>
        <v xml:space="preserve"> </v>
      </c>
      <c r="S192" s="541" t="str">
        <f t="shared" si="95"/>
        <v xml:space="preserve"> </v>
      </c>
    </row>
    <row r="193" spans="6:19" ht="16.5" customHeight="1">
      <c r="F193" s="30"/>
      <c r="G193" s="31"/>
      <c r="H193" s="31"/>
      <c r="I193" s="31"/>
      <c r="J193" s="92" t="str">
        <f t="shared" ref="J193:S193" si="96">IF(J28="2PH",J164/(J164+J154)," ")</f>
        <v xml:space="preserve"> </v>
      </c>
      <c r="K193" s="92" t="str">
        <f t="shared" si="96"/>
        <v xml:space="preserve"> </v>
      </c>
      <c r="L193" s="149" t="str">
        <f t="shared" si="96"/>
        <v xml:space="preserve"> </v>
      </c>
      <c r="M193" s="92" t="str">
        <f t="shared" si="96"/>
        <v xml:space="preserve"> </v>
      </c>
      <c r="N193" s="92" t="str">
        <f t="shared" si="96"/>
        <v xml:space="preserve"> </v>
      </c>
      <c r="O193" s="92" t="str">
        <f t="shared" si="96"/>
        <v xml:space="preserve"> </v>
      </c>
      <c r="P193" s="92" t="str">
        <f t="shared" si="96"/>
        <v xml:space="preserve"> </v>
      </c>
      <c r="Q193" s="92" t="str">
        <f t="shared" si="96"/>
        <v xml:space="preserve"> </v>
      </c>
      <c r="R193" s="92" t="str">
        <f t="shared" si="96"/>
        <v xml:space="preserve"> </v>
      </c>
      <c r="S193" s="536" t="str">
        <f t="shared" si="96"/>
        <v xml:space="preserve"> </v>
      </c>
    </row>
    <row r="194" spans="6:19" ht="16.5" customHeight="1">
      <c r="F194" s="30"/>
      <c r="G194" s="31"/>
      <c r="H194" s="31"/>
      <c r="I194" s="31"/>
      <c r="J194" s="127" t="str">
        <f>IF(J28="2PH",Griffith(J192,J193)," ")</f>
        <v xml:space="preserve"> </v>
      </c>
      <c r="K194" s="126" t="str">
        <f>IF(K28="2PH",Griffith(K192,K193)," ")</f>
        <v xml:space="preserve"> </v>
      </c>
      <c r="L194" s="365" t="str">
        <f>IF(L28="2PH",Griffith(L192,L193)," ")</f>
        <v xml:space="preserve"> </v>
      </c>
      <c r="M194" s="126" t="str">
        <f>IF(M28="2PH",Griffith(M192,M193)," ")</f>
        <v xml:space="preserve"> </v>
      </c>
      <c r="N194" s="126" t="str">
        <f>IF(N28="2PH",Griffith(N192,N193)," ")</f>
        <v xml:space="preserve"> </v>
      </c>
      <c r="O194" s="126" t="str">
        <f>IF(O28="2PH",Griffith(O192,O193)," ")</f>
        <v xml:space="preserve"> </v>
      </c>
      <c r="P194" s="126" t="str">
        <f>IF(P28="2PH",Griffith(P192,P193)," ")</f>
        <v xml:space="preserve"> </v>
      </c>
      <c r="Q194" s="126" t="str">
        <f>IF(Q28="2PH",Griffith(Q192,Q193)," ")</f>
        <v xml:space="preserve"> </v>
      </c>
      <c r="R194" s="126" t="str">
        <f>IF(R28="2PH",Griffith(R192,R193)," ")</f>
        <v xml:space="preserve"> </v>
      </c>
      <c r="S194" s="542" t="str">
        <f>IF(S28="2PH",Griffith(S192,S193)," ")</f>
        <v xml:space="preserve"> </v>
      </c>
    </row>
    <row r="195" spans="6:19" ht="16.5" customHeight="1">
      <c r="F195" s="122" t="s">
        <v>117</v>
      </c>
      <c r="G195" s="345"/>
      <c r="H195" s="345"/>
      <c r="I195" s="123"/>
      <c r="J195" s="39" t="str">
        <f>IF(J28="2PH",DuklerV(J196,J197,J198,J199,J200,J201,J202),"")</f>
        <v/>
      </c>
      <c r="K195" s="39" t="str">
        <f>IF(K28="2PH",DuklerV(K196,K197,K198,K199,K200,K201,K202),"")</f>
        <v/>
      </c>
      <c r="L195" s="128" t="str">
        <f>IF(L28="2PH",DuklerV(L196,L197,L198,L199,L200,L201,L202),"")</f>
        <v/>
      </c>
      <c r="M195" s="39" t="str">
        <f>IF(M28="2PH",DuklerV(M196,M197,M198,M199,M200,M201,M202),"")</f>
        <v/>
      </c>
      <c r="N195" s="39" t="str">
        <f>IF(N28="2PH",DuklerV(N196,N197,N198,N199,N200,N201,N202),"")</f>
        <v/>
      </c>
      <c r="O195" s="39" t="str">
        <f>IF(O28="2PH",DuklerV(O196,O197,O198,O199,O200,O201,O202),"")</f>
        <v/>
      </c>
      <c r="P195" s="39" t="str">
        <f>IF(P28="2PH",DuklerV(P196,P197,P198,P199,P200,P201,P202),"")</f>
        <v/>
      </c>
      <c r="Q195" s="39" t="str">
        <f>IF(Q28="2PH",DuklerV(Q196,Q197,Q198,Q199,Q200,Q201,Q202),"")</f>
        <v/>
      </c>
      <c r="R195" s="39" t="str">
        <f>IF(R28="2PH",DuklerV(R196,R197,R198,R199,R200,R201,R202),"")</f>
        <v/>
      </c>
      <c r="S195" s="543" t="str">
        <f>IF(S28="2PH",DuklerV(S196,S197,S198,S199,S200,S201,S202),"")</f>
        <v/>
      </c>
    </row>
    <row r="196" spans="6:19" ht="16.5" customHeight="1">
      <c r="F196" s="122" t="s">
        <v>118</v>
      </c>
      <c r="G196" s="345"/>
      <c r="H196" s="345"/>
      <c r="I196" s="123"/>
      <c r="J196" s="124" t="str">
        <f t="shared" ref="J196:S196" si="97">IF(J28="2PH",J164*SQRT(J13)/(9.806*(J13-J162)*(J17*0.001))^0.25,"")</f>
        <v/>
      </c>
      <c r="K196" s="124" t="str">
        <f t="shared" si="97"/>
        <v/>
      </c>
      <c r="L196" s="124" t="str">
        <f t="shared" si="97"/>
        <v/>
      </c>
      <c r="M196" s="124" t="str">
        <f t="shared" si="97"/>
        <v/>
      </c>
      <c r="N196" s="124" t="str">
        <f t="shared" si="97"/>
        <v/>
      </c>
      <c r="O196" s="124" t="str">
        <f t="shared" si="97"/>
        <v/>
      </c>
      <c r="P196" s="124" t="str">
        <f t="shared" si="97"/>
        <v/>
      </c>
      <c r="Q196" s="124" t="str">
        <f t="shared" si="97"/>
        <v/>
      </c>
      <c r="R196" s="124" t="str">
        <f t="shared" si="97"/>
        <v/>
      </c>
      <c r="S196" s="541" t="str">
        <f t="shared" si="97"/>
        <v/>
      </c>
    </row>
    <row r="197" spans="6:19" ht="16.5" customHeight="1">
      <c r="F197" s="100" t="s">
        <v>119</v>
      </c>
      <c r="G197" s="101"/>
      <c r="H197" s="101"/>
      <c r="I197" s="31"/>
      <c r="J197" s="92" t="str">
        <f t="shared" ref="J197:S197" si="98">IF(J$28="2PH",J154/J164,"")</f>
        <v/>
      </c>
      <c r="K197" s="92" t="str">
        <f t="shared" si="98"/>
        <v/>
      </c>
      <c r="L197" s="149" t="str">
        <f t="shared" si="98"/>
        <v/>
      </c>
      <c r="M197" s="92" t="str">
        <f t="shared" si="98"/>
        <v/>
      </c>
      <c r="N197" s="92" t="str">
        <f t="shared" si="98"/>
        <v/>
      </c>
      <c r="O197" s="92" t="str">
        <f t="shared" si="98"/>
        <v/>
      </c>
      <c r="P197" s="92" t="str">
        <f t="shared" si="98"/>
        <v/>
      </c>
      <c r="Q197" s="92" t="str">
        <f t="shared" si="98"/>
        <v/>
      </c>
      <c r="R197" s="92" t="str">
        <f t="shared" si="98"/>
        <v/>
      </c>
      <c r="S197" s="536" t="str">
        <f t="shared" si="98"/>
        <v/>
      </c>
    </row>
    <row r="198" spans="6:19" ht="16.5" customHeight="1">
      <c r="F198" s="122" t="s">
        <v>120</v>
      </c>
      <c r="G198" s="345"/>
      <c r="H198" s="345"/>
      <c r="I198" s="123"/>
      <c r="J198" s="124" t="str">
        <f t="shared" ref="J198:S198" si="99">IF(J$28="2PH",(J164+J154)/SQRT(9.806*J45),"")</f>
        <v/>
      </c>
      <c r="K198" s="124" t="str">
        <f t="shared" si="99"/>
        <v/>
      </c>
      <c r="L198" s="364" t="str">
        <f t="shared" si="99"/>
        <v/>
      </c>
      <c r="M198" s="124" t="str">
        <f t="shared" si="99"/>
        <v/>
      </c>
      <c r="N198" s="124" t="str">
        <f t="shared" si="99"/>
        <v/>
      </c>
      <c r="O198" s="124" t="str">
        <f t="shared" si="99"/>
        <v/>
      </c>
      <c r="P198" s="124" t="str">
        <f t="shared" si="99"/>
        <v/>
      </c>
      <c r="Q198" s="124" t="str">
        <f t="shared" si="99"/>
        <v/>
      </c>
      <c r="R198" s="124" t="str">
        <f t="shared" si="99"/>
        <v/>
      </c>
      <c r="S198" s="541" t="str">
        <f t="shared" si="99"/>
        <v/>
      </c>
    </row>
    <row r="199" spans="6:19" ht="16.5" customHeight="1">
      <c r="F199" s="30" t="s">
        <v>121</v>
      </c>
      <c r="G199" s="31"/>
      <c r="H199" s="31"/>
      <c r="I199" s="31"/>
      <c r="J199" s="92" t="str">
        <f t="shared" ref="J199:S199" si="100">IF(J$28="2PH",J164/(J164+J154),"")</f>
        <v/>
      </c>
      <c r="K199" s="92" t="str">
        <f t="shared" si="100"/>
        <v/>
      </c>
      <c r="L199" s="149" t="str">
        <f t="shared" si="100"/>
        <v/>
      </c>
      <c r="M199" s="92" t="str">
        <f t="shared" si="100"/>
        <v/>
      </c>
      <c r="N199" s="92" t="str">
        <f t="shared" si="100"/>
        <v/>
      </c>
      <c r="O199" s="92" t="str">
        <f t="shared" si="100"/>
        <v/>
      </c>
      <c r="P199" s="92" t="str">
        <f t="shared" si="100"/>
        <v/>
      </c>
      <c r="Q199" s="92" t="str">
        <f t="shared" si="100"/>
        <v/>
      </c>
      <c r="R199" s="92" t="str">
        <f t="shared" si="100"/>
        <v/>
      </c>
      <c r="S199" s="536" t="str">
        <f t="shared" si="100"/>
        <v/>
      </c>
    </row>
    <row r="200" spans="6:19" ht="16.5" customHeight="1">
      <c r="F200" s="100"/>
      <c r="G200" s="101"/>
      <c r="H200" s="101"/>
      <c r="I200" s="101"/>
      <c r="J200" s="92" t="str">
        <f t="shared" ref="J200:S200" si="101">IF(J$28="2PH",J13*(J154+J164)*J45/(J14*0.001),"")</f>
        <v/>
      </c>
      <c r="K200" s="467" t="str">
        <f t="shared" si="101"/>
        <v/>
      </c>
      <c r="L200" s="467" t="str">
        <f t="shared" si="101"/>
        <v/>
      </c>
      <c r="M200" s="467" t="str">
        <f t="shared" si="101"/>
        <v/>
      </c>
      <c r="N200" s="467" t="str">
        <f t="shared" si="101"/>
        <v/>
      </c>
      <c r="O200" s="467" t="str">
        <f t="shared" si="101"/>
        <v/>
      </c>
      <c r="P200" s="467" t="str">
        <f t="shared" si="101"/>
        <v/>
      </c>
      <c r="Q200" s="467" t="str">
        <f t="shared" si="101"/>
        <v/>
      </c>
      <c r="R200" s="467" t="str">
        <f t="shared" si="101"/>
        <v/>
      </c>
      <c r="S200" s="587" t="str">
        <f t="shared" si="101"/>
        <v/>
      </c>
    </row>
    <row r="201" spans="6:19" ht="16.5" customHeight="1">
      <c r="F201" s="122" t="s">
        <v>122</v>
      </c>
      <c r="G201" s="345"/>
      <c r="H201" s="345"/>
      <c r="I201" s="123"/>
      <c r="J201" s="129" t="str">
        <f t="shared" ref="J201:S201" si="102">IF(J$28="2PH",SQRT(J159/J167),"")</f>
        <v/>
      </c>
      <c r="K201" s="129" t="str">
        <f t="shared" si="102"/>
        <v/>
      </c>
      <c r="L201" s="366" t="str">
        <f t="shared" si="102"/>
        <v/>
      </c>
      <c r="M201" s="129" t="str">
        <f t="shared" si="102"/>
        <v/>
      </c>
      <c r="N201" s="129" t="str">
        <f t="shared" si="102"/>
        <v/>
      </c>
      <c r="O201" s="129" t="str">
        <f t="shared" si="102"/>
        <v/>
      </c>
      <c r="P201" s="129" t="str">
        <f t="shared" si="102"/>
        <v/>
      </c>
      <c r="Q201" s="129" t="str">
        <f t="shared" si="102"/>
        <v/>
      </c>
      <c r="R201" s="129" t="str">
        <f t="shared" si="102"/>
        <v/>
      </c>
      <c r="S201" s="544" t="str">
        <f t="shared" si="102"/>
        <v/>
      </c>
    </row>
    <row r="202" spans="6:19" ht="16.5" customHeight="1" thickBot="1">
      <c r="F202" s="130" t="s">
        <v>123</v>
      </c>
      <c r="G202" s="346"/>
      <c r="H202" s="346"/>
      <c r="I202" s="37"/>
      <c r="J202" s="109" t="str">
        <f>IF(J$28="2PH",J164*SQRT(J162)/(9.806*(J13-J162)*(J14*0.001))^0.25,"")</f>
        <v/>
      </c>
      <c r="K202" s="109" t="str">
        <f>IF(K$28="2PH",K164*SQRT(K162)/(9.806*(#REF!-K162)*(#REF!*0.001))^0.25,"")</f>
        <v/>
      </c>
      <c r="L202" s="131" t="str">
        <f>IF(L$28="2PH",L164*SQRT(L162)/(9.806*(#REF!-L162)*(#REF!*0.001))^0.25,"")</f>
        <v/>
      </c>
      <c r="M202" s="109" t="str">
        <f>IF(M$28="2PH",M164*SQRT(M162)/(9.806*(#REF!-M162)*(#REF!*0.001))^0.25,"")</f>
        <v/>
      </c>
      <c r="N202" s="109" t="str">
        <f>IF(N$28="2PH",N164*SQRT(N162)/(9.806*(#REF!-N162)*(#REF!*0.001))^0.25,"")</f>
        <v/>
      </c>
      <c r="O202" s="109" t="str">
        <f>IF(O$28="2PH",O164*SQRT(O162)/(9.806*(#REF!-O162)*(#REF!*0.001))^0.25,"")</f>
        <v/>
      </c>
      <c r="P202" s="109" t="str">
        <f>IF(P$28="2PH",P164*SQRT(P162)/(9.806*(#REF!-P162)*(#REF!*0.001))^0.25,"")</f>
        <v/>
      </c>
      <c r="Q202" s="109" t="str">
        <f>IF(Q$28="2PH",Q164*SQRT(Q162)/(9.806*(#REF!-Q162)*(#REF!*0.001))^0.25,"")</f>
        <v/>
      </c>
      <c r="R202" s="109" t="str">
        <f>IF(R$28="2PH",R164*SQRT(R162)/(9.806*(#REF!-R162)*(#REF!*0.001))^0.25,"")</f>
        <v/>
      </c>
      <c r="S202" s="539" t="str">
        <f>IF(S$28="2PH",S164*SQRT(S162)/(9.806*(#REF!-S162)*(#REF!*0.001))^0.25,"")</f>
        <v/>
      </c>
    </row>
    <row r="203" spans="6:19" ht="16.5" customHeight="1">
      <c r="M203" s="149"/>
    </row>
    <row r="204" spans="6:19" ht="16.5" customHeight="1" thickBot="1">
      <c r="F204" s="29" t="s">
        <v>124</v>
      </c>
      <c r="G204" s="29"/>
      <c r="H204" s="29"/>
      <c r="M204" s="149"/>
    </row>
    <row r="205" spans="6:19" ht="16.5" customHeight="1">
      <c r="F205" s="118" t="s">
        <v>117</v>
      </c>
      <c r="G205" s="119"/>
      <c r="H205" s="119"/>
      <c r="I205" s="119"/>
      <c r="J205" s="132" t="str">
        <f t="shared" ref="J205:S205" si="103">IF(J$28="2PH",SQRT(J159/J167),"")</f>
        <v/>
      </c>
      <c r="K205" s="132" t="str">
        <f t="shared" si="103"/>
        <v/>
      </c>
      <c r="L205" s="133" t="str">
        <f t="shared" si="103"/>
        <v/>
      </c>
      <c r="M205" s="132" t="str">
        <f t="shared" si="103"/>
        <v/>
      </c>
      <c r="N205" s="132" t="str">
        <f t="shared" si="103"/>
        <v/>
      </c>
      <c r="O205" s="132" t="str">
        <f t="shared" si="103"/>
        <v/>
      </c>
      <c r="P205" s="132" t="str">
        <f t="shared" si="103"/>
        <v/>
      </c>
      <c r="Q205" s="132" t="str">
        <f t="shared" si="103"/>
        <v/>
      </c>
      <c r="R205" s="132" t="str">
        <f t="shared" si="103"/>
        <v/>
      </c>
      <c r="S205" s="545" t="str">
        <f t="shared" si="103"/>
        <v/>
      </c>
    </row>
    <row r="206" spans="6:19" ht="16.5" customHeight="1">
      <c r="F206" s="30"/>
      <c r="G206" s="31"/>
      <c r="H206" s="31"/>
      <c r="I206" s="31"/>
      <c r="J206" s="92" t="str">
        <f t="shared" ref="J206:S206" si="104">IF(J$28="2PH",J190,"")</f>
        <v/>
      </c>
      <c r="K206" s="92" t="str">
        <f t="shared" si="104"/>
        <v/>
      </c>
      <c r="L206" s="149" t="str">
        <f t="shared" si="104"/>
        <v/>
      </c>
      <c r="M206" s="92" t="str">
        <f t="shared" si="104"/>
        <v/>
      </c>
      <c r="N206" s="92" t="str">
        <f t="shared" si="104"/>
        <v/>
      </c>
      <c r="O206" s="92" t="str">
        <f t="shared" si="104"/>
        <v/>
      </c>
      <c r="P206" s="92" t="str">
        <f t="shared" si="104"/>
        <v/>
      </c>
      <c r="Q206" s="92" t="str">
        <f t="shared" si="104"/>
        <v/>
      </c>
      <c r="R206" s="92" t="str">
        <f t="shared" si="104"/>
        <v/>
      </c>
      <c r="S206" s="536" t="str">
        <f t="shared" si="104"/>
        <v/>
      </c>
    </row>
    <row r="207" spans="6:19" ht="16.5" customHeight="1">
      <c r="F207" s="30"/>
      <c r="G207" s="31"/>
      <c r="H207" s="31"/>
      <c r="I207" s="31"/>
      <c r="J207" s="92" t="str">
        <f>IF(J$28="2PH",SQRT(J159*0.9806*100000/9.806/(#REF!-J162)),"")</f>
        <v/>
      </c>
      <c r="K207" s="92" t="str">
        <f>IF(K$28="2PH",SQRT(K159*0.9806*100000/9.806/(#REF!-K162)),"")</f>
        <v/>
      </c>
      <c r="L207" s="149" t="str">
        <f>IF(L$28="2PH",SQRT(L159*0.9806*100000/9.806/(#REF!-L162)),"")</f>
        <v/>
      </c>
      <c r="M207" s="92" t="str">
        <f>IF(M$28="2PH",SQRT(M159*0.9806*100000/9.806/(#REF!-M162)),"")</f>
        <v/>
      </c>
      <c r="N207" s="92" t="str">
        <f>IF(N$28="2PH",SQRT(N159*0.9806*100000/9.806/(#REF!-N162)),"")</f>
        <v/>
      </c>
      <c r="O207" s="92" t="str">
        <f>IF(O$28="2PH",SQRT(O159*0.9806*100000/9.806/(#REF!-O162)),"")</f>
        <v/>
      </c>
      <c r="P207" s="92" t="str">
        <f>IF(P$28="2PH",SQRT(P159*0.9806*100000/9.806/(#REF!-P162)),"")</f>
        <v/>
      </c>
      <c r="Q207" s="92" t="str">
        <f>IF(Q$28="2PH",SQRT(Q159*0.9806*100000/9.806/(#REF!-Q162)),"")</f>
        <v/>
      </c>
      <c r="R207" s="92" t="str">
        <f>IF(R$28="2PH",SQRT(R159*0.9806*100000/9.806/(#REF!-R162)),"")</f>
        <v/>
      </c>
      <c r="S207" s="536" t="str">
        <f>IF(S$28="2PH",SQRT(S159*0.9806*100000/9.806/(#REF!-S162)),"")</f>
        <v/>
      </c>
    </row>
    <row r="208" spans="6:19" ht="16.5" customHeight="1">
      <c r="F208" s="30"/>
      <c r="G208" s="31"/>
      <c r="H208" s="31"/>
      <c r="I208" s="31"/>
      <c r="J208" s="92" t="str">
        <f t="shared" ref="J208:S208" si="105">IF(J$28="2PH",J190*SQRT(J157),"")</f>
        <v/>
      </c>
      <c r="K208" s="92" t="str">
        <f t="shared" si="105"/>
        <v/>
      </c>
      <c r="L208" s="149" t="str">
        <f t="shared" si="105"/>
        <v/>
      </c>
      <c r="M208" s="92" t="str">
        <f t="shared" si="105"/>
        <v/>
      </c>
      <c r="N208" s="92" t="str">
        <f t="shared" si="105"/>
        <v/>
      </c>
      <c r="O208" s="92" t="str">
        <f t="shared" si="105"/>
        <v/>
      </c>
      <c r="P208" s="92" t="str">
        <f t="shared" si="105"/>
        <v/>
      </c>
      <c r="Q208" s="92" t="str">
        <f t="shared" si="105"/>
        <v/>
      </c>
      <c r="R208" s="92" t="str">
        <f t="shared" si="105"/>
        <v/>
      </c>
      <c r="S208" s="536" t="str">
        <f t="shared" si="105"/>
        <v/>
      </c>
    </row>
    <row r="209" spans="6:19" ht="16.5" customHeight="1">
      <c r="F209" s="30"/>
      <c r="G209" s="31"/>
      <c r="H209" s="31"/>
      <c r="I209" s="31"/>
      <c r="J209" s="126" t="str">
        <f>IF(J$28="2PH",DuklerH(J205,J206,J207,J208),"")</f>
        <v/>
      </c>
      <c r="K209" s="126" t="str">
        <f>IF(K$28="2PH",DuklerH(K205,K206,K207,K208),"")</f>
        <v/>
      </c>
      <c r="L209" s="365" t="str">
        <f>IF(L$28="2PH",DuklerH(L205,L206,L207,L208),"")</f>
        <v/>
      </c>
      <c r="M209" s="126" t="str">
        <f>IF(M$28="2PH",DuklerH(M205,M206,M207,M208),"")</f>
        <v/>
      </c>
      <c r="N209" s="126" t="str">
        <f>IF(N$28="2PH",DuklerH(N205,N206,N207,N208),"")</f>
        <v/>
      </c>
      <c r="O209" s="126" t="str">
        <f>IF(O$28="2PH",DuklerH(O205,O206,O207,O208),"")</f>
        <v/>
      </c>
      <c r="P209" s="126" t="str">
        <f>IF(P$28="2PH",DuklerH(P205,P206,P207,P208),"")</f>
        <v/>
      </c>
      <c r="Q209" s="126" t="str">
        <f>IF(Q$28="2PH",DuklerH(Q205,Q206,Q207,Q208),"")</f>
        <v/>
      </c>
      <c r="R209" s="126" t="str">
        <f>IF(R$28="2PH",DuklerH(R205,R206,R207,R208),"")</f>
        <v/>
      </c>
      <c r="S209" s="546" t="str">
        <f>IF(S$28="2PH",DuklerH(S205,S206,S207,S208),"")</f>
        <v/>
      </c>
    </row>
    <row r="210" spans="6:19" ht="16.5" customHeight="1">
      <c r="F210" s="134" t="s">
        <v>125</v>
      </c>
      <c r="G210" s="347"/>
      <c r="H210" s="347"/>
      <c r="I210" s="125"/>
      <c r="J210" s="124" t="str">
        <f>IF(J$28="2PH",2.1*(#REF!*J154/J162/J164)*SQRT(J162*#REF!)/#REF!^(2/3)*((#REF!*0.001)^(1/3)/(#REF!*0.001)),"")</f>
        <v/>
      </c>
      <c r="K210" s="124" t="str">
        <f>IF(K$28="2PH",2.1*(#REF!*K154/K162/K164)*SQRT(K162*#REF!)/#REF!^(2/3)*((#REF!*0.001)^(1/3)/(#REF!*0.001)),"")</f>
        <v/>
      </c>
      <c r="L210" s="364" t="str">
        <f>IF(L$28="2PH",2.1*(#REF!*L154/L162/L164)*SQRT(L162*#REF!)/#REF!^(2/3)*((#REF!*0.001)^(1/3)/(#REF!*0.001)),"")</f>
        <v/>
      </c>
      <c r="M210" s="124" t="str">
        <f>IF(M$28="2PH",2.1*(#REF!*M154/M162/M164)*SQRT(M162*#REF!)/#REF!^(2/3)*((#REF!*0.001)^(1/3)/(#REF!*0.001)),"")</f>
        <v/>
      </c>
      <c r="N210" s="124" t="str">
        <f>IF(N$28="2PH",2.1*(#REF!*N154/N162/N164)*SQRT(N162*#REF!)/#REF!^(2/3)*((#REF!*0.001)^(1/3)/(#REF!*0.001)),"")</f>
        <v/>
      </c>
      <c r="O210" s="124" t="str">
        <f>IF(O$28="2PH",2.1*(#REF!*O154/O162/O164)*SQRT(O162*#REF!)/#REF!^(2/3)*((#REF!*0.001)^(1/3)/(#REF!*0.001)),"")</f>
        <v/>
      </c>
      <c r="P210" s="124" t="str">
        <f>IF(P$28="2PH",2.1*(#REF!*P154/P162/P164)*SQRT(P162*#REF!)/#REF!^(2/3)*((#REF!*0.001)^(1/3)/(#REF!*0.001)),"")</f>
        <v/>
      </c>
      <c r="Q210" s="124" t="str">
        <f>IF(Q$28="2PH",2.1*(#REF!*Q154/Q162/Q164)*SQRT(Q162*#REF!)/#REF!^(2/3)*((#REF!*0.001)^(1/3)/(#REF!*0.001)),"")</f>
        <v/>
      </c>
      <c r="R210" s="124" t="str">
        <f>IF(R$28="2PH",2.1*(#REF!*R154/R162/R164)*SQRT(R162*#REF!)/#REF!^(2/3)*((#REF!*0.001)^(1/3)/(#REF!*0.001)),"")</f>
        <v/>
      </c>
      <c r="S210" s="541" t="str">
        <f>IF(S$28="2PH",2.1*(#REF!*S154/S162/S164)*SQRT(S162*#REF!)/#REF!^(2/3)*((#REF!*0.001)^(1/3)/(#REF!*0.001)),"")</f>
        <v/>
      </c>
    </row>
    <row r="211" spans="6:19" ht="16.5" customHeight="1">
      <c r="F211" s="30"/>
      <c r="G211" s="31"/>
      <c r="H211" s="31"/>
      <c r="I211" s="31"/>
      <c r="J211" s="92" t="str">
        <f>IF(J$28="2PH",25500*J162*J164/SQRT(#REF!*J162),"")</f>
        <v/>
      </c>
      <c r="K211" s="92" t="str">
        <f>IF(K$28="2PH",25500*K162*K164/SQRT(#REF!*K162),"")</f>
        <v/>
      </c>
      <c r="L211" s="149" t="str">
        <f>IF(L$28="2PH",25500*L162*L164/SQRT(#REF!*L162),"")</f>
        <v/>
      </c>
      <c r="M211" s="92" t="str">
        <f>IF(M$28="2PH",25500*M162*M164/SQRT(#REF!*M162),"")</f>
        <v/>
      </c>
      <c r="N211" s="92" t="str">
        <f>IF(N$28="2PH",25500*N162*N164/SQRT(#REF!*N162),"")</f>
        <v/>
      </c>
      <c r="O211" s="92" t="str">
        <f>IF(O$28="2PH",25500*O162*O164/SQRT(#REF!*O162),"")</f>
        <v/>
      </c>
      <c r="P211" s="92" t="str">
        <f>IF(P$28="2PH",25500*P162*P164/SQRT(#REF!*P162),"")</f>
        <v/>
      </c>
      <c r="Q211" s="92" t="str">
        <f>IF(Q$28="2PH",25500*Q162*Q164/SQRT(#REF!*Q162),"")</f>
        <v/>
      </c>
      <c r="R211" s="92" t="str">
        <f>IF(R$28="2PH",25500*R162*R164/SQRT(#REF!*R162),"")</f>
        <v/>
      </c>
      <c r="S211" s="536" t="str">
        <f>IF(S$28="2PH",25500*S162*S164/SQRT(#REF!*S162),"")</f>
        <v/>
      </c>
    </row>
    <row r="212" spans="6:19" ht="16.5" customHeight="1" thickBot="1">
      <c r="F212" s="116"/>
      <c r="G212" s="37"/>
      <c r="H212" s="37"/>
      <c r="I212" s="37"/>
      <c r="J212" s="109" t="str">
        <f>IF(J$28="2PH",Baker(J210,J211),"")</f>
        <v/>
      </c>
      <c r="K212" s="109" t="str">
        <f>IF(K$28="2PH",Baker(K210,K211),"")</f>
        <v/>
      </c>
      <c r="L212" s="131" t="str">
        <f>IF(L$28="2PH",Baker(L210,L211),"")</f>
        <v/>
      </c>
      <c r="M212" s="109" t="str">
        <f>IF(M$28="2PH",Baker(M210,M211),"")</f>
        <v/>
      </c>
      <c r="N212" s="109" t="str">
        <f>IF(N$28="2PH",Baker(N210,N211),"")</f>
        <v/>
      </c>
      <c r="O212" s="109" t="str">
        <f>IF(O$28="2PH",Baker(O210,O211),"")</f>
        <v/>
      </c>
      <c r="P212" s="109" t="str">
        <f>IF(P$28="2PH",Baker(P210,P211),"")</f>
        <v/>
      </c>
      <c r="Q212" s="109" t="str">
        <f>IF(Q$28="2PH",Baker(Q210,Q211),"")</f>
        <v/>
      </c>
      <c r="R212" s="109" t="str">
        <f>IF(R$28="2PH",Baker(R210,R211),"")</f>
        <v/>
      </c>
      <c r="S212" s="539" t="str">
        <f>IF(S$28="2PH",Baker(S210,S211),"")</f>
        <v/>
      </c>
    </row>
    <row r="213" spans="6:19" ht="16.5" customHeight="1"/>
  </sheetData>
  <sheetProtection formatCells="0" formatColumns="0" formatRows="0" insertColumns="0" insertRows="0"/>
  <mergeCells count="2">
    <mergeCell ref="F1:S3"/>
    <mergeCell ref="G5:I5"/>
  </mergeCells>
  <phoneticPr fontId="28" type="noConversion"/>
  <dataValidations disablePrompts="1" count="11">
    <dataValidation type="list" allowBlank="1" showInputMessage="1" showErrorMessage="1" sqref="FU65506:FV65506 PQ65506:PR65506 ZM65506:ZN65506 AJI65506:AJJ65506 ATE65506:ATF65506 BDA65506:BDB65506 BMW65506:BMX65506 BWS65506:BWT65506 CGO65506:CGP65506 CQK65506:CQL65506 DAG65506:DAH65506 DKC65506:DKD65506 DTY65506:DTZ65506 EDU65506:EDV65506 ENQ65506:ENR65506 EXM65506:EXN65506 FHI65506:FHJ65506 FRE65506:FRF65506 GBA65506:GBB65506 GKW65506:GKX65506 GUS65506:GUT65506 HEO65506:HEP65506 HOK65506:HOL65506 HYG65506:HYH65506 IIC65506:IID65506 IRY65506:IRZ65506 JBU65506:JBV65506 JLQ65506:JLR65506 JVM65506:JVN65506 KFI65506:KFJ65506 KPE65506:KPF65506 KZA65506:KZB65506 LIW65506:LIX65506 LSS65506:LST65506 MCO65506:MCP65506 MMK65506:MML65506 MWG65506:MWH65506 NGC65506:NGD65506 NPY65506:NPZ65506 NZU65506:NZV65506 OJQ65506:OJR65506 OTM65506:OTN65506 PDI65506:PDJ65506 PNE65506:PNF65506 PXA65506:PXB65506 QGW65506:QGX65506 QQS65506:QQT65506 RAO65506:RAP65506 RKK65506:RKL65506 RUG65506:RUH65506 SEC65506:SED65506 SNY65506:SNZ65506 SXU65506:SXV65506 THQ65506:THR65506 TRM65506:TRN65506 UBI65506:UBJ65506 ULE65506:ULF65506 UVA65506:UVB65506 VEW65506:VEX65506 VOS65506:VOT65506 VYO65506:VYP65506 WIK65506:WIL65506 FU131042:FV131042 PQ131042:PR131042 ZM131042:ZN131042 AJI131042:AJJ131042 ATE131042:ATF131042 BDA131042:BDB131042 BMW131042:BMX131042 BWS131042:BWT131042 CGO131042:CGP131042 CQK131042:CQL131042 DAG131042:DAH131042 DKC131042:DKD131042 DTY131042:DTZ131042 EDU131042:EDV131042 ENQ131042:ENR131042 EXM131042:EXN131042 FHI131042:FHJ131042 FRE131042:FRF131042 GBA131042:GBB131042 GKW131042:GKX131042 GUS131042:GUT131042 HEO131042:HEP131042 HOK131042:HOL131042 HYG131042:HYH131042 IIC131042:IID131042 IRY131042:IRZ131042 JBU131042:JBV131042 JLQ131042:JLR131042 JVM131042:JVN131042 KFI131042:KFJ131042 KPE131042:KPF131042 KZA131042:KZB131042 LIW131042:LIX131042 LSS131042:LST131042 MCO131042:MCP131042 MMK131042:MML131042 MWG131042:MWH131042 NGC131042:NGD131042 NPY131042:NPZ131042 NZU131042:NZV131042 OJQ131042:OJR131042 OTM131042:OTN131042 PDI131042:PDJ131042 PNE131042:PNF131042 PXA131042:PXB131042 QGW131042:QGX131042 QQS131042:QQT131042 RAO131042:RAP131042 RKK131042:RKL131042 RUG131042:RUH131042 SEC131042:SED131042 SNY131042:SNZ131042 SXU131042:SXV131042 THQ131042:THR131042 TRM131042:TRN131042 UBI131042:UBJ131042 ULE131042:ULF131042 UVA131042:UVB131042 VEW131042:VEX131042 VOS131042:VOT131042 VYO131042:VYP131042 WIK131042:WIL131042 FU196578:FV196578 PQ196578:PR196578 ZM196578:ZN196578 AJI196578:AJJ196578 ATE196578:ATF196578 BDA196578:BDB196578 BMW196578:BMX196578 BWS196578:BWT196578 CGO196578:CGP196578 CQK196578:CQL196578 DAG196578:DAH196578 DKC196578:DKD196578 DTY196578:DTZ196578 EDU196578:EDV196578 ENQ196578:ENR196578 EXM196578:EXN196578 FHI196578:FHJ196578 FRE196578:FRF196578 GBA196578:GBB196578 GKW196578:GKX196578 GUS196578:GUT196578 HEO196578:HEP196578 HOK196578:HOL196578 HYG196578:HYH196578 IIC196578:IID196578 IRY196578:IRZ196578 JBU196578:JBV196578 JLQ196578:JLR196578 JVM196578:JVN196578 KFI196578:KFJ196578 KPE196578:KPF196578 KZA196578:KZB196578 LIW196578:LIX196578 LSS196578:LST196578 MCO196578:MCP196578 MMK196578:MML196578 MWG196578:MWH196578 NGC196578:NGD196578 NPY196578:NPZ196578 NZU196578:NZV196578 OJQ196578:OJR196578 OTM196578:OTN196578 PDI196578:PDJ196578 PNE196578:PNF196578 PXA196578:PXB196578 QGW196578:QGX196578 QQS196578:QQT196578 RAO196578:RAP196578 RKK196578:RKL196578 RUG196578:RUH196578 SEC196578:SED196578 SNY196578:SNZ196578 SXU196578:SXV196578 THQ196578:THR196578 TRM196578:TRN196578 UBI196578:UBJ196578 ULE196578:ULF196578 UVA196578:UVB196578 VEW196578:VEX196578 VOS196578:VOT196578 VYO196578:VYP196578 WIK196578:WIL196578 FU262114:FV262114 PQ262114:PR262114 ZM262114:ZN262114 AJI262114:AJJ262114 ATE262114:ATF262114 BDA262114:BDB262114 BMW262114:BMX262114 BWS262114:BWT262114 CGO262114:CGP262114 CQK262114:CQL262114 DAG262114:DAH262114 DKC262114:DKD262114 DTY262114:DTZ262114 EDU262114:EDV262114 ENQ262114:ENR262114 EXM262114:EXN262114 FHI262114:FHJ262114 FRE262114:FRF262114 GBA262114:GBB262114 GKW262114:GKX262114 GUS262114:GUT262114 HEO262114:HEP262114 HOK262114:HOL262114 HYG262114:HYH262114 IIC262114:IID262114 IRY262114:IRZ262114 JBU262114:JBV262114 JLQ262114:JLR262114 JVM262114:JVN262114 KFI262114:KFJ262114 KPE262114:KPF262114 KZA262114:KZB262114 LIW262114:LIX262114 LSS262114:LST262114 MCO262114:MCP262114 MMK262114:MML262114 MWG262114:MWH262114 NGC262114:NGD262114 NPY262114:NPZ262114 NZU262114:NZV262114 OJQ262114:OJR262114 OTM262114:OTN262114 PDI262114:PDJ262114 PNE262114:PNF262114 PXA262114:PXB262114 QGW262114:QGX262114 QQS262114:QQT262114 RAO262114:RAP262114 RKK262114:RKL262114 RUG262114:RUH262114 SEC262114:SED262114 SNY262114:SNZ262114 SXU262114:SXV262114 THQ262114:THR262114 TRM262114:TRN262114 UBI262114:UBJ262114 ULE262114:ULF262114 UVA262114:UVB262114 VEW262114:VEX262114 VOS262114:VOT262114 VYO262114:VYP262114 WIK262114:WIL262114 FU327650:FV327650 PQ327650:PR327650 ZM327650:ZN327650 AJI327650:AJJ327650 ATE327650:ATF327650 BDA327650:BDB327650 BMW327650:BMX327650 BWS327650:BWT327650 CGO327650:CGP327650 CQK327650:CQL327650 DAG327650:DAH327650 DKC327650:DKD327650 DTY327650:DTZ327650 EDU327650:EDV327650 ENQ327650:ENR327650 EXM327650:EXN327650 FHI327650:FHJ327650 FRE327650:FRF327650 GBA327650:GBB327650 GKW327650:GKX327650 GUS327650:GUT327650 HEO327650:HEP327650 HOK327650:HOL327650 HYG327650:HYH327650 IIC327650:IID327650 IRY327650:IRZ327650 JBU327650:JBV327650 JLQ327650:JLR327650 JVM327650:JVN327650 KFI327650:KFJ327650 KPE327650:KPF327650 KZA327650:KZB327650 LIW327650:LIX327650 LSS327650:LST327650 MCO327650:MCP327650 MMK327650:MML327650 MWG327650:MWH327650 NGC327650:NGD327650 NPY327650:NPZ327650 NZU327650:NZV327650 OJQ327650:OJR327650 OTM327650:OTN327650 PDI327650:PDJ327650 PNE327650:PNF327650 PXA327650:PXB327650 QGW327650:QGX327650 QQS327650:QQT327650 RAO327650:RAP327650 RKK327650:RKL327650 RUG327650:RUH327650 SEC327650:SED327650 SNY327650:SNZ327650 SXU327650:SXV327650 THQ327650:THR327650 TRM327650:TRN327650 UBI327650:UBJ327650 ULE327650:ULF327650 UVA327650:UVB327650 VEW327650:VEX327650 VOS327650:VOT327650 VYO327650:VYP327650 WIK327650:WIL327650 FU393186:FV393186 PQ393186:PR393186 ZM393186:ZN393186 AJI393186:AJJ393186 ATE393186:ATF393186 BDA393186:BDB393186 BMW393186:BMX393186 BWS393186:BWT393186 CGO393186:CGP393186 CQK393186:CQL393186 DAG393186:DAH393186 DKC393186:DKD393186 DTY393186:DTZ393186 EDU393186:EDV393186 ENQ393186:ENR393186 EXM393186:EXN393186 FHI393186:FHJ393186 FRE393186:FRF393186 GBA393186:GBB393186 GKW393186:GKX393186 GUS393186:GUT393186 HEO393186:HEP393186 HOK393186:HOL393186 HYG393186:HYH393186 IIC393186:IID393186 IRY393186:IRZ393186 JBU393186:JBV393186 JLQ393186:JLR393186 JVM393186:JVN393186 KFI393186:KFJ393186 KPE393186:KPF393186 KZA393186:KZB393186 LIW393186:LIX393186 LSS393186:LST393186 MCO393186:MCP393186 MMK393186:MML393186 MWG393186:MWH393186 NGC393186:NGD393186 NPY393186:NPZ393186 NZU393186:NZV393186 OJQ393186:OJR393186 OTM393186:OTN393186 PDI393186:PDJ393186 PNE393186:PNF393186 PXA393186:PXB393186 QGW393186:QGX393186 QQS393186:QQT393186 RAO393186:RAP393186 RKK393186:RKL393186 RUG393186:RUH393186 SEC393186:SED393186 SNY393186:SNZ393186 SXU393186:SXV393186 THQ393186:THR393186 TRM393186:TRN393186 UBI393186:UBJ393186 ULE393186:ULF393186 UVA393186:UVB393186 VEW393186:VEX393186 VOS393186:VOT393186 VYO393186:VYP393186 WIK393186:WIL393186 FU458722:FV458722 PQ458722:PR458722 ZM458722:ZN458722 AJI458722:AJJ458722 ATE458722:ATF458722 BDA458722:BDB458722 BMW458722:BMX458722 BWS458722:BWT458722 CGO458722:CGP458722 CQK458722:CQL458722 DAG458722:DAH458722 DKC458722:DKD458722 DTY458722:DTZ458722 EDU458722:EDV458722 ENQ458722:ENR458722 EXM458722:EXN458722 FHI458722:FHJ458722 FRE458722:FRF458722 GBA458722:GBB458722 GKW458722:GKX458722 GUS458722:GUT458722 HEO458722:HEP458722 HOK458722:HOL458722 HYG458722:HYH458722 IIC458722:IID458722 IRY458722:IRZ458722 JBU458722:JBV458722 JLQ458722:JLR458722 JVM458722:JVN458722 KFI458722:KFJ458722 KPE458722:KPF458722 KZA458722:KZB458722 LIW458722:LIX458722 LSS458722:LST458722 MCO458722:MCP458722 MMK458722:MML458722 MWG458722:MWH458722 NGC458722:NGD458722 NPY458722:NPZ458722 NZU458722:NZV458722 OJQ458722:OJR458722 OTM458722:OTN458722 PDI458722:PDJ458722 PNE458722:PNF458722 PXA458722:PXB458722 QGW458722:QGX458722 QQS458722:QQT458722 RAO458722:RAP458722 RKK458722:RKL458722 RUG458722:RUH458722 SEC458722:SED458722 SNY458722:SNZ458722 SXU458722:SXV458722 THQ458722:THR458722 TRM458722:TRN458722 UBI458722:UBJ458722 ULE458722:ULF458722 UVA458722:UVB458722 VEW458722:VEX458722 VOS458722:VOT458722 VYO458722:VYP458722 WIK458722:WIL458722 FU524258:FV524258 PQ524258:PR524258 ZM524258:ZN524258 AJI524258:AJJ524258 ATE524258:ATF524258 BDA524258:BDB524258 BMW524258:BMX524258 BWS524258:BWT524258 CGO524258:CGP524258 CQK524258:CQL524258 DAG524258:DAH524258 DKC524258:DKD524258 DTY524258:DTZ524258 EDU524258:EDV524258 ENQ524258:ENR524258 EXM524258:EXN524258 FHI524258:FHJ524258 FRE524258:FRF524258 GBA524258:GBB524258 GKW524258:GKX524258 GUS524258:GUT524258 HEO524258:HEP524258 HOK524258:HOL524258 HYG524258:HYH524258 IIC524258:IID524258 IRY524258:IRZ524258 JBU524258:JBV524258 JLQ524258:JLR524258 JVM524258:JVN524258 KFI524258:KFJ524258 KPE524258:KPF524258 KZA524258:KZB524258 LIW524258:LIX524258 LSS524258:LST524258 MCO524258:MCP524258 MMK524258:MML524258 MWG524258:MWH524258 NGC524258:NGD524258 NPY524258:NPZ524258 NZU524258:NZV524258 OJQ524258:OJR524258 OTM524258:OTN524258 PDI524258:PDJ524258 PNE524258:PNF524258 PXA524258:PXB524258 QGW524258:QGX524258 QQS524258:QQT524258 RAO524258:RAP524258 RKK524258:RKL524258 RUG524258:RUH524258 SEC524258:SED524258 SNY524258:SNZ524258 SXU524258:SXV524258 THQ524258:THR524258 TRM524258:TRN524258 UBI524258:UBJ524258 ULE524258:ULF524258 UVA524258:UVB524258 VEW524258:VEX524258 VOS524258:VOT524258 VYO524258:VYP524258 WIK524258:WIL524258 FU589794:FV589794 PQ589794:PR589794 ZM589794:ZN589794 AJI589794:AJJ589794 ATE589794:ATF589794 BDA589794:BDB589794 BMW589794:BMX589794 BWS589794:BWT589794 CGO589794:CGP589794 CQK589794:CQL589794 DAG589794:DAH589794 DKC589794:DKD589794 DTY589794:DTZ589794 EDU589794:EDV589794 ENQ589794:ENR589794 EXM589794:EXN589794 FHI589794:FHJ589794 FRE589794:FRF589794 GBA589794:GBB589794 GKW589794:GKX589794 GUS589794:GUT589794 HEO589794:HEP589794 HOK589794:HOL589794 HYG589794:HYH589794 IIC589794:IID589794 IRY589794:IRZ589794 JBU589794:JBV589794 JLQ589794:JLR589794 JVM589794:JVN589794 KFI589794:KFJ589794 KPE589794:KPF589794 KZA589794:KZB589794 LIW589794:LIX589794 LSS589794:LST589794 MCO589794:MCP589794 MMK589794:MML589794 MWG589794:MWH589794 NGC589794:NGD589794 NPY589794:NPZ589794 NZU589794:NZV589794 OJQ589794:OJR589794 OTM589794:OTN589794 PDI589794:PDJ589794 PNE589794:PNF589794 PXA589794:PXB589794 QGW589794:QGX589794 QQS589794:QQT589794 RAO589794:RAP589794 RKK589794:RKL589794 RUG589794:RUH589794 SEC589794:SED589794 SNY589794:SNZ589794 SXU589794:SXV589794 THQ589794:THR589794 TRM589794:TRN589794 UBI589794:UBJ589794 ULE589794:ULF589794 UVA589794:UVB589794 VEW589794:VEX589794 VOS589794:VOT589794 VYO589794:VYP589794 WIK589794:WIL589794 FU655330:FV655330 PQ655330:PR655330 ZM655330:ZN655330 AJI655330:AJJ655330 ATE655330:ATF655330 BDA655330:BDB655330 BMW655330:BMX655330 BWS655330:BWT655330 CGO655330:CGP655330 CQK655330:CQL655330 DAG655330:DAH655330 DKC655330:DKD655330 DTY655330:DTZ655330 EDU655330:EDV655330 ENQ655330:ENR655330 EXM655330:EXN655330 FHI655330:FHJ655330 FRE655330:FRF655330 GBA655330:GBB655330 GKW655330:GKX655330 GUS655330:GUT655330 HEO655330:HEP655330 HOK655330:HOL655330 HYG655330:HYH655330 IIC655330:IID655330 IRY655330:IRZ655330 JBU655330:JBV655330 JLQ655330:JLR655330 JVM655330:JVN655330 KFI655330:KFJ655330 KPE655330:KPF655330 KZA655330:KZB655330 LIW655330:LIX655330 LSS655330:LST655330 MCO655330:MCP655330 MMK655330:MML655330 MWG655330:MWH655330 NGC655330:NGD655330 NPY655330:NPZ655330 NZU655330:NZV655330 OJQ655330:OJR655330 OTM655330:OTN655330 PDI655330:PDJ655330 PNE655330:PNF655330 PXA655330:PXB655330 QGW655330:QGX655330 QQS655330:QQT655330 RAO655330:RAP655330 RKK655330:RKL655330 RUG655330:RUH655330 SEC655330:SED655330 SNY655330:SNZ655330 SXU655330:SXV655330 THQ655330:THR655330 TRM655330:TRN655330 UBI655330:UBJ655330 ULE655330:ULF655330 UVA655330:UVB655330 VEW655330:VEX655330 VOS655330:VOT655330 VYO655330:VYP655330 WIK655330:WIL655330 FU720866:FV720866 PQ720866:PR720866 ZM720866:ZN720866 AJI720866:AJJ720866 ATE720866:ATF720866 BDA720866:BDB720866 BMW720866:BMX720866 BWS720866:BWT720866 CGO720866:CGP720866 CQK720866:CQL720866 DAG720866:DAH720866 DKC720866:DKD720866 DTY720866:DTZ720866 EDU720866:EDV720866 ENQ720866:ENR720866 EXM720866:EXN720866 FHI720866:FHJ720866 FRE720866:FRF720866 GBA720866:GBB720866 GKW720866:GKX720866 GUS720866:GUT720866 HEO720866:HEP720866 HOK720866:HOL720866 HYG720866:HYH720866 IIC720866:IID720866 IRY720866:IRZ720866 JBU720866:JBV720866 JLQ720866:JLR720866 JVM720866:JVN720866 KFI720866:KFJ720866 KPE720866:KPF720866 KZA720866:KZB720866 LIW720866:LIX720866 LSS720866:LST720866 MCO720866:MCP720866 MMK720866:MML720866 MWG720866:MWH720866 NGC720866:NGD720866 NPY720866:NPZ720866 NZU720866:NZV720866 OJQ720866:OJR720866 OTM720866:OTN720866 PDI720866:PDJ720866 PNE720866:PNF720866 PXA720866:PXB720866 QGW720866:QGX720866 QQS720866:QQT720866 RAO720866:RAP720866 RKK720866:RKL720866 RUG720866:RUH720866 SEC720866:SED720866 SNY720866:SNZ720866 SXU720866:SXV720866 THQ720866:THR720866 TRM720866:TRN720866 UBI720866:UBJ720866 ULE720866:ULF720866 UVA720866:UVB720866 VEW720866:VEX720866 VOS720866:VOT720866 VYO720866:VYP720866 WIK720866:WIL720866 FU786402:FV786402 PQ786402:PR786402 ZM786402:ZN786402 AJI786402:AJJ786402 ATE786402:ATF786402 BDA786402:BDB786402 BMW786402:BMX786402 BWS786402:BWT786402 CGO786402:CGP786402 CQK786402:CQL786402 DAG786402:DAH786402 DKC786402:DKD786402 DTY786402:DTZ786402 EDU786402:EDV786402 ENQ786402:ENR786402 EXM786402:EXN786402 FHI786402:FHJ786402 FRE786402:FRF786402 GBA786402:GBB786402 GKW786402:GKX786402 GUS786402:GUT786402 HEO786402:HEP786402 HOK786402:HOL786402 HYG786402:HYH786402 IIC786402:IID786402 IRY786402:IRZ786402 JBU786402:JBV786402 JLQ786402:JLR786402 JVM786402:JVN786402 KFI786402:KFJ786402 KPE786402:KPF786402 KZA786402:KZB786402 LIW786402:LIX786402 LSS786402:LST786402 MCO786402:MCP786402 MMK786402:MML786402 MWG786402:MWH786402 NGC786402:NGD786402 NPY786402:NPZ786402 NZU786402:NZV786402 OJQ786402:OJR786402 OTM786402:OTN786402 PDI786402:PDJ786402 PNE786402:PNF786402 PXA786402:PXB786402 QGW786402:QGX786402 QQS786402:QQT786402 RAO786402:RAP786402 RKK786402:RKL786402 RUG786402:RUH786402 SEC786402:SED786402 SNY786402:SNZ786402 SXU786402:SXV786402 THQ786402:THR786402 TRM786402:TRN786402 UBI786402:UBJ786402 ULE786402:ULF786402 UVA786402:UVB786402 VEW786402:VEX786402 VOS786402:VOT786402 VYO786402:VYP786402 WIK786402:WIL786402 FU851938:FV851938 PQ851938:PR851938 ZM851938:ZN851938 AJI851938:AJJ851938 ATE851938:ATF851938 BDA851938:BDB851938 BMW851938:BMX851938 BWS851938:BWT851938 CGO851938:CGP851938 CQK851938:CQL851938 DAG851938:DAH851938 DKC851938:DKD851938 DTY851938:DTZ851938 EDU851938:EDV851938 ENQ851938:ENR851938 EXM851938:EXN851938 FHI851938:FHJ851938 FRE851938:FRF851938 GBA851938:GBB851938 GKW851938:GKX851938 GUS851938:GUT851938 HEO851938:HEP851938 HOK851938:HOL851938 HYG851938:HYH851938 IIC851938:IID851938 IRY851938:IRZ851938 JBU851938:JBV851938 JLQ851938:JLR851938 JVM851938:JVN851938 KFI851938:KFJ851938 KPE851938:KPF851938 KZA851938:KZB851938 LIW851938:LIX851938 LSS851938:LST851938 MCO851938:MCP851938 MMK851938:MML851938 MWG851938:MWH851938 NGC851938:NGD851938 NPY851938:NPZ851938 NZU851938:NZV851938 OJQ851938:OJR851938 OTM851938:OTN851938 PDI851938:PDJ851938 PNE851938:PNF851938 PXA851938:PXB851938 QGW851938:QGX851938 QQS851938:QQT851938 RAO851938:RAP851938 RKK851938:RKL851938 RUG851938:RUH851938 SEC851938:SED851938 SNY851938:SNZ851938 SXU851938:SXV851938 THQ851938:THR851938 TRM851938:TRN851938 UBI851938:UBJ851938 ULE851938:ULF851938 UVA851938:UVB851938 VEW851938:VEX851938 VOS851938:VOT851938 VYO851938:VYP851938 WIK851938:WIL851938 FU917474:FV917474 PQ917474:PR917474 ZM917474:ZN917474 AJI917474:AJJ917474 ATE917474:ATF917474 BDA917474:BDB917474 BMW917474:BMX917474 BWS917474:BWT917474 CGO917474:CGP917474 CQK917474:CQL917474 DAG917474:DAH917474 DKC917474:DKD917474 DTY917474:DTZ917474 EDU917474:EDV917474 ENQ917474:ENR917474 EXM917474:EXN917474 FHI917474:FHJ917474 FRE917474:FRF917474 GBA917474:GBB917474 GKW917474:GKX917474 GUS917474:GUT917474 HEO917474:HEP917474 HOK917474:HOL917474 HYG917474:HYH917474 IIC917474:IID917474 IRY917474:IRZ917474 JBU917474:JBV917474 JLQ917474:JLR917474 JVM917474:JVN917474 KFI917474:KFJ917474 KPE917474:KPF917474 KZA917474:KZB917474 LIW917474:LIX917474 LSS917474:LST917474 MCO917474:MCP917474 MMK917474:MML917474 MWG917474:MWH917474 NGC917474:NGD917474 NPY917474:NPZ917474 NZU917474:NZV917474 OJQ917474:OJR917474 OTM917474:OTN917474 PDI917474:PDJ917474 PNE917474:PNF917474 PXA917474:PXB917474 QGW917474:QGX917474 QQS917474:QQT917474 RAO917474:RAP917474 RKK917474:RKL917474 RUG917474:RUH917474 SEC917474:SED917474 SNY917474:SNZ917474 SXU917474:SXV917474 THQ917474:THR917474 TRM917474:TRN917474 UBI917474:UBJ917474 ULE917474:ULF917474 UVA917474:UVB917474 VEW917474:VEX917474 VOS917474:VOT917474 VYO917474:VYP917474 WIK917474:WIL917474 FU983010:FV983010 PQ983010:PR983010 ZM983010:ZN983010 AJI983010:AJJ983010 ATE983010:ATF983010 BDA983010:BDB983010 BMW983010:BMX983010 BWS983010:BWT983010 CGO983010:CGP983010 CQK983010:CQL983010 DAG983010:DAH983010 DKC983010:DKD983010 DTY983010:DTZ983010 EDU983010:EDV983010 ENQ983010:ENR983010 EXM983010:EXN983010 FHI983010:FHJ983010 FRE983010:FRF983010 GBA983010:GBB983010 GKW983010:GKX983010 GUS983010:GUT983010 HEO983010:HEP983010 HOK983010:HOL983010 HYG983010:HYH983010 IIC983010:IID983010 IRY983010:IRZ983010 JBU983010:JBV983010 JLQ983010:JLR983010 JVM983010:JVN983010 KFI983010:KFJ983010 KPE983010:KPF983010 KZA983010:KZB983010 LIW983010:LIX983010 LSS983010:LST983010 MCO983010:MCP983010 MMK983010:MML983010 MWG983010:MWH983010 NGC983010:NGD983010 NPY983010:NPZ983010 NZU983010:NZV983010 OJQ983010:OJR983010 OTM983010:OTN983010 PDI983010:PDJ983010 PNE983010:PNF983010 PXA983010:PXB983010 QGW983010:QGX983010 QQS983010:QQT983010 RAO983010:RAP983010 RKK983010:RKL983010 RUG983010:RUH983010 SEC983010:SED983010 SNY983010:SNZ983010 SXU983010:SXV983010 THQ983010:THR983010 TRM983010:TRN983010 UBI983010:UBJ983010 ULE983010:ULF983010 UVA983010:UVB983010 VEW983010:VEX983010 VOS983010:VOT983010 VYO983010:VYP983010 WIK983010:WIL983010 F983010:I983010 F917474:I917474 F851938:I851938 F786402:I786402 F720866:I720866 F655330:I655330 F589794:I589794 F524258:I524258 F458722:I458722 F393186:I393186 F327650:I327650 F262114:I262114 F196578:I196578 F131042:I131042 F65506:I65506" xr:uid="{00000000-0002-0000-0200-000000000000}">
      <formula1>NT</formula1>
    </dataValidation>
    <dataValidation type="list" allowBlank="1" showInputMessage="1" showErrorMessage="1" sqref="WIN983171 WIN174 VYR174 VOV174 VEZ174 UVD174 ULH174 UBL174 TRP174 THT174 SXX174 SOB174 SEF174 RUJ174 RKN174 RAR174 QQV174 QGZ174 PXD174 PNH174 PDL174 OTP174 OJT174 NZX174 NQB174 NGF174 MWJ174 MMN174 MCR174 LSV174 LIZ174 KZD174 KPH174 KFL174 JVP174 JLT174 JBX174 ISB174 IIF174 HYJ174 HON174 HER174 GUV174 GKZ174 GBD174 FRH174 FHL174 EXP174 ENT174 EDX174 DUB174 DKF174 DAJ174 CQN174 CGR174 BWV174 BMZ174 BDD174 ATH174 AJL174 ZP174 PT174 FX174 FX65667 PT65667 ZP65667 AJL65667 ATH65667 BDD65667 BMZ65667 BWV65667 CGR65667 CQN65667 DAJ65667 DKF65667 DUB65667 EDX65667 ENT65667 EXP65667 FHL65667 FRH65667 GBD65667 GKZ65667 GUV65667 HER65667 HON65667 HYJ65667 IIF65667 ISB65667 JBX65667 JLT65667 JVP65667 KFL65667 KPH65667 KZD65667 LIZ65667 LSV65667 MCR65667 MMN65667 MWJ65667 NGF65667 NQB65667 NZX65667 OJT65667 OTP65667 PDL65667 PNH65667 PXD65667 QGZ65667 QQV65667 RAR65667 RKN65667 RUJ65667 SEF65667 SOB65667 SXX65667 THT65667 TRP65667 UBL65667 ULH65667 UVD65667 VEZ65667 VOV65667 VYR65667 WIN65667 FX131203 PT131203 ZP131203 AJL131203 ATH131203 BDD131203 BMZ131203 BWV131203 CGR131203 CQN131203 DAJ131203 DKF131203 DUB131203 EDX131203 ENT131203 EXP131203 FHL131203 FRH131203 GBD131203 GKZ131203 GUV131203 HER131203 HON131203 HYJ131203 IIF131203 ISB131203 JBX131203 JLT131203 JVP131203 KFL131203 KPH131203 KZD131203 LIZ131203 LSV131203 MCR131203 MMN131203 MWJ131203 NGF131203 NQB131203 NZX131203 OJT131203 OTP131203 PDL131203 PNH131203 PXD131203 QGZ131203 QQV131203 RAR131203 RKN131203 RUJ131203 SEF131203 SOB131203 SXX131203 THT131203 TRP131203 UBL131203 ULH131203 UVD131203 VEZ131203 VOV131203 VYR131203 WIN131203 FX196739 PT196739 ZP196739 AJL196739 ATH196739 BDD196739 BMZ196739 BWV196739 CGR196739 CQN196739 DAJ196739 DKF196739 DUB196739 EDX196739 ENT196739 EXP196739 FHL196739 FRH196739 GBD196739 GKZ196739 GUV196739 HER196739 HON196739 HYJ196739 IIF196739 ISB196739 JBX196739 JLT196739 JVP196739 KFL196739 KPH196739 KZD196739 LIZ196739 LSV196739 MCR196739 MMN196739 MWJ196739 NGF196739 NQB196739 NZX196739 OJT196739 OTP196739 PDL196739 PNH196739 PXD196739 QGZ196739 QQV196739 RAR196739 RKN196739 RUJ196739 SEF196739 SOB196739 SXX196739 THT196739 TRP196739 UBL196739 ULH196739 UVD196739 VEZ196739 VOV196739 VYR196739 WIN196739 FX262275 PT262275 ZP262275 AJL262275 ATH262275 BDD262275 BMZ262275 BWV262275 CGR262275 CQN262275 DAJ262275 DKF262275 DUB262275 EDX262275 ENT262275 EXP262275 FHL262275 FRH262275 GBD262275 GKZ262275 GUV262275 HER262275 HON262275 HYJ262275 IIF262275 ISB262275 JBX262275 JLT262275 JVP262275 KFL262275 KPH262275 KZD262275 LIZ262275 LSV262275 MCR262275 MMN262275 MWJ262275 NGF262275 NQB262275 NZX262275 OJT262275 OTP262275 PDL262275 PNH262275 PXD262275 QGZ262275 QQV262275 RAR262275 RKN262275 RUJ262275 SEF262275 SOB262275 SXX262275 THT262275 TRP262275 UBL262275 ULH262275 UVD262275 VEZ262275 VOV262275 VYR262275 WIN262275 FX327811 PT327811 ZP327811 AJL327811 ATH327811 BDD327811 BMZ327811 BWV327811 CGR327811 CQN327811 DAJ327811 DKF327811 DUB327811 EDX327811 ENT327811 EXP327811 FHL327811 FRH327811 GBD327811 GKZ327811 GUV327811 HER327811 HON327811 HYJ327811 IIF327811 ISB327811 JBX327811 JLT327811 JVP327811 KFL327811 KPH327811 KZD327811 LIZ327811 LSV327811 MCR327811 MMN327811 MWJ327811 NGF327811 NQB327811 NZX327811 OJT327811 OTP327811 PDL327811 PNH327811 PXD327811 QGZ327811 QQV327811 RAR327811 RKN327811 RUJ327811 SEF327811 SOB327811 SXX327811 THT327811 TRP327811 UBL327811 ULH327811 UVD327811 VEZ327811 VOV327811 VYR327811 WIN327811 FX393347 PT393347 ZP393347 AJL393347 ATH393347 BDD393347 BMZ393347 BWV393347 CGR393347 CQN393347 DAJ393347 DKF393347 DUB393347 EDX393347 ENT393347 EXP393347 FHL393347 FRH393347 GBD393347 GKZ393347 GUV393347 HER393347 HON393347 HYJ393347 IIF393347 ISB393347 JBX393347 JLT393347 JVP393347 KFL393347 KPH393347 KZD393347 LIZ393347 LSV393347 MCR393347 MMN393347 MWJ393347 NGF393347 NQB393347 NZX393347 OJT393347 OTP393347 PDL393347 PNH393347 PXD393347 QGZ393347 QQV393347 RAR393347 RKN393347 RUJ393347 SEF393347 SOB393347 SXX393347 THT393347 TRP393347 UBL393347 ULH393347 UVD393347 VEZ393347 VOV393347 VYR393347 WIN393347 FX458883 PT458883 ZP458883 AJL458883 ATH458883 BDD458883 BMZ458883 BWV458883 CGR458883 CQN458883 DAJ458883 DKF458883 DUB458883 EDX458883 ENT458883 EXP458883 FHL458883 FRH458883 GBD458883 GKZ458883 GUV458883 HER458883 HON458883 HYJ458883 IIF458883 ISB458883 JBX458883 JLT458883 JVP458883 KFL458883 KPH458883 KZD458883 LIZ458883 LSV458883 MCR458883 MMN458883 MWJ458883 NGF458883 NQB458883 NZX458883 OJT458883 OTP458883 PDL458883 PNH458883 PXD458883 QGZ458883 QQV458883 RAR458883 RKN458883 RUJ458883 SEF458883 SOB458883 SXX458883 THT458883 TRP458883 UBL458883 ULH458883 UVD458883 VEZ458883 VOV458883 VYR458883 WIN458883 FX524419 PT524419 ZP524419 AJL524419 ATH524419 BDD524419 BMZ524419 BWV524419 CGR524419 CQN524419 DAJ524419 DKF524419 DUB524419 EDX524419 ENT524419 EXP524419 FHL524419 FRH524419 GBD524419 GKZ524419 GUV524419 HER524419 HON524419 HYJ524419 IIF524419 ISB524419 JBX524419 JLT524419 JVP524419 KFL524419 KPH524419 KZD524419 LIZ524419 LSV524419 MCR524419 MMN524419 MWJ524419 NGF524419 NQB524419 NZX524419 OJT524419 OTP524419 PDL524419 PNH524419 PXD524419 QGZ524419 QQV524419 RAR524419 RKN524419 RUJ524419 SEF524419 SOB524419 SXX524419 THT524419 TRP524419 UBL524419 ULH524419 UVD524419 VEZ524419 VOV524419 VYR524419 WIN524419 FX589955 PT589955 ZP589955 AJL589955 ATH589955 BDD589955 BMZ589955 BWV589955 CGR589955 CQN589955 DAJ589955 DKF589955 DUB589955 EDX589955 ENT589955 EXP589955 FHL589955 FRH589955 GBD589955 GKZ589955 GUV589955 HER589955 HON589955 HYJ589955 IIF589955 ISB589955 JBX589955 JLT589955 JVP589955 KFL589955 KPH589955 KZD589955 LIZ589955 LSV589955 MCR589955 MMN589955 MWJ589955 NGF589955 NQB589955 NZX589955 OJT589955 OTP589955 PDL589955 PNH589955 PXD589955 QGZ589955 QQV589955 RAR589955 RKN589955 RUJ589955 SEF589955 SOB589955 SXX589955 THT589955 TRP589955 UBL589955 ULH589955 UVD589955 VEZ589955 VOV589955 VYR589955 WIN589955 FX655491 PT655491 ZP655491 AJL655491 ATH655491 BDD655491 BMZ655491 BWV655491 CGR655491 CQN655491 DAJ655491 DKF655491 DUB655491 EDX655491 ENT655491 EXP655491 FHL655491 FRH655491 GBD655491 GKZ655491 GUV655491 HER655491 HON655491 HYJ655491 IIF655491 ISB655491 JBX655491 JLT655491 JVP655491 KFL655491 KPH655491 KZD655491 LIZ655491 LSV655491 MCR655491 MMN655491 MWJ655491 NGF655491 NQB655491 NZX655491 OJT655491 OTP655491 PDL655491 PNH655491 PXD655491 QGZ655491 QQV655491 RAR655491 RKN655491 RUJ655491 SEF655491 SOB655491 SXX655491 THT655491 TRP655491 UBL655491 ULH655491 UVD655491 VEZ655491 VOV655491 VYR655491 WIN655491 FX721027 PT721027 ZP721027 AJL721027 ATH721027 BDD721027 BMZ721027 BWV721027 CGR721027 CQN721027 DAJ721027 DKF721027 DUB721027 EDX721027 ENT721027 EXP721027 FHL721027 FRH721027 GBD721027 GKZ721027 GUV721027 HER721027 HON721027 HYJ721027 IIF721027 ISB721027 JBX721027 JLT721027 JVP721027 KFL721027 KPH721027 KZD721027 LIZ721027 LSV721027 MCR721027 MMN721027 MWJ721027 NGF721027 NQB721027 NZX721027 OJT721027 OTP721027 PDL721027 PNH721027 PXD721027 QGZ721027 QQV721027 RAR721027 RKN721027 RUJ721027 SEF721027 SOB721027 SXX721027 THT721027 TRP721027 UBL721027 ULH721027 UVD721027 VEZ721027 VOV721027 VYR721027 WIN721027 FX786563 PT786563 ZP786563 AJL786563 ATH786563 BDD786563 BMZ786563 BWV786563 CGR786563 CQN786563 DAJ786563 DKF786563 DUB786563 EDX786563 ENT786563 EXP786563 FHL786563 FRH786563 GBD786563 GKZ786563 GUV786563 HER786563 HON786563 HYJ786563 IIF786563 ISB786563 JBX786563 JLT786563 JVP786563 KFL786563 KPH786563 KZD786563 LIZ786563 LSV786563 MCR786563 MMN786563 MWJ786563 NGF786563 NQB786563 NZX786563 OJT786563 OTP786563 PDL786563 PNH786563 PXD786563 QGZ786563 QQV786563 RAR786563 RKN786563 RUJ786563 SEF786563 SOB786563 SXX786563 THT786563 TRP786563 UBL786563 ULH786563 UVD786563 VEZ786563 VOV786563 VYR786563 WIN786563 FX852099 PT852099 ZP852099 AJL852099 ATH852099 BDD852099 BMZ852099 BWV852099 CGR852099 CQN852099 DAJ852099 DKF852099 DUB852099 EDX852099 ENT852099 EXP852099 FHL852099 FRH852099 GBD852099 GKZ852099 GUV852099 HER852099 HON852099 HYJ852099 IIF852099 ISB852099 JBX852099 JLT852099 JVP852099 KFL852099 KPH852099 KZD852099 LIZ852099 LSV852099 MCR852099 MMN852099 MWJ852099 NGF852099 NQB852099 NZX852099 OJT852099 OTP852099 PDL852099 PNH852099 PXD852099 QGZ852099 QQV852099 RAR852099 RKN852099 RUJ852099 SEF852099 SOB852099 SXX852099 THT852099 TRP852099 UBL852099 ULH852099 UVD852099 VEZ852099 VOV852099 VYR852099 WIN852099 FX917635 PT917635 ZP917635 AJL917635 ATH917635 BDD917635 BMZ917635 BWV917635 CGR917635 CQN917635 DAJ917635 DKF917635 DUB917635 EDX917635 ENT917635 EXP917635 FHL917635 FRH917635 GBD917635 GKZ917635 GUV917635 HER917635 HON917635 HYJ917635 IIF917635 ISB917635 JBX917635 JLT917635 JVP917635 KFL917635 KPH917635 KZD917635 LIZ917635 LSV917635 MCR917635 MMN917635 MWJ917635 NGF917635 NQB917635 NZX917635 OJT917635 OTP917635 PDL917635 PNH917635 PXD917635 QGZ917635 QQV917635 RAR917635 RKN917635 RUJ917635 SEF917635 SOB917635 SXX917635 THT917635 TRP917635 UBL917635 ULH917635 UVD917635 VEZ917635 VOV917635 VYR917635 WIN917635 FX983171 PT983171 ZP983171 AJL983171 ATH983171 BDD983171 BMZ983171 BWV983171 CGR983171 CQN983171 DAJ983171 DKF983171 DUB983171 EDX983171 ENT983171 EXP983171 FHL983171 FRH983171 GBD983171 GKZ983171 GUV983171 HER983171 HON983171 HYJ983171 IIF983171 ISB983171 JBX983171 JLT983171 JVP983171 KFL983171 KPH983171 KZD983171 LIZ983171 LSV983171 MCR983171 MMN983171 MWJ983171 NGF983171 NQB983171 NZX983171 OJT983171 OTP983171 PDL983171 PNH983171 PXD983171 QGZ983171 QQV983171 RAR983171 RKN983171 RUJ983171 SEF983171 SOB983171 SXX983171 THT983171 TRP983171 UBL983171 ULH983171 UVD983171 VEZ983171 VOV983171 VYR983171 J27:S27 J131203 J196739 J262275 J327811 J393347 J458883 J524419 J589955 J655491 J721027 J786563 J852099 J917635 J983171 J65667" xr:uid="{00000000-0002-0000-0200-000001000000}">
      <formula1>TWOPH</formula1>
    </dataValidation>
    <dataValidation type="list" allowBlank="1" showInputMessage="1" showErrorMessage="1" sqref="VYR983036:VZL983036 WIN983036:WJH983036 FX65532:GR65532 PT65532:QN65532 ZP65532:AAJ65532 AJL65532:AKF65532 ATH65532:AUB65532 BDD65532:BDX65532 BMZ65532:BNT65532 BWV65532:BXP65532 CGR65532:CHL65532 CQN65532:CRH65532 DAJ65532:DBD65532 DKF65532:DKZ65532 DUB65532:DUV65532 EDX65532:EER65532 ENT65532:EON65532 EXP65532:EYJ65532 FHL65532:FIF65532 FRH65532:FSB65532 GBD65532:GBX65532 GKZ65532:GLT65532 GUV65532:GVP65532 HER65532:HFL65532 HON65532:HPH65532 HYJ65532:HZD65532 IIF65532:IIZ65532 ISB65532:ISV65532 JBX65532:JCR65532 JLT65532:JMN65532 JVP65532:JWJ65532 KFL65532:KGF65532 KPH65532:KQB65532 KZD65532:KZX65532 LIZ65532:LJT65532 LSV65532:LTP65532 MCR65532:MDL65532 MMN65532:MNH65532 MWJ65532:MXD65532 NGF65532:NGZ65532 NQB65532:NQV65532 NZX65532:OAR65532 OJT65532:OKN65532 OTP65532:OUJ65532 PDL65532:PEF65532 PNH65532:POB65532 PXD65532:PXX65532 QGZ65532:QHT65532 QQV65532:QRP65532 RAR65532:RBL65532 RKN65532:RLH65532 RUJ65532:RVD65532 SEF65532:SEZ65532 SOB65532:SOV65532 SXX65532:SYR65532 THT65532:TIN65532 TRP65532:TSJ65532 UBL65532:UCF65532 ULH65532:UMB65532 UVD65532:UVX65532 VEZ65532:VFT65532 VOV65532:VPP65532 VYR65532:VZL65532 WIN65532:WJH65532 FX131068:GR131068 PT131068:QN131068 ZP131068:AAJ131068 AJL131068:AKF131068 ATH131068:AUB131068 BDD131068:BDX131068 BMZ131068:BNT131068 BWV131068:BXP131068 CGR131068:CHL131068 CQN131068:CRH131068 DAJ131068:DBD131068 DKF131068:DKZ131068 DUB131068:DUV131068 EDX131068:EER131068 ENT131068:EON131068 EXP131068:EYJ131068 FHL131068:FIF131068 FRH131068:FSB131068 GBD131068:GBX131068 GKZ131068:GLT131068 GUV131068:GVP131068 HER131068:HFL131068 HON131068:HPH131068 HYJ131068:HZD131068 IIF131068:IIZ131068 ISB131068:ISV131068 JBX131068:JCR131068 JLT131068:JMN131068 JVP131068:JWJ131068 KFL131068:KGF131068 KPH131068:KQB131068 KZD131068:KZX131068 LIZ131068:LJT131068 LSV131068:LTP131068 MCR131068:MDL131068 MMN131068:MNH131068 MWJ131068:MXD131068 NGF131068:NGZ131068 NQB131068:NQV131068 NZX131068:OAR131068 OJT131068:OKN131068 OTP131068:OUJ131068 PDL131068:PEF131068 PNH131068:POB131068 PXD131068:PXX131068 QGZ131068:QHT131068 QQV131068:QRP131068 RAR131068:RBL131068 RKN131068:RLH131068 RUJ131068:RVD131068 SEF131068:SEZ131068 SOB131068:SOV131068 SXX131068:SYR131068 THT131068:TIN131068 TRP131068:TSJ131068 UBL131068:UCF131068 ULH131068:UMB131068 UVD131068:UVX131068 VEZ131068:VFT131068 VOV131068:VPP131068 VYR131068:VZL131068 WIN131068:WJH131068 FX196604:GR196604 PT196604:QN196604 ZP196604:AAJ196604 AJL196604:AKF196604 ATH196604:AUB196604 BDD196604:BDX196604 BMZ196604:BNT196604 BWV196604:BXP196604 CGR196604:CHL196604 CQN196604:CRH196604 DAJ196604:DBD196604 DKF196604:DKZ196604 DUB196604:DUV196604 EDX196604:EER196604 ENT196604:EON196604 EXP196604:EYJ196604 FHL196604:FIF196604 FRH196604:FSB196604 GBD196604:GBX196604 GKZ196604:GLT196604 GUV196604:GVP196604 HER196604:HFL196604 HON196604:HPH196604 HYJ196604:HZD196604 IIF196604:IIZ196604 ISB196604:ISV196604 JBX196604:JCR196604 JLT196604:JMN196604 JVP196604:JWJ196604 KFL196604:KGF196604 KPH196604:KQB196604 KZD196604:KZX196604 LIZ196604:LJT196604 LSV196604:LTP196604 MCR196604:MDL196604 MMN196604:MNH196604 MWJ196604:MXD196604 NGF196604:NGZ196604 NQB196604:NQV196604 NZX196604:OAR196604 OJT196604:OKN196604 OTP196604:OUJ196604 PDL196604:PEF196604 PNH196604:POB196604 PXD196604:PXX196604 QGZ196604:QHT196604 QQV196604:QRP196604 RAR196604:RBL196604 RKN196604:RLH196604 RUJ196604:RVD196604 SEF196604:SEZ196604 SOB196604:SOV196604 SXX196604:SYR196604 THT196604:TIN196604 TRP196604:TSJ196604 UBL196604:UCF196604 ULH196604:UMB196604 UVD196604:UVX196604 VEZ196604:VFT196604 VOV196604:VPP196604 VYR196604:VZL196604 WIN196604:WJH196604 FX262140:GR262140 PT262140:QN262140 ZP262140:AAJ262140 AJL262140:AKF262140 ATH262140:AUB262140 BDD262140:BDX262140 BMZ262140:BNT262140 BWV262140:BXP262140 CGR262140:CHL262140 CQN262140:CRH262140 DAJ262140:DBD262140 DKF262140:DKZ262140 DUB262140:DUV262140 EDX262140:EER262140 ENT262140:EON262140 EXP262140:EYJ262140 FHL262140:FIF262140 FRH262140:FSB262140 GBD262140:GBX262140 GKZ262140:GLT262140 GUV262140:GVP262140 HER262140:HFL262140 HON262140:HPH262140 HYJ262140:HZD262140 IIF262140:IIZ262140 ISB262140:ISV262140 JBX262140:JCR262140 JLT262140:JMN262140 JVP262140:JWJ262140 KFL262140:KGF262140 KPH262140:KQB262140 KZD262140:KZX262140 LIZ262140:LJT262140 LSV262140:LTP262140 MCR262140:MDL262140 MMN262140:MNH262140 MWJ262140:MXD262140 NGF262140:NGZ262140 NQB262140:NQV262140 NZX262140:OAR262140 OJT262140:OKN262140 OTP262140:OUJ262140 PDL262140:PEF262140 PNH262140:POB262140 PXD262140:PXX262140 QGZ262140:QHT262140 QQV262140:QRP262140 RAR262140:RBL262140 RKN262140:RLH262140 RUJ262140:RVD262140 SEF262140:SEZ262140 SOB262140:SOV262140 SXX262140:SYR262140 THT262140:TIN262140 TRP262140:TSJ262140 UBL262140:UCF262140 ULH262140:UMB262140 UVD262140:UVX262140 VEZ262140:VFT262140 VOV262140:VPP262140 VYR262140:VZL262140 WIN262140:WJH262140 FX327676:GR327676 PT327676:QN327676 ZP327676:AAJ327676 AJL327676:AKF327676 ATH327676:AUB327676 BDD327676:BDX327676 BMZ327676:BNT327676 BWV327676:BXP327676 CGR327676:CHL327676 CQN327676:CRH327676 DAJ327676:DBD327676 DKF327676:DKZ327676 DUB327676:DUV327676 EDX327676:EER327676 ENT327676:EON327676 EXP327676:EYJ327676 FHL327676:FIF327676 FRH327676:FSB327676 GBD327676:GBX327676 GKZ327676:GLT327676 GUV327676:GVP327676 HER327676:HFL327676 HON327676:HPH327676 HYJ327676:HZD327676 IIF327676:IIZ327676 ISB327676:ISV327676 JBX327676:JCR327676 JLT327676:JMN327676 JVP327676:JWJ327676 KFL327676:KGF327676 KPH327676:KQB327676 KZD327676:KZX327676 LIZ327676:LJT327676 LSV327676:LTP327676 MCR327676:MDL327676 MMN327676:MNH327676 MWJ327676:MXD327676 NGF327676:NGZ327676 NQB327676:NQV327676 NZX327676:OAR327676 OJT327676:OKN327676 OTP327676:OUJ327676 PDL327676:PEF327676 PNH327676:POB327676 PXD327676:PXX327676 QGZ327676:QHT327676 QQV327676:QRP327676 RAR327676:RBL327676 RKN327676:RLH327676 RUJ327676:RVD327676 SEF327676:SEZ327676 SOB327676:SOV327676 SXX327676:SYR327676 THT327676:TIN327676 TRP327676:TSJ327676 UBL327676:UCF327676 ULH327676:UMB327676 UVD327676:UVX327676 VEZ327676:VFT327676 VOV327676:VPP327676 VYR327676:VZL327676 WIN327676:WJH327676 FX393212:GR393212 PT393212:QN393212 ZP393212:AAJ393212 AJL393212:AKF393212 ATH393212:AUB393212 BDD393212:BDX393212 BMZ393212:BNT393212 BWV393212:BXP393212 CGR393212:CHL393212 CQN393212:CRH393212 DAJ393212:DBD393212 DKF393212:DKZ393212 DUB393212:DUV393212 EDX393212:EER393212 ENT393212:EON393212 EXP393212:EYJ393212 FHL393212:FIF393212 FRH393212:FSB393212 GBD393212:GBX393212 GKZ393212:GLT393212 GUV393212:GVP393212 HER393212:HFL393212 HON393212:HPH393212 HYJ393212:HZD393212 IIF393212:IIZ393212 ISB393212:ISV393212 JBX393212:JCR393212 JLT393212:JMN393212 JVP393212:JWJ393212 KFL393212:KGF393212 KPH393212:KQB393212 KZD393212:KZX393212 LIZ393212:LJT393212 LSV393212:LTP393212 MCR393212:MDL393212 MMN393212:MNH393212 MWJ393212:MXD393212 NGF393212:NGZ393212 NQB393212:NQV393212 NZX393212:OAR393212 OJT393212:OKN393212 OTP393212:OUJ393212 PDL393212:PEF393212 PNH393212:POB393212 PXD393212:PXX393212 QGZ393212:QHT393212 QQV393212:QRP393212 RAR393212:RBL393212 RKN393212:RLH393212 RUJ393212:RVD393212 SEF393212:SEZ393212 SOB393212:SOV393212 SXX393212:SYR393212 THT393212:TIN393212 TRP393212:TSJ393212 UBL393212:UCF393212 ULH393212:UMB393212 UVD393212:UVX393212 VEZ393212:VFT393212 VOV393212:VPP393212 VYR393212:VZL393212 WIN393212:WJH393212 FX458748:GR458748 PT458748:QN458748 ZP458748:AAJ458748 AJL458748:AKF458748 ATH458748:AUB458748 BDD458748:BDX458748 BMZ458748:BNT458748 BWV458748:BXP458748 CGR458748:CHL458748 CQN458748:CRH458748 DAJ458748:DBD458748 DKF458748:DKZ458748 DUB458748:DUV458748 EDX458748:EER458748 ENT458748:EON458748 EXP458748:EYJ458748 FHL458748:FIF458748 FRH458748:FSB458748 GBD458748:GBX458748 GKZ458748:GLT458748 GUV458748:GVP458748 HER458748:HFL458748 HON458748:HPH458748 HYJ458748:HZD458748 IIF458748:IIZ458748 ISB458748:ISV458748 JBX458748:JCR458748 JLT458748:JMN458748 JVP458748:JWJ458748 KFL458748:KGF458748 KPH458748:KQB458748 KZD458748:KZX458748 LIZ458748:LJT458748 LSV458748:LTP458748 MCR458748:MDL458748 MMN458748:MNH458748 MWJ458748:MXD458748 NGF458748:NGZ458748 NQB458748:NQV458748 NZX458748:OAR458748 OJT458748:OKN458748 OTP458748:OUJ458748 PDL458748:PEF458748 PNH458748:POB458748 PXD458748:PXX458748 QGZ458748:QHT458748 QQV458748:QRP458748 RAR458748:RBL458748 RKN458748:RLH458748 RUJ458748:RVD458748 SEF458748:SEZ458748 SOB458748:SOV458748 SXX458748:SYR458748 THT458748:TIN458748 TRP458748:TSJ458748 UBL458748:UCF458748 ULH458748:UMB458748 UVD458748:UVX458748 VEZ458748:VFT458748 VOV458748:VPP458748 VYR458748:VZL458748 WIN458748:WJH458748 FX524284:GR524284 PT524284:QN524284 ZP524284:AAJ524284 AJL524284:AKF524284 ATH524284:AUB524284 BDD524284:BDX524284 BMZ524284:BNT524284 BWV524284:BXP524284 CGR524284:CHL524284 CQN524284:CRH524284 DAJ524284:DBD524284 DKF524284:DKZ524284 DUB524284:DUV524284 EDX524284:EER524284 ENT524284:EON524284 EXP524284:EYJ524284 FHL524284:FIF524284 FRH524284:FSB524284 GBD524284:GBX524284 GKZ524284:GLT524284 GUV524284:GVP524284 HER524284:HFL524284 HON524284:HPH524284 HYJ524284:HZD524284 IIF524284:IIZ524284 ISB524284:ISV524284 JBX524284:JCR524284 JLT524284:JMN524284 JVP524284:JWJ524284 KFL524284:KGF524284 KPH524284:KQB524284 KZD524284:KZX524284 LIZ524284:LJT524284 LSV524284:LTP524284 MCR524284:MDL524284 MMN524284:MNH524284 MWJ524284:MXD524284 NGF524284:NGZ524284 NQB524284:NQV524284 NZX524284:OAR524284 OJT524284:OKN524284 OTP524284:OUJ524284 PDL524284:PEF524284 PNH524284:POB524284 PXD524284:PXX524284 QGZ524284:QHT524284 QQV524284:QRP524284 RAR524284:RBL524284 RKN524284:RLH524284 RUJ524284:RVD524284 SEF524284:SEZ524284 SOB524284:SOV524284 SXX524284:SYR524284 THT524284:TIN524284 TRP524284:TSJ524284 UBL524284:UCF524284 ULH524284:UMB524284 UVD524284:UVX524284 VEZ524284:VFT524284 VOV524284:VPP524284 VYR524284:VZL524284 WIN524284:WJH524284 FX589820:GR589820 PT589820:QN589820 ZP589820:AAJ589820 AJL589820:AKF589820 ATH589820:AUB589820 BDD589820:BDX589820 BMZ589820:BNT589820 BWV589820:BXP589820 CGR589820:CHL589820 CQN589820:CRH589820 DAJ589820:DBD589820 DKF589820:DKZ589820 DUB589820:DUV589820 EDX589820:EER589820 ENT589820:EON589820 EXP589820:EYJ589820 FHL589820:FIF589820 FRH589820:FSB589820 GBD589820:GBX589820 GKZ589820:GLT589820 GUV589820:GVP589820 HER589820:HFL589820 HON589820:HPH589820 HYJ589820:HZD589820 IIF589820:IIZ589820 ISB589820:ISV589820 JBX589820:JCR589820 JLT589820:JMN589820 JVP589820:JWJ589820 KFL589820:KGF589820 KPH589820:KQB589820 KZD589820:KZX589820 LIZ589820:LJT589820 LSV589820:LTP589820 MCR589820:MDL589820 MMN589820:MNH589820 MWJ589820:MXD589820 NGF589820:NGZ589820 NQB589820:NQV589820 NZX589820:OAR589820 OJT589820:OKN589820 OTP589820:OUJ589820 PDL589820:PEF589820 PNH589820:POB589820 PXD589820:PXX589820 QGZ589820:QHT589820 QQV589820:QRP589820 RAR589820:RBL589820 RKN589820:RLH589820 RUJ589820:RVD589820 SEF589820:SEZ589820 SOB589820:SOV589820 SXX589820:SYR589820 THT589820:TIN589820 TRP589820:TSJ589820 UBL589820:UCF589820 ULH589820:UMB589820 UVD589820:UVX589820 VEZ589820:VFT589820 VOV589820:VPP589820 VYR589820:VZL589820 WIN589820:WJH589820 FX655356:GR655356 PT655356:QN655356 ZP655356:AAJ655356 AJL655356:AKF655356 ATH655356:AUB655356 BDD655356:BDX655356 BMZ655356:BNT655356 BWV655356:BXP655356 CGR655356:CHL655356 CQN655356:CRH655356 DAJ655356:DBD655356 DKF655356:DKZ655356 DUB655356:DUV655356 EDX655356:EER655356 ENT655356:EON655356 EXP655356:EYJ655356 FHL655356:FIF655356 FRH655356:FSB655356 GBD655356:GBX655356 GKZ655356:GLT655356 GUV655356:GVP655356 HER655356:HFL655356 HON655356:HPH655356 HYJ655356:HZD655356 IIF655356:IIZ655356 ISB655356:ISV655356 JBX655356:JCR655356 JLT655356:JMN655356 JVP655356:JWJ655356 KFL655356:KGF655356 KPH655356:KQB655356 KZD655356:KZX655356 LIZ655356:LJT655356 LSV655356:LTP655356 MCR655356:MDL655356 MMN655356:MNH655356 MWJ655356:MXD655356 NGF655356:NGZ655356 NQB655356:NQV655356 NZX655356:OAR655356 OJT655356:OKN655356 OTP655356:OUJ655356 PDL655356:PEF655356 PNH655356:POB655356 PXD655356:PXX655356 QGZ655356:QHT655356 QQV655356:QRP655356 RAR655356:RBL655356 RKN655356:RLH655356 RUJ655356:RVD655356 SEF655356:SEZ655356 SOB655356:SOV655356 SXX655356:SYR655356 THT655356:TIN655356 TRP655356:TSJ655356 UBL655356:UCF655356 ULH655356:UMB655356 UVD655356:UVX655356 VEZ655356:VFT655356 VOV655356:VPP655356 VYR655356:VZL655356 WIN655356:WJH655356 FX720892:GR720892 PT720892:QN720892 ZP720892:AAJ720892 AJL720892:AKF720892 ATH720892:AUB720892 BDD720892:BDX720892 BMZ720892:BNT720892 BWV720892:BXP720892 CGR720892:CHL720892 CQN720892:CRH720892 DAJ720892:DBD720892 DKF720892:DKZ720892 DUB720892:DUV720892 EDX720892:EER720892 ENT720892:EON720892 EXP720892:EYJ720892 FHL720892:FIF720892 FRH720892:FSB720892 GBD720892:GBX720892 GKZ720892:GLT720892 GUV720892:GVP720892 HER720892:HFL720892 HON720892:HPH720892 HYJ720892:HZD720892 IIF720892:IIZ720892 ISB720892:ISV720892 JBX720892:JCR720892 JLT720892:JMN720892 JVP720892:JWJ720892 KFL720892:KGF720892 KPH720892:KQB720892 KZD720892:KZX720892 LIZ720892:LJT720892 LSV720892:LTP720892 MCR720892:MDL720892 MMN720892:MNH720892 MWJ720892:MXD720892 NGF720892:NGZ720892 NQB720892:NQV720892 NZX720892:OAR720892 OJT720892:OKN720892 OTP720892:OUJ720892 PDL720892:PEF720892 PNH720892:POB720892 PXD720892:PXX720892 QGZ720892:QHT720892 QQV720892:QRP720892 RAR720892:RBL720892 RKN720892:RLH720892 RUJ720892:RVD720892 SEF720892:SEZ720892 SOB720892:SOV720892 SXX720892:SYR720892 THT720892:TIN720892 TRP720892:TSJ720892 UBL720892:UCF720892 ULH720892:UMB720892 UVD720892:UVX720892 VEZ720892:VFT720892 VOV720892:VPP720892 VYR720892:VZL720892 WIN720892:WJH720892 FX786428:GR786428 PT786428:QN786428 ZP786428:AAJ786428 AJL786428:AKF786428 ATH786428:AUB786428 BDD786428:BDX786428 BMZ786428:BNT786428 BWV786428:BXP786428 CGR786428:CHL786428 CQN786428:CRH786428 DAJ786428:DBD786428 DKF786428:DKZ786428 DUB786428:DUV786428 EDX786428:EER786428 ENT786428:EON786428 EXP786428:EYJ786428 FHL786428:FIF786428 FRH786428:FSB786428 GBD786428:GBX786428 GKZ786428:GLT786428 GUV786428:GVP786428 HER786428:HFL786428 HON786428:HPH786428 HYJ786428:HZD786428 IIF786428:IIZ786428 ISB786428:ISV786428 JBX786428:JCR786428 JLT786428:JMN786428 JVP786428:JWJ786428 KFL786428:KGF786428 KPH786428:KQB786428 KZD786428:KZX786428 LIZ786428:LJT786428 LSV786428:LTP786428 MCR786428:MDL786428 MMN786428:MNH786428 MWJ786428:MXD786428 NGF786428:NGZ786428 NQB786428:NQV786428 NZX786428:OAR786428 OJT786428:OKN786428 OTP786428:OUJ786428 PDL786428:PEF786428 PNH786428:POB786428 PXD786428:PXX786428 QGZ786428:QHT786428 QQV786428:QRP786428 RAR786428:RBL786428 RKN786428:RLH786428 RUJ786428:RVD786428 SEF786428:SEZ786428 SOB786428:SOV786428 SXX786428:SYR786428 THT786428:TIN786428 TRP786428:TSJ786428 UBL786428:UCF786428 ULH786428:UMB786428 UVD786428:UVX786428 VEZ786428:VFT786428 VOV786428:VPP786428 VYR786428:VZL786428 WIN786428:WJH786428 FX851964:GR851964 PT851964:QN851964 ZP851964:AAJ851964 AJL851964:AKF851964 ATH851964:AUB851964 BDD851964:BDX851964 BMZ851964:BNT851964 BWV851964:BXP851964 CGR851964:CHL851964 CQN851964:CRH851964 DAJ851964:DBD851964 DKF851964:DKZ851964 DUB851964:DUV851964 EDX851964:EER851964 ENT851964:EON851964 EXP851964:EYJ851964 FHL851964:FIF851964 FRH851964:FSB851964 GBD851964:GBX851964 GKZ851964:GLT851964 GUV851964:GVP851964 HER851964:HFL851964 HON851964:HPH851964 HYJ851964:HZD851964 IIF851964:IIZ851964 ISB851964:ISV851964 JBX851964:JCR851964 JLT851964:JMN851964 JVP851964:JWJ851964 KFL851964:KGF851964 KPH851964:KQB851964 KZD851964:KZX851964 LIZ851964:LJT851964 LSV851964:LTP851964 MCR851964:MDL851964 MMN851964:MNH851964 MWJ851964:MXD851964 NGF851964:NGZ851964 NQB851964:NQV851964 NZX851964:OAR851964 OJT851964:OKN851964 OTP851964:OUJ851964 PDL851964:PEF851964 PNH851964:POB851964 PXD851964:PXX851964 QGZ851964:QHT851964 QQV851964:QRP851964 RAR851964:RBL851964 RKN851964:RLH851964 RUJ851964:RVD851964 SEF851964:SEZ851964 SOB851964:SOV851964 SXX851964:SYR851964 THT851964:TIN851964 TRP851964:TSJ851964 UBL851964:UCF851964 ULH851964:UMB851964 UVD851964:UVX851964 VEZ851964:VFT851964 VOV851964:VPP851964 VYR851964:VZL851964 WIN851964:WJH851964 FX917500:GR917500 PT917500:QN917500 ZP917500:AAJ917500 AJL917500:AKF917500 ATH917500:AUB917500 BDD917500:BDX917500 BMZ917500:BNT917500 BWV917500:BXP917500 CGR917500:CHL917500 CQN917500:CRH917500 DAJ917500:DBD917500 DKF917500:DKZ917500 DUB917500:DUV917500 EDX917500:EER917500 ENT917500:EON917500 EXP917500:EYJ917500 FHL917500:FIF917500 FRH917500:FSB917500 GBD917500:GBX917500 GKZ917500:GLT917500 GUV917500:GVP917500 HER917500:HFL917500 HON917500:HPH917500 HYJ917500:HZD917500 IIF917500:IIZ917500 ISB917500:ISV917500 JBX917500:JCR917500 JLT917500:JMN917500 JVP917500:JWJ917500 KFL917500:KGF917500 KPH917500:KQB917500 KZD917500:KZX917500 LIZ917500:LJT917500 LSV917500:LTP917500 MCR917500:MDL917500 MMN917500:MNH917500 MWJ917500:MXD917500 NGF917500:NGZ917500 NQB917500:NQV917500 NZX917500:OAR917500 OJT917500:OKN917500 OTP917500:OUJ917500 PDL917500:PEF917500 PNH917500:POB917500 PXD917500:PXX917500 QGZ917500:QHT917500 QQV917500:QRP917500 RAR917500:RBL917500 RKN917500:RLH917500 RUJ917500:RVD917500 SEF917500:SEZ917500 SOB917500:SOV917500 SXX917500:SYR917500 THT917500:TIN917500 TRP917500:TSJ917500 UBL917500:UCF917500 ULH917500:UMB917500 UVD917500:UVX917500 VEZ917500:VFT917500 VOV917500:VPP917500 VYR917500:VZL917500 WIN917500:WJH917500 FX983036:GR983036 PT983036:QN983036 ZP983036:AAJ983036 AJL983036:AKF983036 ATH983036:AUB983036 BDD983036:BDX983036 BMZ983036:BNT983036 BWV983036:BXP983036 CGR983036:CHL983036 CQN983036:CRH983036 DAJ983036:DBD983036 DKF983036:DKZ983036 DUB983036:DUV983036 EDX983036:EER983036 ENT983036:EON983036 EXP983036:EYJ983036 FHL983036:FIF983036 FRH983036:FSB983036 GBD983036:GBX983036 GKZ983036:GLT983036 GUV983036:GVP983036 HER983036:HFL983036 HON983036:HPH983036 HYJ983036:HZD983036 IIF983036:IIZ983036 ISB983036:ISV983036 JBX983036:JCR983036 JLT983036:JMN983036 JVP983036:JWJ983036 KFL983036:KGF983036 KPH983036:KQB983036 KZD983036:KZX983036 LIZ983036:LJT983036 LSV983036:LTP983036 MCR983036:MDL983036 MMN983036:MNH983036 MWJ983036:MXD983036 NGF983036:NGZ983036 NQB983036:NQV983036 NZX983036:OAR983036 OJT983036:OKN983036 OTP983036:OUJ983036 PDL983036:PEF983036 PNH983036:POB983036 PXD983036:PXX983036 QGZ983036:QHT983036 QQV983036:QRP983036 RAR983036:RBL983036 RKN983036:RLH983036 RUJ983036:RVD983036 SEF983036:SEZ983036 SOB983036:SOV983036 SXX983036:SYR983036 THT983036:TIN983036 TRP983036:TSJ983036 UBL983036:UCF983036 ULH983036:UMB983036 UVD983036:UVX983036 VEZ983036:VFT983036 VOV983036:VPP983036 J44:S44 J65532:S65532 J983036:S983036 J917500:S917500 J851964:S851964 J786428:S786428 J720892:S720892 J655356:S655356 J589820:S589820 J524284:S524284 J458748:S458748 J393212:S393212 J327676:S327676 J262140:S262140 J196604:S196604 J131068:S131068" xr:uid="{00000000-0002-0000-0200-000002000000}">
      <formula1>SCH</formula1>
    </dataValidation>
    <dataValidation type="list" allowBlank="1" showInputMessage="1" showErrorMessage="1" sqref="WIN983038:WJH983038 PT65534:QN65534 ZP65534:AAJ65534 AJL65534:AKF65534 ATH65534:AUB65534 BDD65534:BDX65534 BMZ65534:BNT65534 BWV65534:BXP65534 CGR65534:CHL65534 CQN65534:CRH65534 DAJ65534:DBD65534 DKF65534:DKZ65534 DUB65534:DUV65534 EDX65534:EER65534 ENT65534:EON65534 EXP65534:EYJ65534 FHL65534:FIF65534 FRH65534:FSB65534 GBD65534:GBX65534 GKZ65534:GLT65534 GUV65534:GVP65534 HER65534:HFL65534 HON65534:HPH65534 HYJ65534:HZD65534 IIF65534:IIZ65534 ISB65534:ISV65534 JBX65534:JCR65534 JLT65534:JMN65534 JVP65534:JWJ65534 KFL65534:KGF65534 KPH65534:KQB65534 KZD65534:KZX65534 LIZ65534:LJT65534 LSV65534:LTP65534 MCR65534:MDL65534 MMN65534:MNH65534 MWJ65534:MXD65534 NGF65534:NGZ65534 NQB65534:NQV65534 NZX65534:OAR65534 OJT65534:OKN65534 OTP65534:OUJ65534 PDL65534:PEF65534 PNH65534:POB65534 PXD65534:PXX65534 QGZ65534:QHT65534 QQV65534:QRP65534 RAR65534:RBL65534 RKN65534:RLH65534 RUJ65534:RVD65534 SEF65534:SEZ65534 SOB65534:SOV65534 SXX65534:SYR65534 THT65534:TIN65534 TRP65534:TSJ65534 UBL65534:UCF65534 ULH65534:UMB65534 UVD65534:UVX65534 VEZ65534:VFT65534 VOV65534:VPP65534 VYR65534:VZL65534 WIN65534:WJH65534 FX131070:GR131070 PT131070:QN131070 ZP131070:AAJ131070 AJL131070:AKF131070 ATH131070:AUB131070 BDD131070:BDX131070 BMZ131070:BNT131070 BWV131070:BXP131070 CGR131070:CHL131070 CQN131070:CRH131070 DAJ131070:DBD131070 DKF131070:DKZ131070 DUB131070:DUV131070 EDX131070:EER131070 ENT131070:EON131070 EXP131070:EYJ131070 FHL131070:FIF131070 FRH131070:FSB131070 GBD131070:GBX131070 GKZ131070:GLT131070 GUV131070:GVP131070 HER131070:HFL131070 HON131070:HPH131070 HYJ131070:HZD131070 IIF131070:IIZ131070 ISB131070:ISV131070 JBX131070:JCR131070 JLT131070:JMN131070 JVP131070:JWJ131070 KFL131070:KGF131070 KPH131070:KQB131070 KZD131070:KZX131070 LIZ131070:LJT131070 LSV131070:LTP131070 MCR131070:MDL131070 MMN131070:MNH131070 MWJ131070:MXD131070 NGF131070:NGZ131070 NQB131070:NQV131070 NZX131070:OAR131070 OJT131070:OKN131070 OTP131070:OUJ131070 PDL131070:PEF131070 PNH131070:POB131070 PXD131070:PXX131070 QGZ131070:QHT131070 QQV131070:QRP131070 RAR131070:RBL131070 RKN131070:RLH131070 RUJ131070:RVD131070 SEF131070:SEZ131070 SOB131070:SOV131070 SXX131070:SYR131070 THT131070:TIN131070 TRP131070:TSJ131070 UBL131070:UCF131070 ULH131070:UMB131070 UVD131070:UVX131070 VEZ131070:VFT131070 VOV131070:VPP131070 VYR131070:VZL131070 WIN131070:WJH131070 FX196606:GR196606 PT196606:QN196606 ZP196606:AAJ196606 AJL196606:AKF196606 ATH196606:AUB196606 BDD196606:BDX196606 BMZ196606:BNT196606 BWV196606:BXP196606 CGR196606:CHL196606 CQN196606:CRH196606 DAJ196606:DBD196606 DKF196606:DKZ196606 DUB196606:DUV196606 EDX196606:EER196606 ENT196606:EON196606 EXP196606:EYJ196606 FHL196606:FIF196606 FRH196606:FSB196606 GBD196606:GBX196606 GKZ196606:GLT196606 GUV196606:GVP196606 HER196606:HFL196606 HON196606:HPH196606 HYJ196606:HZD196606 IIF196606:IIZ196606 ISB196606:ISV196606 JBX196606:JCR196606 JLT196606:JMN196606 JVP196606:JWJ196606 KFL196606:KGF196606 KPH196606:KQB196606 KZD196606:KZX196606 LIZ196606:LJT196606 LSV196606:LTP196606 MCR196606:MDL196606 MMN196606:MNH196606 MWJ196606:MXD196606 NGF196606:NGZ196606 NQB196606:NQV196606 NZX196606:OAR196606 OJT196606:OKN196606 OTP196606:OUJ196606 PDL196606:PEF196606 PNH196606:POB196606 PXD196606:PXX196606 QGZ196606:QHT196606 QQV196606:QRP196606 RAR196606:RBL196606 RKN196606:RLH196606 RUJ196606:RVD196606 SEF196606:SEZ196606 SOB196606:SOV196606 SXX196606:SYR196606 THT196606:TIN196606 TRP196606:TSJ196606 UBL196606:UCF196606 ULH196606:UMB196606 UVD196606:UVX196606 VEZ196606:VFT196606 VOV196606:VPP196606 VYR196606:VZL196606 WIN196606:WJH196606 FX262142:GR262142 PT262142:QN262142 ZP262142:AAJ262142 AJL262142:AKF262142 ATH262142:AUB262142 BDD262142:BDX262142 BMZ262142:BNT262142 BWV262142:BXP262142 CGR262142:CHL262142 CQN262142:CRH262142 DAJ262142:DBD262142 DKF262142:DKZ262142 DUB262142:DUV262142 EDX262142:EER262142 ENT262142:EON262142 EXP262142:EYJ262142 FHL262142:FIF262142 FRH262142:FSB262142 GBD262142:GBX262142 GKZ262142:GLT262142 GUV262142:GVP262142 HER262142:HFL262142 HON262142:HPH262142 HYJ262142:HZD262142 IIF262142:IIZ262142 ISB262142:ISV262142 JBX262142:JCR262142 JLT262142:JMN262142 JVP262142:JWJ262142 KFL262142:KGF262142 KPH262142:KQB262142 KZD262142:KZX262142 LIZ262142:LJT262142 LSV262142:LTP262142 MCR262142:MDL262142 MMN262142:MNH262142 MWJ262142:MXD262142 NGF262142:NGZ262142 NQB262142:NQV262142 NZX262142:OAR262142 OJT262142:OKN262142 OTP262142:OUJ262142 PDL262142:PEF262142 PNH262142:POB262142 PXD262142:PXX262142 QGZ262142:QHT262142 QQV262142:QRP262142 RAR262142:RBL262142 RKN262142:RLH262142 RUJ262142:RVD262142 SEF262142:SEZ262142 SOB262142:SOV262142 SXX262142:SYR262142 THT262142:TIN262142 TRP262142:TSJ262142 UBL262142:UCF262142 ULH262142:UMB262142 UVD262142:UVX262142 VEZ262142:VFT262142 VOV262142:VPP262142 VYR262142:VZL262142 WIN262142:WJH262142 FX327678:GR327678 PT327678:QN327678 ZP327678:AAJ327678 AJL327678:AKF327678 ATH327678:AUB327678 BDD327678:BDX327678 BMZ327678:BNT327678 BWV327678:BXP327678 CGR327678:CHL327678 CQN327678:CRH327678 DAJ327678:DBD327678 DKF327678:DKZ327678 DUB327678:DUV327678 EDX327678:EER327678 ENT327678:EON327678 EXP327678:EYJ327678 FHL327678:FIF327678 FRH327678:FSB327678 GBD327678:GBX327678 GKZ327678:GLT327678 GUV327678:GVP327678 HER327678:HFL327678 HON327678:HPH327678 HYJ327678:HZD327678 IIF327678:IIZ327678 ISB327678:ISV327678 JBX327678:JCR327678 JLT327678:JMN327678 JVP327678:JWJ327678 KFL327678:KGF327678 KPH327678:KQB327678 KZD327678:KZX327678 LIZ327678:LJT327678 LSV327678:LTP327678 MCR327678:MDL327678 MMN327678:MNH327678 MWJ327678:MXD327678 NGF327678:NGZ327678 NQB327678:NQV327678 NZX327678:OAR327678 OJT327678:OKN327678 OTP327678:OUJ327678 PDL327678:PEF327678 PNH327678:POB327678 PXD327678:PXX327678 QGZ327678:QHT327678 QQV327678:QRP327678 RAR327678:RBL327678 RKN327678:RLH327678 RUJ327678:RVD327678 SEF327678:SEZ327678 SOB327678:SOV327678 SXX327678:SYR327678 THT327678:TIN327678 TRP327678:TSJ327678 UBL327678:UCF327678 ULH327678:UMB327678 UVD327678:UVX327678 VEZ327678:VFT327678 VOV327678:VPP327678 VYR327678:VZL327678 WIN327678:WJH327678 FX393214:GR393214 PT393214:QN393214 ZP393214:AAJ393214 AJL393214:AKF393214 ATH393214:AUB393214 BDD393214:BDX393214 BMZ393214:BNT393214 BWV393214:BXP393214 CGR393214:CHL393214 CQN393214:CRH393214 DAJ393214:DBD393214 DKF393214:DKZ393214 DUB393214:DUV393214 EDX393214:EER393214 ENT393214:EON393214 EXP393214:EYJ393214 FHL393214:FIF393214 FRH393214:FSB393214 GBD393214:GBX393214 GKZ393214:GLT393214 GUV393214:GVP393214 HER393214:HFL393214 HON393214:HPH393214 HYJ393214:HZD393214 IIF393214:IIZ393214 ISB393214:ISV393214 JBX393214:JCR393214 JLT393214:JMN393214 JVP393214:JWJ393214 KFL393214:KGF393214 KPH393214:KQB393214 KZD393214:KZX393214 LIZ393214:LJT393214 LSV393214:LTP393214 MCR393214:MDL393214 MMN393214:MNH393214 MWJ393214:MXD393214 NGF393214:NGZ393214 NQB393214:NQV393214 NZX393214:OAR393214 OJT393214:OKN393214 OTP393214:OUJ393214 PDL393214:PEF393214 PNH393214:POB393214 PXD393214:PXX393214 QGZ393214:QHT393214 QQV393214:QRP393214 RAR393214:RBL393214 RKN393214:RLH393214 RUJ393214:RVD393214 SEF393214:SEZ393214 SOB393214:SOV393214 SXX393214:SYR393214 THT393214:TIN393214 TRP393214:TSJ393214 UBL393214:UCF393214 ULH393214:UMB393214 UVD393214:UVX393214 VEZ393214:VFT393214 VOV393214:VPP393214 VYR393214:VZL393214 WIN393214:WJH393214 FX458750:GR458750 PT458750:QN458750 ZP458750:AAJ458750 AJL458750:AKF458750 ATH458750:AUB458750 BDD458750:BDX458750 BMZ458750:BNT458750 BWV458750:BXP458750 CGR458750:CHL458750 CQN458750:CRH458750 DAJ458750:DBD458750 DKF458750:DKZ458750 DUB458750:DUV458750 EDX458750:EER458750 ENT458750:EON458750 EXP458750:EYJ458750 FHL458750:FIF458750 FRH458750:FSB458750 GBD458750:GBX458750 GKZ458750:GLT458750 GUV458750:GVP458750 HER458750:HFL458750 HON458750:HPH458750 HYJ458750:HZD458750 IIF458750:IIZ458750 ISB458750:ISV458750 JBX458750:JCR458750 JLT458750:JMN458750 JVP458750:JWJ458750 KFL458750:KGF458750 KPH458750:KQB458750 KZD458750:KZX458750 LIZ458750:LJT458750 LSV458750:LTP458750 MCR458750:MDL458750 MMN458750:MNH458750 MWJ458750:MXD458750 NGF458750:NGZ458750 NQB458750:NQV458750 NZX458750:OAR458750 OJT458750:OKN458750 OTP458750:OUJ458750 PDL458750:PEF458750 PNH458750:POB458750 PXD458750:PXX458750 QGZ458750:QHT458750 QQV458750:QRP458750 RAR458750:RBL458750 RKN458750:RLH458750 RUJ458750:RVD458750 SEF458750:SEZ458750 SOB458750:SOV458750 SXX458750:SYR458750 THT458750:TIN458750 TRP458750:TSJ458750 UBL458750:UCF458750 ULH458750:UMB458750 UVD458750:UVX458750 VEZ458750:VFT458750 VOV458750:VPP458750 VYR458750:VZL458750 WIN458750:WJH458750 FX524286:GR524286 PT524286:QN524286 ZP524286:AAJ524286 AJL524286:AKF524286 ATH524286:AUB524286 BDD524286:BDX524286 BMZ524286:BNT524286 BWV524286:BXP524286 CGR524286:CHL524286 CQN524286:CRH524286 DAJ524286:DBD524286 DKF524286:DKZ524286 DUB524286:DUV524286 EDX524286:EER524286 ENT524286:EON524286 EXP524286:EYJ524286 FHL524286:FIF524286 FRH524286:FSB524286 GBD524286:GBX524286 GKZ524286:GLT524286 GUV524286:GVP524286 HER524286:HFL524286 HON524286:HPH524286 HYJ524286:HZD524286 IIF524286:IIZ524286 ISB524286:ISV524286 JBX524286:JCR524286 JLT524286:JMN524286 JVP524286:JWJ524286 KFL524286:KGF524286 KPH524286:KQB524286 KZD524286:KZX524286 LIZ524286:LJT524286 LSV524286:LTP524286 MCR524286:MDL524286 MMN524286:MNH524286 MWJ524286:MXD524286 NGF524286:NGZ524286 NQB524286:NQV524286 NZX524286:OAR524286 OJT524286:OKN524286 OTP524286:OUJ524286 PDL524286:PEF524286 PNH524286:POB524286 PXD524286:PXX524286 QGZ524286:QHT524286 QQV524286:QRP524286 RAR524286:RBL524286 RKN524286:RLH524286 RUJ524286:RVD524286 SEF524286:SEZ524286 SOB524286:SOV524286 SXX524286:SYR524286 THT524286:TIN524286 TRP524286:TSJ524286 UBL524286:UCF524286 ULH524286:UMB524286 UVD524286:UVX524286 VEZ524286:VFT524286 VOV524286:VPP524286 VYR524286:VZL524286 WIN524286:WJH524286 FX589822:GR589822 PT589822:QN589822 ZP589822:AAJ589822 AJL589822:AKF589822 ATH589822:AUB589822 BDD589822:BDX589822 BMZ589822:BNT589822 BWV589822:BXP589822 CGR589822:CHL589822 CQN589822:CRH589822 DAJ589822:DBD589822 DKF589822:DKZ589822 DUB589822:DUV589822 EDX589822:EER589822 ENT589822:EON589822 EXP589822:EYJ589822 FHL589822:FIF589822 FRH589822:FSB589822 GBD589822:GBX589822 GKZ589822:GLT589822 GUV589822:GVP589822 HER589822:HFL589822 HON589822:HPH589822 HYJ589822:HZD589822 IIF589822:IIZ589822 ISB589822:ISV589822 JBX589822:JCR589822 JLT589822:JMN589822 JVP589822:JWJ589822 KFL589822:KGF589822 KPH589822:KQB589822 KZD589822:KZX589822 LIZ589822:LJT589822 LSV589822:LTP589822 MCR589822:MDL589822 MMN589822:MNH589822 MWJ589822:MXD589822 NGF589822:NGZ589822 NQB589822:NQV589822 NZX589822:OAR589822 OJT589822:OKN589822 OTP589822:OUJ589822 PDL589822:PEF589822 PNH589822:POB589822 PXD589822:PXX589822 QGZ589822:QHT589822 QQV589822:QRP589822 RAR589822:RBL589822 RKN589822:RLH589822 RUJ589822:RVD589822 SEF589822:SEZ589822 SOB589822:SOV589822 SXX589822:SYR589822 THT589822:TIN589822 TRP589822:TSJ589822 UBL589822:UCF589822 ULH589822:UMB589822 UVD589822:UVX589822 VEZ589822:VFT589822 VOV589822:VPP589822 VYR589822:VZL589822 WIN589822:WJH589822 FX655358:GR655358 PT655358:QN655358 ZP655358:AAJ655358 AJL655358:AKF655358 ATH655358:AUB655358 BDD655358:BDX655358 BMZ655358:BNT655358 BWV655358:BXP655358 CGR655358:CHL655358 CQN655358:CRH655358 DAJ655358:DBD655358 DKF655358:DKZ655358 DUB655358:DUV655358 EDX655358:EER655358 ENT655358:EON655358 EXP655358:EYJ655358 FHL655358:FIF655358 FRH655358:FSB655358 GBD655358:GBX655358 GKZ655358:GLT655358 GUV655358:GVP655358 HER655358:HFL655358 HON655358:HPH655358 HYJ655358:HZD655358 IIF655358:IIZ655358 ISB655358:ISV655358 JBX655358:JCR655358 JLT655358:JMN655358 JVP655358:JWJ655358 KFL655358:KGF655358 KPH655358:KQB655358 KZD655358:KZX655358 LIZ655358:LJT655358 LSV655358:LTP655358 MCR655358:MDL655358 MMN655358:MNH655358 MWJ655358:MXD655358 NGF655358:NGZ655358 NQB655358:NQV655358 NZX655358:OAR655358 OJT655358:OKN655358 OTP655358:OUJ655358 PDL655358:PEF655358 PNH655358:POB655358 PXD655358:PXX655358 QGZ655358:QHT655358 QQV655358:QRP655358 RAR655358:RBL655358 RKN655358:RLH655358 RUJ655358:RVD655358 SEF655358:SEZ655358 SOB655358:SOV655358 SXX655358:SYR655358 THT655358:TIN655358 TRP655358:TSJ655358 UBL655358:UCF655358 ULH655358:UMB655358 UVD655358:UVX655358 VEZ655358:VFT655358 VOV655358:VPP655358 VYR655358:VZL655358 WIN655358:WJH655358 FX720894:GR720894 PT720894:QN720894 ZP720894:AAJ720894 AJL720894:AKF720894 ATH720894:AUB720894 BDD720894:BDX720894 BMZ720894:BNT720894 BWV720894:BXP720894 CGR720894:CHL720894 CQN720894:CRH720894 DAJ720894:DBD720894 DKF720894:DKZ720894 DUB720894:DUV720894 EDX720894:EER720894 ENT720894:EON720894 EXP720894:EYJ720894 FHL720894:FIF720894 FRH720894:FSB720894 GBD720894:GBX720894 GKZ720894:GLT720894 GUV720894:GVP720894 HER720894:HFL720894 HON720894:HPH720894 HYJ720894:HZD720894 IIF720894:IIZ720894 ISB720894:ISV720894 JBX720894:JCR720894 JLT720894:JMN720894 JVP720894:JWJ720894 KFL720894:KGF720894 KPH720894:KQB720894 KZD720894:KZX720894 LIZ720894:LJT720894 LSV720894:LTP720894 MCR720894:MDL720894 MMN720894:MNH720894 MWJ720894:MXD720894 NGF720894:NGZ720894 NQB720894:NQV720894 NZX720894:OAR720894 OJT720894:OKN720894 OTP720894:OUJ720894 PDL720894:PEF720894 PNH720894:POB720894 PXD720894:PXX720894 QGZ720894:QHT720894 QQV720894:QRP720894 RAR720894:RBL720894 RKN720894:RLH720894 RUJ720894:RVD720894 SEF720894:SEZ720894 SOB720894:SOV720894 SXX720894:SYR720894 THT720894:TIN720894 TRP720894:TSJ720894 UBL720894:UCF720894 ULH720894:UMB720894 UVD720894:UVX720894 VEZ720894:VFT720894 VOV720894:VPP720894 VYR720894:VZL720894 WIN720894:WJH720894 FX786430:GR786430 PT786430:QN786430 ZP786430:AAJ786430 AJL786430:AKF786430 ATH786430:AUB786430 BDD786430:BDX786430 BMZ786430:BNT786430 BWV786430:BXP786430 CGR786430:CHL786430 CQN786430:CRH786430 DAJ786430:DBD786430 DKF786430:DKZ786430 DUB786430:DUV786430 EDX786430:EER786430 ENT786430:EON786430 EXP786430:EYJ786430 FHL786430:FIF786430 FRH786430:FSB786430 GBD786430:GBX786430 GKZ786430:GLT786430 GUV786430:GVP786430 HER786430:HFL786430 HON786430:HPH786430 HYJ786430:HZD786430 IIF786430:IIZ786430 ISB786430:ISV786430 JBX786430:JCR786430 JLT786430:JMN786430 JVP786430:JWJ786430 KFL786430:KGF786430 KPH786430:KQB786430 KZD786430:KZX786430 LIZ786430:LJT786430 LSV786430:LTP786430 MCR786430:MDL786430 MMN786430:MNH786430 MWJ786430:MXD786430 NGF786430:NGZ786430 NQB786430:NQV786430 NZX786430:OAR786430 OJT786430:OKN786430 OTP786430:OUJ786430 PDL786430:PEF786430 PNH786430:POB786430 PXD786430:PXX786430 QGZ786430:QHT786430 QQV786430:QRP786430 RAR786430:RBL786430 RKN786430:RLH786430 RUJ786430:RVD786430 SEF786430:SEZ786430 SOB786430:SOV786430 SXX786430:SYR786430 THT786430:TIN786430 TRP786430:TSJ786430 UBL786430:UCF786430 ULH786430:UMB786430 UVD786430:UVX786430 VEZ786430:VFT786430 VOV786430:VPP786430 VYR786430:VZL786430 WIN786430:WJH786430 FX851966:GR851966 PT851966:QN851966 ZP851966:AAJ851966 AJL851966:AKF851966 ATH851966:AUB851966 BDD851966:BDX851966 BMZ851966:BNT851966 BWV851966:BXP851966 CGR851966:CHL851966 CQN851966:CRH851966 DAJ851966:DBD851966 DKF851966:DKZ851966 DUB851966:DUV851966 EDX851966:EER851966 ENT851966:EON851966 EXP851966:EYJ851966 FHL851966:FIF851966 FRH851966:FSB851966 GBD851966:GBX851966 GKZ851966:GLT851966 GUV851966:GVP851966 HER851966:HFL851966 HON851966:HPH851966 HYJ851966:HZD851966 IIF851966:IIZ851966 ISB851966:ISV851966 JBX851966:JCR851966 JLT851966:JMN851966 JVP851966:JWJ851966 KFL851966:KGF851966 KPH851966:KQB851966 KZD851966:KZX851966 LIZ851966:LJT851966 LSV851966:LTP851966 MCR851966:MDL851966 MMN851966:MNH851966 MWJ851966:MXD851966 NGF851966:NGZ851966 NQB851966:NQV851966 NZX851966:OAR851966 OJT851966:OKN851966 OTP851966:OUJ851966 PDL851966:PEF851966 PNH851966:POB851966 PXD851966:PXX851966 QGZ851966:QHT851966 QQV851966:QRP851966 RAR851966:RBL851966 RKN851966:RLH851966 RUJ851966:RVD851966 SEF851966:SEZ851966 SOB851966:SOV851966 SXX851966:SYR851966 THT851966:TIN851966 TRP851966:TSJ851966 UBL851966:UCF851966 ULH851966:UMB851966 UVD851966:UVX851966 VEZ851966:VFT851966 VOV851966:VPP851966 VYR851966:VZL851966 WIN851966:WJH851966 FX917502:GR917502 PT917502:QN917502 ZP917502:AAJ917502 AJL917502:AKF917502 ATH917502:AUB917502 BDD917502:BDX917502 BMZ917502:BNT917502 BWV917502:BXP917502 CGR917502:CHL917502 CQN917502:CRH917502 DAJ917502:DBD917502 DKF917502:DKZ917502 DUB917502:DUV917502 EDX917502:EER917502 ENT917502:EON917502 EXP917502:EYJ917502 FHL917502:FIF917502 FRH917502:FSB917502 GBD917502:GBX917502 GKZ917502:GLT917502 GUV917502:GVP917502 HER917502:HFL917502 HON917502:HPH917502 HYJ917502:HZD917502 IIF917502:IIZ917502 ISB917502:ISV917502 JBX917502:JCR917502 JLT917502:JMN917502 JVP917502:JWJ917502 KFL917502:KGF917502 KPH917502:KQB917502 KZD917502:KZX917502 LIZ917502:LJT917502 LSV917502:LTP917502 MCR917502:MDL917502 MMN917502:MNH917502 MWJ917502:MXD917502 NGF917502:NGZ917502 NQB917502:NQV917502 NZX917502:OAR917502 OJT917502:OKN917502 OTP917502:OUJ917502 PDL917502:PEF917502 PNH917502:POB917502 PXD917502:PXX917502 QGZ917502:QHT917502 QQV917502:QRP917502 RAR917502:RBL917502 RKN917502:RLH917502 RUJ917502:RVD917502 SEF917502:SEZ917502 SOB917502:SOV917502 SXX917502:SYR917502 THT917502:TIN917502 TRP917502:TSJ917502 UBL917502:UCF917502 ULH917502:UMB917502 UVD917502:UVX917502 VEZ917502:VFT917502 VOV917502:VPP917502 VYR917502:VZL917502 WIN917502:WJH917502 FX983038:GR983038 PT983038:QN983038 ZP983038:AAJ983038 AJL983038:AKF983038 ATH983038:AUB983038 BDD983038:BDX983038 BMZ983038:BNT983038 BWV983038:BXP983038 CGR983038:CHL983038 CQN983038:CRH983038 DAJ983038:DBD983038 DKF983038:DKZ983038 DUB983038:DUV983038 EDX983038:EER983038 ENT983038:EON983038 EXP983038:EYJ983038 FHL983038:FIF983038 FRH983038:FSB983038 GBD983038:GBX983038 GKZ983038:GLT983038 GUV983038:GVP983038 HER983038:HFL983038 HON983038:HPH983038 HYJ983038:HZD983038 IIF983038:IIZ983038 ISB983038:ISV983038 JBX983038:JCR983038 JLT983038:JMN983038 JVP983038:JWJ983038 KFL983038:KGF983038 KPH983038:KQB983038 KZD983038:KZX983038 LIZ983038:LJT983038 LSV983038:LTP983038 MCR983038:MDL983038 MMN983038:MNH983038 MWJ983038:MXD983038 NGF983038:NGZ983038 NQB983038:NQV983038 NZX983038:OAR983038 OJT983038:OKN983038 OTP983038:OUJ983038 PDL983038:PEF983038 PNH983038:POB983038 PXD983038:PXX983038 QGZ983038:QHT983038 QQV983038:QRP983038 RAR983038:RBL983038 RKN983038:RLH983038 RUJ983038:RVD983038 SEF983038:SEZ983038 SOB983038:SOV983038 SXX983038:SYR983038 THT983038:TIN983038 TRP983038:TSJ983038 UBL983038:UCF983038 ULH983038:UMB983038 UVD983038:UVX983038 VEZ983038:VFT983038 VOV983038:VPP983038 VYR983038:VZL983038 FX65534:GR65534 J65534:S65534 J983038:S983038 J917502:S917502 J851966:S851966 J786430:S786430 J720894:S720894 J655358:S655358 J589822:S589822 J524286:S524286 J458750:S458750 J393214:S393214 J327678:S327678 J262142:S262142 J196606:S196606 J131070:S131070" xr:uid="{00000000-0002-0000-0200-000003000000}">
      <formula1>CF</formula1>
    </dataValidation>
    <dataValidation type="list" allowBlank="1" showInputMessage="1" showErrorMessage="1" sqref="FX65514:GR65514 PT65514:QN65514 ZP65514:AAJ65514 AJL65514:AKF65514 ATH65514:AUB65514 BDD65514:BDX65514 BMZ65514:BNT65514 BWV65514:BXP65514 CGR65514:CHL65514 CQN65514:CRH65514 DAJ65514:DBD65514 DKF65514:DKZ65514 DUB65514:DUV65514 EDX65514:EER65514 ENT65514:EON65514 EXP65514:EYJ65514 FHL65514:FIF65514 FRH65514:FSB65514 GBD65514:GBX65514 GKZ65514:GLT65514 GUV65514:GVP65514 HER65514:HFL65514 HON65514:HPH65514 HYJ65514:HZD65514 IIF65514:IIZ65514 ISB65514:ISV65514 JBX65514:JCR65514 JLT65514:JMN65514 JVP65514:JWJ65514 KFL65514:KGF65514 KPH65514:KQB65514 KZD65514:KZX65514 LIZ65514:LJT65514 LSV65514:LTP65514 MCR65514:MDL65514 MMN65514:MNH65514 MWJ65514:MXD65514 NGF65514:NGZ65514 NQB65514:NQV65514 NZX65514:OAR65514 OJT65514:OKN65514 OTP65514:OUJ65514 PDL65514:PEF65514 PNH65514:POB65514 PXD65514:PXX65514 QGZ65514:QHT65514 QQV65514:QRP65514 RAR65514:RBL65514 RKN65514:RLH65514 RUJ65514:RVD65514 SEF65514:SEZ65514 SOB65514:SOV65514 SXX65514:SYR65514 THT65514:TIN65514 TRP65514:TSJ65514 UBL65514:UCF65514 ULH65514:UMB65514 UVD65514:UVX65514 VEZ65514:VFT65514 VOV65514:VPP65514 VYR65514:VZL65514 WIN65514:WJH65514 FX131050:GR131050 PT131050:QN131050 ZP131050:AAJ131050 AJL131050:AKF131050 ATH131050:AUB131050 BDD131050:BDX131050 BMZ131050:BNT131050 BWV131050:BXP131050 CGR131050:CHL131050 CQN131050:CRH131050 DAJ131050:DBD131050 DKF131050:DKZ131050 DUB131050:DUV131050 EDX131050:EER131050 ENT131050:EON131050 EXP131050:EYJ131050 FHL131050:FIF131050 FRH131050:FSB131050 GBD131050:GBX131050 GKZ131050:GLT131050 GUV131050:GVP131050 HER131050:HFL131050 HON131050:HPH131050 HYJ131050:HZD131050 IIF131050:IIZ131050 ISB131050:ISV131050 JBX131050:JCR131050 JLT131050:JMN131050 JVP131050:JWJ131050 KFL131050:KGF131050 KPH131050:KQB131050 KZD131050:KZX131050 LIZ131050:LJT131050 LSV131050:LTP131050 MCR131050:MDL131050 MMN131050:MNH131050 MWJ131050:MXD131050 NGF131050:NGZ131050 NQB131050:NQV131050 NZX131050:OAR131050 OJT131050:OKN131050 OTP131050:OUJ131050 PDL131050:PEF131050 PNH131050:POB131050 PXD131050:PXX131050 QGZ131050:QHT131050 QQV131050:QRP131050 RAR131050:RBL131050 RKN131050:RLH131050 RUJ131050:RVD131050 SEF131050:SEZ131050 SOB131050:SOV131050 SXX131050:SYR131050 THT131050:TIN131050 TRP131050:TSJ131050 UBL131050:UCF131050 ULH131050:UMB131050 UVD131050:UVX131050 VEZ131050:VFT131050 VOV131050:VPP131050 VYR131050:VZL131050 WIN131050:WJH131050 FX196586:GR196586 PT196586:QN196586 ZP196586:AAJ196586 AJL196586:AKF196586 ATH196586:AUB196586 BDD196586:BDX196586 BMZ196586:BNT196586 BWV196586:BXP196586 CGR196586:CHL196586 CQN196586:CRH196586 DAJ196586:DBD196586 DKF196586:DKZ196586 DUB196586:DUV196586 EDX196586:EER196586 ENT196586:EON196586 EXP196586:EYJ196586 FHL196586:FIF196586 FRH196586:FSB196586 GBD196586:GBX196586 GKZ196586:GLT196586 GUV196586:GVP196586 HER196586:HFL196586 HON196586:HPH196586 HYJ196586:HZD196586 IIF196586:IIZ196586 ISB196586:ISV196586 JBX196586:JCR196586 JLT196586:JMN196586 JVP196586:JWJ196586 KFL196586:KGF196586 KPH196586:KQB196586 KZD196586:KZX196586 LIZ196586:LJT196586 LSV196586:LTP196586 MCR196586:MDL196586 MMN196586:MNH196586 MWJ196586:MXD196586 NGF196586:NGZ196586 NQB196586:NQV196586 NZX196586:OAR196586 OJT196586:OKN196586 OTP196586:OUJ196586 PDL196586:PEF196586 PNH196586:POB196586 PXD196586:PXX196586 QGZ196586:QHT196586 QQV196586:QRP196586 RAR196586:RBL196586 RKN196586:RLH196586 RUJ196586:RVD196586 SEF196586:SEZ196586 SOB196586:SOV196586 SXX196586:SYR196586 THT196586:TIN196586 TRP196586:TSJ196586 UBL196586:UCF196586 ULH196586:UMB196586 UVD196586:UVX196586 VEZ196586:VFT196586 VOV196586:VPP196586 VYR196586:VZL196586 WIN196586:WJH196586 FX262122:GR262122 PT262122:QN262122 ZP262122:AAJ262122 AJL262122:AKF262122 ATH262122:AUB262122 BDD262122:BDX262122 BMZ262122:BNT262122 BWV262122:BXP262122 CGR262122:CHL262122 CQN262122:CRH262122 DAJ262122:DBD262122 DKF262122:DKZ262122 DUB262122:DUV262122 EDX262122:EER262122 ENT262122:EON262122 EXP262122:EYJ262122 FHL262122:FIF262122 FRH262122:FSB262122 GBD262122:GBX262122 GKZ262122:GLT262122 GUV262122:GVP262122 HER262122:HFL262122 HON262122:HPH262122 HYJ262122:HZD262122 IIF262122:IIZ262122 ISB262122:ISV262122 JBX262122:JCR262122 JLT262122:JMN262122 JVP262122:JWJ262122 KFL262122:KGF262122 KPH262122:KQB262122 KZD262122:KZX262122 LIZ262122:LJT262122 LSV262122:LTP262122 MCR262122:MDL262122 MMN262122:MNH262122 MWJ262122:MXD262122 NGF262122:NGZ262122 NQB262122:NQV262122 NZX262122:OAR262122 OJT262122:OKN262122 OTP262122:OUJ262122 PDL262122:PEF262122 PNH262122:POB262122 PXD262122:PXX262122 QGZ262122:QHT262122 QQV262122:QRP262122 RAR262122:RBL262122 RKN262122:RLH262122 RUJ262122:RVD262122 SEF262122:SEZ262122 SOB262122:SOV262122 SXX262122:SYR262122 THT262122:TIN262122 TRP262122:TSJ262122 UBL262122:UCF262122 ULH262122:UMB262122 UVD262122:UVX262122 VEZ262122:VFT262122 VOV262122:VPP262122 VYR262122:VZL262122 WIN262122:WJH262122 FX327658:GR327658 PT327658:QN327658 ZP327658:AAJ327658 AJL327658:AKF327658 ATH327658:AUB327658 BDD327658:BDX327658 BMZ327658:BNT327658 BWV327658:BXP327658 CGR327658:CHL327658 CQN327658:CRH327658 DAJ327658:DBD327658 DKF327658:DKZ327658 DUB327658:DUV327658 EDX327658:EER327658 ENT327658:EON327658 EXP327658:EYJ327658 FHL327658:FIF327658 FRH327658:FSB327658 GBD327658:GBX327658 GKZ327658:GLT327658 GUV327658:GVP327658 HER327658:HFL327658 HON327658:HPH327658 HYJ327658:HZD327658 IIF327658:IIZ327658 ISB327658:ISV327658 JBX327658:JCR327658 JLT327658:JMN327658 JVP327658:JWJ327658 KFL327658:KGF327658 KPH327658:KQB327658 KZD327658:KZX327658 LIZ327658:LJT327658 LSV327658:LTP327658 MCR327658:MDL327658 MMN327658:MNH327658 MWJ327658:MXD327658 NGF327658:NGZ327658 NQB327658:NQV327658 NZX327658:OAR327658 OJT327658:OKN327658 OTP327658:OUJ327658 PDL327658:PEF327658 PNH327658:POB327658 PXD327658:PXX327658 QGZ327658:QHT327658 QQV327658:QRP327658 RAR327658:RBL327658 RKN327658:RLH327658 RUJ327658:RVD327658 SEF327658:SEZ327658 SOB327658:SOV327658 SXX327658:SYR327658 THT327658:TIN327658 TRP327658:TSJ327658 UBL327658:UCF327658 ULH327658:UMB327658 UVD327658:UVX327658 VEZ327658:VFT327658 VOV327658:VPP327658 VYR327658:VZL327658 WIN327658:WJH327658 FX393194:GR393194 PT393194:QN393194 ZP393194:AAJ393194 AJL393194:AKF393194 ATH393194:AUB393194 BDD393194:BDX393194 BMZ393194:BNT393194 BWV393194:BXP393194 CGR393194:CHL393194 CQN393194:CRH393194 DAJ393194:DBD393194 DKF393194:DKZ393194 DUB393194:DUV393194 EDX393194:EER393194 ENT393194:EON393194 EXP393194:EYJ393194 FHL393194:FIF393194 FRH393194:FSB393194 GBD393194:GBX393194 GKZ393194:GLT393194 GUV393194:GVP393194 HER393194:HFL393194 HON393194:HPH393194 HYJ393194:HZD393194 IIF393194:IIZ393194 ISB393194:ISV393194 JBX393194:JCR393194 JLT393194:JMN393194 JVP393194:JWJ393194 KFL393194:KGF393194 KPH393194:KQB393194 KZD393194:KZX393194 LIZ393194:LJT393194 LSV393194:LTP393194 MCR393194:MDL393194 MMN393194:MNH393194 MWJ393194:MXD393194 NGF393194:NGZ393194 NQB393194:NQV393194 NZX393194:OAR393194 OJT393194:OKN393194 OTP393194:OUJ393194 PDL393194:PEF393194 PNH393194:POB393194 PXD393194:PXX393194 QGZ393194:QHT393194 QQV393194:QRP393194 RAR393194:RBL393194 RKN393194:RLH393194 RUJ393194:RVD393194 SEF393194:SEZ393194 SOB393194:SOV393194 SXX393194:SYR393194 THT393194:TIN393194 TRP393194:TSJ393194 UBL393194:UCF393194 ULH393194:UMB393194 UVD393194:UVX393194 VEZ393194:VFT393194 VOV393194:VPP393194 VYR393194:VZL393194 WIN393194:WJH393194 FX458730:GR458730 PT458730:QN458730 ZP458730:AAJ458730 AJL458730:AKF458730 ATH458730:AUB458730 BDD458730:BDX458730 BMZ458730:BNT458730 BWV458730:BXP458730 CGR458730:CHL458730 CQN458730:CRH458730 DAJ458730:DBD458730 DKF458730:DKZ458730 DUB458730:DUV458730 EDX458730:EER458730 ENT458730:EON458730 EXP458730:EYJ458730 FHL458730:FIF458730 FRH458730:FSB458730 GBD458730:GBX458730 GKZ458730:GLT458730 GUV458730:GVP458730 HER458730:HFL458730 HON458730:HPH458730 HYJ458730:HZD458730 IIF458730:IIZ458730 ISB458730:ISV458730 JBX458730:JCR458730 JLT458730:JMN458730 JVP458730:JWJ458730 KFL458730:KGF458730 KPH458730:KQB458730 KZD458730:KZX458730 LIZ458730:LJT458730 LSV458730:LTP458730 MCR458730:MDL458730 MMN458730:MNH458730 MWJ458730:MXD458730 NGF458730:NGZ458730 NQB458730:NQV458730 NZX458730:OAR458730 OJT458730:OKN458730 OTP458730:OUJ458730 PDL458730:PEF458730 PNH458730:POB458730 PXD458730:PXX458730 QGZ458730:QHT458730 QQV458730:QRP458730 RAR458730:RBL458730 RKN458730:RLH458730 RUJ458730:RVD458730 SEF458730:SEZ458730 SOB458730:SOV458730 SXX458730:SYR458730 THT458730:TIN458730 TRP458730:TSJ458730 UBL458730:UCF458730 ULH458730:UMB458730 UVD458730:UVX458730 VEZ458730:VFT458730 VOV458730:VPP458730 VYR458730:VZL458730 WIN458730:WJH458730 FX524266:GR524266 PT524266:QN524266 ZP524266:AAJ524266 AJL524266:AKF524266 ATH524266:AUB524266 BDD524266:BDX524266 BMZ524266:BNT524266 BWV524266:BXP524266 CGR524266:CHL524266 CQN524266:CRH524266 DAJ524266:DBD524266 DKF524266:DKZ524266 DUB524266:DUV524266 EDX524266:EER524266 ENT524266:EON524266 EXP524266:EYJ524266 FHL524266:FIF524266 FRH524266:FSB524266 GBD524266:GBX524266 GKZ524266:GLT524266 GUV524266:GVP524266 HER524266:HFL524266 HON524266:HPH524266 HYJ524266:HZD524266 IIF524266:IIZ524266 ISB524266:ISV524266 JBX524266:JCR524266 JLT524266:JMN524266 JVP524266:JWJ524266 KFL524266:KGF524266 KPH524266:KQB524266 KZD524266:KZX524266 LIZ524266:LJT524266 LSV524266:LTP524266 MCR524266:MDL524266 MMN524266:MNH524266 MWJ524266:MXD524266 NGF524266:NGZ524266 NQB524266:NQV524266 NZX524266:OAR524266 OJT524266:OKN524266 OTP524266:OUJ524266 PDL524266:PEF524266 PNH524266:POB524266 PXD524266:PXX524266 QGZ524266:QHT524266 QQV524266:QRP524266 RAR524266:RBL524266 RKN524266:RLH524266 RUJ524266:RVD524266 SEF524266:SEZ524266 SOB524266:SOV524266 SXX524266:SYR524266 THT524266:TIN524266 TRP524266:TSJ524266 UBL524266:UCF524266 ULH524266:UMB524266 UVD524266:UVX524266 VEZ524266:VFT524266 VOV524266:VPP524266 VYR524266:VZL524266 WIN524266:WJH524266 FX589802:GR589802 PT589802:QN589802 ZP589802:AAJ589802 AJL589802:AKF589802 ATH589802:AUB589802 BDD589802:BDX589802 BMZ589802:BNT589802 BWV589802:BXP589802 CGR589802:CHL589802 CQN589802:CRH589802 DAJ589802:DBD589802 DKF589802:DKZ589802 DUB589802:DUV589802 EDX589802:EER589802 ENT589802:EON589802 EXP589802:EYJ589802 FHL589802:FIF589802 FRH589802:FSB589802 GBD589802:GBX589802 GKZ589802:GLT589802 GUV589802:GVP589802 HER589802:HFL589802 HON589802:HPH589802 HYJ589802:HZD589802 IIF589802:IIZ589802 ISB589802:ISV589802 JBX589802:JCR589802 JLT589802:JMN589802 JVP589802:JWJ589802 KFL589802:KGF589802 KPH589802:KQB589802 KZD589802:KZX589802 LIZ589802:LJT589802 LSV589802:LTP589802 MCR589802:MDL589802 MMN589802:MNH589802 MWJ589802:MXD589802 NGF589802:NGZ589802 NQB589802:NQV589802 NZX589802:OAR589802 OJT589802:OKN589802 OTP589802:OUJ589802 PDL589802:PEF589802 PNH589802:POB589802 PXD589802:PXX589802 QGZ589802:QHT589802 QQV589802:QRP589802 RAR589802:RBL589802 RKN589802:RLH589802 RUJ589802:RVD589802 SEF589802:SEZ589802 SOB589802:SOV589802 SXX589802:SYR589802 THT589802:TIN589802 TRP589802:TSJ589802 UBL589802:UCF589802 ULH589802:UMB589802 UVD589802:UVX589802 VEZ589802:VFT589802 VOV589802:VPP589802 VYR589802:VZL589802 WIN589802:WJH589802 FX655338:GR655338 PT655338:QN655338 ZP655338:AAJ655338 AJL655338:AKF655338 ATH655338:AUB655338 BDD655338:BDX655338 BMZ655338:BNT655338 BWV655338:BXP655338 CGR655338:CHL655338 CQN655338:CRH655338 DAJ655338:DBD655338 DKF655338:DKZ655338 DUB655338:DUV655338 EDX655338:EER655338 ENT655338:EON655338 EXP655338:EYJ655338 FHL655338:FIF655338 FRH655338:FSB655338 GBD655338:GBX655338 GKZ655338:GLT655338 GUV655338:GVP655338 HER655338:HFL655338 HON655338:HPH655338 HYJ655338:HZD655338 IIF655338:IIZ655338 ISB655338:ISV655338 JBX655338:JCR655338 JLT655338:JMN655338 JVP655338:JWJ655338 KFL655338:KGF655338 KPH655338:KQB655338 KZD655338:KZX655338 LIZ655338:LJT655338 LSV655338:LTP655338 MCR655338:MDL655338 MMN655338:MNH655338 MWJ655338:MXD655338 NGF655338:NGZ655338 NQB655338:NQV655338 NZX655338:OAR655338 OJT655338:OKN655338 OTP655338:OUJ655338 PDL655338:PEF655338 PNH655338:POB655338 PXD655338:PXX655338 QGZ655338:QHT655338 QQV655338:QRP655338 RAR655338:RBL655338 RKN655338:RLH655338 RUJ655338:RVD655338 SEF655338:SEZ655338 SOB655338:SOV655338 SXX655338:SYR655338 THT655338:TIN655338 TRP655338:TSJ655338 UBL655338:UCF655338 ULH655338:UMB655338 UVD655338:UVX655338 VEZ655338:VFT655338 VOV655338:VPP655338 VYR655338:VZL655338 WIN655338:WJH655338 FX720874:GR720874 PT720874:QN720874 ZP720874:AAJ720874 AJL720874:AKF720874 ATH720874:AUB720874 BDD720874:BDX720874 BMZ720874:BNT720874 BWV720874:BXP720874 CGR720874:CHL720874 CQN720874:CRH720874 DAJ720874:DBD720874 DKF720874:DKZ720874 DUB720874:DUV720874 EDX720874:EER720874 ENT720874:EON720874 EXP720874:EYJ720874 FHL720874:FIF720874 FRH720874:FSB720874 GBD720874:GBX720874 GKZ720874:GLT720874 GUV720874:GVP720874 HER720874:HFL720874 HON720874:HPH720874 HYJ720874:HZD720874 IIF720874:IIZ720874 ISB720874:ISV720874 JBX720874:JCR720874 JLT720874:JMN720874 JVP720874:JWJ720874 KFL720874:KGF720874 KPH720874:KQB720874 KZD720874:KZX720874 LIZ720874:LJT720874 LSV720874:LTP720874 MCR720874:MDL720874 MMN720874:MNH720874 MWJ720874:MXD720874 NGF720874:NGZ720874 NQB720874:NQV720874 NZX720874:OAR720874 OJT720874:OKN720874 OTP720874:OUJ720874 PDL720874:PEF720874 PNH720874:POB720874 PXD720874:PXX720874 QGZ720874:QHT720874 QQV720874:QRP720874 RAR720874:RBL720874 RKN720874:RLH720874 RUJ720874:RVD720874 SEF720874:SEZ720874 SOB720874:SOV720874 SXX720874:SYR720874 THT720874:TIN720874 TRP720874:TSJ720874 UBL720874:UCF720874 ULH720874:UMB720874 UVD720874:UVX720874 VEZ720874:VFT720874 VOV720874:VPP720874 VYR720874:VZL720874 WIN720874:WJH720874 FX786410:GR786410 PT786410:QN786410 ZP786410:AAJ786410 AJL786410:AKF786410 ATH786410:AUB786410 BDD786410:BDX786410 BMZ786410:BNT786410 BWV786410:BXP786410 CGR786410:CHL786410 CQN786410:CRH786410 DAJ786410:DBD786410 DKF786410:DKZ786410 DUB786410:DUV786410 EDX786410:EER786410 ENT786410:EON786410 EXP786410:EYJ786410 FHL786410:FIF786410 FRH786410:FSB786410 GBD786410:GBX786410 GKZ786410:GLT786410 GUV786410:GVP786410 HER786410:HFL786410 HON786410:HPH786410 HYJ786410:HZD786410 IIF786410:IIZ786410 ISB786410:ISV786410 JBX786410:JCR786410 JLT786410:JMN786410 JVP786410:JWJ786410 KFL786410:KGF786410 KPH786410:KQB786410 KZD786410:KZX786410 LIZ786410:LJT786410 LSV786410:LTP786410 MCR786410:MDL786410 MMN786410:MNH786410 MWJ786410:MXD786410 NGF786410:NGZ786410 NQB786410:NQV786410 NZX786410:OAR786410 OJT786410:OKN786410 OTP786410:OUJ786410 PDL786410:PEF786410 PNH786410:POB786410 PXD786410:PXX786410 QGZ786410:QHT786410 QQV786410:QRP786410 RAR786410:RBL786410 RKN786410:RLH786410 RUJ786410:RVD786410 SEF786410:SEZ786410 SOB786410:SOV786410 SXX786410:SYR786410 THT786410:TIN786410 TRP786410:TSJ786410 UBL786410:UCF786410 ULH786410:UMB786410 UVD786410:UVX786410 VEZ786410:VFT786410 VOV786410:VPP786410 VYR786410:VZL786410 WIN786410:WJH786410 FX851946:GR851946 PT851946:QN851946 ZP851946:AAJ851946 AJL851946:AKF851946 ATH851946:AUB851946 BDD851946:BDX851946 BMZ851946:BNT851946 BWV851946:BXP851946 CGR851946:CHL851946 CQN851946:CRH851946 DAJ851946:DBD851946 DKF851946:DKZ851946 DUB851946:DUV851946 EDX851946:EER851946 ENT851946:EON851946 EXP851946:EYJ851946 FHL851946:FIF851946 FRH851946:FSB851946 GBD851946:GBX851946 GKZ851946:GLT851946 GUV851946:GVP851946 HER851946:HFL851946 HON851946:HPH851946 HYJ851946:HZD851946 IIF851946:IIZ851946 ISB851946:ISV851946 JBX851946:JCR851946 JLT851946:JMN851946 JVP851946:JWJ851946 KFL851946:KGF851946 KPH851946:KQB851946 KZD851946:KZX851946 LIZ851946:LJT851946 LSV851946:LTP851946 MCR851946:MDL851946 MMN851946:MNH851946 MWJ851946:MXD851946 NGF851946:NGZ851946 NQB851946:NQV851946 NZX851946:OAR851946 OJT851946:OKN851946 OTP851946:OUJ851946 PDL851946:PEF851946 PNH851946:POB851946 PXD851946:PXX851946 QGZ851946:QHT851946 QQV851946:QRP851946 RAR851946:RBL851946 RKN851946:RLH851946 RUJ851946:RVD851946 SEF851946:SEZ851946 SOB851946:SOV851946 SXX851946:SYR851946 THT851946:TIN851946 TRP851946:TSJ851946 UBL851946:UCF851946 ULH851946:UMB851946 UVD851946:UVX851946 VEZ851946:VFT851946 VOV851946:VPP851946 VYR851946:VZL851946 WIN851946:WJH851946 FX917482:GR917482 PT917482:QN917482 ZP917482:AAJ917482 AJL917482:AKF917482 ATH917482:AUB917482 BDD917482:BDX917482 BMZ917482:BNT917482 BWV917482:BXP917482 CGR917482:CHL917482 CQN917482:CRH917482 DAJ917482:DBD917482 DKF917482:DKZ917482 DUB917482:DUV917482 EDX917482:EER917482 ENT917482:EON917482 EXP917482:EYJ917482 FHL917482:FIF917482 FRH917482:FSB917482 GBD917482:GBX917482 GKZ917482:GLT917482 GUV917482:GVP917482 HER917482:HFL917482 HON917482:HPH917482 HYJ917482:HZD917482 IIF917482:IIZ917482 ISB917482:ISV917482 JBX917482:JCR917482 JLT917482:JMN917482 JVP917482:JWJ917482 KFL917482:KGF917482 KPH917482:KQB917482 KZD917482:KZX917482 LIZ917482:LJT917482 LSV917482:LTP917482 MCR917482:MDL917482 MMN917482:MNH917482 MWJ917482:MXD917482 NGF917482:NGZ917482 NQB917482:NQV917482 NZX917482:OAR917482 OJT917482:OKN917482 OTP917482:OUJ917482 PDL917482:PEF917482 PNH917482:POB917482 PXD917482:PXX917482 QGZ917482:QHT917482 QQV917482:QRP917482 RAR917482:RBL917482 RKN917482:RLH917482 RUJ917482:RVD917482 SEF917482:SEZ917482 SOB917482:SOV917482 SXX917482:SYR917482 THT917482:TIN917482 TRP917482:TSJ917482 UBL917482:UCF917482 ULH917482:UMB917482 UVD917482:UVX917482 VEZ917482:VFT917482 VOV917482:VPP917482 VYR917482:VZL917482 WIN917482:WJH917482 FX983018:GR983018 PT983018:QN983018 ZP983018:AAJ983018 AJL983018:AKF983018 ATH983018:AUB983018 BDD983018:BDX983018 BMZ983018:BNT983018 BWV983018:BXP983018 CGR983018:CHL983018 CQN983018:CRH983018 DAJ983018:DBD983018 DKF983018:DKZ983018 DUB983018:DUV983018 EDX983018:EER983018 ENT983018:EON983018 EXP983018:EYJ983018 FHL983018:FIF983018 FRH983018:FSB983018 GBD983018:GBX983018 GKZ983018:GLT983018 GUV983018:GVP983018 HER983018:HFL983018 HON983018:HPH983018 HYJ983018:HZD983018 IIF983018:IIZ983018 ISB983018:ISV983018 JBX983018:JCR983018 JLT983018:JMN983018 JVP983018:JWJ983018 KFL983018:KGF983018 KPH983018:KQB983018 KZD983018:KZX983018 LIZ983018:LJT983018 LSV983018:LTP983018 MCR983018:MDL983018 MMN983018:MNH983018 MWJ983018:MXD983018 NGF983018:NGZ983018 NQB983018:NQV983018 NZX983018:OAR983018 OJT983018:OKN983018 OTP983018:OUJ983018 PDL983018:PEF983018 PNH983018:POB983018 PXD983018:PXX983018 QGZ983018:QHT983018 QQV983018:QRP983018 RAR983018:RBL983018 RKN983018:RLH983018 RUJ983018:RVD983018 SEF983018:SEZ983018 SOB983018:SOV983018 SXX983018:SYR983018 THT983018:TIN983018 TRP983018:TSJ983018 UBL983018:UCF983018 ULH983018:UMB983018 UVD983018:UVX983018 VEZ983018:VFT983018 VOV983018:VPP983018 VYR983018:VZL983018 WIN983018:WJH983018 J43:S43 J65514:S65514 J983018:S983018 J917482:S917482 J851946:S851946 J786410:S786410 J720874:S720874 J655338:S655338 J589802:S589802 J524266:S524266 J458730:S458730 J393194:S393194 J327658:S327658 J262122:S262122 J196586:S196586 J131050:S131050" xr:uid="{00000000-0002-0000-0200-000004000000}">
      <formula1>PIPE1</formula1>
    </dataValidation>
    <dataValidation type="list" allowBlank="1" showInputMessage="1" showErrorMessage="1" sqref="WJG982975:WJH982975 GQ5:GR5 WJG5:WJH5 VZK5:VZL5 VPO5:VPP5 VFS5:VFT5 UVW5:UVX5 UMA5:UMB5 UCE5:UCF5 TSI5:TSJ5 TIM5:TIN5 SYQ5:SYR5 SOU5:SOV5 SEY5:SEZ5 RVC5:RVD5 RLG5:RLH5 RBK5:RBL5 QRO5:QRP5 QHS5:QHT5 PXW5:PXX5 POA5:POB5 PEE5:PEF5 OUI5:OUJ5 OKM5:OKN5 OAQ5:OAR5 NQU5:NQV5 NGY5:NGZ5 MXC5:MXD5 MNG5:MNH5 MDK5:MDL5 LTO5:LTP5 LJS5:LJT5 KZW5:KZX5 KQA5:KQB5 KGE5:KGF5 JWI5:JWJ5 JMM5:JMN5 JCQ5:JCR5 ISU5:ISV5 IIY5:IIZ5 HZC5:HZD5 HPG5:HPH5 HFK5:HFL5 GVO5:GVP5 GLS5:GLT5 GBW5:GBX5 FSA5:FSB5 FIE5:FIF5 EYI5:EYJ5 EOM5:EON5 EEQ5:EER5 DUU5:DUV5 DKY5:DKZ5 DBC5:DBD5 CRG5:CRH5 CHK5:CHL5 BXO5:BXP5 BNS5:BNT5 BDW5:BDX5 AUA5:AUB5 AKE5:AKF5 AAI5:AAJ5 QM5:QN5 GQ65471:GR65471 QM65471:QN65471 AAI65471:AAJ65471 AKE65471:AKF65471 AUA65471:AUB65471 BDW65471:BDX65471 BNS65471:BNT65471 BXO65471:BXP65471 CHK65471:CHL65471 CRG65471:CRH65471 DBC65471:DBD65471 DKY65471:DKZ65471 DUU65471:DUV65471 EEQ65471:EER65471 EOM65471:EON65471 EYI65471:EYJ65471 FIE65471:FIF65471 FSA65471:FSB65471 GBW65471:GBX65471 GLS65471:GLT65471 GVO65471:GVP65471 HFK65471:HFL65471 HPG65471:HPH65471 HZC65471:HZD65471 IIY65471:IIZ65471 ISU65471:ISV65471 JCQ65471:JCR65471 JMM65471:JMN65471 JWI65471:JWJ65471 KGE65471:KGF65471 KQA65471:KQB65471 KZW65471:KZX65471 LJS65471:LJT65471 LTO65471:LTP65471 MDK65471:MDL65471 MNG65471:MNH65471 MXC65471:MXD65471 NGY65471:NGZ65471 NQU65471:NQV65471 OAQ65471:OAR65471 OKM65471:OKN65471 OUI65471:OUJ65471 PEE65471:PEF65471 POA65471:POB65471 PXW65471:PXX65471 QHS65471:QHT65471 QRO65471:QRP65471 RBK65471:RBL65471 RLG65471:RLH65471 RVC65471:RVD65471 SEY65471:SEZ65471 SOU65471:SOV65471 SYQ65471:SYR65471 TIM65471:TIN65471 TSI65471:TSJ65471 UCE65471:UCF65471 UMA65471:UMB65471 UVW65471:UVX65471 VFS65471:VFT65471 VPO65471:VPP65471 VZK65471:VZL65471 WJG65471:WJH65471 GQ131007:GR131007 QM131007:QN131007 AAI131007:AAJ131007 AKE131007:AKF131007 AUA131007:AUB131007 BDW131007:BDX131007 BNS131007:BNT131007 BXO131007:BXP131007 CHK131007:CHL131007 CRG131007:CRH131007 DBC131007:DBD131007 DKY131007:DKZ131007 DUU131007:DUV131007 EEQ131007:EER131007 EOM131007:EON131007 EYI131007:EYJ131007 FIE131007:FIF131007 FSA131007:FSB131007 GBW131007:GBX131007 GLS131007:GLT131007 GVO131007:GVP131007 HFK131007:HFL131007 HPG131007:HPH131007 HZC131007:HZD131007 IIY131007:IIZ131007 ISU131007:ISV131007 JCQ131007:JCR131007 JMM131007:JMN131007 JWI131007:JWJ131007 KGE131007:KGF131007 KQA131007:KQB131007 KZW131007:KZX131007 LJS131007:LJT131007 LTO131007:LTP131007 MDK131007:MDL131007 MNG131007:MNH131007 MXC131007:MXD131007 NGY131007:NGZ131007 NQU131007:NQV131007 OAQ131007:OAR131007 OKM131007:OKN131007 OUI131007:OUJ131007 PEE131007:PEF131007 POA131007:POB131007 PXW131007:PXX131007 QHS131007:QHT131007 QRO131007:QRP131007 RBK131007:RBL131007 RLG131007:RLH131007 RVC131007:RVD131007 SEY131007:SEZ131007 SOU131007:SOV131007 SYQ131007:SYR131007 TIM131007:TIN131007 TSI131007:TSJ131007 UCE131007:UCF131007 UMA131007:UMB131007 UVW131007:UVX131007 VFS131007:VFT131007 VPO131007:VPP131007 VZK131007:VZL131007 WJG131007:WJH131007 GQ196543:GR196543 QM196543:QN196543 AAI196543:AAJ196543 AKE196543:AKF196543 AUA196543:AUB196543 BDW196543:BDX196543 BNS196543:BNT196543 BXO196543:BXP196543 CHK196543:CHL196543 CRG196543:CRH196543 DBC196543:DBD196543 DKY196543:DKZ196543 DUU196543:DUV196543 EEQ196543:EER196543 EOM196543:EON196543 EYI196543:EYJ196543 FIE196543:FIF196543 FSA196543:FSB196543 GBW196543:GBX196543 GLS196543:GLT196543 GVO196543:GVP196543 HFK196543:HFL196543 HPG196543:HPH196543 HZC196543:HZD196543 IIY196543:IIZ196543 ISU196543:ISV196543 JCQ196543:JCR196543 JMM196543:JMN196543 JWI196543:JWJ196543 KGE196543:KGF196543 KQA196543:KQB196543 KZW196543:KZX196543 LJS196543:LJT196543 LTO196543:LTP196543 MDK196543:MDL196543 MNG196543:MNH196543 MXC196543:MXD196543 NGY196543:NGZ196543 NQU196543:NQV196543 OAQ196543:OAR196543 OKM196543:OKN196543 OUI196543:OUJ196543 PEE196543:PEF196543 POA196543:POB196543 PXW196543:PXX196543 QHS196543:QHT196543 QRO196543:QRP196543 RBK196543:RBL196543 RLG196543:RLH196543 RVC196543:RVD196543 SEY196543:SEZ196543 SOU196543:SOV196543 SYQ196543:SYR196543 TIM196543:TIN196543 TSI196543:TSJ196543 UCE196543:UCF196543 UMA196543:UMB196543 UVW196543:UVX196543 VFS196543:VFT196543 VPO196543:VPP196543 VZK196543:VZL196543 WJG196543:WJH196543 GQ262079:GR262079 QM262079:QN262079 AAI262079:AAJ262079 AKE262079:AKF262079 AUA262079:AUB262079 BDW262079:BDX262079 BNS262079:BNT262079 BXO262079:BXP262079 CHK262079:CHL262079 CRG262079:CRH262079 DBC262079:DBD262079 DKY262079:DKZ262079 DUU262079:DUV262079 EEQ262079:EER262079 EOM262079:EON262079 EYI262079:EYJ262079 FIE262079:FIF262079 FSA262079:FSB262079 GBW262079:GBX262079 GLS262079:GLT262079 GVO262079:GVP262079 HFK262079:HFL262079 HPG262079:HPH262079 HZC262079:HZD262079 IIY262079:IIZ262079 ISU262079:ISV262079 JCQ262079:JCR262079 JMM262079:JMN262079 JWI262079:JWJ262079 KGE262079:KGF262079 KQA262079:KQB262079 KZW262079:KZX262079 LJS262079:LJT262079 LTO262079:LTP262079 MDK262079:MDL262079 MNG262079:MNH262079 MXC262079:MXD262079 NGY262079:NGZ262079 NQU262079:NQV262079 OAQ262079:OAR262079 OKM262079:OKN262079 OUI262079:OUJ262079 PEE262079:PEF262079 POA262079:POB262079 PXW262079:PXX262079 QHS262079:QHT262079 QRO262079:QRP262079 RBK262079:RBL262079 RLG262079:RLH262079 RVC262079:RVD262079 SEY262079:SEZ262079 SOU262079:SOV262079 SYQ262079:SYR262079 TIM262079:TIN262079 TSI262079:TSJ262079 UCE262079:UCF262079 UMA262079:UMB262079 UVW262079:UVX262079 VFS262079:VFT262079 VPO262079:VPP262079 VZK262079:VZL262079 WJG262079:WJH262079 GQ327615:GR327615 QM327615:QN327615 AAI327615:AAJ327615 AKE327615:AKF327615 AUA327615:AUB327615 BDW327615:BDX327615 BNS327615:BNT327615 BXO327615:BXP327615 CHK327615:CHL327615 CRG327615:CRH327615 DBC327615:DBD327615 DKY327615:DKZ327615 DUU327615:DUV327615 EEQ327615:EER327615 EOM327615:EON327615 EYI327615:EYJ327615 FIE327615:FIF327615 FSA327615:FSB327615 GBW327615:GBX327615 GLS327615:GLT327615 GVO327615:GVP327615 HFK327615:HFL327615 HPG327615:HPH327615 HZC327615:HZD327615 IIY327615:IIZ327615 ISU327615:ISV327615 JCQ327615:JCR327615 JMM327615:JMN327615 JWI327615:JWJ327615 KGE327615:KGF327615 KQA327615:KQB327615 KZW327615:KZX327615 LJS327615:LJT327615 LTO327615:LTP327615 MDK327615:MDL327615 MNG327615:MNH327615 MXC327615:MXD327615 NGY327615:NGZ327615 NQU327615:NQV327615 OAQ327615:OAR327615 OKM327615:OKN327615 OUI327615:OUJ327615 PEE327615:PEF327615 POA327615:POB327615 PXW327615:PXX327615 QHS327615:QHT327615 QRO327615:QRP327615 RBK327615:RBL327615 RLG327615:RLH327615 RVC327615:RVD327615 SEY327615:SEZ327615 SOU327615:SOV327615 SYQ327615:SYR327615 TIM327615:TIN327615 TSI327615:TSJ327615 UCE327615:UCF327615 UMA327615:UMB327615 UVW327615:UVX327615 VFS327615:VFT327615 VPO327615:VPP327615 VZK327615:VZL327615 WJG327615:WJH327615 GQ393151:GR393151 QM393151:QN393151 AAI393151:AAJ393151 AKE393151:AKF393151 AUA393151:AUB393151 BDW393151:BDX393151 BNS393151:BNT393151 BXO393151:BXP393151 CHK393151:CHL393151 CRG393151:CRH393151 DBC393151:DBD393151 DKY393151:DKZ393151 DUU393151:DUV393151 EEQ393151:EER393151 EOM393151:EON393151 EYI393151:EYJ393151 FIE393151:FIF393151 FSA393151:FSB393151 GBW393151:GBX393151 GLS393151:GLT393151 GVO393151:GVP393151 HFK393151:HFL393151 HPG393151:HPH393151 HZC393151:HZD393151 IIY393151:IIZ393151 ISU393151:ISV393151 JCQ393151:JCR393151 JMM393151:JMN393151 JWI393151:JWJ393151 KGE393151:KGF393151 KQA393151:KQB393151 KZW393151:KZX393151 LJS393151:LJT393151 LTO393151:LTP393151 MDK393151:MDL393151 MNG393151:MNH393151 MXC393151:MXD393151 NGY393151:NGZ393151 NQU393151:NQV393151 OAQ393151:OAR393151 OKM393151:OKN393151 OUI393151:OUJ393151 PEE393151:PEF393151 POA393151:POB393151 PXW393151:PXX393151 QHS393151:QHT393151 QRO393151:QRP393151 RBK393151:RBL393151 RLG393151:RLH393151 RVC393151:RVD393151 SEY393151:SEZ393151 SOU393151:SOV393151 SYQ393151:SYR393151 TIM393151:TIN393151 TSI393151:TSJ393151 UCE393151:UCF393151 UMA393151:UMB393151 UVW393151:UVX393151 VFS393151:VFT393151 VPO393151:VPP393151 VZK393151:VZL393151 WJG393151:WJH393151 GQ458687:GR458687 QM458687:QN458687 AAI458687:AAJ458687 AKE458687:AKF458687 AUA458687:AUB458687 BDW458687:BDX458687 BNS458687:BNT458687 BXO458687:BXP458687 CHK458687:CHL458687 CRG458687:CRH458687 DBC458687:DBD458687 DKY458687:DKZ458687 DUU458687:DUV458687 EEQ458687:EER458687 EOM458687:EON458687 EYI458687:EYJ458687 FIE458687:FIF458687 FSA458687:FSB458687 GBW458687:GBX458687 GLS458687:GLT458687 GVO458687:GVP458687 HFK458687:HFL458687 HPG458687:HPH458687 HZC458687:HZD458687 IIY458687:IIZ458687 ISU458687:ISV458687 JCQ458687:JCR458687 JMM458687:JMN458687 JWI458687:JWJ458687 KGE458687:KGF458687 KQA458687:KQB458687 KZW458687:KZX458687 LJS458687:LJT458687 LTO458687:LTP458687 MDK458687:MDL458687 MNG458687:MNH458687 MXC458687:MXD458687 NGY458687:NGZ458687 NQU458687:NQV458687 OAQ458687:OAR458687 OKM458687:OKN458687 OUI458687:OUJ458687 PEE458687:PEF458687 POA458687:POB458687 PXW458687:PXX458687 QHS458687:QHT458687 QRO458687:QRP458687 RBK458687:RBL458687 RLG458687:RLH458687 RVC458687:RVD458687 SEY458687:SEZ458687 SOU458687:SOV458687 SYQ458687:SYR458687 TIM458687:TIN458687 TSI458687:TSJ458687 UCE458687:UCF458687 UMA458687:UMB458687 UVW458687:UVX458687 VFS458687:VFT458687 VPO458687:VPP458687 VZK458687:VZL458687 WJG458687:WJH458687 GQ524223:GR524223 QM524223:QN524223 AAI524223:AAJ524223 AKE524223:AKF524223 AUA524223:AUB524223 BDW524223:BDX524223 BNS524223:BNT524223 BXO524223:BXP524223 CHK524223:CHL524223 CRG524223:CRH524223 DBC524223:DBD524223 DKY524223:DKZ524223 DUU524223:DUV524223 EEQ524223:EER524223 EOM524223:EON524223 EYI524223:EYJ524223 FIE524223:FIF524223 FSA524223:FSB524223 GBW524223:GBX524223 GLS524223:GLT524223 GVO524223:GVP524223 HFK524223:HFL524223 HPG524223:HPH524223 HZC524223:HZD524223 IIY524223:IIZ524223 ISU524223:ISV524223 JCQ524223:JCR524223 JMM524223:JMN524223 JWI524223:JWJ524223 KGE524223:KGF524223 KQA524223:KQB524223 KZW524223:KZX524223 LJS524223:LJT524223 LTO524223:LTP524223 MDK524223:MDL524223 MNG524223:MNH524223 MXC524223:MXD524223 NGY524223:NGZ524223 NQU524223:NQV524223 OAQ524223:OAR524223 OKM524223:OKN524223 OUI524223:OUJ524223 PEE524223:PEF524223 POA524223:POB524223 PXW524223:PXX524223 QHS524223:QHT524223 QRO524223:QRP524223 RBK524223:RBL524223 RLG524223:RLH524223 RVC524223:RVD524223 SEY524223:SEZ524223 SOU524223:SOV524223 SYQ524223:SYR524223 TIM524223:TIN524223 TSI524223:TSJ524223 UCE524223:UCF524223 UMA524223:UMB524223 UVW524223:UVX524223 VFS524223:VFT524223 VPO524223:VPP524223 VZK524223:VZL524223 WJG524223:WJH524223 GQ589759:GR589759 QM589759:QN589759 AAI589759:AAJ589759 AKE589759:AKF589759 AUA589759:AUB589759 BDW589759:BDX589759 BNS589759:BNT589759 BXO589759:BXP589759 CHK589759:CHL589759 CRG589759:CRH589759 DBC589759:DBD589759 DKY589759:DKZ589759 DUU589759:DUV589759 EEQ589759:EER589759 EOM589759:EON589759 EYI589759:EYJ589759 FIE589759:FIF589759 FSA589759:FSB589759 GBW589759:GBX589759 GLS589759:GLT589759 GVO589759:GVP589759 HFK589759:HFL589759 HPG589759:HPH589759 HZC589759:HZD589759 IIY589759:IIZ589759 ISU589759:ISV589759 JCQ589759:JCR589759 JMM589759:JMN589759 JWI589759:JWJ589759 KGE589759:KGF589759 KQA589759:KQB589759 KZW589759:KZX589759 LJS589759:LJT589759 LTO589759:LTP589759 MDK589759:MDL589759 MNG589759:MNH589759 MXC589759:MXD589759 NGY589759:NGZ589759 NQU589759:NQV589759 OAQ589759:OAR589759 OKM589759:OKN589759 OUI589759:OUJ589759 PEE589759:PEF589759 POA589759:POB589759 PXW589759:PXX589759 QHS589759:QHT589759 QRO589759:QRP589759 RBK589759:RBL589759 RLG589759:RLH589759 RVC589759:RVD589759 SEY589759:SEZ589759 SOU589759:SOV589759 SYQ589759:SYR589759 TIM589759:TIN589759 TSI589759:TSJ589759 UCE589759:UCF589759 UMA589759:UMB589759 UVW589759:UVX589759 VFS589759:VFT589759 VPO589759:VPP589759 VZK589759:VZL589759 WJG589759:WJH589759 GQ655295:GR655295 QM655295:QN655295 AAI655295:AAJ655295 AKE655295:AKF655295 AUA655295:AUB655295 BDW655295:BDX655295 BNS655295:BNT655295 BXO655295:BXP655295 CHK655295:CHL655295 CRG655295:CRH655295 DBC655295:DBD655295 DKY655295:DKZ655295 DUU655295:DUV655295 EEQ655295:EER655295 EOM655295:EON655295 EYI655295:EYJ655295 FIE655295:FIF655295 FSA655295:FSB655295 GBW655295:GBX655295 GLS655295:GLT655295 GVO655295:GVP655295 HFK655295:HFL655295 HPG655295:HPH655295 HZC655295:HZD655295 IIY655295:IIZ655295 ISU655295:ISV655295 JCQ655295:JCR655295 JMM655295:JMN655295 JWI655295:JWJ655295 KGE655295:KGF655295 KQA655295:KQB655295 KZW655295:KZX655295 LJS655295:LJT655295 LTO655295:LTP655295 MDK655295:MDL655295 MNG655295:MNH655295 MXC655295:MXD655295 NGY655295:NGZ655295 NQU655295:NQV655295 OAQ655295:OAR655295 OKM655295:OKN655295 OUI655295:OUJ655295 PEE655295:PEF655295 POA655295:POB655295 PXW655295:PXX655295 QHS655295:QHT655295 QRO655295:QRP655295 RBK655295:RBL655295 RLG655295:RLH655295 RVC655295:RVD655295 SEY655295:SEZ655295 SOU655295:SOV655295 SYQ655295:SYR655295 TIM655295:TIN655295 TSI655295:TSJ655295 UCE655295:UCF655295 UMA655295:UMB655295 UVW655295:UVX655295 VFS655295:VFT655295 VPO655295:VPP655295 VZK655295:VZL655295 WJG655295:WJH655295 GQ720831:GR720831 QM720831:QN720831 AAI720831:AAJ720831 AKE720831:AKF720831 AUA720831:AUB720831 BDW720831:BDX720831 BNS720831:BNT720831 BXO720831:BXP720831 CHK720831:CHL720831 CRG720831:CRH720831 DBC720831:DBD720831 DKY720831:DKZ720831 DUU720831:DUV720831 EEQ720831:EER720831 EOM720831:EON720831 EYI720831:EYJ720831 FIE720831:FIF720831 FSA720831:FSB720831 GBW720831:GBX720831 GLS720831:GLT720831 GVO720831:GVP720831 HFK720831:HFL720831 HPG720831:HPH720831 HZC720831:HZD720831 IIY720831:IIZ720831 ISU720831:ISV720831 JCQ720831:JCR720831 JMM720831:JMN720831 JWI720831:JWJ720831 KGE720831:KGF720831 KQA720831:KQB720831 KZW720831:KZX720831 LJS720831:LJT720831 LTO720831:LTP720831 MDK720831:MDL720831 MNG720831:MNH720831 MXC720831:MXD720831 NGY720831:NGZ720831 NQU720831:NQV720831 OAQ720831:OAR720831 OKM720831:OKN720831 OUI720831:OUJ720831 PEE720831:PEF720831 POA720831:POB720831 PXW720831:PXX720831 QHS720831:QHT720831 QRO720831:QRP720831 RBK720831:RBL720831 RLG720831:RLH720831 RVC720831:RVD720831 SEY720831:SEZ720831 SOU720831:SOV720831 SYQ720831:SYR720831 TIM720831:TIN720831 TSI720831:TSJ720831 UCE720831:UCF720831 UMA720831:UMB720831 UVW720831:UVX720831 VFS720831:VFT720831 VPO720831:VPP720831 VZK720831:VZL720831 WJG720831:WJH720831 GQ786367:GR786367 QM786367:QN786367 AAI786367:AAJ786367 AKE786367:AKF786367 AUA786367:AUB786367 BDW786367:BDX786367 BNS786367:BNT786367 BXO786367:BXP786367 CHK786367:CHL786367 CRG786367:CRH786367 DBC786367:DBD786367 DKY786367:DKZ786367 DUU786367:DUV786367 EEQ786367:EER786367 EOM786367:EON786367 EYI786367:EYJ786367 FIE786367:FIF786367 FSA786367:FSB786367 GBW786367:GBX786367 GLS786367:GLT786367 GVO786367:GVP786367 HFK786367:HFL786367 HPG786367:HPH786367 HZC786367:HZD786367 IIY786367:IIZ786367 ISU786367:ISV786367 JCQ786367:JCR786367 JMM786367:JMN786367 JWI786367:JWJ786367 KGE786367:KGF786367 KQA786367:KQB786367 KZW786367:KZX786367 LJS786367:LJT786367 LTO786367:LTP786367 MDK786367:MDL786367 MNG786367:MNH786367 MXC786367:MXD786367 NGY786367:NGZ786367 NQU786367:NQV786367 OAQ786367:OAR786367 OKM786367:OKN786367 OUI786367:OUJ786367 PEE786367:PEF786367 POA786367:POB786367 PXW786367:PXX786367 QHS786367:QHT786367 QRO786367:QRP786367 RBK786367:RBL786367 RLG786367:RLH786367 RVC786367:RVD786367 SEY786367:SEZ786367 SOU786367:SOV786367 SYQ786367:SYR786367 TIM786367:TIN786367 TSI786367:TSJ786367 UCE786367:UCF786367 UMA786367:UMB786367 UVW786367:UVX786367 VFS786367:VFT786367 VPO786367:VPP786367 VZK786367:VZL786367 WJG786367:WJH786367 GQ851903:GR851903 QM851903:QN851903 AAI851903:AAJ851903 AKE851903:AKF851903 AUA851903:AUB851903 BDW851903:BDX851903 BNS851903:BNT851903 BXO851903:BXP851903 CHK851903:CHL851903 CRG851903:CRH851903 DBC851903:DBD851903 DKY851903:DKZ851903 DUU851903:DUV851903 EEQ851903:EER851903 EOM851903:EON851903 EYI851903:EYJ851903 FIE851903:FIF851903 FSA851903:FSB851903 GBW851903:GBX851903 GLS851903:GLT851903 GVO851903:GVP851903 HFK851903:HFL851903 HPG851903:HPH851903 HZC851903:HZD851903 IIY851903:IIZ851903 ISU851903:ISV851903 JCQ851903:JCR851903 JMM851903:JMN851903 JWI851903:JWJ851903 KGE851903:KGF851903 KQA851903:KQB851903 KZW851903:KZX851903 LJS851903:LJT851903 LTO851903:LTP851903 MDK851903:MDL851903 MNG851903:MNH851903 MXC851903:MXD851903 NGY851903:NGZ851903 NQU851903:NQV851903 OAQ851903:OAR851903 OKM851903:OKN851903 OUI851903:OUJ851903 PEE851903:PEF851903 POA851903:POB851903 PXW851903:PXX851903 QHS851903:QHT851903 QRO851903:QRP851903 RBK851903:RBL851903 RLG851903:RLH851903 RVC851903:RVD851903 SEY851903:SEZ851903 SOU851903:SOV851903 SYQ851903:SYR851903 TIM851903:TIN851903 TSI851903:TSJ851903 UCE851903:UCF851903 UMA851903:UMB851903 UVW851903:UVX851903 VFS851903:VFT851903 VPO851903:VPP851903 VZK851903:VZL851903 WJG851903:WJH851903 GQ917439:GR917439 QM917439:QN917439 AAI917439:AAJ917439 AKE917439:AKF917439 AUA917439:AUB917439 BDW917439:BDX917439 BNS917439:BNT917439 BXO917439:BXP917439 CHK917439:CHL917439 CRG917439:CRH917439 DBC917439:DBD917439 DKY917439:DKZ917439 DUU917439:DUV917439 EEQ917439:EER917439 EOM917439:EON917439 EYI917439:EYJ917439 FIE917439:FIF917439 FSA917439:FSB917439 GBW917439:GBX917439 GLS917439:GLT917439 GVO917439:GVP917439 HFK917439:HFL917439 HPG917439:HPH917439 HZC917439:HZD917439 IIY917439:IIZ917439 ISU917439:ISV917439 JCQ917439:JCR917439 JMM917439:JMN917439 JWI917439:JWJ917439 KGE917439:KGF917439 KQA917439:KQB917439 KZW917439:KZX917439 LJS917439:LJT917439 LTO917439:LTP917439 MDK917439:MDL917439 MNG917439:MNH917439 MXC917439:MXD917439 NGY917439:NGZ917439 NQU917439:NQV917439 OAQ917439:OAR917439 OKM917439:OKN917439 OUI917439:OUJ917439 PEE917439:PEF917439 POA917439:POB917439 PXW917439:PXX917439 QHS917439:QHT917439 QRO917439:QRP917439 RBK917439:RBL917439 RLG917439:RLH917439 RVC917439:RVD917439 SEY917439:SEZ917439 SOU917439:SOV917439 SYQ917439:SYR917439 TIM917439:TIN917439 TSI917439:TSJ917439 UCE917439:UCF917439 UMA917439:UMB917439 UVW917439:UVX917439 VFS917439:VFT917439 VPO917439:VPP917439 VZK917439:VZL917439 WJG917439:WJH917439 GQ982975:GR982975 QM982975:QN982975 AAI982975:AAJ982975 AKE982975:AKF982975 AUA982975:AUB982975 BDW982975:BDX982975 BNS982975:BNT982975 BXO982975:BXP982975 CHK982975:CHL982975 CRG982975:CRH982975 DBC982975:DBD982975 DKY982975:DKZ982975 DUU982975:DUV982975 EEQ982975:EER982975 EOM982975:EON982975 EYI982975:EYJ982975 FIE982975:FIF982975 FSA982975:FSB982975 GBW982975:GBX982975 GLS982975:GLT982975 GVO982975:GVP982975 HFK982975:HFL982975 HPG982975:HPH982975 HZC982975:HZD982975 IIY982975:IIZ982975 ISU982975:ISV982975 JCQ982975:JCR982975 JMM982975:JMN982975 JWI982975:JWJ982975 KGE982975:KGF982975 KQA982975:KQB982975 KZW982975:KZX982975 LJS982975:LJT982975 LTO982975:LTP982975 MDK982975:MDL982975 MNG982975:MNH982975 MXC982975:MXD982975 NGY982975:NGZ982975 NQU982975:NQV982975 OAQ982975:OAR982975 OKM982975:OKN982975 OUI982975:OUJ982975 PEE982975:PEF982975 POA982975:POB982975 PXW982975:PXX982975 QHS982975:QHT982975 QRO982975:QRP982975 RBK982975:RBL982975 RLG982975:RLH982975 RVC982975:RVD982975 SEY982975:SEZ982975 SOU982975:SOV982975 SYQ982975:SYR982975 TIM982975:TIN982975 TSI982975:TSJ982975 UCE982975:UCF982975 UMA982975:UMB982975 UVW982975:UVX982975 VFS982975:VFT982975 VPO982975:VPP982975 VZK982975:VZL982975" xr:uid="{00000000-0002-0000-0200-000005000000}">
      <formula1>PTYPE</formula1>
    </dataValidation>
    <dataValidation type="list" allowBlank="1" showInputMessage="1" showErrorMessage="1" sqref="WJK983005 WJK93 VZO93 VPS93 VFW93 UWA93 UME93 UCI93 TSM93 TIQ93 SYU93 SOY93 SFC93 RVG93 RLK93 RBO93 QRS93 QHW93 PYA93 POE93 PEI93 OUM93 OKQ93 OAU93 NQY93 NHC93 MXG93 MNK93 MDO93 LTS93 LJW93 LAA93 KQE93 KGI93 JWM93 JMQ93 JCU93 ISY93 IJC93 HZG93 HPK93 HFO93 GVS93 GLW93 GCA93 FSE93 FII93 EYM93 EOQ93 EEU93 DUY93 DLC93 DBG93 CRK93 CHO93 BXS93 BNW93 BEA93 AUE93 AKI93 AAM93 QQ93 GU93 VZO983005 VPS983005 VFW983005 UWA983005 UME983005 UCI983005 TSM983005 TIQ983005 SYU983005 SOY983005 SFC983005 RVG983005 RLK983005 RBO983005 QRS983005 QHW983005 PYA983005 POE983005 PEI983005 OUM983005 OKQ983005 OAU983005 NQY983005 NHC983005 MXG983005 MNK983005 MDO983005 LTS983005 LJW983005 LAA983005 KQE983005 KGI983005 JWM983005 JMQ983005 JCU983005 ISY983005 IJC983005 HZG983005 HPK983005 HFO983005 GVS983005 GLW983005 GCA983005 FSE983005 FII983005 EYM983005 EOQ983005 EEU983005 DUY983005 DLC983005 DBG983005 CRK983005 CHO983005 BXS983005 BNW983005 BEA983005 AUE983005 AKI983005 AAM983005 QQ983005 GU983005 WJK917469 VZO917469 VPS917469 VFW917469 UWA917469 UME917469 UCI917469 TSM917469 TIQ917469 SYU917469 SOY917469 SFC917469 RVG917469 RLK917469 RBO917469 QRS917469 QHW917469 PYA917469 POE917469 PEI917469 OUM917469 OKQ917469 OAU917469 NQY917469 NHC917469 MXG917469 MNK917469 MDO917469 LTS917469 LJW917469 LAA917469 KQE917469 KGI917469 JWM917469 JMQ917469 JCU917469 ISY917469 IJC917469 HZG917469 HPK917469 HFO917469 GVS917469 GLW917469 GCA917469 FSE917469 FII917469 EYM917469 EOQ917469 EEU917469 DUY917469 DLC917469 DBG917469 CRK917469 CHO917469 BXS917469 BNW917469 BEA917469 AUE917469 AKI917469 AAM917469 QQ917469 GU917469 WJK851933 VZO851933 VPS851933 VFW851933 UWA851933 UME851933 UCI851933 TSM851933 TIQ851933 SYU851933 SOY851933 SFC851933 RVG851933 RLK851933 RBO851933 QRS851933 QHW851933 PYA851933 POE851933 PEI851933 OUM851933 OKQ851933 OAU851933 NQY851933 NHC851933 MXG851933 MNK851933 MDO851933 LTS851933 LJW851933 LAA851933 KQE851933 KGI851933 JWM851933 JMQ851933 JCU851933 ISY851933 IJC851933 HZG851933 HPK851933 HFO851933 GVS851933 GLW851933 GCA851933 FSE851933 FII851933 EYM851933 EOQ851933 EEU851933 DUY851933 DLC851933 DBG851933 CRK851933 CHO851933 BXS851933 BNW851933 BEA851933 AUE851933 AKI851933 AAM851933 QQ851933 GU851933 WJK786397 VZO786397 VPS786397 VFW786397 UWA786397 UME786397 UCI786397 TSM786397 TIQ786397 SYU786397 SOY786397 SFC786397 RVG786397 RLK786397 RBO786397 QRS786397 QHW786397 PYA786397 POE786397 PEI786397 OUM786397 OKQ786397 OAU786397 NQY786397 NHC786397 MXG786397 MNK786397 MDO786397 LTS786397 LJW786397 LAA786397 KQE786397 KGI786397 JWM786397 JMQ786397 JCU786397 ISY786397 IJC786397 HZG786397 HPK786397 HFO786397 GVS786397 GLW786397 GCA786397 FSE786397 FII786397 EYM786397 EOQ786397 EEU786397 DUY786397 DLC786397 DBG786397 CRK786397 CHO786397 BXS786397 BNW786397 BEA786397 AUE786397 AKI786397 AAM786397 QQ786397 GU786397 WJK720861 VZO720861 VPS720861 VFW720861 UWA720861 UME720861 UCI720861 TSM720861 TIQ720861 SYU720861 SOY720861 SFC720861 RVG720861 RLK720861 RBO720861 QRS720861 QHW720861 PYA720861 POE720861 PEI720861 OUM720861 OKQ720861 OAU720861 NQY720861 NHC720861 MXG720861 MNK720861 MDO720861 LTS720861 LJW720861 LAA720861 KQE720861 KGI720861 JWM720861 JMQ720861 JCU720861 ISY720861 IJC720861 HZG720861 HPK720861 HFO720861 GVS720861 GLW720861 GCA720861 FSE720861 FII720861 EYM720861 EOQ720861 EEU720861 DUY720861 DLC720861 DBG720861 CRK720861 CHO720861 BXS720861 BNW720861 BEA720861 AUE720861 AKI720861 AAM720861 QQ720861 GU720861 WJK655325 VZO655325 VPS655325 VFW655325 UWA655325 UME655325 UCI655325 TSM655325 TIQ655325 SYU655325 SOY655325 SFC655325 RVG655325 RLK655325 RBO655325 QRS655325 QHW655325 PYA655325 POE655325 PEI655325 OUM655325 OKQ655325 OAU655325 NQY655325 NHC655325 MXG655325 MNK655325 MDO655325 LTS655325 LJW655325 LAA655325 KQE655325 KGI655325 JWM655325 JMQ655325 JCU655325 ISY655325 IJC655325 HZG655325 HPK655325 HFO655325 GVS655325 GLW655325 GCA655325 FSE655325 FII655325 EYM655325 EOQ655325 EEU655325 DUY655325 DLC655325 DBG655325 CRK655325 CHO655325 BXS655325 BNW655325 BEA655325 AUE655325 AKI655325 AAM655325 QQ655325 GU655325 WJK589789 VZO589789 VPS589789 VFW589789 UWA589789 UME589789 UCI589789 TSM589789 TIQ589789 SYU589789 SOY589789 SFC589789 RVG589789 RLK589789 RBO589789 QRS589789 QHW589789 PYA589789 POE589789 PEI589789 OUM589789 OKQ589789 OAU589789 NQY589789 NHC589789 MXG589789 MNK589789 MDO589789 LTS589789 LJW589789 LAA589789 KQE589789 KGI589789 JWM589789 JMQ589789 JCU589789 ISY589789 IJC589789 HZG589789 HPK589789 HFO589789 GVS589789 GLW589789 GCA589789 FSE589789 FII589789 EYM589789 EOQ589789 EEU589789 DUY589789 DLC589789 DBG589789 CRK589789 CHO589789 BXS589789 BNW589789 BEA589789 AUE589789 AKI589789 AAM589789 QQ589789 GU589789 WJK524253 VZO524253 VPS524253 VFW524253 UWA524253 UME524253 UCI524253 TSM524253 TIQ524253 SYU524253 SOY524253 SFC524253 RVG524253 RLK524253 RBO524253 QRS524253 QHW524253 PYA524253 POE524253 PEI524253 OUM524253 OKQ524253 OAU524253 NQY524253 NHC524253 MXG524253 MNK524253 MDO524253 LTS524253 LJW524253 LAA524253 KQE524253 KGI524253 JWM524253 JMQ524253 JCU524253 ISY524253 IJC524253 HZG524253 HPK524253 HFO524253 GVS524253 GLW524253 GCA524253 FSE524253 FII524253 EYM524253 EOQ524253 EEU524253 DUY524253 DLC524253 DBG524253 CRK524253 CHO524253 BXS524253 BNW524253 BEA524253 AUE524253 AKI524253 AAM524253 QQ524253 GU524253 WJK458717 VZO458717 VPS458717 VFW458717 UWA458717 UME458717 UCI458717 TSM458717 TIQ458717 SYU458717 SOY458717 SFC458717 RVG458717 RLK458717 RBO458717 QRS458717 QHW458717 PYA458717 POE458717 PEI458717 OUM458717 OKQ458717 OAU458717 NQY458717 NHC458717 MXG458717 MNK458717 MDO458717 LTS458717 LJW458717 LAA458717 KQE458717 KGI458717 JWM458717 JMQ458717 JCU458717 ISY458717 IJC458717 HZG458717 HPK458717 HFO458717 GVS458717 GLW458717 GCA458717 FSE458717 FII458717 EYM458717 EOQ458717 EEU458717 DUY458717 DLC458717 DBG458717 CRK458717 CHO458717 BXS458717 BNW458717 BEA458717 AUE458717 AKI458717 AAM458717 QQ458717 GU458717 WJK393181 VZO393181 VPS393181 VFW393181 UWA393181 UME393181 UCI393181 TSM393181 TIQ393181 SYU393181 SOY393181 SFC393181 RVG393181 RLK393181 RBO393181 QRS393181 QHW393181 PYA393181 POE393181 PEI393181 OUM393181 OKQ393181 OAU393181 NQY393181 NHC393181 MXG393181 MNK393181 MDO393181 LTS393181 LJW393181 LAA393181 KQE393181 KGI393181 JWM393181 JMQ393181 JCU393181 ISY393181 IJC393181 HZG393181 HPK393181 HFO393181 GVS393181 GLW393181 GCA393181 FSE393181 FII393181 EYM393181 EOQ393181 EEU393181 DUY393181 DLC393181 DBG393181 CRK393181 CHO393181 BXS393181 BNW393181 BEA393181 AUE393181 AKI393181 AAM393181 QQ393181 GU393181 WJK327645 VZO327645 VPS327645 VFW327645 UWA327645 UME327645 UCI327645 TSM327645 TIQ327645 SYU327645 SOY327645 SFC327645 RVG327645 RLK327645 RBO327645 QRS327645 QHW327645 PYA327645 POE327645 PEI327645 OUM327645 OKQ327645 OAU327645 NQY327645 NHC327645 MXG327645 MNK327645 MDO327645 LTS327645 LJW327645 LAA327645 KQE327645 KGI327645 JWM327645 JMQ327645 JCU327645 ISY327645 IJC327645 HZG327645 HPK327645 HFO327645 GVS327645 GLW327645 GCA327645 FSE327645 FII327645 EYM327645 EOQ327645 EEU327645 DUY327645 DLC327645 DBG327645 CRK327645 CHO327645 BXS327645 BNW327645 BEA327645 AUE327645 AKI327645 AAM327645 QQ327645 GU327645 WJK262109 VZO262109 VPS262109 VFW262109 UWA262109 UME262109 UCI262109 TSM262109 TIQ262109 SYU262109 SOY262109 SFC262109 RVG262109 RLK262109 RBO262109 QRS262109 QHW262109 PYA262109 POE262109 PEI262109 OUM262109 OKQ262109 OAU262109 NQY262109 NHC262109 MXG262109 MNK262109 MDO262109 LTS262109 LJW262109 LAA262109 KQE262109 KGI262109 JWM262109 JMQ262109 JCU262109 ISY262109 IJC262109 HZG262109 HPK262109 HFO262109 GVS262109 GLW262109 GCA262109 FSE262109 FII262109 EYM262109 EOQ262109 EEU262109 DUY262109 DLC262109 DBG262109 CRK262109 CHO262109 BXS262109 BNW262109 BEA262109 AUE262109 AKI262109 AAM262109 QQ262109 GU262109 WJK196573 VZO196573 VPS196573 VFW196573 UWA196573 UME196573 UCI196573 TSM196573 TIQ196573 SYU196573 SOY196573 SFC196573 RVG196573 RLK196573 RBO196573 QRS196573 QHW196573 PYA196573 POE196573 PEI196573 OUM196573 OKQ196573 OAU196573 NQY196573 NHC196573 MXG196573 MNK196573 MDO196573 LTS196573 LJW196573 LAA196573 KQE196573 KGI196573 JWM196573 JMQ196573 JCU196573 ISY196573 IJC196573 HZG196573 HPK196573 HFO196573 GVS196573 GLW196573 GCA196573 FSE196573 FII196573 EYM196573 EOQ196573 EEU196573 DUY196573 DLC196573 DBG196573 CRK196573 CHO196573 BXS196573 BNW196573 BEA196573 AUE196573 AKI196573 AAM196573 QQ196573 GU196573 WJK131037 VZO131037 VPS131037 VFW131037 UWA131037 UME131037 UCI131037 TSM131037 TIQ131037 SYU131037 SOY131037 SFC131037 RVG131037 RLK131037 RBO131037 QRS131037 QHW131037 PYA131037 POE131037 PEI131037 OUM131037 OKQ131037 OAU131037 NQY131037 NHC131037 MXG131037 MNK131037 MDO131037 LTS131037 LJW131037 LAA131037 KQE131037 KGI131037 JWM131037 JMQ131037 JCU131037 ISY131037 IJC131037 HZG131037 HPK131037 HFO131037 GVS131037 GLW131037 GCA131037 FSE131037 FII131037 EYM131037 EOQ131037 EEU131037 DUY131037 DLC131037 DBG131037 CRK131037 CHO131037 BXS131037 BNW131037 BEA131037 AUE131037 AKI131037 AAM131037 QQ131037 GU131037 WJK65501 VZO65501 VPS65501 VFW65501 UWA65501 UME65501 UCI65501 TSM65501 TIQ65501 SYU65501 SOY65501 SFC65501 RVG65501 RLK65501 RBO65501 QRS65501 QHW65501 PYA65501 POE65501 PEI65501 OUM65501 OKQ65501 OAU65501 NQY65501 NHC65501 MXG65501 MNK65501 MDO65501 LTS65501 LJW65501 LAA65501 KQE65501 KGI65501 JWM65501 JMQ65501 JCU65501 ISY65501 IJC65501 HZG65501 HPK65501 HFO65501 GVS65501 GLW65501 GCA65501 FSE65501 FII65501 EYM65501 EOQ65501 EEU65501 DUY65501 DLC65501 DBG65501 CRK65501 CHO65501 BXS65501 BNW65501 BEA65501 AUE65501 AKI65501 AAM65501 QQ65501 GU65501" xr:uid="{00000000-0002-0000-0200-000006000000}">
      <formula1>#REF!</formula1>
    </dataValidation>
    <dataValidation type="list" allowBlank="1" showInputMessage="1" showErrorMessage="1" sqref="WJG982976:WJH982976 WJG6:WJH6 VZK6:VZL6 VPO6:VPP6 VFS6:VFT6 UVW6:UVX6 UMA6:UMB6 UCE6:UCF6 TSI6:TSJ6 TIM6:TIN6 SYQ6:SYR6 SOU6:SOV6 SEY6:SEZ6 RVC6:RVD6 RLG6:RLH6 RBK6:RBL6 QRO6:QRP6 QHS6:QHT6 PXW6:PXX6 POA6:POB6 PEE6:PEF6 OUI6:OUJ6 OKM6:OKN6 OAQ6:OAR6 NQU6:NQV6 NGY6:NGZ6 MXC6:MXD6 MNG6:MNH6 MDK6:MDL6 LTO6:LTP6 LJS6:LJT6 KZW6:KZX6 KQA6:KQB6 KGE6:KGF6 JWI6:JWJ6 JMM6:JMN6 JCQ6:JCR6 ISU6:ISV6 IIY6:IIZ6 HZC6:HZD6 HPG6:HPH6 HFK6:HFL6 GVO6:GVP6 GLS6:GLT6 GBW6:GBX6 FSA6:FSB6 FIE6:FIF6 EYI6:EYJ6 EOM6:EON6 EEQ6:EER6 DUU6:DUV6 DKY6:DKZ6 DBC6:DBD6 CRG6:CRH6 CHK6:CHL6 BXO6:BXP6 BNS6:BNT6 BDW6:BDX6 AUA6:AUB6 AKE6:AKF6 AAI6:AAJ6 QM6:QN6 GQ6:GR6 VZK982976:VZL982976 GQ65472:GR65472 QM65472:QN65472 AAI65472:AAJ65472 AKE65472:AKF65472 AUA65472:AUB65472 BDW65472:BDX65472 BNS65472:BNT65472 BXO65472:BXP65472 CHK65472:CHL65472 CRG65472:CRH65472 DBC65472:DBD65472 DKY65472:DKZ65472 DUU65472:DUV65472 EEQ65472:EER65472 EOM65472:EON65472 EYI65472:EYJ65472 FIE65472:FIF65472 FSA65472:FSB65472 GBW65472:GBX65472 GLS65472:GLT65472 GVO65472:GVP65472 HFK65472:HFL65472 HPG65472:HPH65472 HZC65472:HZD65472 IIY65472:IIZ65472 ISU65472:ISV65472 JCQ65472:JCR65472 JMM65472:JMN65472 JWI65472:JWJ65472 KGE65472:KGF65472 KQA65472:KQB65472 KZW65472:KZX65472 LJS65472:LJT65472 LTO65472:LTP65472 MDK65472:MDL65472 MNG65472:MNH65472 MXC65472:MXD65472 NGY65472:NGZ65472 NQU65472:NQV65472 OAQ65472:OAR65472 OKM65472:OKN65472 OUI65472:OUJ65472 PEE65472:PEF65472 POA65472:POB65472 PXW65472:PXX65472 QHS65472:QHT65472 QRO65472:QRP65472 RBK65472:RBL65472 RLG65472:RLH65472 RVC65472:RVD65472 SEY65472:SEZ65472 SOU65472:SOV65472 SYQ65472:SYR65472 TIM65472:TIN65472 TSI65472:TSJ65472 UCE65472:UCF65472 UMA65472:UMB65472 UVW65472:UVX65472 VFS65472:VFT65472 VPO65472:VPP65472 VZK65472:VZL65472 WJG65472:WJH65472 GQ131008:GR131008 QM131008:QN131008 AAI131008:AAJ131008 AKE131008:AKF131008 AUA131008:AUB131008 BDW131008:BDX131008 BNS131008:BNT131008 BXO131008:BXP131008 CHK131008:CHL131008 CRG131008:CRH131008 DBC131008:DBD131008 DKY131008:DKZ131008 DUU131008:DUV131008 EEQ131008:EER131008 EOM131008:EON131008 EYI131008:EYJ131008 FIE131008:FIF131008 FSA131008:FSB131008 GBW131008:GBX131008 GLS131008:GLT131008 GVO131008:GVP131008 HFK131008:HFL131008 HPG131008:HPH131008 HZC131008:HZD131008 IIY131008:IIZ131008 ISU131008:ISV131008 JCQ131008:JCR131008 JMM131008:JMN131008 JWI131008:JWJ131008 KGE131008:KGF131008 KQA131008:KQB131008 KZW131008:KZX131008 LJS131008:LJT131008 LTO131008:LTP131008 MDK131008:MDL131008 MNG131008:MNH131008 MXC131008:MXD131008 NGY131008:NGZ131008 NQU131008:NQV131008 OAQ131008:OAR131008 OKM131008:OKN131008 OUI131008:OUJ131008 PEE131008:PEF131008 POA131008:POB131008 PXW131008:PXX131008 QHS131008:QHT131008 QRO131008:QRP131008 RBK131008:RBL131008 RLG131008:RLH131008 RVC131008:RVD131008 SEY131008:SEZ131008 SOU131008:SOV131008 SYQ131008:SYR131008 TIM131008:TIN131008 TSI131008:TSJ131008 UCE131008:UCF131008 UMA131008:UMB131008 UVW131008:UVX131008 VFS131008:VFT131008 VPO131008:VPP131008 VZK131008:VZL131008 WJG131008:WJH131008 GQ196544:GR196544 QM196544:QN196544 AAI196544:AAJ196544 AKE196544:AKF196544 AUA196544:AUB196544 BDW196544:BDX196544 BNS196544:BNT196544 BXO196544:BXP196544 CHK196544:CHL196544 CRG196544:CRH196544 DBC196544:DBD196544 DKY196544:DKZ196544 DUU196544:DUV196544 EEQ196544:EER196544 EOM196544:EON196544 EYI196544:EYJ196544 FIE196544:FIF196544 FSA196544:FSB196544 GBW196544:GBX196544 GLS196544:GLT196544 GVO196544:GVP196544 HFK196544:HFL196544 HPG196544:HPH196544 HZC196544:HZD196544 IIY196544:IIZ196544 ISU196544:ISV196544 JCQ196544:JCR196544 JMM196544:JMN196544 JWI196544:JWJ196544 KGE196544:KGF196544 KQA196544:KQB196544 KZW196544:KZX196544 LJS196544:LJT196544 LTO196544:LTP196544 MDK196544:MDL196544 MNG196544:MNH196544 MXC196544:MXD196544 NGY196544:NGZ196544 NQU196544:NQV196544 OAQ196544:OAR196544 OKM196544:OKN196544 OUI196544:OUJ196544 PEE196544:PEF196544 POA196544:POB196544 PXW196544:PXX196544 QHS196544:QHT196544 QRO196544:QRP196544 RBK196544:RBL196544 RLG196544:RLH196544 RVC196544:RVD196544 SEY196544:SEZ196544 SOU196544:SOV196544 SYQ196544:SYR196544 TIM196544:TIN196544 TSI196544:TSJ196544 UCE196544:UCF196544 UMA196544:UMB196544 UVW196544:UVX196544 VFS196544:VFT196544 VPO196544:VPP196544 VZK196544:VZL196544 WJG196544:WJH196544 GQ262080:GR262080 QM262080:QN262080 AAI262080:AAJ262080 AKE262080:AKF262080 AUA262080:AUB262080 BDW262080:BDX262080 BNS262080:BNT262080 BXO262080:BXP262080 CHK262080:CHL262080 CRG262080:CRH262080 DBC262080:DBD262080 DKY262080:DKZ262080 DUU262080:DUV262080 EEQ262080:EER262080 EOM262080:EON262080 EYI262080:EYJ262080 FIE262080:FIF262080 FSA262080:FSB262080 GBW262080:GBX262080 GLS262080:GLT262080 GVO262080:GVP262080 HFK262080:HFL262080 HPG262080:HPH262080 HZC262080:HZD262080 IIY262080:IIZ262080 ISU262080:ISV262080 JCQ262080:JCR262080 JMM262080:JMN262080 JWI262080:JWJ262080 KGE262080:KGF262080 KQA262080:KQB262080 KZW262080:KZX262080 LJS262080:LJT262080 LTO262080:LTP262080 MDK262080:MDL262080 MNG262080:MNH262080 MXC262080:MXD262080 NGY262080:NGZ262080 NQU262080:NQV262080 OAQ262080:OAR262080 OKM262080:OKN262080 OUI262080:OUJ262080 PEE262080:PEF262080 POA262080:POB262080 PXW262080:PXX262080 QHS262080:QHT262080 QRO262080:QRP262080 RBK262080:RBL262080 RLG262080:RLH262080 RVC262080:RVD262080 SEY262080:SEZ262080 SOU262080:SOV262080 SYQ262080:SYR262080 TIM262080:TIN262080 TSI262080:TSJ262080 UCE262080:UCF262080 UMA262080:UMB262080 UVW262080:UVX262080 VFS262080:VFT262080 VPO262080:VPP262080 VZK262080:VZL262080 WJG262080:WJH262080 GQ327616:GR327616 QM327616:QN327616 AAI327616:AAJ327616 AKE327616:AKF327616 AUA327616:AUB327616 BDW327616:BDX327616 BNS327616:BNT327616 BXO327616:BXP327616 CHK327616:CHL327616 CRG327616:CRH327616 DBC327616:DBD327616 DKY327616:DKZ327616 DUU327616:DUV327616 EEQ327616:EER327616 EOM327616:EON327616 EYI327616:EYJ327616 FIE327616:FIF327616 FSA327616:FSB327616 GBW327616:GBX327616 GLS327616:GLT327616 GVO327616:GVP327616 HFK327616:HFL327616 HPG327616:HPH327616 HZC327616:HZD327616 IIY327616:IIZ327616 ISU327616:ISV327616 JCQ327616:JCR327616 JMM327616:JMN327616 JWI327616:JWJ327616 KGE327616:KGF327616 KQA327616:KQB327616 KZW327616:KZX327616 LJS327616:LJT327616 LTO327616:LTP327616 MDK327616:MDL327616 MNG327616:MNH327616 MXC327616:MXD327616 NGY327616:NGZ327616 NQU327616:NQV327616 OAQ327616:OAR327616 OKM327616:OKN327616 OUI327616:OUJ327616 PEE327616:PEF327616 POA327616:POB327616 PXW327616:PXX327616 QHS327616:QHT327616 QRO327616:QRP327616 RBK327616:RBL327616 RLG327616:RLH327616 RVC327616:RVD327616 SEY327616:SEZ327616 SOU327616:SOV327616 SYQ327616:SYR327616 TIM327616:TIN327616 TSI327616:TSJ327616 UCE327616:UCF327616 UMA327616:UMB327616 UVW327616:UVX327616 VFS327616:VFT327616 VPO327616:VPP327616 VZK327616:VZL327616 WJG327616:WJH327616 GQ393152:GR393152 QM393152:QN393152 AAI393152:AAJ393152 AKE393152:AKF393152 AUA393152:AUB393152 BDW393152:BDX393152 BNS393152:BNT393152 BXO393152:BXP393152 CHK393152:CHL393152 CRG393152:CRH393152 DBC393152:DBD393152 DKY393152:DKZ393152 DUU393152:DUV393152 EEQ393152:EER393152 EOM393152:EON393152 EYI393152:EYJ393152 FIE393152:FIF393152 FSA393152:FSB393152 GBW393152:GBX393152 GLS393152:GLT393152 GVO393152:GVP393152 HFK393152:HFL393152 HPG393152:HPH393152 HZC393152:HZD393152 IIY393152:IIZ393152 ISU393152:ISV393152 JCQ393152:JCR393152 JMM393152:JMN393152 JWI393152:JWJ393152 KGE393152:KGF393152 KQA393152:KQB393152 KZW393152:KZX393152 LJS393152:LJT393152 LTO393152:LTP393152 MDK393152:MDL393152 MNG393152:MNH393152 MXC393152:MXD393152 NGY393152:NGZ393152 NQU393152:NQV393152 OAQ393152:OAR393152 OKM393152:OKN393152 OUI393152:OUJ393152 PEE393152:PEF393152 POA393152:POB393152 PXW393152:PXX393152 QHS393152:QHT393152 QRO393152:QRP393152 RBK393152:RBL393152 RLG393152:RLH393152 RVC393152:RVD393152 SEY393152:SEZ393152 SOU393152:SOV393152 SYQ393152:SYR393152 TIM393152:TIN393152 TSI393152:TSJ393152 UCE393152:UCF393152 UMA393152:UMB393152 UVW393152:UVX393152 VFS393152:VFT393152 VPO393152:VPP393152 VZK393152:VZL393152 WJG393152:WJH393152 GQ458688:GR458688 QM458688:QN458688 AAI458688:AAJ458688 AKE458688:AKF458688 AUA458688:AUB458688 BDW458688:BDX458688 BNS458688:BNT458688 BXO458688:BXP458688 CHK458688:CHL458688 CRG458688:CRH458688 DBC458688:DBD458688 DKY458688:DKZ458688 DUU458688:DUV458688 EEQ458688:EER458688 EOM458688:EON458688 EYI458688:EYJ458688 FIE458688:FIF458688 FSA458688:FSB458688 GBW458688:GBX458688 GLS458688:GLT458688 GVO458688:GVP458688 HFK458688:HFL458688 HPG458688:HPH458688 HZC458688:HZD458688 IIY458688:IIZ458688 ISU458688:ISV458688 JCQ458688:JCR458688 JMM458688:JMN458688 JWI458688:JWJ458688 KGE458688:KGF458688 KQA458688:KQB458688 KZW458688:KZX458688 LJS458688:LJT458688 LTO458688:LTP458688 MDK458688:MDL458688 MNG458688:MNH458688 MXC458688:MXD458688 NGY458688:NGZ458688 NQU458688:NQV458688 OAQ458688:OAR458688 OKM458688:OKN458688 OUI458688:OUJ458688 PEE458688:PEF458688 POA458688:POB458688 PXW458688:PXX458688 QHS458688:QHT458688 QRO458688:QRP458688 RBK458688:RBL458688 RLG458688:RLH458688 RVC458688:RVD458688 SEY458688:SEZ458688 SOU458688:SOV458688 SYQ458688:SYR458688 TIM458688:TIN458688 TSI458688:TSJ458688 UCE458688:UCF458688 UMA458688:UMB458688 UVW458688:UVX458688 VFS458688:VFT458688 VPO458688:VPP458688 VZK458688:VZL458688 WJG458688:WJH458688 GQ524224:GR524224 QM524224:QN524224 AAI524224:AAJ524224 AKE524224:AKF524224 AUA524224:AUB524224 BDW524224:BDX524224 BNS524224:BNT524224 BXO524224:BXP524224 CHK524224:CHL524224 CRG524224:CRH524224 DBC524224:DBD524224 DKY524224:DKZ524224 DUU524224:DUV524224 EEQ524224:EER524224 EOM524224:EON524224 EYI524224:EYJ524224 FIE524224:FIF524224 FSA524224:FSB524224 GBW524224:GBX524224 GLS524224:GLT524224 GVO524224:GVP524224 HFK524224:HFL524224 HPG524224:HPH524224 HZC524224:HZD524224 IIY524224:IIZ524224 ISU524224:ISV524224 JCQ524224:JCR524224 JMM524224:JMN524224 JWI524224:JWJ524224 KGE524224:KGF524224 KQA524224:KQB524224 KZW524224:KZX524224 LJS524224:LJT524224 LTO524224:LTP524224 MDK524224:MDL524224 MNG524224:MNH524224 MXC524224:MXD524224 NGY524224:NGZ524224 NQU524224:NQV524224 OAQ524224:OAR524224 OKM524224:OKN524224 OUI524224:OUJ524224 PEE524224:PEF524224 POA524224:POB524224 PXW524224:PXX524224 QHS524224:QHT524224 QRO524224:QRP524224 RBK524224:RBL524224 RLG524224:RLH524224 RVC524224:RVD524224 SEY524224:SEZ524224 SOU524224:SOV524224 SYQ524224:SYR524224 TIM524224:TIN524224 TSI524224:TSJ524224 UCE524224:UCF524224 UMA524224:UMB524224 UVW524224:UVX524224 VFS524224:VFT524224 VPO524224:VPP524224 VZK524224:VZL524224 WJG524224:WJH524224 GQ589760:GR589760 QM589760:QN589760 AAI589760:AAJ589760 AKE589760:AKF589760 AUA589760:AUB589760 BDW589760:BDX589760 BNS589760:BNT589760 BXO589760:BXP589760 CHK589760:CHL589760 CRG589760:CRH589760 DBC589760:DBD589760 DKY589760:DKZ589760 DUU589760:DUV589760 EEQ589760:EER589760 EOM589760:EON589760 EYI589760:EYJ589760 FIE589760:FIF589760 FSA589760:FSB589760 GBW589760:GBX589760 GLS589760:GLT589760 GVO589760:GVP589760 HFK589760:HFL589760 HPG589760:HPH589760 HZC589760:HZD589760 IIY589760:IIZ589760 ISU589760:ISV589760 JCQ589760:JCR589760 JMM589760:JMN589760 JWI589760:JWJ589760 KGE589760:KGF589760 KQA589760:KQB589760 KZW589760:KZX589760 LJS589760:LJT589760 LTO589760:LTP589760 MDK589760:MDL589760 MNG589760:MNH589760 MXC589760:MXD589760 NGY589760:NGZ589760 NQU589760:NQV589760 OAQ589760:OAR589760 OKM589760:OKN589760 OUI589760:OUJ589760 PEE589760:PEF589760 POA589760:POB589760 PXW589760:PXX589760 QHS589760:QHT589760 QRO589760:QRP589760 RBK589760:RBL589760 RLG589760:RLH589760 RVC589760:RVD589760 SEY589760:SEZ589760 SOU589760:SOV589760 SYQ589760:SYR589760 TIM589760:TIN589760 TSI589760:TSJ589760 UCE589760:UCF589760 UMA589760:UMB589760 UVW589760:UVX589760 VFS589760:VFT589760 VPO589760:VPP589760 VZK589760:VZL589760 WJG589760:WJH589760 GQ655296:GR655296 QM655296:QN655296 AAI655296:AAJ655296 AKE655296:AKF655296 AUA655296:AUB655296 BDW655296:BDX655296 BNS655296:BNT655296 BXO655296:BXP655296 CHK655296:CHL655296 CRG655296:CRH655296 DBC655296:DBD655296 DKY655296:DKZ655296 DUU655296:DUV655296 EEQ655296:EER655296 EOM655296:EON655296 EYI655296:EYJ655296 FIE655296:FIF655296 FSA655296:FSB655296 GBW655296:GBX655296 GLS655296:GLT655296 GVO655296:GVP655296 HFK655296:HFL655296 HPG655296:HPH655296 HZC655296:HZD655296 IIY655296:IIZ655296 ISU655296:ISV655296 JCQ655296:JCR655296 JMM655296:JMN655296 JWI655296:JWJ655296 KGE655296:KGF655296 KQA655296:KQB655296 KZW655296:KZX655296 LJS655296:LJT655296 LTO655296:LTP655296 MDK655296:MDL655296 MNG655296:MNH655296 MXC655296:MXD655296 NGY655296:NGZ655296 NQU655296:NQV655296 OAQ655296:OAR655296 OKM655296:OKN655296 OUI655296:OUJ655296 PEE655296:PEF655296 POA655296:POB655296 PXW655296:PXX655296 QHS655296:QHT655296 QRO655296:QRP655296 RBK655296:RBL655296 RLG655296:RLH655296 RVC655296:RVD655296 SEY655296:SEZ655296 SOU655296:SOV655296 SYQ655296:SYR655296 TIM655296:TIN655296 TSI655296:TSJ655296 UCE655296:UCF655296 UMA655296:UMB655296 UVW655296:UVX655296 VFS655296:VFT655296 VPO655296:VPP655296 VZK655296:VZL655296 WJG655296:WJH655296 GQ720832:GR720832 QM720832:QN720832 AAI720832:AAJ720832 AKE720832:AKF720832 AUA720832:AUB720832 BDW720832:BDX720832 BNS720832:BNT720832 BXO720832:BXP720832 CHK720832:CHL720832 CRG720832:CRH720832 DBC720832:DBD720832 DKY720832:DKZ720832 DUU720832:DUV720832 EEQ720832:EER720832 EOM720832:EON720832 EYI720832:EYJ720832 FIE720832:FIF720832 FSA720832:FSB720832 GBW720832:GBX720832 GLS720832:GLT720832 GVO720832:GVP720832 HFK720832:HFL720832 HPG720832:HPH720832 HZC720832:HZD720832 IIY720832:IIZ720832 ISU720832:ISV720832 JCQ720832:JCR720832 JMM720832:JMN720832 JWI720832:JWJ720832 KGE720832:KGF720832 KQA720832:KQB720832 KZW720832:KZX720832 LJS720832:LJT720832 LTO720832:LTP720832 MDK720832:MDL720832 MNG720832:MNH720832 MXC720832:MXD720832 NGY720832:NGZ720832 NQU720832:NQV720832 OAQ720832:OAR720832 OKM720832:OKN720832 OUI720832:OUJ720832 PEE720832:PEF720832 POA720832:POB720832 PXW720832:PXX720832 QHS720832:QHT720832 QRO720832:QRP720832 RBK720832:RBL720832 RLG720832:RLH720832 RVC720832:RVD720832 SEY720832:SEZ720832 SOU720832:SOV720832 SYQ720832:SYR720832 TIM720832:TIN720832 TSI720832:TSJ720832 UCE720832:UCF720832 UMA720832:UMB720832 UVW720832:UVX720832 VFS720832:VFT720832 VPO720832:VPP720832 VZK720832:VZL720832 WJG720832:WJH720832 GQ786368:GR786368 QM786368:QN786368 AAI786368:AAJ786368 AKE786368:AKF786368 AUA786368:AUB786368 BDW786368:BDX786368 BNS786368:BNT786368 BXO786368:BXP786368 CHK786368:CHL786368 CRG786368:CRH786368 DBC786368:DBD786368 DKY786368:DKZ786368 DUU786368:DUV786368 EEQ786368:EER786368 EOM786368:EON786368 EYI786368:EYJ786368 FIE786368:FIF786368 FSA786368:FSB786368 GBW786368:GBX786368 GLS786368:GLT786368 GVO786368:GVP786368 HFK786368:HFL786368 HPG786368:HPH786368 HZC786368:HZD786368 IIY786368:IIZ786368 ISU786368:ISV786368 JCQ786368:JCR786368 JMM786368:JMN786368 JWI786368:JWJ786368 KGE786368:KGF786368 KQA786368:KQB786368 KZW786368:KZX786368 LJS786368:LJT786368 LTO786368:LTP786368 MDK786368:MDL786368 MNG786368:MNH786368 MXC786368:MXD786368 NGY786368:NGZ786368 NQU786368:NQV786368 OAQ786368:OAR786368 OKM786368:OKN786368 OUI786368:OUJ786368 PEE786368:PEF786368 POA786368:POB786368 PXW786368:PXX786368 QHS786368:QHT786368 QRO786368:QRP786368 RBK786368:RBL786368 RLG786368:RLH786368 RVC786368:RVD786368 SEY786368:SEZ786368 SOU786368:SOV786368 SYQ786368:SYR786368 TIM786368:TIN786368 TSI786368:TSJ786368 UCE786368:UCF786368 UMA786368:UMB786368 UVW786368:UVX786368 VFS786368:VFT786368 VPO786368:VPP786368 VZK786368:VZL786368 WJG786368:WJH786368 GQ851904:GR851904 QM851904:QN851904 AAI851904:AAJ851904 AKE851904:AKF851904 AUA851904:AUB851904 BDW851904:BDX851904 BNS851904:BNT851904 BXO851904:BXP851904 CHK851904:CHL851904 CRG851904:CRH851904 DBC851904:DBD851904 DKY851904:DKZ851904 DUU851904:DUV851904 EEQ851904:EER851904 EOM851904:EON851904 EYI851904:EYJ851904 FIE851904:FIF851904 FSA851904:FSB851904 GBW851904:GBX851904 GLS851904:GLT851904 GVO851904:GVP851904 HFK851904:HFL851904 HPG851904:HPH851904 HZC851904:HZD851904 IIY851904:IIZ851904 ISU851904:ISV851904 JCQ851904:JCR851904 JMM851904:JMN851904 JWI851904:JWJ851904 KGE851904:KGF851904 KQA851904:KQB851904 KZW851904:KZX851904 LJS851904:LJT851904 LTO851904:LTP851904 MDK851904:MDL851904 MNG851904:MNH851904 MXC851904:MXD851904 NGY851904:NGZ851904 NQU851904:NQV851904 OAQ851904:OAR851904 OKM851904:OKN851904 OUI851904:OUJ851904 PEE851904:PEF851904 POA851904:POB851904 PXW851904:PXX851904 QHS851904:QHT851904 QRO851904:QRP851904 RBK851904:RBL851904 RLG851904:RLH851904 RVC851904:RVD851904 SEY851904:SEZ851904 SOU851904:SOV851904 SYQ851904:SYR851904 TIM851904:TIN851904 TSI851904:TSJ851904 UCE851904:UCF851904 UMA851904:UMB851904 UVW851904:UVX851904 VFS851904:VFT851904 VPO851904:VPP851904 VZK851904:VZL851904 WJG851904:WJH851904 GQ917440:GR917440 QM917440:QN917440 AAI917440:AAJ917440 AKE917440:AKF917440 AUA917440:AUB917440 BDW917440:BDX917440 BNS917440:BNT917440 BXO917440:BXP917440 CHK917440:CHL917440 CRG917440:CRH917440 DBC917440:DBD917440 DKY917440:DKZ917440 DUU917440:DUV917440 EEQ917440:EER917440 EOM917440:EON917440 EYI917440:EYJ917440 FIE917440:FIF917440 FSA917440:FSB917440 GBW917440:GBX917440 GLS917440:GLT917440 GVO917440:GVP917440 HFK917440:HFL917440 HPG917440:HPH917440 HZC917440:HZD917440 IIY917440:IIZ917440 ISU917440:ISV917440 JCQ917440:JCR917440 JMM917440:JMN917440 JWI917440:JWJ917440 KGE917440:KGF917440 KQA917440:KQB917440 KZW917440:KZX917440 LJS917440:LJT917440 LTO917440:LTP917440 MDK917440:MDL917440 MNG917440:MNH917440 MXC917440:MXD917440 NGY917440:NGZ917440 NQU917440:NQV917440 OAQ917440:OAR917440 OKM917440:OKN917440 OUI917440:OUJ917440 PEE917440:PEF917440 POA917440:POB917440 PXW917440:PXX917440 QHS917440:QHT917440 QRO917440:QRP917440 RBK917440:RBL917440 RLG917440:RLH917440 RVC917440:RVD917440 SEY917440:SEZ917440 SOU917440:SOV917440 SYQ917440:SYR917440 TIM917440:TIN917440 TSI917440:TSJ917440 UCE917440:UCF917440 UMA917440:UMB917440 UVW917440:UVX917440 VFS917440:VFT917440 VPO917440:VPP917440 VZK917440:VZL917440 WJG917440:WJH917440 GQ982976:GR982976 QM982976:QN982976 AAI982976:AAJ982976 AKE982976:AKF982976 AUA982976:AUB982976 BDW982976:BDX982976 BNS982976:BNT982976 BXO982976:BXP982976 CHK982976:CHL982976 CRG982976:CRH982976 DBC982976:DBD982976 DKY982976:DKZ982976 DUU982976:DUV982976 EEQ982976:EER982976 EOM982976:EON982976 EYI982976:EYJ982976 FIE982976:FIF982976 FSA982976:FSB982976 GBW982976:GBX982976 GLS982976:GLT982976 GVO982976:GVP982976 HFK982976:HFL982976 HPG982976:HPH982976 HZC982976:HZD982976 IIY982976:IIZ982976 ISU982976:ISV982976 JCQ982976:JCR982976 JMM982976:JMN982976 JWI982976:JWJ982976 KGE982976:KGF982976 KQA982976:KQB982976 KZW982976:KZX982976 LJS982976:LJT982976 LTO982976:LTP982976 MDK982976:MDL982976 MNG982976:MNH982976 MXC982976:MXD982976 NGY982976:NGZ982976 NQU982976:NQV982976 OAQ982976:OAR982976 OKM982976:OKN982976 OUI982976:OUJ982976 PEE982976:PEF982976 POA982976:POB982976 PXW982976:PXX982976 QHS982976:QHT982976 QRO982976:QRP982976 RBK982976:RBL982976 RLG982976:RLH982976 RVC982976:RVD982976 SEY982976:SEZ982976 SOU982976:SOV982976 SYQ982976:SYR982976 TIM982976:TIN982976 TSI982976:TSJ982976 UCE982976:UCF982976 UMA982976:UMB982976 UVW982976:UVX982976 VFS982976:VFT982976 VPO982976:VPP982976" xr:uid="{00000000-0002-0000-0200-000007000000}">
      <formula1>DRIVER</formula1>
    </dataValidation>
    <dataValidation type="list" allowBlank="1" showInputMessage="1" showErrorMessage="1" sqref="J94:S94" xr:uid="{00000000-0002-0000-0200-000008000000}">
      <formula1>"HEADER,BRANCH"</formula1>
    </dataValidation>
    <dataValidation type="list" allowBlank="1" showInputMessage="1" showErrorMessage="1" sqref="I23" xr:uid="{00000000-0002-0000-0200-000009000000}">
      <formula1>"kg/hr,m3/hr"</formula1>
    </dataValidation>
    <dataValidation type="list" allowBlank="1" showInputMessage="1" showErrorMessage="1" sqref="J47:S47" xr:uid="{00000000-0002-0000-0200-00000A000000}">
      <formula1>C.F</formula1>
    </dataValidation>
  </dataValidations>
  <printOptions horizontalCentered="1"/>
  <pageMargins left="0.19685039370078741" right="0.19685039370078741" top="0.39370078740157483" bottom="0.31496062992125984" header="0.19685039370078741" footer="0.19685039370078741"/>
  <pageSetup paperSize="9" scale="42" fitToWidth="0" fitToHeight="0" pageOrder="overThenDown" orientation="portrait" r:id="rId1"/>
  <headerFooter alignWithMargins="0"/>
  <drawing r:id="rId2"/>
  <legacyDrawing r:id="rId3"/>
  <controls>
    <mc:AlternateContent xmlns:mc="http://schemas.openxmlformats.org/markup-compatibility/2006">
      <mc:Choice Requires="x14">
        <control shapeId="1038" r:id="rId4" name="ComboBox1">
          <controlPr defaultSize="0" print="0" autoFill="0" autoLine="0" linkedCell="P5" listFillRange="C5:C7" r:id="rId5">
            <anchor moveWithCells="1">
              <from>
                <xdr:col>15</xdr:col>
                <xdr:colOff>0</xdr:colOff>
                <xdr:row>4</xdr:row>
                <xdr:rowOff>38100</xdr:rowOff>
              </from>
              <to>
                <xdr:col>15</xdr:col>
                <xdr:colOff>1276350</xdr:colOff>
                <xdr:row>5</xdr:row>
                <xdr:rowOff>9525</xdr:rowOff>
              </to>
            </anchor>
          </controlPr>
        </control>
      </mc:Choice>
      <mc:Fallback>
        <control shapeId="1038" r:id="rId4" name="ComboBox1"/>
      </mc:Fallback>
    </mc:AlternateContent>
    <mc:AlternateContent xmlns:mc="http://schemas.openxmlformats.org/markup-compatibility/2006">
      <mc:Choice Requires="x14">
        <control shapeId="1041" r:id="rId6" name="Button 17">
          <controlPr defaultSize="0" print="0" autoFill="0" autoPict="0" macro="[0]!formcopy">
            <anchor moveWithCells="1" sizeWithCells="1">
              <from>
                <xdr:col>1</xdr:col>
                <xdr:colOff>0</xdr:colOff>
                <xdr:row>8</xdr:row>
                <xdr:rowOff>19050</xdr:rowOff>
              </from>
              <to>
                <xdr:col>3</xdr:col>
                <xdr:colOff>133350</xdr:colOff>
                <xdr:row>10</xdr:row>
                <xdr:rowOff>133350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O153"/>
  <sheetViews>
    <sheetView zoomScale="85" zoomScaleNormal="85" workbookViewId="0">
      <pane xSplit="1" ySplit="4" topLeftCell="B5" activePane="bottomRight" state="frozen"/>
      <selection pane="topRight"/>
      <selection pane="bottomLeft"/>
      <selection pane="bottomRight" activeCell="P61" sqref="P61"/>
    </sheetView>
  </sheetViews>
  <sheetFormatPr defaultColWidth="11" defaultRowHeight="12.75"/>
  <cols>
    <col min="1" max="1" width="6.75" style="2" customWidth="1"/>
    <col min="2" max="5" width="9" style="2" customWidth="1"/>
    <col min="6" max="6" width="10.125" style="2" customWidth="1"/>
    <col min="7" max="7" width="11.25" style="2" customWidth="1"/>
    <col min="8" max="8" width="10.125" style="2" customWidth="1"/>
    <col min="9" max="11" width="9" style="2" customWidth="1"/>
    <col min="12" max="12" width="11.25" style="2" customWidth="1"/>
    <col min="13" max="13" width="9" style="2" customWidth="1"/>
    <col min="14" max="14" width="10.125" style="2" customWidth="1"/>
    <col min="15" max="18" width="9" style="2" customWidth="1"/>
    <col min="19" max="19" width="11.25" style="2" customWidth="1"/>
    <col min="20" max="20" width="10.125" style="2" customWidth="1"/>
    <col min="21" max="21" width="9" style="2" customWidth="1"/>
    <col min="22" max="22" width="7.875" style="2" customWidth="1"/>
    <col min="23" max="256" width="11" style="2"/>
    <col min="257" max="257" width="6.75" style="2" customWidth="1"/>
    <col min="258" max="261" width="9" style="2" customWidth="1"/>
    <col min="262" max="262" width="10.125" style="2" customWidth="1"/>
    <col min="263" max="263" width="11.25" style="2" customWidth="1"/>
    <col min="264" max="264" width="10.125" style="2" customWidth="1"/>
    <col min="265" max="267" width="9" style="2" customWidth="1"/>
    <col min="268" max="268" width="11.25" style="2" customWidth="1"/>
    <col min="269" max="269" width="9" style="2" customWidth="1"/>
    <col min="270" max="270" width="10.125" style="2" customWidth="1"/>
    <col min="271" max="274" width="9" style="2" customWidth="1"/>
    <col min="275" max="275" width="11.25" style="2" customWidth="1"/>
    <col min="276" max="276" width="10.125" style="2" customWidth="1"/>
    <col min="277" max="277" width="9" style="2" customWidth="1"/>
    <col min="278" max="278" width="7.875" style="2" customWidth="1"/>
    <col min="279" max="512" width="11" style="2"/>
    <col min="513" max="513" width="6.75" style="2" customWidth="1"/>
    <col min="514" max="517" width="9" style="2" customWidth="1"/>
    <col min="518" max="518" width="10.125" style="2" customWidth="1"/>
    <col min="519" max="519" width="11.25" style="2" customWidth="1"/>
    <col min="520" max="520" width="10.125" style="2" customWidth="1"/>
    <col min="521" max="523" width="9" style="2" customWidth="1"/>
    <col min="524" max="524" width="11.25" style="2" customWidth="1"/>
    <col min="525" max="525" width="9" style="2" customWidth="1"/>
    <col min="526" max="526" width="10.125" style="2" customWidth="1"/>
    <col min="527" max="530" width="9" style="2" customWidth="1"/>
    <col min="531" max="531" width="11.25" style="2" customWidth="1"/>
    <col min="532" max="532" width="10.125" style="2" customWidth="1"/>
    <col min="533" max="533" width="9" style="2" customWidth="1"/>
    <col min="534" max="534" width="7.875" style="2" customWidth="1"/>
    <col min="535" max="768" width="11" style="2"/>
    <col min="769" max="769" width="6.75" style="2" customWidth="1"/>
    <col min="770" max="773" width="9" style="2" customWidth="1"/>
    <col min="774" max="774" width="10.125" style="2" customWidth="1"/>
    <col min="775" max="775" width="11.25" style="2" customWidth="1"/>
    <col min="776" max="776" width="10.125" style="2" customWidth="1"/>
    <col min="777" max="779" width="9" style="2" customWidth="1"/>
    <col min="780" max="780" width="11.25" style="2" customWidth="1"/>
    <col min="781" max="781" width="9" style="2" customWidth="1"/>
    <col min="782" max="782" width="10.125" style="2" customWidth="1"/>
    <col min="783" max="786" width="9" style="2" customWidth="1"/>
    <col min="787" max="787" width="11.25" style="2" customWidth="1"/>
    <col min="788" max="788" width="10.125" style="2" customWidth="1"/>
    <col min="789" max="789" width="9" style="2" customWidth="1"/>
    <col min="790" max="790" width="7.875" style="2" customWidth="1"/>
    <col min="791" max="1024" width="11" style="2"/>
    <col min="1025" max="1025" width="6.75" style="2" customWidth="1"/>
    <col min="1026" max="1029" width="9" style="2" customWidth="1"/>
    <col min="1030" max="1030" width="10.125" style="2" customWidth="1"/>
    <col min="1031" max="1031" width="11.25" style="2" customWidth="1"/>
    <col min="1032" max="1032" width="10.125" style="2" customWidth="1"/>
    <col min="1033" max="1035" width="9" style="2" customWidth="1"/>
    <col min="1036" max="1036" width="11.25" style="2" customWidth="1"/>
    <col min="1037" max="1037" width="9" style="2" customWidth="1"/>
    <col min="1038" max="1038" width="10.125" style="2" customWidth="1"/>
    <col min="1039" max="1042" width="9" style="2" customWidth="1"/>
    <col min="1043" max="1043" width="11.25" style="2" customWidth="1"/>
    <col min="1044" max="1044" width="10.125" style="2" customWidth="1"/>
    <col min="1045" max="1045" width="9" style="2" customWidth="1"/>
    <col min="1046" max="1046" width="7.875" style="2" customWidth="1"/>
    <col min="1047" max="1280" width="11" style="2"/>
    <col min="1281" max="1281" width="6.75" style="2" customWidth="1"/>
    <col min="1282" max="1285" width="9" style="2" customWidth="1"/>
    <col min="1286" max="1286" width="10.125" style="2" customWidth="1"/>
    <col min="1287" max="1287" width="11.25" style="2" customWidth="1"/>
    <col min="1288" max="1288" width="10.125" style="2" customWidth="1"/>
    <col min="1289" max="1291" width="9" style="2" customWidth="1"/>
    <col min="1292" max="1292" width="11.25" style="2" customWidth="1"/>
    <col min="1293" max="1293" width="9" style="2" customWidth="1"/>
    <col min="1294" max="1294" width="10.125" style="2" customWidth="1"/>
    <col min="1295" max="1298" width="9" style="2" customWidth="1"/>
    <col min="1299" max="1299" width="11.25" style="2" customWidth="1"/>
    <col min="1300" max="1300" width="10.125" style="2" customWidth="1"/>
    <col min="1301" max="1301" width="9" style="2" customWidth="1"/>
    <col min="1302" max="1302" width="7.875" style="2" customWidth="1"/>
    <col min="1303" max="1536" width="11" style="2"/>
    <col min="1537" max="1537" width="6.75" style="2" customWidth="1"/>
    <col min="1538" max="1541" width="9" style="2" customWidth="1"/>
    <col min="1542" max="1542" width="10.125" style="2" customWidth="1"/>
    <col min="1543" max="1543" width="11.25" style="2" customWidth="1"/>
    <col min="1544" max="1544" width="10.125" style="2" customWidth="1"/>
    <col min="1545" max="1547" width="9" style="2" customWidth="1"/>
    <col min="1548" max="1548" width="11.25" style="2" customWidth="1"/>
    <col min="1549" max="1549" width="9" style="2" customWidth="1"/>
    <col min="1550" max="1550" width="10.125" style="2" customWidth="1"/>
    <col min="1551" max="1554" width="9" style="2" customWidth="1"/>
    <col min="1555" max="1555" width="11.25" style="2" customWidth="1"/>
    <col min="1556" max="1556" width="10.125" style="2" customWidth="1"/>
    <col min="1557" max="1557" width="9" style="2" customWidth="1"/>
    <col min="1558" max="1558" width="7.875" style="2" customWidth="1"/>
    <col min="1559" max="1792" width="11" style="2"/>
    <col min="1793" max="1793" width="6.75" style="2" customWidth="1"/>
    <col min="1794" max="1797" width="9" style="2" customWidth="1"/>
    <col min="1798" max="1798" width="10.125" style="2" customWidth="1"/>
    <col min="1799" max="1799" width="11.25" style="2" customWidth="1"/>
    <col min="1800" max="1800" width="10.125" style="2" customWidth="1"/>
    <col min="1801" max="1803" width="9" style="2" customWidth="1"/>
    <col min="1804" max="1804" width="11.25" style="2" customWidth="1"/>
    <col min="1805" max="1805" width="9" style="2" customWidth="1"/>
    <col min="1806" max="1806" width="10.125" style="2" customWidth="1"/>
    <col min="1807" max="1810" width="9" style="2" customWidth="1"/>
    <col min="1811" max="1811" width="11.25" style="2" customWidth="1"/>
    <col min="1812" max="1812" width="10.125" style="2" customWidth="1"/>
    <col min="1813" max="1813" width="9" style="2" customWidth="1"/>
    <col min="1814" max="1814" width="7.875" style="2" customWidth="1"/>
    <col min="1815" max="2048" width="11" style="2"/>
    <col min="2049" max="2049" width="6.75" style="2" customWidth="1"/>
    <col min="2050" max="2053" width="9" style="2" customWidth="1"/>
    <col min="2054" max="2054" width="10.125" style="2" customWidth="1"/>
    <col min="2055" max="2055" width="11.25" style="2" customWidth="1"/>
    <col min="2056" max="2056" width="10.125" style="2" customWidth="1"/>
    <col min="2057" max="2059" width="9" style="2" customWidth="1"/>
    <col min="2060" max="2060" width="11.25" style="2" customWidth="1"/>
    <col min="2061" max="2061" width="9" style="2" customWidth="1"/>
    <col min="2062" max="2062" width="10.125" style="2" customWidth="1"/>
    <col min="2063" max="2066" width="9" style="2" customWidth="1"/>
    <col min="2067" max="2067" width="11.25" style="2" customWidth="1"/>
    <col min="2068" max="2068" width="10.125" style="2" customWidth="1"/>
    <col min="2069" max="2069" width="9" style="2" customWidth="1"/>
    <col min="2070" max="2070" width="7.875" style="2" customWidth="1"/>
    <col min="2071" max="2304" width="11" style="2"/>
    <col min="2305" max="2305" width="6.75" style="2" customWidth="1"/>
    <col min="2306" max="2309" width="9" style="2" customWidth="1"/>
    <col min="2310" max="2310" width="10.125" style="2" customWidth="1"/>
    <col min="2311" max="2311" width="11.25" style="2" customWidth="1"/>
    <col min="2312" max="2312" width="10.125" style="2" customWidth="1"/>
    <col min="2313" max="2315" width="9" style="2" customWidth="1"/>
    <col min="2316" max="2316" width="11.25" style="2" customWidth="1"/>
    <col min="2317" max="2317" width="9" style="2" customWidth="1"/>
    <col min="2318" max="2318" width="10.125" style="2" customWidth="1"/>
    <col min="2319" max="2322" width="9" style="2" customWidth="1"/>
    <col min="2323" max="2323" width="11.25" style="2" customWidth="1"/>
    <col min="2324" max="2324" width="10.125" style="2" customWidth="1"/>
    <col min="2325" max="2325" width="9" style="2" customWidth="1"/>
    <col min="2326" max="2326" width="7.875" style="2" customWidth="1"/>
    <col min="2327" max="2560" width="11" style="2"/>
    <col min="2561" max="2561" width="6.75" style="2" customWidth="1"/>
    <col min="2562" max="2565" width="9" style="2" customWidth="1"/>
    <col min="2566" max="2566" width="10.125" style="2" customWidth="1"/>
    <col min="2567" max="2567" width="11.25" style="2" customWidth="1"/>
    <col min="2568" max="2568" width="10.125" style="2" customWidth="1"/>
    <col min="2569" max="2571" width="9" style="2" customWidth="1"/>
    <col min="2572" max="2572" width="11.25" style="2" customWidth="1"/>
    <col min="2573" max="2573" width="9" style="2" customWidth="1"/>
    <col min="2574" max="2574" width="10.125" style="2" customWidth="1"/>
    <col min="2575" max="2578" width="9" style="2" customWidth="1"/>
    <col min="2579" max="2579" width="11.25" style="2" customWidth="1"/>
    <col min="2580" max="2580" width="10.125" style="2" customWidth="1"/>
    <col min="2581" max="2581" width="9" style="2" customWidth="1"/>
    <col min="2582" max="2582" width="7.875" style="2" customWidth="1"/>
    <col min="2583" max="2816" width="11" style="2"/>
    <col min="2817" max="2817" width="6.75" style="2" customWidth="1"/>
    <col min="2818" max="2821" width="9" style="2" customWidth="1"/>
    <col min="2822" max="2822" width="10.125" style="2" customWidth="1"/>
    <col min="2823" max="2823" width="11.25" style="2" customWidth="1"/>
    <col min="2824" max="2824" width="10.125" style="2" customWidth="1"/>
    <col min="2825" max="2827" width="9" style="2" customWidth="1"/>
    <col min="2828" max="2828" width="11.25" style="2" customWidth="1"/>
    <col min="2829" max="2829" width="9" style="2" customWidth="1"/>
    <col min="2830" max="2830" width="10.125" style="2" customWidth="1"/>
    <col min="2831" max="2834" width="9" style="2" customWidth="1"/>
    <col min="2835" max="2835" width="11.25" style="2" customWidth="1"/>
    <col min="2836" max="2836" width="10.125" style="2" customWidth="1"/>
    <col min="2837" max="2837" width="9" style="2" customWidth="1"/>
    <col min="2838" max="2838" width="7.875" style="2" customWidth="1"/>
    <col min="2839" max="3072" width="11" style="2"/>
    <col min="3073" max="3073" width="6.75" style="2" customWidth="1"/>
    <col min="3074" max="3077" width="9" style="2" customWidth="1"/>
    <col min="3078" max="3078" width="10.125" style="2" customWidth="1"/>
    <col min="3079" max="3079" width="11.25" style="2" customWidth="1"/>
    <col min="3080" max="3080" width="10.125" style="2" customWidth="1"/>
    <col min="3081" max="3083" width="9" style="2" customWidth="1"/>
    <col min="3084" max="3084" width="11.25" style="2" customWidth="1"/>
    <col min="3085" max="3085" width="9" style="2" customWidth="1"/>
    <col min="3086" max="3086" width="10.125" style="2" customWidth="1"/>
    <col min="3087" max="3090" width="9" style="2" customWidth="1"/>
    <col min="3091" max="3091" width="11.25" style="2" customWidth="1"/>
    <col min="3092" max="3092" width="10.125" style="2" customWidth="1"/>
    <col min="3093" max="3093" width="9" style="2" customWidth="1"/>
    <col min="3094" max="3094" width="7.875" style="2" customWidth="1"/>
    <col min="3095" max="3328" width="11" style="2"/>
    <col min="3329" max="3329" width="6.75" style="2" customWidth="1"/>
    <col min="3330" max="3333" width="9" style="2" customWidth="1"/>
    <col min="3334" max="3334" width="10.125" style="2" customWidth="1"/>
    <col min="3335" max="3335" width="11.25" style="2" customWidth="1"/>
    <col min="3336" max="3336" width="10.125" style="2" customWidth="1"/>
    <col min="3337" max="3339" width="9" style="2" customWidth="1"/>
    <col min="3340" max="3340" width="11.25" style="2" customWidth="1"/>
    <col min="3341" max="3341" width="9" style="2" customWidth="1"/>
    <col min="3342" max="3342" width="10.125" style="2" customWidth="1"/>
    <col min="3343" max="3346" width="9" style="2" customWidth="1"/>
    <col min="3347" max="3347" width="11.25" style="2" customWidth="1"/>
    <col min="3348" max="3348" width="10.125" style="2" customWidth="1"/>
    <col min="3349" max="3349" width="9" style="2" customWidth="1"/>
    <col min="3350" max="3350" width="7.875" style="2" customWidth="1"/>
    <col min="3351" max="3584" width="11" style="2"/>
    <col min="3585" max="3585" width="6.75" style="2" customWidth="1"/>
    <col min="3586" max="3589" width="9" style="2" customWidth="1"/>
    <col min="3590" max="3590" width="10.125" style="2" customWidth="1"/>
    <col min="3591" max="3591" width="11.25" style="2" customWidth="1"/>
    <col min="3592" max="3592" width="10.125" style="2" customWidth="1"/>
    <col min="3593" max="3595" width="9" style="2" customWidth="1"/>
    <col min="3596" max="3596" width="11.25" style="2" customWidth="1"/>
    <col min="3597" max="3597" width="9" style="2" customWidth="1"/>
    <col min="3598" max="3598" width="10.125" style="2" customWidth="1"/>
    <col min="3599" max="3602" width="9" style="2" customWidth="1"/>
    <col min="3603" max="3603" width="11.25" style="2" customWidth="1"/>
    <col min="3604" max="3604" width="10.125" style="2" customWidth="1"/>
    <col min="3605" max="3605" width="9" style="2" customWidth="1"/>
    <col min="3606" max="3606" width="7.875" style="2" customWidth="1"/>
    <col min="3607" max="3840" width="11" style="2"/>
    <col min="3841" max="3841" width="6.75" style="2" customWidth="1"/>
    <col min="3842" max="3845" width="9" style="2" customWidth="1"/>
    <col min="3846" max="3846" width="10.125" style="2" customWidth="1"/>
    <col min="3847" max="3847" width="11.25" style="2" customWidth="1"/>
    <col min="3848" max="3848" width="10.125" style="2" customWidth="1"/>
    <col min="3849" max="3851" width="9" style="2" customWidth="1"/>
    <col min="3852" max="3852" width="11.25" style="2" customWidth="1"/>
    <col min="3853" max="3853" width="9" style="2" customWidth="1"/>
    <col min="3854" max="3854" width="10.125" style="2" customWidth="1"/>
    <col min="3855" max="3858" width="9" style="2" customWidth="1"/>
    <col min="3859" max="3859" width="11.25" style="2" customWidth="1"/>
    <col min="3860" max="3860" width="10.125" style="2" customWidth="1"/>
    <col min="3861" max="3861" width="9" style="2" customWidth="1"/>
    <col min="3862" max="3862" width="7.875" style="2" customWidth="1"/>
    <col min="3863" max="4096" width="11" style="2"/>
    <col min="4097" max="4097" width="6.75" style="2" customWidth="1"/>
    <col min="4098" max="4101" width="9" style="2" customWidth="1"/>
    <col min="4102" max="4102" width="10.125" style="2" customWidth="1"/>
    <col min="4103" max="4103" width="11.25" style="2" customWidth="1"/>
    <col min="4104" max="4104" width="10.125" style="2" customWidth="1"/>
    <col min="4105" max="4107" width="9" style="2" customWidth="1"/>
    <col min="4108" max="4108" width="11.25" style="2" customWidth="1"/>
    <col min="4109" max="4109" width="9" style="2" customWidth="1"/>
    <col min="4110" max="4110" width="10.125" style="2" customWidth="1"/>
    <col min="4111" max="4114" width="9" style="2" customWidth="1"/>
    <col min="4115" max="4115" width="11.25" style="2" customWidth="1"/>
    <col min="4116" max="4116" width="10.125" style="2" customWidth="1"/>
    <col min="4117" max="4117" width="9" style="2" customWidth="1"/>
    <col min="4118" max="4118" width="7.875" style="2" customWidth="1"/>
    <col min="4119" max="4352" width="11" style="2"/>
    <col min="4353" max="4353" width="6.75" style="2" customWidth="1"/>
    <col min="4354" max="4357" width="9" style="2" customWidth="1"/>
    <col min="4358" max="4358" width="10.125" style="2" customWidth="1"/>
    <col min="4359" max="4359" width="11.25" style="2" customWidth="1"/>
    <col min="4360" max="4360" width="10.125" style="2" customWidth="1"/>
    <col min="4361" max="4363" width="9" style="2" customWidth="1"/>
    <col min="4364" max="4364" width="11.25" style="2" customWidth="1"/>
    <col min="4365" max="4365" width="9" style="2" customWidth="1"/>
    <col min="4366" max="4366" width="10.125" style="2" customWidth="1"/>
    <col min="4367" max="4370" width="9" style="2" customWidth="1"/>
    <col min="4371" max="4371" width="11.25" style="2" customWidth="1"/>
    <col min="4372" max="4372" width="10.125" style="2" customWidth="1"/>
    <col min="4373" max="4373" width="9" style="2" customWidth="1"/>
    <col min="4374" max="4374" width="7.875" style="2" customWidth="1"/>
    <col min="4375" max="4608" width="11" style="2"/>
    <col min="4609" max="4609" width="6.75" style="2" customWidth="1"/>
    <col min="4610" max="4613" width="9" style="2" customWidth="1"/>
    <col min="4614" max="4614" width="10.125" style="2" customWidth="1"/>
    <col min="4615" max="4615" width="11.25" style="2" customWidth="1"/>
    <col min="4616" max="4616" width="10.125" style="2" customWidth="1"/>
    <col min="4617" max="4619" width="9" style="2" customWidth="1"/>
    <col min="4620" max="4620" width="11.25" style="2" customWidth="1"/>
    <col min="4621" max="4621" width="9" style="2" customWidth="1"/>
    <col min="4622" max="4622" width="10.125" style="2" customWidth="1"/>
    <col min="4623" max="4626" width="9" style="2" customWidth="1"/>
    <col min="4627" max="4627" width="11.25" style="2" customWidth="1"/>
    <col min="4628" max="4628" width="10.125" style="2" customWidth="1"/>
    <col min="4629" max="4629" width="9" style="2" customWidth="1"/>
    <col min="4630" max="4630" width="7.875" style="2" customWidth="1"/>
    <col min="4631" max="4864" width="11" style="2"/>
    <col min="4865" max="4865" width="6.75" style="2" customWidth="1"/>
    <col min="4866" max="4869" width="9" style="2" customWidth="1"/>
    <col min="4870" max="4870" width="10.125" style="2" customWidth="1"/>
    <col min="4871" max="4871" width="11.25" style="2" customWidth="1"/>
    <col min="4872" max="4872" width="10.125" style="2" customWidth="1"/>
    <col min="4873" max="4875" width="9" style="2" customWidth="1"/>
    <col min="4876" max="4876" width="11.25" style="2" customWidth="1"/>
    <col min="4877" max="4877" width="9" style="2" customWidth="1"/>
    <col min="4878" max="4878" width="10.125" style="2" customWidth="1"/>
    <col min="4879" max="4882" width="9" style="2" customWidth="1"/>
    <col min="4883" max="4883" width="11.25" style="2" customWidth="1"/>
    <col min="4884" max="4884" width="10.125" style="2" customWidth="1"/>
    <col min="4885" max="4885" width="9" style="2" customWidth="1"/>
    <col min="4886" max="4886" width="7.875" style="2" customWidth="1"/>
    <col min="4887" max="5120" width="11" style="2"/>
    <col min="5121" max="5121" width="6.75" style="2" customWidth="1"/>
    <col min="5122" max="5125" width="9" style="2" customWidth="1"/>
    <col min="5126" max="5126" width="10.125" style="2" customWidth="1"/>
    <col min="5127" max="5127" width="11.25" style="2" customWidth="1"/>
    <col min="5128" max="5128" width="10.125" style="2" customWidth="1"/>
    <col min="5129" max="5131" width="9" style="2" customWidth="1"/>
    <col min="5132" max="5132" width="11.25" style="2" customWidth="1"/>
    <col min="5133" max="5133" width="9" style="2" customWidth="1"/>
    <col min="5134" max="5134" width="10.125" style="2" customWidth="1"/>
    <col min="5135" max="5138" width="9" style="2" customWidth="1"/>
    <col min="5139" max="5139" width="11.25" style="2" customWidth="1"/>
    <col min="5140" max="5140" width="10.125" style="2" customWidth="1"/>
    <col min="5141" max="5141" width="9" style="2" customWidth="1"/>
    <col min="5142" max="5142" width="7.875" style="2" customWidth="1"/>
    <col min="5143" max="5376" width="11" style="2"/>
    <col min="5377" max="5377" width="6.75" style="2" customWidth="1"/>
    <col min="5378" max="5381" width="9" style="2" customWidth="1"/>
    <col min="5382" max="5382" width="10.125" style="2" customWidth="1"/>
    <col min="5383" max="5383" width="11.25" style="2" customWidth="1"/>
    <col min="5384" max="5384" width="10.125" style="2" customWidth="1"/>
    <col min="5385" max="5387" width="9" style="2" customWidth="1"/>
    <col min="5388" max="5388" width="11.25" style="2" customWidth="1"/>
    <col min="5389" max="5389" width="9" style="2" customWidth="1"/>
    <col min="5390" max="5390" width="10.125" style="2" customWidth="1"/>
    <col min="5391" max="5394" width="9" style="2" customWidth="1"/>
    <col min="5395" max="5395" width="11.25" style="2" customWidth="1"/>
    <col min="5396" max="5396" width="10.125" style="2" customWidth="1"/>
    <col min="5397" max="5397" width="9" style="2" customWidth="1"/>
    <col min="5398" max="5398" width="7.875" style="2" customWidth="1"/>
    <col min="5399" max="5632" width="11" style="2"/>
    <col min="5633" max="5633" width="6.75" style="2" customWidth="1"/>
    <col min="5634" max="5637" width="9" style="2" customWidth="1"/>
    <col min="5638" max="5638" width="10.125" style="2" customWidth="1"/>
    <col min="5639" max="5639" width="11.25" style="2" customWidth="1"/>
    <col min="5640" max="5640" width="10.125" style="2" customWidth="1"/>
    <col min="5641" max="5643" width="9" style="2" customWidth="1"/>
    <col min="5644" max="5644" width="11.25" style="2" customWidth="1"/>
    <col min="5645" max="5645" width="9" style="2" customWidth="1"/>
    <col min="5646" max="5646" width="10.125" style="2" customWidth="1"/>
    <col min="5647" max="5650" width="9" style="2" customWidth="1"/>
    <col min="5651" max="5651" width="11.25" style="2" customWidth="1"/>
    <col min="5652" max="5652" width="10.125" style="2" customWidth="1"/>
    <col min="5653" max="5653" width="9" style="2" customWidth="1"/>
    <col min="5654" max="5654" width="7.875" style="2" customWidth="1"/>
    <col min="5655" max="5888" width="11" style="2"/>
    <col min="5889" max="5889" width="6.75" style="2" customWidth="1"/>
    <col min="5890" max="5893" width="9" style="2" customWidth="1"/>
    <col min="5894" max="5894" width="10.125" style="2" customWidth="1"/>
    <col min="5895" max="5895" width="11.25" style="2" customWidth="1"/>
    <col min="5896" max="5896" width="10.125" style="2" customWidth="1"/>
    <col min="5897" max="5899" width="9" style="2" customWidth="1"/>
    <col min="5900" max="5900" width="11.25" style="2" customWidth="1"/>
    <col min="5901" max="5901" width="9" style="2" customWidth="1"/>
    <col min="5902" max="5902" width="10.125" style="2" customWidth="1"/>
    <col min="5903" max="5906" width="9" style="2" customWidth="1"/>
    <col min="5907" max="5907" width="11.25" style="2" customWidth="1"/>
    <col min="5908" max="5908" width="10.125" style="2" customWidth="1"/>
    <col min="5909" max="5909" width="9" style="2" customWidth="1"/>
    <col min="5910" max="5910" width="7.875" style="2" customWidth="1"/>
    <col min="5911" max="6144" width="11" style="2"/>
    <col min="6145" max="6145" width="6.75" style="2" customWidth="1"/>
    <col min="6146" max="6149" width="9" style="2" customWidth="1"/>
    <col min="6150" max="6150" width="10.125" style="2" customWidth="1"/>
    <col min="6151" max="6151" width="11.25" style="2" customWidth="1"/>
    <col min="6152" max="6152" width="10.125" style="2" customWidth="1"/>
    <col min="6153" max="6155" width="9" style="2" customWidth="1"/>
    <col min="6156" max="6156" width="11.25" style="2" customWidth="1"/>
    <col min="6157" max="6157" width="9" style="2" customWidth="1"/>
    <col min="6158" max="6158" width="10.125" style="2" customWidth="1"/>
    <col min="6159" max="6162" width="9" style="2" customWidth="1"/>
    <col min="6163" max="6163" width="11.25" style="2" customWidth="1"/>
    <col min="6164" max="6164" width="10.125" style="2" customWidth="1"/>
    <col min="6165" max="6165" width="9" style="2" customWidth="1"/>
    <col min="6166" max="6166" width="7.875" style="2" customWidth="1"/>
    <col min="6167" max="6400" width="11" style="2"/>
    <col min="6401" max="6401" width="6.75" style="2" customWidth="1"/>
    <col min="6402" max="6405" width="9" style="2" customWidth="1"/>
    <col min="6406" max="6406" width="10.125" style="2" customWidth="1"/>
    <col min="6407" max="6407" width="11.25" style="2" customWidth="1"/>
    <col min="6408" max="6408" width="10.125" style="2" customWidth="1"/>
    <col min="6409" max="6411" width="9" style="2" customWidth="1"/>
    <col min="6412" max="6412" width="11.25" style="2" customWidth="1"/>
    <col min="6413" max="6413" width="9" style="2" customWidth="1"/>
    <col min="6414" max="6414" width="10.125" style="2" customWidth="1"/>
    <col min="6415" max="6418" width="9" style="2" customWidth="1"/>
    <col min="6419" max="6419" width="11.25" style="2" customWidth="1"/>
    <col min="6420" max="6420" width="10.125" style="2" customWidth="1"/>
    <col min="6421" max="6421" width="9" style="2" customWidth="1"/>
    <col min="6422" max="6422" width="7.875" style="2" customWidth="1"/>
    <col min="6423" max="6656" width="11" style="2"/>
    <col min="6657" max="6657" width="6.75" style="2" customWidth="1"/>
    <col min="6658" max="6661" width="9" style="2" customWidth="1"/>
    <col min="6662" max="6662" width="10.125" style="2" customWidth="1"/>
    <col min="6663" max="6663" width="11.25" style="2" customWidth="1"/>
    <col min="6664" max="6664" width="10.125" style="2" customWidth="1"/>
    <col min="6665" max="6667" width="9" style="2" customWidth="1"/>
    <col min="6668" max="6668" width="11.25" style="2" customWidth="1"/>
    <col min="6669" max="6669" width="9" style="2" customWidth="1"/>
    <col min="6670" max="6670" width="10.125" style="2" customWidth="1"/>
    <col min="6671" max="6674" width="9" style="2" customWidth="1"/>
    <col min="6675" max="6675" width="11.25" style="2" customWidth="1"/>
    <col min="6676" max="6676" width="10.125" style="2" customWidth="1"/>
    <col min="6677" max="6677" width="9" style="2" customWidth="1"/>
    <col min="6678" max="6678" width="7.875" style="2" customWidth="1"/>
    <col min="6679" max="6912" width="11" style="2"/>
    <col min="6913" max="6913" width="6.75" style="2" customWidth="1"/>
    <col min="6914" max="6917" width="9" style="2" customWidth="1"/>
    <col min="6918" max="6918" width="10.125" style="2" customWidth="1"/>
    <col min="6919" max="6919" width="11.25" style="2" customWidth="1"/>
    <col min="6920" max="6920" width="10.125" style="2" customWidth="1"/>
    <col min="6921" max="6923" width="9" style="2" customWidth="1"/>
    <col min="6924" max="6924" width="11.25" style="2" customWidth="1"/>
    <col min="6925" max="6925" width="9" style="2" customWidth="1"/>
    <col min="6926" max="6926" width="10.125" style="2" customWidth="1"/>
    <col min="6927" max="6930" width="9" style="2" customWidth="1"/>
    <col min="6931" max="6931" width="11.25" style="2" customWidth="1"/>
    <col min="6932" max="6932" width="10.125" style="2" customWidth="1"/>
    <col min="6933" max="6933" width="9" style="2" customWidth="1"/>
    <col min="6934" max="6934" width="7.875" style="2" customWidth="1"/>
    <col min="6935" max="7168" width="11" style="2"/>
    <col min="7169" max="7169" width="6.75" style="2" customWidth="1"/>
    <col min="7170" max="7173" width="9" style="2" customWidth="1"/>
    <col min="7174" max="7174" width="10.125" style="2" customWidth="1"/>
    <col min="7175" max="7175" width="11.25" style="2" customWidth="1"/>
    <col min="7176" max="7176" width="10.125" style="2" customWidth="1"/>
    <col min="7177" max="7179" width="9" style="2" customWidth="1"/>
    <col min="7180" max="7180" width="11.25" style="2" customWidth="1"/>
    <col min="7181" max="7181" width="9" style="2" customWidth="1"/>
    <col min="7182" max="7182" width="10.125" style="2" customWidth="1"/>
    <col min="7183" max="7186" width="9" style="2" customWidth="1"/>
    <col min="7187" max="7187" width="11.25" style="2" customWidth="1"/>
    <col min="7188" max="7188" width="10.125" style="2" customWidth="1"/>
    <col min="7189" max="7189" width="9" style="2" customWidth="1"/>
    <col min="7190" max="7190" width="7.875" style="2" customWidth="1"/>
    <col min="7191" max="7424" width="11" style="2"/>
    <col min="7425" max="7425" width="6.75" style="2" customWidth="1"/>
    <col min="7426" max="7429" width="9" style="2" customWidth="1"/>
    <col min="7430" max="7430" width="10.125" style="2" customWidth="1"/>
    <col min="7431" max="7431" width="11.25" style="2" customWidth="1"/>
    <col min="7432" max="7432" width="10.125" style="2" customWidth="1"/>
    <col min="7433" max="7435" width="9" style="2" customWidth="1"/>
    <col min="7436" max="7436" width="11.25" style="2" customWidth="1"/>
    <col min="7437" max="7437" width="9" style="2" customWidth="1"/>
    <col min="7438" max="7438" width="10.125" style="2" customWidth="1"/>
    <col min="7439" max="7442" width="9" style="2" customWidth="1"/>
    <col min="7443" max="7443" width="11.25" style="2" customWidth="1"/>
    <col min="7444" max="7444" width="10.125" style="2" customWidth="1"/>
    <col min="7445" max="7445" width="9" style="2" customWidth="1"/>
    <col min="7446" max="7446" width="7.875" style="2" customWidth="1"/>
    <col min="7447" max="7680" width="11" style="2"/>
    <col min="7681" max="7681" width="6.75" style="2" customWidth="1"/>
    <col min="7682" max="7685" width="9" style="2" customWidth="1"/>
    <col min="7686" max="7686" width="10.125" style="2" customWidth="1"/>
    <col min="7687" max="7687" width="11.25" style="2" customWidth="1"/>
    <col min="7688" max="7688" width="10.125" style="2" customWidth="1"/>
    <col min="7689" max="7691" width="9" style="2" customWidth="1"/>
    <col min="7692" max="7692" width="11.25" style="2" customWidth="1"/>
    <col min="7693" max="7693" width="9" style="2" customWidth="1"/>
    <col min="7694" max="7694" width="10.125" style="2" customWidth="1"/>
    <col min="7695" max="7698" width="9" style="2" customWidth="1"/>
    <col min="7699" max="7699" width="11.25" style="2" customWidth="1"/>
    <col min="7700" max="7700" width="10.125" style="2" customWidth="1"/>
    <col min="7701" max="7701" width="9" style="2" customWidth="1"/>
    <col min="7702" max="7702" width="7.875" style="2" customWidth="1"/>
    <col min="7703" max="7936" width="11" style="2"/>
    <col min="7937" max="7937" width="6.75" style="2" customWidth="1"/>
    <col min="7938" max="7941" width="9" style="2" customWidth="1"/>
    <col min="7942" max="7942" width="10.125" style="2" customWidth="1"/>
    <col min="7943" max="7943" width="11.25" style="2" customWidth="1"/>
    <col min="7944" max="7944" width="10.125" style="2" customWidth="1"/>
    <col min="7945" max="7947" width="9" style="2" customWidth="1"/>
    <col min="7948" max="7948" width="11.25" style="2" customWidth="1"/>
    <col min="7949" max="7949" width="9" style="2" customWidth="1"/>
    <col min="7950" max="7950" width="10.125" style="2" customWidth="1"/>
    <col min="7951" max="7954" width="9" style="2" customWidth="1"/>
    <col min="7955" max="7955" width="11.25" style="2" customWidth="1"/>
    <col min="7956" max="7956" width="10.125" style="2" customWidth="1"/>
    <col min="7957" max="7957" width="9" style="2" customWidth="1"/>
    <col min="7958" max="7958" width="7.875" style="2" customWidth="1"/>
    <col min="7959" max="8192" width="11" style="2"/>
    <col min="8193" max="8193" width="6.75" style="2" customWidth="1"/>
    <col min="8194" max="8197" width="9" style="2" customWidth="1"/>
    <col min="8198" max="8198" width="10.125" style="2" customWidth="1"/>
    <col min="8199" max="8199" width="11.25" style="2" customWidth="1"/>
    <col min="8200" max="8200" width="10.125" style="2" customWidth="1"/>
    <col min="8201" max="8203" width="9" style="2" customWidth="1"/>
    <col min="8204" max="8204" width="11.25" style="2" customWidth="1"/>
    <col min="8205" max="8205" width="9" style="2" customWidth="1"/>
    <col min="8206" max="8206" width="10.125" style="2" customWidth="1"/>
    <col min="8207" max="8210" width="9" style="2" customWidth="1"/>
    <col min="8211" max="8211" width="11.25" style="2" customWidth="1"/>
    <col min="8212" max="8212" width="10.125" style="2" customWidth="1"/>
    <col min="8213" max="8213" width="9" style="2" customWidth="1"/>
    <col min="8214" max="8214" width="7.875" style="2" customWidth="1"/>
    <col min="8215" max="8448" width="11" style="2"/>
    <col min="8449" max="8449" width="6.75" style="2" customWidth="1"/>
    <col min="8450" max="8453" width="9" style="2" customWidth="1"/>
    <col min="8454" max="8454" width="10.125" style="2" customWidth="1"/>
    <col min="8455" max="8455" width="11.25" style="2" customWidth="1"/>
    <col min="8456" max="8456" width="10.125" style="2" customWidth="1"/>
    <col min="8457" max="8459" width="9" style="2" customWidth="1"/>
    <col min="8460" max="8460" width="11.25" style="2" customWidth="1"/>
    <col min="8461" max="8461" width="9" style="2" customWidth="1"/>
    <col min="8462" max="8462" width="10.125" style="2" customWidth="1"/>
    <col min="8463" max="8466" width="9" style="2" customWidth="1"/>
    <col min="8467" max="8467" width="11.25" style="2" customWidth="1"/>
    <col min="8468" max="8468" width="10.125" style="2" customWidth="1"/>
    <col min="8469" max="8469" width="9" style="2" customWidth="1"/>
    <col min="8470" max="8470" width="7.875" style="2" customWidth="1"/>
    <col min="8471" max="8704" width="11" style="2"/>
    <col min="8705" max="8705" width="6.75" style="2" customWidth="1"/>
    <col min="8706" max="8709" width="9" style="2" customWidth="1"/>
    <col min="8710" max="8710" width="10.125" style="2" customWidth="1"/>
    <col min="8711" max="8711" width="11.25" style="2" customWidth="1"/>
    <col min="8712" max="8712" width="10.125" style="2" customWidth="1"/>
    <col min="8713" max="8715" width="9" style="2" customWidth="1"/>
    <col min="8716" max="8716" width="11.25" style="2" customWidth="1"/>
    <col min="8717" max="8717" width="9" style="2" customWidth="1"/>
    <col min="8718" max="8718" width="10.125" style="2" customWidth="1"/>
    <col min="8719" max="8722" width="9" style="2" customWidth="1"/>
    <col min="8723" max="8723" width="11.25" style="2" customWidth="1"/>
    <col min="8724" max="8724" width="10.125" style="2" customWidth="1"/>
    <col min="8725" max="8725" width="9" style="2" customWidth="1"/>
    <col min="8726" max="8726" width="7.875" style="2" customWidth="1"/>
    <col min="8727" max="8960" width="11" style="2"/>
    <col min="8961" max="8961" width="6.75" style="2" customWidth="1"/>
    <col min="8962" max="8965" width="9" style="2" customWidth="1"/>
    <col min="8966" max="8966" width="10.125" style="2" customWidth="1"/>
    <col min="8967" max="8967" width="11.25" style="2" customWidth="1"/>
    <col min="8968" max="8968" width="10.125" style="2" customWidth="1"/>
    <col min="8969" max="8971" width="9" style="2" customWidth="1"/>
    <col min="8972" max="8972" width="11.25" style="2" customWidth="1"/>
    <col min="8973" max="8973" width="9" style="2" customWidth="1"/>
    <col min="8974" max="8974" width="10.125" style="2" customWidth="1"/>
    <col min="8975" max="8978" width="9" style="2" customWidth="1"/>
    <col min="8979" max="8979" width="11.25" style="2" customWidth="1"/>
    <col min="8980" max="8980" width="10.125" style="2" customWidth="1"/>
    <col min="8981" max="8981" width="9" style="2" customWidth="1"/>
    <col min="8982" max="8982" width="7.875" style="2" customWidth="1"/>
    <col min="8983" max="9216" width="11" style="2"/>
    <col min="9217" max="9217" width="6.75" style="2" customWidth="1"/>
    <col min="9218" max="9221" width="9" style="2" customWidth="1"/>
    <col min="9222" max="9222" width="10.125" style="2" customWidth="1"/>
    <col min="9223" max="9223" width="11.25" style="2" customWidth="1"/>
    <col min="9224" max="9224" width="10.125" style="2" customWidth="1"/>
    <col min="9225" max="9227" width="9" style="2" customWidth="1"/>
    <col min="9228" max="9228" width="11.25" style="2" customWidth="1"/>
    <col min="9229" max="9229" width="9" style="2" customWidth="1"/>
    <col min="9230" max="9230" width="10.125" style="2" customWidth="1"/>
    <col min="9231" max="9234" width="9" style="2" customWidth="1"/>
    <col min="9235" max="9235" width="11.25" style="2" customWidth="1"/>
    <col min="9236" max="9236" width="10.125" style="2" customWidth="1"/>
    <col min="9237" max="9237" width="9" style="2" customWidth="1"/>
    <col min="9238" max="9238" width="7.875" style="2" customWidth="1"/>
    <col min="9239" max="9472" width="11" style="2"/>
    <col min="9473" max="9473" width="6.75" style="2" customWidth="1"/>
    <col min="9474" max="9477" width="9" style="2" customWidth="1"/>
    <col min="9478" max="9478" width="10.125" style="2" customWidth="1"/>
    <col min="9479" max="9479" width="11.25" style="2" customWidth="1"/>
    <col min="9480" max="9480" width="10.125" style="2" customWidth="1"/>
    <col min="9481" max="9483" width="9" style="2" customWidth="1"/>
    <col min="9484" max="9484" width="11.25" style="2" customWidth="1"/>
    <col min="9485" max="9485" width="9" style="2" customWidth="1"/>
    <col min="9486" max="9486" width="10.125" style="2" customWidth="1"/>
    <col min="9487" max="9490" width="9" style="2" customWidth="1"/>
    <col min="9491" max="9491" width="11.25" style="2" customWidth="1"/>
    <col min="9492" max="9492" width="10.125" style="2" customWidth="1"/>
    <col min="9493" max="9493" width="9" style="2" customWidth="1"/>
    <col min="9494" max="9494" width="7.875" style="2" customWidth="1"/>
    <col min="9495" max="9728" width="11" style="2"/>
    <col min="9729" max="9729" width="6.75" style="2" customWidth="1"/>
    <col min="9730" max="9733" width="9" style="2" customWidth="1"/>
    <col min="9734" max="9734" width="10.125" style="2" customWidth="1"/>
    <col min="9735" max="9735" width="11.25" style="2" customWidth="1"/>
    <col min="9736" max="9736" width="10.125" style="2" customWidth="1"/>
    <col min="9737" max="9739" width="9" style="2" customWidth="1"/>
    <col min="9740" max="9740" width="11.25" style="2" customWidth="1"/>
    <col min="9741" max="9741" width="9" style="2" customWidth="1"/>
    <col min="9742" max="9742" width="10.125" style="2" customWidth="1"/>
    <col min="9743" max="9746" width="9" style="2" customWidth="1"/>
    <col min="9747" max="9747" width="11.25" style="2" customWidth="1"/>
    <col min="9748" max="9748" width="10.125" style="2" customWidth="1"/>
    <col min="9749" max="9749" width="9" style="2" customWidth="1"/>
    <col min="9750" max="9750" width="7.875" style="2" customWidth="1"/>
    <col min="9751" max="9984" width="11" style="2"/>
    <col min="9985" max="9985" width="6.75" style="2" customWidth="1"/>
    <col min="9986" max="9989" width="9" style="2" customWidth="1"/>
    <col min="9990" max="9990" width="10.125" style="2" customWidth="1"/>
    <col min="9991" max="9991" width="11.25" style="2" customWidth="1"/>
    <col min="9992" max="9992" width="10.125" style="2" customWidth="1"/>
    <col min="9993" max="9995" width="9" style="2" customWidth="1"/>
    <col min="9996" max="9996" width="11.25" style="2" customWidth="1"/>
    <col min="9997" max="9997" width="9" style="2" customWidth="1"/>
    <col min="9998" max="9998" width="10.125" style="2" customWidth="1"/>
    <col min="9999" max="10002" width="9" style="2" customWidth="1"/>
    <col min="10003" max="10003" width="11.25" style="2" customWidth="1"/>
    <col min="10004" max="10004" width="10.125" style="2" customWidth="1"/>
    <col min="10005" max="10005" width="9" style="2" customWidth="1"/>
    <col min="10006" max="10006" width="7.875" style="2" customWidth="1"/>
    <col min="10007" max="10240" width="11" style="2"/>
    <col min="10241" max="10241" width="6.75" style="2" customWidth="1"/>
    <col min="10242" max="10245" width="9" style="2" customWidth="1"/>
    <col min="10246" max="10246" width="10.125" style="2" customWidth="1"/>
    <col min="10247" max="10247" width="11.25" style="2" customWidth="1"/>
    <col min="10248" max="10248" width="10.125" style="2" customWidth="1"/>
    <col min="10249" max="10251" width="9" style="2" customWidth="1"/>
    <col min="10252" max="10252" width="11.25" style="2" customWidth="1"/>
    <col min="10253" max="10253" width="9" style="2" customWidth="1"/>
    <col min="10254" max="10254" width="10.125" style="2" customWidth="1"/>
    <col min="10255" max="10258" width="9" style="2" customWidth="1"/>
    <col min="10259" max="10259" width="11.25" style="2" customWidth="1"/>
    <col min="10260" max="10260" width="10.125" style="2" customWidth="1"/>
    <col min="10261" max="10261" width="9" style="2" customWidth="1"/>
    <col min="10262" max="10262" width="7.875" style="2" customWidth="1"/>
    <col min="10263" max="10496" width="11" style="2"/>
    <col min="10497" max="10497" width="6.75" style="2" customWidth="1"/>
    <col min="10498" max="10501" width="9" style="2" customWidth="1"/>
    <col min="10502" max="10502" width="10.125" style="2" customWidth="1"/>
    <col min="10503" max="10503" width="11.25" style="2" customWidth="1"/>
    <col min="10504" max="10504" width="10.125" style="2" customWidth="1"/>
    <col min="10505" max="10507" width="9" style="2" customWidth="1"/>
    <col min="10508" max="10508" width="11.25" style="2" customWidth="1"/>
    <col min="10509" max="10509" width="9" style="2" customWidth="1"/>
    <col min="10510" max="10510" width="10.125" style="2" customWidth="1"/>
    <col min="10511" max="10514" width="9" style="2" customWidth="1"/>
    <col min="10515" max="10515" width="11.25" style="2" customWidth="1"/>
    <col min="10516" max="10516" width="10.125" style="2" customWidth="1"/>
    <col min="10517" max="10517" width="9" style="2" customWidth="1"/>
    <col min="10518" max="10518" width="7.875" style="2" customWidth="1"/>
    <col min="10519" max="10752" width="11" style="2"/>
    <col min="10753" max="10753" width="6.75" style="2" customWidth="1"/>
    <col min="10754" max="10757" width="9" style="2" customWidth="1"/>
    <col min="10758" max="10758" width="10.125" style="2" customWidth="1"/>
    <col min="10759" max="10759" width="11.25" style="2" customWidth="1"/>
    <col min="10760" max="10760" width="10.125" style="2" customWidth="1"/>
    <col min="10761" max="10763" width="9" style="2" customWidth="1"/>
    <col min="10764" max="10764" width="11.25" style="2" customWidth="1"/>
    <col min="10765" max="10765" width="9" style="2" customWidth="1"/>
    <col min="10766" max="10766" width="10.125" style="2" customWidth="1"/>
    <col min="10767" max="10770" width="9" style="2" customWidth="1"/>
    <col min="10771" max="10771" width="11.25" style="2" customWidth="1"/>
    <col min="10772" max="10772" width="10.125" style="2" customWidth="1"/>
    <col min="10773" max="10773" width="9" style="2" customWidth="1"/>
    <col min="10774" max="10774" width="7.875" style="2" customWidth="1"/>
    <col min="10775" max="11008" width="11" style="2"/>
    <col min="11009" max="11009" width="6.75" style="2" customWidth="1"/>
    <col min="11010" max="11013" width="9" style="2" customWidth="1"/>
    <col min="11014" max="11014" width="10.125" style="2" customWidth="1"/>
    <col min="11015" max="11015" width="11.25" style="2" customWidth="1"/>
    <col min="11016" max="11016" width="10.125" style="2" customWidth="1"/>
    <col min="11017" max="11019" width="9" style="2" customWidth="1"/>
    <col min="11020" max="11020" width="11.25" style="2" customWidth="1"/>
    <col min="11021" max="11021" width="9" style="2" customWidth="1"/>
    <col min="11022" max="11022" width="10.125" style="2" customWidth="1"/>
    <col min="11023" max="11026" width="9" style="2" customWidth="1"/>
    <col min="11027" max="11027" width="11.25" style="2" customWidth="1"/>
    <col min="11028" max="11028" width="10.125" style="2" customWidth="1"/>
    <col min="11029" max="11029" width="9" style="2" customWidth="1"/>
    <col min="11030" max="11030" width="7.875" style="2" customWidth="1"/>
    <col min="11031" max="11264" width="11" style="2"/>
    <col min="11265" max="11265" width="6.75" style="2" customWidth="1"/>
    <col min="11266" max="11269" width="9" style="2" customWidth="1"/>
    <col min="11270" max="11270" width="10.125" style="2" customWidth="1"/>
    <col min="11271" max="11271" width="11.25" style="2" customWidth="1"/>
    <col min="11272" max="11272" width="10.125" style="2" customWidth="1"/>
    <col min="11273" max="11275" width="9" style="2" customWidth="1"/>
    <col min="11276" max="11276" width="11.25" style="2" customWidth="1"/>
    <col min="11277" max="11277" width="9" style="2" customWidth="1"/>
    <col min="11278" max="11278" width="10.125" style="2" customWidth="1"/>
    <col min="11279" max="11282" width="9" style="2" customWidth="1"/>
    <col min="11283" max="11283" width="11.25" style="2" customWidth="1"/>
    <col min="11284" max="11284" width="10.125" style="2" customWidth="1"/>
    <col min="11285" max="11285" width="9" style="2" customWidth="1"/>
    <col min="11286" max="11286" width="7.875" style="2" customWidth="1"/>
    <col min="11287" max="11520" width="11" style="2"/>
    <col min="11521" max="11521" width="6.75" style="2" customWidth="1"/>
    <col min="11522" max="11525" width="9" style="2" customWidth="1"/>
    <col min="11526" max="11526" width="10.125" style="2" customWidth="1"/>
    <col min="11527" max="11527" width="11.25" style="2" customWidth="1"/>
    <col min="11528" max="11528" width="10.125" style="2" customWidth="1"/>
    <col min="11529" max="11531" width="9" style="2" customWidth="1"/>
    <col min="11532" max="11532" width="11.25" style="2" customWidth="1"/>
    <col min="11533" max="11533" width="9" style="2" customWidth="1"/>
    <col min="11534" max="11534" width="10.125" style="2" customWidth="1"/>
    <col min="11535" max="11538" width="9" style="2" customWidth="1"/>
    <col min="11539" max="11539" width="11.25" style="2" customWidth="1"/>
    <col min="11540" max="11540" width="10.125" style="2" customWidth="1"/>
    <col min="11541" max="11541" width="9" style="2" customWidth="1"/>
    <col min="11542" max="11542" width="7.875" style="2" customWidth="1"/>
    <col min="11543" max="11776" width="11" style="2"/>
    <col min="11777" max="11777" width="6.75" style="2" customWidth="1"/>
    <col min="11778" max="11781" width="9" style="2" customWidth="1"/>
    <col min="11782" max="11782" width="10.125" style="2" customWidth="1"/>
    <col min="11783" max="11783" width="11.25" style="2" customWidth="1"/>
    <col min="11784" max="11784" width="10.125" style="2" customWidth="1"/>
    <col min="11785" max="11787" width="9" style="2" customWidth="1"/>
    <col min="11788" max="11788" width="11.25" style="2" customWidth="1"/>
    <col min="11789" max="11789" width="9" style="2" customWidth="1"/>
    <col min="11790" max="11790" width="10.125" style="2" customWidth="1"/>
    <col min="11791" max="11794" width="9" style="2" customWidth="1"/>
    <col min="11795" max="11795" width="11.25" style="2" customWidth="1"/>
    <col min="11796" max="11796" width="10.125" style="2" customWidth="1"/>
    <col min="11797" max="11797" width="9" style="2" customWidth="1"/>
    <col min="11798" max="11798" width="7.875" style="2" customWidth="1"/>
    <col min="11799" max="12032" width="11" style="2"/>
    <col min="12033" max="12033" width="6.75" style="2" customWidth="1"/>
    <col min="12034" max="12037" width="9" style="2" customWidth="1"/>
    <col min="12038" max="12038" width="10.125" style="2" customWidth="1"/>
    <col min="12039" max="12039" width="11.25" style="2" customWidth="1"/>
    <col min="12040" max="12040" width="10.125" style="2" customWidth="1"/>
    <col min="12041" max="12043" width="9" style="2" customWidth="1"/>
    <col min="12044" max="12044" width="11.25" style="2" customWidth="1"/>
    <col min="12045" max="12045" width="9" style="2" customWidth="1"/>
    <col min="12046" max="12046" width="10.125" style="2" customWidth="1"/>
    <col min="12047" max="12050" width="9" style="2" customWidth="1"/>
    <col min="12051" max="12051" width="11.25" style="2" customWidth="1"/>
    <col min="12052" max="12052" width="10.125" style="2" customWidth="1"/>
    <col min="12053" max="12053" width="9" style="2" customWidth="1"/>
    <col min="12054" max="12054" width="7.875" style="2" customWidth="1"/>
    <col min="12055" max="12288" width="11" style="2"/>
    <col min="12289" max="12289" width="6.75" style="2" customWidth="1"/>
    <col min="12290" max="12293" width="9" style="2" customWidth="1"/>
    <col min="12294" max="12294" width="10.125" style="2" customWidth="1"/>
    <col min="12295" max="12295" width="11.25" style="2" customWidth="1"/>
    <col min="12296" max="12296" width="10.125" style="2" customWidth="1"/>
    <col min="12297" max="12299" width="9" style="2" customWidth="1"/>
    <col min="12300" max="12300" width="11.25" style="2" customWidth="1"/>
    <col min="12301" max="12301" width="9" style="2" customWidth="1"/>
    <col min="12302" max="12302" width="10.125" style="2" customWidth="1"/>
    <col min="12303" max="12306" width="9" style="2" customWidth="1"/>
    <col min="12307" max="12307" width="11.25" style="2" customWidth="1"/>
    <col min="12308" max="12308" width="10.125" style="2" customWidth="1"/>
    <col min="12309" max="12309" width="9" style="2" customWidth="1"/>
    <col min="12310" max="12310" width="7.875" style="2" customWidth="1"/>
    <col min="12311" max="12544" width="11" style="2"/>
    <col min="12545" max="12545" width="6.75" style="2" customWidth="1"/>
    <col min="12546" max="12549" width="9" style="2" customWidth="1"/>
    <col min="12550" max="12550" width="10.125" style="2" customWidth="1"/>
    <col min="12551" max="12551" width="11.25" style="2" customWidth="1"/>
    <col min="12552" max="12552" width="10.125" style="2" customWidth="1"/>
    <col min="12553" max="12555" width="9" style="2" customWidth="1"/>
    <col min="12556" max="12556" width="11.25" style="2" customWidth="1"/>
    <col min="12557" max="12557" width="9" style="2" customWidth="1"/>
    <col min="12558" max="12558" width="10.125" style="2" customWidth="1"/>
    <col min="12559" max="12562" width="9" style="2" customWidth="1"/>
    <col min="12563" max="12563" width="11.25" style="2" customWidth="1"/>
    <col min="12564" max="12564" width="10.125" style="2" customWidth="1"/>
    <col min="12565" max="12565" width="9" style="2" customWidth="1"/>
    <col min="12566" max="12566" width="7.875" style="2" customWidth="1"/>
    <col min="12567" max="12800" width="11" style="2"/>
    <col min="12801" max="12801" width="6.75" style="2" customWidth="1"/>
    <col min="12802" max="12805" width="9" style="2" customWidth="1"/>
    <col min="12806" max="12806" width="10.125" style="2" customWidth="1"/>
    <col min="12807" max="12807" width="11.25" style="2" customWidth="1"/>
    <col min="12808" max="12808" width="10.125" style="2" customWidth="1"/>
    <col min="12809" max="12811" width="9" style="2" customWidth="1"/>
    <col min="12812" max="12812" width="11.25" style="2" customWidth="1"/>
    <col min="12813" max="12813" width="9" style="2" customWidth="1"/>
    <col min="12814" max="12814" width="10.125" style="2" customWidth="1"/>
    <col min="12815" max="12818" width="9" style="2" customWidth="1"/>
    <col min="12819" max="12819" width="11.25" style="2" customWidth="1"/>
    <col min="12820" max="12820" width="10.125" style="2" customWidth="1"/>
    <col min="12821" max="12821" width="9" style="2" customWidth="1"/>
    <col min="12822" max="12822" width="7.875" style="2" customWidth="1"/>
    <col min="12823" max="13056" width="11" style="2"/>
    <col min="13057" max="13057" width="6.75" style="2" customWidth="1"/>
    <col min="13058" max="13061" width="9" style="2" customWidth="1"/>
    <col min="13062" max="13062" width="10.125" style="2" customWidth="1"/>
    <col min="13063" max="13063" width="11.25" style="2" customWidth="1"/>
    <col min="13064" max="13064" width="10.125" style="2" customWidth="1"/>
    <col min="13065" max="13067" width="9" style="2" customWidth="1"/>
    <col min="13068" max="13068" width="11.25" style="2" customWidth="1"/>
    <col min="13069" max="13069" width="9" style="2" customWidth="1"/>
    <col min="13070" max="13070" width="10.125" style="2" customWidth="1"/>
    <col min="13071" max="13074" width="9" style="2" customWidth="1"/>
    <col min="13075" max="13075" width="11.25" style="2" customWidth="1"/>
    <col min="13076" max="13076" width="10.125" style="2" customWidth="1"/>
    <col min="13077" max="13077" width="9" style="2" customWidth="1"/>
    <col min="13078" max="13078" width="7.875" style="2" customWidth="1"/>
    <col min="13079" max="13312" width="11" style="2"/>
    <col min="13313" max="13313" width="6.75" style="2" customWidth="1"/>
    <col min="13314" max="13317" width="9" style="2" customWidth="1"/>
    <col min="13318" max="13318" width="10.125" style="2" customWidth="1"/>
    <col min="13319" max="13319" width="11.25" style="2" customWidth="1"/>
    <col min="13320" max="13320" width="10.125" style="2" customWidth="1"/>
    <col min="13321" max="13323" width="9" style="2" customWidth="1"/>
    <col min="13324" max="13324" width="11.25" style="2" customWidth="1"/>
    <col min="13325" max="13325" width="9" style="2" customWidth="1"/>
    <col min="13326" max="13326" width="10.125" style="2" customWidth="1"/>
    <col min="13327" max="13330" width="9" style="2" customWidth="1"/>
    <col min="13331" max="13331" width="11.25" style="2" customWidth="1"/>
    <col min="13332" max="13332" width="10.125" style="2" customWidth="1"/>
    <col min="13333" max="13333" width="9" style="2" customWidth="1"/>
    <col min="13334" max="13334" width="7.875" style="2" customWidth="1"/>
    <col min="13335" max="13568" width="11" style="2"/>
    <col min="13569" max="13569" width="6.75" style="2" customWidth="1"/>
    <col min="13570" max="13573" width="9" style="2" customWidth="1"/>
    <col min="13574" max="13574" width="10.125" style="2" customWidth="1"/>
    <col min="13575" max="13575" width="11.25" style="2" customWidth="1"/>
    <col min="13576" max="13576" width="10.125" style="2" customWidth="1"/>
    <col min="13577" max="13579" width="9" style="2" customWidth="1"/>
    <col min="13580" max="13580" width="11.25" style="2" customWidth="1"/>
    <col min="13581" max="13581" width="9" style="2" customWidth="1"/>
    <col min="13582" max="13582" width="10.125" style="2" customWidth="1"/>
    <col min="13583" max="13586" width="9" style="2" customWidth="1"/>
    <col min="13587" max="13587" width="11.25" style="2" customWidth="1"/>
    <col min="13588" max="13588" width="10.125" style="2" customWidth="1"/>
    <col min="13589" max="13589" width="9" style="2" customWidth="1"/>
    <col min="13590" max="13590" width="7.875" style="2" customWidth="1"/>
    <col min="13591" max="13824" width="11" style="2"/>
    <col min="13825" max="13825" width="6.75" style="2" customWidth="1"/>
    <col min="13826" max="13829" width="9" style="2" customWidth="1"/>
    <col min="13830" max="13830" width="10.125" style="2" customWidth="1"/>
    <col min="13831" max="13831" width="11.25" style="2" customWidth="1"/>
    <col min="13832" max="13832" width="10.125" style="2" customWidth="1"/>
    <col min="13833" max="13835" width="9" style="2" customWidth="1"/>
    <col min="13836" max="13836" width="11.25" style="2" customWidth="1"/>
    <col min="13837" max="13837" width="9" style="2" customWidth="1"/>
    <col min="13838" max="13838" width="10.125" style="2" customWidth="1"/>
    <col min="13839" max="13842" width="9" style="2" customWidth="1"/>
    <col min="13843" max="13843" width="11.25" style="2" customWidth="1"/>
    <col min="13844" max="13844" width="10.125" style="2" customWidth="1"/>
    <col min="13845" max="13845" width="9" style="2" customWidth="1"/>
    <col min="13846" max="13846" width="7.875" style="2" customWidth="1"/>
    <col min="13847" max="14080" width="11" style="2"/>
    <col min="14081" max="14081" width="6.75" style="2" customWidth="1"/>
    <col min="14082" max="14085" width="9" style="2" customWidth="1"/>
    <col min="14086" max="14086" width="10.125" style="2" customWidth="1"/>
    <col min="14087" max="14087" width="11.25" style="2" customWidth="1"/>
    <col min="14088" max="14088" width="10.125" style="2" customWidth="1"/>
    <col min="14089" max="14091" width="9" style="2" customWidth="1"/>
    <col min="14092" max="14092" width="11.25" style="2" customWidth="1"/>
    <col min="14093" max="14093" width="9" style="2" customWidth="1"/>
    <col min="14094" max="14094" width="10.125" style="2" customWidth="1"/>
    <col min="14095" max="14098" width="9" style="2" customWidth="1"/>
    <col min="14099" max="14099" width="11.25" style="2" customWidth="1"/>
    <col min="14100" max="14100" width="10.125" style="2" customWidth="1"/>
    <col min="14101" max="14101" width="9" style="2" customWidth="1"/>
    <col min="14102" max="14102" width="7.875" style="2" customWidth="1"/>
    <col min="14103" max="14336" width="11" style="2"/>
    <col min="14337" max="14337" width="6.75" style="2" customWidth="1"/>
    <col min="14338" max="14341" width="9" style="2" customWidth="1"/>
    <col min="14342" max="14342" width="10.125" style="2" customWidth="1"/>
    <col min="14343" max="14343" width="11.25" style="2" customWidth="1"/>
    <col min="14344" max="14344" width="10.125" style="2" customWidth="1"/>
    <col min="14345" max="14347" width="9" style="2" customWidth="1"/>
    <col min="14348" max="14348" width="11.25" style="2" customWidth="1"/>
    <col min="14349" max="14349" width="9" style="2" customWidth="1"/>
    <col min="14350" max="14350" width="10.125" style="2" customWidth="1"/>
    <col min="14351" max="14354" width="9" style="2" customWidth="1"/>
    <col min="14355" max="14355" width="11.25" style="2" customWidth="1"/>
    <col min="14356" max="14356" width="10.125" style="2" customWidth="1"/>
    <col min="14357" max="14357" width="9" style="2" customWidth="1"/>
    <col min="14358" max="14358" width="7.875" style="2" customWidth="1"/>
    <col min="14359" max="14592" width="11" style="2"/>
    <col min="14593" max="14593" width="6.75" style="2" customWidth="1"/>
    <col min="14594" max="14597" width="9" style="2" customWidth="1"/>
    <col min="14598" max="14598" width="10.125" style="2" customWidth="1"/>
    <col min="14599" max="14599" width="11.25" style="2" customWidth="1"/>
    <col min="14600" max="14600" width="10.125" style="2" customWidth="1"/>
    <col min="14601" max="14603" width="9" style="2" customWidth="1"/>
    <col min="14604" max="14604" width="11.25" style="2" customWidth="1"/>
    <col min="14605" max="14605" width="9" style="2" customWidth="1"/>
    <col min="14606" max="14606" width="10.125" style="2" customWidth="1"/>
    <col min="14607" max="14610" width="9" style="2" customWidth="1"/>
    <col min="14611" max="14611" width="11.25" style="2" customWidth="1"/>
    <col min="14612" max="14612" width="10.125" style="2" customWidth="1"/>
    <col min="14613" max="14613" width="9" style="2" customWidth="1"/>
    <col min="14614" max="14614" width="7.875" style="2" customWidth="1"/>
    <col min="14615" max="14848" width="11" style="2"/>
    <col min="14849" max="14849" width="6.75" style="2" customWidth="1"/>
    <col min="14850" max="14853" width="9" style="2" customWidth="1"/>
    <col min="14854" max="14854" width="10.125" style="2" customWidth="1"/>
    <col min="14855" max="14855" width="11.25" style="2" customWidth="1"/>
    <col min="14856" max="14856" width="10.125" style="2" customWidth="1"/>
    <col min="14857" max="14859" width="9" style="2" customWidth="1"/>
    <col min="14860" max="14860" width="11.25" style="2" customWidth="1"/>
    <col min="14861" max="14861" width="9" style="2" customWidth="1"/>
    <col min="14862" max="14862" width="10.125" style="2" customWidth="1"/>
    <col min="14863" max="14866" width="9" style="2" customWidth="1"/>
    <col min="14867" max="14867" width="11.25" style="2" customWidth="1"/>
    <col min="14868" max="14868" width="10.125" style="2" customWidth="1"/>
    <col min="14869" max="14869" width="9" style="2" customWidth="1"/>
    <col min="14870" max="14870" width="7.875" style="2" customWidth="1"/>
    <col min="14871" max="15104" width="11" style="2"/>
    <col min="15105" max="15105" width="6.75" style="2" customWidth="1"/>
    <col min="15106" max="15109" width="9" style="2" customWidth="1"/>
    <col min="15110" max="15110" width="10.125" style="2" customWidth="1"/>
    <col min="15111" max="15111" width="11.25" style="2" customWidth="1"/>
    <col min="15112" max="15112" width="10.125" style="2" customWidth="1"/>
    <col min="15113" max="15115" width="9" style="2" customWidth="1"/>
    <col min="15116" max="15116" width="11.25" style="2" customWidth="1"/>
    <col min="15117" max="15117" width="9" style="2" customWidth="1"/>
    <col min="15118" max="15118" width="10.125" style="2" customWidth="1"/>
    <col min="15119" max="15122" width="9" style="2" customWidth="1"/>
    <col min="15123" max="15123" width="11.25" style="2" customWidth="1"/>
    <col min="15124" max="15124" width="10.125" style="2" customWidth="1"/>
    <col min="15125" max="15125" width="9" style="2" customWidth="1"/>
    <col min="15126" max="15126" width="7.875" style="2" customWidth="1"/>
    <col min="15127" max="15360" width="11" style="2"/>
    <col min="15361" max="15361" width="6.75" style="2" customWidth="1"/>
    <col min="15362" max="15365" width="9" style="2" customWidth="1"/>
    <col min="15366" max="15366" width="10.125" style="2" customWidth="1"/>
    <col min="15367" max="15367" width="11.25" style="2" customWidth="1"/>
    <col min="15368" max="15368" width="10.125" style="2" customWidth="1"/>
    <col min="15369" max="15371" width="9" style="2" customWidth="1"/>
    <col min="15372" max="15372" width="11.25" style="2" customWidth="1"/>
    <col min="15373" max="15373" width="9" style="2" customWidth="1"/>
    <col min="15374" max="15374" width="10.125" style="2" customWidth="1"/>
    <col min="15375" max="15378" width="9" style="2" customWidth="1"/>
    <col min="15379" max="15379" width="11.25" style="2" customWidth="1"/>
    <col min="15380" max="15380" width="10.125" style="2" customWidth="1"/>
    <col min="15381" max="15381" width="9" style="2" customWidth="1"/>
    <col min="15382" max="15382" width="7.875" style="2" customWidth="1"/>
    <col min="15383" max="15616" width="11" style="2"/>
    <col min="15617" max="15617" width="6.75" style="2" customWidth="1"/>
    <col min="15618" max="15621" width="9" style="2" customWidth="1"/>
    <col min="15622" max="15622" width="10.125" style="2" customWidth="1"/>
    <col min="15623" max="15623" width="11.25" style="2" customWidth="1"/>
    <col min="15624" max="15624" width="10.125" style="2" customWidth="1"/>
    <col min="15625" max="15627" width="9" style="2" customWidth="1"/>
    <col min="15628" max="15628" width="11.25" style="2" customWidth="1"/>
    <col min="15629" max="15629" width="9" style="2" customWidth="1"/>
    <col min="15630" max="15630" width="10.125" style="2" customWidth="1"/>
    <col min="15631" max="15634" width="9" style="2" customWidth="1"/>
    <col min="15635" max="15635" width="11.25" style="2" customWidth="1"/>
    <col min="15636" max="15636" width="10.125" style="2" customWidth="1"/>
    <col min="15637" max="15637" width="9" style="2" customWidth="1"/>
    <col min="15638" max="15638" width="7.875" style="2" customWidth="1"/>
    <col min="15639" max="15872" width="11" style="2"/>
    <col min="15873" max="15873" width="6.75" style="2" customWidth="1"/>
    <col min="15874" max="15877" width="9" style="2" customWidth="1"/>
    <col min="15878" max="15878" width="10.125" style="2" customWidth="1"/>
    <col min="15879" max="15879" width="11.25" style="2" customWidth="1"/>
    <col min="15880" max="15880" width="10.125" style="2" customWidth="1"/>
    <col min="15881" max="15883" width="9" style="2" customWidth="1"/>
    <col min="15884" max="15884" width="11.25" style="2" customWidth="1"/>
    <col min="15885" max="15885" width="9" style="2" customWidth="1"/>
    <col min="15886" max="15886" width="10.125" style="2" customWidth="1"/>
    <col min="15887" max="15890" width="9" style="2" customWidth="1"/>
    <col min="15891" max="15891" width="11.25" style="2" customWidth="1"/>
    <col min="15892" max="15892" width="10.125" style="2" customWidth="1"/>
    <col min="15893" max="15893" width="9" style="2" customWidth="1"/>
    <col min="15894" max="15894" width="7.875" style="2" customWidth="1"/>
    <col min="15895" max="16128" width="11" style="2"/>
    <col min="16129" max="16129" width="6.75" style="2" customWidth="1"/>
    <col min="16130" max="16133" width="9" style="2" customWidth="1"/>
    <col min="16134" max="16134" width="10.125" style="2" customWidth="1"/>
    <col min="16135" max="16135" width="11.25" style="2" customWidth="1"/>
    <col min="16136" max="16136" width="10.125" style="2" customWidth="1"/>
    <col min="16137" max="16139" width="9" style="2" customWidth="1"/>
    <col min="16140" max="16140" width="11.25" style="2" customWidth="1"/>
    <col min="16141" max="16141" width="9" style="2" customWidth="1"/>
    <col min="16142" max="16142" width="10.125" style="2" customWidth="1"/>
    <col min="16143" max="16146" width="9" style="2" customWidth="1"/>
    <col min="16147" max="16147" width="11.25" style="2" customWidth="1"/>
    <col min="16148" max="16148" width="10.125" style="2" customWidth="1"/>
    <col min="16149" max="16149" width="9" style="2" customWidth="1"/>
    <col min="16150" max="16150" width="7.875" style="2" customWidth="1"/>
    <col min="16151" max="16384" width="11" style="2"/>
  </cols>
  <sheetData>
    <row r="1" spans="1:41">
      <c r="A1" s="1"/>
      <c r="B1" s="1"/>
      <c r="C1" s="1"/>
      <c r="D1" s="1"/>
      <c r="E1" s="1"/>
      <c r="F1" s="1"/>
      <c r="G1" s="1"/>
      <c r="H1" s="1"/>
      <c r="I1" s="1"/>
      <c r="J1" s="1"/>
      <c r="K1" s="1"/>
      <c r="L1" s="1"/>
      <c r="M1" s="1"/>
      <c r="N1" s="1"/>
      <c r="O1" s="1"/>
      <c r="P1" s="1"/>
      <c r="Q1" s="1"/>
      <c r="R1" s="1"/>
      <c r="S1" s="1"/>
      <c r="T1" s="1"/>
      <c r="U1" s="1"/>
      <c r="V1" s="1"/>
      <c r="W1" s="1"/>
      <c r="X1" s="1"/>
      <c r="Y1" s="1"/>
      <c r="Z1" s="1"/>
      <c r="AI1" s="1"/>
      <c r="AJ1" s="1"/>
      <c r="AK1" s="1"/>
      <c r="AL1" s="1"/>
      <c r="AM1" s="1"/>
      <c r="AN1" s="1"/>
      <c r="AO1" s="1"/>
    </row>
    <row r="2" spans="1:41" ht="24.75">
      <c r="A2" s="1"/>
      <c r="B2" s="3" t="s">
        <v>0</v>
      </c>
      <c r="C2" s="4"/>
      <c r="D2" s="1"/>
      <c r="E2" s="1"/>
      <c r="F2" s="1"/>
      <c r="G2" s="1"/>
      <c r="H2" s="1"/>
      <c r="I2" s="1"/>
      <c r="J2" s="1"/>
      <c r="K2" s="1"/>
      <c r="L2" s="1"/>
      <c r="M2" s="1"/>
      <c r="N2" s="1"/>
      <c r="O2" s="1"/>
      <c r="P2" s="1"/>
      <c r="Q2" s="1"/>
      <c r="R2" s="1"/>
      <c r="S2" s="1"/>
      <c r="T2" s="1"/>
      <c r="U2" s="1"/>
      <c r="V2" s="1"/>
      <c r="W2" s="1"/>
      <c r="X2" s="1"/>
      <c r="Y2" s="1"/>
      <c r="Z2" s="1"/>
      <c r="AI2" s="1"/>
      <c r="AJ2" s="1"/>
      <c r="AK2" s="1"/>
      <c r="AL2" s="1"/>
      <c r="AM2" s="1"/>
      <c r="AN2" s="1"/>
      <c r="AO2" s="1"/>
    </row>
    <row r="3" spans="1:41" ht="13.5" thickBot="1">
      <c r="A3" s="1"/>
      <c r="B3" s="1"/>
      <c r="C3" s="1"/>
      <c r="D3" s="1"/>
      <c r="E3" s="1"/>
      <c r="F3" s="1"/>
      <c r="G3" s="1"/>
      <c r="H3" s="1"/>
      <c r="I3" s="1"/>
      <c r="J3" s="1"/>
      <c r="K3" s="1"/>
      <c r="L3" s="1"/>
      <c r="M3" s="1"/>
      <c r="N3" s="1"/>
      <c r="O3" s="1"/>
      <c r="P3" s="1"/>
      <c r="Q3" s="1"/>
      <c r="R3" s="1"/>
      <c r="S3" s="1"/>
      <c r="T3" s="1"/>
      <c r="U3" s="1"/>
      <c r="V3" s="1"/>
      <c r="W3" s="1"/>
      <c r="X3" s="1"/>
      <c r="Y3" s="1"/>
      <c r="Z3" s="1"/>
      <c r="AI3" s="1"/>
      <c r="AJ3" s="1"/>
      <c r="AK3" s="1"/>
      <c r="AL3" s="1"/>
      <c r="AM3" s="1"/>
      <c r="AN3" s="1"/>
      <c r="AO3" s="1"/>
    </row>
    <row r="4" spans="1:41" ht="16.5" thickTop="1">
      <c r="A4" s="5"/>
      <c r="B4" s="6">
        <v>150</v>
      </c>
      <c r="C4" s="6">
        <v>300</v>
      </c>
      <c r="D4" s="6">
        <v>600</v>
      </c>
      <c r="E4" s="6" t="s">
        <v>1</v>
      </c>
      <c r="F4" s="6" t="s">
        <v>2</v>
      </c>
      <c r="G4" s="6" t="s">
        <v>3</v>
      </c>
      <c r="H4" s="6" t="s">
        <v>4</v>
      </c>
      <c r="I4" s="6">
        <v>10</v>
      </c>
      <c r="J4" s="6">
        <v>20</v>
      </c>
      <c r="K4" s="6">
        <v>30</v>
      </c>
      <c r="L4" s="6">
        <v>40</v>
      </c>
      <c r="M4" s="6">
        <v>60</v>
      </c>
      <c r="N4" s="6">
        <v>80</v>
      </c>
      <c r="O4" s="6">
        <v>100</v>
      </c>
      <c r="P4" s="6">
        <v>120</v>
      </c>
      <c r="Q4" s="6">
        <v>140</v>
      </c>
      <c r="R4" s="6">
        <v>160</v>
      </c>
      <c r="S4" s="6" t="s">
        <v>5</v>
      </c>
      <c r="T4" s="6" t="s">
        <v>6</v>
      </c>
      <c r="U4" s="6" t="s">
        <v>7</v>
      </c>
      <c r="V4" s="7" t="s">
        <v>8</v>
      </c>
      <c r="W4" s="8"/>
      <c r="X4" s="9"/>
      <c r="Y4" s="9"/>
      <c r="Z4" s="1"/>
      <c r="AA4" s="1"/>
      <c r="AB4" s="1"/>
      <c r="AC4" s="1"/>
      <c r="AD4" s="1"/>
      <c r="AE4" s="1"/>
      <c r="AF4" s="1"/>
      <c r="AG4" s="1"/>
      <c r="AH4" s="1"/>
      <c r="AI4" s="1"/>
      <c r="AJ4" s="1"/>
      <c r="AK4" s="1"/>
      <c r="AL4" s="1"/>
      <c r="AM4" s="1"/>
      <c r="AN4" s="1"/>
      <c r="AO4" s="1"/>
    </row>
    <row r="5" spans="1:41" ht="15.75">
      <c r="A5" s="10">
        <v>0</v>
      </c>
      <c r="B5" s="11"/>
      <c r="C5" s="11"/>
      <c r="D5" s="11"/>
      <c r="E5" s="11"/>
      <c r="F5" s="11"/>
      <c r="G5" s="11"/>
      <c r="H5" s="11"/>
      <c r="I5" s="11"/>
      <c r="J5" s="11"/>
      <c r="K5" s="11"/>
      <c r="L5" s="11"/>
      <c r="M5" s="11"/>
      <c r="N5" s="11"/>
      <c r="O5" s="11"/>
      <c r="P5" s="11"/>
      <c r="Q5" s="11"/>
      <c r="R5" s="11"/>
      <c r="S5" s="11"/>
      <c r="T5" s="11"/>
      <c r="U5" s="11"/>
      <c r="V5" s="12"/>
      <c r="W5" s="13"/>
      <c r="X5" s="14"/>
      <c r="Y5" s="14"/>
      <c r="Z5" s="1"/>
      <c r="AA5" s="1"/>
      <c r="AB5" s="1"/>
      <c r="AC5" s="1"/>
      <c r="AD5" s="1"/>
      <c r="AE5" s="1"/>
      <c r="AF5" s="1"/>
      <c r="AG5" s="1"/>
      <c r="AH5" s="1"/>
      <c r="AI5" s="1"/>
      <c r="AJ5" s="1"/>
      <c r="AK5" s="1"/>
      <c r="AL5" s="1"/>
      <c r="AM5" s="1"/>
      <c r="AN5" s="1"/>
      <c r="AO5" s="1"/>
    </row>
    <row r="6" spans="1:41" ht="15.75">
      <c r="A6" s="10">
        <v>0.125</v>
      </c>
      <c r="B6" s="11" t="s">
        <v>9</v>
      </c>
      <c r="C6" s="11" t="s">
        <v>9</v>
      </c>
      <c r="D6" s="11" t="s">
        <v>9</v>
      </c>
      <c r="E6" s="11" t="s">
        <v>9</v>
      </c>
      <c r="F6" s="11">
        <v>7.7980000000000002E-3</v>
      </c>
      <c r="G6" s="11">
        <v>6.731E-3</v>
      </c>
      <c r="H6" s="11">
        <v>5.4609999999999997E-3</v>
      </c>
      <c r="I6" s="11"/>
      <c r="J6" s="11"/>
      <c r="K6" s="11"/>
      <c r="L6" s="11">
        <v>6.731E-3</v>
      </c>
      <c r="M6" s="11"/>
      <c r="N6" s="11">
        <v>5.4609999999999997E-3</v>
      </c>
      <c r="O6" s="11"/>
      <c r="P6" s="11"/>
      <c r="Q6" s="11"/>
      <c r="R6" s="11"/>
      <c r="S6" s="11">
        <v>6.8326000000000003E-3</v>
      </c>
      <c r="T6" s="11">
        <v>5.4609999999999997E-3</v>
      </c>
      <c r="U6" s="11"/>
      <c r="V6" s="12"/>
      <c r="W6" s="13"/>
      <c r="X6" s="14"/>
      <c r="Y6" s="14"/>
      <c r="Z6" s="1"/>
      <c r="AA6" s="1"/>
      <c r="AB6" s="1"/>
      <c r="AC6" s="1"/>
      <c r="AD6" s="1"/>
      <c r="AE6" s="1"/>
      <c r="AF6" s="1"/>
      <c r="AG6" s="1"/>
      <c r="AH6" s="1"/>
      <c r="AI6" s="1"/>
      <c r="AJ6" s="1"/>
      <c r="AK6" s="1"/>
      <c r="AL6" s="1"/>
      <c r="AM6" s="1"/>
      <c r="AN6" s="1"/>
      <c r="AO6" s="1"/>
    </row>
    <row r="7" spans="1:41" ht="15.75">
      <c r="A7" s="10">
        <v>0.25</v>
      </c>
      <c r="B7" s="11" t="s">
        <v>9</v>
      </c>
      <c r="C7" s="11" t="s">
        <v>9</v>
      </c>
      <c r="D7" s="11" t="s">
        <v>9</v>
      </c>
      <c r="E7" s="11" t="s">
        <v>9</v>
      </c>
      <c r="F7" s="11">
        <v>1.0414E-2</v>
      </c>
      <c r="G7" s="11">
        <v>9.2455999999999997E-3</v>
      </c>
      <c r="H7" s="11">
        <v>7.6709999999999999E-3</v>
      </c>
      <c r="I7" s="11"/>
      <c r="J7" s="11"/>
      <c r="K7" s="11"/>
      <c r="L7" s="11">
        <v>9.2455999999999997E-3</v>
      </c>
      <c r="M7" s="11"/>
      <c r="N7" s="11">
        <v>7.6709999999999999E-3</v>
      </c>
      <c r="O7" s="11"/>
      <c r="P7" s="11"/>
      <c r="Q7" s="11"/>
      <c r="R7" s="11" t="e">
        <f>NA()</f>
        <v>#N/A</v>
      </c>
      <c r="S7" s="11">
        <v>9.2455999999999997E-3</v>
      </c>
      <c r="T7" s="11">
        <v>7.6709999999999999E-3</v>
      </c>
      <c r="U7" s="11" t="e">
        <f>NA()</f>
        <v>#N/A</v>
      </c>
      <c r="V7" s="12" t="e">
        <f>NA()</f>
        <v>#N/A</v>
      </c>
      <c r="W7" s="13"/>
      <c r="X7" s="14"/>
      <c r="Y7" s="14"/>
      <c r="Z7" s="1"/>
      <c r="AA7" s="1"/>
      <c r="AB7" s="1"/>
      <c r="AC7" s="1"/>
      <c r="AD7" s="1"/>
      <c r="AE7" s="1"/>
      <c r="AF7" s="1"/>
      <c r="AG7" s="1"/>
      <c r="AH7" s="1"/>
      <c r="AI7" s="1"/>
      <c r="AJ7" s="1"/>
      <c r="AK7" s="1"/>
      <c r="AL7" s="1"/>
      <c r="AM7" s="1"/>
      <c r="AN7" s="1"/>
      <c r="AO7" s="1"/>
    </row>
    <row r="8" spans="1:41" ht="15.75">
      <c r="A8" s="10">
        <v>0.5</v>
      </c>
      <c r="B8" s="11">
        <v>1.387E-2</v>
      </c>
      <c r="C8" s="11">
        <v>1.387E-2</v>
      </c>
      <c r="D8" s="11">
        <v>1.387E-2</v>
      </c>
      <c r="E8" s="11">
        <v>1.8030000000000001E-2</v>
      </c>
      <c r="F8" s="11">
        <v>1.712E-2</v>
      </c>
      <c r="G8" s="11">
        <v>1.5800000000000002E-2</v>
      </c>
      <c r="H8" s="11">
        <v>1.387E-2</v>
      </c>
      <c r="I8" s="11"/>
      <c r="J8" s="11"/>
      <c r="K8" s="11"/>
      <c r="L8" s="11">
        <v>1.5800000000000002E-2</v>
      </c>
      <c r="M8" s="11"/>
      <c r="N8" s="11">
        <v>1.387E-2</v>
      </c>
      <c r="O8" s="11"/>
      <c r="P8" s="11"/>
      <c r="Q8" s="11"/>
      <c r="R8" s="11">
        <v>1.184E-2</v>
      </c>
      <c r="S8" s="11">
        <v>1.5800000000000002E-2</v>
      </c>
      <c r="T8" s="11">
        <v>1.387E-2</v>
      </c>
      <c r="U8" s="11">
        <v>6.4000000000000003E-3</v>
      </c>
      <c r="V8" s="12">
        <v>1.5800000000000002E-2</v>
      </c>
      <c r="W8" s="8"/>
      <c r="X8" s="9"/>
      <c r="Y8" s="9"/>
      <c r="Z8" s="1"/>
      <c r="AA8" s="1"/>
      <c r="AB8" s="1"/>
      <c r="AC8" s="1"/>
      <c r="AD8" s="1"/>
      <c r="AE8" s="1"/>
      <c r="AF8" s="1"/>
      <c r="AG8" s="1"/>
      <c r="AH8" s="1"/>
      <c r="AI8" s="1"/>
      <c r="AJ8" s="1"/>
      <c r="AK8" s="1"/>
      <c r="AL8" s="1"/>
      <c r="AM8" s="1"/>
      <c r="AN8" s="1"/>
      <c r="AO8" s="1"/>
    </row>
    <row r="9" spans="1:41" ht="15.75">
      <c r="A9" s="10">
        <v>0.75</v>
      </c>
      <c r="B9" s="11">
        <v>1.8850000000000002E-2</v>
      </c>
      <c r="C9" s="11">
        <v>1.8850000000000002E-2</v>
      </c>
      <c r="D9" s="11">
        <v>1.8850000000000002E-2</v>
      </c>
      <c r="E9" s="11">
        <v>2.3369999999999998E-2</v>
      </c>
      <c r="F9" s="11">
        <v>2.2450000000000001E-2</v>
      </c>
      <c r="G9" s="11">
        <v>2.0930000000000001E-2</v>
      </c>
      <c r="H9" s="11">
        <v>1.8850000000000002E-2</v>
      </c>
      <c r="I9" s="11"/>
      <c r="J9" s="11"/>
      <c r="K9" s="11"/>
      <c r="L9" s="11">
        <v>2.0930000000000001E-2</v>
      </c>
      <c r="M9" s="11"/>
      <c r="N9" s="11">
        <v>1.8850000000000002E-2</v>
      </c>
      <c r="O9" s="11"/>
      <c r="P9" s="11"/>
      <c r="Q9" s="11"/>
      <c r="R9" s="11">
        <v>1.5600000000000001E-2</v>
      </c>
      <c r="S9" s="11">
        <v>2.0930000000000001E-2</v>
      </c>
      <c r="T9" s="11">
        <v>1.8850000000000002E-2</v>
      </c>
      <c r="U9" s="11">
        <v>1.102E-2</v>
      </c>
      <c r="V9" s="12">
        <v>2.0900000000000002E-2</v>
      </c>
      <c r="W9" s="8"/>
      <c r="X9" s="9"/>
      <c r="Y9" s="9"/>
      <c r="Z9" s="1"/>
      <c r="AA9" s="1"/>
      <c r="AB9" s="1"/>
      <c r="AC9" s="1"/>
      <c r="AD9" s="1"/>
      <c r="AE9" s="1"/>
      <c r="AF9" s="1"/>
      <c r="AG9" s="1"/>
      <c r="AH9" s="1"/>
      <c r="AI9" s="1"/>
      <c r="AJ9" s="1"/>
      <c r="AK9" s="1"/>
      <c r="AL9" s="1"/>
      <c r="AM9" s="1"/>
      <c r="AN9" s="1"/>
      <c r="AO9" s="1"/>
    </row>
    <row r="10" spans="1:41" ht="15.75">
      <c r="A10" s="10">
        <v>1</v>
      </c>
      <c r="B10" s="11">
        <v>2.4309999999999998E-2</v>
      </c>
      <c r="C10" s="11">
        <v>2.4309999999999998E-2</v>
      </c>
      <c r="D10" s="11">
        <v>2.4309999999999998E-2</v>
      </c>
      <c r="E10" s="11">
        <v>3.0100000000000002E-2</v>
      </c>
      <c r="F10" s="11">
        <v>2.7859999999999999E-2</v>
      </c>
      <c r="G10" s="11">
        <v>2.664E-2</v>
      </c>
      <c r="H10" s="11">
        <v>2.4309999999999998E-2</v>
      </c>
      <c r="I10" s="11"/>
      <c r="J10" s="11"/>
      <c r="K10" s="11"/>
      <c r="L10" s="11">
        <v>2.664E-2</v>
      </c>
      <c r="M10" s="11"/>
      <c r="N10" s="11">
        <v>2.4309999999999998E-2</v>
      </c>
      <c r="O10" s="11"/>
      <c r="P10" s="11"/>
      <c r="Q10" s="11"/>
      <c r="R10" s="11">
        <v>2.07E-2</v>
      </c>
      <c r="S10" s="11">
        <v>2.664E-2</v>
      </c>
      <c r="T10" s="11">
        <v>2.4309999999999998E-2</v>
      </c>
      <c r="U10" s="11">
        <v>1.521E-2</v>
      </c>
      <c r="V10" s="12">
        <v>2.6600000000000002E-2</v>
      </c>
      <c r="W10" s="8"/>
      <c r="X10" s="9"/>
      <c r="Y10" s="9"/>
      <c r="Z10" s="1"/>
      <c r="AA10" s="1"/>
      <c r="AB10" s="1"/>
      <c r="AC10" s="1"/>
      <c r="AD10" s="1"/>
      <c r="AE10" s="1"/>
      <c r="AF10" s="1"/>
      <c r="AG10" s="1"/>
      <c r="AH10" s="1"/>
      <c r="AI10" s="1"/>
      <c r="AJ10" s="1"/>
      <c r="AK10" s="1"/>
      <c r="AL10" s="1"/>
      <c r="AM10" s="1"/>
      <c r="AN10" s="1"/>
      <c r="AO10" s="1"/>
    </row>
    <row r="11" spans="1:41" ht="15.75">
      <c r="A11" s="10">
        <v>1.25</v>
      </c>
      <c r="B11" s="11">
        <v>3.2460000000000003E-2</v>
      </c>
      <c r="C11" s="11">
        <v>3.2460000000000003E-2</v>
      </c>
      <c r="D11" s="11">
        <v>3.2460000000000003E-2</v>
      </c>
      <c r="E11" s="11" t="e">
        <f>NA()</f>
        <v>#N/A</v>
      </c>
      <c r="F11" s="11" t="e">
        <f>NA()</f>
        <v>#N/A</v>
      </c>
      <c r="G11" s="11" t="e">
        <f>NA()</f>
        <v>#N/A</v>
      </c>
      <c r="H11" s="11" t="e">
        <f>NA()</f>
        <v>#N/A</v>
      </c>
      <c r="I11" s="11"/>
      <c r="J11" s="11"/>
      <c r="K11" s="11"/>
      <c r="L11" s="11" t="e">
        <f>NA()</f>
        <v>#N/A</v>
      </c>
      <c r="M11" s="11"/>
      <c r="N11" s="11" t="e">
        <f>NA()</f>
        <v>#N/A</v>
      </c>
      <c r="O11" s="11"/>
      <c r="P11" s="11"/>
      <c r="Q11" s="11"/>
      <c r="R11" s="11" t="e">
        <f>NA()</f>
        <v>#N/A</v>
      </c>
      <c r="S11" s="11" t="e">
        <f>NA()</f>
        <v>#N/A</v>
      </c>
      <c r="T11" s="11" t="e">
        <f>NA()</f>
        <v>#N/A</v>
      </c>
      <c r="U11" s="11" t="e">
        <f>NA()</f>
        <v>#N/A</v>
      </c>
      <c r="V11" s="12">
        <v>3.5099999999999999E-2</v>
      </c>
      <c r="W11" s="8"/>
      <c r="X11" s="9"/>
      <c r="Y11" s="9"/>
      <c r="Z11" s="1"/>
      <c r="AA11" s="1"/>
      <c r="AB11" s="1"/>
      <c r="AC11" s="1"/>
      <c r="AD11" s="1"/>
      <c r="AE11" s="1"/>
      <c r="AF11" s="1"/>
      <c r="AG11" s="1"/>
      <c r="AH11" s="1"/>
      <c r="AI11" s="1"/>
      <c r="AJ11" s="1"/>
      <c r="AK11" s="1"/>
      <c r="AL11" s="1"/>
      <c r="AM11" s="1"/>
      <c r="AN11" s="1"/>
      <c r="AO11" s="1"/>
    </row>
    <row r="12" spans="1:41" ht="15.75">
      <c r="A12" s="10">
        <v>1.5</v>
      </c>
      <c r="B12" s="11">
        <v>3.8100000000000002E-2</v>
      </c>
      <c r="C12" s="11">
        <v>3.8100000000000002E-2</v>
      </c>
      <c r="D12" s="11">
        <v>3.8100000000000002E-2</v>
      </c>
      <c r="E12" s="11">
        <v>4.496E-2</v>
      </c>
      <c r="F12" s="11">
        <v>4.2720000000000001E-2</v>
      </c>
      <c r="G12" s="11">
        <v>4.0890000000000003E-2</v>
      </c>
      <c r="H12" s="11">
        <v>3.8100000000000002E-2</v>
      </c>
      <c r="I12" s="11"/>
      <c r="J12" s="11"/>
      <c r="K12" s="11"/>
      <c r="L12" s="11">
        <v>4.0890000000000003E-2</v>
      </c>
      <c r="M12" s="11"/>
      <c r="N12" s="11">
        <v>3.8100000000000002E-2</v>
      </c>
      <c r="O12" s="11"/>
      <c r="P12" s="11"/>
      <c r="Q12" s="11"/>
      <c r="R12" s="11">
        <v>3.3989999999999999E-2</v>
      </c>
      <c r="S12" s="11">
        <v>4.0890000000000003E-2</v>
      </c>
      <c r="T12" s="11">
        <v>3.8100000000000002E-2</v>
      </c>
      <c r="U12" s="11">
        <v>2.794E-2</v>
      </c>
      <c r="V12" s="12">
        <v>4.0899999999999999E-2</v>
      </c>
      <c r="W12" s="8"/>
      <c r="X12" s="9"/>
      <c r="Y12" s="9"/>
      <c r="Z12" s="1"/>
      <c r="AA12" s="1"/>
      <c r="AB12" s="1"/>
      <c r="AC12" s="1"/>
      <c r="AD12" s="1"/>
      <c r="AE12" s="1"/>
      <c r="AF12" s="1"/>
      <c r="AG12" s="1"/>
      <c r="AH12" s="1"/>
      <c r="AI12" s="1"/>
      <c r="AJ12" s="1"/>
      <c r="AK12" s="1"/>
      <c r="AL12" s="1"/>
      <c r="AM12" s="1"/>
      <c r="AN12" s="1"/>
      <c r="AO12" s="1"/>
    </row>
    <row r="13" spans="1:41" ht="15.75">
      <c r="A13" s="10">
        <v>2</v>
      </c>
      <c r="B13" s="11">
        <v>5.2499999999999998E-2</v>
      </c>
      <c r="C13" s="11">
        <v>5.2499999999999998E-2</v>
      </c>
      <c r="D13" s="11">
        <v>4.9250000000000002E-2</v>
      </c>
      <c r="E13" s="11">
        <v>5.7020000000000001E-2</v>
      </c>
      <c r="F13" s="11">
        <v>5.4789999999999998E-2</v>
      </c>
      <c r="G13" s="11">
        <v>5.2499999999999998E-2</v>
      </c>
      <c r="H13" s="11">
        <v>4.9250000000000002E-2</v>
      </c>
      <c r="I13" s="11"/>
      <c r="J13" s="11"/>
      <c r="K13" s="11"/>
      <c r="L13" s="11">
        <v>5.2499999999999998E-2</v>
      </c>
      <c r="M13" s="11"/>
      <c r="N13" s="11">
        <v>4.9250000000000002E-2</v>
      </c>
      <c r="O13" s="11"/>
      <c r="P13" s="11"/>
      <c r="Q13" s="11"/>
      <c r="R13" s="11">
        <v>4.2900000000000001E-2</v>
      </c>
      <c r="S13" s="11">
        <v>5.2499999999999998E-2</v>
      </c>
      <c r="T13" s="11">
        <v>4.9250000000000002E-2</v>
      </c>
      <c r="U13" s="11">
        <v>3.8179999999999999E-2</v>
      </c>
      <c r="V13" s="12">
        <v>5.2499999999999998E-2</v>
      </c>
      <c r="W13" s="8"/>
      <c r="X13" s="9"/>
      <c r="Y13" s="9"/>
      <c r="Z13" s="1"/>
      <c r="AA13" s="1"/>
      <c r="AB13" s="1"/>
      <c r="AC13" s="1"/>
      <c r="AD13" s="1"/>
      <c r="AE13" s="1"/>
      <c r="AF13" s="1"/>
      <c r="AG13" s="1"/>
      <c r="AH13" s="1"/>
      <c r="AI13" s="1"/>
      <c r="AJ13" s="1"/>
      <c r="AK13" s="1"/>
      <c r="AL13" s="1"/>
      <c r="AM13" s="1"/>
      <c r="AN13" s="1"/>
      <c r="AO13" s="1"/>
    </row>
    <row r="14" spans="1:41" ht="15.75">
      <c r="A14" s="10">
        <v>2.5</v>
      </c>
      <c r="B14" s="11">
        <v>6.2710000000000002E-2</v>
      </c>
      <c r="C14" s="11">
        <v>6.2710000000000002E-2</v>
      </c>
      <c r="D14" s="11">
        <v>5.9000000000000004E-2</v>
      </c>
      <c r="E14" s="11">
        <v>6.8809999999999996E-2</v>
      </c>
      <c r="F14" s="11">
        <v>6.6930000000000003E-2</v>
      </c>
      <c r="G14" s="11">
        <v>6.2710000000000002E-2</v>
      </c>
      <c r="H14" s="11">
        <v>5.9000000000000004E-2</v>
      </c>
      <c r="I14" s="11"/>
      <c r="J14" s="11"/>
      <c r="K14" s="11"/>
      <c r="L14" s="11">
        <v>6.2710000000000002E-2</v>
      </c>
      <c r="M14" s="11"/>
      <c r="N14" s="11">
        <v>5.9000000000000004E-2</v>
      </c>
      <c r="O14" s="11"/>
      <c r="P14" s="11"/>
      <c r="Q14" s="11"/>
      <c r="R14" s="11">
        <v>5.3969999999999997E-2</v>
      </c>
      <c r="S14" s="11">
        <v>6.2710000000000002E-2</v>
      </c>
      <c r="T14" s="11">
        <v>5.9000000000000004E-2</v>
      </c>
      <c r="U14" s="11">
        <v>4.4979999999999999E-2</v>
      </c>
      <c r="V14" s="12">
        <v>6.2700000000000006E-2</v>
      </c>
      <c r="W14" s="8"/>
      <c r="X14" s="9"/>
      <c r="Y14" s="9"/>
      <c r="Z14" s="1"/>
      <c r="AA14" s="1"/>
      <c r="AB14" s="1"/>
      <c r="AC14" s="1"/>
      <c r="AD14" s="1"/>
      <c r="AE14" s="1"/>
      <c r="AF14" s="1"/>
      <c r="AG14" s="1"/>
      <c r="AH14" s="1"/>
      <c r="AI14" s="1"/>
      <c r="AJ14" s="1"/>
      <c r="AK14" s="1"/>
      <c r="AL14" s="1"/>
      <c r="AM14" s="1"/>
      <c r="AN14" s="1"/>
      <c r="AO14" s="1"/>
    </row>
    <row r="15" spans="1:41" ht="15.75">
      <c r="A15" s="10">
        <v>3</v>
      </c>
      <c r="B15" s="11">
        <v>7.7929999999999999E-2</v>
      </c>
      <c r="C15" s="11">
        <v>7.7929999999999999E-2</v>
      </c>
      <c r="D15" s="11">
        <v>7.3660000000000003E-2</v>
      </c>
      <c r="E15" s="11">
        <v>8.4680000000000005E-2</v>
      </c>
      <c r="F15" s="11">
        <v>8.2799999999999999E-2</v>
      </c>
      <c r="G15" s="11">
        <v>7.7929999999999999E-2</v>
      </c>
      <c r="H15" s="11">
        <v>7.3660000000000003E-2</v>
      </c>
      <c r="I15" s="11"/>
      <c r="J15" s="11"/>
      <c r="K15" s="11"/>
      <c r="L15" s="11">
        <v>7.7929999999999999E-2</v>
      </c>
      <c r="M15" s="11"/>
      <c r="N15" s="11">
        <v>7.3660000000000003E-2</v>
      </c>
      <c r="O15" s="11"/>
      <c r="P15" s="11"/>
      <c r="Q15" s="11"/>
      <c r="R15" s="11">
        <v>6.6650000000000001E-2</v>
      </c>
      <c r="S15" s="11">
        <v>7.7929999999999999E-2</v>
      </c>
      <c r="T15" s="11">
        <v>7.3660000000000003E-2</v>
      </c>
      <c r="U15" s="11">
        <v>5.842E-2</v>
      </c>
      <c r="V15" s="12">
        <v>7.7899999999999997E-2</v>
      </c>
      <c r="W15" s="8"/>
      <c r="X15" s="9"/>
      <c r="Y15" s="9"/>
      <c r="Z15" s="1"/>
      <c r="AA15" s="1"/>
      <c r="AB15" s="1"/>
      <c r="AC15" s="1"/>
      <c r="AD15" s="1"/>
      <c r="AE15" s="1"/>
      <c r="AF15" s="1"/>
      <c r="AG15" s="1"/>
      <c r="AH15" s="1"/>
      <c r="AI15" s="1"/>
      <c r="AJ15" s="1"/>
      <c r="AK15" s="1"/>
      <c r="AL15" s="1"/>
      <c r="AM15" s="1"/>
      <c r="AN15" s="1"/>
      <c r="AO15" s="1"/>
    </row>
    <row r="16" spans="1:41" ht="15.75">
      <c r="A16" s="10">
        <v>3.5</v>
      </c>
      <c r="B16" s="11">
        <v>9.0120000000000006E-2</v>
      </c>
      <c r="C16" s="11">
        <v>9.0120000000000006E-2</v>
      </c>
      <c r="D16" s="11">
        <v>8.5449999999999998E-2</v>
      </c>
      <c r="E16" s="11" t="e">
        <f>NA()</f>
        <v>#N/A</v>
      </c>
      <c r="F16" s="11" t="e">
        <f>NA()</f>
        <v>#N/A</v>
      </c>
      <c r="G16" s="11" t="e">
        <f>NA()</f>
        <v>#N/A</v>
      </c>
      <c r="H16" s="11" t="e">
        <f>NA()</f>
        <v>#N/A</v>
      </c>
      <c r="I16" s="11"/>
      <c r="J16" s="11"/>
      <c r="K16" s="11"/>
      <c r="L16" s="11" t="e">
        <f>NA()</f>
        <v>#N/A</v>
      </c>
      <c r="M16" s="11"/>
      <c r="N16" s="11" t="e">
        <f>NA()</f>
        <v>#N/A</v>
      </c>
      <c r="O16" s="11"/>
      <c r="P16" s="11" t="e">
        <f>NA()</f>
        <v>#N/A</v>
      </c>
      <c r="Q16" s="11"/>
      <c r="R16" s="11"/>
      <c r="S16" s="11" t="e">
        <f>NA()</f>
        <v>#N/A</v>
      </c>
      <c r="T16" s="11" t="e">
        <f>NA()</f>
        <v>#N/A</v>
      </c>
      <c r="U16" s="11" t="e">
        <f>NA()</f>
        <v>#N/A</v>
      </c>
      <c r="V16" s="12">
        <v>9.01E-2</v>
      </c>
      <c r="W16" s="8"/>
      <c r="X16" s="9"/>
      <c r="Y16" s="9"/>
      <c r="Z16" s="1"/>
      <c r="AA16" s="1"/>
      <c r="AB16" s="1"/>
      <c r="AC16" s="1"/>
      <c r="AD16" s="1"/>
      <c r="AE16" s="1"/>
      <c r="AF16" s="1"/>
      <c r="AG16" s="1"/>
      <c r="AH16" s="1"/>
      <c r="AI16" s="1"/>
      <c r="AJ16" s="1"/>
      <c r="AK16" s="1"/>
      <c r="AL16" s="1"/>
      <c r="AM16" s="1"/>
      <c r="AN16" s="1"/>
      <c r="AO16" s="1"/>
    </row>
    <row r="17" spans="1:41" ht="15.75">
      <c r="A17" s="10">
        <v>4</v>
      </c>
      <c r="B17" s="11">
        <v>0.10226</v>
      </c>
      <c r="C17" s="11">
        <v>0.10226</v>
      </c>
      <c r="D17" s="11">
        <v>9.7180000000000002E-2</v>
      </c>
      <c r="E17" s="11">
        <v>0.11008</v>
      </c>
      <c r="F17" s="11">
        <v>0.1082</v>
      </c>
      <c r="G17" s="11">
        <v>0.10226</v>
      </c>
      <c r="H17" s="11">
        <v>9.7180000000000002E-2</v>
      </c>
      <c r="I17" s="11"/>
      <c r="J17" s="11"/>
      <c r="K17" s="11"/>
      <c r="L17" s="11">
        <v>0.10226</v>
      </c>
      <c r="M17" s="11"/>
      <c r="N17" s="11">
        <v>9.7180000000000002E-2</v>
      </c>
      <c r="O17" s="11"/>
      <c r="P17" s="11">
        <v>9.2050000000000007E-2</v>
      </c>
      <c r="Q17" s="11"/>
      <c r="R17" s="11">
        <v>8.7330000000000005E-2</v>
      </c>
      <c r="S17" s="11">
        <v>0.10226</v>
      </c>
      <c r="T17" s="11">
        <v>9.7180000000000002E-2</v>
      </c>
      <c r="U17" s="11">
        <v>8.0060000000000006E-2</v>
      </c>
      <c r="V17" s="12">
        <v>0.1023</v>
      </c>
      <c r="W17" s="8"/>
      <c r="X17" s="9"/>
      <c r="Y17" s="9"/>
      <c r="Z17" s="1"/>
      <c r="AA17" s="1"/>
      <c r="AB17" s="1"/>
      <c r="AC17" s="1"/>
      <c r="AD17" s="1"/>
      <c r="AE17" s="1"/>
      <c r="AF17" s="1"/>
      <c r="AG17" s="1"/>
      <c r="AH17" s="1"/>
      <c r="AI17" s="1"/>
      <c r="AJ17" s="1"/>
      <c r="AK17" s="1"/>
      <c r="AL17" s="1"/>
      <c r="AM17" s="1"/>
      <c r="AN17" s="1"/>
      <c r="AO17" s="1"/>
    </row>
    <row r="18" spans="1:41" ht="15.75">
      <c r="A18" s="10">
        <v>5</v>
      </c>
      <c r="B18" s="11">
        <v>0.12819</v>
      </c>
      <c r="C18" s="11">
        <v>0.12819</v>
      </c>
      <c r="D18" s="11">
        <v>0.12225</v>
      </c>
      <c r="E18" s="11">
        <v>0.13575999999999999</v>
      </c>
      <c r="F18" s="11" t="e">
        <f>NA()</f>
        <v>#N/A</v>
      </c>
      <c r="G18" s="11" t="e">
        <f>NA()</f>
        <v>#N/A</v>
      </c>
      <c r="H18" s="11" t="e">
        <f>NA()</f>
        <v>#N/A</v>
      </c>
      <c r="I18" s="11"/>
      <c r="J18" s="11"/>
      <c r="K18" s="11"/>
      <c r="L18" s="11" t="e">
        <f>NA()</f>
        <v>#N/A</v>
      </c>
      <c r="M18" s="11"/>
      <c r="N18" s="11" t="e">
        <f>NA()</f>
        <v>#N/A</v>
      </c>
      <c r="O18" s="11"/>
      <c r="P18" s="11" t="e">
        <f>NA()</f>
        <v>#N/A</v>
      </c>
      <c r="Q18" s="11"/>
      <c r="R18" s="11"/>
      <c r="S18" s="11" t="e">
        <f>NA()</f>
        <v>#N/A</v>
      </c>
      <c r="T18" s="11" t="e">
        <f>NA()</f>
        <v>#N/A</v>
      </c>
      <c r="U18" s="11" t="e">
        <f>NA()</f>
        <v>#N/A</v>
      </c>
      <c r="V18" s="12">
        <v>0.12820000000000001</v>
      </c>
      <c r="W18" s="8"/>
      <c r="X18" s="9"/>
      <c r="Y18" s="9"/>
      <c r="Z18" s="1"/>
      <c r="AA18" s="1"/>
      <c r="AB18" s="1"/>
      <c r="AC18" s="1"/>
      <c r="AD18" s="1"/>
      <c r="AE18" s="1"/>
      <c r="AF18" s="1"/>
      <c r="AG18" s="1"/>
      <c r="AH18" s="1"/>
      <c r="AI18" s="1"/>
      <c r="AJ18" s="1"/>
      <c r="AK18" s="1"/>
      <c r="AL18" s="1"/>
      <c r="AM18" s="1"/>
      <c r="AN18" s="1"/>
      <c r="AO18" s="1"/>
    </row>
    <row r="19" spans="1:41" ht="16.5" thickBot="1">
      <c r="A19" s="10">
        <v>6</v>
      </c>
      <c r="B19" s="11">
        <v>0.15404999999999999</v>
      </c>
      <c r="C19" s="11">
        <v>0.15404999999999999</v>
      </c>
      <c r="D19" s="11">
        <v>0.14632999999999999</v>
      </c>
      <c r="E19" s="11">
        <v>0.16274</v>
      </c>
      <c r="F19" s="11">
        <v>0.16147</v>
      </c>
      <c r="G19" s="11">
        <v>0.15404999999999999</v>
      </c>
      <c r="H19" s="11">
        <v>0.14632999999999999</v>
      </c>
      <c r="I19" s="11"/>
      <c r="J19" s="11" t="e">
        <f>NA()</f>
        <v>#N/A</v>
      </c>
      <c r="K19" s="11" t="e">
        <f>NA()</f>
        <v>#N/A</v>
      </c>
      <c r="L19" s="11">
        <v>0.15404999999999999</v>
      </c>
      <c r="M19" s="11" t="e">
        <f>NA()</f>
        <v>#N/A</v>
      </c>
      <c r="N19" s="11">
        <v>0.14632999999999999</v>
      </c>
      <c r="O19" s="11" t="e">
        <f>NA()</f>
        <v>#N/A</v>
      </c>
      <c r="P19" s="11">
        <v>0.13972999999999999</v>
      </c>
      <c r="Q19" s="11"/>
      <c r="R19" s="11">
        <v>0.1318</v>
      </c>
      <c r="S19" s="11">
        <v>0.15404999999999999</v>
      </c>
      <c r="T19" s="11">
        <v>0.14632999999999999</v>
      </c>
      <c r="U19" s="11">
        <v>0.12438</v>
      </c>
      <c r="V19" s="12">
        <v>0.15409999999999999</v>
      </c>
      <c r="W19" s="8"/>
      <c r="X19" s="9"/>
      <c r="Y19" s="9"/>
      <c r="Z19" s="1"/>
      <c r="AA19" s="1"/>
      <c r="AB19" s="1"/>
      <c r="AC19" s="1"/>
      <c r="AD19" s="1"/>
      <c r="AE19" s="1"/>
      <c r="AF19" s="1"/>
      <c r="AG19" s="1"/>
      <c r="AH19" s="1"/>
      <c r="AI19" s="1"/>
      <c r="AJ19" s="1"/>
      <c r="AK19" s="1"/>
      <c r="AL19" s="1"/>
      <c r="AM19" s="1"/>
      <c r="AN19" s="1"/>
      <c r="AO19" s="1"/>
    </row>
    <row r="20" spans="1:41" ht="16.5" thickTop="1">
      <c r="A20" s="10">
        <v>8</v>
      </c>
      <c r="B20" s="11">
        <v>0.20499999999999999</v>
      </c>
      <c r="C20" s="11">
        <v>0.20499999999999999</v>
      </c>
      <c r="D20" s="11">
        <v>0.19367999999999999</v>
      </c>
      <c r="E20" s="11">
        <v>0.21354000000000001</v>
      </c>
      <c r="F20" s="11">
        <v>0.21156</v>
      </c>
      <c r="G20" s="11">
        <v>0.20272000000000001</v>
      </c>
      <c r="H20" s="11">
        <v>0.19367000000000001</v>
      </c>
      <c r="I20" s="11"/>
      <c r="J20" s="11">
        <v>0.20637</v>
      </c>
      <c r="K20" s="11">
        <v>0.20499999999999999</v>
      </c>
      <c r="L20" s="11">
        <v>0.20272000000000001</v>
      </c>
      <c r="M20" s="11">
        <v>0.19844999999999999</v>
      </c>
      <c r="N20" s="11">
        <v>0.19367000000000001</v>
      </c>
      <c r="O20" s="11">
        <v>0.18895000000000001</v>
      </c>
      <c r="P20" s="11">
        <v>0.18260000000000001</v>
      </c>
      <c r="Q20" s="11"/>
      <c r="R20" s="11">
        <v>0.17305000000000001</v>
      </c>
      <c r="S20" s="11">
        <v>0.20272000000000001</v>
      </c>
      <c r="T20" s="11">
        <v>0.19367000000000001</v>
      </c>
      <c r="U20" s="11">
        <v>0.17462</v>
      </c>
      <c r="V20" s="12">
        <v>0.20269999999999999</v>
      </c>
      <c r="W20" s="8"/>
      <c r="X20" s="18" t="s">
        <v>11</v>
      </c>
      <c r="Y20" s="19"/>
      <c r="Z20" s="1"/>
      <c r="AA20" s="1"/>
      <c r="AB20" s="1"/>
      <c r="AC20" s="1"/>
      <c r="AD20" s="1"/>
      <c r="AE20" s="1"/>
      <c r="AF20" s="1"/>
      <c r="AG20" s="1"/>
      <c r="AH20" s="1"/>
      <c r="AI20" s="1"/>
      <c r="AJ20" s="1"/>
      <c r="AK20" s="1"/>
      <c r="AL20" s="1"/>
      <c r="AM20" s="1"/>
      <c r="AN20" s="1"/>
      <c r="AO20" s="1"/>
    </row>
    <row r="21" spans="1:41" ht="16.5" thickBot="1">
      <c r="A21" s="10">
        <v>10</v>
      </c>
      <c r="B21" s="11">
        <v>0.25745000000000001</v>
      </c>
      <c r="C21" s="11">
        <v>0.25745000000000001</v>
      </c>
      <c r="D21" s="11">
        <v>0.24765000000000001</v>
      </c>
      <c r="E21" s="11">
        <v>0.26623999999999998</v>
      </c>
      <c r="F21" s="11">
        <v>0.26467000000000002</v>
      </c>
      <c r="G21" s="11">
        <v>0.25451000000000001</v>
      </c>
      <c r="H21" s="11">
        <v>0.24765000000000001</v>
      </c>
      <c r="I21" s="11"/>
      <c r="J21" s="11">
        <v>0.26035000000000003</v>
      </c>
      <c r="K21" s="11">
        <v>0.25745000000000001</v>
      </c>
      <c r="L21" s="11">
        <v>0.25451000000000001</v>
      </c>
      <c r="M21" s="11" t="e">
        <f>NA()</f>
        <v>#N/A</v>
      </c>
      <c r="N21" s="11">
        <v>0.24765000000000001</v>
      </c>
      <c r="O21" s="11">
        <v>0.23658000000000001</v>
      </c>
      <c r="P21" s="11">
        <v>0.23022999999999999</v>
      </c>
      <c r="Q21" s="11">
        <v>0.22225</v>
      </c>
      <c r="R21" s="11">
        <v>0.21590000000000001</v>
      </c>
      <c r="S21" s="11">
        <v>0.25451000000000001</v>
      </c>
      <c r="T21" s="11">
        <v>0.24765000000000001</v>
      </c>
      <c r="U21" s="11">
        <v>0.22225</v>
      </c>
      <c r="V21" s="12">
        <v>0.2545</v>
      </c>
      <c r="W21" s="8"/>
      <c r="X21" s="20" t="s">
        <v>12</v>
      </c>
      <c r="Y21" s="21"/>
      <c r="Z21" s="1"/>
      <c r="AA21" s="1"/>
      <c r="AB21" s="151"/>
      <c r="AC21" s="1"/>
      <c r="AD21" s="1"/>
      <c r="AE21" s="1"/>
      <c r="AF21" s="1"/>
      <c r="AG21" s="1"/>
      <c r="AH21" s="1"/>
      <c r="AI21" s="1"/>
      <c r="AJ21" s="1"/>
      <c r="AK21" s="1"/>
      <c r="AL21" s="1"/>
      <c r="AM21" s="1"/>
      <c r="AN21" s="1"/>
      <c r="AO21" s="1"/>
    </row>
    <row r="22" spans="1:41" ht="16.5" thickTop="1">
      <c r="A22" s="10">
        <v>12</v>
      </c>
      <c r="B22" s="11">
        <v>0.30708999999999997</v>
      </c>
      <c r="C22" s="11">
        <v>0.30708999999999997</v>
      </c>
      <c r="D22" s="11">
        <v>0.29844999999999999</v>
      </c>
      <c r="E22" s="11">
        <v>0.31546999999999997</v>
      </c>
      <c r="F22" s="11">
        <v>0.31470999999999999</v>
      </c>
      <c r="G22" s="11">
        <v>0.30480000000000002</v>
      </c>
      <c r="H22" s="11">
        <v>0.29844999999999999</v>
      </c>
      <c r="I22" s="11" t="e">
        <f>NA()</f>
        <v>#N/A</v>
      </c>
      <c r="J22" s="11">
        <v>0.31114999999999998</v>
      </c>
      <c r="K22" s="11">
        <v>0.30708999999999997</v>
      </c>
      <c r="L22" s="11">
        <v>0.30321999999999999</v>
      </c>
      <c r="M22" s="11">
        <v>0.29530000000000001</v>
      </c>
      <c r="N22" s="11">
        <v>0.28894999999999998</v>
      </c>
      <c r="O22" s="11">
        <v>0.28103</v>
      </c>
      <c r="P22" s="11">
        <v>0.27305000000000001</v>
      </c>
      <c r="Q22" s="11">
        <v>0.26669999999999999</v>
      </c>
      <c r="R22" s="11">
        <v>0.25719999999999998</v>
      </c>
      <c r="S22" s="11">
        <v>0.30480000000000002</v>
      </c>
      <c r="T22" s="11">
        <v>0.29844999999999999</v>
      </c>
      <c r="U22" s="11">
        <v>0.27305000000000001</v>
      </c>
      <c r="V22" s="12">
        <v>0.30320000000000003</v>
      </c>
      <c r="W22" s="8"/>
      <c r="X22" s="9"/>
      <c r="Y22" s="9"/>
      <c r="Z22" s="1"/>
      <c r="AA22" s="1"/>
      <c r="AB22" s="1"/>
      <c r="AC22" s="1"/>
      <c r="AD22" s="1"/>
      <c r="AE22" s="1"/>
      <c r="AF22" s="1"/>
      <c r="AG22" s="1"/>
      <c r="AH22" s="1"/>
      <c r="AI22" s="1"/>
      <c r="AJ22" s="1"/>
      <c r="AK22" s="1"/>
      <c r="AL22" s="1"/>
      <c r="AM22" s="1"/>
      <c r="AN22" s="1"/>
      <c r="AO22" s="1"/>
    </row>
    <row r="23" spans="1:41" ht="16.5" thickBot="1">
      <c r="A23" s="10">
        <v>14</v>
      </c>
      <c r="B23" s="11">
        <v>0.33655000000000002</v>
      </c>
      <c r="C23" s="11">
        <v>0.33655000000000002</v>
      </c>
      <c r="D23" s="11">
        <v>0.33019999999999999</v>
      </c>
      <c r="E23" s="11">
        <v>0.34767999999999999</v>
      </c>
      <c r="F23" s="11">
        <v>0.34605000000000002</v>
      </c>
      <c r="G23" s="11" t="e">
        <f>NA()</f>
        <v>#N/A</v>
      </c>
      <c r="H23" s="11" t="e">
        <f>NA()</f>
        <v>#N/A</v>
      </c>
      <c r="I23" s="11">
        <v>0.34289999999999998</v>
      </c>
      <c r="J23" s="11">
        <v>0.33975</v>
      </c>
      <c r="K23" s="11">
        <v>0.33655000000000002</v>
      </c>
      <c r="L23" s="11">
        <v>0.33334999999999998</v>
      </c>
      <c r="M23" s="11">
        <v>0.32547999999999999</v>
      </c>
      <c r="N23" s="11">
        <v>0.3175</v>
      </c>
      <c r="O23" s="11">
        <v>0.308</v>
      </c>
      <c r="P23" s="11">
        <v>0.30008000000000001</v>
      </c>
      <c r="Q23" s="11">
        <v>0.29210000000000003</v>
      </c>
      <c r="R23" s="11">
        <v>0.28417999999999999</v>
      </c>
      <c r="S23" s="11">
        <v>0.33655000000000002</v>
      </c>
      <c r="T23" s="11">
        <v>0.33019999999999999</v>
      </c>
      <c r="U23" s="11" t="e">
        <f>NA()</f>
        <v>#N/A</v>
      </c>
      <c r="V23" s="12">
        <v>0.33339999999999997</v>
      </c>
      <c r="W23" s="8"/>
      <c r="X23" s="1" t="s">
        <v>13</v>
      </c>
      <c r="Y23" s="9"/>
      <c r="Z23" s="1"/>
      <c r="AA23" s="1"/>
      <c r="AB23" s="1"/>
      <c r="AC23" s="1"/>
      <c r="AD23" s="1"/>
      <c r="AE23" s="1"/>
      <c r="AF23" s="1"/>
      <c r="AG23" s="1"/>
      <c r="AH23" s="1"/>
      <c r="AI23" s="1"/>
      <c r="AJ23" s="1"/>
      <c r="AK23" s="1"/>
      <c r="AL23" s="1"/>
      <c r="AM23" s="1"/>
      <c r="AN23" s="1"/>
      <c r="AO23" s="1"/>
    </row>
    <row r="24" spans="1:41" ht="16.5" thickTop="1">
      <c r="A24" s="10">
        <v>16</v>
      </c>
      <c r="B24" s="11">
        <v>0.38735000000000003</v>
      </c>
      <c r="C24" s="11">
        <v>0.38735000000000003</v>
      </c>
      <c r="D24" s="11">
        <v>0.38100000000000001</v>
      </c>
      <c r="E24" s="11">
        <v>0.39801999999999998</v>
      </c>
      <c r="F24" s="11">
        <v>0.39684999999999998</v>
      </c>
      <c r="G24" s="11"/>
      <c r="H24" s="11"/>
      <c r="I24" s="11">
        <v>0.39369999999999999</v>
      </c>
      <c r="J24" s="11">
        <v>0.39055000000000001</v>
      </c>
      <c r="K24" s="11">
        <v>0.38735000000000003</v>
      </c>
      <c r="L24" s="11">
        <v>0.38100000000000001</v>
      </c>
      <c r="M24" s="11">
        <v>0.37307000000000001</v>
      </c>
      <c r="N24" s="11">
        <v>0.36358000000000001</v>
      </c>
      <c r="O24" s="11">
        <v>0.35403000000000001</v>
      </c>
      <c r="P24" s="11">
        <v>0.34453</v>
      </c>
      <c r="Q24" s="11">
        <v>0.33334999999999998</v>
      </c>
      <c r="R24" s="11">
        <v>0.32547999999999999</v>
      </c>
      <c r="S24" s="11">
        <v>0.38735000000000003</v>
      </c>
      <c r="T24" s="11">
        <v>0.38100000000000001</v>
      </c>
      <c r="U24" s="11"/>
      <c r="V24" s="12">
        <v>0.38100000000000001</v>
      </c>
      <c r="W24" s="8"/>
      <c r="X24" s="22">
        <v>0</v>
      </c>
      <c r="Y24" s="9"/>
      <c r="Z24" s="1"/>
      <c r="AA24" s="1"/>
      <c r="AB24" s="1"/>
      <c r="AC24" s="1"/>
      <c r="AD24" s="1"/>
      <c r="AE24" s="1"/>
      <c r="AF24" s="1"/>
      <c r="AG24" s="1"/>
      <c r="AH24" s="1"/>
      <c r="AI24" s="1"/>
      <c r="AJ24" s="1"/>
      <c r="AK24" s="1"/>
      <c r="AL24" s="1"/>
      <c r="AM24" s="1"/>
      <c r="AN24" s="1"/>
      <c r="AO24" s="1"/>
    </row>
    <row r="25" spans="1:41" ht="15.75">
      <c r="A25" s="10">
        <v>18</v>
      </c>
      <c r="B25" s="11">
        <v>0.43814999999999998</v>
      </c>
      <c r="C25" s="11">
        <v>0.43180000000000002</v>
      </c>
      <c r="D25" s="11">
        <v>0.43180000000000002</v>
      </c>
      <c r="E25" s="11">
        <v>0.44882</v>
      </c>
      <c r="F25" s="11">
        <v>0.44764999999999999</v>
      </c>
      <c r="G25" s="11"/>
      <c r="H25" s="11"/>
      <c r="I25" s="11">
        <v>0.44450000000000001</v>
      </c>
      <c r="J25" s="11">
        <v>0.44135000000000002</v>
      </c>
      <c r="K25" s="11">
        <v>0.43495</v>
      </c>
      <c r="L25" s="11">
        <v>0.42864999999999998</v>
      </c>
      <c r="M25" s="11">
        <v>0.41909999999999997</v>
      </c>
      <c r="N25" s="11">
        <v>0.40960000000000002</v>
      </c>
      <c r="O25" s="11">
        <v>0.39846999999999999</v>
      </c>
      <c r="P25" s="11">
        <v>0.38735000000000003</v>
      </c>
      <c r="Q25" s="11">
        <v>0.37785000000000002</v>
      </c>
      <c r="R25" s="11">
        <v>0.36671999999999999</v>
      </c>
      <c r="S25" s="11">
        <v>0.43814999999999998</v>
      </c>
      <c r="T25" s="11">
        <v>0.43180000000000002</v>
      </c>
      <c r="U25" s="11"/>
      <c r="V25" s="12">
        <v>0.42859999999999998</v>
      </c>
      <c r="W25" s="8"/>
      <c r="X25" s="25">
        <v>0.25</v>
      </c>
      <c r="Y25" s="9"/>
      <c r="Z25" s="1"/>
      <c r="AA25" s="1"/>
      <c r="AB25" s="1"/>
      <c r="AC25" s="1"/>
      <c r="AD25" s="1"/>
      <c r="AE25" s="1"/>
      <c r="AF25" s="1"/>
      <c r="AG25" s="1"/>
      <c r="AH25" s="1"/>
      <c r="AI25" s="1"/>
      <c r="AJ25" s="1"/>
      <c r="AK25" s="1"/>
      <c r="AL25" s="1"/>
      <c r="AM25" s="1"/>
      <c r="AN25" s="1"/>
      <c r="AO25" s="1"/>
    </row>
    <row r="26" spans="1:41" ht="15.75">
      <c r="A26" s="10">
        <v>20</v>
      </c>
      <c r="B26" s="11">
        <v>0.48895</v>
      </c>
      <c r="C26" s="11">
        <v>0.47788000000000003</v>
      </c>
      <c r="D26" s="11">
        <v>0.48259999999999997</v>
      </c>
      <c r="E26" s="11">
        <v>0.49845</v>
      </c>
      <c r="F26" s="11">
        <v>0.49692999999999998</v>
      </c>
      <c r="G26" s="11"/>
      <c r="H26" s="11"/>
      <c r="I26" s="11">
        <v>0.49530000000000002</v>
      </c>
      <c r="J26" s="11">
        <v>0.48895</v>
      </c>
      <c r="K26" s="11">
        <v>0.48259999999999997</v>
      </c>
      <c r="L26" s="11">
        <v>0.47788000000000003</v>
      </c>
      <c r="M26" s="11">
        <v>0.46675</v>
      </c>
      <c r="N26" s="11">
        <v>0.45562999999999998</v>
      </c>
      <c r="O26" s="11">
        <v>0.44291999999999998</v>
      </c>
      <c r="P26" s="11">
        <v>0.43180000000000002</v>
      </c>
      <c r="Q26" s="11">
        <v>0.41909999999999997</v>
      </c>
      <c r="R26" s="11">
        <v>0.40803</v>
      </c>
      <c r="S26" s="11">
        <v>0.48895</v>
      </c>
      <c r="T26" s="11">
        <v>0.48259999999999997</v>
      </c>
      <c r="U26" s="11"/>
      <c r="V26" s="12">
        <v>0.47789999999999999</v>
      </c>
      <c r="W26" s="8"/>
      <c r="X26" s="25">
        <v>0.5</v>
      </c>
      <c r="Y26" s="9"/>
      <c r="Z26" s="1"/>
      <c r="AA26" s="1"/>
      <c r="AB26" s="1"/>
      <c r="AC26" s="1"/>
      <c r="AD26" s="1"/>
      <c r="AE26" s="1"/>
      <c r="AF26" s="1"/>
      <c r="AG26" s="1"/>
      <c r="AH26" s="1"/>
      <c r="AI26" s="1"/>
      <c r="AJ26" s="1"/>
      <c r="AK26" s="1"/>
      <c r="AL26" s="1"/>
      <c r="AM26" s="1"/>
      <c r="AN26" s="1"/>
      <c r="AO26" s="1"/>
    </row>
    <row r="27" spans="1:41" ht="15.75">
      <c r="A27" s="10">
        <v>22</v>
      </c>
      <c r="B27" s="11">
        <v>0.53969999999999996</v>
      </c>
      <c r="C27" s="11" t="e">
        <f>NA()</f>
        <v>#N/A</v>
      </c>
      <c r="D27" s="11" t="e">
        <f>NA()</f>
        <v>#N/A</v>
      </c>
      <c r="E27" s="11">
        <v>0.54925000000000002</v>
      </c>
      <c r="F27" s="11">
        <v>0.54773000000000005</v>
      </c>
      <c r="G27" s="11" t="s">
        <v>10</v>
      </c>
      <c r="H27" s="11"/>
      <c r="I27" s="11">
        <v>0.54610000000000003</v>
      </c>
      <c r="J27" s="11">
        <v>0.53974999999999995</v>
      </c>
      <c r="K27" s="11">
        <v>0.53339999999999999</v>
      </c>
      <c r="L27" s="11" t="e">
        <f>NA()</f>
        <v>#N/A</v>
      </c>
      <c r="M27" s="11">
        <v>0.51434999999999997</v>
      </c>
      <c r="N27" s="11">
        <v>0.50165000000000004</v>
      </c>
      <c r="O27" s="11">
        <v>0.48895</v>
      </c>
      <c r="P27" s="11">
        <v>0.47625000000000001</v>
      </c>
      <c r="Q27" s="11">
        <v>0.46355000000000002</v>
      </c>
      <c r="R27" s="11">
        <v>0.45084999999999997</v>
      </c>
      <c r="S27" s="11">
        <v>0.53974999999999995</v>
      </c>
      <c r="T27" s="11">
        <v>0.53339999999999999</v>
      </c>
      <c r="U27" s="11"/>
      <c r="V27" s="12">
        <v>0.53969999999999996</v>
      </c>
      <c r="W27" s="8"/>
      <c r="X27" s="25">
        <v>1</v>
      </c>
      <c r="Y27" s="9"/>
      <c r="Z27" s="1"/>
      <c r="AA27" s="1"/>
      <c r="AB27" s="1"/>
      <c r="AC27" s="1"/>
      <c r="AD27" s="1"/>
      <c r="AE27" s="1"/>
      <c r="AF27" s="1"/>
      <c r="AG27" s="1"/>
      <c r="AH27" s="1"/>
      <c r="AI27" s="1"/>
      <c r="AJ27" s="1"/>
      <c r="AK27" s="1"/>
      <c r="AL27" s="1"/>
      <c r="AM27" s="1"/>
      <c r="AN27" s="1"/>
      <c r="AO27" s="1"/>
    </row>
    <row r="28" spans="1:41" ht="15.75">
      <c r="A28" s="10">
        <v>24</v>
      </c>
      <c r="B28" s="11">
        <v>0.59050000000000002</v>
      </c>
      <c r="C28" s="11"/>
      <c r="D28" s="11"/>
      <c r="E28" s="11">
        <v>0.59853000000000001</v>
      </c>
      <c r="F28" s="11">
        <v>0.59689999999999999</v>
      </c>
      <c r="G28" s="11"/>
      <c r="H28" s="11"/>
      <c r="I28" s="11">
        <v>0.59689999999999999</v>
      </c>
      <c r="J28" s="11">
        <v>0.59055000000000002</v>
      </c>
      <c r="K28" s="11">
        <v>0.58104999999999996</v>
      </c>
      <c r="L28" s="11">
        <v>0.57469999999999999</v>
      </c>
      <c r="M28" s="11">
        <v>0.56042999999999998</v>
      </c>
      <c r="N28" s="11">
        <v>0.54773000000000005</v>
      </c>
      <c r="O28" s="11">
        <v>0.53181999999999996</v>
      </c>
      <c r="P28" s="11">
        <v>0.51754999999999995</v>
      </c>
      <c r="Q28" s="11">
        <v>0.50465000000000004</v>
      </c>
      <c r="R28" s="11">
        <v>0.49058000000000002</v>
      </c>
      <c r="S28" s="11">
        <v>0.59055000000000002</v>
      </c>
      <c r="T28" s="11">
        <v>0.58420000000000005</v>
      </c>
      <c r="U28" s="11"/>
      <c r="V28" s="12">
        <v>0.59050000000000002</v>
      </c>
      <c r="W28" s="8"/>
      <c r="X28" s="25">
        <v>1.5</v>
      </c>
      <c r="Y28" s="9"/>
      <c r="Z28" s="1"/>
      <c r="AA28" s="1"/>
      <c r="AB28" s="1"/>
      <c r="AC28" s="1"/>
      <c r="AD28" s="1"/>
      <c r="AE28" s="1"/>
      <c r="AF28" s="1"/>
      <c r="AG28" s="1"/>
      <c r="AH28" s="1"/>
      <c r="AI28" s="1"/>
      <c r="AJ28" s="1"/>
      <c r="AK28" s="1"/>
      <c r="AL28" s="1"/>
      <c r="AM28" s="1"/>
      <c r="AN28" s="1"/>
      <c r="AO28" s="1"/>
    </row>
    <row r="29" spans="1:41" ht="15.75">
      <c r="A29" s="10">
        <v>26</v>
      </c>
      <c r="B29" s="11">
        <v>0.64129999999999998</v>
      </c>
      <c r="C29" s="11"/>
      <c r="D29" s="11"/>
      <c r="E29" s="11" t="e">
        <f>NA()</f>
        <v>#N/A</v>
      </c>
      <c r="F29" s="11" t="e">
        <f>NA()</f>
        <v>#N/A</v>
      </c>
      <c r="G29" s="11"/>
      <c r="H29" s="11"/>
      <c r="I29" s="11">
        <v>0.64415999999999995</v>
      </c>
      <c r="J29" s="11">
        <v>0.63500000000000001</v>
      </c>
      <c r="K29" s="11" t="e">
        <f>NA()</f>
        <v>#N/A</v>
      </c>
      <c r="L29" s="11" t="e">
        <f>NA()</f>
        <v>#N/A</v>
      </c>
      <c r="M29" s="11" t="e">
        <f>NA()</f>
        <v>#N/A</v>
      </c>
      <c r="N29" s="11" t="e">
        <f>NA()</f>
        <v>#N/A</v>
      </c>
      <c r="O29" s="11" t="e">
        <f>NA()</f>
        <v>#N/A</v>
      </c>
      <c r="P29" s="11" t="e">
        <f>NA()</f>
        <v>#N/A</v>
      </c>
      <c r="Q29" s="11" t="e">
        <f>NA()</f>
        <v>#N/A</v>
      </c>
      <c r="R29" s="11" t="e">
        <f>NA()</f>
        <v>#N/A</v>
      </c>
      <c r="S29" s="11">
        <v>0.64134999999999998</v>
      </c>
      <c r="T29" s="11">
        <v>0.63500000000000001</v>
      </c>
      <c r="U29" s="11"/>
      <c r="V29" s="12">
        <v>0.64129999999999998</v>
      </c>
      <c r="W29" s="13"/>
      <c r="X29" s="25">
        <v>2</v>
      </c>
      <c r="Y29" s="14"/>
      <c r="Z29" s="1"/>
      <c r="AA29" s="1"/>
      <c r="AB29" s="1"/>
      <c r="AC29" s="1"/>
      <c r="AD29" s="1"/>
      <c r="AE29" s="1"/>
      <c r="AF29" s="1"/>
      <c r="AG29" s="1"/>
      <c r="AH29" s="1"/>
      <c r="AI29" s="1"/>
      <c r="AJ29" s="1"/>
      <c r="AK29" s="1"/>
      <c r="AL29" s="1"/>
      <c r="AM29" s="1"/>
      <c r="AN29" s="1"/>
      <c r="AO29" s="1"/>
    </row>
    <row r="30" spans="1:41" ht="15.75">
      <c r="A30" s="10">
        <v>28</v>
      </c>
      <c r="B30" s="11">
        <v>0.69210000000000005</v>
      </c>
      <c r="C30" s="11"/>
      <c r="D30" s="11"/>
      <c r="E30" s="11" t="e">
        <f>NA()</f>
        <v>#N/A</v>
      </c>
      <c r="F30" s="11" t="e">
        <f>NA()</f>
        <v>#N/A</v>
      </c>
      <c r="G30" s="11"/>
      <c r="H30" s="11"/>
      <c r="I30" s="11">
        <v>0.69516</v>
      </c>
      <c r="J30" s="11">
        <v>0.68559999999999999</v>
      </c>
      <c r="K30" s="11">
        <v>0.67923999999999995</v>
      </c>
      <c r="L30" s="11" t="e">
        <f>NA()</f>
        <v>#N/A</v>
      </c>
      <c r="M30" s="11"/>
      <c r="N30" s="11"/>
      <c r="O30" s="11"/>
      <c r="P30" s="11"/>
      <c r="Q30" s="11"/>
      <c r="R30" s="11"/>
      <c r="S30" s="11">
        <v>0.69194</v>
      </c>
      <c r="T30" s="11">
        <v>0.68559999999999999</v>
      </c>
      <c r="U30" s="11"/>
      <c r="V30" s="12">
        <v>0.69210000000000005</v>
      </c>
      <c r="W30" s="13"/>
      <c r="X30" s="25">
        <v>4</v>
      </c>
      <c r="Y30" s="14"/>
      <c r="Z30" s="1"/>
      <c r="AA30" s="1"/>
      <c r="AB30" s="1"/>
      <c r="AC30" s="1"/>
      <c r="AD30" s="1"/>
      <c r="AE30" s="1"/>
      <c r="AF30" s="1"/>
      <c r="AG30" s="1"/>
      <c r="AH30" s="1"/>
      <c r="AI30" s="1"/>
      <c r="AJ30" s="1"/>
      <c r="AK30" s="1"/>
      <c r="AL30" s="1"/>
      <c r="AM30" s="1"/>
      <c r="AN30" s="1"/>
      <c r="AO30" s="1"/>
    </row>
    <row r="31" spans="1:41" ht="16.5" thickBot="1">
      <c r="A31" s="10">
        <v>30</v>
      </c>
      <c r="B31" s="11">
        <v>0.7429</v>
      </c>
      <c r="C31" s="11"/>
      <c r="D31" s="11"/>
      <c r="E31" s="11">
        <v>0.74929999999999997</v>
      </c>
      <c r="F31" s="11">
        <v>0.74616000000000005</v>
      </c>
      <c r="G31" s="11"/>
      <c r="H31" s="11"/>
      <c r="I31" s="11">
        <v>0.74616000000000005</v>
      </c>
      <c r="J31" s="11">
        <v>0.73660000000000003</v>
      </c>
      <c r="K31" s="11">
        <v>0.73024</v>
      </c>
      <c r="L31" s="11" t="e">
        <f>NA()</f>
        <v>#N/A</v>
      </c>
      <c r="M31" s="11"/>
      <c r="N31" s="11"/>
      <c r="O31" s="11"/>
      <c r="P31" s="11"/>
      <c r="Q31" s="11"/>
      <c r="R31" s="11"/>
      <c r="S31" s="11">
        <v>0.74294000000000004</v>
      </c>
      <c r="T31" s="11">
        <v>0.73660000000000003</v>
      </c>
      <c r="U31" s="11"/>
      <c r="V31" s="12">
        <v>0.7429</v>
      </c>
      <c r="W31" s="13"/>
      <c r="X31" s="28" t="s">
        <v>19</v>
      </c>
      <c r="Y31" s="14"/>
      <c r="Z31" s="1"/>
      <c r="AA31" s="1"/>
      <c r="AB31" s="1"/>
      <c r="AC31" s="1"/>
      <c r="AD31" s="1"/>
      <c r="AE31" s="1"/>
      <c r="AF31" s="1"/>
      <c r="AG31" s="1"/>
      <c r="AH31" s="1"/>
      <c r="AI31" s="1"/>
      <c r="AJ31" s="1"/>
      <c r="AK31" s="1"/>
      <c r="AL31" s="1"/>
      <c r="AM31" s="1"/>
      <c r="AN31" s="1"/>
      <c r="AO31" s="1"/>
    </row>
    <row r="32" spans="1:41" ht="17.25" thickTop="1" thickBot="1">
      <c r="A32" s="10">
        <v>32</v>
      </c>
      <c r="B32" s="11">
        <v>0.79369999999999996</v>
      </c>
      <c r="C32" s="11"/>
      <c r="D32" s="11"/>
      <c r="E32" s="11" t="e">
        <f>NA()</f>
        <v>#N/A</v>
      </c>
      <c r="F32" s="11" t="e">
        <f>NA()</f>
        <v>#N/A</v>
      </c>
      <c r="G32" s="11"/>
      <c r="H32" s="11"/>
      <c r="I32" s="11">
        <v>0.79715999999999998</v>
      </c>
      <c r="J32" s="11">
        <v>0.78759999999999997</v>
      </c>
      <c r="K32" s="11">
        <v>0.78124000000000005</v>
      </c>
      <c r="L32" s="11">
        <v>0.77803999999999995</v>
      </c>
      <c r="M32" s="11"/>
      <c r="N32" s="11"/>
      <c r="O32" s="11"/>
      <c r="P32" s="11"/>
      <c r="Q32" s="11"/>
      <c r="R32" s="11"/>
      <c r="S32" s="11">
        <v>0.79393999999999998</v>
      </c>
      <c r="T32" s="11">
        <v>0.78759999999999997</v>
      </c>
      <c r="U32" s="11"/>
      <c r="V32" s="12">
        <v>0.79369999999999996</v>
      </c>
      <c r="W32" s="13"/>
      <c r="X32" s="411"/>
      <c r="Y32" s="14"/>
      <c r="Z32" s="1"/>
      <c r="AA32" s="1"/>
      <c r="AB32" s="1"/>
      <c r="AC32" s="1"/>
      <c r="AD32" s="1"/>
      <c r="AE32" s="1"/>
      <c r="AF32" s="1"/>
      <c r="AG32" s="1"/>
      <c r="AH32" s="1"/>
      <c r="AI32" s="1"/>
      <c r="AJ32" s="1"/>
      <c r="AK32" s="1"/>
      <c r="AL32" s="1"/>
      <c r="AM32" s="1"/>
      <c r="AN32" s="1"/>
      <c r="AO32" s="1"/>
    </row>
    <row r="33" spans="1:41" ht="16.5" thickTop="1">
      <c r="A33" s="10">
        <v>34</v>
      </c>
      <c r="B33" s="11">
        <v>0.84450000000000003</v>
      </c>
      <c r="C33" s="11"/>
      <c r="D33" s="11"/>
      <c r="E33" s="11"/>
      <c r="F33" s="11"/>
      <c r="G33" s="11"/>
      <c r="H33" s="11"/>
      <c r="I33" s="11">
        <v>0.84816000000000003</v>
      </c>
      <c r="J33" s="11">
        <v>0.83860000000000001</v>
      </c>
      <c r="K33" s="11">
        <v>0.83223999999999998</v>
      </c>
      <c r="L33" s="11">
        <v>0.82904</v>
      </c>
      <c r="M33" s="11"/>
      <c r="N33" s="11"/>
      <c r="O33" s="11"/>
      <c r="P33" s="11"/>
      <c r="Q33" s="11"/>
      <c r="R33" s="11"/>
      <c r="S33" s="11">
        <v>0.84494000000000002</v>
      </c>
      <c r="T33" s="11">
        <v>0.83860000000000001</v>
      </c>
      <c r="U33" s="11"/>
      <c r="V33" s="12">
        <v>0.84450000000000003</v>
      </c>
      <c r="W33" s="13"/>
      <c r="X33" s="23" t="s">
        <v>14</v>
      </c>
      <c r="Y33" s="24"/>
      <c r="Z33" s="1"/>
      <c r="AA33" s="1"/>
      <c r="AB33" s="1"/>
      <c r="AC33" s="1"/>
      <c r="AD33" s="1"/>
      <c r="AE33" s="1"/>
      <c r="AF33" s="1"/>
      <c r="AG33" s="1"/>
      <c r="AH33" s="1"/>
      <c r="AI33" s="1"/>
      <c r="AJ33" s="1"/>
      <c r="AK33" s="1"/>
      <c r="AL33" s="1"/>
      <c r="AM33" s="1"/>
      <c r="AN33" s="1"/>
      <c r="AO33" s="1"/>
    </row>
    <row r="34" spans="1:41" ht="15.75">
      <c r="A34" s="10">
        <v>36</v>
      </c>
      <c r="B34" s="11">
        <v>0.89529999999999998</v>
      </c>
      <c r="C34" s="11"/>
      <c r="D34" s="11"/>
      <c r="E34" s="11"/>
      <c r="F34" s="11"/>
      <c r="G34" s="11"/>
      <c r="H34" s="11"/>
      <c r="I34" s="11">
        <v>0.89815999999999996</v>
      </c>
      <c r="J34" s="11">
        <v>0.88859999999999995</v>
      </c>
      <c r="K34" s="11">
        <v>0.88224000000000002</v>
      </c>
      <c r="L34" s="11">
        <v>0.87590000000000001</v>
      </c>
      <c r="M34" s="11"/>
      <c r="N34" s="11"/>
      <c r="O34" s="11"/>
      <c r="P34" s="11"/>
      <c r="Q34" s="11"/>
      <c r="R34" s="11"/>
      <c r="S34" s="11">
        <v>0.89493999999999996</v>
      </c>
      <c r="T34" s="11">
        <v>0.88859999999999995</v>
      </c>
      <c r="U34" s="11"/>
      <c r="V34" s="12">
        <v>0.89529999999999998</v>
      </c>
      <c r="W34" s="13"/>
      <c r="X34" s="26" t="s">
        <v>15</v>
      </c>
      <c r="Y34" s="27"/>
      <c r="Z34" s="1"/>
      <c r="AA34" s="1"/>
      <c r="AB34" s="1"/>
      <c r="AC34" s="1"/>
      <c r="AD34" s="1"/>
      <c r="AE34" s="1"/>
      <c r="AF34" s="1"/>
      <c r="AG34" s="1"/>
      <c r="AH34" s="1"/>
      <c r="AI34" s="1"/>
      <c r="AJ34" s="1"/>
      <c r="AK34" s="1"/>
      <c r="AL34" s="1"/>
      <c r="AM34" s="1"/>
      <c r="AN34" s="1"/>
      <c r="AO34" s="1"/>
    </row>
    <row r="35" spans="1:41" ht="16.5" thickBot="1">
      <c r="A35" s="10">
        <v>38</v>
      </c>
      <c r="B35" s="11">
        <v>0.94610000000000005</v>
      </c>
      <c r="C35" s="11"/>
      <c r="D35" s="11"/>
      <c r="E35" s="11"/>
      <c r="F35" s="11"/>
      <c r="G35" s="11"/>
      <c r="H35" s="11"/>
      <c r="I35" s="11" t="e">
        <f>NA()</f>
        <v>#N/A</v>
      </c>
      <c r="J35" s="11" t="e">
        <f>NA()</f>
        <v>#N/A</v>
      </c>
      <c r="K35" s="11" t="e">
        <f>NA()</f>
        <v>#N/A</v>
      </c>
      <c r="L35" s="11" t="e">
        <f>NA()</f>
        <v>#N/A</v>
      </c>
      <c r="M35" s="11"/>
      <c r="N35" s="11"/>
      <c r="O35" s="11"/>
      <c r="P35" s="11"/>
      <c r="Q35" s="11"/>
      <c r="R35" s="11"/>
      <c r="S35" s="11">
        <v>0.94594</v>
      </c>
      <c r="T35" s="11">
        <v>0.93959999999999999</v>
      </c>
      <c r="U35" s="11"/>
      <c r="V35" s="12">
        <v>0.94610000000000005</v>
      </c>
      <c r="W35" s="13"/>
      <c r="X35" s="20" t="s">
        <v>16</v>
      </c>
      <c r="Y35" s="21"/>
      <c r="Z35" s="1"/>
      <c r="AA35" s="1"/>
      <c r="AB35" s="1"/>
      <c r="AC35" s="1"/>
      <c r="AD35" s="1"/>
      <c r="AE35" s="1"/>
      <c r="AF35" s="1"/>
      <c r="AG35" s="1"/>
      <c r="AH35" s="1"/>
      <c r="AI35" s="1"/>
      <c r="AJ35" s="1"/>
      <c r="AK35" s="1"/>
      <c r="AL35" s="1"/>
      <c r="AM35" s="1"/>
      <c r="AN35" s="1"/>
      <c r="AO35" s="1"/>
    </row>
    <row r="36" spans="1:41" ht="17.25" thickTop="1" thickBot="1">
      <c r="A36" s="10">
        <v>40</v>
      </c>
      <c r="B36" s="11">
        <v>0.99690000000000001</v>
      </c>
      <c r="C36" s="11"/>
      <c r="D36" s="11"/>
      <c r="E36" s="11"/>
      <c r="F36" s="11"/>
      <c r="G36" s="11"/>
      <c r="H36" s="11"/>
      <c r="I36" s="11"/>
      <c r="J36" s="11"/>
      <c r="K36" s="11"/>
      <c r="L36" s="11"/>
      <c r="M36" s="11"/>
      <c r="N36" s="11"/>
      <c r="O36" s="11"/>
      <c r="P36" s="11"/>
      <c r="Q36" s="11"/>
      <c r="R36" s="11"/>
      <c r="S36" s="11">
        <v>0.99694000000000005</v>
      </c>
      <c r="T36" s="11">
        <v>0.99060000000000004</v>
      </c>
      <c r="U36" s="11"/>
      <c r="V36" s="12">
        <v>0.99690000000000001</v>
      </c>
      <c r="W36" s="13"/>
      <c r="Z36" s="1"/>
      <c r="AA36" s="1"/>
      <c r="AB36" s="1"/>
      <c r="AC36" s="1"/>
      <c r="AD36" s="1"/>
      <c r="AE36" s="1"/>
      <c r="AF36" s="1"/>
      <c r="AG36" s="1"/>
      <c r="AH36" s="1"/>
      <c r="AI36" s="1"/>
      <c r="AJ36" s="1"/>
      <c r="AK36" s="1"/>
      <c r="AL36" s="1"/>
      <c r="AM36" s="1"/>
      <c r="AN36" s="1"/>
      <c r="AO36" s="1"/>
    </row>
    <row r="37" spans="1:41" ht="16.5" thickTop="1">
      <c r="A37" s="10">
        <v>42</v>
      </c>
      <c r="B37" s="11">
        <v>1.0477000000000001</v>
      </c>
      <c r="C37" s="11"/>
      <c r="D37" s="11"/>
      <c r="E37" s="11"/>
      <c r="F37" s="11"/>
      <c r="G37" s="11"/>
      <c r="H37" s="11"/>
      <c r="I37" s="11"/>
      <c r="J37" s="11"/>
      <c r="K37" s="11"/>
      <c r="L37" s="11"/>
      <c r="M37" s="11"/>
      <c r="N37" s="11"/>
      <c r="O37" s="11"/>
      <c r="P37" s="11"/>
      <c r="Q37" s="11"/>
      <c r="R37" s="11"/>
      <c r="S37" s="11">
        <v>1.0479400000000001</v>
      </c>
      <c r="T37" s="11">
        <v>1.0416000000000001</v>
      </c>
      <c r="U37" s="11"/>
      <c r="V37" s="12">
        <v>1.0477000000000001</v>
      </c>
      <c r="W37" s="13"/>
      <c r="X37" s="23" t="s">
        <v>17</v>
      </c>
      <c r="Y37" s="24"/>
      <c r="Z37" s="1"/>
      <c r="AC37" s="1"/>
      <c r="AD37" s="1"/>
      <c r="AE37" s="1"/>
      <c r="AF37" s="1"/>
      <c r="AG37" s="1"/>
      <c r="AH37" s="1"/>
      <c r="AI37" s="1"/>
      <c r="AJ37" s="1"/>
      <c r="AK37" s="1"/>
      <c r="AL37" s="1"/>
      <c r="AM37" s="1"/>
      <c r="AN37" s="1"/>
      <c r="AO37" s="1"/>
    </row>
    <row r="38" spans="1:41" ht="15.75">
      <c r="A38" s="10">
        <v>44</v>
      </c>
      <c r="B38" s="11">
        <v>1.0985</v>
      </c>
      <c r="C38" s="11"/>
      <c r="D38" s="11"/>
      <c r="E38" s="11"/>
      <c r="F38" s="11"/>
      <c r="G38" s="11"/>
      <c r="H38" s="11"/>
      <c r="I38" s="11"/>
      <c r="J38" s="11"/>
      <c r="K38" s="11"/>
      <c r="L38" s="11"/>
      <c r="M38" s="11"/>
      <c r="N38" s="11"/>
      <c r="O38" s="11"/>
      <c r="P38" s="11"/>
      <c r="Q38" s="11"/>
      <c r="R38" s="11"/>
      <c r="S38" s="11">
        <v>1.09894</v>
      </c>
      <c r="T38" s="11">
        <v>1.0926</v>
      </c>
      <c r="U38" s="11"/>
      <c r="V38" s="12">
        <v>1.0985</v>
      </c>
      <c r="W38" s="13"/>
      <c r="X38" s="26" t="s">
        <v>18</v>
      </c>
      <c r="Y38" s="27"/>
      <c r="Z38" s="1"/>
      <c r="AA38" s="1"/>
      <c r="AB38" s="1"/>
      <c r="AC38" s="1"/>
      <c r="AD38" s="1"/>
      <c r="AE38" s="1"/>
      <c r="AF38" s="1"/>
      <c r="AG38" s="1"/>
      <c r="AH38" s="1"/>
      <c r="AI38" s="1"/>
      <c r="AJ38" s="1"/>
      <c r="AK38" s="1"/>
      <c r="AL38" s="1"/>
      <c r="AM38" s="1"/>
      <c r="AN38" s="1"/>
      <c r="AO38" s="1"/>
    </row>
    <row r="39" spans="1:41" ht="16.5" thickBot="1">
      <c r="A39" s="10">
        <v>46</v>
      </c>
      <c r="B39" s="11">
        <v>1.1493</v>
      </c>
      <c r="C39" s="11"/>
      <c r="D39" s="11"/>
      <c r="E39" s="11"/>
      <c r="F39" s="11"/>
      <c r="G39" s="11"/>
      <c r="H39" s="11"/>
      <c r="I39" s="11"/>
      <c r="J39" s="11"/>
      <c r="K39" s="11"/>
      <c r="L39" s="11"/>
      <c r="M39" s="11"/>
      <c r="N39" s="11"/>
      <c r="O39" s="11"/>
      <c r="P39" s="11"/>
      <c r="Q39" s="11"/>
      <c r="R39" s="11"/>
      <c r="S39" s="11">
        <v>1.1489400000000001</v>
      </c>
      <c r="T39" s="11">
        <v>1.1426000000000001</v>
      </c>
      <c r="U39" s="11"/>
      <c r="V39" s="12">
        <v>1.1493</v>
      </c>
      <c r="W39" s="13"/>
      <c r="X39" s="20" t="s">
        <v>20</v>
      </c>
      <c r="Y39" s="21"/>
      <c r="Z39" s="1"/>
      <c r="AA39" s="1"/>
      <c r="AB39" s="1"/>
      <c r="AC39" s="1"/>
      <c r="AD39" s="1"/>
      <c r="AE39" s="1"/>
      <c r="AF39" s="1"/>
      <c r="AG39" s="1"/>
      <c r="AH39" s="1"/>
      <c r="AI39" s="1"/>
      <c r="AJ39" s="1"/>
      <c r="AK39" s="1"/>
      <c r="AL39" s="1"/>
      <c r="AM39" s="1"/>
      <c r="AN39" s="1"/>
      <c r="AO39" s="1"/>
    </row>
    <row r="40" spans="1:41" ht="16.5" thickTop="1">
      <c r="A40" s="10">
        <v>48</v>
      </c>
      <c r="B40" s="11">
        <v>1.2000999999999999</v>
      </c>
      <c r="C40" s="11"/>
      <c r="D40" s="11"/>
      <c r="E40" s="11"/>
      <c r="F40" s="11"/>
      <c r="G40" s="11"/>
      <c r="H40" s="11"/>
      <c r="I40" s="11"/>
      <c r="J40" s="11"/>
      <c r="K40" s="11"/>
      <c r="L40" s="11"/>
      <c r="M40" s="11"/>
      <c r="N40" s="11"/>
      <c r="O40" s="11"/>
      <c r="P40" s="11"/>
      <c r="Q40" s="11"/>
      <c r="R40" s="11"/>
      <c r="S40" s="11">
        <v>1.19994</v>
      </c>
      <c r="T40" s="11">
        <v>1.1936</v>
      </c>
      <c r="U40" s="11"/>
      <c r="V40" s="12">
        <v>1.2000999999999999</v>
      </c>
      <c r="W40" s="13"/>
      <c r="Z40" s="1"/>
      <c r="AA40" s="1"/>
      <c r="AB40" s="1"/>
      <c r="AC40" s="1"/>
      <c r="AD40" s="1"/>
      <c r="AE40" s="1"/>
      <c r="AF40" s="1"/>
      <c r="AG40" s="1"/>
      <c r="AH40" s="1"/>
      <c r="AI40" s="1"/>
      <c r="AJ40" s="1"/>
      <c r="AK40" s="1"/>
      <c r="AL40" s="1"/>
      <c r="AM40" s="1"/>
      <c r="AN40" s="1"/>
      <c r="AO40" s="1"/>
    </row>
    <row r="41" spans="1:41" ht="15.75">
      <c r="A41" s="10">
        <v>50</v>
      </c>
      <c r="B41" s="11">
        <v>1.2509999999999999</v>
      </c>
      <c r="C41" s="11"/>
      <c r="D41" s="11"/>
      <c r="E41" s="11"/>
      <c r="F41" s="11"/>
      <c r="G41" s="11"/>
      <c r="H41" s="11"/>
      <c r="I41" s="11"/>
      <c r="J41" s="11"/>
      <c r="K41" s="11"/>
      <c r="L41" s="11"/>
      <c r="M41" s="11"/>
      <c r="N41" s="11"/>
      <c r="O41" s="11"/>
      <c r="P41" s="11"/>
      <c r="Q41" s="11"/>
      <c r="R41" s="11"/>
      <c r="S41" s="11" t="e">
        <f>NA()</f>
        <v>#N/A</v>
      </c>
      <c r="T41" s="11" t="e">
        <f>NA()</f>
        <v>#N/A</v>
      </c>
      <c r="U41" s="11"/>
      <c r="V41" s="12">
        <v>1.3017000000000001</v>
      </c>
      <c r="W41" s="13"/>
      <c r="Z41" s="1"/>
      <c r="AA41" s="1"/>
      <c r="AB41" s="1"/>
      <c r="AC41" s="1"/>
      <c r="AD41" s="1"/>
      <c r="AE41" s="1"/>
      <c r="AF41" s="1"/>
      <c r="AG41" s="1"/>
      <c r="AH41" s="1"/>
      <c r="AI41" s="1"/>
      <c r="AJ41" s="1"/>
      <c r="AK41" s="1"/>
      <c r="AL41" s="1"/>
      <c r="AM41" s="1"/>
      <c r="AN41" s="1"/>
      <c r="AO41" s="1"/>
    </row>
    <row r="42" spans="1:41" ht="15.75">
      <c r="A42" s="10">
        <v>52</v>
      </c>
      <c r="B42" s="11">
        <v>1.3017000000000001</v>
      </c>
      <c r="C42" s="11"/>
      <c r="D42" s="11"/>
      <c r="E42" s="11"/>
      <c r="F42" s="11"/>
      <c r="G42" s="11"/>
      <c r="H42" s="11"/>
      <c r="I42" s="11"/>
      <c r="J42" s="11"/>
      <c r="K42" s="11"/>
      <c r="L42" s="11"/>
      <c r="M42" s="11"/>
      <c r="N42" s="11"/>
      <c r="O42" s="11"/>
      <c r="P42" s="11"/>
      <c r="Q42" s="11"/>
      <c r="R42" s="11"/>
      <c r="S42" s="11"/>
      <c r="T42" s="11"/>
      <c r="U42" s="11"/>
      <c r="V42" s="12">
        <v>1.4033</v>
      </c>
      <c r="W42" s="13"/>
      <c r="X42" s="14"/>
      <c r="Y42" s="14"/>
      <c r="Z42" s="1"/>
      <c r="AA42" s="1"/>
      <c r="AB42" s="1"/>
      <c r="AC42" s="1"/>
      <c r="AD42" s="1"/>
      <c r="AE42" s="1"/>
      <c r="AF42" s="1"/>
      <c r="AG42" s="1"/>
      <c r="AH42" s="1"/>
      <c r="AI42" s="1"/>
      <c r="AJ42" s="1"/>
      <c r="AK42" s="1"/>
      <c r="AL42" s="1"/>
      <c r="AM42" s="1"/>
      <c r="AN42" s="1"/>
      <c r="AO42" s="1"/>
    </row>
    <row r="43" spans="1:41" ht="15.75">
      <c r="A43" s="10">
        <v>54</v>
      </c>
      <c r="B43" s="11">
        <v>1.3526</v>
      </c>
      <c r="C43" s="11"/>
      <c r="D43" s="11"/>
      <c r="E43" s="11"/>
      <c r="F43" s="11"/>
      <c r="G43" s="11"/>
      <c r="H43" s="11"/>
      <c r="I43" s="11"/>
      <c r="J43" s="11"/>
      <c r="K43" s="11"/>
      <c r="L43" s="11"/>
      <c r="M43" s="11"/>
      <c r="N43" s="11"/>
      <c r="O43" s="11"/>
      <c r="P43" s="11"/>
      <c r="Q43" s="11"/>
      <c r="R43" s="11"/>
      <c r="S43" s="11"/>
      <c r="T43" s="11"/>
      <c r="U43" s="11"/>
      <c r="V43" s="12">
        <v>1.5048999999999999</v>
      </c>
      <c r="W43" s="13"/>
      <c r="X43" s="14"/>
      <c r="Y43" s="14"/>
      <c r="Z43" s="1"/>
      <c r="AA43" s="1"/>
      <c r="AB43" s="1"/>
      <c r="AC43" s="1"/>
      <c r="AD43" s="1"/>
      <c r="AE43" s="1"/>
      <c r="AF43" s="1"/>
      <c r="AG43" s="1"/>
      <c r="AH43" s="1"/>
      <c r="AI43" s="1"/>
      <c r="AJ43" s="1"/>
      <c r="AK43" s="1"/>
      <c r="AL43" s="1"/>
      <c r="AM43" s="1"/>
      <c r="AN43" s="1"/>
      <c r="AO43" s="1"/>
    </row>
    <row r="44" spans="1:41" ht="15.75">
      <c r="A44" s="10">
        <v>56</v>
      </c>
      <c r="B44" s="11">
        <v>1.4033</v>
      </c>
      <c r="C44" s="11"/>
      <c r="D44" s="11"/>
      <c r="E44" s="11"/>
      <c r="F44" s="11"/>
      <c r="G44" s="11"/>
      <c r="H44" s="11"/>
      <c r="I44" s="11"/>
      <c r="J44" s="11"/>
      <c r="K44" s="11"/>
      <c r="L44" s="11"/>
      <c r="M44" s="11"/>
      <c r="N44" s="11"/>
      <c r="O44" s="11"/>
      <c r="P44" s="11"/>
      <c r="Q44" s="11"/>
      <c r="R44" s="11"/>
      <c r="S44" s="11"/>
      <c r="T44" s="11"/>
      <c r="U44" s="11"/>
      <c r="V44" s="12" t="e">
        <f>NA()</f>
        <v>#N/A</v>
      </c>
      <c r="W44" s="13"/>
      <c r="X44" s="14"/>
      <c r="Y44" s="14"/>
      <c r="Z44" s="1"/>
      <c r="AA44" s="1"/>
      <c r="AB44" s="1"/>
      <c r="AC44" s="1"/>
      <c r="AD44" s="1"/>
      <c r="AE44" s="1"/>
      <c r="AF44" s="1"/>
      <c r="AG44" s="1"/>
      <c r="AH44" s="1"/>
      <c r="AI44" s="1"/>
      <c r="AJ44" s="1"/>
      <c r="AK44" s="1"/>
      <c r="AL44" s="1"/>
      <c r="AM44" s="1"/>
      <c r="AN44" s="1"/>
      <c r="AO44" s="1"/>
    </row>
    <row r="45" spans="1:41" ht="15.75">
      <c r="A45" s="10">
        <v>58</v>
      </c>
      <c r="B45" s="11" t="e">
        <f>NA()</f>
        <v>#N/A</v>
      </c>
      <c r="C45" s="11"/>
      <c r="D45" s="11"/>
      <c r="E45" s="11"/>
      <c r="F45" s="11"/>
      <c r="G45" s="11"/>
      <c r="H45" s="11"/>
      <c r="I45" s="11"/>
      <c r="J45" s="11"/>
      <c r="K45" s="11"/>
      <c r="L45" s="11"/>
      <c r="M45" s="11"/>
      <c r="N45" s="11"/>
      <c r="O45" s="11"/>
      <c r="P45" s="11"/>
      <c r="Q45" s="11"/>
      <c r="R45" s="11"/>
      <c r="S45" s="11"/>
      <c r="T45" s="11"/>
      <c r="U45" s="11"/>
      <c r="V45" s="12"/>
      <c r="W45" s="13"/>
      <c r="X45" s="14"/>
      <c r="Y45" s="14"/>
      <c r="Z45" s="1"/>
      <c r="AA45" s="1"/>
      <c r="AB45" s="1"/>
      <c r="AC45" s="1"/>
      <c r="AD45" s="1"/>
      <c r="AE45" s="1"/>
      <c r="AF45" s="1"/>
      <c r="AG45" s="1"/>
      <c r="AH45" s="1"/>
      <c r="AI45" s="1"/>
      <c r="AJ45" s="1"/>
      <c r="AK45" s="1"/>
      <c r="AL45" s="1"/>
      <c r="AM45" s="1"/>
      <c r="AN45" s="1"/>
      <c r="AO45" s="1"/>
    </row>
    <row r="46" spans="1:41" ht="15.75">
      <c r="A46" s="10">
        <v>60</v>
      </c>
      <c r="B46" s="11">
        <v>1.5048999999999999</v>
      </c>
      <c r="C46" s="11"/>
      <c r="D46" s="11"/>
      <c r="E46" s="11"/>
      <c r="F46" s="11"/>
      <c r="G46" s="11"/>
      <c r="H46" s="11"/>
      <c r="I46" s="11"/>
      <c r="J46" s="11"/>
      <c r="K46" s="11"/>
      <c r="L46" s="11"/>
      <c r="M46" s="11"/>
      <c r="N46" s="11"/>
      <c r="O46" s="11"/>
      <c r="P46" s="11"/>
      <c r="Q46" s="11"/>
      <c r="R46" s="11"/>
      <c r="S46" s="11"/>
      <c r="T46" s="11"/>
      <c r="U46" s="11"/>
      <c r="V46" s="12"/>
      <c r="W46" s="13"/>
      <c r="X46" s="14"/>
      <c r="Y46" s="14"/>
      <c r="Z46" s="1"/>
      <c r="AA46" s="1"/>
      <c r="AB46" s="1"/>
      <c r="AC46" s="1"/>
      <c r="AD46" s="1"/>
      <c r="AE46" s="1"/>
      <c r="AF46" s="1"/>
      <c r="AG46" s="1"/>
      <c r="AH46" s="1"/>
      <c r="AI46" s="1"/>
      <c r="AJ46" s="1"/>
      <c r="AK46" s="1"/>
      <c r="AL46" s="1"/>
      <c r="AM46" s="1"/>
      <c r="AN46" s="1"/>
      <c r="AO46" s="1"/>
    </row>
    <row r="47" spans="1:41" ht="15.75">
      <c r="A47" s="10">
        <v>66</v>
      </c>
      <c r="B47" s="11">
        <v>1.65734</v>
      </c>
      <c r="C47" s="11"/>
      <c r="D47" s="11"/>
      <c r="E47" s="11"/>
      <c r="F47" s="11"/>
      <c r="G47" s="11"/>
      <c r="H47" s="11"/>
      <c r="I47" s="11"/>
      <c r="J47" s="11"/>
      <c r="K47" s="11"/>
      <c r="L47" s="11"/>
      <c r="M47" s="11"/>
      <c r="N47" s="11"/>
      <c r="O47" s="11"/>
      <c r="P47" s="11"/>
      <c r="Q47" s="11"/>
      <c r="R47" s="11"/>
      <c r="S47" s="11"/>
      <c r="T47" s="11"/>
      <c r="U47" s="11"/>
      <c r="V47" s="12"/>
      <c r="W47" s="13"/>
      <c r="X47" s="14"/>
      <c r="Y47" s="14"/>
      <c r="Z47" s="1"/>
      <c r="AA47" s="1"/>
      <c r="AB47" s="1"/>
      <c r="AC47" s="1"/>
      <c r="AD47" s="1"/>
      <c r="AE47" s="1"/>
      <c r="AF47" s="1"/>
      <c r="AG47" s="1"/>
      <c r="AH47" s="1"/>
      <c r="AI47" s="1"/>
      <c r="AJ47" s="1"/>
      <c r="AK47" s="1"/>
      <c r="AL47" s="1"/>
      <c r="AM47" s="1"/>
      <c r="AN47" s="1"/>
      <c r="AO47" s="1"/>
    </row>
    <row r="48" spans="1:41" ht="16.5" thickBot="1">
      <c r="A48" s="15">
        <v>72</v>
      </c>
      <c r="B48" s="16">
        <v>1.8036000000000001</v>
      </c>
      <c r="C48" s="16"/>
      <c r="D48" s="16"/>
      <c r="E48" s="16"/>
      <c r="F48" s="16"/>
      <c r="G48" s="16"/>
      <c r="H48" s="16"/>
      <c r="I48" s="16"/>
      <c r="J48" s="16"/>
      <c r="K48" s="16"/>
      <c r="L48" s="16"/>
      <c r="M48" s="16"/>
      <c r="N48" s="16"/>
      <c r="O48" s="16"/>
      <c r="P48" s="16"/>
      <c r="Q48" s="16"/>
      <c r="R48" s="16"/>
      <c r="S48" s="16"/>
      <c r="T48" s="16"/>
      <c r="U48" s="16"/>
      <c r="V48" s="17"/>
      <c r="W48" s="13"/>
      <c r="X48" s="14"/>
      <c r="Y48" s="14"/>
      <c r="Z48" s="1"/>
      <c r="AA48" s="1"/>
      <c r="AB48" s="1"/>
      <c r="AC48" s="1"/>
      <c r="AD48" s="1"/>
      <c r="AE48" s="1"/>
      <c r="AF48" s="1"/>
      <c r="AG48" s="1"/>
      <c r="AH48" s="1"/>
      <c r="AI48" s="1"/>
      <c r="AJ48" s="1"/>
      <c r="AK48" s="1"/>
      <c r="AL48" s="1"/>
      <c r="AM48" s="1"/>
      <c r="AN48" s="1"/>
      <c r="AO48" s="1"/>
    </row>
    <row r="49" spans="1:41" ht="13.5" thickTop="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row>
    <row r="50" spans="1:41">
      <c r="A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row>
    <row r="51" spans="1:41">
      <c r="A51" s="1"/>
      <c r="D51" s="152"/>
      <c r="F51" s="152"/>
      <c r="I51" s="152"/>
      <c r="J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row>
    <row r="52" spans="1:41">
      <c r="A52" s="1"/>
      <c r="D52" s="152"/>
      <c r="F52" s="152"/>
      <c r="I52" s="152"/>
      <c r="J52" s="1"/>
      <c r="M52" s="1"/>
      <c r="N52" s="1"/>
      <c r="O52" s="1"/>
      <c r="P52" s="152"/>
      <c r="Q52" s="152"/>
      <c r="R52" s="152"/>
      <c r="S52" s="152"/>
      <c r="T52" s="152"/>
      <c r="U52" s="152"/>
      <c r="V52" s="152"/>
      <c r="W52" s="1"/>
      <c r="X52" s="1"/>
      <c r="Y52" s="1"/>
      <c r="Z52" s="1"/>
      <c r="AA52" s="1"/>
      <c r="AB52" s="1"/>
      <c r="AC52" s="1"/>
      <c r="AD52" s="1"/>
      <c r="AE52" s="1"/>
      <c r="AF52" s="1"/>
      <c r="AG52" s="1"/>
      <c r="AH52" s="1"/>
      <c r="AI52" s="1"/>
      <c r="AJ52" s="1"/>
      <c r="AK52" s="1"/>
      <c r="AL52" s="1"/>
      <c r="AM52" s="1"/>
      <c r="AN52" s="1"/>
      <c r="AO52" s="1"/>
    </row>
    <row r="53" spans="1:41" ht="15.75">
      <c r="A53" s="1"/>
      <c r="B53" s="410"/>
      <c r="C53" s="410"/>
      <c r="D53" s="152"/>
      <c r="F53" s="152"/>
      <c r="I53" s="152"/>
      <c r="J53" s="1"/>
      <c r="M53" s="1"/>
      <c r="N53" s="1"/>
      <c r="O53" s="1"/>
      <c r="P53" s="152"/>
      <c r="Q53" s="152"/>
      <c r="R53" s="152"/>
      <c r="S53" s="152"/>
      <c r="T53" s="34"/>
      <c r="U53" s="34"/>
      <c r="V53" s="152"/>
      <c r="W53" s="1"/>
      <c r="X53" s="1"/>
      <c r="Y53" s="1"/>
      <c r="Z53" s="1"/>
      <c r="AA53" s="1"/>
      <c r="AB53" s="1"/>
      <c r="AC53" s="1"/>
      <c r="AD53" s="1"/>
      <c r="AE53" s="1"/>
      <c r="AF53" s="1"/>
      <c r="AG53" s="1"/>
      <c r="AH53" s="1"/>
      <c r="AI53" s="1"/>
      <c r="AJ53" s="1"/>
      <c r="AK53" s="1"/>
      <c r="AL53" s="1"/>
      <c r="AM53" s="1"/>
      <c r="AN53" s="1"/>
      <c r="AO53" s="1"/>
    </row>
    <row r="54" spans="1:41" ht="15.75">
      <c r="A54" s="1"/>
      <c r="C54" s="410"/>
      <c r="E54" s="508" t="s">
        <v>319</v>
      </c>
      <c r="G54" s="508" t="s">
        <v>320</v>
      </c>
      <c r="I54" s="152"/>
      <c r="J54" s="508" t="s">
        <v>319</v>
      </c>
      <c r="K54" s="508" t="s">
        <v>320</v>
      </c>
      <c r="L54" s="1"/>
      <c r="M54" s="1"/>
      <c r="N54" s="1"/>
      <c r="O54" s="1"/>
      <c r="P54" s="152"/>
      <c r="Q54" s="152"/>
      <c r="R54" s="42"/>
      <c r="S54" s="33"/>
      <c r="T54" s="32"/>
      <c r="U54" s="153"/>
      <c r="V54" s="152"/>
      <c r="W54" s="1"/>
      <c r="X54" s="1"/>
      <c r="Y54" s="1"/>
      <c r="Z54" s="1"/>
      <c r="AA54" s="1"/>
      <c r="AB54" s="1"/>
      <c r="AC54" s="1"/>
      <c r="AD54" s="1"/>
      <c r="AE54" s="1"/>
      <c r="AF54" s="1"/>
      <c r="AG54" s="1"/>
      <c r="AH54" s="1"/>
      <c r="AI54" s="1"/>
      <c r="AJ54" s="1"/>
      <c r="AK54" s="1"/>
      <c r="AL54" s="1"/>
      <c r="AM54" s="1"/>
      <c r="AN54" s="1"/>
      <c r="AO54" s="1"/>
    </row>
    <row r="55" spans="1:41" ht="15">
      <c r="A55" s="1"/>
      <c r="C55" s="516" t="s">
        <v>318</v>
      </c>
      <c r="D55" s="508">
        <v>0</v>
      </c>
      <c r="E55" s="508">
        <v>0.02</v>
      </c>
      <c r="F55" s="508">
        <v>0</v>
      </c>
      <c r="G55" s="508">
        <v>0.04</v>
      </c>
      <c r="H55" s="510"/>
      <c r="I55" s="517" t="s">
        <v>322</v>
      </c>
      <c r="J55" s="516">
        <v>0.08</v>
      </c>
      <c r="K55" s="516">
        <v>0.32</v>
      </c>
      <c r="L55" s="511"/>
      <c r="M55" s="511"/>
      <c r="N55" s="511"/>
      <c r="O55" s="511"/>
      <c r="P55" s="509"/>
      <c r="Q55" s="509"/>
      <c r="R55" s="458"/>
      <c r="S55" s="512"/>
      <c r="T55" s="32"/>
      <c r="U55" s="153"/>
      <c r="V55" s="509"/>
      <c r="W55" s="1"/>
      <c r="X55" s="1"/>
      <c r="Y55" s="1"/>
      <c r="Z55" s="1"/>
      <c r="AA55" s="1"/>
      <c r="AB55" s="1"/>
      <c r="AC55" s="1"/>
      <c r="AD55" s="1"/>
      <c r="AE55" s="1"/>
      <c r="AF55" s="1"/>
      <c r="AG55" s="1"/>
      <c r="AH55" s="1"/>
      <c r="AI55" s="1"/>
      <c r="AJ55" s="1"/>
      <c r="AK55" s="1"/>
      <c r="AL55" s="1"/>
      <c r="AM55" s="1"/>
      <c r="AN55" s="1"/>
      <c r="AO55" s="1"/>
    </row>
    <row r="56" spans="1:41" ht="15">
      <c r="A56" s="1"/>
      <c r="C56" s="516"/>
      <c r="D56" s="508">
        <v>3.5</v>
      </c>
      <c r="E56" s="508">
        <v>0.04</v>
      </c>
      <c r="F56" s="508">
        <v>3.5</v>
      </c>
      <c r="G56" s="508">
        <v>0.11</v>
      </c>
      <c r="H56" s="510"/>
      <c r="I56" s="516" t="s">
        <v>323</v>
      </c>
      <c r="J56" s="516">
        <v>0.16</v>
      </c>
      <c r="K56" s="516">
        <v>0.32</v>
      </c>
      <c r="L56" s="510"/>
      <c r="M56" s="511"/>
      <c r="N56" s="511"/>
      <c r="O56" s="511"/>
      <c r="P56" s="509"/>
      <c r="Q56" s="509"/>
      <c r="R56" s="458"/>
      <c r="S56" s="512"/>
      <c r="T56" s="32"/>
      <c r="U56" s="153"/>
      <c r="V56" s="509"/>
      <c r="W56" s="1"/>
      <c r="X56" s="1"/>
      <c r="Y56" s="1"/>
      <c r="Z56" s="1"/>
      <c r="AA56" s="1"/>
      <c r="AB56" s="1"/>
      <c r="AC56" s="1"/>
      <c r="AD56" s="1"/>
      <c r="AE56" s="1"/>
      <c r="AF56" s="1"/>
      <c r="AG56" s="1"/>
      <c r="AH56" s="1"/>
      <c r="AI56" s="1"/>
      <c r="AJ56" s="1"/>
      <c r="AK56" s="1"/>
      <c r="AL56" s="1"/>
      <c r="AM56" s="1"/>
      <c r="AN56" s="1"/>
      <c r="AO56" s="1"/>
    </row>
    <row r="57" spans="1:41" ht="15">
      <c r="A57" s="1"/>
      <c r="C57" s="516"/>
      <c r="D57" s="508">
        <v>10.5</v>
      </c>
      <c r="E57" s="508">
        <v>0.04</v>
      </c>
      <c r="F57" s="508">
        <v>10.5</v>
      </c>
      <c r="G57" s="508">
        <v>0.11</v>
      </c>
      <c r="H57" s="510"/>
      <c r="I57" s="516" t="s">
        <v>324</v>
      </c>
      <c r="J57" s="516">
        <v>0.08</v>
      </c>
      <c r="K57" s="516">
        <v>0.25</v>
      </c>
      <c r="L57" s="510"/>
      <c r="M57" s="511"/>
      <c r="N57" s="511"/>
      <c r="O57" s="511"/>
      <c r="P57" s="509"/>
      <c r="Q57" s="509"/>
      <c r="R57" s="458"/>
      <c r="S57" s="512"/>
      <c r="T57" s="32"/>
      <c r="U57" s="153"/>
      <c r="V57" s="509"/>
      <c r="W57" s="1"/>
      <c r="X57" s="1"/>
      <c r="Y57" s="1"/>
      <c r="Z57" s="1"/>
      <c r="AA57" s="1"/>
      <c r="AB57" s="1"/>
      <c r="AC57" s="1"/>
      <c r="AD57" s="1"/>
      <c r="AE57" s="1"/>
      <c r="AF57" s="1"/>
      <c r="AG57" s="1"/>
      <c r="AH57" s="1"/>
      <c r="AI57" s="1"/>
      <c r="AJ57" s="1"/>
      <c r="AK57" s="1"/>
      <c r="AL57" s="1"/>
      <c r="AM57" s="1"/>
      <c r="AN57" s="1"/>
      <c r="AO57" s="1"/>
    </row>
    <row r="58" spans="1:41" ht="15">
      <c r="A58" s="1"/>
      <c r="C58" s="516"/>
      <c r="D58" s="508">
        <v>21.1</v>
      </c>
      <c r="E58" s="508">
        <v>7.0000000000000007E-2</v>
      </c>
      <c r="F58" s="508">
        <v>21.1</v>
      </c>
      <c r="G58" s="508">
        <v>0.11</v>
      </c>
      <c r="H58" s="510"/>
      <c r="I58" s="516" t="s">
        <v>325</v>
      </c>
      <c r="J58" s="516">
        <v>0.16</v>
      </c>
      <c r="K58" s="516">
        <v>0.32</v>
      </c>
      <c r="L58" s="510"/>
      <c r="M58" s="511"/>
      <c r="N58" s="511"/>
      <c r="O58" s="511"/>
      <c r="P58" s="509"/>
      <c r="Q58" s="509"/>
      <c r="R58" s="458"/>
      <c r="S58" s="513"/>
      <c r="T58" s="32"/>
      <c r="U58" s="153"/>
      <c r="V58" s="509"/>
      <c r="W58" s="1"/>
      <c r="X58" s="1"/>
      <c r="Y58" s="1"/>
      <c r="Z58" s="1"/>
      <c r="AA58" s="1"/>
      <c r="AB58" s="1"/>
      <c r="AC58" s="1"/>
      <c r="AD58" s="1"/>
      <c r="AE58" s="1"/>
      <c r="AF58" s="1"/>
      <c r="AG58" s="1"/>
      <c r="AH58" s="1"/>
      <c r="AI58" s="1"/>
      <c r="AJ58" s="1"/>
      <c r="AK58" s="1"/>
      <c r="AL58" s="1"/>
      <c r="AM58" s="1"/>
      <c r="AN58" s="1"/>
      <c r="AO58" s="1"/>
    </row>
    <row r="59" spans="1:41" ht="15">
      <c r="A59" s="1"/>
      <c r="C59" s="516" t="s">
        <v>321</v>
      </c>
      <c r="D59" s="508">
        <v>0</v>
      </c>
      <c r="E59" s="508">
        <v>0.16</v>
      </c>
      <c r="F59" s="508">
        <v>0</v>
      </c>
      <c r="G59" s="508">
        <v>0.32</v>
      </c>
      <c r="H59" s="510"/>
      <c r="I59" s="516" t="s">
        <v>326</v>
      </c>
      <c r="J59" s="516">
        <v>0.16</v>
      </c>
      <c r="K59" s="516">
        <v>0.32</v>
      </c>
      <c r="L59" s="510"/>
      <c r="M59" s="511"/>
      <c r="N59" s="511"/>
      <c r="O59" s="511"/>
      <c r="P59" s="509"/>
      <c r="Q59" s="509"/>
      <c r="R59" s="458"/>
      <c r="S59" s="512"/>
      <c r="T59" s="32"/>
      <c r="U59" s="153"/>
      <c r="V59" s="509"/>
      <c r="W59" s="1"/>
      <c r="X59" s="1"/>
      <c r="Y59" s="1"/>
      <c r="Z59" s="1"/>
      <c r="AA59" s="1"/>
      <c r="AB59" s="1"/>
      <c r="AC59" s="1"/>
      <c r="AD59" s="1"/>
      <c r="AE59" s="1"/>
      <c r="AF59" s="1"/>
      <c r="AG59" s="1"/>
      <c r="AH59" s="1"/>
      <c r="AI59" s="1"/>
      <c r="AJ59" s="1"/>
      <c r="AK59" s="1"/>
      <c r="AL59" s="1"/>
      <c r="AM59" s="1"/>
      <c r="AN59" s="1"/>
      <c r="AO59" s="1"/>
    </row>
    <row r="60" spans="1:41" ht="15">
      <c r="A60" s="1"/>
      <c r="B60" s="508"/>
      <c r="C60" s="508"/>
      <c r="D60" s="508">
        <v>3.5</v>
      </c>
      <c r="E60" s="508">
        <v>0.16</v>
      </c>
      <c r="F60" s="508">
        <v>3.5</v>
      </c>
      <c r="G60" s="508">
        <v>0.81</v>
      </c>
      <c r="H60" s="511"/>
      <c r="I60" s="516" t="s">
        <v>327</v>
      </c>
      <c r="J60" s="516">
        <v>0.16</v>
      </c>
      <c r="K60" s="516">
        <v>0.32</v>
      </c>
      <c r="L60" s="510"/>
      <c r="M60" s="511"/>
      <c r="N60" s="511"/>
      <c r="O60" s="511"/>
      <c r="P60" s="509"/>
      <c r="Q60" s="509"/>
      <c r="R60" s="458"/>
      <c r="S60" s="512"/>
      <c r="T60" s="32"/>
      <c r="U60" s="153"/>
      <c r="V60" s="509"/>
      <c r="W60" s="1"/>
      <c r="X60" s="1"/>
      <c r="Y60" s="1"/>
      <c r="Z60" s="1"/>
      <c r="AA60" s="1"/>
      <c r="AB60" s="1"/>
      <c r="AC60" s="1"/>
      <c r="AD60" s="1"/>
      <c r="AE60" s="1"/>
      <c r="AF60" s="1"/>
      <c r="AG60" s="1"/>
      <c r="AH60" s="1"/>
      <c r="AI60" s="1"/>
      <c r="AJ60" s="1"/>
      <c r="AK60" s="1"/>
      <c r="AL60" s="1"/>
      <c r="AM60" s="1"/>
      <c r="AN60" s="1"/>
      <c r="AO60" s="1"/>
    </row>
    <row r="61" spans="1:41" ht="15">
      <c r="A61" s="1"/>
      <c r="B61" s="508"/>
      <c r="C61" s="508"/>
      <c r="D61" s="508">
        <v>10.5</v>
      </c>
      <c r="E61" s="508">
        <v>0.16</v>
      </c>
      <c r="F61" s="508">
        <v>10.5</v>
      </c>
      <c r="G61" s="508">
        <v>0.81</v>
      </c>
      <c r="H61" s="511"/>
      <c r="I61" s="516" t="s">
        <v>328</v>
      </c>
      <c r="J61" s="516">
        <v>0.16</v>
      </c>
      <c r="K61" s="516">
        <v>0.32</v>
      </c>
      <c r="L61" s="510"/>
      <c r="M61" s="511"/>
      <c r="N61" s="511"/>
      <c r="O61" s="511"/>
      <c r="P61" s="509"/>
      <c r="Q61" s="509"/>
      <c r="R61" s="458"/>
      <c r="S61" s="512"/>
      <c r="T61" s="32"/>
      <c r="U61" s="153"/>
      <c r="V61" s="509"/>
      <c r="W61" s="1"/>
      <c r="X61" s="1"/>
      <c r="Y61" s="1"/>
      <c r="Z61" s="1"/>
      <c r="AA61" s="1"/>
      <c r="AB61" s="1"/>
      <c r="AC61" s="1"/>
      <c r="AD61" s="1"/>
      <c r="AE61" s="1"/>
      <c r="AF61" s="1"/>
      <c r="AG61" s="1"/>
      <c r="AH61" s="1"/>
      <c r="AI61" s="1"/>
      <c r="AJ61" s="1"/>
      <c r="AK61" s="1"/>
      <c r="AL61" s="1"/>
      <c r="AM61" s="1"/>
      <c r="AN61" s="1"/>
      <c r="AO61" s="1"/>
    </row>
    <row r="62" spans="1:41" ht="15">
      <c r="A62" s="1"/>
      <c r="B62" s="508"/>
      <c r="C62" s="508"/>
      <c r="D62" s="508">
        <v>21.1</v>
      </c>
      <c r="E62" s="508">
        <v>0.81</v>
      </c>
      <c r="F62" s="508">
        <v>21.1</v>
      </c>
      <c r="G62" s="508">
        <v>1.61</v>
      </c>
      <c r="H62" s="511"/>
      <c r="I62" s="516" t="s">
        <v>329</v>
      </c>
      <c r="J62" s="516">
        <v>0.16</v>
      </c>
      <c r="K62" s="516">
        <v>0.32</v>
      </c>
      <c r="L62" s="510"/>
      <c r="M62" s="511"/>
      <c r="N62" s="511"/>
      <c r="O62" s="511"/>
      <c r="P62" s="509"/>
      <c r="Q62" s="509"/>
      <c r="R62" s="458"/>
      <c r="S62" s="513"/>
      <c r="T62" s="32"/>
      <c r="U62" s="153"/>
      <c r="V62" s="509"/>
      <c r="W62" s="1"/>
      <c r="X62" s="1"/>
      <c r="Y62" s="1"/>
      <c r="Z62" s="1"/>
      <c r="AA62" s="1"/>
      <c r="AB62" s="1"/>
      <c r="AC62" s="1"/>
      <c r="AD62" s="1"/>
      <c r="AE62" s="1"/>
      <c r="AF62" s="1"/>
      <c r="AG62" s="1"/>
      <c r="AH62" s="1"/>
      <c r="AI62" s="1"/>
      <c r="AJ62" s="1"/>
      <c r="AK62" s="1"/>
      <c r="AL62" s="1"/>
      <c r="AM62" s="1"/>
      <c r="AN62" s="1"/>
      <c r="AO62" s="1"/>
    </row>
    <row r="63" spans="1:41" ht="15">
      <c r="A63" s="1"/>
      <c r="B63" s="508"/>
      <c r="D63" s="509"/>
      <c r="E63" s="514"/>
      <c r="F63" s="509"/>
      <c r="G63" s="514"/>
      <c r="H63" s="511"/>
      <c r="I63" s="516"/>
      <c r="J63" s="516"/>
      <c r="K63" s="516"/>
      <c r="L63" s="510"/>
      <c r="M63" s="511"/>
      <c r="N63" s="511"/>
      <c r="O63" s="511"/>
      <c r="P63" s="509"/>
      <c r="Q63" s="509"/>
      <c r="R63" s="458"/>
      <c r="S63" s="512"/>
      <c r="T63" s="32"/>
      <c r="U63" s="153"/>
      <c r="V63" s="509"/>
      <c r="W63" s="1"/>
      <c r="X63" s="1"/>
      <c r="Y63" s="1"/>
      <c r="Z63" s="1"/>
      <c r="AA63" s="1"/>
      <c r="AB63" s="1"/>
      <c r="AC63" s="1"/>
      <c r="AD63" s="1"/>
      <c r="AE63" s="1"/>
      <c r="AF63" s="1"/>
      <c r="AG63" s="1"/>
      <c r="AH63" s="1"/>
      <c r="AI63" s="1"/>
      <c r="AJ63" s="1"/>
      <c r="AK63" s="1"/>
      <c r="AL63" s="1"/>
      <c r="AM63" s="1"/>
      <c r="AN63" s="1"/>
      <c r="AO63" s="1"/>
    </row>
    <row r="64" spans="1:41" ht="15">
      <c r="A64" s="1"/>
      <c r="B64" s="508"/>
      <c r="C64" s="508"/>
      <c r="D64" s="509"/>
      <c r="E64" s="514"/>
      <c r="F64" s="509"/>
      <c r="G64" s="514"/>
      <c r="H64" s="511"/>
      <c r="I64" s="516"/>
      <c r="J64" s="516"/>
      <c r="K64" s="516"/>
      <c r="L64" s="510"/>
      <c r="M64" s="511"/>
      <c r="N64" s="511"/>
      <c r="O64" s="511"/>
      <c r="P64" s="509"/>
      <c r="Q64" s="509"/>
      <c r="R64" s="458"/>
      <c r="S64" s="512"/>
      <c r="T64" s="32"/>
      <c r="U64" s="153"/>
      <c r="V64" s="509"/>
      <c r="W64" s="1"/>
      <c r="X64" s="1"/>
      <c r="Y64" s="1"/>
      <c r="Z64" s="1"/>
      <c r="AA64" s="1"/>
      <c r="AB64" s="1"/>
      <c r="AC64" s="1"/>
      <c r="AD64" s="1"/>
      <c r="AE64" s="1"/>
      <c r="AF64" s="1"/>
      <c r="AG64" s="1"/>
      <c r="AH64" s="1"/>
      <c r="AI64" s="1"/>
      <c r="AJ64" s="1"/>
      <c r="AK64" s="1"/>
      <c r="AL64" s="1"/>
      <c r="AM64" s="1"/>
      <c r="AN64" s="1"/>
      <c r="AO64" s="1"/>
    </row>
    <row r="65" spans="1:41" ht="15">
      <c r="A65" s="1"/>
      <c r="B65" s="515"/>
      <c r="C65" s="508"/>
      <c r="D65" s="509"/>
      <c r="E65" s="514"/>
      <c r="F65" s="509"/>
      <c r="G65" s="514"/>
      <c r="H65" s="511"/>
      <c r="I65" s="516"/>
      <c r="J65" s="516"/>
      <c r="K65" s="516"/>
      <c r="L65" s="511"/>
      <c r="M65" s="511"/>
      <c r="N65" s="511"/>
      <c r="O65" s="511"/>
      <c r="P65" s="509"/>
      <c r="Q65" s="509"/>
      <c r="R65" s="458"/>
      <c r="S65" s="512"/>
      <c r="T65" s="32"/>
      <c r="U65" s="153"/>
      <c r="V65" s="509"/>
      <c r="W65" s="1"/>
      <c r="X65" s="1"/>
      <c r="Y65" s="1"/>
      <c r="Z65" s="1"/>
      <c r="AA65" s="1"/>
      <c r="AB65" s="1"/>
      <c r="AC65" s="1"/>
      <c r="AD65" s="1"/>
      <c r="AE65" s="1"/>
      <c r="AF65" s="1"/>
      <c r="AG65" s="1"/>
      <c r="AH65" s="1"/>
      <c r="AI65" s="1"/>
      <c r="AJ65" s="1"/>
      <c r="AK65" s="1"/>
      <c r="AL65" s="1"/>
      <c r="AM65" s="1"/>
      <c r="AN65" s="1"/>
      <c r="AO65" s="1"/>
    </row>
    <row r="66" spans="1:41" ht="15">
      <c r="A66" s="1"/>
      <c r="B66" s="515"/>
      <c r="C66" s="508"/>
      <c r="D66" s="509"/>
      <c r="E66" s="514"/>
      <c r="F66" s="509"/>
      <c r="G66" s="514"/>
      <c r="H66" s="511"/>
      <c r="I66" s="516"/>
      <c r="J66" s="516"/>
      <c r="K66" s="516"/>
      <c r="L66" s="511"/>
      <c r="M66" s="511"/>
      <c r="N66" s="511"/>
      <c r="O66" s="511"/>
      <c r="P66" s="509"/>
      <c r="Q66" s="509"/>
      <c r="R66" s="458"/>
      <c r="S66" s="513"/>
      <c r="T66" s="32"/>
      <c r="U66" s="153"/>
      <c r="V66" s="509"/>
      <c r="W66" s="1"/>
      <c r="X66" s="1"/>
      <c r="Y66" s="1"/>
      <c r="Z66" s="1"/>
      <c r="AA66" s="1"/>
      <c r="AB66" s="1"/>
      <c r="AC66" s="1"/>
      <c r="AD66" s="1"/>
      <c r="AE66" s="1"/>
      <c r="AF66" s="1"/>
      <c r="AG66" s="1"/>
      <c r="AH66" s="1"/>
      <c r="AI66" s="1"/>
      <c r="AJ66" s="1"/>
      <c r="AK66" s="1"/>
      <c r="AL66" s="1"/>
      <c r="AM66" s="1"/>
      <c r="AN66" s="1"/>
      <c r="AO66" s="1"/>
    </row>
    <row r="67" spans="1:41" ht="15">
      <c r="A67" s="1"/>
      <c r="B67" s="515"/>
      <c r="C67" s="508"/>
      <c r="D67" s="509"/>
      <c r="E67" s="514"/>
      <c r="F67" s="509"/>
      <c r="G67" s="514"/>
      <c r="H67" s="511"/>
      <c r="I67" s="516"/>
      <c r="J67" s="516"/>
      <c r="K67" s="516"/>
      <c r="L67" s="511"/>
      <c r="M67" s="511"/>
      <c r="N67" s="511"/>
      <c r="O67" s="511"/>
      <c r="P67" s="509"/>
      <c r="Q67" s="509"/>
      <c r="R67" s="458"/>
      <c r="S67" s="512"/>
      <c r="T67" s="32"/>
      <c r="U67" s="153"/>
      <c r="V67" s="509"/>
      <c r="W67" s="1"/>
      <c r="X67" s="1"/>
      <c r="Y67" s="1"/>
      <c r="Z67" s="1"/>
      <c r="AA67" s="1"/>
      <c r="AB67" s="1"/>
      <c r="AC67" s="1"/>
      <c r="AD67" s="1"/>
      <c r="AE67" s="1"/>
      <c r="AF67" s="1"/>
      <c r="AG67" s="1"/>
      <c r="AH67" s="1"/>
      <c r="AI67" s="1"/>
      <c r="AJ67" s="1"/>
      <c r="AK67" s="1"/>
      <c r="AL67" s="1"/>
      <c r="AM67" s="1"/>
      <c r="AN67" s="1"/>
      <c r="AO67" s="1"/>
    </row>
    <row r="68" spans="1:41" ht="15">
      <c r="A68" s="1"/>
      <c r="B68" s="515"/>
      <c r="C68" s="508"/>
      <c r="D68" s="509"/>
      <c r="E68" s="514"/>
      <c r="F68" s="509"/>
      <c r="G68" s="514"/>
      <c r="H68" s="511"/>
      <c r="I68" s="511"/>
      <c r="J68" s="516"/>
      <c r="K68" s="516"/>
      <c r="L68" s="511"/>
      <c r="M68" s="511"/>
      <c r="N68" s="511"/>
      <c r="O68" s="511"/>
      <c r="P68" s="509"/>
      <c r="Q68" s="509"/>
      <c r="R68" s="458"/>
      <c r="S68" s="512"/>
      <c r="T68" s="32"/>
      <c r="U68" s="153"/>
      <c r="V68" s="509"/>
      <c r="W68" s="1"/>
      <c r="X68" s="1"/>
      <c r="Y68" s="1"/>
      <c r="Z68" s="1"/>
      <c r="AA68" s="1"/>
      <c r="AB68" s="1"/>
      <c r="AC68" s="1"/>
      <c r="AD68" s="1"/>
      <c r="AE68" s="1"/>
      <c r="AF68" s="1"/>
      <c r="AG68" s="1"/>
      <c r="AH68" s="1"/>
      <c r="AI68" s="1"/>
      <c r="AJ68" s="1"/>
      <c r="AK68" s="1"/>
      <c r="AL68" s="1"/>
      <c r="AM68" s="1"/>
      <c r="AN68" s="1"/>
      <c r="AO68" s="1"/>
    </row>
    <row r="69" spans="1:41" ht="15">
      <c r="A69" s="1"/>
      <c r="B69" s="508"/>
      <c r="C69" s="508"/>
      <c r="D69" s="509"/>
      <c r="E69" s="514"/>
      <c r="F69" s="509"/>
      <c r="G69" s="514"/>
      <c r="H69" s="511"/>
      <c r="I69" s="511"/>
      <c r="J69" s="516"/>
      <c r="K69" s="516"/>
      <c r="L69" s="511"/>
      <c r="M69" s="511"/>
      <c r="N69" s="511"/>
      <c r="O69" s="511"/>
      <c r="P69" s="509"/>
      <c r="Q69" s="509"/>
      <c r="R69" s="458"/>
      <c r="S69" s="512"/>
      <c r="T69" s="32"/>
      <c r="U69" s="153"/>
      <c r="V69" s="509"/>
      <c r="W69" s="1"/>
      <c r="X69" s="1"/>
      <c r="Y69" s="1"/>
      <c r="Z69" s="1"/>
      <c r="AA69" s="1"/>
      <c r="AB69" s="1"/>
      <c r="AC69" s="1"/>
      <c r="AD69" s="1"/>
      <c r="AE69" s="1"/>
      <c r="AF69" s="1"/>
      <c r="AG69" s="1"/>
      <c r="AH69" s="1"/>
      <c r="AI69" s="1"/>
      <c r="AJ69" s="1"/>
      <c r="AK69" s="1"/>
      <c r="AL69" s="1"/>
      <c r="AM69" s="1"/>
      <c r="AN69" s="1"/>
      <c r="AO69" s="1"/>
    </row>
    <row r="70" spans="1:41" ht="15">
      <c r="A70" s="1"/>
      <c r="B70" s="508"/>
      <c r="C70" s="508"/>
      <c r="D70" s="509"/>
      <c r="E70" s="514"/>
      <c r="F70" s="509"/>
      <c r="G70" s="514"/>
      <c r="H70" s="511"/>
      <c r="I70" s="511"/>
      <c r="J70" s="516"/>
      <c r="K70" s="516"/>
      <c r="L70" s="511"/>
      <c r="M70" s="511"/>
      <c r="N70" s="511"/>
      <c r="O70" s="511"/>
      <c r="P70" s="509"/>
      <c r="Q70" s="509"/>
      <c r="R70" s="458"/>
      <c r="S70" s="512"/>
      <c r="T70" s="32"/>
      <c r="U70" s="153"/>
      <c r="V70" s="509"/>
      <c r="W70" s="1"/>
      <c r="X70" s="1"/>
      <c r="Y70" s="1"/>
      <c r="Z70" s="1"/>
      <c r="AA70" s="1"/>
      <c r="AB70" s="1"/>
      <c r="AC70" s="1"/>
      <c r="AD70" s="1"/>
      <c r="AE70" s="1"/>
      <c r="AF70" s="1"/>
      <c r="AG70" s="1"/>
      <c r="AH70" s="1"/>
      <c r="AI70" s="1"/>
      <c r="AJ70" s="1"/>
      <c r="AK70" s="1"/>
      <c r="AL70" s="1"/>
      <c r="AM70" s="1"/>
      <c r="AN70" s="1"/>
      <c r="AO70" s="1"/>
    </row>
    <row r="71" spans="1:41" ht="15">
      <c r="A71" s="1"/>
      <c r="B71" s="508"/>
      <c r="C71" s="508"/>
      <c r="D71" s="509"/>
      <c r="E71" s="514"/>
      <c r="F71" s="509"/>
      <c r="G71" s="514"/>
      <c r="H71" s="511"/>
      <c r="I71" s="511"/>
      <c r="J71" s="516"/>
      <c r="K71" s="516"/>
      <c r="L71" s="511"/>
      <c r="M71" s="511"/>
      <c r="N71" s="511"/>
      <c r="O71" s="511"/>
      <c r="P71" s="509"/>
      <c r="Q71" s="509"/>
      <c r="R71" s="458"/>
      <c r="S71" s="512"/>
      <c r="T71" s="32"/>
      <c r="U71" s="32"/>
      <c r="V71" s="509"/>
      <c r="W71" s="1"/>
      <c r="X71" s="1"/>
      <c r="Y71" s="1"/>
      <c r="Z71" s="1"/>
      <c r="AA71" s="1"/>
      <c r="AB71" s="1"/>
      <c r="AC71" s="1"/>
      <c r="AD71" s="1"/>
      <c r="AE71" s="1"/>
      <c r="AF71" s="1"/>
      <c r="AG71" s="1"/>
      <c r="AH71" s="1"/>
      <c r="AI71" s="1"/>
      <c r="AJ71" s="1"/>
      <c r="AK71" s="1"/>
      <c r="AL71" s="1"/>
      <c r="AM71" s="1"/>
      <c r="AN71" s="1"/>
      <c r="AO71" s="1"/>
    </row>
    <row r="72" spans="1:41" ht="15">
      <c r="A72" s="1"/>
      <c r="B72" s="508"/>
      <c r="C72" s="508"/>
      <c r="D72" s="509"/>
      <c r="E72" s="514"/>
      <c r="F72" s="509"/>
      <c r="G72" s="514"/>
      <c r="H72" s="511"/>
      <c r="I72" s="511"/>
      <c r="J72" s="516"/>
      <c r="K72" s="516"/>
      <c r="L72" s="511"/>
      <c r="M72" s="511"/>
      <c r="N72" s="511"/>
      <c r="O72" s="511"/>
      <c r="P72" s="509"/>
      <c r="Q72" s="509"/>
      <c r="R72" s="458"/>
      <c r="S72" s="512"/>
      <c r="T72" s="32"/>
      <c r="U72" s="153"/>
      <c r="V72" s="509"/>
      <c r="W72" s="1"/>
      <c r="X72" s="1"/>
      <c r="Y72" s="1"/>
      <c r="Z72" s="1"/>
      <c r="AA72" s="1"/>
      <c r="AB72" s="1"/>
      <c r="AC72" s="1"/>
      <c r="AD72" s="1"/>
      <c r="AE72" s="1"/>
      <c r="AF72" s="1"/>
      <c r="AG72" s="1"/>
      <c r="AH72" s="1"/>
      <c r="AI72" s="1"/>
      <c r="AJ72" s="1"/>
      <c r="AK72" s="1"/>
      <c r="AL72" s="1"/>
      <c r="AM72" s="1"/>
      <c r="AN72" s="1"/>
      <c r="AO72" s="1"/>
    </row>
    <row r="73" spans="1:41" ht="15">
      <c r="A73" s="1"/>
      <c r="B73" s="509"/>
      <c r="C73" s="509"/>
      <c r="D73" s="509"/>
      <c r="E73" s="514"/>
      <c r="F73" s="509"/>
      <c r="G73" s="509"/>
      <c r="H73" s="511"/>
      <c r="I73" s="511"/>
      <c r="J73" s="511"/>
      <c r="K73" s="511"/>
      <c r="L73" s="511"/>
      <c r="M73" s="511"/>
      <c r="N73" s="511"/>
      <c r="O73" s="511"/>
      <c r="P73" s="509"/>
      <c r="Q73" s="509"/>
      <c r="R73" s="458"/>
      <c r="S73" s="513"/>
      <c r="T73" s="32"/>
      <c r="U73" s="153"/>
      <c r="V73" s="509"/>
      <c r="W73" s="1"/>
      <c r="X73" s="1"/>
      <c r="Y73" s="1"/>
      <c r="Z73" s="1"/>
      <c r="AA73" s="1"/>
      <c r="AB73" s="1"/>
      <c r="AC73" s="1"/>
      <c r="AD73" s="1"/>
      <c r="AE73" s="1"/>
      <c r="AF73" s="1"/>
      <c r="AG73" s="1"/>
      <c r="AH73" s="1"/>
      <c r="AI73" s="1"/>
      <c r="AJ73" s="1"/>
      <c r="AK73" s="1"/>
      <c r="AL73" s="1"/>
      <c r="AM73" s="1"/>
      <c r="AN73" s="1"/>
      <c r="AO73" s="1"/>
    </row>
    <row r="74" spans="1:41" ht="15">
      <c r="A74" s="1"/>
      <c r="B74" s="509"/>
      <c r="C74" s="509"/>
      <c r="D74" s="509"/>
      <c r="E74" s="514"/>
      <c r="F74" s="509"/>
      <c r="G74" s="509"/>
      <c r="H74" s="511"/>
      <c r="I74" s="511"/>
      <c r="J74" s="511"/>
      <c r="K74" s="511"/>
      <c r="L74" s="511"/>
      <c r="M74" s="511"/>
      <c r="N74" s="511"/>
      <c r="O74" s="511"/>
      <c r="P74" s="509"/>
      <c r="Q74" s="509"/>
      <c r="R74" s="458"/>
      <c r="S74" s="512"/>
      <c r="T74" s="32"/>
      <c r="U74" s="153"/>
      <c r="V74" s="509"/>
      <c r="W74" s="1"/>
      <c r="X74" s="1"/>
      <c r="Y74" s="1"/>
      <c r="Z74" s="1"/>
      <c r="AA74" s="1"/>
      <c r="AB74" s="1"/>
      <c r="AC74" s="1"/>
      <c r="AD74" s="1"/>
      <c r="AE74" s="1"/>
      <c r="AF74" s="1"/>
      <c r="AG74" s="1"/>
      <c r="AH74" s="1"/>
      <c r="AI74" s="1"/>
      <c r="AJ74" s="1"/>
      <c r="AK74" s="1"/>
      <c r="AL74" s="1"/>
      <c r="AM74" s="1"/>
      <c r="AN74" s="1"/>
      <c r="AO74" s="1"/>
    </row>
    <row r="75" spans="1:41" ht="15">
      <c r="A75" s="1"/>
      <c r="B75" s="509"/>
      <c r="C75" s="509"/>
      <c r="D75" s="509"/>
      <c r="E75" s="514"/>
      <c r="F75" s="509"/>
      <c r="G75" s="509"/>
      <c r="H75" s="511"/>
      <c r="I75" s="511"/>
      <c r="J75" s="511"/>
      <c r="K75" s="511"/>
      <c r="L75" s="511"/>
      <c r="M75" s="511"/>
      <c r="N75" s="511"/>
      <c r="O75" s="511"/>
      <c r="P75" s="509"/>
      <c r="Q75" s="509"/>
      <c r="R75" s="458"/>
      <c r="S75" s="512"/>
      <c r="T75" s="32"/>
      <c r="U75" s="153"/>
      <c r="V75" s="509"/>
      <c r="W75" s="1"/>
      <c r="X75" s="1"/>
      <c r="Y75" s="1"/>
      <c r="Z75" s="1"/>
      <c r="AA75" s="1"/>
      <c r="AB75" s="1"/>
      <c r="AC75" s="1"/>
      <c r="AD75" s="1"/>
      <c r="AE75" s="1"/>
      <c r="AF75" s="1"/>
      <c r="AG75" s="1"/>
      <c r="AH75" s="1"/>
      <c r="AI75" s="1"/>
      <c r="AJ75" s="1"/>
      <c r="AK75" s="1"/>
      <c r="AL75" s="1"/>
      <c r="AM75" s="1"/>
      <c r="AN75" s="1"/>
      <c r="AO75" s="1"/>
    </row>
    <row r="76" spans="1:41" ht="15">
      <c r="A76" s="1"/>
      <c r="B76" s="509"/>
      <c r="C76" s="509"/>
      <c r="D76" s="509"/>
      <c r="E76" s="514"/>
      <c r="F76" s="509"/>
      <c r="G76" s="509"/>
      <c r="H76" s="511"/>
      <c r="I76" s="511"/>
      <c r="J76" s="511"/>
      <c r="K76" s="511"/>
      <c r="L76" s="511"/>
      <c r="M76" s="511"/>
      <c r="N76" s="511"/>
      <c r="O76" s="511"/>
      <c r="P76" s="509"/>
      <c r="Q76" s="509"/>
      <c r="R76" s="458"/>
      <c r="S76" s="512"/>
      <c r="T76" s="32"/>
      <c r="U76" s="153"/>
      <c r="V76" s="509"/>
      <c r="W76" s="1"/>
      <c r="X76" s="1"/>
      <c r="Y76" s="1"/>
      <c r="Z76" s="1"/>
      <c r="AA76" s="1"/>
      <c r="AB76" s="1"/>
      <c r="AC76" s="1"/>
      <c r="AD76" s="1"/>
      <c r="AE76" s="1"/>
      <c r="AF76" s="1"/>
      <c r="AG76" s="1"/>
      <c r="AH76" s="1"/>
      <c r="AI76" s="1"/>
      <c r="AJ76" s="1"/>
      <c r="AK76" s="1"/>
      <c r="AL76" s="1"/>
      <c r="AM76" s="1"/>
      <c r="AN76" s="1"/>
      <c r="AO76" s="1"/>
    </row>
    <row r="77" spans="1:41" ht="15">
      <c r="A77" s="1"/>
      <c r="B77" s="509"/>
      <c r="C77" s="509"/>
      <c r="D77" s="509"/>
      <c r="E77" s="514"/>
      <c r="F77" s="509"/>
      <c r="G77" s="509"/>
      <c r="H77" s="511"/>
      <c r="I77" s="511"/>
      <c r="J77" s="511"/>
      <c r="K77" s="511"/>
      <c r="L77" s="511"/>
      <c r="M77" s="511"/>
      <c r="N77" s="511"/>
      <c r="O77" s="511"/>
      <c r="P77" s="509"/>
      <c r="Q77" s="509"/>
      <c r="R77" s="458"/>
      <c r="S77" s="512"/>
      <c r="T77" s="32"/>
      <c r="U77" s="153"/>
      <c r="V77" s="509"/>
      <c r="W77" s="1"/>
      <c r="X77" s="1"/>
      <c r="Y77" s="1"/>
      <c r="Z77" s="1"/>
      <c r="AA77" s="1"/>
      <c r="AB77" s="1"/>
      <c r="AC77" s="1"/>
      <c r="AD77" s="1"/>
      <c r="AE77" s="1"/>
      <c r="AF77" s="1"/>
      <c r="AG77" s="1"/>
      <c r="AH77" s="1"/>
      <c r="AI77" s="1"/>
      <c r="AJ77" s="1"/>
      <c r="AK77" s="1"/>
      <c r="AL77" s="1"/>
      <c r="AM77" s="1"/>
      <c r="AN77" s="1"/>
      <c r="AO77" s="1"/>
    </row>
    <row r="78" spans="1:41" ht="15">
      <c r="A78" s="1"/>
      <c r="B78" s="509"/>
      <c r="C78" s="509"/>
      <c r="D78" s="509"/>
      <c r="E78" s="514"/>
      <c r="F78" s="509"/>
      <c r="G78" s="509"/>
      <c r="H78" s="511"/>
      <c r="I78" s="511"/>
      <c r="J78" s="511"/>
      <c r="K78" s="511"/>
      <c r="L78" s="511"/>
      <c r="M78" s="511"/>
      <c r="N78" s="511"/>
      <c r="O78" s="511"/>
      <c r="P78" s="509"/>
      <c r="Q78" s="509"/>
      <c r="R78" s="458"/>
      <c r="S78" s="512"/>
      <c r="T78" s="32"/>
      <c r="U78" s="153"/>
      <c r="V78" s="509"/>
      <c r="W78" s="1"/>
      <c r="X78" s="1"/>
      <c r="Y78" s="1"/>
      <c r="Z78" s="1"/>
      <c r="AA78" s="1"/>
      <c r="AB78" s="1"/>
      <c r="AC78" s="1"/>
      <c r="AD78" s="1"/>
      <c r="AE78" s="1"/>
      <c r="AF78" s="1"/>
      <c r="AG78" s="1"/>
      <c r="AH78" s="1"/>
      <c r="AI78" s="1"/>
      <c r="AJ78" s="1"/>
      <c r="AK78" s="1"/>
      <c r="AL78" s="1"/>
      <c r="AM78" s="1"/>
      <c r="AN78" s="1"/>
      <c r="AO78" s="1"/>
    </row>
    <row r="79" spans="1:41" ht="15">
      <c r="A79" s="1"/>
      <c r="B79" s="509"/>
      <c r="C79" s="509"/>
      <c r="D79" s="509"/>
      <c r="E79" s="514"/>
      <c r="F79" s="509"/>
      <c r="G79" s="509"/>
      <c r="H79" s="511"/>
      <c r="I79" s="511"/>
      <c r="J79" s="511"/>
      <c r="K79" s="511"/>
      <c r="L79" s="511"/>
      <c r="M79" s="511"/>
      <c r="N79" s="511"/>
      <c r="O79" s="511"/>
      <c r="P79" s="509"/>
      <c r="Q79" s="509"/>
      <c r="R79" s="458"/>
      <c r="S79" s="512"/>
      <c r="T79" s="32"/>
      <c r="U79" s="153"/>
      <c r="V79" s="509"/>
      <c r="W79" s="1"/>
      <c r="X79" s="1"/>
      <c r="Y79" s="1"/>
      <c r="Z79" s="1"/>
      <c r="AA79" s="1"/>
      <c r="AB79" s="1"/>
      <c r="AC79" s="1"/>
      <c r="AD79" s="1"/>
      <c r="AE79" s="1"/>
      <c r="AF79" s="1"/>
      <c r="AG79" s="1"/>
      <c r="AH79" s="1"/>
      <c r="AI79" s="1"/>
      <c r="AJ79" s="1"/>
      <c r="AK79" s="1"/>
      <c r="AL79" s="1"/>
      <c r="AM79" s="1"/>
      <c r="AN79" s="1"/>
      <c r="AO79" s="1"/>
    </row>
    <row r="80" spans="1:41" ht="15">
      <c r="A80" s="1"/>
      <c r="B80" s="509"/>
      <c r="C80" s="509"/>
      <c r="D80" s="509"/>
      <c r="E80" s="514"/>
      <c r="F80" s="509"/>
      <c r="G80" s="509"/>
      <c r="H80" s="511"/>
      <c r="I80" s="511"/>
      <c r="J80" s="511"/>
      <c r="K80" s="511"/>
      <c r="L80" s="511"/>
      <c r="M80" s="511"/>
      <c r="N80" s="511"/>
      <c r="O80" s="511"/>
      <c r="P80" s="509"/>
      <c r="Q80" s="509"/>
      <c r="R80" s="458"/>
      <c r="S80" s="512"/>
      <c r="T80" s="32"/>
      <c r="U80" s="153"/>
      <c r="V80" s="509"/>
      <c r="W80" s="1"/>
      <c r="X80" s="1"/>
      <c r="Y80" s="1"/>
      <c r="Z80" s="1"/>
      <c r="AA80" s="1"/>
      <c r="AB80" s="1"/>
      <c r="AC80" s="1"/>
      <c r="AD80" s="1"/>
      <c r="AE80" s="1"/>
      <c r="AF80" s="1"/>
      <c r="AG80" s="1"/>
      <c r="AH80" s="1"/>
      <c r="AI80" s="1"/>
      <c r="AJ80" s="1"/>
      <c r="AK80" s="1"/>
      <c r="AL80" s="1"/>
      <c r="AM80" s="1"/>
      <c r="AN80" s="1"/>
      <c r="AO80" s="1"/>
    </row>
    <row r="81" spans="1:41" ht="15">
      <c r="A81" s="1"/>
      <c r="B81" s="509"/>
      <c r="C81" s="509"/>
      <c r="D81" s="509"/>
      <c r="E81" s="514"/>
      <c r="F81" s="509"/>
      <c r="G81" s="509"/>
      <c r="H81" s="511"/>
      <c r="I81" s="511"/>
      <c r="J81" s="511"/>
      <c r="K81" s="511"/>
      <c r="L81" s="511"/>
      <c r="M81" s="511"/>
      <c r="N81" s="511"/>
      <c r="O81" s="511"/>
      <c r="P81" s="509"/>
      <c r="Q81" s="509"/>
      <c r="R81" s="458"/>
      <c r="S81" s="512"/>
      <c r="T81" s="32"/>
      <c r="U81" s="153"/>
      <c r="V81" s="509"/>
      <c r="W81" s="1"/>
      <c r="X81" s="1"/>
      <c r="Y81" s="1"/>
      <c r="Z81" s="1"/>
      <c r="AA81" s="1"/>
      <c r="AB81" s="1"/>
      <c r="AC81" s="1"/>
      <c r="AD81" s="1"/>
      <c r="AE81" s="1"/>
      <c r="AF81" s="1"/>
      <c r="AG81" s="1"/>
      <c r="AH81" s="1"/>
      <c r="AI81" s="1"/>
      <c r="AJ81" s="1"/>
      <c r="AK81" s="1"/>
      <c r="AL81" s="1"/>
      <c r="AM81" s="1"/>
      <c r="AN81" s="1"/>
      <c r="AO81" s="1"/>
    </row>
    <row r="82" spans="1:41" ht="15.75">
      <c r="A82" s="1"/>
      <c r="B82" s="152"/>
      <c r="C82" s="152"/>
      <c r="D82" s="152"/>
      <c r="E82" s="411"/>
      <c r="F82" s="152"/>
      <c r="G82" s="152"/>
      <c r="H82" s="1"/>
      <c r="I82" s="1"/>
      <c r="J82" s="1"/>
      <c r="K82" s="1"/>
      <c r="L82" s="1"/>
      <c r="M82" s="1"/>
      <c r="N82" s="1"/>
      <c r="O82" s="1"/>
      <c r="P82" s="152"/>
      <c r="Q82" s="152"/>
      <c r="R82" s="42"/>
      <c r="S82" s="34"/>
      <c r="T82" s="32"/>
      <c r="U82" s="153"/>
      <c r="V82" s="152"/>
      <c r="W82" s="1"/>
      <c r="X82" s="1"/>
      <c r="Y82" s="1"/>
      <c r="Z82" s="1"/>
      <c r="AA82" s="1"/>
      <c r="AB82" s="1"/>
      <c r="AC82" s="1"/>
      <c r="AD82" s="1"/>
      <c r="AE82" s="1"/>
      <c r="AF82" s="1"/>
      <c r="AG82" s="1"/>
      <c r="AH82" s="1"/>
      <c r="AI82" s="1"/>
      <c r="AJ82" s="1"/>
      <c r="AK82" s="1"/>
      <c r="AL82" s="1"/>
      <c r="AM82" s="1"/>
      <c r="AN82" s="1"/>
      <c r="AO82" s="1"/>
    </row>
    <row r="83" spans="1:41" ht="15.75">
      <c r="A83" s="1"/>
      <c r="B83" s="152"/>
      <c r="C83" s="152"/>
      <c r="D83" s="152"/>
      <c r="E83" s="411"/>
      <c r="F83" s="152"/>
      <c r="G83" s="152"/>
      <c r="H83" s="1"/>
      <c r="I83" s="1"/>
      <c r="J83" s="1"/>
      <c r="K83" s="1"/>
      <c r="L83" s="1"/>
      <c r="M83" s="1"/>
      <c r="N83" s="1"/>
      <c r="O83" s="1"/>
      <c r="P83" s="152"/>
      <c r="Q83" s="152"/>
      <c r="R83" s="52"/>
      <c r="S83" s="154"/>
      <c r="T83" s="32"/>
      <c r="U83" s="153"/>
      <c r="V83" s="152"/>
      <c r="W83" s="1"/>
      <c r="X83" s="1"/>
      <c r="Y83" s="1"/>
      <c r="Z83" s="1"/>
      <c r="AA83" s="1"/>
      <c r="AB83" s="1"/>
      <c r="AC83" s="1"/>
      <c r="AD83" s="1"/>
      <c r="AE83" s="1"/>
      <c r="AF83" s="1"/>
      <c r="AG83" s="1"/>
      <c r="AH83" s="1"/>
      <c r="AI83" s="1"/>
      <c r="AJ83" s="1"/>
      <c r="AK83" s="1"/>
      <c r="AL83" s="1"/>
      <c r="AM83" s="1"/>
      <c r="AN83" s="1"/>
      <c r="AO83" s="1"/>
    </row>
    <row r="84" spans="1:41" ht="15.75">
      <c r="A84" s="1"/>
      <c r="B84" s="152"/>
      <c r="C84" s="152"/>
      <c r="D84" s="152"/>
      <c r="E84" s="411"/>
      <c r="F84" s="152"/>
      <c r="G84" s="152"/>
      <c r="H84" s="1"/>
      <c r="I84" s="1"/>
      <c r="J84" s="1"/>
      <c r="K84" s="1"/>
      <c r="L84" s="1"/>
      <c r="M84" s="1"/>
      <c r="N84" s="1"/>
      <c r="O84" s="1"/>
      <c r="P84" s="152"/>
      <c r="Q84" s="152"/>
      <c r="R84" s="52"/>
      <c r="S84" s="49"/>
      <c r="T84" s="32"/>
      <c r="U84" s="153"/>
      <c r="V84" s="152"/>
      <c r="W84" s="1"/>
      <c r="X84" s="1"/>
      <c r="Y84" s="1"/>
      <c r="Z84" s="1"/>
      <c r="AA84" s="1"/>
      <c r="AB84" s="1"/>
      <c r="AC84" s="1"/>
      <c r="AD84" s="1"/>
      <c r="AE84" s="1"/>
      <c r="AF84" s="1"/>
      <c r="AG84" s="1"/>
      <c r="AH84" s="1"/>
      <c r="AI84" s="1"/>
      <c r="AJ84" s="1"/>
      <c r="AK84" s="1"/>
      <c r="AL84" s="1"/>
      <c r="AM84" s="1"/>
      <c r="AN84" s="1"/>
      <c r="AO84" s="1"/>
    </row>
    <row r="85" spans="1:41" ht="15.75">
      <c r="A85" s="1"/>
      <c r="B85" s="152"/>
      <c r="C85" s="152"/>
      <c r="D85" s="152"/>
      <c r="E85" s="411"/>
      <c r="F85" s="152"/>
      <c r="G85" s="152"/>
      <c r="H85" s="1"/>
      <c r="I85" s="1"/>
      <c r="J85" s="1"/>
      <c r="K85" s="1"/>
      <c r="L85" s="1"/>
      <c r="M85" s="1"/>
      <c r="N85" s="1"/>
      <c r="O85" s="1"/>
      <c r="P85" s="152"/>
      <c r="Q85" s="152"/>
      <c r="R85" s="52"/>
      <c r="S85" s="49"/>
      <c r="T85" s="32"/>
      <c r="U85" s="153"/>
      <c r="V85" s="152"/>
      <c r="W85" s="1"/>
      <c r="X85" s="1"/>
      <c r="Y85" s="1"/>
      <c r="Z85" s="1"/>
      <c r="AA85" s="1"/>
      <c r="AB85" s="1"/>
      <c r="AC85" s="1"/>
      <c r="AD85" s="1"/>
      <c r="AE85" s="1"/>
      <c r="AF85" s="1"/>
      <c r="AG85" s="1"/>
      <c r="AH85" s="1"/>
      <c r="AI85" s="1"/>
      <c r="AJ85" s="1"/>
      <c r="AK85" s="1"/>
      <c r="AL85" s="1"/>
      <c r="AM85" s="1"/>
      <c r="AN85" s="1"/>
      <c r="AO85" s="1"/>
    </row>
    <row r="86" spans="1:41" ht="15.75">
      <c r="A86" s="1"/>
      <c r="B86" s="152"/>
      <c r="C86" s="152"/>
      <c r="D86" s="152"/>
      <c r="E86" s="411"/>
      <c r="F86" s="152"/>
      <c r="G86" s="152"/>
      <c r="H86" s="1"/>
      <c r="I86" s="1"/>
      <c r="J86" s="1"/>
      <c r="K86" s="1"/>
      <c r="L86" s="1"/>
      <c r="M86" s="1"/>
      <c r="N86" s="1"/>
      <c r="O86" s="1"/>
      <c r="P86" s="152"/>
      <c r="Q86" s="152"/>
      <c r="R86" s="52"/>
      <c r="S86" s="49"/>
      <c r="T86" s="32"/>
      <c r="U86" s="153"/>
      <c r="V86" s="152"/>
      <c r="W86" s="1"/>
      <c r="X86" s="1"/>
      <c r="Y86" s="1"/>
      <c r="Z86" s="1"/>
      <c r="AA86" s="1"/>
      <c r="AB86" s="1"/>
      <c r="AC86" s="1"/>
      <c r="AD86" s="1"/>
      <c r="AE86" s="1"/>
      <c r="AF86" s="1"/>
      <c r="AG86" s="1"/>
      <c r="AH86" s="1"/>
      <c r="AI86" s="1"/>
      <c r="AJ86" s="1"/>
      <c r="AK86" s="1"/>
      <c r="AL86" s="1"/>
      <c r="AM86" s="1"/>
      <c r="AN86" s="1"/>
      <c r="AO86" s="1"/>
    </row>
    <row r="87" spans="1:41" ht="15.75">
      <c r="A87" s="1"/>
      <c r="B87" s="152"/>
      <c r="C87" s="152"/>
      <c r="D87" s="152"/>
      <c r="E87" s="411"/>
      <c r="F87" s="152"/>
      <c r="G87" s="152"/>
      <c r="H87" s="1"/>
      <c r="I87" s="1"/>
      <c r="J87" s="1"/>
      <c r="K87" s="1"/>
      <c r="L87" s="1"/>
      <c r="M87" s="1"/>
      <c r="N87" s="1"/>
      <c r="O87" s="1"/>
      <c r="P87" s="152"/>
      <c r="Q87" s="152"/>
      <c r="R87" s="152"/>
      <c r="S87" s="152"/>
      <c r="T87" s="31"/>
      <c r="U87" s="31"/>
      <c r="V87" s="152"/>
      <c r="W87" s="1"/>
      <c r="X87" s="1"/>
      <c r="Y87" s="1"/>
      <c r="Z87" s="1"/>
      <c r="AA87" s="1"/>
      <c r="AB87" s="1"/>
      <c r="AC87" s="1"/>
      <c r="AD87" s="1"/>
      <c r="AE87" s="1"/>
      <c r="AF87" s="1"/>
      <c r="AG87" s="1"/>
      <c r="AH87" s="1"/>
      <c r="AI87" s="1"/>
      <c r="AJ87" s="1"/>
      <c r="AK87" s="1"/>
      <c r="AL87" s="1"/>
      <c r="AM87" s="1"/>
      <c r="AN87" s="1"/>
      <c r="AO87" s="1"/>
    </row>
    <row r="88" spans="1:41" ht="15.75">
      <c r="A88" s="1"/>
      <c r="B88" s="152"/>
      <c r="C88" s="152"/>
      <c r="D88" s="152"/>
      <c r="E88" s="411"/>
      <c r="F88" s="152"/>
      <c r="G88" s="152"/>
      <c r="H88" s="1"/>
      <c r="I88" s="1"/>
      <c r="J88" s="1"/>
      <c r="K88" s="1"/>
      <c r="L88" s="1"/>
      <c r="M88" s="1"/>
      <c r="N88" s="1"/>
      <c r="O88" s="1"/>
      <c r="P88" s="152"/>
      <c r="Q88" s="152"/>
      <c r="R88" s="152"/>
      <c r="S88" s="152"/>
      <c r="T88" s="31"/>
      <c r="U88" s="31"/>
      <c r="V88" s="152"/>
      <c r="W88" s="1"/>
      <c r="X88" s="1"/>
      <c r="Y88" s="1"/>
      <c r="Z88" s="1"/>
      <c r="AA88" s="1"/>
      <c r="AB88" s="1"/>
      <c r="AC88" s="1"/>
      <c r="AD88" s="1"/>
      <c r="AE88" s="1"/>
      <c r="AF88" s="1"/>
      <c r="AG88" s="1"/>
      <c r="AH88" s="1"/>
      <c r="AI88" s="1"/>
      <c r="AJ88" s="1"/>
      <c r="AK88" s="1"/>
      <c r="AL88" s="1"/>
      <c r="AM88" s="1"/>
      <c r="AN88" s="1"/>
      <c r="AO88" s="1"/>
    </row>
    <row r="89" spans="1:41" ht="15.75">
      <c r="A89" s="1"/>
      <c r="B89" s="152"/>
      <c r="C89" s="152"/>
      <c r="D89" s="152"/>
      <c r="E89" s="411"/>
      <c r="F89" s="152"/>
      <c r="G89" s="152"/>
      <c r="H89" s="1"/>
      <c r="I89" s="1"/>
      <c r="J89" s="1"/>
      <c r="K89" s="1"/>
      <c r="L89" s="1"/>
      <c r="M89" s="1"/>
      <c r="N89" s="1"/>
      <c r="O89" s="1"/>
      <c r="P89" s="152"/>
      <c r="Q89" s="152"/>
      <c r="R89" s="152"/>
      <c r="S89" s="152"/>
      <c r="T89" s="31"/>
      <c r="U89" s="31"/>
      <c r="V89" s="152"/>
      <c r="W89" s="1"/>
      <c r="X89" s="1"/>
      <c r="Y89" s="1"/>
      <c r="Z89" s="1"/>
      <c r="AA89" s="1"/>
      <c r="AB89" s="1"/>
      <c r="AC89" s="1"/>
      <c r="AD89" s="1"/>
      <c r="AE89" s="1"/>
      <c r="AF89" s="1"/>
      <c r="AG89" s="1"/>
      <c r="AH89" s="1"/>
      <c r="AI89" s="1"/>
      <c r="AJ89" s="1"/>
      <c r="AK89" s="1"/>
      <c r="AL89" s="1"/>
      <c r="AM89" s="1"/>
      <c r="AN89" s="1"/>
      <c r="AO89" s="1"/>
    </row>
    <row r="90" spans="1:41" ht="15.75">
      <c r="A90" s="1"/>
      <c r="B90" s="152"/>
      <c r="C90" s="152"/>
      <c r="D90" s="152"/>
      <c r="E90" s="411"/>
      <c r="F90" s="152"/>
      <c r="G90" s="152"/>
      <c r="H90" s="1"/>
      <c r="I90" s="1"/>
      <c r="J90" s="1"/>
      <c r="K90" s="1"/>
      <c r="L90" s="1"/>
      <c r="M90" s="1"/>
      <c r="N90" s="1"/>
      <c r="O90" s="1"/>
      <c r="P90" s="1"/>
      <c r="Q90" s="1"/>
      <c r="R90" s="1"/>
      <c r="S90" s="1"/>
      <c r="V90" s="1"/>
      <c r="W90" s="1"/>
      <c r="X90" s="1"/>
      <c r="Y90" s="1"/>
      <c r="Z90" s="1"/>
      <c r="AA90" s="1"/>
      <c r="AB90" s="1"/>
      <c r="AC90" s="1"/>
      <c r="AD90" s="1"/>
      <c r="AE90" s="1"/>
      <c r="AF90" s="1"/>
      <c r="AG90" s="1"/>
      <c r="AH90" s="1"/>
      <c r="AI90" s="1"/>
      <c r="AJ90" s="1"/>
      <c r="AK90" s="1"/>
      <c r="AL90" s="1"/>
      <c r="AM90" s="1"/>
      <c r="AN90" s="1"/>
      <c r="AO90" s="1"/>
    </row>
    <row r="91" spans="1:41" ht="15.75">
      <c r="A91" s="1"/>
      <c r="B91" s="152"/>
      <c r="C91" s="152"/>
      <c r="D91" s="152"/>
      <c r="E91" s="411"/>
      <c r="F91" s="152"/>
      <c r="G91" s="152"/>
      <c r="H91" s="1"/>
      <c r="I91" s="1"/>
      <c r="J91" s="1"/>
      <c r="K91" s="1"/>
      <c r="L91" s="1"/>
      <c r="M91" s="1"/>
      <c r="N91" s="1"/>
      <c r="O91" s="1"/>
      <c r="P91" s="1"/>
      <c r="Q91" s="1"/>
      <c r="R91" s="1"/>
      <c r="S91" s="1"/>
      <c r="V91" s="1"/>
      <c r="W91" s="1"/>
      <c r="X91" s="1"/>
      <c r="Y91" s="1"/>
      <c r="Z91" s="1"/>
      <c r="AA91" s="1"/>
      <c r="AB91" s="1"/>
      <c r="AC91" s="1"/>
      <c r="AD91" s="1"/>
      <c r="AE91" s="1"/>
      <c r="AF91" s="1"/>
      <c r="AG91" s="1"/>
      <c r="AH91" s="1"/>
      <c r="AI91" s="1"/>
      <c r="AJ91" s="1"/>
      <c r="AK91" s="1"/>
      <c r="AL91" s="1"/>
      <c r="AM91" s="1"/>
      <c r="AN91" s="1"/>
      <c r="AO91" s="1"/>
    </row>
    <row r="92" spans="1:41" ht="15.75">
      <c r="A92" s="1"/>
      <c r="B92" s="152"/>
      <c r="C92" s="152"/>
      <c r="D92" s="152"/>
      <c r="E92" s="411"/>
      <c r="F92" s="152"/>
      <c r="G92" s="152"/>
      <c r="H92" s="1"/>
      <c r="I92" s="1"/>
      <c r="J92" s="1"/>
      <c r="K92" s="1"/>
      <c r="L92" s="1"/>
      <c r="M92" s="1"/>
      <c r="N92" s="1"/>
      <c r="O92" s="1"/>
      <c r="P92" s="1"/>
      <c r="Q92" s="1"/>
      <c r="R92" s="1"/>
      <c r="S92" s="1"/>
      <c r="V92" s="1"/>
      <c r="W92" s="1"/>
      <c r="X92" s="1"/>
      <c r="Y92" s="1"/>
      <c r="Z92" s="1"/>
      <c r="AA92" s="1"/>
      <c r="AB92" s="1"/>
      <c r="AC92" s="1"/>
      <c r="AD92" s="1"/>
      <c r="AE92" s="1"/>
      <c r="AF92" s="1"/>
      <c r="AG92" s="1"/>
      <c r="AH92" s="1"/>
      <c r="AI92" s="1"/>
      <c r="AJ92" s="1"/>
      <c r="AK92" s="1"/>
      <c r="AL92" s="1"/>
      <c r="AM92" s="1"/>
      <c r="AN92" s="1"/>
      <c r="AO92" s="1"/>
    </row>
    <row r="93" spans="1:41" ht="15.75">
      <c r="A93" s="1"/>
      <c r="B93" s="152"/>
      <c r="C93" s="152"/>
      <c r="D93" s="152"/>
      <c r="E93" s="411"/>
      <c r="F93" s="152"/>
      <c r="G93" s="152"/>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row>
    <row r="94" spans="1:41" ht="15.75">
      <c r="A94" s="1"/>
      <c r="B94" s="152"/>
      <c r="C94" s="152"/>
      <c r="D94" s="152"/>
      <c r="E94" s="411"/>
      <c r="F94" s="152"/>
      <c r="G94" s="152"/>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row>
    <row r="95" spans="1:41" ht="15.75">
      <c r="A95" s="1"/>
      <c r="B95" s="152"/>
      <c r="C95" s="152"/>
      <c r="D95" s="152"/>
      <c r="E95" s="411"/>
      <c r="F95" s="152"/>
      <c r="G95" s="152"/>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row>
    <row r="96" spans="1:41">
      <c r="A96" s="1"/>
      <c r="B96" s="152"/>
      <c r="C96" s="152"/>
      <c r="D96" s="152"/>
      <c r="E96" s="152"/>
      <c r="F96" s="152"/>
      <c r="G96" s="152"/>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row>
    <row r="97" spans="1:41">
      <c r="A97" s="1"/>
      <c r="B97" s="152"/>
      <c r="C97" s="152"/>
      <c r="D97" s="152"/>
      <c r="E97" s="152"/>
      <c r="F97" s="152"/>
      <c r="G97" s="152"/>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row>
    <row r="98" spans="1:4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row>
    <row r="99" spans="1:4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row>
    <row r="100" spans="1:4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row>
  </sheetData>
  <phoneticPr fontId="4" type="noConversion"/>
  <printOptions gridLines="1" gridLinesSet="0"/>
  <pageMargins left="0.55118110236220474" right="0.55118110236220474" top="0.61" bottom="0.7" header="0.31496062992125984" footer="0.51181102362204722"/>
  <pageSetup paperSize="9" scale="65"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X48"/>
  <sheetViews>
    <sheetView view="pageBreakPreview" zoomScale="85" zoomScaleSheetLayoutView="85" workbookViewId="0">
      <selection activeCell="L30" sqref="L30"/>
    </sheetView>
  </sheetViews>
  <sheetFormatPr defaultRowHeight="16.5"/>
  <sheetData>
    <row r="1" spans="1:24" ht="17.25" thickBot="1">
      <c r="A1" s="294" t="s">
        <v>227</v>
      </c>
      <c r="B1" s="294"/>
      <c r="C1" s="294"/>
      <c r="D1" s="294"/>
      <c r="E1" s="294"/>
      <c r="F1" s="294"/>
      <c r="G1" s="294"/>
      <c r="H1" s="294"/>
      <c r="I1" s="294"/>
      <c r="J1" s="294"/>
      <c r="K1" s="294"/>
      <c r="L1" s="294"/>
      <c r="M1" s="294"/>
      <c r="N1" s="294"/>
      <c r="O1" s="294"/>
      <c r="P1" s="294"/>
      <c r="Q1" s="294"/>
      <c r="R1" s="294"/>
      <c r="S1" s="294"/>
      <c r="T1" s="294"/>
      <c r="U1" s="294"/>
      <c r="V1" s="294"/>
      <c r="W1" s="294"/>
      <c r="X1" s="294"/>
    </row>
    <row r="2" spans="1:24">
      <c r="A2" s="809" t="s">
        <v>226</v>
      </c>
      <c r="B2" s="810"/>
      <c r="C2" s="810"/>
      <c r="D2" s="810"/>
      <c r="E2" s="810"/>
      <c r="F2" s="810"/>
      <c r="G2" s="810"/>
      <c r="H2" s="810"/>
      <c r="I2" s="810"/>
      <c r="J2" s="810"/>
      <c r="K2" s="810"/>
      <c r="L2" s="810"/>
      <c r="M2" s="810"/>
      <c r="N2" s="810"/>
      <c r="O2" s="810"/>
      <c r="P2" s="810"/>
      <c r="Q2" s="810"/>
      <c r="R2" s="810"/>
      <c r="S2" s="810"/>
      <c r="T2" s="810"/>
      <c r="U2" s="810"/>
      <c r="V2" s="810"/>
      <c r="W2" s="810"/>
      <c r="X2" s="811"/>
    </row>
    <row r="3" spans="1:24">
      <c r="A3" s="812"/>
      <c r="B3" s="813"/>
      <c r="C3" s="813"/>
      <c r="D3" s="813"/>
      <c r="E3" s="813"/>
      <c r="F3" s="813"/>
      <c r="G3" s="813"/>
      <c r="H3" s="813"/>
      <c r="I3" s="813"/>
      <c r="J3" s="813"/>
      <c r="K3" s="813"/>
      <c r="L3" s="813"/>
      <c r="M3" s="813"/>
      <c r="N3" s="813"/>
      <c r="O3" s="813"/>
      <c r="P3" s="813"/>
      <c r="Q3" s="813"/>
      <c r="R3" s="813"/>
      <c r="S3" s="813"/>
      <c r="T3" s="813"/>
      <c r="U3" s="813"/>
      <c r="V3" s="813"/>
      <c r="W3" s="813"/>
      <c r="X3" s="814"/>
    </row>
    <row r="4" spans="1:24">
      <c r="A4" s="295"/>
      <c r="B4" s="148"/>
      <c r="C4" s="148"/>
      <c r="D4" s="148"/>
      <c r="E4" s="148"/>
      <c r="F4" s="148"/>
      <c r="G4" s="148"/>
      <c r="H4" s="148"/>
      <c r="I4" s="148"/>
      <c r="J4" s="148"/>
      <c r="K4" s="148"/>
      <c r="L4" s="148"/>
      <c r="M4" s="296"/>
      <c r="N4" s="296"/>
      <c r="O4" s="327"/>
      <c r="P4" s="328"/>
      <c r="Q4" s="328"/>
      <c r="R4" s="328"/>
      <c r="S4" s="328"/>
      <c r="T4" s="328"/>
      <c r="U4" s="328"/>
      <c r="V4" s="328"/>
      <c r="W4" s="328"/>
      <c r="X4" s="329"/>
    </row>
    <row r="5" spans="1:24" ht="15.95" customHeight="1">
      <c r="A5" s="295"/>
      <c r="E5" s="148"/>
      <c r="F5" s="148"/>
      <c r="G5" s="148"/>
      <c r="H5" s="148"/>
      <c r="I5" s="148"/>
      <c r="J5" s="148"/>
      <c r="K5" s="148"/>
      <c r="L5" s="148"/>
      <c r="M5" s="296"/>
      <c r="N5" s="297"/>
      <c r="O5" s="330"/>
      <c r="P5" s="331"/>
      <c r="Q5" s="331"/>
      <c r="R5" s="331"/>
      <c r="S5" s="331"/>
      <c r="T5" s="331"/>
      <c r="U5" s="818" t="s">
        <v>221</v>
      </c>
      <c r="V5" s="819"/>
      <c r="W5" s="819"/>
      <c r="X5" s="332"/>
    </row>
    <row r="6" spans="1:24" ht="15.95" customHeight="1">
      <c r="A6" s="295"/>
      <c r="E6" s="148"/>
      <c r="F6" s="148"/>
      <c r="G6" s="148"/>
      <c r="H6" s="148"/>
      <c r="I6" s="148"/>
      <c r="J6" s="148"/>
      <c r="K6" s="148"/>
      <c r="L6" s="148"/>
      <c r="M6" s="296"/>
      <c r="N6" s="298"/>
      <c r="O6" s="330"/>
      <c r="P6" s="331"/>
      <c r="Q6" s="331"/>
      <c r="R6" s="331"/>
      <c r="S6" s="331"/>
      <c r="T6" s="331"/>
      <c r="U6" s="820" t="s">
        <v>222</v>
      </c>
      <c r="V6" s="820"/>
      <c r="W6" s="820"/>
      <c r="X6" s="332"/>
    </row>
    <row r="7" spans="1:24" ht="15.95" customHeight="1">
      <c r="A7" s="295"/>
      <c r="E7" s="148"/>
      <c r="F7" s="148"/>
      <c r="G7" s="148"/>
      <c r="H7" s="148"/>
      <c r="I7" s="148"/>
      <c r="J7" s="148"/>
      <c r="K7" s="148"/>
      <c r="L7" s="148"/>
      <c r="M7" s="296"/>
      <c r="N7" s="297"/>
      <c r="O7" s="330"/>
      <c r="P7" s="331"/>
      <c r="Q7" s="331"/>
      <c r="R7" s="331"/>
      <c r="S7" s="331"/>
      <c r="T7" s="331"/>
      <c r="U7" s="821" t="s">
        <v>223</v>
      </c>
      <c r="V7" s="821"/>
      <c r="W7" s="821"/>
      <c r="X7" s="332"/>
    </row>
    <row r="8" spans="1:24" ht="15.95" customHeight="1">
      <c r="A8" s="295"/>
      <c r="E8" s="148"/>
      <c r="F8" s="148"/>
      <c r="G8" s="148"/>
      <c r="H8" s="148"/>
      <c r="I8" s="148"/>
      <c r="J8" s="148"/>
      <c r="K8" s="148"/>
      <c r="L8" s="148"/>
      <c r="M8" s="296"/>
      <c r="N8" s="299"/>
      <c r="O8" s="327"/>
      <c r="P8" s="328"/>
      <c r="Q8" s="328"/>
      <c r="R8" s="328"/>
      <c r="S8" s="328"/>
      <c r="T8" s="328"/>
      <c r="U8" s="822" t="s">
        <v>224</v>
      </c>
      <c r="V8" s="822"/>
      <c r="W8" s="822"/>
      <c r="X8" s="329"/>
    </row>
    <row r="9" spans="1:24" ht="15.95" customHeight="1">
      <c r="A9" s="295"/>
      <c r="E9" s="148"/>
      <c r="F9" s="148"/>
      <c r="G9" s="148"/>
      <c r="H9" s="148"/>
      <c r="I9" s="148"/>
      <c r="J9" s="148"/>
      <c r="K9" s="148"/>
      <c r="L9" s="148"/>
      <c r="M9" s="296"/>
      <c r="N9" s="296"/>
      <c r="P9" s="296"/>
      <c r="Q9" s="296"/>
      <c r="R9" s="296"/>
      <c r="S9" s="296"/>
      <c r="T9" s="296"/>
      <c r="U9" s="817" t="s">
        <v>225</v>
      </c>
      <c r="V9" s="817"/>
      <c r="W9" s="817"/>
      <c r="X9" s="300"/>
    </row>
    <row r="10" spans="1:24" ht="15.95" customHeight="1">
      <c r="A10" s="295"/>
      <c r="B10" s="148"/>
      <c r="C10" s="148"/>
      <c r="D10" s="148"/>
      <c r="E10" s="148"/>
      <c r="F10" s="148"/>
      <c r="G10" s="148"/>
      <c r="H10" s="148"/>
      <c r="I10" s="148"/>
      <c r="J10" s="148"/>
      <c r="K10" s="148"/>
      <c r="L10" s="148"/>
      <c r="M10" s="296"/>
      <c r="N10" s="296"/>
      <c r="O10" s="296"/>
      <c r="P10" s="296"/>
      <c r="Q10" s="296"/>
      <c r="R10" s="296"/>
      <c r="S10" s="296"/>
      <c r="T10" s="296"/>
      <c r="U10" s="296"/>
      <c r="V10" s="296"/>
      <c r="W10" s="296"/>
      <c r="X10" s="300"/>
    </row>
    <row r="11" spans="1:24" ht="15.95" customHeight="1">
      <c r="A11" s="295"/>
      <c r="B11" s="148"/>
      <c r="C11" s="148"/>
      <c r="D11" s="148"/>
      <c r="E11" s="148"/>
      <c r="F11" s="148"/>
      <c r="G11" s="148"/>
      <c r="H11" s="148"/>
      <c r="I11" s="148"/>
      <c r="J11" s="148"/>
      <c r="K11" s="148"/>
      <c r="L11" s="148"/>
      <c r="M11" s="296"/>
      <c r="N11" s="296"/>
      <c r="O11" s="296"/>
      <c r="P11" s="296"/>
      <c r="Q11" s="296"/>
      <c r="R11" s="296"/>
      <c r="S11" s="296"/>
      <c r="T11" s="296"/>
      <c r="U11" s="296"/>
      <c r="V11" s="296"/>
      <c r="W11" s="296"/>
      <c r="X11" s="300"/>
    </row>
    <row r="12" spans="1:24" ht="15.95" customHeight="1">
      <c r="A12" s="295"/>
      <c r="B12" s="148"/>
      <c r="C12" s="148"/>
      <c r="D12" s="148"/>
      <c r="E12" s="148"/>
      <c r="F12" s="148"/>
      <c r="G12" s="148"/>
      <c r="H12" s="148"/>
      <c r="I12" s="148"/>
      <c r="J12" s="148"/>
      <c r="K12" s="148"/>
      <c r="L12" s="148"/>
      <c r="M12" s="296"/>
      <c r="N12" s="296"/>
      <c r="O12" s="296"/>
      <c r="P12" s="296"/>
      <c r="Q12" s="296"/>
      <c r="R12" s="296"/>
      <c r="S12" s="296"/>
      <c r="T12" s="296"/>
      <c r="U12" s="296"/>
      <c r="V12" s="296"/>
      <c r="W12" s="296"/>
      <c r="X12" s="300"/>
    </row>
    <row r="13" spans="1:24" ht="15.95" customHeight="1">
      <c r="A13" s="295"/>
      <c r="B13" s="148"/>
      <c r="C13" s="148"/>
      <c r="D13" s="148"/>
      <c r="E13" s="148"/>
      <c r="F13" s="148"/>
      <c r="G13" s="148"/>
      <c r="H13" s="148"/>
      <c r="I13" s="148"/>
      <c r="J13" s="148"/>
      <c r="K13" s="148"/>
      <c r="L13" s="148"/>
      <c r="M13" s="296"/>
      <c r="N13" s="296"/>
      <c r="O13" s="296"/>
      <c r="P13" s="296"/>
      <c r="Q13" s="296"/>
      <c r="R13" s="296"/>
      <c r="S13" s="296"/>
      <c r="T13" s="296"/>
      <c r="U13" s="296"/>
      <c r="V13" s="296"/>
      <c r="W13" s="296"/>
      <c r="X13" s="300"/>
    </row>
    <row r="14" spans="1:24" ht="15.95" customHeight="1">
      <c r="A14" s="295"/>
      <c r="B14" s="148"/>
      <c r="C14" s="148"/>
      <c r="D14" s="148"/>
      <c r="E14" s="148"/>
      <c r="F14" s="148"/>
      <c r="G14" s="148"/>
      <c r="H14" s="148"/>
      <c r="I14" s="148"/>
      <c r="J14" s="148"/>
      <c r="K14" s="148"/>
      <c r="L14" s="148"/>
      <c r="M14" s="296"/>
      <c r="N14" s="296"/>
      <c r="O14" s="296"/>
      <c r="P14" s="296"/>
      <c r="Q14" s="296"/>
      <c r="R14" s="296"/>
      <c r="S14" s="296"/>
      <c r="T14" s="296"/>
      <c r="U14" s="296"/>
      <c r="V14" s="296"/>
      <c r="W14" s="296"/>
      <c r="X14" s="300"/>
    </row>
    <row r="15" spans="1:24" ht="15.95" customHeight="1">
      <c r="A15" s="295"/>
      <c r="B15" s="148"/>
      <c r="C15" s="148"/>
      <c r="D15" s="148"/>
      <c r="E15" s="148"/>
      <c r="F15" s="148"/>
      <c r="G15" s="148"/>
      <c r="H15" s="148"/>
      <c r="I15" s="148"/>
      <c r="J15" s="148"/>
      <c r="K15" s="148"/>
      <c r="L15" s="148"/>
      <c r="M15" s="296"/>
      <c r="N15" s="296"/>
      <c r="O15" s="296"/>
      <c r="P15" s="296"/>
      <c r="Q15" s="296"/>
      <c r="R15" s="296"/>
      <c r="S15" s="296"/>
      <c r="T15" s="296"/>
      <c r="U15" s="296"/>
      <c r="V15" s="296"/>
      <c r="W15" s="296"/>
      <c r="X15" s="300"/>
    </row>
    <row r="16" spans="1:24" ht="15.95" customHeight="1">
      <c r="A16" s="295"/>
      <c r="B16" s="148"/>
      <c r="C16" s="148"/>
      <c r="D16" s="148"/>
      <c r="E16" s="148"/>
      <c r="F16" s="148"/>
      <c r="G16" s="148"/>
      <c r="H16" s="148"/>
      <c r="I16" s="148"/>
      <c r="J16" s="148"/>
      <c r="K16" s="148"/>
      <c r="L16" s="148"/>
      <c r="M16" s="296"/>
      <c r="N16" s="296"/>
      <c r="O16" s="296"/>
      <c r="P16" s="296"/>
      <c r="Q16" s="296"/>
      <c r="R16" s="296"/>
      <c r="S16" s="296"/>
      <c r="T16" s="296"/>
      <c r="U16" s="296"/>
      <c r="V16" s="296"/>
      <c r="W16" s="296"/>
      <c r="X16" s="300"/>
    </row>
    <row r="17" spans="1:24" ht="15.95" customHeight="1">
      <c r="A17" s="295"/>
      <c r="B17" s="148"/>
      <c r="C17" s="148"/>
      <c r="D17" s="148"/>
      <c r="E17" s="148"/>
      <c r="F17" s="148"/>
      <c r="G17" s="148"/>
      <c r="H17" s="148"/>
      <c r="I17" s="148"/>
      <c r="J17" s="148"/>
      <c r="K17" s="148"/>
      <c r="L17" s="148"/>
      <c r="M17" s="296"/>
      <c r="N17" s="296"/>
      <c r="O17" s="296"/>
      <c r="P17" s="296"/>
      <c r="Q17" s="296"/>
      <c r="R17" s="296"/>
      <c r="S17" s="296"/>
      <c r="T17" s="296"/>
      <c r="U17" s="296"/>
      <c r="V17" s="296"/>
      <c r="W17" s="296"/>
      <c r="X17" s="300"/>
    </row>
    <row r="18" spans="1:24" ht="15.95" customHeight="1">
      <c r="A18" s="295"/>
      <c r="B18" s="148"/>
      <c r="C18" s="148"/>
      <c r="D18" s="148"/>
      <c r="E18" s="148"/>
      <c r="F18" s="148"/>
      <c r="G18" s="148"/>
      <c r="H18" s="148"/>
      <c r="I18" s="148"/>
      <c r="J18" s="148"/>
      <c r="K18" s="148"/>
      <c r="L18" s="148"/>
      <c r="M18" s="296"/>
      <c r="N18" s="296"/>
      <c r="O18" s="296"/>
      <c r="P18" s="296"/>
      <c r="Q18" s="296"/>
      <c r="R18" s="296"/>
      <c r="S18" s="296"/>
      <c r="T18" s="296"/>
      <c r="U18" s="296"/>
      <c r="V18" s="296"/>
      <c r="W18" s="296"/>
      <c r="X18" s="300"/>
    </row>
    <row r="19" spans="1:24" ht="15.95" customHeight="1">
      <c r="A19" s="301"/>
      <c r="B19" s="302"/>
      <c r="C19" s="302"/>
      <c r="D19" s="302"/>
      <c r="E19" s="302"/>
      <c r="F19" s="302"/>
      <c r="G19" s="302"/>
      <c r="H19" s="302"/>
      <c r="I19" s="302"/>
      <c r="J19" s="302"/>
      <c r="K19" s="302"/>
      <c r="L19" s="302"/>
      <c r="M19" s="302"/>
      <c r="N19" s="302"/>
      <c r="O19" s="302"/>
      <c r="P19" s="302"/>
      <c r="Q19" s="302"/>
      <c r="R19" s="302"/>
      <c r="S19" s="303"/>
      <c r="T19" s="302"/>
      <c r="U19" s="302"/>
      <c r="V19" s="302"/>
      <c r="W19" s="302"/>
      <c r="X19" s="304"/>
    </row>
    <row r="20" spans="1:24" ht="15.95" customHeight="1">
      <c r="A20" s="301"/>
      <c r="B20" s="302"/>
      <c r="C20" s="302"/>
      <c r="D20" s="305"/>
      <c r="E20" s="302"/>
      <c r="F20" s="302"/>
      <c r="G20" s="302"/>
      <c r="H20" s="302"/>
      <c r="I20" s="302"/>
      <c r="J20" s="302"/>
      <c r="K20" s="302"/>
      <c r="L20" s="302"/>
      <c r="M20" s="302"/>
      <c r="N20" s="302"/>
      <c r="O20" s="302"/>
      <c r="P20" s="302"/>
      <c r="Q20" s="302"/>
      <c r="R20" s="302"/>
      <c r="S20" s="302"/>
      <c r="T20" s="302"/>
      <c r="U20" s="302"/>
      <c r="V20" s="302"/>
      <c r="W20" s="302"/>
      <c r="X20" s="304"/>
    </row>
    <row r="21" spans="1:24" ht="15.95" customHeight="1">
      <c r="A21" s="306"/>
      <c r="B21" s="307"/>
      <c r="C21" s="302"/>
      <c r="D21" s="305"/>
      <c r="E21" s="302"/>
      <c r="F21" s="302"/>
      <c r="G21" s="302"/>
      <c r="H21" s="302"/>
      <c r="I21" s="302"/>
      <c r="J21" s="302"/>
      <c r="K21" s="302"/>
      <c r="L21" s="302"/>
      <c r="M21" s="302"/>
      <c r="N21" s="302"/>
      <c r="O21" s="302"/>
      <c r="P21" s="307"/>
      <c r="Q21" s="308"/>
      <c r="R21" s="302"/>
      <c r="S21" s="302"/>
      <c r="T21" s="302"/>
      <c r="U21" s="302"/>
      <c r="V21" s="302" t="s">
        <v>220</v>
      </c>
      <c r="W21" s="302"/>
      <c r="X21" s="304"/>
    </row>
    <row r="22" spans="1:24" ht="15.95" customHeight="1">
      <c r="A22" s="301"/>
      <c r="B22" s="302"/>
      <c r="C22" s="302"/>
      <c r="D22" s="302"/>
      <c r="E22" s="302"/>
      <c r="F22" s="302"/>
      <c r="G22" s="302"/>
      <c r="H22" s="302"/>
      <c r="I22" s="302"/>
      <c r="J22" s="302"/>
      <c r="K22" s="302"/>
      <c r="L22" s="302"/>
      <c r="M22" s="302"/>
      <c r="N22" s="302"/>
      <c r="O22" s="302"/>
      <c r="P22" s="303"/>
      <c r="Q22" s="307"/>
      <c r="R22" s="302"/>
      <c r="S22" s="302"/>
      <c r="T22" s="302"/>
      <c r="U22" s="302"/>
      <c r="V22" s="302"/>
      <c r="W22" s="302"/>
      <c r="X22" s="304"/>
    </row>
    <row r="23" spans="1:24" ht="15.95" customHeight="1">
      <c r="A23" s="306"/>
      <c r="B23" s="302"/>
      <c r="C23" s="302"/>
      <c r="D23" s="302"/>
      <c r="E23" s="302"/>
      <c r="F23" s="302"/>
      <c r="G23" s="302"/>
      <c r="H23" s="302"/>
      <c r="I23" s="302"/>
      <c r="J23" s="302"/>
      <c r="K23" s="302"/>
      <c r="L23" s="302"/>
      <c r="M23" s="302"/>
      <c r="N23" s="302"/>
      <c r="O23" s="302"/>
      <c r="P23" s="302"/>
      <c r="Q23" s="302"/>
      <c r="R23" s="302"/>
      <c r="S23" s="302"/>
      <c r="T23" s="302"/>
      <c r="U23" s="302"/>
      <c r="V23" s="302"/>
      <c r="W23" s="302"/>
      <c r="X23" s="304"/>
    </row>
    <row r="24" spans="1:24" ht="15.95" customHeight="1">
      <c r="A24" s="301"/>
      <c r="B24" s="302"/>
      <c r="C24" s="302"/>
      <c r="D24" s="302"/>
      <c r="E24" s="302"/>
      <c r="F24" s="302"/>
      <c r="G24" s="302"/>
      <c r="H24" s="302"/>
      <c r="I24" s="302"/>
      <c r="J24" s="302"/>
      <c r="K24" s="302"/>
      <c r="L24" s="302"/>
      <c r="M24" s="302"/>
      <c r="N24" s="302"/>
      <c r="O24" s="302"/>
      <c r="P24" s="302"/>
      <c r="Q24" s="302"/>
      <c r="R24" s="302"/>
      <c r="S24" s="303"/>
      <c r="T24" s="302"/>
      <c r="U24" s="302"/>
      <c r="V24" s="302" t="s">
        <v>220</v>
      </c>
      <c r="W24" s="302"/>
      <c r="X24" s="304"/>
    </row>
    <row r="25" spans="1:24" ht="15.95" customHeight="1">
      <c r="A25" s="309"/>
      <c r="B25" s="302"/>
      <c r="C25" s="302"/>
      <c r="D25" s="302"/>
      <c r="E25" s="302"/>
      <c r="F25" s="302"/>
      <c r="G25" s="302"/>
      <c r="H25" s="302"/>
      <c r="I25" s="302"/>
      <c r="J25" s="302"/>
      <c r="K25" s="308"/>
      <c r="L25" s="302"/>
      <c r="M25" s="302"/>
      <c r="N25" s="302"/>
      <c r="O25" s="302"/>
      <c r="P25" s="302"/>
      <c r="Q25" s="308"/>
      <c r="R25" s="302"/>
      <c r="S25" s="302"/>
      <c r="T25" s="302"/>
      <c r="U25" s="302"/>
      <c r="V25" s="302"/>
      <c r="W25" s="302"/>
      <c r="X25" s="304"/>
    </row>
    <row r="26" spans="1:24" ht="15.95" customHeight="1">
      <c r="A26" s="301"/>
      <c r="B26" s="302"/>
      <c r="C26" s="308"/>
      <c r="D26" s="302"/>
      <c r="E26" s="302"/>
      <c r="F26" s="302"/>
      <c r="G26" s="302"/>
      <c r="H26" s="302"/>
      <c r="I26" s="302"/>
      <c r="J26" s="302"/>
      <c r="K26" s="302"/>
      <c r="L26" s="310"/>
      <c r="M26" s="302"/>
      <c r="N26" s="302"/>
      <c r="O26" s="302"/>
      <c r="P26" s="302"/>
      <c r="Q26" s="302"/>
      <c r="R26" s="302"/>
      <c r="S26" s="302"/>
      <c r="T26" s="302"/>
      <c r="U26" s="302"/>
      <c r="V26" s="302"/>
      <c r="W26" s="302"/>
      <c r="X26" s="304"/>
    </row>
    <row r="27" spans="1:24" ht="15.95" customHeight="1">
      <c r="A27" s="301"/>
      <c r="B27" s="302"/>
      <c r="C27" s="302"/>
      <c r="D27" s="302"/>
      <c r="E27" s="302"/>
      <c r="F27" s="302"/>
      <c r="G27" s="302"/>
      <c r="H27" s="302"/>
      <c r="I27" s="302"/>
      <c r="J27" s="302"/>
      <c r="K27" s="302"/>
      <c r="L27" s="310"/>
      <c r="M27" s="302"/>
      <c r="N27" s="302"/>
      <c r="O27" s="302"/>
      <c r="P27" s="302"/>
      <c r="Q27" s="302"/>
      <c r="R27" s="302"/>
      <c r="S27" s="302"/>
      <c r="T27" s="302"/>
      <c r="U27" s="302"/>
      <c r="V27" s="302"/>
      <c r="W27" s="302"/>
      <c r="X27" s="304"/>
    </row>
    <row r="28" spans="1:24" ht="15.95" customHeight="1">
      <c r="A28" s="311"/>
      <c r="B28" s="312"/>
      <c r="C28" s="302"/>
      <c r="D28" s="302"/>
      <c r="E28" s="302"/>
      <c r="F28" s="302"/>
      <c r="G28" s="302"/>
      <c r="H28" s="302"/>
      <c r="I28" s="302"/>
      <c r="J28" s="302"/>
      <c r="K28" s="302"/>
      <c r="L28" s="302"/>
      <c r="M28" s="302"/>
      <c r="N28" s="302"/>
      <c r="O28" s="302"/>
      <c r="P28" s="302"/>
      <c r="Q28" s="302"/>
      <c r="R28" s="302"/>
      <c r="S28" s="302"/>
      <c r="T28" s="302"/>
      <c r="U28" s="302"/>
      <c r="V28" s="302"/>
      <c r="W28" s="307"/>
      <c r="X28" s="304"/>
    </row>
    <row r="29" spans="1:24" ht="15.95" customHeight="1">
      <c r="A29" s="301"/>
      <c r="B29" s="302"/>
      <c r="C29" s="302"/>
      <c r="D29" s="302"/>
      <c r="E29" s="302"/>
      <c r="F29" s="302"/>
      <c r="G29" s="302"/>
      <c r="H29" s="302"/>
      <c r="I29" s="302"/>
      <c r="J29" s="302"/>
      <c r="K29" s="302"/>
      <c r="L29" s="302"/>
      <c r="M29" s="302"/>
      <c r="N29" s="302"/>
      <c r="O29" s="302"/>
      <c r="P29" s="302"/>
      <c r="Q29" s="302"/>
      <c r="R29" s="302"/>
      <c r="S29" s="302"/>
      <c r="T29" s="302"/>
      <c r="U29" s="302"/>
      <c r="V29" s="302"/>
      <c r="W29" s="313"/>
      <c r="X29" s="304"/>
    </row>
    <row r="30" spans="1:24" ht="15.95" customHeight="1">
      <c r="A30" s="301"/>
      <c r="B30" s="302"/>
      <c r="C30" s="302"/>
      <c r="D30" s="302"/>
      <c r="E30" s="302"/>
      <c r="F30" s="302"/>
      <c r="G30" s="302"/>
      <c r="H30" s="302"/>
      <c r="I30" s="302"/>
      <c r="J30" s="302"/>
      <c r="K30" s="302"/>
      <c r="L30" s="302"/>
      <c r="M30" s="302"/>
      <c r="N30" s="302"/>
      <c r="O30" s="302"/>
      <c r="P30" s="302"/>
      <c r="Q30" s="302"/>
      <c r="R30" s="302"/>
      <c r="S30" s="302"/>
      <c r="T30" s="296"/>
      <c r="U30" s="296"/>
      <c r="V30" s="296"/>
      <c r="W30" s="296"/>
      <c r="X30" s="300"/>
    </row>
    <row r="31" spans="1:24" ht="15.95" customHeight="1">
      <c r="A31" s="301"/>
      <c r="B31" s="302"/>
      <c r="C31" s="302"/>
      <c r="D31" s="302"/>
      <c r="E31" s="302"/>
      <c r="F31" s="302"/>
      <c r="G31" s="302"/>
      <c r="H31" s="302"/>
      <c r="I31" s="302"/>
      <c r="J31" s="302"/>
      <c r="K31" s="302"/>
      <c r="L31" s="302"/>
      <c r="M31" s="302"/>
      <c r="N31" s="314"/>
      <c r="O31" s="302"/>
      <c r="P31" s="302"/>
      <c r="Q31" s="302"/>
      <c r="R31" s="302"/>
      <c r="S31" s="308"/>
      <c r="T31" s="296"/>
      <c r="U31" s="296"/>
      <c r="V31" s="296"/>
      <c r="W31" s="296"/>
      <c r="X31" s="300"/>
    </row>
    <row r="32" spans="1:24" ht="15.95" customHeight="1">
      <c r="A32" s="301"/>
      <c r="B32" s="302"/>
      <c r="C32" s="302"/>
      <c r="D32" s="302"/>
      <c r="E32" s="302"/>
      <c r="F32" s="302"/>
      <c r="G32" s="302"/>
      <c r="H32" s="302"/>
      <c r="I32" s="302"/>
      <c r="J32" s="302"/>
      <c r="K32" s="308"/>
      <c r="L32" s="302"/>
      <c r="M32" s="302"/>
      <c r="N32" s="302"/>
      <c r="O32" s="302"/>
      <c r="P32" s="302"/>
      <c r="Q32" s="302"/>
      <c r="R32" s="302"/>
      <c r="S32" s="302"/>
      <c r="T32" s="302"/>
      <c r="U32" s="302"/>
      <c r="V32" s="302"/>
      <c r="W32" s="302"/>
      <c r="X32" s="304"/>
    </row>
    <row r="33" spans="1:24" ht="15.95" customHeight="1">
      <c r="A33" s="301"/>
      <c r="B33" s="302"/>
      <c r="C33" s="303"/>
      <c r="D33" s="307"/>
      <c r="E33" s="302"/>
      <c r="F33" s="302"/>
      <c r="G33" s="302"/>
      <c r="H33" s="302"/>
      <c r="I33" s="302"/>
      <c r="J33" s="302"/>
      <c r="K33" s="302"/>
      <c r="L33" s="302"/>
      <c r="M33" s="302"/>
      <c r="N33" s="302"/>
      <c r="O33" s="302"/>
      <c r="P33" s="302"/>
      <c r="Q33" s="302"/>
      <c r="R33" s="302"/>
      <c r="S33" s="302"/>
      <c r="T33" s="302"/>
      <c r="U33" s="302"/>
      <c r="V33" s="302" t="s">
        <v>220</v>
      </c>
      <c r="W33" s="302"/>
      <c r="X33" s="304"/>
    </row>
    <row r="34" spans="1:24" ht="15.95" customHeight="1">
      <c r="A34" s="315"/>
      <c r="B34" s="302"/>
      <c r="C34" s="303"/>
      <c r="D34" s="307"/>
      <c r="E34" s="302"/>
      <c r="F34" s="302"/>
      <c r="G34" s="302"/>
      <c r="H34" s="302"/>
      <c r="I34" s="302"/>
      <c r="J34" s="302"/>
      <c r="K34" s="302"/>
      <c r="L34" s="302"/>
      <c r="M34" s="302"/>
      <c r="N34" s="302"/>
      <c r="O34" s="302"/>
      <c r="P34" s="302"/>
      <c r="Q34" s="302"/>
      <c r="R34" s="303"/>
      <c r="S34" s="302"/>
      <c r="T34" s="302"/>
      <c r="U34" s="302"/>
      <c r="V34" s="302"/>
      <c r="W34" s="302"/>
      <c r="X34" s="304"/>
    </row>
    <row r="35" spans="1:24" ht="15.95" customHeight="1">
      <c r="A35" s="301"/>
      <c r="B35" s="302"/>
      <c r="C35" s="302"/>
      <c r="D35" s="302"/>
      <c r="E35" s="302"/>
      <c r="F35" s="302"/>
      <c r="G35" s="302"/>
      <c r="H35" s="302"/>
      <c r="I35" s="302"/>
      <c r="J35" s="302"/>
      <c r="K35" s="302"/>
      <c r="L35" s="302"/>
      <c r="M35" s="302"/>
      <c r="N35" s="302"/>
      <c r="O35" s="302"/>
      <c r="P35" s="302"/>
      <c r="Q35" s="302"/>
      <c r="R35" s="302"/>
      <c r="S35" s="302"/>
      <c r="T35" s="302"/>
      <c r="U35" s="302"/>
      <c r="V35" s="302"/>
      <c r="W35" s="302"/>
      <c r="X35" s="304"/>
    </row>
    <row r="36" spans="1:24" ht="15.95" customHeight="1">
      <c r="A36" s="301"/>
      <c r="B36" s="302"/>
      <c r="C36" s="302"/>
      <c r="D36" s="308"/>
      <c r="E36" s="308"/>
      <c r="F36" s="308"/>
      <c r="G36" s="308"/>
      <c r="H36" s="308"/>
      <c r="I36" s="308"/>
      <c r="J36" s="308"/>
      <c r="K36" s="302"/>
      <c r="L36" s="302"/>
      <c r="M36" s="302"/>
      <c r="N36" s="302"/>
      <c r="O36" s="302"/>
      <c r="P36" s="303"/>
      <c r="Q36" s="302"/>
      <c r="R36" s="314"/>
      <c r="S36" s="303"/>
      <c r="T36" s="302"/>
      <c r="U36" s="302"/>
      <c r="V36" s="302" t="s">
        <v>220</v>
      </c>
      <c r="W36" s="302"/>
      <c r="X36" s="304"/>
    </row>
    <row r="37" spans="1:24" ht="15.95" customHeight="1">
      <c r="A37" s="301"/>
      <c r="B37" s="302"/>
      <c r="C37" s="308"/>
      <c r="D37" s="308"/>
      <c r="E37" s="308"/>
      <c r="F37" s="308"/>
      <c r="G37" s="308"/>
      <c r="H37" s="308"/>
      <c r="I37" s="308"/>
      <c r="J37" s="308"/>
      <c r="K37" s="308"/>
      <c r="L37" s="308"/>
      <c r="M37" s="302"/>
      <c r="N37" s="308"/>
      <c r="O37" s="308"/>
      <c r="P37" s="308"/>
      <c r="Q37" s="308"/>
      <c r="R37" s="308"/>
      <c r="S37" s="308"/>
      <c r="T37" s="302"/>
      <c r="U37" s="302"/>
      <c r="V37" s="302"/>
      <c r="W37" s="302"/>
      <c r="X37" s="304"/>
    </row>
    <row r="38" spans="1:24" ht="15.95" customHeight="1">
      <c r="A38" s="311"/>
      <c r="B38" s="302"/>
      <c r="C38" s="302"/>
      <c r="D38" s="302"/>
      <c r="E38" s="302"/>
      <c r="F38" s="302"/>
      <c r="G38" s="302"/>
      <c r="H38" s="302"/>
      <c r="I38" s="302"/>
      <c r="J38" s="302"/>
      <c r="K38" s="302"/>
      <c r="L38" s="302"/>
      <c r="M38" s="302"/>
      <c r="N38" s="302"/>
      <c r="O38" s="302"/>
      <c r="P38" s="302"/>
      <c r="Q38" s="302"/>
      <c r="R38" s="302"/>
      <c r="S38" s="302"/>
      <c r="T38" s="302"/>
      <c r="U38" s="302"/>
      <c r="V38" s="302"/>
      <c r="W38" s="302"/>
      <c r="X38" s="304"/>
    </row>
    <row r="39" spans="1:24" ht="15.95" customHeight="1">
      <c r="A39" s="311"/>
      <c r="B39" s="312"/>
      <c r="C39" s="302"/>
      <c r="D39" s="302"/>
      <c r="E39" s="302"/>
      <c r="F39" s="302"/>
      <c r="G39" s="302"/>
      <c r="H39" s="302"/>
      <c r="I39" s="302"/>
      <c r="J39" s="302"/>
      <c r="K39" s="302"/>
      <c r="L39" s="302"/>
      <c r="M39" s="302"/>
      <c r="N39" s="302"/>
      <c r="O39" s="302"/>
      <c r="P39" s="302"/>
      <c r="Q39" s="302"/>
      <c r="R39" s="302"/>
      <c r="S39" s="302"/>
      <c r="T39" s="302"/>
      <c r="U39" s="302"/>
      <c r="V39" s="302"/>
      <c r="W39" s="302"/>
      <c r="X39" s="304"/>
    </row>
    <row r="40" spans="1:24" ht="15.95" customHeight="1">
      <c r="A40" s="301"/>
      <c r="B40" s="316"/>
      <c r="C40" s="302" t="s">
        <v>220</v>
      </c>
      <c r="D40" s="302"/>
      <c r="E40" s="302"/>
      <c r="F40" s="302"/>
      <c r="G40" s="302"/>
      <c r="H40" s="302"/>
      <c r="I40" s="302"/>
      <c r="J40" s="302"/>
      <c r="K40" s="302"/>
      <c r="L40" s="302"/>
      <c r="M40" s="302"/>
      <c r="N40" s="302"/>
      <c r="O40" s="302"/>
      <c r="P40" s="302"/>
      <c r="Q40" s="303"/>
      <c r="R40" s="302"/>
      <c r="S40" s="302"/>
      <c r="T40" s="302"/>
      <c r="U40" s="302"/>
      <c r="V40" s="302"/>
      <c r="W40" s="307"/>
      <c r="X40" s="304"/>
    </row>
    <row r="41" spans="1:24" ht="15.95" customHeight="1">
      <c r="A41" s="301"/>
      <c r="B41" s="302"/>
      <c r="C41" s="302"/>
      <c r="D41" s="302"/>
      <c r="E41" s="302"/>
      <c r="F41" s="302"/>
      <c r="G41" s="302"/>
      <c r="H41" s="302"/>
      <c r="I41" s="302"/>
      <c r="J41" s="302"/>
      <c r="K41" s="302"/>
      <c r="L41" s="302"/>
      <c r="M41" s="302"/>
      <c r="N41" s="302"/>
      <c r="O41" s="302"/>
      <c r="P41" s="302"/>
      <c r="Q41" s="302"/>
      <c r="R41" s="302"/>
      <c r="S41" s="302"/>
      <c r="T41" s="302"/>
      <c r="U41" s="302"/>
      <c r="V41" s="302"/>
      <c r="W41" s="313"/>
      <c r="X41" s="304"/>
    </row>
    <row r="42" spans="1:24" ht="15.95" customHeight="1">
      <c r="A42" s="295"/>
      <c r="B42" s="148"/>
      <c r="C42" s="317"/>
      <c r="D42" s="318"/>
      <c r="E42" s="815"/>
      <c r="F42" s="815"/>
      <c r="G42" s="815"/>
      <c r="H42" s="815"/>
      <c r="I42" s="815"/>
      <c r="J42" s="815"/>
      <c r="K42" s="816"/>
      <c r="L42" s="319"/>
      <c r="M42" s="320"/>
      <c r="N42" s="320"/>
      <c r="O42" s="296"/>
      <c r="P42" s="296"/>
      <c r="Q42" s="296"/>
      <c r="R42" s="296"/>
      <c r="S42" s="296"/>
      <c r="T42" s="296"/>
      <c r="U42" s="296"/>
      <c r="V42" s="296"/>
      <c r="W42" s="296"/>
      <c r="X42" s="300"/>
    </row>
    <row r="43" spans="1:24" ht="15.95" customHeight="1">
      <c r="A43" s="295"/>
      <c r="B43" s="148"/>
      <c r="C43" s="321"/>
      <c r="D43" s="148"/>
      <c r="E43" s="148"/>
      <c r="F43" s="148"/>
      <c r="G43" s="148"/>
      <c r="H43" s="148"/>
      <c r="I43" s="148"/>
      <c r="J43" s="148"/>
      <c r="K43" s="148"/>
      <c r="L43" s="319"/>
      <c r="M43" s="296"/>
      <c r="N43" s="296"/>
      <c r="O43" s="320"/>
      <c r="P43" s="296"/>
      <c r="Q43" s="296"/>
      <c r="R43" s="296"/>
      <c r="S43" s="296"/>
      <c r="T43" s="296"/>
      <c r="U43" s="296"/>
      <c r="V43" s="296"/>
      <c r="W43" s="296"/>
      <c r="X43" s="300"/>
    </row>
    <row r="44" spans="1:24" ht="15.95" customHeight="1">
      <c r="A44" s="295"/>
      <c r="B44" s="148"/>
      <c r="C44" s="148"/>
      <c r="D44" s="148"/>
      <c r="E44" s="148"/>
      <c r="F44" s="148"/>
      <c r="G44" s="148"/>
      <c r="H44" s="148"/>
      <c r="I44" s="148"/>
      <c r="J44" s="148"/>
      <c r="K44" s="148"/>
      <c r="L44" s="148"/>
      <c r="M44" s="322"/>
      <c r="N44" s="296"/>
      <c r="O44" s="296"/>
      <c r="P44" s="296"/>
      <c r="Q44" s="296"/>
      <c r="R44" s="296"/>
      <c r="S44" s="296"/>
      <c r="T44" s="296"/>
      <c r="U44" s="296"/>
      <c r="V44" s="296"/>
      <c r="W44" s="296"/>
      <c r="X44" s="300"/>
    </row>
    <row r="45" spans="1:24" ht="15.95" customHeight="1">
      <c r="A45" s="323"/>
      <c r="B45" s="212"/>
      <c r="C45" s="212"/>
      <c r="D45" s="212"/>
      <c r="E45" s="212"/>
      <c r="F45" s="212"/>
      <c r="G45" s="212"/>
      <c r="H45" s="212"/>
      <c r="I45" s="212"/>
      <c r="J45" s="212"/>
      <c r="K45" s="212"/>
      <c r="L45" s="212"/>
      <c r="M45" s="212"/>
      <c r="N45" s="212"/>
      <c r="O45" s="212"/>
      <c r="P45" s="212"/>
      <c r="Q45" s="212"/>
      <c r="R45" s="212"/>
      <c r="S45" s="212"/>
      <c r="T45" s="212"/>
      <c r="U45" s="212"/>
      <c r="V45" s="212"/>
      <c r="W45" s="212"/>
      <c r="X45" s="174"/>
    </row>
    <row r="46" spans="1:24" ht="15.95" customHeight="1">
      <c r="A46" s="323"/>
      <c r="B46" s="212"/>
      <c r="C46" s="212"/>
      <c r="D46" s="212"/>
      <c r="E46" s="212"/>
      <c r="F46" s="212"/>
      <c r="G46" s="212"/>
      <c r="H46" s="212"/>
      <c r="I46" s="212"/>
      <c r="J46" s="212"/>
      <c r="K46" s="212"/>
      <c r="L46" s="212"/>
      <c r="M46" s="212"/>
      <c r="N46" s="212"/>
      <c r="O46" s="212"/>
      <c r="P46" s="212"/>
      <c r="Q46" s="212"/>
      <c r="R46" s="212"/>
      <c r="S46" s="212"/>
      <c r="T46" s="212"/>
      <c r="U46" s="212"/>
      <c r="V46" s="212"/>
      <c r="W46" s="212"/>
      <c r="X46" s="174"/>
    </row>
    <row r="47" spans="1:24" ht="15.95" customHeight="1">
      <c r="A47" s="323"/>
      <c r="B47" s="212"/>
      <c r="C47" s="212"/>
      <c r="D47" s="212"/>
      <c r="E47" s="212"/>
      <c r="F47" s="212"/>
      <c r="G47" s="212"/>
      <c r="H47" s="212"/>
      <c r="I47" s="212"/>
      <c r="J47" s="212"/>
      <c r="K47" s="212"/>
      <c r="L47" s="212"/>
      <c r="M47" s="212"/>
      <c r="N47" s="212"/>
      <c r="O47" s="212"/>
      <c r="P47" s="212"/>
      <c r="Q47" s="212"/>
      <c r="R47" s="212"/>
      <c r="S47" s="212"/>
      <c r="T47" s="212"/>
      <c r="U47" s="212"/>
      <c r="V47" s="212"/>
      <c r="W47" s="212"/>
      <c r="X47" s="174"/>
    </row>
    <row r="48" spans="1:24" ht="15.95" customHeight="1" thickBot="1">
      <c r="A48" s="324"/>
      <c r="B48" s="325"/>
      <c r="C48" s="325"/>
      <c r="D48" s="325"/>
      <c r="E48" s="325"/>
      <c r="F48" s="325"/>
      <c r="G48" s="325"/>
      <c r="H48" s="325"/>
      <c r="I48" s="325"/>
      <c r="J48" s="325"/>
      <c r="K48" s="325"/>
      <c r="L48" s="325"/>
      <c r="M48" s="325"/>
      <c r="N48" s="325"/>
      <c r="O48" s="325"/>
      <c r="P48" s="325"/>
      <c r="Q48" s="325"/>
      <c r="R48" s="325"/>
      <c r="S48" s="325"/>
      <c r="T48" s="325"/>
      <c r="U48" s="325"/>
      <c r="V48" s="325"/>
      <c r="W48" s="325"/>
      <c r="X48" s="326"/>
    </row>
  </sheetData>
  <mergeCells count="7">
    <mergeCell ref="A2:X3"/>
    <mergeCell ref="E42:K42"/>
    <mergeCell ref="U9:W9"/>
    <mergeCell ref="U5:W5"/>
    <mergeCell ref="U6:W6"/>
    <mergeCell ref="U7:W7"/>
    <mergeCell ref="U8:W8"/>
  </mergeCells>
  <phoneticPr fontId="1" type="noConversion"/>
  <printOptions horizontalCentered="1" verticalCentered="1"/>
  <pageMargins left="0.31496062992125984" right="0.31496062992125984" top="0.39370078740157483" bottom="0.39370078740157483" header="0.31496062992125984" footer="0.31496062992125984"/>
  <pageSetup paperSize="9" scale="6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15</vt:i4>
      </vt:variant>
    </vt:vector>
  </HeadingPairs>
  <TitlesOfParts>
    <vt:vector size="20" baseType="lpstr">
      <vt:lpstr>Cover</vt:lpstr>
      <vt:lpstr>SUMMARY</vt:lpstr>
      <vt:lpstr>CAL.C</vt:lpstr>
      <vt:lpstr>piping</vt:lpstr>
      <vt:lpstr>Sketch</vt:lpstr>
      <vt:lpstr>C.F</vt:lpstr>
      <vt:lpstr>CAL.C!CF</vt:lpstr>
      <vt:lpstr>DRIVER</vt:lpstr>
      <vt:lpstr>NT</vt:lpstr>
      <vt:lpstr>PIPE</vt:lpstr>
      <vt:lpstr>PIPE1</vt:lpstr>
      <vt:lpstr>CAL.C!Print_Area</vt:lpstr>
      <vt:lpstr>Cover!Print_Area</vt:lpstr>
      <vt:lpstr>Sketch!Print_Area</vt:lpstr>
      <vt:lpstr>SUMMARY!Print_Area</vt:lpstr>
      <vt:lpstr>PTYPE</vt:lpstr>
      <vt:lpstr>SCH</vt:lpstr>
      <vt:lpstr>SCH_1</vt:lpstr>
      <vt:lpstr>SCH_2</vt:lpstr>
      <vt:lpstr>TWOPH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2006-09-13T11:19:49Z</dcterms:created>
  <dcterms:modified xsi:type="dcterms:W3CDTF">2019-04-10T05:06:23Z</dcterms:modified>
</cp:coreProperties>
</file>