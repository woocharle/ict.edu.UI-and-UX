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070" yWindow="-90" windowWidth="23685" windowHeight="9120"/>
  </bookViews>
  <sheets>
    <sheet name="Heat.cal" sheetId="3" r:id="rId1"/>
    <sheet name="Flow.cal" sheetId="2" r:id="rId2"/>
    <sheet name="Property" sheetId="4" r:id="rId3"/>
    <sheet name="Piping" sheetId="1" r:id="rId4"/>
    <sheet name="개발기준" sheetId="7" r:id="rId5"/>
  </sheets>
  <functionGroups/>
  <externalReferences>
    <externalReference r:id="rId6"/>
    <externalReference r:id="rId7"/>
  </externalReferences>
  <definedNames>
    <definedName name="HCP">Property!$J$7:$O$10</definedName>
    <definedName name="INS">Heat.cal!$P$118:$U$145</definedName>
    <definedName name="Kg_cm2.G">[1]CALC!_xlnm.Auto_OpenAuto_Ope</definedName>
    <definedName name="PIPE">Piping!$A$5:$V$48</definedName>
    <definedName name="PIPE1">Piping!$AA$5:$AB$34</definedName>
    <definedName name="PIPk">Heat.cal!$H$140:$M$144</definedName>
    <definedName name="_xlnm.Print_Area" localSheetId="0">Heat.cal!$A$1:$AG$81</definedName>
    <definedName name="RESULT">[2]Calc!$H$4:$AA$107</definedName>
    <definedName name="SCH">Piping!$B$52:$C$72</definedName>
    <definedName name="VIS">Property!$B$7:$G$10</definedName>
  </definedNames>
  <calcPr calcId="124519"/>
</workbook>
</file>

<file path=xl/calcChain.xml><?xml version="1.0" encoding="utf-8"?>
<calcChain xmlns="http://schemas.openxmlformats.org/spreadsheetml/2006/main">
  <c r="O76" i="3"/>
  <c r="N76"/>
  <c r="M66"/>
  <c r="O64"/>
  <c r="N64"/>
  <c r="M64"/>
  <c r="Y89"/>
  <c r="C75"/>
  <c r="D75"/>
  <c r="E75"/>
  <c r="F75"/>
  <c r="G75"/>
  <c r="H75"/>
  <c r="I75"/>
  <c r="J75"/>
  <c r="K75"/>
  <c r="L75"/>
  <c r="M75"/>
  <c r="P75"/>
  <c r="Q75"/>
  <c r="Y90"/>
  <c r="M80"/>
  <c r="Z25" l="1"/>
  <c r="M67" l="1"/>
  <c r="AA7"/>
  <c r="M68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C68" s="1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V87"/>
  <c r="U87"/>
  <c r="T87"/>
  <c r="S87"/>
  <c r="R87"/>
  <c r="Q87"/>
  <c r="P87"/>
  <c r="O87"/>
  <c r="N87"/>
  <c r="M87"/>
  <c r="L87"/>
  <c r="K87"/>
  <c r="J87"/>
  <c r="I87"/>
  <c r="H87"/>
  <c r="G87"/>
  <c r="F87"/>
  <c r="D87"/>
  <c r="E87"/>
  <c r="D88"/>
  <c r="C88" l="1"/>
  <c r="C87"/>
  <c r="P78"/>
  <c r="M78"/>
  <c r="L78"/>
  <c r="K78"/>
  <c r="J78"/>
  <c r="I78"/>
  <c r="H78"/>
  <c r="G78"/>
  <c r="F78"/>
  <c r="E78"/>
  <c r="D78"/>
  <c r="C78"/>
  <c r="D77"/>
  <c r="E77"/>
  <c r="F77"/>
  <c r="G77"/>
  <c r="H77"/>
  <c r="I77"/>
  <c r="J77"/>
  <c r="K77"/>
  <c r="L77"/>
  <c r="M77"/>
  <c r="P77"/>
  <c r="C77"/>
  <c r="R76"/>
  <c r="S76"/>
  <c r="T76"/>
  <c r="U76"/>
  <c r="V76"/>
  <c r="M69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S62"/>
  <c r="T62"/>
  <c r="U62"/>
  <c r="V62"/>
  <c r="S11" i="2"/>
  <c r="W11"/>
  <c r="C63" i="3"/>
  <c r="R62"/>
  <c r="T133"/>
  <c r="T134"/>
  <c r="Y2"/>
  <c r="V77"/>
  <c r="U77"/>
  <c r="Q77"/>
  <c r="S77"/>
  <c r="O77"/>
  <c r="N77"/>
  <c r="T77"/>
  <c r="R77"/>
  <c r="C67" l="1"/>
  <c r="Q78"/>
  <c r="T11" i="2"/>
  <c r="V11"/>
  <c r="U11"/>
  <c r="C61" i="3"/>
  <c r="W40" l="1"/>
  <c r="W41"/>
  <c r="W64" s="1"/>
  <c r="AC64" s="1"/>
  <c r="W42"/>
  <c r="W43"/>
  <c r="W66" s="1"/>
  <c r="AC66" s="1"/>
  <c r="W44"/>
  <c r="W45"/>
  <c r="W68" s="1"/>
  <c r="AC68" s="1"/>
  <c r="W46"/>
  <c r="W69" s="1"/>
  <c r="AC69" s="1"/>
  <c r="W47"/>
  <c r="W70" s="1"/>
  <c r="AC70" s="1"/>
  <c r="W48"/>
  <c r="W49"/>
  <c r="W72" s="1"/>
  <c r="AC72" s="1"/>
  <c r="W50"/>
  <c r="W73" s="1"/>
  <c r="AC73" s="1"/>
  <c r="W51"/>
  <c r="W74" s="1"/>
  <c r="AC74" s="1"/>
  <c r="W52"/>
  <c r="W53"/>
  <c r="W76" s="1"/>
  <c r="AC76" s="1"/>
  <c r="W54"/>
  <c r="W77" s="1"/>
  <c r="AC77" s="1"/>
  <c r="W55"/>
  <c r="W78" s="1"/>
  <c r="AC78" s="1"/>
  <c r="W56"/>
  <c r="W79" s="1"/>
  <c r="AC79" s="1"/>
  <c r="W57"/>
  <c r="W80" s="1"/>
  <c r="AC80" s="1"/>
  <c r="W58"/>
  <c r="W81" s="1"/>
  <c r="AC81" s="1"/>
  <c r="W39"/>
  <c r="W62" s="1"/>
  <c r="AC62" s="1"/>
  <c r="W75"/>
  <c r="AC75" s="1"/>
  <c r="W67"/>
  <c r="AC67" s="1"/>
  <c r="W65"/>
  <c r="AC65" s="1"/>
  <c r="W71"/>
  <c r="AC71" s="1"/>
  <c r="W63"/>
  <c r="AC63" s="1"/>
  <c r="AE7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15"/>
  <c r="V61" l="1"/>
  <c r="U61"/>
  <c r="T61"/>
  <c r="S61"/>
  <c r="R61"/>
  <c r="Q61"/>
  <c r="P61"/>
  <c r="O61"/>
  <c r="N61"/>
  <c r="V60"/>
  <c r="U60"/>
  <c r="T60"/>
  <c r="S60"/>
  <c r="R60"/>
  <c r="Q60"/>
  <c r="Q66" s="1"/>
  <c r="P60"/>
  <c r="P66" s="1"/>
  <c r="O60"/>
  <c r="N60"/>
  <c r="M73"/>
  <c r="M61"/>
  <c r="M60"/>
  <c r="M71"/>
  <c r="M72"/>
  <c r="L61"/>
  <c r="R75" l="1"/>
  <c r="R66"/>
  <c r="O66"/>
  <c r="O75"/>
  <c r="S75"/>
  <c r="S66"/>
  <c r="N75"/>
  <c r="N66"/>
  <c r="V75"/>
  <c r="V66"/>
  <c r="U75"/>
  <c r="U66"/>
  <c r="T75"/>
  <c r="T66"/>
  <c r="T12" i="4"/>
  <c r="U12" s="1"/>
  <c r="Q62" i="3" l="1"/>
  <c r="P62" l="1"/>
  <c r="O62"/>
  <c r="N62"/>
  <c r="G62" l="1"/>
  <c r="H62"/>
  <c r="I62"/>
  <c r="J62"/>
  <c r="K62"/>
  <c r="L62"/>
  <c r="D62"/>
  <c r="E62"/>
  <c r="F62"/>
  <c r="C62"/>
  <c r="AA9" l="1"/>
  <c r="I11" i="2"/>
  <c r="H57" i="3" s="1"/>
  <c r="M11" i="2"/>
  <c r="L57" i="3" s="1"/>
  <c r="Q11" i="2"/>
  <c r="P57" i="3" s="1"/>
  <c r="T57"/>
  <c r="F11" i="2"/>
  <c r="H11"/>
  <c r="J11"/>
  <c r="L11"/>
  <c r="N11"/>
  <c r="P11"/>
  <c r="R11"/>
  <c r="AQ34" i="3"/>
  <c r="AQ33"/>
  <c r="AQ32"/>
  <c r="AQ31"/>
  <c r="AQ29"/>
  <c r="AQ28"/>
  <c r="AQ27"/>
  <c r="AQ26"/>
  <c r="AQ25"/>
  <c r="AQ24"/>
  <c r="AQ22"/>
  <c r="AQ21"/>
  <c r="AQ20"/>
  <c r="AQ19"/>
  <c r="AQ18"/>
  <c r="AQ17"/>
  <c r="K61"/>
  <c r="J61"/>
  <c r="I61"/>
  <c r="H61"/>
  <c r="G61"/>
  <c r="F61"/>
  <c r="E61"/>
  <c r="L60"/>
  <c r="L66" s="1"/>
  <c r="K60"/>
  <c r="K66" s="1"/>
  <c r="J60"/>
  <c r="J66" s="1"/>
  <c r="I60"/>
  <c r="I66" s="1"/>
  <c r="H60"/>
  <c r="H66" s="1"/>
  <c r="G60"/>
  <c r="G66" s="1"/>
  <c r="F60"/>
  <c r="F66" s="1"/>
  <c r="E60"/>
  <c r="E66" s="1"/>
  <c r="C55"/>
  <c r="D3" i="2" s="1"/>
  <c r="D55" i="3"/>
  <c r="E55"/>
  <c r="F55"/>
  <c r="G55"/>
  <c r="H55"/>
  <c r="I55"/>
  <c r="J55"/>
  <c r="K55"/>
  <c r="L55"/>
  <c r="M55"/>
  <c r="N55"/>
  <c r="O55"/>
  <c r="P55"/>
  <c r="Q55"/>
  <c r="R3" i="2" s="1"/>
  <c r="R55" i="3"/>
  <c r="S55"/>
  <c r="T55"/>
  <c r="U55"/>
  <c r="V55"/>
  <c r="C60"/>
  <c r="C66" s="1"/>
  <c r="D60"/>
  <c r="D66" s="1"/>
  <c r="D61"/>
  <c r="AQ16"/>
  <c r="U4" i="2"/>
  <c r="L117" i="3"/>
  <c r="D24" i="2"/>
  <c r="O18" i="4"/>
  <c r="N18"/>
  <c r="M18"/>
  <c r="L18"/>
  <c r="K18"/>
  <c r="W18"/>
  <c r="V18"/>
  <c r="U18"/>
  <c r="T18"/>
  <c r="G18"/>
  <c r="F18"/>
  <c r="E18"/>
  <c r="E8"/>
  <c r="D8"/>
  <c r="M81" i="3"/>
  <c r="T64" l="1"/>
  <c r="P64"/>
  <c r="K64"/>
  <c r="G64"/>
  <c r="F64"/>
  <c r="U64"/>
  <c r="AP33" s="1"/>
  <c r="Q64"/>
  <c r="H64"/>
  <c r="C64"/>
  <c r="J64"/>
  <c r="AP22" s="1"/>
  <c r="V64"/>
  <c r="R64"/>
  <c r="I64"/>
  <c r="E64"/>
  <c r="AP17" s="1"/>
  <c r="S64"/>
  <c r="AP31" s="1"/>
  <c r="AP19"/>
  <c r="AP23"/>
  <c r="AP18"/>
  <c r="AP26"/>
  <c r="AP21"/>
  <c r="AP29"/>
  <c r="D64"/>
  <c r="AP16" s="1"/>
  <c r="L64"/>
  <c r="AP24" s="1"/>
  <c r="AP28"/>
  <c r="AP27"/>
  <c r="Q3" i="2"/>
  <c r="O3"/>
  <c r="K3"/>
  <c r="G3"/>
  <c r="P3"/>
  <c r="L3"/>
  <c r="H3"/>
  <c r="M3"/>
  <c r="I3"/>
  <c r="E3"/>
  <c r="J3"/>
  <c r="F3"/>
  <c r="V3"/>
  <c r="T3"/>
  <c r="AR16" i="3"/>
  <c r="U3" i="2"/>
  <c r="S3"/>
  <c r="W3"/>
  <c r="AR15" i="3"/>
  <c r="N3" i="2"/>
  <c r="AR18" i="3"/>
  <c r="AR30"/>
  <c r="AS28"/>
  <c r="AR21"/>
  <c r="AR29"/>
  <c r="AS19"/>
  <c r="AS27"/>
  <c r="AR19"/>
  <c r="AR23"/>
  <c r="AR27"/>
  <c r="AR31"/>
  <c r="AS17"/>
  <c r="AS21"/>
  <c r="AS25"/>
  <c r="AS29"/>
  <c r="AS33"/>
  <c r="AR22"/>
  <c r="AS20"/>
  <c r="AS32"/>
  <c r="AQ30"/>
  <c r="AS15"/>
  <c r="AR26"/>
  <c r="AR34"/>
  <c r="AS24"/>
  <c r="AS16"/>
  <c r="AR17"/>
  <c r="AR25"/>
  <c r="AR33"/>
  <c r="AS23"/>
  <c r="AS31"/>
  <c r="AQ15"/>
  <c r="AR20"/>
  <c r="AR24"/>
  <c r="AR28"/>
  <c r="AR32"/>
  <c r="AS18"/>
  <c r="AS22"/>
  <c r="AS26"/>
  <c r="AS30"/>
  <c r="AS34"/>
  <c r="I4" i="2"/>
  <c r="T4"/>
  <c r="S57" i="3"/>
  <c r="V4" i="2"/>
  <c r="U57" i="3"/>
  <c r="P4" i="2"/>
  <c r="O57" i="3"/>
  <c r="R4" i="2"/>
  <c r="Q57" i="3"/>
  <c r="Q4" i="2"/>
  <c r="N4"/>
  <c r="M57" i="3"/>
  <c r="H4" i="2"/>
  <c r="G57" i="3"/>
  <c r="J4" i="2"/>
  <c r="I57" i="3"/>
  <c r="L4" i="2"/>
  <c r="K57" i="3"/>
  <c r="F4" i="2"/>
  <c r="E57" i="3"/>
  <c r="M4" i="2"/>
  <c r="AP34" i="3"/>
  <c r="AP25"/>
  <c r="AP20"/>
  <c r="AP32"/>
  <c r="D26" i="2"/>
  <c r="D25"/>
  <c r="O11"/>
  <c r="K11"/>
  <c r="G11"/>
  <c r="V22" i="4"/>
  <c r="U22"/>
  <c r="T22"/>
  <c r="O22"/>
  <c r="N22"/>
  <c r="M22"/>
  <c r="L22"/>
  <c r="G22"/>
  <c r="F22"/>
  <c r="E22"/>
  <c r="D22"/>
  <c r="E11" i="2"/>
  <c r="I51"/>
  <c r="I52"/>
  <c r="I50"/>
  <c r="D11"/>
  <c r="D30"/>
  <c r="D28"/>
  <c r="D29"/>
  <c r="AP30" i="3" l="1"/>
  <c r="AP15"/>
  <c r="AM15"/>
  <c r="W4" i="2"/>
  <c r="V57" i="3"/>
  <c r="S4" i="2"/>
  <c r="R57" i="3"/>
  <c r="O4" i="2"/>
  <c r="N57" i="3"/>
  <c r="E4" i="2"/>
  <c r="D57" i="3"/>
  <c r="K4" i="2"/>
  <c r="J57" i="3"/>
  <c r="G4" i="2"/>
  <c r="F57" i="3"/>
  <c r="D4" i="2"/>
  <c r="C57" i="3"/>
  <c r="D42" i="2"/>
  <c r="AO15" i="3" s="1"/>
  <c r="D41" i="2"/>
  <c r="AN15" i="3" s="1"/>
  <c r="V9" i="4"/>
  <c r="U9"/>
  <c r="T9"/>
  <c r="O9"/>
  <c r="N9"/>
  <c r="M9"/>
  <c r="L9"/>
  <c r="G9"/>
  <c r="F9"/>
  <c r="E9"/>
  <c r="D9"/>
  <c r="C69" i="3"/>
  <c r="Z15"/>
  <c r="C72"/>
  <c r="B45" i="1" l="1"/>
  <c r="V44"/>
  <c r="T41"/>
  <c r="S41"/>
  <c r="L35"/>
  <c r="K35"/>
  <c r="J35"/>
  <c r="I35"/>
  <c r="F32"/>
  <c r="E32"/>
  <c r="L31"/>
  <c r="L30"/>
  <c r="F30"/>
  <c r="E30"/>
  <c r="R29"/>
  <c r="Q29"/>
  <c r="P29"/>
  <c r="O29"/>
  <c r="N29"/>
  <c r="M29"/>
  <c r="L29"/>
  <c r="K29"/>
  <c r="F29"/>
  <c r="E29"/>
  <c r="L27"/>
  <c r="D27"/>
  <c r="C27"/>
  <c r="U23"/>
  <c r="H23"/>
  <c r="G23"/>
  <c r="I22"/>
  <c r="M21"/>
  <c r="O19"/>
  <c r="M19"/>
  <c r="K19"/>
  <c r="J19"/>
  <c r="U18"/>
  <c r="T18"/>
  <c r="S18"/>
  <c r="P18"/>
  <c r="N18"/>
  <c r="L18"/>
  <c r="H18"/>
  <c r="G18"/>
  <c r="F18"/>
  <c r="U16"/>
  <c r="T16"/>
  <c r="S16"/>
  <c r="P16"/>
  <c r="N16"/>
  <c r="L16"/>
  <c r="H16"/>
  <c r="G16"/>
  <c r="F16"/>
  <c r="E16"/>
  <c r="U11"/>
  <c r="T11"/>
  <c r="S11"/>
  <c r="R11"/>
  <c r="N11"/>
  <c r="L11"/>
  <c r="H11"/>
  <c r="G11"/>
  <c r="F11"/>
  <c r="E11"/>
  <c r="V7"/>
  <c r="U7"/>
  <c r="R7"/>
  <c r="C73" i="3"/>
  <c r="C71" l="1"/>
  <c r="AQ23"/>
  <c r="C80"/>
  <c r="C81" s="1"/>
  <c r="AB15" l="1"/>
  <c r="X16" s="1"/>
  <c r="D67" l="1"/>
  <c r="E24" i="2"/>
  <c r="D68" i="3"/>
  <c r="E26" i="2" l="1"/>
  <c r="E25"/>
  <c r="E30"/>
  <c r="E29"/>
  <c r="E28"/>
  <c r="E42" l="1"/>
  <c r="AO16" i="3" s="1"/>
  <c r="AM16"/>
  <c r="E41" i="2"/>
  <c r="AN16" i="3" s="1"/>
  <c r="D69"/>
  <c r="Z16"/>
  <c r="D72"/>
  <c r="D73"/>
  <c r="D71" l="1"/>
  <c r="D80"/>
  <c r="Z26" l="1"/>
  <c r="N72"/>
  <c r="N73"/>
  <c r="D81"/>
  <c r="AB16" l="1"/>
  <c r="X17" s="1"/>
  <c r="N71"/>
  <c r="F24" i="2" l="1"/>
  <c r="E67" i="3"/>
  <c r="E68"/>
  <c r="F26" i="2" l="1"/>
  <c r="F25"/>
  <c r="F29"/>
  <c r="F28"/>
  <c r="F30"/>
  <c r="AM17" i="3" l="1"/>
  <c r="F41" i="2"/>
  <c r="AN17" i="3" s="1"/>
  <c r="F42" i="2"/>
  <c r="AO17" i="3" s="1"/>
  <c r="Z17"/>
  <c r="E69"/>
  <c r="E73"/>
  <c r="E72"/>
  <c r="E71" l="1"/>
  <c r="Z27"/>
  <c r="O73"/>
  <c r="O72"/>
  <c r="E80"/>
  <c r="O71" l="1"/>
  <c r="E81"/>
  <c r="AB17" l="1"/>
  <c r="X18" s="1"/>
  <c r="F67" l="1"/>
  <c r="F68"/>
  <c r="G24" i="2"/>
  <c r="G26" l="1"/>
  <c r="G25"/>
  <c r="G29"/>
  <c r="G28"/>
  <c r="G30"/>
  <c r="AM18" i="3" l="1"/>
  <c r="G41" i="2"/>
  <c r="AN18" i="3" s="1"/>
  <c r="G42" i="2"/>
  <c r="AO18" i="3" s="1"/>
  <c r="Z18"/>
  <c r="F69"/>
  <c r="F72"/>
  <c r="F73"/>
  <c r="F71" l="1"/>
  <c r="F80"/>
  <c r="R78" l="1"/>
  <c r="F81"/>
  <c r="AB18" l="1"/>
  <c r="X19" s="1"/>
  <c r="G67" l="1"/>
  <c r="G68"/>
  <c r="H24" i="2"/>
  <c r="H26" l="1"/>
  <c r="H25"/>
  <c r="H28"/>
  <c r="H30"/>
  <c r="H29"/>
  <c r="H42" l="1"/>
  <c r="AO19" i="3" s="1"/>
  <c r="AM19"/>
  <c r="H41" i="2"/>
  <c r="AN19" i="3" s="1"/>
  <c r="T78"/>
  <c r="G69"/>
  <c r="Z19"/>
  <c r="G73"/>
  <c r="G72"/>
  <c r="G71" l="1"/>
  <c r="S78"/>
  <c r="G80"/>
  <c r="U78" l="1"/>
  <c r="G81"/>
  <c r="AB19" l="1"/>
  <c r="X20" s="1"/>
  <c r="H68" l="1"/>
  <c r="I24" i="2"/>
  <c r="H67" i="3"/>
  <c r="I26" i="2" l="1"/>
  <c r="I25"/>
  <c r="I30"/>
  <c r="I28"/>
  <c r="I29"/>
  <c r="I42" l="1"/>
  <c r="AO20" i="3" s="1"/>
  <c r="I41" i="2"/>
  <c r="AN20" i="3" s="1"/>
  <c r="AM20"/>
  <c r="V78"/>
  <c r="H69"/>
  <c r="Z20"/>
  <c r="H73"/>
  <c r="H72"/>
  <c r="H71" l="1"/>
  <c r="H80"/>
  <c r="H81" s="1"/>
  <c r="AB20" l="1"/>
  <c r="X21" s="1"/>
  <c r="J24" i="2" l="1"/>
  <c r="I68" i="3"/>
  <c r="I67"/>
  <c r="J25" i="2" l="1"/>
  <c r="J26"/>
  <c r="J28"/>
  <c r="J29"/>
  <c r="J30"/>
  <c r="AM21" i="3" l="1"/>
  <c r="J42" i="2"/>
  <c r="AO21" i="3" s="1"/>
  <c r="J41" i="2"/>
  <c r="AN21" i="3" s="1"/>
  <c r="Z21"/>
  <c r="I69"/>
  <c r="I72"/>
  <c r="I73"/>
  <c r="I71" l="1"/>
  <c r="I80"/>
  <c r="I81" s="1"/>
  <c r="AB21" l="1"/>
  <c r="X22" s="1"/>
  <c r="K24" i="2" l="1"/>
  <c r="J68" i="3"/>
  <c r="J67"/>
  <c r="K25" i="2" l="1"/>
  <c r="K26"/>
  <c r="K29"/>
  <c r="K28"/>
  <c r="K30"/>
  <c r="AM22" i="3" l="1"/>
  <c r="K41" i="2"/>
  <c r="AN22" i="3" s="1"/>
  <c r="K42" i="2"/>
  <c r="AO22" i="3" s="1"/>
  <c r="Z22"/>
  <c r="J69"/>
  <c r="J73"/>
  <c r="J72"/>
  <c r="J71" l="1"/>
  <c r="J80"/>
  <c r="J81"/>
  <c r="AB22" l="1"/>
  <c r="X23" s="1"/>
  <c r="L24" i="2" l="1"/>
  <c r="K68" i="3"/>
  <c r="K67"/>
  <c r="L26" i="2" l="1"/>
  <c r="L25"/>
  <c r="L28"/>
  <c r="L30"/>
  <c r="L29"/>
  <c r="L42" l="1"/>
  <c r="AO23" i="3" s="1"/>
  <c r="AM23"/>
  <c r="L41" i="2"/>
  <c r="AN23" i="3" s="1"/>
  <c r="K69"/>
  <c r="Z23"/>
  <c r="K73"/>
  <c r="K72"/>
  <c r="K71" l="1"/>
  <c r="K80"/>
  <c r="K81"/>
  <c r="AB23" l="1"/>
  <c r="X24" s="1"/>
  <c r="M24" i="2" l="1"/>
  <c r="L67" i="3"/>
  <c r="L68"/>
  <c r="M26" i="2" l="1"/>
  <c r="M25"/>
  <c r="M30"/>
  <c r="M28"/>
  <c r="M29"/>
  <c r="M42" l="1"/>
  <c r="AO24" i="3" s="1"/>
  <c r="M41" i="2"/>
  <c r="AN24" i="3" s="1"/>
  <c r="AM24"/>
  <c r="Z24"/>
  <c r="L69"/>
  <c r="L73"/>
  <c r="L72"/>
  <c r="L71" l="1"/>
  <c r="L80"/>
  <c r="L81"/>
  <c r="AB24" l="1"/>
  <c r="AA10" l="1"/>
  <c r="X25"/>
  <c r="N24" i="2" l="1"/>
  <c r="N25" l="1"/>
  <c r="N26"/>
  <c r="N29"/>
  <c r="N30"/>
  <c r="N28"/>
  <c r="N41" l="1"/>
  <c r="AN25" i="3" s="1"/>
  <c r="AM25"/>
  <c r="N42" i="2"/>
  <c r="AO25" i="3" s="1"/>
  <c r="AB25"/>
  <c r="X26" s="1"/>
  <c r="N67" l="1"/>
  <c r="N78"/>
  <c r="O24" i="2"/>
  <c r="N68" i="3"/>
  <c r="O25" i="2" l="1"/>
  <c r="O26"/>
  <c r="O28"/>
  <c r="O29"/>
  <c r="O30"/>
  <c r="AM26" i="3" l="1"/>
  <c r="O42" i="2"/>
  <c r="AO26" i="3" s="1"/>
  <c r="O41" i="2"/>
  <c r="AN26" i="3" s="1"/>
  <c r="N69"/>
  <c r="N80"/>
  <c r="N81"/>
  <c r="AB26" l="1"/>
  <c r="X27" s="1"/>
  <c r="O67" l="1"/>
  <c r="P24" i="2"/>
  <c r="O78" i="3"/>
  <c r="O68"/>
  <c r="P25" i="2" l="1"/>
  <c r="P26"/>
  <c r="P30"/>
  <c r="P29"/>
  <c r="P28"/>
  <c r="P41" l="1"/>
  <c r="AN27" i="3" s="1"/>
  <c r="P42" i="2"/>
  <c r="AO27" i="3" s="1"/>
  <c r="AM27"/>
  <c r="O69"/>
  <c r="O80"/>
  <c r="O81"/>
  <c r="AB27" l="1"/>
  <c r="X28" s="1"/>
  <c r="Q24" i="2" l="1"/>
  <c r="P68" i="3"/>
  <c r="P67"/>
  <c r="Q25" i="2" l="1"/>
  <c r="Q26"/>
  <c r="Q28"/>
  <c r="Q29"/>
  <c r="Q30"/>
  <c r="AM28" i="3" l="1"/>
  <c r="Q42" i="2"/>
  <c r="AO28" i="3" s="1"/>
  <c r="Q41" i="2"/>
  <c r="AN28" i="3" s="1"/>
  <c r="Z28"/>
  <c r="P69"/>
  <c r="P73"/>
  <c r="P72"/>
  <c r="P71" l="1"/>
  <c r="P80"/>
  <c r="P81"/>
  <c r="AB28" l="1"/>
  <c r="X29" s="1"/>
  <c r="Q68" l="1"/>
  <c r="R24" i="2"/>
  <c r="Q67" i="3"/>
  <c r="R25" i="2" l="1"/>
  <c r="R26"/>
  <c r="R29"/>
  <c r="R30"/>
  <c r="R28"/>
  <c r="R41" l="1"/>
  <c r="AN29" i="3" s="1"/>
  <c r="AM29"/>
  <c r="R42" i="2"/>
  <c r="AO29" i="3" s="1"/>
  <c r="Q69"/>
  <c r="Z29"/>
  <c r="Q73"/>
  <c r="Q72"/>
  <c r="Q71" l="1"/>
  <c r="Q80"/>
  <c r="Q81"/>
  <c r="AB29" l="1"/>
  <c r="X30" s="1"/>
  <c r="S24" i="2" l="1"/>
  <c r="R67" i="3"/>
  <c r="R68"/>
  <c r="S26" i="2" l="1"/>
  <c r="S25"/>
  <c r="S30"/>
  <c r="S29"/>
  <c r="S28"/>
  <c r="S41" l="1"/>
  <c r="AN30" i="3" s="1"/>
  <c r="S42" i="2"/>
  <c r="AO30" i="3" s="1"/>
  <c r="AM30"/>
  <c r="Z30"/>
  <c r="R69"/>
  <c r="R72"/>
  <c r="R73"/>
  <c r="R71" l="1"/>
  <c r="R80"/>
  <c r="R81"/>
  <c r="AB30" l="1"/>
  <c r="X31" s="1"/>
  <c r="T24" i="2" l="1"/>
  <c r="S67" i="3"/>
  <c r="S68"/>
  <c r="T25" i="2" l="1"/>
  <c r="T26"/>
  <c r="T30"/>
  <c r="T28"/>
  <c r="T29"/>
  <c r="T42" l="1"/>
  <c r="AO31" i="3" s="1"/>
  <c r="T41" i="2"/>
  <c r="AN31" i="3" s="1"/>
  <c r="AM31"/>
  <c r="Z31"/>
  <c r="S69"/>
  <c r="S72"/>
  <c r="S73"/>
  <c r="S71" l="1"/>
  <c r="S80"/>
  <c r="S81"/>
  <c r="AB31" l="1"/>
  <c r="X32" s="1"/>
  <c r="U24" i="2" l="1"/>
  <c r="T68" i="3"/>
  <c r="T67"/>
  <c r="U25" i="2" l="1"/>
  <c r="U26"/>
  <c r="U30"/>
  <c r="U29"/>
  <c r="U28"/>
  <c r="U41" l="1"/>
  <c r="AN32" i="3" s="1"/>
  <c r="U42" i="2"/>
  <c r="AO32" i="3" s="1"/>
  <c r="AM32"/>
  <c r="Z32"/>
  <c r="T69"/>
  <c r="T72"/>
  <c r="T73"/>
  <c r="T71" l="1"/>
  <c r="T80"/>
  <c r="T81"/>
  <c r="AB32" l="1"/>
  <c r="X33" s="1"/>
  <c r="U67" l="1"/>
  <c r="U68"/>
  <c r="V24" i="2"/>
  <c r="V26" l="1"/>
  <c r="V25"/>
  <c r="V30"/>
  <c r="V28"/>
  <c r="V29"/>
  <c r="V42" l="1"/>
  <c r="AO33" i="3" s="1"/>
  <c r="V41" i="2"/>
  <c r="AN33" i="3" s="1"/>
  <c r="AM33"/>
  <c r="AM34"/>
  <c r="U69"/>
  <c r="Z33"/>
  <c r="U73"/>
  <c r="U72"/>
  <c r="U71" l="1"/>
  <c r="U80"/>
  <c r="U81"/>
  <c r="AB33" l="1"/>
  <c r="X34" s="1"/>
  <c r="V68" l="1"/>
  <c r="W24" i="2"/>
  <c r="V67" i="3"/>
  <c r="W25" i="2" l="1"/>
  <c r="W26"/>
  <c r="W29"/>
  <c r="W28"/>
  <c r="W30"/>
  <c r="W41" l="1"/>
  <c r="AN34" i="3" s="1"/>
  <c r="W42" i="2"/>
  <c r="AO34" i="3" s="1"/>
  <c r="V69"/>
  <c r="Z34"/>
  <c r="V72"/>
  <c r="V73"/>
  <c r="V71" l="1"/>
  <c r="V80"/>
  <c r="V81"/>
  <c r="AB34" l="1"/>
</calcChain>
</file>

<file path=xl/sharedStrings.xml><?xml version="1.0" encoding="utf-8"?>
<sst xmlns="http://schemas.openxmlformats.org/spreadsheetml/2006/main" count="584" uniqueCount="329">
  <si>
    <t>NPS</t>
  </si>
  <si>
    <t>5S</t>
  </si>
  <si>
    <t>10S</t>
  </si>
  <si>
    <t>40S</t>
  </si>
  <si>
    <t>80S</t>
  </si>
  <si>
    <t>STD</t>
  </si>
  <si>
    <t>XS</t>
  </si>
  <si>
    <t>XXS</t>
  </si>
  <si>
    <t>ANSI</t>
  </si>
  <si>
    <t>NA</t>
  </si>
  <si>
    <t xml:space="preserve">         </t>
  </si>
  <si>
    <t>JOB NO.</t>
  </si>
  <si>
    <t>BY:</t>
  </si>
  <si>
    <t>DATE:</t>
  </si>
  <si>
    <t>PAGE:</t>
  </si>
  <si>
    <t>SERVICE</t>
  </si>
  <si>
    <t>CHECKED BY:</t>
  </si>
  <si>
    <t>APPROVED BY:</t>
  </si>
  <si>
    <t>NUMBER</t>
    <phoneticPr fontId="1" type="noConversion"/>
  </si>
  <si>
    <t>목록</t>
    <phoneticPr fontId="1" type="noConversion"/>
  </si>
  <si>
    <t>Piping Information</t>
    <phoneticPr fontId="1" type="noConversion"/>
  </si>
  <si>
    <t>STREAM ID</t>
    <phoneticPr fontId="1" type="noConversion"/>
  </si>
  <si>
    <t>In.temp</t>
    <phoneticPr fontId="1" type="noConversion"/>
  </si>
  <si>
    <t>ROOFING</t>
    <phoneticPr fontId="1" type="noConversion"/>
  </si>
  <si>
    <t>ALUMINUM</t>
    <phoneticPr fontId="1" type="noConversion"/>
  </si>
  <si>
    <t>ALUMINUM PAINT</t>
    <phoneticPr fontId="1" type="noConversion"/>
  </si>
  <si>
    <t xml:space="preserve">WHITE PAINTED CANVAS </t>
    <phoneticPr fontId="1" type="noConversion"/>
  </si>
  <si>
    <t>OXIDIZED (1)</t>
    <phoneticPr fontId="1" type="noConversion"/>
  </si>
  <si>
    <t>OXIDIZED (2)</t>
    <phoneticPr fontId="1" type="noConversion"/>
  </si>
  <si>
    <t>Type</t>
    <phoneticPr fontId="1" type="noConversion"/>
  </si>
  <si>
    <r>
      <t>OPERATING CONDITION (</t>
    </r>
    <r>
      <rPr>
        <b/>
        <sz val="10"/>
        <rFont val="돋움"/>
        <family val="3"/>
        <charset val="129"/>
      </rPr>
      <t>공통</t>
    </r>
    <r>
      <rPr>
        <b/>
        <sz val="10"/>
        <rFont val="Arial"/>
        <family val="2"/>
      </rPr>
      <t>)</t>
    </r>
    <phoneticPr fontId="1" type="noConversion"/>
  </si>
  <si>
    <t>Air temp</t>
    <phoneticPr fontId="1" type="noConversion"/>
  </si>
  <si>
    <t xml:space="preserve">  Nominal size</t>
    <phoneticPr fontId="1" type="noConversion"/>
  </si>
  <si>
    <t xml:space="preserve">  Schedule of Class</t>
    <phoneticPr fontId="1" type="noConversion"/>
  </si>
  <si>
    <t xml:space="preserve">  Pipe Inside Dia</t>
    <phoneticPr fontId="1" type="noConversion"/>
  </si>
  <si>
    <t xml:space="preserve">  Line Length </t>
    <phoneticPr fontId="1" type="noConversion"/>
  </si>
  <si>
    <t xml:space="preserve">  Emissivity</t>
    <phoneticPr fontId="1" type="noConversion"/>
  </si>
  <si>
    <t xml:space="preserve">  Outside Flim Coefficient</t>
    <phoneticPr fontId="1" type="noConversion"/>
  </si>
  <si>
    <t xml:space="preserve">  Inside Flim Coefficient</t>
    <phoneticPr fontId="1" type="noConversion"/>
  </si>
  <si>
    <t xml:space="preserve">    by convection </t>
    <phoneticPr fontId="1" type="noConversion"/>
  </si>
  <si>
    <t xml:space="preserve">    by radiation </t>
    <phoneticPr fontId="1" type="noConversion"/>
  </si>
  <si>
    <t>mile/hr</t>
    <phoneticPr fontId="1" type="noConversion"/>
  </si>
  <si>
    <t>Btu/hr</t>
    <phoneticPr fontId="1" type="noConversion"/>
  </si>
  <si>
    <t>℉</t>
    <phoneticPr fontId="1" type="noConversion"/>
  </si>
  <si>
    <t>PROPANE</t>
    <phoneticPr fontId="1" type="noConversion"/>
  </si>
  <si>
    <t>ISO-BUTANE</t>
    <phoneticPr fontId="1" type="noConversion"/>
  </si>
  <si>
    <t>BUTANE</t>
    <phoneticPr fontId="1" type="noConversion"/>
  </si>
  <si>
    <t>Heat capacity</t>
  </si>
  <si>
    <t>Component</t>
    <phoneticPr fontId="1" type="noConversion"/>
  </si>
  <si>
    <t xml:space="preserve">A </t>
    <phoneticPr fontId="25" type="noConversion"/>
  </si>
  <si>
    <t>B</t>
    <phoneticPr fontId="25" type="noConversion"/>
  </si>
  <si>
    <t xml:space="preserve">C </t>
    <phoneticPr fontId="25" type="noConversion"/>
  </si>
  <si>
    <t>D</t>
    <phoneticPr fontId="25" type="noConversion"/>
  </si>
  <si>
    <r>
      <t>THL= A+B*T+C*T^2+D*T^3  (</t>
    </r>
    <r>
      <rPr>
        <sz val="10"/>
        <rFont val="돋움"/>
        <family val="3"/>
        <charset val="129"/>
      </rPr>
      <t>단위</t>
    </r>
    <r>
      <rPr>
        <sz val="10"/>
        <rFont val="Arial"/>
        <family val="2"/>
      </rPr>
      <t>:W/m·K)  T in K</t>
    </r>
  </si>
  <si>
    <r>
      <t>Cp=A+B*T+C*T^2+D*T^3   (</t>
    </r>
    <r>
      <rPr>
        <sz val="10"/>
        <rFont val="돋움"/>
        <family val="3"/>
        <charset val="129"/>
      </rPr>
      <t>단위</t>
    </r>
    <r>
      <rPr>
        <sz val="10"/>
        <rFont val="Arial"/>
        <family val="2"/>
      </rPr>
      <t>: kJ/kgmol · K)</t>
    </r>
  </si>
  <si>
    <t>STREAM ID</t>
    <phoneticPr fontId="1" type="noConversion"/>
  </si>
  <si>
    <t>Dimensionless.No</t>
    <phoneticPr fontId="1" type="noConversion"/>
  </si>
  <si>
    <t xml:space="preserve">Property </t>
    <phoneticPr fontId="1" type="noConversion"/>
  </si>
  <si>
    <t xml:space="preserve">  Liquid phase cal</t>
    <phoneticPr fontId="1" type="noConversion"/>
  </si>
  <si>
    <t>Thermal conductivity</t>
    <phoneticPr fontId="1" type="noConversion"/>
  </si>
  <si>
    <t xml:space="preserve">  Reynolds NO.</t>
    <phoneticPr fontId="1" type="noConversion"/>
  </si>
  <si>
    <t xml:space="preserve">  Prandtl NO.</t>
    <phoneticPr fontId="1" type="noConversion"/>
  </si>
  <si>
    <t xml:space="preserve">  Vapor phase cal</t>
    <phoneticPr fontId="1" type="noConversion"/>
  </si>
  <si>
    <t xml:space="preserve">  For liquid  </t>
    <phoneticPr fontId="1" type="noConversion"/>
  </si>
  <si>
    <t xml:space="preserve">    Viscocity </t>
    <phoneticPr fontId="1" type="noConversion"/>
  </si>
  <si>
    <t xml:space="preserve">    Mass Flow</t>
    <phoneticPr fontId="1" type="noConversion"/>
  </si>
  <si>
    <t xml:space="preserve">    Volumn Flow</t>
    <phoneticPr fontId="1" type="noConversion"/>
  </si>
  <si>
    <t xml:space="preserve">  For Vapor  </t>
    <phoneticPr fontId="1" type="noConversion"/>
  </si>
  <si>
    <t xml:space="preserve">    Thermer conductivity</t>
    <phoneticPr fontId="1" type="noConversion"/>
  </si>
  <si>
    <t xml:space="preserve">    Heat capacity</t>
    <phoneticPr fontId="1" type="noConversion"/>
  </si>
  <si>
    <t xml:space="preserve">    Density</t>
    <phoneticPr fontId="1" type="noConversion"/>
  </si>
  <si>
    <t xml:space="preserve">  For 2PH  </t>
    <phoneticPr fontId="1" type="noConversion"/>
  </si>
  <si>
    <t xml:space="preserve">Mole Weight </t>
    <phoneticPr fontId="1" type="noConversion"/>
  </si>
  <si>
    <t>M.W</t>
    <phoneticPr fontId="1" type="noConversion"/>
  </si>
  <si>
    <t>lb/hr</t>
    <phoneticPr fontId="1" type="noConversion"/>
  </si>
  <si>
    <t>lb/hr</t>
    <phoneticPr fontId="1" type="noConversion"/>
  </si>
  <si>
    <r>
      <rPr>
        <sz val="10"/>
        <rFont val="돋움"/>
        <family val="3"/>
        <charset val="129"/>
      </rPr>
      <t>환산</t>
    </r>
    <r>
      <rPr>
        <sz val="10"/>
        <rFont val="Arial"/>
        <family val="2"/>
      </rPr>
      <t xml:space="preserve"> </t>
    </r>
    <phoneticPr fontId="1" type="noConversion"/>
  </si>
  <si>
    <t>mol/hr</t>
    <phoneticPr fontId="1" type="noConversion"/>
  </si>
  <si>
    <t>BUTANE</t>
  </si>
  <si>
    <t>PROPANE</t>
  </si>
  <si>
    <t xml:space="preserve">  Temp</t>
    <phoneticPr fontId="1" type="noConversion"/>
  </si>
  <si>
    <t xml:space="preserve">  Pipe Outside  Dia</t>
    <phoneticPr fontId="1" type="noConversion"/>
  </si>
  <si>
    <t>Type of flow (L/V/2PH)</t>
    <phoneticPr fontId="1" type="noConversion"/>
  </si>
  <si>
    <t xml:space="preserve">    Component              </t>
    <phoneticPr fontId="1" type="noConversion"/>
  </si>
  <si>
    <t xml:space="preserve">    Component              </t>
    <phoneticPr fontId="1" type="noConversion"/>
  </si>
  <si>
    <t>lb/ft3</t>
    <phoneticPr fontId="1" type="noConversion"/>
  </si>
  <si>
    <t>ft3/hr</t>
    <phoneticPr fontId="1" type="noConversion"/>
  </si>
  <si>
    <t>K</t>
    <phoneticPr fontId="1" type="noConversion"/>
  </si>
  <si>
    <r>
      <rPr>
        <sz val="10"/>
        <color rgb="FF0000FF"/>
        <rFont val="맑은 고딕"/>
        <family val="3"/>
        <charset val="129"/>
      </rPr>
      <t>℉</t>
    </r>
    <phoneticPr fontId="1" type="noConversion"/>
  </si>
  <si>
    <t>Viscocity (liq)</t>
    <phoneticPr fontId="1" type="noConversion"/>
  </si>
  <si>
    <t>1. Liquid</t>
    <phoneticPr fontId="1" type="noConversion"/>
  </si>
  <si>
    <t>Cp</t>
    <phoneticPr fontId="1" type="noConversion"/>
  </si>
  <si>
    <r>
      <t>Btu/lb</t>
    </r>
    <r>
      <rPr>
        <sz val="9"/>
        <color rgb="FF0000FF"/>
        <rFont val="맑은 고딕"/>
        <family val="3"/>
        <charset val="129"/>
      </rPr>
      <t>℉</t>
    </r>
    <r>
      <rPr>
        <sz val="9"/>
        <color rgb="FF0000FF"/>
        <rFont val="Arial"/>
        <family val="2"/>
      </rPr>
      <t>ft2</t>
    </r>
    <phoneticPr fontId="1" type="noConversion"/>
  </si>
  <si>
    <r>
      <t>Btu/lb</t>
    </r>
    <r>
      <rPr>
        <sz val="9"/>
        <color rgb="FF0000FF"/>
        <rFont val="맑은 고딕"/>
        <family val="3"/>
        <charset val="129"/>
      </rPr>
      <t>℉</t>
    </r>
    <r>
      <rPr>
        <sz val="9"/>
        <color rgb="FF0000FF"/>
        <rFont val="Arial"/>
        <family val="2"/>
      </rPr>
      <t>ft2</t>
    </r>
    <phoneticPr fontId="1" type="noConversion"/>
  </si>
  <si>
    <t>2. Vapor</t>
    <phoneticPr fontId="1" type="noConversion"/>
  </si>
  <si>
    <t>E</t>
    <phoneticPr fontId="25" type="noConversion"/>
  </si>
  <si>
    <t>lb/hr</t>
    <phoneticPr fontId="1" type="noConversion"/>
  </si>
  <si>
    <r>
      <t>THG= A+B*T+C*T^2+D*T^3  (</t>
    </r>
    <r>
      <rPr>
        <sz val="10"/>
        <rFont val="돋움"/>
        <family val="3"/>
        <charset val="129"/>
      </rPr>
      <t>단위</t>
    </r>
    <r>
      <rPr>
        <sz val="10"/>
        <rFont val="Arial"/>
        <family val="2"/>
      </rPr>
      <t>:W/m·K)  T in K</t>
    </r>
    <phoneticPr fontId="1" type="noConversion"/>
  </si>
  <si>
    <t>Viscocity (Vap)</t>
    <phoneticPr fontId="1" type="noConversion"/>
  </si>
  <si>
    <r>
      <t>VSG= A+B*T+C*T^2 (</t>
    </r>
    <r>
      <rPr>
        <sz val="10"/>
        <rFont val="돋움"/>
        <family val="3"/>
        <charset val="129"/>
      </rPr>
      <t>단위</t>
    </r>
    <r>
      <rPr>
        <sz val="10"/>
        <rFont val="Arial"/>
        <family val="2"/>
      </rPr>
      <t>: Cp)  T in K</t>
    </r>
    <phoneticPr fontId="25" type="noConversion"/>
  </si>
  <si>
    <t>Out.temp</t>
    <phoneticPr fontId="1" type="noConversion"/>
  </si>
  <si>
    <t>Shape and Condition</t>
    <phoneticPr fontId="1" type="noConversion"/>
  </si>
  <si>
    <t>HORIZONTAL CYLINDERS</t>
    <phoneticPr fontId="1" type="noConversion"/>
  </si>
  <si>
    <t xml:space="preserve">LONGER VERTICAL CYLINDERS </t>
    <phoneticPr fontId="1" type="noConversion"/>
  </si>
  <si>
    <t>VERTICAL PLATES</t>
    <phoneticPr fontId="1" type="noConversion"/>
  </si>
  <si>
    <t>km</t>
    <phoneticPr fontId="1" type="noConversion"/>
  </si>
  <si>
    <t>PIPING  SPEC. (Inside)</t>
    <phoneticPr fontId="1" type="noConversion"/>
  </si>
  <si>
    <t>PIPING  SPEC. (Outside)</t>
    <phoneticPr fontId="1" type="noConversion"/>
  </si>
  <si>
    <t>공통</t>
    <phoneticPr fontId="1" type="noConversion"/>
  </si>
  <si>
    <t xml:space="preserve">  Convection Equation</t>
    <phoneticPr fontId="1" type="noConversion"/>
  </si>
  <si>
    <t xml:space="preserve">  Weight flow</t>
    <phoneticPr fontId="1" type="noConversion"/>
  </si>
  <si>
    <t>구간</t>
    <phoneticPr fontId="1" type="noConversion"/>
  </si>
  <si>
    <t>LIMIT</t>
    <phoneticPr fontId="1" type="noConversion"/>
  </si>
  <si>
    <t>LIMIT (K)</t>
    <phoneticPr fontId="1" type="noConversion"/>
  </si>
  <si>
    <t>85.45K - 353.15K</t>
    <phoneticPr fontId="1" type="noConversion"/>
  </si>
  <si>
    <t xml:space="preserve">86.15K - 369.15K </t>
    <phoneticPr fontId="1" type="noConversion"/>
  </si>
  <si>
    <t>85K - 353K</t>
    <phoneticPr fontId="1" type="noConversion"/>
  </si>
  <si>
    <t>℃</t>
    <phoneticPr fontId="1" type="noConversion"/>
  </si>
  <si>
    <t>HORIZONTAL CYLINDERS</t>
  </si>
  <si>
    <t>Total heat loss/gain</t>
    <phoneticPr fontId="1" type="noConversion"/>
  </si>
  <si>
    <t>ΔT (℃)</t>
    <phoneticPr fontId="1" type="noConversion"/>
  </si>
  <si>
    <r>
      <t>1.</t>
    </r>
    <r>
      <rPr>
        <i/>
        <sz val="10"/>
        <rFont val="돋움"/>
        <family val="3"/>
        <charset val="129"/>
      </rPr>
      <t>최대</t>
    </r>
    <r>
      <rPr>
        <i/>
        <sz val="10"/>
        <rFont val="Arial"/>
        <family val="2"/>
      </rPr>
      <t xml:space="preserve"> 20</t>
    </r>
    <r>
      <rPr>
        <i/>
        <sz val="10"/>
        <rFont val="돋움"/>
        <family val="3"/>
        <charset val="129"/>
      </rPr>
      <t>개의</t>
    </r>
    <r>
      <rPr>
        <i/>
        <sz val="10"/>
        <rFont val="Arial"/>
        <family val="2"/>
      </rPr>
      <t xml:space="preserve"> STREAM</t>
    </r>
    <r>
      <rPr>
        <i/>
        <sz val="10"/>
        <rFont val="돋움"/>
        <family val="3"/>
        <charset val="129"/>
      </rPr>
      <t>을</t>
    </r>
    <r>
      <rPr>
        <i/>
        <sz val="10"/>
        <rFont val="Arial"/>
        <family val="2"/>
      </rPr>
      <t xml:space="preserve"> </t>
    </r>
    <r>
      <rPr>
        <i/>
        <sz val="10"/>
        <rFont val="돋움"/>
        <family val="3"/>
        <charset val="129"/>
      </rPr>
      <t>기입</t>
    </r>
    <r>
      <rPr>
        <i/>
        <sz val="10"/>
        <rFont val="Arial"/>
        <family val="2"/>
      </rPr>
      <t xml:space="preserve"> </t>
    </r>
    <r>
      <rPr>
        <i/>
        <sz val="10"/>
        <rFont val="돋움"/>
        <family val="3"/>
        <charset val="129"/>
      </rPr>
      <t>할</t>
    </r>
    <r>
      <rPr>
        <i/>
        <sz val="10"/>
        <rFont val="Arial"/>
        <family val="2"/>
      </rPr>
      <t xml:space="preserve"> </t>
    </r>
    <r>
      <rPr>
        <i/>
        <sz val="10"/>
        <rFont val="돋움"/>
        <family val="3"/>
        <charset val="129"/>
      </rPr>
      <t>수</t>
    </r>
    <r>
      <rPr>
        <i/>
        <sz val="10"/>
        <rFont val="Arial"/>
        <family val="2"/>
      </rPr>
      <t xml:space="preserve"> </t>
    </r>
    <r>
      <rPr>
        <i/>
        <sz val="10"/>
        <rFont val="돋움"/>
        <family val="3"/>
        <charset val="129"/>
      </rPr>
      <t>있다</t>
    </r>
    <r>
      <rPr>
        <i/>
        <sz val="10"/>
        <rFont val="Arial"/>
        <family val="2"/>
      </rPr>
      <t xml:space="preserve">. </t>
    </r>
    <phoneticPr fontId="1" type="noConversion"/>
  </si>
  <si>
    <r>
      <t>2.Flow.cal</t>
    </r>
    <r>
      <rPr>
        <i/>
        <sz val="10"/>
        <rFont val="돋움"/>
        <family val="3"/>
        <charset val="129"/>
      </rPr>
      <t>에</t>
    </r>
    <r>
      <rPr>
        <i/>
        <sz val="10"/>
        <rFont val="Arial"/>
        <family val="2"/>
      </rPr>
      <t xml:space="preserve"> </t>
    </r>
    <r>
      <rPr>
        <i/>
        <sz val="10"/>
        <rFont val="돋움"/>
        <family val="3"/>
        <charset val="129"/>
      </rPr>
      <t>성분의</t>
    </r>
    <r>
      <rPr>
        <i/>
        <sz val="10"/>
        <rFont val="Arial"/>
        <family val="2"/>
      </rPr>
      <t xml:space="preserve"> </t>
    </r>
    <r>
      <rPr>
        <i/>
        <sz val="10"/>
        <rFont val="돋움"/>
        <family val="3"/>
        <charset val="129"/>
      </rPr>
      <t>질량</t>
    </r>
    <r>
      <rPr>
        <i/>
        <sz val="10"/>
        <rFont val="Arial"/>
        <family val="2"/>
      </rPr>
      <t xml:space="preserve"> </t>
    </r>
    <r>
      <rPr>
        <i/>
        <sz val="10"/>
        <rFont val="돋움"/>
        <family val="3"/>
        <charset val="129"/>
      </rPr>
      <t>및</t>
    </r>
    <r>
      <rPr>
        <i/>
        <sz val="10"/>
        <rFont val="Arial"/>
        <family val="2"/>
      </rPr>
      <t xml:space="preserve"> </t>
    </r>
    <r>
      <rPr>
        <i/>
        <sz val="10"/>
        <rFont val="돋움"/>
        <family val="3"/>
        <charset val="129"/>
      </rPr>
      <t>몰</t>
    </r>
    <r>
      <rPr>
        <i/>
        <sz val="10"/>
        <rFont val="Arial"/>
        <family val="2"/>
      </rPr>
      <t xml:space="preserve"> </t>
    </r>
    <r>
      <rPr>
        <i/>
        <sz val="10"/>
        <rFont val="돋움"/>
        <family val="3"/>
        <charset val="129"/>
      </rPr>
      <t>수</t>
    </r>
    <r>
      <rPr>
        <i/>
        <sz val="10"/>
        <rFont val="Arial"/>
        <family val="2"/>
      </rPr>
      <t xml:space="preserve"> </t>
    </r>
    <r>
      <rPr>
        <i/>
        <sz val="10"/>
        <rFont val="돋움"/>
        <family val="3"/>
        <charset val="129"/>
      </rPr>
      <t>입력</t>
    </r>
    <phoneticPr fontId="1" type="noConversion"/>
  </si>
  <si>
    <t>PUMP</t>
    <phoneticPr fontId="1" type="noConversion"/>
  </si>
  <si>
    <t>k</t>
    <phoneticPr fontId="1" type="noConversion"/>
  </si>
  <si>
    <t xml:space="preserve">Re </t>
    <phoneticPr fontId="1" type="noConversion"/>
  </si>
  <si>
    <t>Pr</t>
    <phoneticPr fontId="1" type="noConversion"/>
  </si>
  <si>
    <t>C</t>
    <phoneticPr fontId="1" type="noConversion"/>
  </si>
  <si>
    <t>E</t>
    <phoneticPr fontId="1" type="noConversion"/>
  </si>
  <si>
    <t>D</t>
    <phoneticPr fontId="1" type="noConversion"/>
  </si>
  <si>
    <t>di</t>
    <phoneticPr fontId="1" type="noConversion"/>
  </si>
  <si>
    <r>
      <t>ln(Vis)= A+B/T+C*T+D*T^2 (</t>
    </r>
    <r>
      <rPr>
        <sz val="10"/>
        <rFont val="돋움"/>
        <family val="3"/>
        <charset val="129"/>
      </rPr>
      <t>단위</t>
    </r>
    <r>
      <rPr>
        <sz val="10"/>
        <rFont val="Arial"/>
        <family val="2"/>
      </rPr>
      <t>: Cp)  T in K</t>
    </r>
    <phoneticPr fontId="25" type="noConversion"/>
  </si>
  <si>
    <t>M.W</t>
    <phoneticPr fontId="1" type="noConversion"/>
  </si>
  <si>
    <r>
      <rPr>
        <sz val="10"/>
        <rFont val="돋움"/>
        <family val="3"/>
        <charset val="129"/>
      </rPr>
      <t>절대지우지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말것</t>
    </r>
    <r>
      <rPr>
        <sz val="10"/>
        <rFont val="Arial"/>
        <family val="2"/>
      </rPr>
      <t>!!!</t>
    </r>
    <phoneticPr fontId="1" type="noConversion"/>
  </si>
  <si>
    <t xml:space="preserve">Ts </t>
    <phoneticPr fontId="1" type="noConversion"/>
  </si>
  <si>
    <t>풍속</t>
    <phoneticPr fontId="1" type="noConversion"/>
  </si>
  <si>
    <t>Total Length</t>
    <phoneticPr fontId="1" type="noConversion"/>
  </si>
  <si>
    <t>참고문헌</t>
    <phoneticPr fontId="1" type="noConversion"/>
  </si>
  <si>
    <t xml:space="preserve">Standard practice for Determination of Heat Gain or Loss and the Surface Tempertures </t>
    <phoneticPr fontId="1" type="noConversion"/>
  </si>
  <si>
    <t>of Insulated Pipe and Equipment Systems by the Use of a Computer Program.</t>
    <phoneticPr fontId="1" type="noConversion"/>
  </si>
  <si>
    <t>2. ASTM Designation: C 680 - 89 (Reapproved 1995)</t>
    <phoneticPr fontId="1" type="noConversion"/>
  </si>
  <si>
    <t>1. SC Engineering</t>
    <phoneticPr fontId="1" type="noConversion"/>
  </si>
  <si>
    <r>
      <t xml:space="preserve">System Engineering guide Bare pipe </t>
    </r>
    <r>
      <rPr>
        <sz val="18"/>
        <rFont val="돋움"/>
        <family val="3"/>
        <charset val="129"/>
      </rPr>
      <t>열손실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및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유체온도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하강</t>
    </r>
    <r>
      <rPr>
        <sz val="18"/>
        <rFont val="Arial"/>
        <family val="2"/>
      </rPr>
      <t xml:space="preserve"> </t>
    </r>
    <phoneticPr fontId="1" type="noConversion"/>
  </si>
  <si>
    <r>
      <t>3. Cheric (</t>
    </r>
    <r>
      <rPr>
        <sz val="20"/>
        <rFont val="돋움"/>
        <family val="3"/>
        <charset val="129"/>
      </rPr>
      <t>화학공학연구정보센터</t>
    </r>
    <r>
      <rPr>
        <sz val="20"/>
        <rFont val="Arial"/>
        <family val="2"/>
      </rPr>
      <t>)</t>
    </r>
    <phoneticPr fontId="1" type="noConversion"/>
  </si>
  <si>
    <r>
      <t xml:space="preserve">Viscoity, Heat capacity </t>
    </r>
    <r>
      <rPr>
        <sz val="18"/>
        <rFont val="돋움"/>
        <family val="3"/>
        <charset val="129"/>
      </rPr>
      <t>등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온도에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따른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물성치에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관한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식</t>
    </r>
    <phoneticPr fontId="1" type="noConversion"/>
  </si>
  <si>
    <t>설계 기준 및 공식(Equation)</t>
    <phoneticPr fontId="1" type="noConversion"/>
  </si>
  <si>
    <r>
      <t>hi = 0.027 x (K/Di) Re</t>
    </r>
    <r>
      <rPr>
        <vertAlign val="superscript"/>
        <sz val="18"/>
        <rFont val="Arial"/>
        <family val="2"/>
      </rPr>
      <t>0.8</t>
    </r>
    <r>
      <rPr>
        <sz val="18"/>
        <rFont val="맑은 고딕"/>
        <family val="3"/>
        <charset val="129"/>
      </rPr>
      <t>·</t>
    </r>
    <r>
      <rPr>
        <sz val="18"/>
        <rFont val="Arial"/>
        <family val="2"/>
      </rPr>
      <t>Pr</t>
    </r>
    <r>
      <rPr>
        <vertAlign val="superscript"/>
        <sz val="18"/>
        <rFont val="Arial"/>
        <family val="2"/>
      </rPr>
      <t>1/3</t>
    </r>
    <r>
      <rPr>
        <sz val="18"/>
        <rFont val="Arial"/>
        <family val="2"/>
      </rPr>
      <t xml:space="preserve">(di/do)  </t>
    </r>
    <phoneticPr fontId="1" type="noConversion"/>
  </si>
  <si>
    <t xml:space="preserve"> </t>
    <phoneticPr fontId="1" type="noConversion"/>
  </si>
  <si>
    <r>
      <t xml:space="preserve">Ao = </t>
    </r>
    <r>
      <rPr>
        <sz val="18"/>
        <rFont val="맑은 고딕"/>
        <family val="3"/>
        <charset val="129"/>
      </rPr>
      <t>π</t>
    </r>
    <r>
      <rPr>
        <sz val="18"/>
        <rFont val="Arial"/>
        <family val="2"/>
      </rPr>
      <t xml:space="preserve"> x do/12 x L</t>
    </r>
    <phoneticPr fontId="1" type="noConversion"/>
  </si>
  <si>
    <t xml:space="preserve">Qi = hi x Ao x (Tf in - Ts) </t>
    <phoneticPr fontId="1" type="noConversion"/>
  </si>
  <si>
    <r>
      <t xml:space="preserve">do: Pipe </t>
    </r>
    <r>
      <rPr>
        <sz val="18"/>
        <rFont val="돋움"/>
        <family val="3"/>
        <charset val="129"/>
      </rPr>
      <t>외경</t>
    </r>
    <r>
      <rPr>
        <sz val="18"/>
        <rFont val="Arial"/>
        <family val="2"/>
      </rPr>
      <t xml:space="preserve"> (inch)</t>
    </r>
    <phoneticPr fontId="1" type="noConversion"/>
  </si>
  <si>
    <r>
      <t xml:space="preserve">di: Pipe </t>
    </r>
    <r>
      <rPr>
        <sz val="18"/>
        <rFont val="돋움"/>
        <family val="3"/>
        <charset val="129"/>
      </rPr>
      <t>내경</t>
    </r>
    <r>
      <rPr>
        <sz val="18"/>
        <rFont val="Arial"/>
        <family val="2"/>
      </rPr>
      <t xml:space="preserve"> (inch)</t>
    </r>
    <phoneticPr fontId="1" type="noConversion"/>
  </si>
  <si>
    <t>Di: di/12 (ft)</t>
    <phoneticPr fontId="1" type="noConversion"/>
  </si>
  <si>
    <t>W: Flow rate (lb/hr)</t>
    <phoneticPr fontId="1" type="noConversion"/>
  </si>
  <si>
    <t xml:space="preserve">μ': Viscocity (cp) </t>
    <phoneticPr fontId="1" type="noConversion"/>
  </si>
  <si>
    <r>
      <t>Re=6.32 W/</t>
    </r>
    <r>
      <rPr>
        <sz val="18"/>
        <rFont val="맑은 고딕"/>
        <family val="3"/>
        <charset val="129"/>
      </rPr>
      <t>μ</t>
    </r>
    <r>
      <rPr>
        <sz val="18"/>
        <rFont val="Arial"/>
        <family val="2"/>
      </rPr>
      <t>'/di</t>
    </r>
    <phoneticPr fontId="1" type="noConversion"/>
  </si>
  <si>
    <r>
      <t xml:space="preserve">Cp: Specific Heat (Btu/lb </t>
    </r>
    <r>
      <rPr>
        <sz val="18"/>
        <rFont val="돋움"/>
        <family val="3"/>
        <charset val="129"/>
      </rPr>
      <t>˚</t>
    </r>
    <r>
      <rPr>
        <sz val="18"/>
        <rFont val="Arial"/>
        <family val="2"/>
      </rPr>
      <t>F)</t>
    </r>
    <phoneticPr fontId="1" type="noConversion"/>
  </si>
  <si>
    <t>μ=μ'x2.42</t>
    <phoneticPr fontId="1" type="noConversion"/>
  </si>
  <si>
    <t>Pr= Cpxμ/k</t>
    <phoneticPr fontId="1" type="noConversion"/>
  </si>
  <si>
    <r>
      <t>1. Qi (</t>
    </r>
    <r>
      <rPr>
        <sz val="20"/>
        <rFont val="돋움"/>
        <family val="3"/>
        <charset val="129"/>
      </rPr>
      <t>내벽막에서의</t>
    </r>
    <r>
      <rPr>
        <sz val="20"/>
        <rFont val="Arial"/>
        <family val="2"/>
      </rPr>
      <t xml:space="preserve"> </t>
    </r>
    <r>
      <rPr>
        <sz val="20"/>
        <rFont val="돋움"/>
        <family val="3"/>
        <charset val="129"/>
      </rPr>
      <t>열전달</t>
    </r>
    <r>
      <rPr>
        <sz val="20"/>
        <rFont val="Arial"/>
        <family val="2"/>
      </rPr>
      <t xml:space="preserve"> </t>
    </r>
    <r>
      <rPr>
        <sz val="20"/>
        <rFont val="돋움"/>
        <family val="3"/>
        <charset val="129"/>
      </rPr>
      <t>속도</t>
    </r>
    <r>
      <rPr>
        <sz val="20"/>
        <rFont val="Arial"/>
        <family val="2"/>
      </rPr>
      <t xml:space="preserve"> / </t>
    </r>
    <r>
      <rPr>
        <sz val="20"/>
        <rFont val="돋움"/>
        <family val="3"/>
        <charset val="129"/>
      </rPr>
      <t>참고문헌</t>
    </r>
    <r>
      <rPr>
        <sz val="20"/>
        <rFont val="Arial"/>
        <family val="2"/>
      </rPr>
      <t xml:space="preserve"> 1</t>
    </r>
    <r>
      <rPr>
        <sz val="20"/>
        <rFont val="돋움"/>
        <family val="3"/>
        <charset val="129"/>
      </rPr>
      <t>번</t>
    </r>
    <r>
      <rPr>
        <sz val="20"/>
        <rFont val="Arial"/>
        <family val="2"/>
      </rPr>
      <t>)</t>
    </r>
    <phoneticPr fontId="1" type="noConversion"/>
  </si>
  <si>
    <r>
      <t>2. Qo (</t>
    </r>
    <r>
      <rPr>
        <sz val="20"/>
        <rFont val="돋움"/>
        <family val="3"/>
        <charset val="129"/>
      </rPr>
      <t>외벽막에서의</t>
    </r>
    <r>
      <rPr>
        <sz val="20"/>
        <rFont val="Arial"/>
        <family val="2"/>
      </rPr>
      <t xml:space="preserve"> </t>
    </r>
    <r>
      <rPr>
        <sz val="20"/>
        <rFont val="돋움"/>
        <family val="3"/>
        <charset val="129"/>
      </rPr>
      <t>열전달</t>
    </r>
    <r>
      <rPr>
        <sz val="20"/>
        <rFont val="Arial"/>
        <family val="2"/>
      </rPr>
      <t xml:space="preserve"> </t>
    </r>
    <r>
      <rPr>
        <sz val="20"/>
        <rFont val="돋움"/>
        <family val="3"/>
        <charset val="129"/>
      </rPr>
      <t>속도</t>
    </r>
    <r>
      <rPr>
        <sz val="20"/>
        <rFont val="Arial"/>
        <family val="2"/>
      </rPr>
      <t xml:space="preserve"> / </t>
    </r>
    <r>
      <rPr>
        <sz val="20"/>
        <rFont val="돋움"/>
        <family val="3"/>
        <charset val="129"/>
      </rPr>
      <t>참고문헌</t>
    </r>
    <r>
      <rPr>
        <sz val="20"/>
        <rFont val="Arial"/>
        <family val="2"/>
      </rPr>
      <t xml:space="preserve"> 1</t>
    </r>
    <r>
      <rPr>
        <sz val="20"/>
        <rFont val="돋움"/>
        <family val="3"/>
        <charset val="129"/>
      </rPr>
      <t>번</t>
    </r>
    <r>
      <rPr>
        <sz val="20"/>
        <rFont val="Arial"/>
        <family val="2"/>
      </rPr>
      <t>, 2</t>
    </r>
    <r>
      <rPr>
        <sz val="20"/>
        <rFont val="돋움"/>
        <family val="3"/>
        <charset val="129"/>
      </rPr>
      <t>번</t>
    </r>
    <r>
      <rPr>
        <sz val="20"/>
        <rFont val="Arial"/>
        <family val="2"/>
      </rPr>
      <t>)</t>
    </r>
    <phoneticPr fontId="1" type="noConversion"/>
  </si>
  <si>
    <t>COMMONLY USED</t>
  </si>
  <si>
    <t>COMMONLY USED</t>
    <phoneticPr fontId="1" type="noConversion"/>
  </si>
  <si>
    <t xml:space="preserve">Qo = ho x Ao x (Ts - Ta) </t>
    <phoneticPr fontId="1" type="noConversion"/>
  </si>
  <si>
    <r>
      <t xml:space="preserve">Ta: </t>
    </r>
    <r>
      <rPr>
        <sz val="18"/>
        <rFont val="돋움"/>
        <family val="3"/>
        <charset val="129"/>
      </rPr>
      <t>대기의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온도</t>
    </r>
    <r>
      <rPr>
        <sz val="18"/>
        <rFont val="Arial"/>
        <family val="2"/>
      </rPr>
      <t xml:space="preserve"> </t>
    </r>
    <phoneticPr fontId="1" type="noConversion"/>
  </si>
  <si>
    <r>
      <t xml:space="preserve">Ts: </t>
    </r>
    <r>
      <rPr>
        <sz val="18"/>
        <rFont val="돋움"/>
        <family val="3"/>
        <charset val="129"/>
      </rPr>
      <t>표면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온도</t>
    </r>
    <r>
      <rPr>
        <sz val="18"/>
        <rFont val="Arial"/>
        <family val="2"/>
      </rPr>
      <t xml:space="preserve"> (</t>
    </r>
    <r>
      <rPr>
        <sz val="18"/>
        <rFont val="돋움"/>
        <family val="3"/>
        <charset val="129"/>
      </rPr>
      <t>˚</t>
    </r>
    <r>
      <rPr>
        <sz val="18"/>
        <rFont val="Arial"/>
        <family val="2"/>
      </rPr>
      <t>F)</t>
    </r>
    <phoneticPr fontId="1" type="noConversion"/>
  </si>
  <si>
    <r>
      <t xml:space="preserve">Tf in: </t>
    </r>
    <r>
      <rPr>
        <sz val="18"/>
        <rFont val="돋움"/>
        <family val="3"/>
        <charset val="129"/>
      </rPr>
      <t>유체의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온도</t>
    </r>
    <r>
      <rPr>
        <sz val="18"/>
        <rFont val="Arial"/>
        <family val="2"/>
      </rPr>
      <t xml:space="preserve"> (</t>
    </r>
    <r>
      <rPr>
        <sz val="18"/>
        <rFont val="돋움"/>
        <family val="3"/>
        <charset val="129"/>
      </rPr>
      <t>˚</t>
    </r>
    <r>
      <rPr>
        <sz val="18"/>
        <rFont val="Arial"/>
        <family val="2"/>
      </rPr>
      <t>F)</t>
    </r>
    <phoneticPr fontId="1" type="noConversion"/>
  </si>
  <si>
    <r>
      <t xml:space="preserve">hi: </t>
    </r>
    <r>
      <rPr>
        <sz val="18"/>
        <rFont val="돋움"/>
        <family val="3"/>
        <charset val="129"/>
      </rPr>
      <t>내벽막계수</t>
    </r>
    <r>
      <rPr>
        <sz val="18"/>
        <rFont val="Arial"/>
        <family val="2"/>
      </rPr>
      <t xml:space="preserve">  (Btu/ft2 lb </t>
    </r>
    <r>
      <rPr>
        <sz val="18"/>
        <rFont val="돋움"/>
        <family val="3"/>
        <charset val="129"/>
      </rPr>
      <t>˚</t>
    </r>
    <r>
      <rPr>
        <sz val="18"/>
        <rFont val="Arial"/>
        <family val="2"/>
      </rPr>
      <t>F)</t>
    </r>
    <phoneticPr fontId="1" type="noConversion"/>
  </si>
  <si>
    <r>
      <t xml:space="preserve">k: Thermal Cond. (Btu/lb ft </t>
    </r>
    <r>
      <rPr>
        <sz val="18"/>
        <rFont val="돋움"/>
        <family val="3"/>
        <charset val="129"/>
      </rPr>
      <t>˚</t>
    </r>
    <r>
      <rPr>
        <sz val="18"/>
        <rFont val="Arial"/>
        <family val="2"/>
      </rPr>
      <t>F)</t>
    </r>
    <phoneticPr fontId="1" type="noConversion"/>
  </si>
  <si>
    <r>
      <t xml:space="preserve">Ao: </t>
    </r>
    <r>
      <rPr>
        <sz val="18"/>
        <rFont val="돋움"/>
        <family val="3"/>
        <charset val="129"/>
      </rPr>
      <t>단위길이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당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표면적</t>
    </r>
    <r>
      <rPr>
        <sz val="18"/>
        <rFont val="Arial"/>
        <family val="2"/>
      </rPr>
      <t xml:space="preserve"> (ft2/ft)</t>
    </r>
    <phoneticPr fontId="1" type="noConversion"/>
  </si>
  <si>
    <t>ho = hcv + hr</t>
    <phoneticPr fontId="1" type="noConversion"/>
  </si>
  <si>
    <t>Table 1 Shape Factors - Convection Equations</t>
    <phoneticPr fontId="1" type="noConversion"/>
  </si>
  <si>
    <t>Emissivity</t>
    <phoneticPr fontId="1" type="noConversion"/>
  </si>
  <si>
    <r>
      <t>(</t>
    </r>
    <r>
      <rPr>
        <sz val="15"/>
        <rFont val="돋움"/>
        <family val="3"/>
        <charset val="129"/>
      </rPr>
      <t>참고문헌</t>
    </r>
    <r>
      <rPr>
        <sz val="15"/>
        <rFont val="Arial"/>
        <family val="2"/>
      </rPr>
      <t xml:space="preserve"> 2</t>
    </r>
    <r>
      <rPr>
        <sz val="15"/>
        <rFont val="돋움"/>
        <family val="3"/>
        <charset val="129"/>
      </rPr>
      <t>번</t>
    </r>
    <r>
      <rPr>
        <sz val="15"/>
        <rFont val="Arial"/>
        <family val="2"/>
      </rPr>
      <t>)</t>
    </r>
    <phoneticPr fontId="1" type="noConversion"/>
  </si>
  <si>
    <r>
      <t xml:space="preserve">hcv: convective surface coefficient, Btu/h ft2 </t>
    </r>
    <r>
      <rPr>
        <sz val="18"/>
        <rFont val="돋움"/>
        <family val="3"/>
        <charset val="129"/>
      </rPr>
      <t>˚</t>
    </r>
    <r>
      <rPr>
        <sz val="18"/>
        <rFont val="Arial"/>
        <family val="2"/>
      </rPr>
      <t>F</t>
    </r>
    <phoneticPr fontId="1" type="noConversion"/>
  </si>
  <si>
    <t>d: diameter for cylinder in. For flat surface and large cylinders d&gt;24, use d=24</t>
    <phoneticPr fontId="1" type="noConversion"/>
  </si>
  <si>
    <t>Wind: wind velocity (ft/min, mile/hr)</t>
    <phoneticPr fontId="1" type="noConversion"/>
  </si>
  <si>
    <t xml:space="preserve">Tav: (Ts+Ta)/2 </t>
    <phoneticPr fontId="1" type="noConversion"/>
  </si>
  <si>
    <r>
      <rPr>
        <sz val="18"/>
        <rFont val="맑은 고딕"/>
        <family val="3"/>
        <charset val="129"/>
      </rPr>
      <t>Δ</t>
    </r>
    <r>
      <rPr>
        <sz val="18"/>
        <rFont val="Arial"/>
        <family val="2"/>
      </rPr>
      <t>T = abs(Ts - Ta)</t>
    </r>
    <phoneticPr fontId="1" type="noConversion"/>
  </si>
  <si>
    <r>
      <t>C: Shape Factor, Table</t>
    </r>
    <r>
      <rPr>
        <sz val="18"/>
        <rFont val="돋움"/>
        <family val="3"/>
        <charset val="129"/>
      </rPr>
      <t>은</t>
    </r>
    <r>
      <rPr>
        <sz val="18"/>
        <rFont val="Arial"/>
        <family val="2"/>
      </rPr>
      <t xml:space="preserve"> Cal.C</t>
    </r>
    <r>
      <rPr>
        <sz val="18"/>
        <rFont val="돋움"/>
        <family val="3"/>
        <charset val="129"/>
      </rPr>
      <t>에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있음</t>
    </r>
    <r>
      <rPr>
        <sz val="18"/>
        <rFont val="Arial"/>
        <family val="2"/>
      </rPr>
      <t xml:space="preserve">. </t>
    </r>
    <phoneticPr fontId="1" type="noConversion"/>
  </si>
  <si>
    <t xml:space="preserve">hr: radiative coefficient </t>
    <phoneticPr fontId="1" type="noConversion"/>
  </si>
  <si>
    <r>
      <t>E: effective surface emittance, Table</t>
    </r>
    <r>
      <rPr>
        <sz val="18"/>
        <rFont val="돋움"/>
        <family val="3"/>
        <charset val="129"/>
      </rPr>
      <t>은</t>
    </r>
    <r>
      <rPr>
        <sz val="18"/>
        <rFont val="Arial"/>
        <family val="2"/>
      </rPr>
      <t xml:space="preserve"> Cal.C</t>
    </r>
    <r>
      <rPr>
        <sz val="18"/>
        <rFont val="돋움"/>
        <family val="3"/>
        <charset val="129"/>
      </rPr>
      <t>에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있음</t>
    </r>
    <r>
      <rPr>
        <sz val="18"/>
        <rFont val="Arial"/>
        <family val="2"/>
      </rPr>
      <t xml:space="preserve">. </t>
    </r>
    <phoneticPr fontId="1" type="noConversion"/>
  </si>
  <si>
    <r>
      <t xml:space="preserve">3. </t>
    </r>
    <r>
      <rPr>
        <sz val="20"/>
        <rFont val="돋움"/>
        <family val="3"/>
        <charset val="129"/>
      </rPr>
      <t>계산절차</t>
    </r>
    <r>
      <rPr>
        <sz val="20"/>
        <rFont val="Arial"/>
        <family val="2"/>
      </rPr>
      <t xml:space="preserve"> (</t>
    </r>
    <r>
      <rPr>
        <sz val="20"/>
        <rFont val="돋움"/>
        <family val="3"/>
        <charset val="129"/>
      </rPr>
      <t>참고문헌</t>
    </r>
    <r>
      <rPr>
        <sz val="20"/>
        <rFont val="Arial"/>
        <family val="2"/>
      </rPr>
      <t xml:space="preserve"> 1</t>
    </r>
    <r>
      <rPr>
        <sz val="20"/>
        <rFont val="돋움"/>
        <family val="3"/>
        <charset val="129"/>
      </rPr>
      <t>번</t>
    </r>
    <r>
      <rPr>
        <sz val="20"/>
        <rFont val="Arial"/>
        <family val="2"/>
      </rPr>
      <t>)</t>
    </r>
    <phoneticPr fontId="1" type="noConversion"/>
  </si>
  <si>
    <r>
      <rPr>
        <sz val="18"/>
        <rFont val="돋움"/>
        <family val="3"/>
        <charset val="129"/>
      </rPr>
      <t>주어진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조건으로</t>
    </r>
    <r>
      <rPr>
        <sz val="18"/>
        <rFont val="Arial"/>
        <family val="2"/>
      </rPr>
      <t xml:space="preserve"> Qi </t>
    </r>
    <r>
      <rPr>
        <sz val="18"/>
        <rFont val="돋움"/>
        <family val="3"/>
        <charset val="129"/>
      </rPr>
      <t>값과</t>
    </r>
    <r>
      <rPr>
        <sz val="18"/>
        <rFont val="Arial"/>
        <family val="2"/>
      </rPr>
      <t xml:space="preserve"> Qo </t>
    </r>
    <r>
      <rPr>
        <sz val="18"/>
        <rFont val="돋움"/>
        <family val="3"/>
        <charset val="129"/>
      </rPr>
      <t>값을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계산하여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비교하여</t>
    </r>
    <r>
      <rPr>
        <sz val="18"/>
        <rFont val="Arial"/>
        <family val="2"/>
      </rPr>
      <t xml:space="preserve"> |(Qi - Qo)/Qi|&lt;0.01 </t>
    </r>
    <r>
      <rPr>
        <sz val="18"/>
        <rFont val="돋움"/>
        <family val="3"/>
        <charset val="129"/>
      </rPr>
      <t>정도가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때까지</t>
    </r>
    <r>
      <rPr>
        <sz val="18"/>
        <rFont val="Arial"/>
        <family val="2"/>
      </rPr>
      <t xml:space="preserve"> Ts </t>
    </r>
    <r>
      <rPr>
        <sz val="18"/>
        <rFont val="돋움"/>
        <family val="3"/>
        <charset val="129"/>
      </rPr>
      <t>값을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변화시키면서</t>
    </r>
    <phoneticPr fontId="1" type="noConversion"/>
  </si>
  <si>
    <r>
      <rPr>
        <sz val="18"/>
        <rFont val="돋움"/>
        <family val="3"/>
        <charset val="129"/>
      </rPr>
      <t>반복계산을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하여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구한다</t>
    </r>
    <r>
      <rPr>
        <sz val="18"/>
        <rFont val="Arial"/>
        <family val="2"/>
      </rPr>
      <t xml:space="preserve">. </t>
    </r>
    <r>
      <rPr>
        <sz val="18"/>
        <rFont val="돋움"/>
        <family val="3"/>
        <charset val="129"/>
      </rPr>
      <t>그리고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단위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길이당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열손실을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계산한다</t>
    </r>
    <r>
      <rPr>
        <sz val="18"/>
        <rFont val="Arial"/>
        <family val="2"/>
      </rPr>
      <t xml:space="preserve">. Qi, Qo </t>
    </r>
    <phoneticPr fontId="1" type="noConversion"/>
  </si>
  <si>
    <r>
      <t xml:space="preserve">4. Piping </t>
    </r>
    <r>
      <rPr>
        <sz val="20"/>
        <rFont val="돋움"/>
        <family val="3"/>
        <charset val="129"/>
      </rPr>
      <t>양식</t>
    </r>
    <r>
      <rPr>
        <sz val="20"/>
        <rFont val="Arial"/>
        <family val="2"/>
      </rPr>
      <t xml:space="preserve">_ hydraulic </t>
    </r>
    <phoneticPr fontId="1" type="noConversion"/>
  </si>
  <si>
    <t>주의</t>
    <phoneticPr fontId="1" type="noConversion"/>
  </si>
  <si>
    <r>
      <t>3.Inlet temperature</t>
    </r>
    <r>
      <rPr>
        <sz val="10"/>
        <rFont val="돋움"/>
        <family val="3"/>
        <charset val="129"/>
      </rPr>
      <t>가</t>
    </r>
    <r>
      <rPr>
        <sz val="10"/>
        <rFont val="Arial"/>
        <family val="2"/>
      </rPr>
      <t xml:space="preserve"> Airtemperature</t>
    </r>
    <r>
      <rPr>
        <sz val="10"/>
        <rFont val="돋움"/>
        <family val="3"/>
        <charset val="129"/>
      </rPr>
      <t>와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가까우면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에러날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있다</t>
    </r>
    <r>
      <rPr>
        <sz val="10"/>
        <rFont val="Arial"/>
        <family val="2"/>
      </rPr>
      <t xml:space="preserve">. </t>
    </r>
    <phoneticPr fontId="1" type="noConversion"/>
  </si>
  <si>
    <t xml:space="preserve">  Burial Depth</t>
  </si>
  <si>
    <r>
      <t xml:space="preserve">  </t>
    </r>
    <r>
      <rPr>
        <sz val="9"/>
        <color rgb="FF0000FF"/>
        <rFont val="맑은 고딕"/>
        <family val="3"/>
        <charset val="129"/>
      </rPr>
      <t>Δ</t>
    </r>
    <r>
      <rPr>
        <sz val="9"/>
        <color rgb="FF0000FF"/>
        <rFont val="Arial"/>
        <family val="2"/>
      </rPr>
      <t>T</t>
    </r>
  </si>
  <si>
    <t xml:space="preserve"> Ground temperature </t>
  </si>
  <si>
    <t xml:space="preserve">  PIPE LINE</t>
    <phoneticPr fontId="1" type="noConversion"/>
  </si>
  <si>
    <t>EQUIP</t>
    <phoneticPr fontId="1" type="noConversion"/>
  </si>
  <si>
    <t>NO</t>
    <phoneticPr fontId="1" type="noConversion"/>
  </si>
  <si>
    <t>BARE</t>
  </si>
  <si>
    <t>BARE</t>
    <phoneticPr fontId="1" type="noConversion"/>
  </si>
  <si>
    <t xml:space="preserve">  Insulation Outside Dia</t>
  </si>
  <si>
    <t>For bare pipe</t>
    <phoneticPr fontId="1" type="noConversion"/>
  </si>
  <si>
    <t>For buried pipe</t>
    <phoneticPr fontId="1" type="noConversion"/>
  </si>
  <si>
    <t>EQUIP</t>
  </si>
  <si>
    <t xml:space="preserve">lb/hr </t>
    <phoneticPr fontId="1" type="noConversion"/>
  </si>
  <si>
    <t xml:space="preserve">inch </t>
    <phoneticPr fontId="1" type="noConversion"/>
  </si>
  <si>
    <t xml:space="preserve">ft </t>
    <phoneticPr fontId="1" type="noConversion"/>
  </si>
  <si>
    <t xml:space="preserve">  Heated Soil Dia</t>
  </si>
  <si>
    <r>
      <t>Btu/lb</t>
    </r>
    <r>
      <rPr>
        <sz val="9"/>
        <color rgb="FF0000FF"/>
        <rFont val="맑은 고딕"/>
        <family val="3"/>
        <charset val="129"/>
      </rPr>
      <t>℉</t>
    </r>
    <r>
      <rPr>
        <sz val="9"/>
        <color rgb="FF0000FF"/>
        <rFont val="Arial"/>
        <family val="2"/>
      </rPr>
      <t>ft</t>
    </r>
    <phoneticPr fontId="1" type="noConversion"/>
  </si>
  <si>
    <t xml:space="preserve">  Pipe Thermal Conductivity</t>
    <phoneticPr fontId="1" type="noConversion"/>
  </si>
  <si>
    <t xml:space="preserve">  Insulation Conductivity</t>
    <phoneticPr fontId="1" type="noConversion"/>
  </si>
  <si>
    <t xml:space="preserve">  Soil Thermal Conductivity</t>
    <phoneticPr fontId="1" type="noConversion"/>
  </si>
  <si>
    <t>계절</t>
    <phoneticPr fontId="1" type="noConversion"/>
  </si>
  <si>
    <r>
      <t>INSULATION MATERIAL (YES</t>
    </r>
    <r>
      <rPr>
        <b/>
        <sz val="10"/>
        <rFont val="돋움"/>
        <family val="3"/>
        <charset val="129"/>
      </rPr>
      <t>일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)</t>
    </r>
  </si>
  <si>
    <t xml:space="preserve">MARTERIAL </t>
  </si>
  <si>
    <t>A</t>
  </si>
  <si>
    <t>B</t>
  </si>
  <si>
    <t>EMISSIVITY</t>
    <phoneticPr fontId="1" type="noConversion"/>
  </si>
  <si>
    <t>EQUIPMENT (Btu/h)</t>
    <phoneticPr fontId="1" type="noConversion"/>
  </si>
  <si>
    <t>Equipment name</t>
    <phoneticPr fontId="1" type="noConversion"/>
  </si>
  <si>
    <r>
      <t>Temp of Stream (</t>
    </r>
    <r>
      <rPr>
        <b/>
        <sz val="10"/>
        <rFont val="돋움"/>
        <family val="3"/>
        <charset val="129"/>
      </rPr>
      <t>℉</t>
    </r>
    <r>
      <rPr>
        <b/>
        <sz val="10"/>
        <rFont val="Arial"/>
        <family val="2"/>
      </rPr>
      <t>)</t>
    </r>
    <phoneticPr fontId="1" type="noConversion"/>
  </si>
  <si>
    <t>HORIZONTAL PLATES, WARMER THAN AIR, FACING UPWARD</t>
    <phoneticPr fontId="1" type="noConversion"/>
  </si>
  <si>
    <t>HORIZONTAL PLATES, WARMER THAN AIR, FACING DOWNWARD</t>
    <phoneticPr fontId="1" type="noConversion"/>
  </si>
  <si>
    <t>HORIZONTAL PLATES, COOLER THAN AIR, FACING DOWNWARD</t>
    <phoneticPr fontId="1" type="noConversion"/>
  </si>
  <si>
    <t>HORIZONTAL PLATES, COOLER THAN AIR, FACING UPWARD</t>
    <phoneticPr fontId="1" type="noConversion"/>
  </si>
  <si>
    <r>
      <t>PIPE MATERIAL (YES</t>
    </r>
    <r>
      <rPr>
        <b/>
        <sz val="10"/>
        <rFont val="돋움"/>
        <family val="3"/>
        <charset val="129"/>
      </rPr>
      <t>일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)</t>
    </r>
  </si>
  <si>
    <t xml:space="preserve">℉ </t>
    <phoneticPr fontId="1" type="noConversion"/>
  </si>
  <si>
    <r>
      <t xml:space="preserve">System Engineering guide Buried pipe </t>
    </r>
    <r>
      <rPr>
        <sz val="18"/>
        <rFont val="돋움"/>
        <family val="3"/>
        <charset val="129"/>
      </rPr>
      <t>열손실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및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유체온도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하강</t>
    </r>
    <r>
      <rPr>
        <sz val="18"/>
        <rFont val="Arial"/>
        <family val="2"/>
      </rPr>
      <t xml:space="preserve"> </t>
    </r>
    <phoneticPr fontId="1" type="noConversion"/>
  </si>
  <si>
    <r>
      <t>AMOSITE ASBESTOS CLASS1 (T&lt;400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</si>
  <si>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AMOSITE ASBESTOS CLASS1 (T&gt;400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</si>
  <si>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AMOSITE ASBESTOS CLASS2 (T&lt;400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</si>
  <si>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AMOSITE ASBESTOS CLASS2 (T&gt;400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</si>
  <si>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t>PERITE, EXPANDED</t>
    <phoneticPr fontId="1" type="noConversion"/>
  </si>
  <si>
    <t>DATE:</t>
    <phoneticPr fontId="1" type="noConversion"/>
  </si>
  <si>
    <t>겨울</t>
    <phoneticPr fontId="1" type="noConversion"/>
  </si>
  <si>
    <t>GLASS, CULLULAR</t>
    <phoneticPr fontId="1" type="noConversion"/>
  </si>
  <si>
    <r>
      <rPr>
        <sz val="10"/>
        <rFont val="돋움"/>
        <family val="3"/>
        <charset val="129"/>
      </rPr>
      <t>얘만</t>
    </r>
    <r>
      <rPr>
        <sz val="10"/>
        <rFont val="Arial"/>
        <family val="2"/>
      </rPr>
      <t xml:space="preserve"> k=0.2501*exp(0.00209*T)</t>
    </r>
    <phoneticPr fontId="1" type="noConversion"/>
  </si>
  <si>
    <t>GLASS, FIBER</t>
    <phoneticPr fontId="1" type="noConversion"/>
  </si>
  <si>
    <t>MINERAL FIBER A (T&lt;75˚F)</t>
  </si>
  <si>
    <t>MINERAL FIBER A (75˚F&lt;T&lt;400˚F)</t>
  </si>
  <si>
    <t>MINERAL FIBER B (T&lt;850˚F)</t>
  </si>
  <si>
    <t>MINERAL FIBER C (T&lt;200˚F)</t>
  </si>
  <si>
    <t>MINERAL FIBER C (200˚F&lt;T&lt;300˚F)</t>
  </si>
  <si>
    <t>MINERAL FIBER C (300˚F&lt;T&lt;1000˚F)</t>
  </si>
  <si>
    <t>MINERAL FIBER D (T&lt;700˚F)</t>
  </si>
  <si>
    <t>MINERAL FIBER D (700˚F&lt;T&lt;1800˚F)</t>
  </si>
  <si>
    <r>
      <t>MINERAL WOOL (T&lt;300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</si>
  <si>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MINERAL WOOL (300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F&lt;T&lt;500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</si>
  <si>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MINERAL WOOL (500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F&lt;T&lt;1800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</si>
  <si>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SUPER CALCUIM SILICATE (T&lt;500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</si>
  <si>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SUPER CALCUIM SILICATE  (500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F&lt;T&lt;700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</si>
  <si>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CALCUIM SILICATE (T&lt;500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</si>
  <si>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CALCUIM SILICATE (500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F&lt;T&lt;700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</si>
  <si>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CALCUIM SILICATE  (700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F&lt;T&lt;1200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</si>
  <si>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SUPER CALCUIM SILICATE  (700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F&lt;T&lt;1700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</si>
  <si>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DIAOMACEUOS EARTH CLASS 1  (T&lt;750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</si>
  <si>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DIAOMACEUOS EARTH CLASS 1 (750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F&lt;T&lt;1600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</si>
  <si>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r>
      <t>DIAOMACEUOS EARTH CLASS 2 (T&lt;1900</t>
    </r>
    <r>
      <rPr>
        <sz val="10"/>
        <rFont val="돋움"/>
        <family val="3"/>
        <charset val="129"/>
      </rPr>
      <t>˚</t>
    </r>
    <r>
      <rPr>
        <sz val="10"/>
        <rFont val="Arial"/>
        <family val="2"/>
      </rPr>
      <t>F)</t>
    </r>
    <phoneticPr fontId="1" type="noConversion"/>
  </si>
  <si>
    <t>INSULATION THERMAL CONDUCTIVITY  (Btu/hr ft)</t>
    <phoneticPr fontId="1" type="noConversion"/>
  </si>
  <si>
    <t>봄</t>
  </si>
  <si>
    <t>봄</t>
    <phoneticPr fontId="1" type="noConversion"/>
  </si>
  <si>
    <t>가을</t>
    <phoneticPr fontId="1" type="noConversion"/>
  </si>
  <si>
    <t>BURIED</t>
  </si>
  <si>
    <t>BURIED</t>
    <phoneticPr fontId="1" type="noConversion"/>
  </si>
  <si>
    <r>
      <rPr>
        <sz val="10"/>
        <rFont val="돋움"/>
        <family val="3"/>
        <charset val="129"/>
      </rPr>
      <t>발열량</t>
    </r>
    <r>
      <rPr>
        <sz val="10"/>
        <rFont val="Arial"/>
        <family val="2"/>
      </rPr>
      <t xml:space="preserve"> (Btu/hr)</t>
    </r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</si>
  <si>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</si>
  <si>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</si>
  <si>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</si>
  <si>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NO</t>
  </si>
  <si>
    <t>NO</t>
    <phoneticPr fontId="1" type="noConversion"/>
  </si>
  <si>
    <t xml:space="preserve">  Insulation Thickness</t>
    <phoneticPr fontId="1" type="noConversion"/>
  </si>
  <si>
    <t>ADMIRALTY</t>
    <phoneticPr fontId="1" type="noConversion"/>
  </si>
  <si>
    <t>NAVAL BRASS</t>
    <phoneticPr fontId="1" type="noConversion"/>
  </si>
  <si>
    <t>A</t>
    <phoneticPr fontId="1" type="noConversion"/>
  </si>
  <si>
    <t>B</t>
    <phoneticPr fontId="1" type="noConversion"/>
  </si>
  <si>
    <r>
      <t>CARBON STEEL (T&lt;1400</t>
    </r>
    <r>
      <rPr>
        <sz val="10"/>
        <rFont val="돋움"/>
        <family val="3"/>
        <charset val="129"/>
      </rPr>
      <t>℉</t>
    </r>
    <r>
      <rPr>
        <sz val="10"/>
        <rFont val="Arial"/>
        <family val="2"/>
      </rPr>
      <t>)</t>
    </r>
    <phoneticPr fontId="1" type="noConversion"/>
  </si>
  <si>
    <t>CARBON STEEL (T&lt;1400℉)</t>
  </si>
  <si>
    <t>D</t>
    <phoneticPr fontId="1" type="noConversion"/>
  </si>
  <si>
    <t xml:space="preserve">Pipe termal conductivity     </t>
    <phoneticPr fontId="1" type="noConversion"/>
  </si>
  <si>
    <t>(Btu/hr ft)</t>
    <phoneticPr fontId="1" type="noConversion"/>
  </si>
  <si>
    <t>C</t>
    <phoneticPr fontId="1" type="noConversion"/>
  </si>
  <si>
    <r>
      <t>TP 304 STN STL (T&lt;1500</t>
    </r>
    <r>
      <rPr>
        <sz val="10"/>
        <rFont val="돋움"/>
        <family val="3"/>
        <charset val="129"/>
      </rPr>
      <t>℉</t>
    </r>
    <r>
      <rPr>
        <sz val="10"/>
        <rFont val="Arial"/>
        <family val="2"/>
      </rPr>
      <t>)</t>
    </r>
    <phoneticPr fontId="1" type="noConversion"/>
  </si>
  <si>
    <t>PUMP</t>
    <phoneticPr fontId="1" type="noConversion"/>
  </si>
  <si>
    <t>Insulation Thermal conductivity</t>
  </si>
  <si>
    <t>5. Exxon Mobil section XVI - A, THERMAL INSULATION</t>
    <phoneticPr fontId="1" type="noConversion"/>
  </si>
  <si>
    <t>6. TEMA (8th 1999) Standards Of The Tubular Exchanger</t>
    <phoneticPr fontId="1" type="noConversion"/>
  </si>
  <si>
    <t>Thermal conductivity of Metal</t>
    <phoneticPr fontId="1" type="noConversion"/>
  </si>
  <si>
    <r>
      <t xml:space="preserve">4. </t>
    </r>
    <r>
      <rPr>
        <sz val="20"/>
        <rFont val="돋움"/>
        <family val="3"/>
        <charset val="129"/>
      </rPr>
      <t>총괄열전달</t>
    </r>
    <r>
      <rPr>
        <sz val="20"/>
        <rFont val="Arial"/>
        <family val="2"/>
      </rPr>
      <t xml:space="preserve"> </t>
    </r>
    <r>
      <rPr>
        <sz val="20"/>
        <rFont val="돋움"/>
        <family val="3"/>
        <charset val="129"/>
      </rPr>
      <t>계수</t>
    </r>
    <r>
      <rPr>
        <sz val="20"/>
        <rFont val="Arial"/>
        <family val="2"/>
      </rPr>
      <t xml:space="preserve">(U) </t>
    </r>
    <r>
      <rPr>
        <sz val="20"/>
        <rFont val="돋움"/>
        <family val="3"/>
        <charset val="129"/>
      </rPr>
      <t>및</t>
    </r>
    <r>
      <rPr>
        <sz val="20"/>
        <rFont val="Arial"/>
        <family val="2"/>
      </rPr>
      <t xml:space="preserve"> </t>
    </r>
    <r>
      <rPr>
        <sz val="20"/>
        <rFont val="돋움"/>
        <family val="3"/>
        <charset val="129"/>
      </rPr>
      <t>열손실</t>
    </r>
    <r>
      <rPr>
        <sz val="20"/>
        <rFont val="Arial"/>
        <family val="2"/>
      </rPr>
      <t xml:space="preserve"> </t>
    </r>
    <phoneticPr fontId="1" type="noConversion"/>
  </si>
  <si>
    <t>Insulation (o)</t>
  </si>
  <si>
    <t>=</t>
  </si>
  <si>
    <t>+</t>
  </si>
  <si>
    <t>[</t>
  </si>
  <si>
    <t>ln(do/d)</t>
  </si>
  <si>
    <t>ln(di/do)</t>
  </si>
  <si>
    <t>ln(ds/di)</t>
  </si>
  <si>
    <t>]</t>
  </si>
  <si>
    <t>hi</t>
  </si>
  <si>
    <r>
      <t>k</t>
    </r>
    <r>
      <rPr>
        <vertAlign val="subscript"/>
        <sz val="18"/>
        <rFont val="Arial"/>
        <family val="2"/>
      </rPr>
      <t>p</t>
    </r>
  </si>
  <si>
    <r>
      <t>k</t>
    </r>
    <r>
      <rPr>
        <vertAlign val="subscript"/>
        <sz val="18"/>
        <rFont val="Arial"/>
        <family val="2"/>
      </rPr>
      <t>i</t>
    </r>
  </si>
  <si>
    <r>
      <t>k</t>
    </r>
    <r>
      <rPr>
        <vertAlign val="subscript"/>
        <sz val="18"/>
        <rFont val="Arial"/>
        <family val="2"/>
      </rPr>
      <t>s</t>
    </r>
  </si>
  <si>
    <t>Insulation (x)</t>
  </si>
  <si>
    <t>ln(ds/do)</t>
  </si>
  <si>
    <t>d: Pipe Id(inch)</t>
  </si>
  <si>
    <t>kp: Pipe Thermal Conductivity</t>
  </si>
  <si>
    <t>do: Pipe Od(inch)</t>
  </si>
  <si>
    <t xml:space="preserve">ki: Insulation Thermal conductivity </t>
  </si>
  <si>
    <t>di: Insulation Od(inch)</t>
  </si>
  <si>
    <r>
      <t>ks: Soil Thermal Conductivity (0.2~1.0 Btu/hr.ft.</t>
    </r>
    <r>
      <rPr>
        <sz val="18"/>
        <rFont val="돋움"/>
        <family val="3"/>
        <charset val="129"/>
      </rPr>
      <t>˚</t>
    </r>
    <r>
      <rPr>
        <sz val="18"/>
        <rFont val="Arial"/>
        <family val="2"/>
      </rPr>
      <t>F)</t>
    </r>
  </si>
  <si>
    <t>ds: Heated Soil Dia = 3 x do</t>
  </si>
  <si>
    <r>
      <t>Q = U x A x (T</t>
    </r>
    <r>
      <rPr>
        <vertAlign val="subscript"/>
        <sz val="18"/>
        <rFont val="Arial"/>
        <family val="2"/>
      </rPr>
      <t>F</t>
    </r>
    <r>
      <rPr>
        <sz val="18"/>
        <rFont val="Arial"/>
        <family val="2"/>
      </rPr>
      <t xml:space="preserve"> - T</t>
    </r>
    <r>
      <rPr>
        <vertAlign val="subscript"/>
        <sz val="18"/>
        <rFont val="Arial"/>
        <family val="2"/>
      </rPr>
      <t>S</t>
    </r>
    <r>
      <rPr>
        <sz val="18"/>
        <rFont val="Arial"/>
        <family val="2"/>
      </rPr>
      <t>)</t>
    </r>
  </si>
  <si>
    <r>
      <t>T</t>
    </r>
    <r>
      <rPr>
        <vertAlign val="subscript"/>
        <sz val="18"/>
        <rFont val="Arial"/>
        <family val="2"/>
      </rPr>
      <t>F</t>
    </r>
    <r>
      <rPr>
        <sz val="18"/>
        <rFont val="Arial"/>
        <family val="2"/>
      </rPr>
      <t xml:space="preserve">: </t>
    </r>
    <r>
      <rPr>
        <sz val="18"/>
        <rFont val="돋움"/>
        <family val="3"/>
        <charset val="129"/>
      </rPr>
      <t>유체온도</t>
    </r>
  </si>
  <si>
    <t>A: Heat Transfer Area</t>
  </si>
  <si>
    <r>
      <t>T</t>
    </r>
    <r>
      <rPr>
        <vertAlign val="subscript"/>
        <sz val="18"/>
        <rFont val="Arial"/>
        <family val="2"/>
      </rPr>
      <t>S</t>
    </r>
    <r>
      <rPr>
        <sz val="18"/>
        <rFont val="Arial"/>
        <family val="2"/>
      </rPr>
      <t xml:space="preserve">: </t>
    </r>
    <r>
      <rPr>
        <sz val="18"/>
        <rFont val="돋움"/>
        <family val="3"/>
        <charset val="129"/>
      </rPr>
      <t>지중온도</t>
    </r>
  </si>
  <si>
    <r>
      <t>A=</t>
    </r>
    <r>
      <rPr>
        <sz val="18"/>
        <rFont val="맑은 고딕"/>
        <family val="3"/>
        <charset val="129"/>
      </rPr>
      <t>π</t>
    </r>
    <r>
      <rPr>
        <sz val="18"/>
        <rFont val="Arial"/>
        <family val="2"/>
      </rPr>
      <t>x d(mean)/12 x L</t>
    </r>
  </si>
  <si>
    <t>L: Pipe length, d(mean) = (d+ds)/2</t>
  </si>
  <si>
    <t>2) For Buried</t>
    <phoneticPr fontId="1" type="noConversion"/>
  </si>
  <si>
    <t>Ui</t>
    <phoneticPr fontId="1" type="noConversion"/>
  </si>
  <si>
    <t>di</t>
    <phoneticPr fontId="1" type="noConversion"/>
  </si>
  <si>
    <t>1) For Bare</t>
    <phoneticPr fontId="1" type="noConversion"/>
  </si>
  <si>
    <t>Uo</t>
    <phoneticPr fontId="1" type="noConversion"/>
  </si>
  <si>
    <t>do</t>
    <phoneticPr fontId="1" type="noConversion"/>
  </si>
  <si>
    <t xml:space="preserve">di * hi </t>
    <phoneticPr fontId="1" type="noConversion"/>
  </si>
  <si>
    <t>ho</t>
    <phoneticPr fontId="1" type="noConversion"/>
  </si>
  <si>
    <r>
      <t xml:space="preserve">Ao = </t>
    </r>
    <r>
      <rPr>
        <sz val="18"/>
        <rFont val="맑은 고딕"/>
        <family val="3"/>
        <charset val="129"/>
      </rPr>
      <t>π</t>
    </r>
    <r>
      <rPr>
        <sz val="15.3"/>
        <rFont val="Arial"/>
        <family val="2"/>
      </rPr>
      <t xml:space="preserve"> x</t>
    </r>
    <r>
      <rPr>
        <sz val="18"/>
        <rFont val="Arial"/>
        <family val="2"/>
      </rPr>
      <t xml:space="preserve"> di/12 x L</t>
    </r>
    <phoneticPr fontId="1" type="noConversion"/>
  </si>
  <si>
    <r>
      <t xml:space="preserve"> PIPE Thermal Conductivity </t>
    </r>
    <r>
      <rPr>
        <b/>
        <sz val="9"/>
        <rFont val="돋움"/>
        <family val="3"/>
        <charset val="129"/>
      </rPr>
      <t>상수</t>
    </r>
    <phoneticPr fontId="1" type="noConversion"/>
  </si>
  <si>
    <r>
      <t xml:space="preserve"> Insulation Thermal Conductivity </t>
    </r>
    <r>
      <rPr>
        <b/>
        <sz val="9"/>
        <rFont val="돋움"/>
        <family val="3"/>
        <charset val="129"/>
      </rPr>
      <t>상수</t>
    </r>
    <phoneticPr fontId="1" type="noConversion"/>
  </si>
  <si>
    <t>NO</t>
    <phoneticPr fontId="1" type="noConversion"/>
  </si>
  <si>
    <r>
      <t>Btu/lb</t>
    </r>
    <r>
      <rPr>
        <sz val="9"/>
        <color theme="1"/>
        <rFont val="맑은 고딕"/>
        <family val="3"/>
        <charset val="129"/>
      </rPr>
      <t>℉</t>
    </r>
    <r>
      <rPr>
        <sz val="9"/>
        <color theme="1"/>
        <rFont val="Arial"/>
        <family val="2"/>
      </rPr>
      <t>ft2</t>
    </r>
    <phoneticPr fontId="1" type="noConversion"/>
  </si>
  <si>
    <r>
      <t>Q = Uo x Ao x (T</t>
    </r>
    <r>
      <rPr>
        <vertAlign val="subscript"/>
        <sz val="18"/>
        <rFont val="Arial"/>
        <family val="2"/>
      </rPr>
      <t>Suf</t>
    </r>
    <r>
      <rPr>
        <sz val="18"/>
        <rFont val="Arial"/>
        <family val="2"/>
      </rPr>
      <t xml:space="preserve"> - T</t>
    </r>
    <r>
      <rPr>
        <vertAlign val="subscript"/>
        <sz val="18"/>
        <rFont val="Arial"/>
        <family val="2"/>
      </rPr>
      <t>A</t>
    </r>
    <r>
      <rPr>
        <sz val="18"/>
        <rFont val="Arial"/>
        <family val="2"/>
      </rPr>
      <t>)</t>
    </r>
    <phoneticPr fontId="1" type="noConversion"/>
  </si>
  <si>
    <t>Overall Coefficient</t>
    <phoneticPr fontId="1" type="noConversion"/>
  </si>
  <si>
    <t>ROOFING</t>
  </si>
  <si>
    <r>
      <rPr>
        <sz val="10"/>
        <rFont val="돋움"/>
        <family val="3"/>
        <charset val="129"/>
      </rPr>
      <t>오류가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날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경우</t>
    </r>
    <r>
      <rPr>
        <sz val="10"/>
        <rFont val="Arial"/>
        <family val="2"/>
      </rPr>
      <t xml:space="preserve"> </t>
    </r>
    <phoneticPr fontId="1" type="noConversion"/>
  </si>
  <si>
    <r>
      <t>FLOW.CAL</t>
    </r>
    <r>
      <rPr>
        <sz val="10"/>
        <rFont val="돋움"/>
        <family val="3"/>
        <charset val="129"/>
      </rPr>
      <t>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가서</t>
    </r>
    <r>
      <rPr>
        <sz val="10"/>
        <rFont val="Arial"/>
        <family val="2"/>
      </rPr>
      <t xml:space="preserve"> COMPONENT</t>
    </r>
    <r>
      <rPr>
        <sz val="10"/>
        <rFont val="돋움"/>
        <family val="3"/>
        <charset val="129"/>
      </rPr>
      <t>를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넣었다가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다시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뺀다</t>
    </r>
    <r>
      <rPr>
        <sz val="10"/>
        <rFont val="Arial"/>
        <family val="2"/>
      </rPr>
      <t xml:space="preserve">. </t>
    </r>
    <phoneticPr fontId="1" type="noConversion"/>
  </si>
</sst>
</file>

<file path=xl/styles.xml><?xml version="1.0" encoding="utf-8"?>
<styleSheet xmlns="http://schemas.openxmlformats.org/spreadsheetml/2006/main">
  <numFmts count="13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_-* #,##0\ _F_B_-;\-* #,##0\ _F_B_-;_-* &quot;-&quot;\ _F_B_-;_-@_-"/>
    <numFmt numFmtId="177" formatCode="_-* #,##0.00\ _F_B_-;\-* #,##0.00\ _F_B_-;_-* &quot;-&quot;??\ _F_B_-;_-@_-"/>
    <numFmt numFmtId="178" formatCode="0.0"/>
    <numFmt numFmtId="179" formatCode="0.000"/>
    <numFmt numFmtId="180" formatCode="#,##0.0"/>
    <numFmt numFmtId="181" formatCode="0.0000"/>
    <numFmt numFmtId="182" formatCode="#,##0.0000"/>
    <numFmt numFmtId="183" formatCode="0.000_ "/>
    <numFmt numFmtId="184" formatCode="0_ "/>
    <numFmt numFmtId="185" formatCode="#,##0.000"/>
  </numFmts>
  <fonts count="55">
    <font>
      <sz val="10"/>
      <name val="Arial"/>
      <family val="2"/>
    </font>
    <font>
      <sz val="8"/>
      <name val="돋움"/>
      <family val="3"/>
      <charset val="129"/>
    </font>
    <font>
      <b/>
      <sz val="20"/>
      <color indexed="8"/>
      <name val="Helv"/>
      <family val="2"/>
    </font>
    <font>
      <sz val="20"/>
      <color indexed="8"/>
      <name val="Helv"/>
      <family val="2"/>
    </font>
    <font>
      <sz val="12"/>
      <color indexed="8"/>
      <name val="Helv"/>
      <family val="2"/>
    </font>
    <font>
      <sz val="12"/>
      <color indexed="24"/>
      <name val="Arial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10"/>
      <name val="돋움"/>
      <family val="3"/>
      <charset val="129"/>
    </font>
    <font>
      <sz val="9"/>
      <color rgb="FF0000FF"/>
      <name val="Arial"/>
      <family val="2"/>
    </font>
    <font>
      <sz val="12"/>
      <name val="돋움"/>
      <family val="3"/>
      <charset val="129"/>
    </font>
    <font>
      <sz val="11"/>
      <name val="Arial"/>
      <family val="2"/>
    </font>
    <font>
      <sz val="10"/>
      <color rgb="FF0000FF"/>
      <name val="Arial"/>
      <family val="2"/>
    </font>
    <font>
      <i/>
      <sz val="10"/>
      <name val="돋움"/>
      <family val="3"/>
      <charset val="129"/>
    </font>
    <font>
      <sz val="10"/>
      <color indexed="12"/>
      <name val="돋움"/>
      <family val="3"/>
      <charset val="129"/>
    </font>
    <font>
      <b/>
      <sz val="10"/>
      <name val="돋움"/>
      <family val="3"/>
      <charset val="129"/>
    </font>
    <font>
      <sz val="10"/>
      <color theme="1"/>
      <name val="Arial"/>
      <family val="2"/>
    </font>
    <font>
      <sz val="9"/>
      <color rgb="FF0000FF"/>
      <name val="맑은 고딕"/>
      <family val="3"/>
      <charset val="129"/>
    </font>
    <font>
      <sz val="10"/>
      <color indexed="12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12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rgb="FF0000FF"/>
      <name val="맑은 고딕"/>
      <family val="3"/>
      <charset val="129"/>
    </font>
    <font>
      <sz val="15"/>
      <name val="Arial"/>
      <family val="2"/>
    </font>
    <font>
      <sz val="10"/>
      <color rgb="FF333333"/>
      <name val="Tahoma"/>
      <family val="2"/>
    </font>
    <font>
      <sz val="12"/>
      <color indexed="8"/>
      <name val="돋움"/>
      <family val="3"/>
      <charset val="129"/>
    </font>
    <font>
      <sz val="10"/>
      <name val="helv"/>
    </font>
    <font>
      <b/>
      <sz val="7.5"/>
      <color theme="1"/>
      <name val="Arial"/>
      <family val="2"/>
    </font>
    <font>
      <b/>
      <sz val="7.5"/>
      <name val="Arial"/>
      <family val="2"/>
    </font>
    <font>
      <sz val="10"/>
      <color rgb="FF0000FF"/>
      <name val="돋움"/>
      <family val="3"/>
      <charset val="129"/>
    </font>
    <font>
      <sz val="30"/>
      <name val="Arial"/>
      <family val="2"/>
    </font>
    <font>
      <sz val="20"/>
      <name val="Arial"/>
      <family val="2"/>
    </font>
    <font>
      <sz val="25"/>
      <name val="돋움"/>
      <family val="3"/>
      <charset val="129"/>
    </font>
    <font>
      <sz val="18"/>
      <name val="Arial"/>
      <family val="2"/>
    </font>
    <font>
      <sz val="18"/>
      <name val="돋움"/>
      <family val="3"/>
      <charset val="129"/>
    </font>
    <font>
      <sz val="20"/>
      <name val="돋움"/>
      <family val="3"/>
      <charset val="129"/>
    </font>
    <font>
      <sz val="18"/>
      <name val="맑은 고딕"/>
      <family val="3"/>
      <charset val="129"/>
    </font>
    <font>
      <vertAlign val="superscript"/>
      <sz val="18"/>
      <name val="Arial"/>
      <family val="2"/>
    </font>
    <font>
      <sz val="15"/>
      <name val="돋움"/>
      <family val="3"/>
      <charset val="129"/>
    </font>
    <font>
      <sz val="9"/>
      <color rgb="FF0000FF"/>
      <name val="돋움"/>
      <family val="3"/>
      <charset val="129"/>
    </font>
    <font>
      <sz val="14"/>
      <name val="Arial"/>
      <family val="2"/>
    </font>
    <font>
      <b/>
      <sz val="10"/>
      <color theme="1"/>
      <name val="Arial"/>
      <family val="2"/>
    </font>
    <font>
      <b/>
      <sz val="9"/>
      <name val="Arial"/>
      <family val="2"/>
    </font>
    <font>
      <b/>
      <sz val="9"/>
      <name val="돋움"/>
      <family val="3"/>
      <charset val="129"/>
    </font>
    <font>
      <vertAlign val="subscript"/>
      <sz val="18"/>
      <name val="Arial"/>
      <family val="2"/>
    </font>
    <font>
      <sz val="15.3"/>
      <name val="Arial"/>
      <family val="2"/>
    </font>
    <font>
      <sz val="9"/>
      <color theme="1"/>
      <name val="Arial"/>
      <family val="2"/>
    </font>
    <font>
      <sz val="9"/>
      <color theme="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76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">
    <xf numFmtId="0" fontId="0" fillId="0" borderId="0" applyProtection="0"/>
    <xf numFmtId="42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/>
    <xf numFmtId="0" fontId="5" fillId="0" borderId="0"/>
    <xf numFmtId="176" fontId="6" fillId="0" borderId="0" applyFont="0" applyFill="0" applyBorder="0" applyAlignment="0" applyProtection="0"/>
    <xf numFmtId="177" fontId="6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</cellStyleXfs>
  <cellXfs count="552">
    <xf numFmtId="0" fontId="0" fillId="0" borderId="0" xfId="0"/>
    <xf numFmtId="0" fontId="0" fillId="0" borderId="0" xfId="0" applyNumberFormat="1" applyProtection="1">
      <protection locked="0"/>
    </xf>
    <xf numFmtId="0" fontId="3" fillId="0" borderId="0" xfId="0" applyNumberFormat="1" applyFont="1" applyProtection="1">
      <protection locked="0"/>
    </xf>
    <xf numFmtId="0" fontId="4" fillId="2" borderId="1" xfId="0" applyNumberFormat="1" applyFont="1" applyFill="1" applyBorder="1" applyAlignment="1" applyProtection="1">
      <alignment horizontal="center"/>
      <protection locked="0"/>
    </xf>
    <xf numFmtId="0" fontId="4" fillId="2" borderId="2" xfId="0" applyNumberFormat="1" applyFont="1" applyFill="1" applyBorder="1" applyAlignment="1" applyProtection="1">
      <alignment horizontal="center"/>
      <protection locked="0"/>
    </xf>
    <xf numFmtId="0" fontId="4" fillId="2" borderId="3" xfId="0" applyNumberFormat="1" applyFont="1" applyFill="1" applyBorder="1" applyAlignment="1" applyProtection="1">
      <alignment horizontal="center"/>
      <protection locked="0"/>
    </xf>
    <xf numFmtId="0" fontId="0" fillId="0" borderId="4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ont="1" applyFill="1" applyBorder="1" applyAlignment="1" applyProtection="1">
      <alignment horizontal="center"/>
      <protection locked="0"/>
    </xf>
    <xf numFmtId="0" fontId="4" fillId="2" borderId="5" xfId="0" applyNumberFormat="1" applyFont="1" applyFill="1" applyBorder="1" applyAlignment="1" applyProtection="1">
      <protection locked="0"/>
    </xf>
    <xf numFmtId="0" fontId="4" fillId="0" borderId="6" xfId="0" applyNumberFormat="1" applyFont="1" applyFill="1" applyBorder="1" applyAlignment="1" applyProtection="1">
      <protection locked="0"/>
    </xf>
    <xf numFmtId="0" fontId="4" fillId="0" borderId="7" xfId="0" applyNumberFormat="1" applyFont="1" applyFill="1" applyBorder="1" applyAlignment="1" applyProtection="1">
      <protection locked="0"/>
    </xf>
    <xf numFmtId="0" fontId="0" fillId="0" borderId="4" xfId="0" applyNumberFormat="1" applyFont="1" applyFill="1" applyBorder="1" applyAlignment="1" applyProtection="1">
      <protection locked="0"/>
    </xf>
    <xf numFmtId="0" fontId="0" fillId="0" borderId="0" xfId="0" applyNumberFormat="1" applyFont="1" applyFill="1" applyBorder="1" applyAlignment="1" applyProtection="1">
      <protection locked="0"/>
    </xf>
    <xf numFmtId="0" fontId="4" fillId="2" borderId="8" xfId="0" applyNumberFormat="1" applyFont="1" applyFill="1" applyBorder="1" applyAlignment="1" applyProtection="1">
      <protection locked="0"/>
    </xf>
    <xf numFmtId="0" fontId="4" fillId="0" borderId="9" xfId="0" applyNumberFormat="1" applyFont="1" applyFill="1" applyBorder="1" applyAlignment="1" applyProtection="1">
      <protection locked="0"/>
    </xf>
    <xf numFmtId="0" fontId="4" fillId="0" borderId="10" xfId="0" applyNumberFormat="1" applyFont="1" applyFill="1" applyBorder="1" applyAlignment="1" applyProtection="1">
      <protection locked="0"/>
    </xf>
    <xf numFmtId="0" fontId="4" fillId="0" borderId="11" xfId="0" applyNumberFormat="1" applyFont="1" applyBorder="1" applyAlignment="1" applyProtection="1">
      <alignment horizontal="center"/>
      <protection locked="0"/>
    </xf>
    <xf numFmtId="0" fontId="4" fillId="0" borderId="12" xfId="0" applyNumberFormat="1" applyFont="1" applyBorder="1" applyAlignment="1" applyProtection="1">
      <alignment horizontal="center"/>
      <protection locked="0"/>
    </xf>
    <xf numFmtId="0" fontId="4" fillId="0" borderId="13" xfId="0" applyNumberFormat="1" applyFont="1" applyBorder="1" applyAlignment="1" applyProtection="1">
      <alignment horizontal="center"/>
      <protection locked="0"/>
    </xf>
    <xf numFmtId="0" fontId="4" fillId="0" borderId="14" xfId="0" applyNumberFormat="1" applyFont="1" applyBorder="1" applyAlignment="1" applyProtection="1">
      <alignment horizontal="center"/>
      <protection locked="0"/>
    </xf>
    <xf numFmtId="0" fontId="4" fillId="0" borderId="13" xfId="0" quotePrefix="1" applyNumberFormat="1" applyFont="1" applyBorder="1" applyAlignment="1" applyProtection="1">
      <alignment horizontal="center"/>
      <protection locked="0"/>
    </xf>
    <xf numFmtId="0" fontId="4" fillId="0" borderId="15" xfId="0" applyNumberFormat="1" applyFont="1" applyBorder="1" applyAlignment="1" applyProtection="1">
      <alignment horizontal="center"/>
      <protection locked="0"/>
    </xf>
    <xf numFmtId="0" fontId="4" fillId="0" borderId="16" xfId="0" applyNumberFormat="1" applyFont="1" applyBorder="1" applyAlignment="1" applyProtection="1">
      <alignment horizontal="center"/>
      <protection locked="0"/>
    </xf>
    <xf numFmtId="0" fontId="0" fillId="0" borderId="24" xfId="0" applyBorder="1"/>
    <xf numFmtId="0" fontId="0" fillId="0" borderId="27" xfId="0" applyBorder="1"/>
    <xf numFmtId="0" fontId="0" fillId="0" borderId="30" xfId="0" applyBorder="1"/>
    <xf numFmtId="0" fontId="0" fillId="0" borderId="0" xfId="0" applyBorder="1"/>
    <xf numFmtId="0" fontId="0" fillId="3" borderId="0" xfId="0" applyFill="1" applyBorder="1" applyProtection="1">
      <protection locked="0"/>
    </xf>
    <xf numFmtId="0" fontId="10" fillId="3" borderId="0" xfId="0" applyFont="1" applyFill="1" applyBorder="1" applyProtection="1"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Border="1"/>
    <xf numFmtId="0" fontId="9" fillId="0" borderId="45" xfId="0" applyFont="1" applyBorder="1"/>
    <xf numFmtId="179" fontId="12" fillId="0" borderId="6" xfId="5" applyNumberFormat="1" applyFont="1" applyBorder="1" applyAlignment="1">
      <alignment horizontal="center"/>
    </xf>
    <xf numFmtId="179" fontId="12" fillId="0" borderId="48" xfId="5" applyNumberFormat="1" applyFont="1" applyBorder="1" applyAlignment="1">
      <alignment horizontal="center"/>
    </xf>
    <xf numFmtId="178" fontId="11" fillId="0" borderId="0" xfId="0" applyNumberFormat="1" applyFont="1" applyFill="1" applyBorder="1" applyAlignment="1" applyProtection="1">
      <alignment horizontal="center"/>
      <protection locked="0"/>
    </xf>
    <xf numFmtId="0" fontId="11" fillId="0" borderId="45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4" fillId="0" borderId="6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0" fillId="0" borderId="26" xfId="0" applyBorder="1" applyAlignment="1"/>
    <xf numFmtId="0" fontId="0" fillId="0" borderId="27" xfId="0" applyBorder="1" applyAlignment="1"/>
    <xf numFmtId="0" fontId="0" fillId="0" borderId="4" xfId="0" applyFill="1" applyBorder="1" applyAlignment="1"/>
    <xf numFmtId="0" fontId="0" fillId="0" borderId="48" xfId="0" applyBorder="1"/>
    <xf numFmtId="0" fontId="0" fillId="0" borderId="44" xfId="0" applyBorder="1"/>
    <xf numFmtId="0" fontId="0" fillId="0" borderId="45" xfId="0" applyBorder="1"/>
    <xf numFmtId="0" fontId="0" fillId="0" borderId="53" xfId="0" applyBorder="1" applyAlignment="1">
      <alignment horizontal="center" vertical="center"/>
    </xf>
    <xf numFmtId="0" fontId="17" fillId="0" borderId="55" xfId="0" applyFont="1" applyBorder="1" applyAlignment="1">
      <alignment horizontal="left" vertical="center" indent="1"/>
    </xf>
    <xf numFmtId="0" fontId="17" fillId="0" borderId="56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 vertical="center" indent="1"/>
    </xf>
    <xf numFmtId="0" fontId="7" fillId="0" borderId="48" xfId="0" applyFont="1" applyBorder="1" applyAlignment="1">
      <alignment horizontal="center"/>
    </xf>
    <xf numFmtId="2" fontId="0" fillId="0" borderId="48" xfId="0" applyNumberFormat="1" applyFont="1" applyBorder="1" applyAlignment="1">
      <alignment horizontal="center"/>
    </xf>
    <xf numFmtId="0" fontId="17" fillId="0" borderId="21" xfId="0" applyFont="1" applyFill="1" applyBorder="1" applyAlignment="1" applyProtection="1">
      <alignment horizontal="center"/>
      <protection locked="0"/>
    </xf>
    <xf numFmtId="0" fontId="15" fillId="0" borderId="29" xfId="0" applyFont="1" applyBorder="1" applyAlignment="1">
      <alignment horizontal="left" indent="1"/>
    </xf>
    <xf numFmtId="0" fontId="18" fillId="0" borderId="29" xfId="0" applyFont="1" applyBorder="1" applyAlignment="1">
      <alignment horizontal="left" indent="1"/>
    </xf>
    <xf numFmtId="2" fontId="7" fillId="0" borderId="28" xfId="0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26" fillId="0" borderId="0" xfId="0" applyFont="1"/>
    <xf numFmtId="0" fontId="17" fillId="0" borderId="0" xfId="0" applyFont="1"/>
    <xf numFmtId="0" fontId="17" fillId="0" borderId="17" xfId="0" applyFont="1" applyBorder="1"/>
    <xf numFmtId="0" fontId="17" fillId="0" borderId="18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0" fillId="0" borderId="37" xfId="0" applyBorder="1"/>
    <xf numFmtId="0" fontId="17" fillId="0" borderId="49" xfId="0" applyFont="1" applyBorder="1"/>
    <xf numFmtId="0" fontId="0" fillId="0" borderId="57" xfId="0" applyBorder="1"/>
    <xf numFmtId="0" fontId="0" fillId="0" borderId="58" xfId="0" applyBorder="1"/>
    <xf numFmtId="0" fontId="0" fillId="0" borderId="0" xfId="0" applyNumberFormat="1" applyBorder="1" applyAlignment="1">
      <alignment vertical="center"/>
    </xf>
    <xf numFmtId="0" fontId="27" fillId="0" borderId="20" xfId="5" applyFont="1" applyBorder="1"/>
    <xf numFmtId="0" fontId="12" fillId="0" borderId="46" xfId="5" applyFont="1" applyBorder="1" applyAlignment="1">
      <alignment horizontal="center"/>
    </xf>
    <xf numFmtId="0" fontId="0" fillId="0" borderId="18" xfId="0" applyBorder="1"/>
    <xf numFmtId="0" fontId="0" fillId="0" borderId="44" xfId="0" applyBorder="1"/>
    <xf numFmtId="0" fontId="0" fillId="0" borderId="45" xfId="0" applyBorder="1"/>
    <xf numFmtId="0" fontId="0" fillId="0" borderId="52" xfId="0" applyBorder="1"/>
    <xf numFmtId="0" fontId="28" fillId="0" borderId="35" xfId="5" applyFont="1" applyBorder="1" applyAlignment="1">
      <alignment horizontal="left"/>
    </xf>
    <xf numFmtId="0" fontId="0" fillId="0" borderId="22" xfId="0" applyBorder="1" applyAlignment="1">
      <alignment horizontal="center"/>
    </xf>
    <xf numFmtId="0" fontId="15" fillId="0" borderId="30" xfId="5" applyFont="1" applyFill="1" applyBorder="1" applyAlignment="1"/>
    <xf numFmtId="0" fontId="15" fillId="0" borderId="30" xfId="0" applyFont="1" applyBorder="1"/>
    <xf numFmtId="0" fontId="15" fillId="0" borderId="44" xfId="0" applyFont="1" applyBorder="1"/>
    <xf numFmtId="0" fontId="15" fillId="0" borderId="57" xfId="5" applyFont="1" applyFill="1" applyBorder="1" applyAlignment="1">
      <alignment horizontal="right"/>
    </xf>
    <xf numFmtId="0" fontId="18" fillId="0" borderId="57" xfId="0" applyFont="1" applyBorder="1" applyAlignment="1">
      <alignment horizontal="right"/>
    </xf>
    <xf numFmtId="0" fontId="0" fillId="0" borderId="57" xfId="0" applyBorder="1" applyAlignment="1">
      <alignment horizontal="right"/>
    </xf>
    <xf numFmtId="0" fontId="17" fillId="0" borderId="29" xfId="0" applyFont="1" applyBorder="1"/>
    <xf numFmtId="0" fontId="17" fillId="0" borderId="35" xfId="0" applyFont="1" applyBorder="1"/>
    <xf numFmtId="0" fontId="0" fillId="0" borderId="20" xfId="0" applyBorder="1"/>
    <xf numFmtId="0" fontId="0" fillId="0" borderId="59" xfId="0" applyBorder="1" applyAlignment="1">
      <alignment horizontal="right"/>
    </xf>
    <xf numFmtId="0" fontId="0" fillId="0" borderId="62" xfId="0" applyBorder="1"/>
    <xf numFmtId="0" fontId="0" fillId="0" borderId="63" xfId="0" applyBorder="1"/>
    <xf numFmtId="0" fontId="0" fillId="0" borderId="64" xfId="0" applyBorder="1"/>
    <xf numFmtId="0" fontId="0" fillId="0" borderId="61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4" xfId="0" applyBorder="1"/>
    <xf numFmtId="0" fontId="0" fillId="0" borderId="26" xfId="0" applyBorder="1" applyAlignment="1">
      <alignment horizontal="center"/>
    </xf>
    <xf numFmtId="0" fontId="0" fillId="0" borderId="28" xfId="0" applyBorder="1"/>
    <xf numFmtId="0" fontId="0" fillId="0" borderId="6" xfId="0" applyBorder="1" applyAlignment="1">
      <alignment horizontal="center"/>
    </xf>
    <xf numFmtId="2" fontId="22" fillId="0" borderId="48" xfId="5" applyNumberFormat="1" applyFont="1" applyBorder="1" applyAlignment="1">
      <alignment horizontal="center"/>
    </xf>
    <xf numFmtId="179" fontId="7" fillId="0" borderId="48" xfId="0" applyNumberFormat="1" applyFont="1" applyBorder="1" applyAlignment="1">
      <alignment horizontal="center"/>
    </xf>
    <xf numFmtId="181" fontId="7" fillId="0" borderId="48" xfId="0" applyNumberFormat="1" applyFont="1" applyBorder="1" applyAlignment="1">
      <alignment horizontal="center"/>
    </xf>
    <xf numFmtId="182" fontId="12" fillId="0" borderId="48" xfId="9" applyNumberFormat="1" applyFont="1" applyBorder="1" applyAlignment="1">
      <alignment horizontal="center"/>
    </xf>
    <xf numFmtId="0" fontId="18" fillId="4" borderId="48" xfId="0" applyFont="1" applyFill="1" applyBorder="1" applyAlignment="1">
      <alignment horizontal="center"/>
    </xf>
    <xf numFmtId="0" fontId="0" fillId="0" borderId="44" xfId="0" applyBorder="1"/>
    <xf numFmtId="0" fontId="0" fillId="0" borderId="45" xfId="0" applyBorder="1"/>
    <xf numFmtId="0" fontId="0" fillId="0" borderId="57" xfId="0" applyBorder="1" applyAlignment="1">
      <alignment horizontal="right"/>
    </xf>
    <xf numFmtId="0" fontId="0" fillId="0" borderId="33" xfId="0" applyBorder="1"/>
    <xf numFmtId="0" fontId="0" fillId="0" borderId="25" xfId="0" applyBorder="1"/>
    <xf numFmtId="0" fontId="0" fillId="0" borderId="42" xfId="0" applyBorder="1"/>
    <xf numFmtId="0" fontId="0" fillId="0" borderId="38" xfId="0" applyBorder="1"/>
    <xf numFmtId="0" fontId="0" fillId="4" borderId="36" xfId="0" applyFill="1" applyBorder="1"/>
    <xf numFmtId="0" fontId="0" fillId="4" borderId="38" xfId="0" applyFill="1" applyBorder="1"/>
    <xf numFmtId="0" fontId="0" fillId="0" borderId="66" xfId="0" applyBorder="1"/>
    <xf numFmtId="0" fontId="0" fillId="0" borderId="67" xfId="0" applyBorder="1"/>
    <xf numFmtId="0" fontId="0" fillId="0" borderId="65" xfId="0" applyBorder="1"/>
    <xf numFmtId="0" fontId="0" fillId="0" borderId="36" xfId="0" applyBorder="1"/>
    <xf numFmtId="0" fontId="17" fillId="0" borderId="31" xfId="0" applyFont="1" applyBorder="1"/>
    <xf numFmtId="0" fontId="0" fillId="0" borderId="59" xfId="0" applyBorder="1"/>
    <xf numFmtId="0" fontId="30" fillId="0" borderId="0" xfId="0" applyFont="1"/>
    <xf numFmtId="0" fontId="0" fillId="0" borderId="38" xfId="0" applyNumberFormat="1" applyBorder="1"/>
    <xf numFmtId="11" fontId="0" fillId="0" borderId="0" xfId="0" applyNumberFormat="1" applyBorder="1" applyAlignment="1">
      <alignment vertical="center"/>
    </xf>
    <xf numFmtId="0" fontId="0" fillId="0" borderId="45" xfId="0" applyBorder="1"/>
    <xf numFmtId="0" fontId="31" fillId="0" borderId="0" xfId="0" applyFont="1" applyAlignment="1">
      <alignment wrapText="1"/>
    </xf>
    <xf numFmtId="0" fontId="11" fillId="4" borderId="31" xfId="0" applyFont="1" applyFill="1" applyBorder="1" applyAlignment="1">
      <alignment horizontal="center"/>
    </xf>
    <xf numFmtId="0" fontId="11" fillId="4" borderId="30" xfId="0" applyFont="1" applyFill="1" applyBorder="1" applyAlignment="1">
      <alignment horizontal="center"/>
    </xf>
    <xf numFmtId="0" fontId="0" fillId="0" borderId="65" xfId="0" applyFont="1" applyBorder="1"/>
    <xf numFmtId="0" fontId="8" fillId="0" borderId="33" xfId="0" applyFont="1" applyBorder="1"/>
    <xf numFmtId="0" fontId="0" fillId="0" borderId="4" xfId="0" applyFont="1" applyBorder="1"/>
    <xf numFmtId="0" fontId="8" fillId="0" borderId="0" xfId="0" applyFont="1" applyBorder="1"/>
    <xf numFmtId="0" fontId="0" fillId="0" borderId="26" xfId="0" applyBorder="1"/>
    <xf numFmtId="3" fontId="0" fillId="0" borderId="38" xfId="0" applyNumberFormat="1" applyBorder="1"/>
    <xf numFmtId="0" fontId="9" fillId="0" borderId="41" xfId="0" applyFont="1" applyBorder="1" applyAlignment="1">
      <alignment horizontal="left" indent="1"/>
    </xf>
    <xf numFmtId="179" fontId="12" fillId="0" borderId="51" xfId="9" applyNumberFormat="1" applyFont="1" applyFill="1" applyBorder="1" applyAlignment="1">
      <alignment horizontal="center"/>
    </xf>
    <xf numFmtId="0" fontId="0" fillId="0" borderId="0" xfId="0" applyNumberFormat="1" applyAlignment="1" applyProtection="1">
      <protection locked="0"/>
    </xf>
    <xf numFmtId="0" fontId="2" fillId="0" borderId="0" xfId="0" applyNumberFormat="1" applyFont="1" applyAlignment="1" applyProtection="1">
      <protection locked="0"/>
    </xf>
    <xf numFmtId="0" fontId="4" fillId="0" borderId="0" xfId="0" applyNumberFormat="1" applyFont="1" applyFill="1" applyBorder="1" applyAlignment="1" applyProtection="1">
      <protection locked="0"/>
    </xf>
    <xf numFmtId="0" fontId="33" fillId="0" borderId="0" xfId="0" applyNumberFormat="1" applyFont="1" applyFill="1" applyBorder="1" applyProtection="1">
      <protection locked="0"/>
    </xf>
    <xf numFmtId="0" fontId="32" fillId="2" borderId="3" xfId="0" applyNumberFormat="1" applyFont="1" applyFill="1" applyBorder="1" applyAlignment="1" applyProtection="1">
      <alignment horizontal="center"/>
      <protection locked="0"/>
    </xf>
    <xf numFmtId="0" fontId="33" fillId="0" borderId="7" xfId="0" applyNumberFormat="1" applyFont="1" applyBorder="1" applyProtection="1">
      <protection locked="0"/>
    </xf>
    <xf numFmtId="0" fontId="33" fillId="0" borderId="10" xfId="0" applyNumberFormat="1" applyFont="1" applyBorder="1" applyProtection="1">
      <protection locked="0"/>
    </xf>
    <xf numFmtId="0" fontId="0" fillId="0" borderId="29" xfId="0" applyBorder="1" applyAlignment="1">
      <alignment horizontal="center"/>
    </xf>
    <xf numFmtId="179" fontId="0" fillId="0" borderId="0" xfId="0" applyNumberFormat="1"/>
    <xf numFmtId="3" fontId="0" fillId="0" borderId="0" xfId="0" applyNumberFormat="1" applyBorder="1"/>
    <xf numFmtId="0" fontId="0" fillId="0" borderId="63" xfId="0" applyNumberFormat="1" applyBorder="1"/>
    <xf numFmtId="0" fontId="17" fillId="6" borderId="20" xfId="0" applyFont="1" applyFill="1" applyBorder="1" applyAlignment="1" applyProtection="1">
      <alignment horizontal="center"/>
      <protection locked="0"/>
    </xf>
    <xf numFmtId="0" fontId="0" fillId="0" borderId="40" xfId="0" applyBorder="1" applyAlignment="1">
      <alignment horizontal="center"/>
    </xf>
    <xf numFmtId="0" fontId="14" fillId="0" borderId="0" xfId="0" applyFont="1"/>
    <xf numFmtId="0" fontId="20" fillId="0" borderId="31" xfId="0" applyFont="1" applyFill="1" applyBorder="1" applyAlignment="1">
      <alignment horizontal="center"/>
    </xf>
    <xf numFmtId="0" fontId="10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45" xfId="0" applyBorder="1"/>
    <xf numFmtId="0" fontId="0" fillId="0" borderId="52" xfId="0" applyBorder="1"/>
    <xf numFmtId="0" fontId="17" fillId="0" borderId="0" xfId="0" applyFont="1" applyBorder="1" applyAlignment="1">
      <alignment horizontal="center" vertical="center"/>
    </xf>
    <xf numFmtId="0" fontId="17" fillId="0" borderId="61" xfId="0" applyFont="1" applyBorder="1" applyAlignment="1">
      <alignment horizontal="center"/>
    </xf>
    <xf numFmtId="0" fontId="17" fillId="0" borderId="54" xfId="0" applyFont="1" applyBorder="1" applyAlignment="1">
      <alignment horizontal="center" vertical="center"/>
    </xf>
    <xf numFmtId="0" fontId="31" fillId="0" borderId="38" xfId="0" applyFont="1" applyBorder="1" applyAlignment="1">
      <alignment wrapText="1"/>
    </xf>
    <xf numFmtId="0" fontId="0" fillId="0" borderId="37" xfId="0" applyBorder="1" applyAlignment="1">
      <alignment horizontal="center" vertical="center"/>
    </xf>
    <xf numFmtId="0" fontId="17" fillId="0" borderId="22" xfId="0" applyFont="1" applyBorder="1" applyAlignment="1">
      <alignment horizontal="center"/>
    </xf>
    <xf numFmtId="0" fontId="0" fillId="0" borderId="38" xfId="0" applyNumberFormat="1" applyBorder="1" applyAlignment="1">
      <alignment vertical="center"/>
    </xf>
    <xf numFmtId="11" fontId="0" fillId="0" borderId="38" xfId="0" applyNumberFormat="1" applyBorder="1" applyAlignment="1">
      <alignment vertical="center"/>
    </xf>
    <xf numFmtId="0" fontId="0" fillId="0" borderId="63" xfId="0" applyBorder="1" applyAlignment="1">
      <alignment horizontal="center" vertical="center"/>
    </xf>
    <xf numFmtId="0" fontId="0" fillId="0" borderId="63" xfId="0" applyBorder="1" applyAlignment="1">
      <alignment horizontal="center"/>
    </xf>
    <xf numFmtId="0" fontId="17" fillId="0" borderId="19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69" xfId="0" applyBorder="1"/>
    <xf numFmtId="0" fontId="17" fillId="0" borderId="49" xfId="0" applyFont="1" applyBorder="1" applyAlignment="1">
      <alignment horizontal="center" vertical="center"/>
    </xf>
    <xf numFmtId="11" fontId="0" fillId="0" borderId="57" xfId="0" applyNumberFormat="1" applyBorder="1" applyAlignment="1">
      <alignment vertical="center"/>
    </xf>
    <xf numFmtId="0" fontId="36" fillId="0" borderId="57" xfId="0" applyFont="1" applyBorder="1" applyAlignment="1">
      <alignment horizontal="right"/>
    </xf>
    <xf numFmtId="3" fontId="0" fillId="0" borderId="63" xfId="0" applyNumberFormat="1" applyBorder="1"/>
    <xf numFmtId="184" fontId="0" fillId="0" borderId="38" xfId="0" applyNumberFormat="1" applyBorder="1"/>
    <xf numFmtId="184" fontId="0" fillId="0" borderId="0" xfId="0" applyNumberFormat="1"/>
    <xf numFmtId="184" fontId="0" fillId="0" borderId="37" xfId="0" applyNumberFormat="1" applyBorder="1"/>
    <xf numFmtId="184" fontId="0" fillId="0" borderId="63" xfId="0" applyNumberFormat="1" applyBorder="1"/>
    <xf numFmtId="0" fontId="12" fillId="0" borderId="47" xfId="5" applyFont="1" applyBorder="1" applyAlignment="1">
      <alignment horizontal="center"/>
    </xf>
    <xf numFmtId="11" fontId="0" fillId="0" borderId="0" xfId="0" applyNumberFormat="1"/>
    <xf numFmtId="0" fontId="0" fillId="0" borderId="38" xfId="0" applyBorder="1" applyAlignment="1">
      <alignment horizontal="right" vertical="center"/>
    </xf>
    <xf numFmtId="0" fontId="0" fillId="0" borderId="38" xfId="0" applyBorder="1" applyAlignment="1">
      <alignment vertical="center"/>
    </xf>
    <xf numFmtId="0" fontId="0" fillId="0" borderId="0" xfId="0" applyNumberFormat="1"/>
    <xf numFmtId="2" fontId="0" fillId="0" borderId="0" xfId="0" applyNumberFormat="1"/>
    <xf numFmtId="0" fontId="17" fillId="0" borderId="54" xfId="0" applyFont="1" applyBorder="1" applyAlignment="1">
      <alignment horizontal="center"/>
    </xf>
    <xf numFmtId="0" fontId="0" fillId="0" borderId="18" xfId="0" applyBorder="1"/>
    <xf numFmtId="0" fontId="0" fillId="0" borderId="22" xfId="0" applyBorder="1"/>
    <xf numFmtId="0" fontId="0" fillId="0" borderId="44" xfId="0" applyBorder="1"/>
    <xf numFmtId="0" fontId="0" fillId="0" borderId="45" xfId="0" applyBorder="1"/>
    <xf numFmtId="0" fontId="18" fillId="0" borderId="0" xfId="0" applyFont="1" applyFill="1" applyBorder="1" applyAlignment="1">
      <alignment horizontal="center"/>
    </xf>
    <xf numFmtId="181" fontId="18" fillId="0" borderId="0" xfId="5" applyNumberFormat="1" applyFont="1" applyFill="1" applyBorder="1" applyAlignment="1">
      <alignment horizontal="center"/>
    </xf>
    <xf numFmtId="181" fontId="18" fillId="0" borderId="0" xfId="9" applyNumberFormat="1" applyFont="1" applyFill="1" applyBorder="1" applyAlignment="1">
      <alignment horizontal="center"/>
    </xf>
    <xf numFmtId="181" fontId="18" fillId="0" borderId="0" xfId="0" applyNumberFormat="1" applyFont="1" applyFill="1" applyBorder="1" applyAlignment="1">
      <alignment horizontal="center"/>
    </xf>
    <xf numFmtId="0" fontId="0" fillId="0" borderId="17" xfId="0" applyBorder="1"/>
    <xf numFmtId="2" fontId="0" fillId="0" borderId="0" xfId="0" applyNumberFormat="1" applyBorder="1"/>
    <xf numFmtId="179" fontId="0" fillId="0" borderId="37" xfId="0" applyNumberFormat="1" applyBorder="1"/>
    <xf numFmtId="2" fontId="0" fillId="0" borderId="45" xfId="0" applyNumberFormat="1" applyBorder="1"/>
    <xf numFmtId="179" fontId="0" fillId="0" borderId="52" xfId="0" applyNumberFormat="1" applyBorder="1"/>
    <xf numFmtId="0" fontId="0" fillId="0" borderId="39" xfId="0" applyBorder="1"/>
    <xf numFmtId="0" fontId="37" fillId="0" borderId="0" xfId="0" applyFont="1"/>
    <xf numFmtId="0" fontId="38" fillId="0" borderId="0" xfId="0" applyFont="1"/>
    <xf numFmtId="0" fontId="39" fillId="0" borderId="0" xfId="0" applyFont="1"/>
    <xf numFmtId="0" fontId="40" fillId="0" borderId="0" xfId="0" applyFont="1"/>
    <xf numFmtId="0" fontId="14" fillId="0" borderId="0" xfId="0" applyFont="1" applyBorder="1"/>
    <xf numFmtId="0" fontId="17" fillId="6" borderId="46" xfId="0" applyFont="1" applyFill="1" applyBorder="1" applyAlignment="1" applyProtection="1">
      <alignment horizontal="center"/>
      <protection locked="0"/>
    </xf>
    <xf numFmtId="0" fontId="7" fillId="0" borderId="28" xfId="0" applyFont="1" applyBorder="1" applyAlignment="1">
      <alignment horizontal="center"/>
    </xf>
    <xf numFmtId="0" fontId="9" fillId="0" borderId="0" xfId="0" applyFont="1" applyBorder="1" applyAlignment="1">
      <alignment horizontal="left" indent="1"/>
    </xf>
    <xf numFmtId="179" fontId="12" fillId="0" borderId="0" xfId="9" applyNumberFormat="1" applyFont="1" applyFill="1" applyBorder="1" applyAlignment="1">
      <alignment horizontal="center"/>
    </xf>
    <xf numFmtId="0" fontId="12" fillId="0" borderId="0" xfId="5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15" fillId="0" borderId="28" xfId="0" applyFont="1" applyFill="1" applyBorder="1" applyAlignment="1" applyProtection="1">
      <alignment horizontal="right"/>
      <protection locked="0"/>
    </xf>
    <xf numFmtId="1" fontId="15" fillId="0" borderId="28" xfId="5" applyNumberFormat="1" applyFont="1" applyFill="1" applyBorder="1" applyAlignment="1">
      <alignment horizontal="right"/>
    </xf>
    <xf numFmtId="179" fontId="15" fillId="0" borderId="28" xfId="5" applyNumberFormat="1" applyFont="1" applyFill="1" applyBorder="1" applyAlignment="1">
      <alignment horizontal="right"/>
    </xf>
    <xf numFmtId="3" fontId="15" fillId="0" borderId="28" xfId="9" applyNumberFormat="1" applyFont="1" applyFill="1" applyBorder="1" applyAlignment="1">
      <alignment horizontal="right"/>
    </xf>
    <xf numFmtId="0" fontId="7" fillId="0" borderId="28" xfId="0" applyFont="1" applyFill="1" applyBorder="1" applyAlignment="1">
      <alignment horizontal="right"/>
    </xf>
    <xf numFmtId="2" fontId="7" fillId="0" borderId="28" xfId="0" applyNumberFormat="1" applyFont="1" applyFill="1" applyBorder="1" applyAlignment="1">
      <alignment horizontal="right"/>
    </xf>
    <xf numFmtId="2" fontId="15" fillId="0" borderId="28" xfId="0" applyNumberFormat="1" applyFont="1" applyFill="1" applyBorder="1" applyAlignment="1">
      <alignment horizontal="right"/>
    </xf>
    <xf numFmtId="182" fontId="12" fillId="0" borderId="27" xfId="9" applyNumberFormat="1" applyFont="1" applyBorder="1" applyAlignment="1">
      <alignment horizontal="center"/>
    </xf>
    <xf numFmtId="0" fontId="0" fillId="0" borderId="27" xfId="0" applyFill="1" applyBorder="1"/>
    <xf numFmtId="2" fontId="7" fillId="0" borderId="27" xfId="0" applyNumberFormat="1" applyFont="1" applyFill="1" applyBorder="1" applyAlignment="1">
      <alignment horizontal="center"/>
    </xf>
    <xf numFmtId="2" fontId="13" fillId="0" borderId="27" xfId="0" applyNumberFormat="1" applyFont="1" applyFill="1" applyBorder="1" applyAlignment="1">
      <alignment horizontal="center"/>
    </xf>
    <xf numFmtId="0" fontId="0" fillId="0" borderId="0" xfId="0"/>
    <xf numFmtId="0" fontId="0" fillId="0" borderId="29" xfId="0" applyBorder="1" applyAlignment="1">
      <alignment horizontal="left" indent="1"/>
    </xf>
    <xf numFmtId="182" fontId="12" fillId="0" borderId="6" xfId="9" applyNumberFormat="1" applyFont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0" fontId="15" fillId="0" borderId="29" xfId="0" applyFont="1" applyBorder="1" applyAlignment="1">
      <alignment horizontal="left" indent="1"/>
    </xf>
    <xf numFmtId="0" fontId="0" fillId="0" borderId="0" xfId="0"/>
    <xf numFmtId="0" fontId="18" fillId="4" borderId="48" xfId="0" applyFont="1" applyFill="1" applyBorder="1" applyAlignment="1">
      <alignment horizontal="center"/>
    </xf>
    <xf numFmtId="2" fontId="22" fillId="0" borderId="28" xfId="5" applyNumberFormat="1" applyFont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2" fontId="0" fillId="0" borderId="27" xfId="0" applyNumberFormat="1" applyFill="1" applyBorder="1" applyAlignment="1">
      <alignment horizontal="center"/>
    </xf>
    <xf numFmtId="0" fontId="18" fillId="4" borderId="6" xfId="0" applyFont="1" applyFill="1" applyBorder="1" applyAlignment="1">
      <alignment horizontal="center"/>
    </xf>
    <xf numFmtId="0" fontId="18" fillId="4" borderId="27" xfId="0" applyFont="1" applyFill="1" applyBorder="1" applyAlignment="1">
      <alignment horizontal="center"/>
    </xf>
    <xf numFmtId="0" fontId="15" fillId="0" borderId="29" xfId="0" applyFont="1" applyBorder="1" applyAlignment="1">
      <alignment horizontal="left" indent="1"/>
    </xf>
    <xf numFmtId="0" fontId="15" fillId="0" borderId="30" xfId="0" applyFont="1" applyBorder="1" applyAlignment="1">
      <alignment horizontal="left" indent="1"/>
    </xf>
    <xf numFmtId="0" fontId="0" fillId="0" borderId="0" xfId="0"/>
    <xf numFmtId="0" fontId="15" fillId="0" borderId="29" xfId="0" applyFont="1" applyBorder="1" applyAlignment="1">
      <alignment horizontal="left" indent="1"/>
    </xf>
    <xf numFmtId="0" fontId="12" fillId="0" borderId="73" xfId="5" applyNumberFormat="1" applyFont="1" applyBorder="1" applyAlignment="1">
      <alignment horizontal="center"/>
    </xf>
    <xf numFmtId="180" fontId="12" fillId="4" borderId="48" xfId="9" applyNumberFormat="1" applyFont="1" applyFill="1" applyBorder="1" applyAlignment="1">
      <alignment horizontal="center"/>
    </xf>
    <xf numFmtId="0" fontId="0" fillId="0" borderId="6" xfId="0" applyBorder="1"/>
    <xf numFmtId="0" fontId="15" fillId="0" borderId="29" xfId="0" applyFont="1" applyBorder="1" applyAlignment="1">
      <alignment horizontal="left" indent="1"/>
    </xf>
    <xf numFmtId="179" fontId="12" fillId="0" borderId="40" xfId="5" applyNumberFormat="1" applyFont="1" applyBorder="1" applyAlignment="1">
      <alignment horizontal="center"/>
    </xf>
    <xf numFmtId="0" fontId="18" fillId="4" borderId="28" xfId="0" applyFont="1" applyFill="1" applyBorder="1" applyAlignment="1">
      <alignment horizontal="center"/>
    </xf>
    <xf numFmtId="0" fontId="0" fillId="0" borderId="28" xfId="0" applyFill="1" applyBorder="1"/>
    <xf numFmtId="179" fontId="7" fillId="0" borderId="28" xfId="0" applyNumberFormat="1" applyFont="1" applyBorder="1" applyAlignment="1">
      <alignment horizontal="center"/>
    </xf>
    <xf numFmtId="181" fontId="7" fillId="0" borderId="28" xfId="0" applyNumberFormat="1" applyFont="1" applyBorder="1" applyAlignment="1">
      <alignment horizontal="center"/>
    </xf>
    <xf numFmtId="2" fontId="0" fillId="0" borderId="28" xfId="0" applyNumberFormat="1" applyFill="1" applyBorder="1" applyAlignment="1">
      <alignment horizontal="center"/>
    </xf>
    <xf numFmtId="2" fontId="7" fillId="0" borderId="40" xfId="0" applyNumberFormat="1" applyFont="1" applyFill="1" applyBorder="1" applyAlignment="1">
      <alignment horizontal="center"/>
    </xf>
    <xf numFmtId="0" fontId="0" fillId="7" borderId="48" xfId="0" applyFont="1" applyFill="1" applyBorder="1" applyAlignment="1" applyProtection="1">
      <alignment horizontal="center"/>
      <protection locked="0"/>
    </xf>
    <xf numFmtId="0" fontId="0" fillId="7" borderId="6" xfId="0" applyFont="1" applyFill="1" applyBorder="1" applyAlignment="1" applyProtection="1">
      <alignment horizontal="center"/>
      <protection locked="0"/>
    </xf>
    <xf numFmtId="1" fontId="0" fillId="7" borderId="48" xfId="5" applyNumberFormat="1" applyFont="1" applyFill="1" applyBorder="1" applyAlignment="1">
      <alignment horizontal="center"/>
    </xf>
    <xf numFmtId="1" fontId="0" fillId="7" borderId="6" xfId="5" applyNumberFormat="1" applyFont="1" applyFill="1" applyBorder="1" applyAlignment="1">
      <alignment horizontal="center"/>
    </xf>
    <xf numFmtId="0" fontId="24" fillId="0" borderId="20" xfId="0" applyFont="1" applyFill="1" applyBorder="1" applyAlignment="1" applyProtection="1">
      <alignment horizontal="left"/>
      <protection locked="0"/>
    </xf>
    <xf numFmtId="0" fontId="11" fillId="0" borderId="27" xfId="0" applyFont="1" applyFill="1" applyBorder="1" applyAlignment="1" applyProtection="1">
      <alignment horizontal="left"/>
      <protection locked="0"/>
    </xf>
    <xf numFmtId="0" fontId="11" fillId="0" borderId="24" xfId="0" applyFont="1" applyFill="1" applyBorder="1" applyAlignment="1" applyProtection="1">
      <alignment horizontal="left"/>
      <protection locked="0"/>
    </xf>
    <xf numFmtId="0" fontId="36" fillId="0" borderId="48" xfId="0" applyFont="1" applyBorder="1" applyAlignment="1">
      <alignment vertical="center"/>
    </xf>
    <xf numFmtId="0" fontId="0" fillId="0" borderId="4" xfId="0" applyFont="1" applyBorder="1" applyAlignment="1">
      <alignment horizontal="left"/>
    </xf>
    <xf numFmtId="0" fontId="0" fillId="0" borderId="57" xfId="0" applyFont="1" applyBorder="1" applyAlignment="1">
      <alignment horizontal="center"/>
    </xf>
    <xf numFmtId="0" fontId="0" fillId="0" borderId="57" xfId="0" applyFont="1" applyFill="1" applyBorder="1"/>
    <xf numFmtId="0" fontId="0" fillId="0" borderId="57" xfId="0" applyFont="1" applyBorder="1"/>
    <xf numFmtId="0" fontId="0" fillId="0" borderId="38" xfId="0" applyBorder="1"/>
    <xf numFmtId="0" fontId="0" fillId="0" borderId="66" xfId="0" applyBorder="1"/>
    <xf numFmtId="0" fontId="0" fillId="0" borderId="36" xfId="0" applyBorder="1"/>
    <xf numFmtId="0" fontId="0" fillId="0" borderId="0" xfId="0" applyFont="1" applyBorder="1"/>
    <xf numFmtId="0" fontId="0" fillId="0" borderId="38" xfId="0" applyFont="1" applyBorder="1"/>
    <xf numFmtId="0" fontId="0" fillId="0" borderId="38" xfId="0" applyFont="1" applyFill="1" applyBorder="1"/>
    <xf numFmtId="0" fontId="0" fillId="0" borderId="0" xfId="0"/>
    <xf numFmtId="0" fontId="0" fillId="0" borderId="24" xfId="0" applyBorder="1"/>
    <xf numFmtId="0" fontId="0" fillId="0" borderId="0" xfId="0" applyBorder="1"/>
    <xf numFmtId="0" fontId="0" fillId="0" borderId="4" xfId="0" applyBorder="1"/>
    <xf numFmtId="0" fontId="0" fillId="0" borderId="26" xfId="0" applyBorder="1" applyAlignment="1">
      <alignment horizontal="center"/>
    </xf>
    <xf numFmtId="0" fontId="0" fillId="0" borderId="33" xfId="0" applyBorder="1"/>
    <xf numFmtId="0" fontId="0" fillId="0" borderId="25" xfId="0" applyBorder="1"/>
    <xf numFmtId="0" fontId="0" fillId="0" borderId="38" xfId="0" applyBorder="1"/>
    <xf numFmtId="0" fontId="0" fillId="0" borderId="66" xfId="0" applyBorder="1"/>
    <xf numFmtId="0" fontId="0" fillId="0" borderId="65" xfId="0" applyBorder="1"/>
    <xf numFmtId="0" fontId="0" fillId="0" borderId="36" xfId="0" applyBorder="1"/>
    <xf numFmtId="0" fontId="17" fillId="6" borderId="20" xfId="0" applyFont="1" applyFill="1" applyBorder="1" applyAlignment="1" applyProtection="1">
      <alignment horizontal="center"/>
      <protection locked="0"/>
    </xf>
    <xf numFmtId="0" fontId="0" fillId="0" borderId="0" xfId="0" applyFont="1" applyBorder="1"/>
    <xf numFmtId="0" fontId="0" fillId="0" borderId="0" xfId="0" applyFill="1" applyBorder="1" applyAlignment="1">
      <alignment horizontal="center"/>
    </xf>
    <xf numFmtId="0" fontId="9" fillId="0" borderId="30" xfId="0" applyFont="1" applyFill="1" applyBorder="1" applyAlignment="1">
      <alignment vertical="center"/>
    </xf>
    <xf numFmtId="0" fontId="0" fillId="0" borderId="25" xfId="0" applyBorder="1" applyAlignment="1">
      <alignment horizontal="center" vertical="center"/>
    </xf>
    <xf numFmtId="183" fontId="0" fillId="0" borderId="33" xfId="0" applyNumberFormat="1" applyFont="1" applyFill="1" applyBorder="1" applyAlignment="1">
      <alignment horizontal="center" vertical="center"/>
    </xf>
    <xf numFmtId="183" fontId="0" fillId="0" borderId="0" xfId="5" applyNumberFormat="1" applyFont="1" applyFill="1" applyBorder="1" applyAlignment="1">
      <alignment horizontal="center" vertical="center"/>
    </xf>
    <xf numFmtId="183" fontId="0" fillId="0" borderId="24" xfId="5" applyNumberFormat="1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45" xfId="0" applyFont="1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30" xfId="0" applyBorder="1" applyAlignment="1"/>
    <xf numFmtId="0" fontId="0" fillId="0" borderId="6" xfId="0" applyBorder="1" applyAlignment="1">
      <alignment horizontal="center" vertical="center"/>
    </xf>
    <xf numFmtId="0" fontId="20" fillId="7" borderId="36" xfId="0" applyFont="1" applyFill="1" applyBorder="1" applyAlignment="1">
      <alignment horizontal="center"/>
    </xf>
    <xf numFmtId="0" fontId="20" fillId="7" borderId="59" xfId="0" applyFont="1" applyFill="1" applyBorder="1" applyAlignment="1">
      <alignment horizontal="center"/>
    </xf>
    <xf numFmtId="0" fontId="24" fillId="0" borderId="65" xfId="0" applyFont="1" applyFill="1" applyBorder="1" applyAlignment="1" applyProtection="1">
      <alignment horizontal="center"/>
      <protection locked="0"/>
    </xf>
    <xf numFmtId="0" fontId="0" fillId="0" borderId="73" xfId="0" applyFill="1" applyBorder="1" applyAlignment="1">
      <alignment horizontal="center"/>
    </xf>
    <xf numFmtId="3" fontId="46" fillId="0" borderId="28" xfId="9" applyNumberFormat="1" applyFont="1" applyFill="1" applyBorder="1" applyAlignment="1">
      <alignment horizontal="right"/>
    </xf>
    <xf numFmtId="0" fontId="15" fillId="0" borderId="29" xfId="0" applyFont="1" applyBorder="1" applyAlignment="1">
      <alignment horizontal="left" indent="1"/>
    </xf>
    <xf numFmtId="0" fontId="0" fillId="0" borderId="24" xfId="0" applyBorder="1"/>
    <xf numFmtId="0" fontId="0" fillId="0" borderId="0" xfId="0" applyBorder="1"/>
    <xf numFmtId="0" fontId="0" fillId="0" borderId="0" xfId="0" applyFill="1" applyBorder="1"/>
    <xf numFmtId="0" fontId="0" fillId="0" borderId="43" xfId="0" applyFill="1" applyBorder="1" applyAlignment="1">
      <alignment horizontal="center"/>
    </xf>
    <xf numFmtId="0" fontId="0" fillId="0" borderId="53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42" xfId="0" applyBorder="1"/>
    <xf numFmtId="0" fontId="0" fillId="0" borderId="7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23" xfId="0" applyBorder="1"/>
    <xf numFmtId="0" fontId="0" fillId="0" borderId="0" xfId="0" applyFill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4" xfId="0" applyFill="1" applyBorder="1"/>
    <xf numFmtId="0" fontId="0" fillId="0" borderId="6" xfId="0" applyFont="1" applyBorder="1" applyAlignment="1">
      <alignment horizontal="center"/>
    </xf>
    <xf numFmtId="0" fontId="0" fillId="0" borderId="29" xfId="0" applyBorder="1"/>
    <xf numFmtId="0" fontId="17" fillId="0" borderId="0" xfId="0" applyFont="1" applyFill="1" applyBorder="1" applyAlignment="1" applyProtection="1">
      <alignment horizontal="center" vertical="center"/>
      <protection locked="0"/>
    </xf>
    <xf numFmtId="0" fontId="17" fillId="0" borderId="50" xfId="0" applyFont="1" applyFill="1" applyBorder="1" applyAlignment="1" applyProtection="1">
      <alignment horizontal="center" vertical="center"/>
      <protection locked="0"/>
    </xf>
    <xf numFmtId="0" fontId="17" fillId="0" borderId="75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Border="1"/>
    <xf numFmtId="0" fontId="0" fillId="0" borderId="38" xfId="0" applyBorder="1"/>
    <xf numFmtId="0" fontId="0" fillId="0" borderId="4" xfId="0" applyBorder="1"/>
    <xf numFmtId="0" fontId="0" fillId="0" borderId="26" xfId="0" applyBorder="1"/>
    <xf numFmtId="0" fontId="0" fillId="0" borderId="27" xfId="0" applyBorder="1"/>
    <xf numFmtId="0" fontId="14" fillId="0" borderId="36" xfId="0" applyFont="1" applyBorder="1"/>
    <xf numFmtId="0" fontId="14" fillId="0" borderId="38" xfId="0" applyFont="1" applyBorder="1"/>
    <xf numFmtId="0" fontId="48" fillId="0" borderId="0" xfId="0" applyFont="1" applyFill="1" applyBorder="1" applyAlignment="1" applyProtection="1">
      <protection locked="0"/>
    </xf>
    <xf numFmtId="0" fontId="0" fillId="0" borderId="38" xfId="0" applyBorder="1"/>
    <xf numFmtId="0" fontId="0" fillId="0" borderId="0" xfId="0"/>
    <xf numFmtId="0" fontId="0" fillId="0" borderId="57" xfId="0" applyBorder="1"/>
    <xf numFmtId="0" fontId="0" fillId="0" borderId="0" xfId="0" applyBorder="1"/>
    <xf numFmtId="0" fontId="0" fillId="0" borderId="38" xfId="0" applyBorder="1"/>
    <xf numFmtId="0" fontId="0" fillId="0" borderId="38" xfId="0" applyNumberFormat="1" applyBorder="1"/>
    <xf numFmtId="0" fontId="0" fillId="0" borderId="38" xfId="0" applyFill="1" applyBorder="1"/>
    <xf numFmtId="0" fontId="0" fillId="0" borderId="38" xfId="0" applyNumberFormat="1" applyFont="1" applyFill="1" applyBorder="1"/>
    <xf numFmtId="0" fontId="0" fillId="0" borderId="38" xfId="0" applyNumberFormat="1" applyBorder="1" applyAlignment="1"/>
    <xf numFmtId="0" fontId="0" fillId="0" borderId="57" xfId="0" applyFill="1" applyBorder="1"/>
    <xf numFmtId="0" fontId="0" fillId="0" borderId="27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3" xfId="0" applyFill="1" applyBorder="1"/>
    <xf numFmtId="0" fontId="11" fillId="4" borderId="68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11" fillId="4" borderId="53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12" fillId="0" borderId="41" xfId="5" applyNumberFormat="1" applyFont="1" applyBorder="1" applyAlignment="1">
      <alignment horizontal="center"/>
    </xf>
    <xf numFmtId="0" fontId="12" fillId="0" borderId="72" xfId="5" applyNumberFormat="1" applyFont="1" applyBorder="1" applyAlignment="1">
      <alignment horizontal="center"/>
    </xf>
    <xf numFmtId="0" fontId="12" fillId="0" borderId="6" xfId="9" applyNumberFormat="1" applyFont="1" applyBorder="1" applyAlignment="1">
      <alignment horizontal="center"/>
    </xf>
    <xf numFmtId="0" fontId="12" fillId="0" borderId="27" xfId="9" applyNumberFormat="1" applyFont="1" applyBorder="1" applyAlignment="1">
      <alignment horizontal="center"/>
    </xf>
    <xf numFmtId="0" fontId="9" fillId="0" borderId="0" xfId="0" applyFont="1" applyFill="1" applyBorder="1" applyAlignment="1">
      <alignment vertical="center"/>
    </xf>
    <xf numFmtId="0" fontId="0" fillId="0" borderId="0" xfId="0" applyBorder="1" applyAlignment="1"/>
    <xf numFmtId="0" fontId="0" fillId="0" borderId="0" xfId="0" applyFont="1" applyFill="1" applyBorder="1" applyAlignment="1" applyProtection="1">
      <alignment vertical="center"/>
      <protection locked="0"/>
    </xf>
    <xf numFmtId="0" fontId="0" fillId="0" borderId="26" xfId="0" applyFont="1" applyBorder="1" applyAlignment="1">
      <alignment horizontal="left"/>
    </xf>
    <xf numFmtId="185" fontId="12" fillId="0" borderId="48" xfId="9" applyNumberFormat="1" applyFont="1" applyBorder="1" applyAlignment="1">
      <alignment horizontal="center"/>
    </xf>
    <xf numFmtId="0" fontId="49" fillId="0" borderId="0" xfId="0" applyFont="1" applyBorder="1" applyAlignment="1">
      <alignment horizontal="left" indent="1"/>
    </xf>
    <xf numFmtId="11" fontId="0" fillId="0" borderId="38" xfId="0" applyNumberFormat="1" applyBorder="1"/>
    <xf numFmtId="0" fontId="0" fillId="0" borderId="36" xfId="0" applyNumberFormat="1" applyBorder="1"/>
    <xf numFmtId="0" fontId="0" fillId="0" borderId="43" xfId="0" applyFill="1" applyBorder="1" applyAlignment="1">
      <alignment horizontal="center" vertical="center"/>
    </xf>
    <xf numFmtId="0" fontId="0" fillId="4" borderId="0" xfId="0" applyFill="1" applyBorder="1"/>
    <xf numFmtId="0" fontId="0" fillId="4" borderId="37" xfId="0" applyFill="1" applyBorder="1"/>
    <xf numFmtId="0" fontId="0" fillId="4" borderId="33" xfId="0" applyFill="1" applyBorder="1"/>
    <xf numFmtId="0" fontId="0" fillId="4" borderId="34" xfId="0" applyFill="1" applyBorder="1"/>
    <xf numFmtId="182" fontId="0" fillId="0" borderId="0" xfId="0" applyNumberFormat="1"/>
    <xf numFmtId="0" fontId="0" fillId="0" borderId="0" xfId="0"/>
    <xf numFmtId="0" fontId="40" fillId="0" borderId="0" xfId="0" applyFont="1" applyAlignment="1">
      <alignment horizontal="center"/>
    </xf>
    <xf numFmtId="0" fontId="40" fillId="0" borderId="33" xfId="0" applyFont="1" applyBorder="1" applyAlignment="1">
      <alignment horizontal="center"/>
    </xf>
    <xf numFmtId="0" fontId="40" fillId="0" borderId="0" xfId="0" applyFont="1"/>
    <xf numFmtId="0" fontId="47" fillId="0" borderId="0" xfId="0" applyFont="1" applyAlignment="1">
      <alignment horizontal="center"/>
    </xf>
    <xf numFmtId="0" fontId="40" fillId="0" borderId="0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/>
    </xf>
    <xf numFmtId="0" fontId="47" fillId="0" borderId="0" xfId="0" applyFont="1" applyBorder="1" applyAlignment="1">
      <alignment horizontal="center"/>
    </xf>
    <xf numFmtId="0" fontId="40" fillId="0" borderId="0" xfId="0" applyFont="1" applyAlignment="1">
      <alignment horizontal="center" vertical="center"/>
    </xf>
    <xf numFmtId="0" fontId="40" fillId="0" borderId="0" xfId="0" applyFont="1" applyBorder="1" applyAlignment="1">
      <alignment horizontal="left"/>
    </xf>
    <xf numFmtId="182" fontId="12" fillId="0" borderId="0" xfId="5" applyNumberFormat="1" applyFont="1" applyBorder="1" applyAlignment="1">
      <alignment horizontal="center"/>
    </xf>
    <xf numFmtId="179" fontId="12" fillId="0" borderId="0" xfId="5" applyNumberFormat="1" applyFont="1" applyBorder="1" applyAlignment="1">
      <alignment horizontal="center"/>
    </xf>
    <xf numFmtId="2" fontId="53" fillId="0" borderId="28" xfId="0" applyNumberFormat="1" applyFont="1" applyFill="1" applyBorder="1" applyAlignment="1">
      <alignment horizontal="right"/>
    </xf>
    <xf numFmtId="0" fontId="9" fillId="0" borderId="29" xfId="0" applyFont="1" applyBorder="1" applyAlignment="1">
      <alignment horizontal="left" indent="1"/>
    </xf>
    <xf numFmtId="180" fontId="18" fillId="4" borderId="48" xfId="9" applyNumberFormat="1" applyFont="1" applyFill="1" applyBorder="1" applyAlignment="1">
      <alignment horizontal="center"/>
    </xf>
    <xf numFmtId="180" fontId="18" fillId="4" borderId="28" xfId="9" applyNumberFormat="1" applyFont="1" applyFill="1" applyBorder="1" applyAlignment="1">
      <alignment horizontal="center"/>
    </xf>
    <xf numFmtId="0" fontId="0" fillId="0" borderId="0" xfId="0"/>
    <xf numFmtId="0" fontId="0" fillId="4" borderId="36" xfId="0" applyFill="1" applyBorder="1"/>
    <xf numFmtId="0" fontId="0" fillId="4" borderId="38" xfId="0" applyFill="1" applyBorder="1"/>
    <xf numFmtId="0" fontId="0" fillId="4" borderId="62" xfId="0" applyFill="1" applyBorder="1"/>
    <xf numFmtId="0" fontId="0" fillId="4" borderId="63" xfId="0" applyFill="1" applyBorder="1"/>
    <xf numFmtId="0" fontId="18" fillId="4" borderId="6" xfId="0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37" xfId="0" applyFont="1" applyFill="1" applyBorder="1" applyAlignment="1" applyProtection="1">
      <alignment horizontal="center"/>
      <protection locked="0"/>
    </xf>
    <xf numFmtId="0" fontId="48" fillId="0" borderId="26" xfId="0" applyFont="1" applyFill="1" applyBorder="1" applyAlignment="1" applyProtection="1">
      <alignment horizontal="center" vertical="center"/>
      <protection locked="0"/>
    </xf>
    <xf numFmtId="0" fontId="48" fillId="0" borderId="27" xfId="0" applyFont="1" applyFill="1" applyBorder="1" applyAlignment="1" applyProtection="1">
      <alignment horizontal="center" vertical="center"/>
      <protection locked="0"/>
    </xf>
    <xf numFmtId="0" fontId="48" fillId="0" borderId="28" xfId="0" applyFont="1" applyFill="1" applyBorder="1" applyAlignment="1" applyProtection="1">
      <alignment horizontal="center" vertical="center"/>
      <protection locked="0"/>
    </xf>
    <xf numFmtId="0" fontId="0" fillId="0" borderId="26" xfId="0" applyFont="1" applyFill="1" applyBorder="1" applyAlignment="1" applyProtection="1">
      <alignment horizontal="center" vertical="center"/>
      <protection locked="0"/>
    </xf>
    <xf numFmtId="0" fontId="0" fillId="0" borderId="27" xfId="0" applyFont="1" applyFill="1" applyBorder="1" applyAlignment="1" applyProtection="1">
      <alignment horizontal="center" vertical="center"/>
      <protection locked="0"/>
    </xf>
    <xf numFmtId="0" fontId="0" fillId="0" borderId="28" xfId="0" applyFont="1" applyFill="1" applyBorder="1" applyAlignment="1" applyProtection="1">
      <alignment horizontal="center" vertical="center"/>
      <protection locked="0"/>
    </xf>
    <xf numFmtId="0" fontId="9" fillId="0" borderId="31" xfId="0" applyFont="1" applyFill="1" applyBorder="1" applyAlignment="1">
      <alignment horizontal="center" vertical="center"/>
    </xf>
    <xf numFmtId="0" fontId="9" fillId="0" borderId="33" xfId="0" applyFont="1" applyFill="1" applyBorder="1" applyAlignment="1">
      <alignment horizontal="center" vertical="center"/>
    </xf>
    <xf numFmtId="0" fontId="9" fillId="0" borderId="34" xfId="0" applyFont="1" applyFill="1" applyBorder="1" applyAlignment="1">
      <alignment horizontal="center" vertical="center"/>
    </xf>
    <xf numFmtId="0" fontId="9" fillId="0" borderId="23" xfId="0" applyFont="1" applyFill="1" applyBorder="1" applyAlignment="1">
      <alignment horizontal="center" vertical="center"/>
    </xf>
    <xf numFmtId="0" fontId="9" fillId="0" borderId="24" xfId="0" applyFont="1" applyFill="1" applyBorder="1" applyAlignment="1">
      <alignment horizontal="center" vertical="center"/>
    </xf>
    <xf numFmtId="0" fontId="9" fillId="0" borderId="42" xfId="0" applyFont="1" applyFill="1" applyBorder="1" applyAlignment="1">
      <alignment horizontal="center" vertical="center"/>
    </xf>
    <xf numFmtId="0" fontId="0" fillId="3" borderId="19" xfId="0" applyFill="1" applyBorder="1" applyAlignment="1" applyProtection="1">
      <alignment horizontal="center" vertical="center"/>
      <protection locked="0"/>
    </xf>
    <xf numFmtId="0" fontId="0" fillId="3" borderId="49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57" xfId="0" applyFill="1" applyBorder="1" applyAlignment="1" applyProtection="1">
      <alignment horizontal="center" vertical="center"/>
      <protection locked="0"/>
    </xf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7" fillId="0" borderId="28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9" fillId="0" borderId="65" xfId="0" applyFont="1" applyFill="1" applyBorder="1" applyAlignment="1">
      <alignment horizontal="center" vertical="center"/>
    </xf>
    <xf numFmtId="0" fontId="9" fillId="0" borderId="2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2" fillId="0" borderId="0" xfId="0" applyFont="1" applyFill="1" applyBorder="1" applyAlignment="1" applyProtection="1">
      <alignment horizontal="center"/>
      <protection locked="0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183" fontId="22" fillId="0" borderId="4" xfId="0" applyNumberFormat="1" applyFont="1" applyFill="1" applyBorder="1" applyAlignment="1">
      <alignment horizontal="center"/>
    </xf>
    <xf numFmtId="183" fontId="22" fillId="0" borderId="57" xfId="0" applyNumberFormat="1" applyFont="1" applyFill="1" applyBorder="1" applyAlignment="1">
      <alignment horizontal="center"/>
    </xf>
    <xf numFmtId="0" fontId="18" fillId="4" borderId="74" xfId="0" applyFont="1" applyFill="1" applyBorder="1" applyAlignment="1">
      <alignment horizontal="center" vertical="center"/>
    </xf>
    <xf numFmtId="0" fontId="18" fillId="4" borderId="20" xfId="0" applyFont="1" applyFill="1" applyBorder="1" applyAlignment="1">
      <alignment horizontal="center" vertical="center"/>
    </xf>
    <xf numFmtId="0" fontId="18" fillId="4" borderId="26" xfId="0" applyFont="1" applyFill="1" applyBorder="1" applyAlignment="1">
      <alignment horizontal="center"/>
    </xf>
    <xf numFmtId="0" fontId="18" fillId="4" borderId="27" xfId="0" applyFont="1" applyFill="1" applyBorder="1" applyAlignment="1">
      <alignment horizontal="center"/>
    </xf>
    <xf numFmtId="0" fontId="18" fillId="5" borderId="26" xfId="0" applyFont="1" applyFill="1" applyBorder="1" applyAlignment="1">
      <alignment horizontal="center"/>
    </xf>
    <xf numFmtId="0" fontId="18" fillId="5" borderId="27" xfId="0" applyFont="1" applyFill="1" applyBorder="1" applyAlignment="1">
      <alignment horizontal="center"/>
    </xf>
    <xf numFmtId="183" fontId="18" fillId="5" borderId="65" xfId="0" applyNumberFormat="1" applyFont="1" applyFill="1" applyBorder="1" applyAlignment="1">
      <alignment horizontal="center"/>
    </xf>
    <xf numFmtId="183" fontId="18" fillId="5" borderId="33" xfId="0" applyNumberFormat="1" applyFont="1" applyFill="1" applyBorder="1" applyAlignment="1">
      <alignment horizontal="center"/>
    </xf>
    <xf numFmtId="0" fontId="0" fillId="7" borderId="26" xfId="0" applyFont="1" applyFill="1" applyBorder="1" applyAlignment="1" applyProtection="1">
      <alignment horizontal="center"/>
      <protection locked="0"/>
    </xf>
    <xf numFmtId="0" fontId="0" fillId="7" borderId="27" xfId="0" applyFont="1" applyFill="1" applyBorder="1" applyAlignment="1" applyProtection="1">
      <alignment horizontal="center"/>
      <protection locked="0"/>
    </xf>
    <xf numFmtId="0" fontId="0" fillId="0" borderId="65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18" fillId="4" borderId="28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83" fontId="22" fillId="0" borderId="4" xfId="9" applyNumberFormat="1" applyFont="1" applyFill="1" applyBorder="1" applyAlignment="1">
      <alignment horizontal="center" vertical="center"/>
    </xf>
    <xf numFmtId="183" fontId="22" fillId="0" borderId="57" xfId="9" applyNumberFormat="1" applyFont="1" applyFill="1" applyBorder="1" applyAlignment="1">
      <alignment horizontal="center" vertical="center"/>
    </xf>
    <xf numFmtId="183" fontId="22" fillId="0" borderId="25" xfId="9" applyNumberFormat="1" applyFont="1" applyFill="1" applyBorder="1" applyAlignment="1">
      <alignment horizontal="center" vertical="center"/>
    </xf>
    <xf numFmtId="183" fontId="22" fillId="0" borderId="39" xfId="9" applyNumberFormat="1" applyFont="1" applyFill="1" applyBorder="1" applyAlignment="1">
      <alignment horizontal="center" vertical="center"/>
    </xf>
    <xf numFmtId="183" fontId="22" fillId="0" borderId="65" xfId="0" applyNumberFormat="1" applyFont="1" applyFill="1" applyBorder="1" applyAlignment="1">
      <alignment horizontal="center"/>
    </xf>
    <xf numFmtId="183" fontId="22" fillId="0" borderId="59" xfId="0" applyNumberFormat="1" applyFont="1" applyFill="1" applyBorder="1" applyAlignment="1">
      <alignment horizontal="center"/>
    </xf>
    <xf numFmtId="183" fontId="18" fillId="4" borderId="65" xfId="0" applyNumberFormat="1" applyFont="1" applyFill="1" applyBorder="1" applyAlignment="1">
      <alignment horizontal="center"/>
    </xf>
    <xf numFmtId="183" fontId="18" fillId="4" borderId="59" xfId="0" applyNumberFormat="1" applyFont="1" applyFill="1" applyBorder="1" applyAlignment="1">
      <alignment horizontal="center"/>
    </xf>
    <xf numFmtId="183" fontId="22" fillId="0" borderId="4" xfId="9" applyNumberFormat="1" applyFont="1" applyFill="1" applyBorder="1" applyAlignment="1">
      <alignment horizontal="center"/>
    </xf>
    <xf numFmtId="183" fontId="22" fillId="0" borderId="57" xfId="9" applyNumberFormat="1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4" fillId="0" borderId="0" xfId="0" applyFont="1" applyFill="1" applyBorder="1" applyAlignment="1" applyProtection="1">
      <alignment horizontal="center"/>
      <protection locked="0"/>
    </xf>
    <xf numFmtId="0" fontId="35" fillId="0" borderId="0" xfId="0" applyFont="1" applyBorder="1"/>
    <xf numFmtId="183" fontId="22" fillId="0" borderId="25" xfId="0" applyNumberFormat="1" applyFont="1" applyFill="1" applyBorder="1" applyAlignment="1">
      <alignment horizontal="center"/>
    </xf>
    <xf numFmtId="183" fontId="22" fillId="0" borderId="39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48" fillId="0" borderId="0" xfId="0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left" vertical="center"/>
    </xf>
    <xf numFmtId="0" fontId="47" fillId="0" borderId="22" xfId="0" applyFont="1" applyBorder="1" applyAlignment="1">
      <alignment horizontal="left" vertical="center"/>
    </xf>
    <xf numFmtId="0" fontId="47" fillId="0" borderId="44" xfId="0" applyFont="1" applyBorder="1" applyAlignment="1">
      <alignment horizontal="left" vertical="center"/>
    </xf>
    <xf numFmtId="0" fontId="47" fillId="0" borderId="52" xfId="0" applyFont="1" applyBorder="1" applyAlignment="1">
      <alignment horizontal="left" vertical="center"/>
    </xf>
    <xf numFmtId="0" fontId="9" fillId="0" borderId="59" xfId="0" applyFont="1" applyFill="1" applyBorder="1" applyAlignment="1">
      <alignment horizontal="center" vertical="center"/>
    </xf>
    <xf numFmtId="0" fontId="9" fillId="0" borderId="39" xfId="0" applyFont="1" applyFill="1" applyBorder="1" applyAlignment="1">
      <alignment horizontal="center" vertical="center"/>
    </xf>
    <xf numFmtId="0" fontId="0" fillId="0" borderId="6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9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65" xfId="0" applyFont="1" applyBorder="1" applyAlignment="1">
      <alignment horizontal="left" vertical="center"/>
    </xf>
    <xf numFmtId="0" fontId="0" fillId="0" borderId="33" xfId="0" applyFont="1" applyBorder="1" applyAlignment="1">
      <alignment horizontal="left" vertical="center"/>
    </xf>
    <xf numFmtId="0" fontId="0" fillId="0" borderId="25" xfId="0" applyFont="1" applyBorder="1" applyAlignment="1">
      <alignment horizontal="left" vertical="center"/>
    </xf>
    <xf numFmtId="0" fontId="0" fillId="0" borderId="24" xfId="0" applyFont="1" applyBorder="1" applyAlignment="1">
      <alignment horizontal="left" vertical="center"/>
    </xf>
    <xf numFmtId="0" fontId="0" fillId="4" borderId="33" xfId="0" applyFill="1" applyBorder="1" applyAlignment="1">
      <alignment horizontal="center"/>
    </xf>
    <xf numFmtId="0" fontId="0" fillId="4" borderId="59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3" borderId="18" xfId="0" applyFill="1" applyBorder="1" applyAlignment="1" applyProtection="1">
      <alignment horizontal="center"/>
      <protection locked="0"/>
    </xf>
    <xf numFmtId="0" fontId="0" fillId="3" borderId="49" xfId="0" applyFill="1" applyBorder="1" applyAlignment="1" applyProtection="1">
      <alignment horizontal="center"/>
      <protection locked="0"/>
    </xf>
    <xf numFmtId="0" fontId="0" fillId="3" borderId="24" xfId="0" applyFill="1" applyBorder="1" applyAlignment="1" applyProtection="1">
      <alignment horizontal="center"/>
      <protection locked="0"/>
    </xf>
    <xf numFmtId="0" fontId="0" fillId="3" borderId="39" xfId="0" applyFill="1" applyBorder="1" applyAlignment="1" applyProtection="1">
      <alignment horizontal="center"/>
      <protection locked="0"/>
    </xf>
    <xf numFmtId="0" fontId="0" fillId="4" borderId="18" xfId="0" applyFont="1" applyFill="1" applyBorder="1" applyAlignment="1">
      <alignment horizontal="center" vertical="center"/>
    </xf>
    <xf numFmtId="0" fontId="0" fillId="4" borderId="49" xfId="0" applyFont="1" applyFill="1" applyBorder="1" applyAlignment="1">
      <alignment horizontal="center" vertical="center"/>
    </xf>
    <xf numFmtId="0" fontId="0" fillId="4" borderId="24" xfId="0" applyFont="1" applyFill="1" applyBorder="1" applyAlignment="1">
      <alignment horizontal="center" vertical="center"/>
    </xf>
    <xf numFmtId="0" fontId="0" fillId="4" borderId="39" xfId="0" applyFont="1" applyFill="1" applyBorder="1" applyAlignment="1">
      <alignment horizontal="center" vertical="center"/>
    </xf>
    <xf numFmtId="0" fontId="0" fillId="0" borderId="65" xfId="0" applyBorder="1" applyAlignment="1">
      <alignment horizontal="left" vertical="center"/>
    </xf>
    <xf numFmtId="0" fontId="0" fillId="0" borderId="59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0" fillId="0" borderId="18" xfId="0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14" fontId="30" fillId="0" borderId="19" xfId="0" applyNumberFormat="1" applyFont="1" applyFill="1" applyBorder="1" applyAlignment="1">
      <alignment horizontal="center" vertical="center"/>
    </xf>
    <xf numFmtId="14" fontId="30" fillId="0" borderId="18" xfId="0" applyNumberFormat="1" applyFont="1" applyFill="1" applyBorder="1" applyAlignment="1">
      <alignment horizontal="center" vertical="center"/>
    </xf>
    <xf numFmtId="14" fontId="30" fillId="0" borderId="22" xfId="0" applyNumberFormat="1" applyFont="1" applyFill="1" applyBorder="1" applyAlignment="1">
      <alignment horizontal="center" vertical="center"/>
    </xf>
    <xf numFmtId="14" fontId="30" fillId="0" borderId="25" xfId="0" applyNumberFormat="1" applyFont="1" applyFill="1" applyBorder="1" applyAlignment="1">
      <alignment horizontal="center" vertical="center"/>
    </xf>
    <xf numFmtId="14" fontId="30" fillId="0" borderId="24" xfId="0" applyNumberFormat="1" applyFont="1" applyFill="1" applyBorder="1" applyAlignment="1">
      <alignment horizontal="center" vertical="center"/>
    </xf>
    <xf numFmtId="14" fontId="30" fillId="0" borderId="42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42" xfId="0" applyBorder="1" applyAlignment="1">
      <alignment horizontal="center"/>
    </xf>
    <xf numFmtId="0" fontId="9" fillId="0" borderId="17" xfId="0" applyFont="1" applyBorder="1" applyAlignment="1">
      <alignment horizontal="center" vertical="center"/>
    </xf>
    <xf numFmtId="0" fontId="0" fillId="0" borderId="18" xfId="0" applyBorder="1"/>
    <xf numFmtId="0" fontId="0" fillId="0" borderId="44" xfId="0" applyBorder="1"/>
    <xf numFmtId="0" fontId="0" fillId="0" borderId="45" xfId="0" applyBorder="1"/>
    <xf numFmtId="0" fontId="36" fillId="0" borderId="29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3" borderId="22" xfId="0" applyFill="1" applyBorder="1" applyAlignment="1" applyProtection="1">
      <alignment horizontal="center" vertical="center"/>
      <protection locked="0"/>
    </xf>
    <xf numFmtId="0" fontId="0" fillId="3" borderId="37" xfId="0" applyFill="1" applyBorder="1" applyAlignment="1" applyProtection="1">
      <alignment horizontal="center" vertical="center"/>
      <protection locked="0"/>
    </xf>
    <xf numFmtId="0" fontId="18" fillId="0" borderId="17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14" fontId="30" fillId="4" borderId="18" xfId="0" applyNumberFormat="1" applyFont="1" applyFill="1" applyBorder="1" applyAlignment="1">
      <alignment horizontal="center" vertical="center"/>
    </xf>
    <xf numFmtId="0" fontId="30" fillId="4" borderId="18" xfId="0" applyFont="1" applyFill="1" applyBorder="1" applyAlignment="1">
      <alignment horizontal="center" vertical="center"/>
    </xf>
    <xf numFmtId="0" fontId="30" fillId="4" borderId="49" xfId="0" applyFont="1" applyFill="1" applyBorder="1" applyAlignment="1">
      <alignment horizontal="center" vertical="center"/>
    </xf>
    <xf numFmtId="0" fontId="30" fillId="4" borderId="45" xfId="0" applyFont="1" applyFill="1" applyBorder="1" applyAlignment="1">
      <alignment horizontal="center" vertical="center"/>
    </xf>
    <xf numFmtId="0" fontId="30" fillId="4" borderId="58" xfId="0" applyFont="1" applyFill="1" applyBorder="1" applyAlignment="1">
      <alignment horizontal="center" vertical="center"/>
    </xf>
    <xf numFmtId="0" fontId="0" fillId="0" borderId="17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4" xfId="0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4" borderId="48" xfId="0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8" fillId="4" borderId="48" xfId="0" applyFont="1" applyFill="1" applyBorder="1" applyAlignment="1">
      <alignment horizontal="center"/>
    </xf>
    <xf numFmtId="0" fontId="0" fillId="0" borderId="30" xfId="0" applyBorder="1" applyAlignment="1">
      <alignment horizontal="right"/>
    </xf>
    <xf numFmtId="0" fontId="0" fillId="0" borderId="57" xfId="0" applyBorder="1" applyAlignment="1">
      <alignment horizontal="right"/>
    </xf>
    <xf numFmtId="0" fontId="40" fillId="0" borderId="0" xfId="0" applyFont="1" applyBorder="1" applyAlignment="1">
      <alignment horizontal="center" vertical="center"/>
    </xf>
    <xf numFmtId="0" fontId="40" fillId="0" borderId="0" xfId="0" applyFont="1" applyAlignment="1">
      <alignment horizontal="center"/>
    </xf>
    <xf numFmtId="0" fontId="40" fillId="0" borderId="33" xfId="0" applyFont="1" applyBorder="1" applyAlignment="1">
      <alignment horizontal="center"/>
    </xf>
    <xf numFmtId="0" fontId="40" fillId="0" borderId="0" xfId="0" applyFont="1" applyAlignment="1">
      <alignment horizontal="center" vertical="center"/>
    </xf>
  </cellXfs>
  <cellStyles count="10">
    <cellStyle name="ÅëÈ­ [0]_A" xfId="1"/>
    <cellStyle name="ÅëÈ­_A" xfId="2"/>
    <cellStyle name="ÄÞ¸¶ [0]_A" xfId="3"/>
    <cellStyle name="ÄÞ¸¶_A" xfId="4"/>
    <cellStyle name="Ç¥ÁØ_A" xfId="5"/>
    <cellStyle name="Normal_LINE" xfId="6"/>
    <cellStyle name="쉼표" xfId="9" builtinId="3"/>
    <cellStyle name="콤마 [0]_2PhaseLineSize" xfId="7"/>
    <cellStyle name="콤마_2PhaseLineSize" xfId="8"/>
    <cellStyle name="표준" xfId="0" builtinId="0"/>
  </cellStyles>
  <dxfs count="0"/>
  <tableStyles count="0" defaultTableStyle="TableStyleMedium9" defaultPivotStyle="PivotStyleLight16"/>
  <colors>
    <mruColors>
      <color rgb="FF0000FF"/>
      <color rgb="FFCCFFCC"/>
      <color rgb="FFFFFF66"/>
      <color rgb="FF00FFFF"/>
      <color rgb="FF99FF99"/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190500</xdr:colOff>
      <xdr:row>1</xdr:row>
      <xdr:rowOff>57150</xdr:rowOff>
    </xdr:from>
    <xdr:to>
      <xdr:col>32</xdr:col>
      <xdr:colOff>438150</xdr:colOff>
      <xdr:row>2</xdr:row>
      <xdr:rowOff>57150</xdr:rowOff>
    </xdr:to>
    <xdr:grpSp>
      <xdr:nvGrpSpPr>
        <xdr:cNvPr id="2" name="Group 1"/>
        <xdr:cNvGrpSpPr>
          <a:grpSpLocks/>
        </xdr:cNvGrpSpPr>
      </xdr:nvGrpSpPr>
      <xdr:grpSpPr bwMode="auto">
        <a:xfrm>
          <a:off x="22691912" y="135591"/>
          <a:ext cx="247650" cy="156883"/>
          <a:chOff x="1529" y="19"/>
          <a:chExt cx="26" cy="22"/>
        </a:xfrm>
      </xdr:grpSpPr>
      <xdr:sp macro="" textlink="">
        <xdr:nvSpPr>
          <xdr:cNvPr id="3" name="Line 2"/>
          <xdr:cNvSpPr>
            <a:spLocks noChangeShapeType="1"/>
          </xdr:cNvSpPr>
        </xdr:nvSpPr>
        <xdr:spPr bwMode="auto">
          <a:xfrm flipH="1">
            <a:off x="1529" y="19"/>
            <a:ext cx="11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none" w="sm" len="sm"/>
          </a:ln>
        </xdr:spPr>
      </xdr:sp>
      <xdr:sp macro="" textlink="">
        <xdr:nvSpPr>
          <xdr:cNvPr id="4" name="Line 3"/>
          <xdr:cNvSpPr>
            <a:spLocks noChangeShapeType="1"/>
          </xdr:cNvSpPr>
        </xdr:nvSpPr>
        <xdr:spPr bwMode="auto">
          <a:xfrm>
            <a:off x="1541" y="20"/>
            <a:ext cx="13" cy="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none" w="sm" len="sm"/>
          </a:ln>
        </xdr:spPr>
      </xdr:sp>
      <xdr:sp macro="" textlink="">
        <xdr:nvSpPr>
          <xdr:cNvPr id="5" name="Line 4"/>
          <xdr:cNvSpPr>
            <a:spLocks noChangeShapeType="1"/>
          </xdr:cNvSpPr>
        </xdr:nvSpPr>
        <xdr:spPr bwMode="auto">
          <a:xfrm flipV="1">
            <a:off x="1530" y="41"/>
            <a:ext cx="2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none" w="sm" len="sm"/>
          </a:ln>
        </xdr:spPr>
      </xdr:sp>
    </xdr:grpSp>
    <xdr:clientData/>
  </xdr:twoCellAnchor>
  <xdr:twoCellAnchor>
    <xdr:from>
      <xdr:col>0</xdr:col>
      <xdr:colOff>28575</xdr:colOff>
      <xdr:row>5</xdr:row>
      <xdr:rowOff>123825</xdr:rowOff>
    </xdr:from>
    <xdr:to>
      <xdr:col>1</xdr:col>
      <xdr:colOff>19050</xdr:colOff>
      <xdr:row>7</xdr:row>
      <xdr:rowOff>0</xdr:rowOff>
    </xdr:to>
    <xdr:sp macro="" textlink="">
      <xdr:nvSpPr>
        <xdr:cNvPr id="161" name="Text Box 618"/>
        <xdr:cNvSpPr txBox="1">
          <a:spLocks noChangeArrowheads="1"/>
        </xdr:cNvSpPr>
      </xdr:nvSpPr>
      <xdr:spPr bwMode="auto">
        <a:xfrm>
          <a:off x="28575" y="866775"/>
          <a:ext cx="1562100" cy="21907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ko-K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Rated Flow Case</a:t>
          </a:r>
        </a:p>
      </xdr:txBody>
    </xdr:sp>
    <xdr:clientData/>
  </xdr:twoCellAnchor>
  <xdr:twoCellAnchor>
    <xdr:from>
      <xdr:col>0</xdr:col>
      <xdr:colOff>1368879</xdr:colOff>
      <xdr:row>1</xdr:row>
      <xdr:rowOff>102375</xdr:rowOff>
    </xdr:from>
    <xdr:to>
      <xdr:col>4</xdr:col>
      <xdr:colOff>68036</xdr:colOff>
      <xdr:row>4</xdr:row>
      <xdr:rowOff>112060</xdr:rowOff>
    </xdr:to>
    <xdr:grpSp>
      <xdr:nvGrpSpPr>
        <xdr:cNvPr id="8" name="그룹 14"/>
        <xdr:cNvGrpSpPr>
          <a:grpSpLocks/>
        </xdr:cNvGrpSpPr>
      </xdr:nvGrpSpPr>
      <xdr:grpSpPr bwMode="auto">
        <a:xfrm>
          <a:off x="1368879" y="180816"/>
          <a:ext cx="2430716" cy="491538"/>
          <a:chOff x="8613040" y="2332547"/>
          <a:chExt cx="2152822" cy="413488"/>
        </a:xfrm>
      </xdr:grpSpPr>
      <xdr:pic>
        <xdr:nvPicPr>
          <xdr:cNvPr id="9" name="Picture 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8986367" y="2581883"/>
            <a:ext cx="1779495" cy="115586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</xdr:pic>
      <xdr:pic>
        <xdr:nvPicPr>
          <xdr:cNvPr id="10" name="Picture 1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/>
          <a:stretch>
            <a:fillRect/>
          </a:stretch>
        </xdr:blipFill>
        <xdr:spPr bwMode="auto">
          <a:xfrm>
            <a:off x="8613040" y="2332547"/>
            <a:ext cx="368831" cy="413488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</xdr:pic>
    </xdr:grpSp>
    <xdr:clientData/>
  </xdr:twoCellAnchor>
  <xdr:twoCellAnchor editAs="oneCell">
    <xdr:from>
      <xdr:col>0</xdr:col>
      <xdr:colOff>639476</xdr:colOff>
      <xdr:row>24</xdr:row>
      <xdr:rowOff>1679</xdr:rowOff>
    </xdr:from>
    <xdr:to>
      <xdr:col>18</xdr:col>
      <xdr:colOff>255495</xdr:colOff>
      <xdr:row>41</xdr:row>
      <xdr:rowOff>104042</xdr:rowOff>
    </xdr:to>
    <xdr:pic>
      <xdr:nvPicPr>
        <xdr:cNvPr id="86" name="그림 85" descr="캡처.JPG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9476" y="3789267"/>
          <a:ext cx="13388048" cy="27693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45</xdr:row>
      <xdr:rowOff>52669</xdr:rowOff>
    </xdr:from>
    <xdr:to>
      <xdr:col>8</xdr:col>
      <xdr:colOff>456080</xdr:colOff>
      <xdr:row>48</xdr:row>
      <xdr:rowOff>110380</xdr:rowOff>
    </xdr:to>
    <xdr:pic>
      <xdr:nvPicPr>
        <xdr:cNvPr id="2" name="그림 1" descr="캡처.JP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0" y="9454404"/>
          <a:ext cx="3554506" cy="987799"/>
        </a:xfrm>
        <a:prstGeom prst="rect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</xdr:pic>
    <xdr:clientData/>
  </xdr:twoCellAnchor>
  <xdr:twoCellAnchor editAs="oneCell">
    <xdr:from>
      <xdr:col>2</xdr:col>
      <xdr:colOff>285750</xdr:colOff>
      <xdr:row>50</xdr:row>
      <xdr:rowOff>87409</xdr:rowOff>
    </xdr:from>
    <xdr:to>
      <xdr:col>12</xdr:col>
      <xdr:colOff>353546</xdr:colOff>
      <xdr:row>53</xdr:row>
      <xdr:rowOff>155765</xdr:rowOff>
    </xdr:to>
    <xdr:pic>
      <xdr:nvPicPr>
        <xdr:cNvPr id="3" name="그림 2" descr="캡처 1.JP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0" y="10732997"/>
          <a:ext cx="5379384" cy="953621"/>
        </a:xfrm>
        <a:prstGeom prst="rect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cess/conceptual/tetra_LA/cdu5/Calc/HYDRAU/nb300/P70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stor/Desktop/17&#45380;%20&#49345;&#48152;&#44592;/&#44544;&#47196;&#53581;&#50644;&#51648;&#45768;&#50612;&#47553;/&#51649;&#47924;&#44284;&#51228;/17.10.15_Pump%20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ETCH"/>
      <sheetName val="CALC"/>
      <sheetName val="Fitting"/>
      <sheetName val="Module1"/>
      <sheetName val="DATA"/>
      <sheetName val="DWG SOURCE"/>
      <sheetName val="Case01"/>
      <sheetName val="piping"/>
      <sheetName val="Cover"/>
      <sheetName val="Report"/>
      <sheetName val="Main"/>
      <sheetName val="Output"/>
      <sheetName val="ReadMdl"/>
      <sheetName val="WORK-VOL"/>
    </sheetNames>
    <definedNames>
      <definedName name="_xlnm.Auto_OpenAuto_Ope" refersTo="#REF!" sheetId="1"/>
    </definedNames>
    <sheetDataSet>
      <sheetData sheetId="0" refreshError="1"/>
      <sheetData sheetId="1"/>
      <sheetData sheetId="2" refreshError="1"/>
      <sheetData sheetId="3" refreshError="1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ketch_Rated"/>
      <sheetName val="Sketch_Normal"/>
      <sheetName val="Calc"/>
      <sheetName val="Fitting"/>
      <sheetName val="DWG SOURCE"/>
      <sheetName val="Module1"/>
      <sheetName val="piping"/>
    </sheetNames>
    <sheetDataSet>
      <sheetData sheetId="0"/>
      <sheetData sheetId="1"/>
      <sheetData sheetId="2">
        <row r="4">
          <cell r="H4">
            <v>1</v>
          </cell>
          <cell r="I4">
            <v>2</v>
          </cell>
          <cell r="J4">
            <v>3</v>
          </cell>
          <cell r="K4">
            <v>4</v>
          </cell>
          <cell r="L4">
            <v>5</v>
          </cell>
          <cell r="M4">
            <v>6</v>
          </cell>
          <cell r="N4">
            <v>7</v>
          </cell>
          <cell r="O4">
            <v>8</v>
          </cell>
          <cell r="P4">
            <v>9</v>
          </cell>
          <cell r="Q4">
            <v>10</v>
          </cell>
          <cell r="R4">
            <v>11</v>
          </cell>
          <cell r="S4">
            <v>12</v>
          </cell>
          <cell r="T4">
            <v>13</v>
          </cell>
          <cell r="U4">
            <v>14</v>
          </cell>
          <cell r="V4">
            <v>15</v>
          </cell>
          <cell r="W4">
            <v>16</v>
          </cell>
          <cell r="X4">
            <v>17</v>
          </cell>
          <cell r="Y4">
            <v>18</v>
          </cell>
          <cell r="Z4">
            <v>19</v>
          </cell>
          <cell r="AA4">
            <v>20</v>
          </cell>
        </row>
        <row r="7">
          <cell r="H7" t="str">
            <v>LIQUID</v>
          </cell>
          <cell r="I7" t="str">
            <v>LIQUID</v>
          </cell>
          <cell r="J7" t="str">
            <v>LIQUID</v>
          </cell>
          <cell r="K7" t="str">
            <v>LIQUID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</row>
        <row r="9">
          <cell r="H9">
            <v>37.799999999999997</v>
          </cell>
          <cell r="I9">
            <v>30</v>
          </cell>
          <cell r="J9">
            <v>30.001000000000001</v>
          </cell>
          <cell r="K9">
            <v>59.2</v>
          </cell>
        </row>
        <row r="10">
          <cell r="H10">
            <v>17.93</v>
          </cell>
          <cell r="I10">
            <v>17.93</v>
          </cell>
          <cell r="J10">
            <v>17.93</v>
          </cell>
          <cell r="K10">
            <v>17.23</v>
          </cell>
        </row>
        <row r="11">
          <cell r="H11">
            <v>17.763252015984769</v>
          </cell>
          <cell r="I11">
            <v>17.683706692378056</v>
          </cell>
          <cell r="J11">
            <v>17.861447346189028</v>
          </cell>
          <cell r="K11">
            <v>16.965615259231868</v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</row>
        <row r="13">
          <cell r="H13">
            <v>4</v>
          </cell>
          <cell r="I13">
            <v>4</v>
          </cell>
          <cell r="J13">
            <v>4</v>
          </cell>
          <cell r="K13">
            <v>3</v>
          </cell>
        </row>
        <row r="14">
          <cell r="H14">
            <v>40</v>
          </cell>
          <cell r="I14">
            <v>300</v>
          </cell>
          <cell r="J14">
            <v>300</v>
          </cell>
          <cell r="K14">
            <v>300</v>
          </cell>
        </row>
        <row r="15">
          <cell r="H15">
            <v>50</v>
          </cell>
          <cell r="I15">
            <v>100</v>
          </cell>
          <cell r="J15">
            <v>50</v>
          </cell>
          <cell r="K15">
            <v>50</v>
          </cell>
        </row>
        <row r="16">
          <cell r="H16">
            <v>1</v>
          </cell>
          <cell r="I16">
            <v>1</v>
          </cell>
          <cell r="J16">
            <v>1</v>
          </cell>
          <cell r="K16">
            <v>1</v>
          </cell>
        </row>
        <row r="17">
          <cell r="H17">
            <v>1.8</v>
          </cell>
          <cell r="I17">
            <v>2</v>
          </cell>
        </row>
        <row r="18">
          <cell r="H18">
            <v>95.5</v>
          </cell>
          <cell r="I18">
            <v>191</v>
          </cell>
          <cell r="J18">
            <v>95.5</v>
          </cell>
          <cell r="K18">
            <v>90.851081511320018</v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</row>
        <row r="19">
          <cell r="H19">
            <v>0.10226</v>
          </cell>
          <cell r="I19">
            <v>0.10226</v>
          </cell>
          <cell r="J19">
            <v>0.10226</v>
          </cell>
          <cell r="K19">
            <v>7.7929999999999999E-2</v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</row>
        <row r="20">
          <cell r="H20">
            <v>4.5719999999999997E-2</v>
          </cell>
          <cell r="I20">
            <v>4.5999999999999999E-2</v>
          </cell>
          <cell r="J20">
            <v>4.5999999999999999E-2</v>
          </cell>
          <cell r="K20">
            <v>4.5999999999999999E-2</v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</row>
        <row r="22">
          <cell r="H22">
            <v>18183</v>
          </cell>
          <cell r="I22">
            <v>18183</v>
          </cell>
          <cell r="J22">
            <v>18183</v>
          </cell>
          <cell r="K22">
            <v>18183</v>
          </cell>
        </row>
        <row r="23">
          <cell r="H23">
            <v>10</v>
          </cell>
          <cell r="I23">
            <v>10</v>
          </cell>
          <cell r="J23">
            <v>10</v>
          </cell>
          <cell r="K23">
            <v>10</v>
          </cell>
        </row>
        <row r="24">
          <cell r="H24">
            <v>545.94000000000005</v>
          </cell>
          <cell r="I24">
            <v>545.94000000000005</v>
          </cell>
          <cell r="J24">
            <v>545.94000000000005</v>
          </cell>
          <cell r="K24">
            <v>545.94000000000005</v>
          </cell>
        </row>
        <row r="25">
          <cell r="H25">
            <v>0.11352</v>
          </cell>
          <cell r="I25">
            <v>0.11352</v>
          </cell>
          <cell r="J25">
            <v>0.11352</v>
          </cell>
          <cell r="K25">
            <v>0.11352</v>
          </cell>
        </row>
        <row r="26">
          <cell r="H26">
            <v>7.5197000000000003</v>
          </cell>
          <cell r="I26">
            <v>7.5197000000000003</v>
          </cell>
          <cell r="J26">
            <v>7.5197000000000003</v>
          </cell>
          <cell r="K26">
            <v>7.5197000000000003</v>
          </cell>
        </row>
        <row r="27">
          <cell r="H27">
            <v>20001.300000000003</v>
          </cell>
          <cell r="I27">
            <v>20001.300000000003</v>
          </cell>
          <cell r="J27">
            <v>20001.300000000003</v>
          </cell>
          <cell r="K27">
            <v>20001.300000000003</v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</row>
        <row r="28">
          <cell r="H28">
            <v>36.636443565226948</v>
          </cell>
          <cell r="I28">
            <v>36.636443565226948</v>
          </cell>
          <cell r="J28">
            <v>36.636443565226948</v>
          </cell>
          <cell r="K28">
            <v>36.636443565226948</v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</row>
        <row r="29">
          <cell r="H29">
            <v>1.2391085382630893</v>
          </cell>
          <cell r="I29">
            <v>1.2391085382630893</v>
          </cell>
          <cell r="J29">
            <v>1.2391085382630893</v>
          </cell>
          <cell r="K29">
            <v>2.133592980512399</v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  <cell r="Y29" t="str">
            <v/>
          </cell>
          <cell r="Z29" t="str">
            <v/>
          </cell>
          <cell r="AA29" t="str">
            <v/>
          </cell>
        </row>
        <row r="30">
          <cell r="H30">
            <v>609379.26256776298</v>
          </cell>
          <cell r="I30">
            <v>609379.26256776298</v>
          </cell>
          <cell r="J30">
            <v>609379.26256776298</v>
          </cell>
          <cell r="K30">
            <v>799629.45451276063</v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</row>
        <row r="31">
          <cell r="H31">
            <v>1.7156027225872617E-2</v>
          </cell>
          <cell r="I31">
            <v>1.7174533866215803E-2</v>
          </cell>
          <cell r="J31">
            <v>1.7174533866215803E-2</v>
          </cell>
          <cell r="K31">
            <v>1.7896363069530873E-2</v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</row>
        <row r="32">
          <cell r="H32">
            <v>17.763252015984769</v>
          </cell>
          <cell r="I32">
            <v>17.683706692378056</v>
          </cell>
          <cell r="J32">
            <v>17.861447346189028</v>
          </cell>
          <cell r="K32">
            <v>16.965615259231868</v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</row>
        <row r="33">
          <cell r="H33">
            <v>6.8478784015231206E-2</v>
          </cell>
          <cell r="I33">
            <v>0.13710530762194514</v>
          </cell>
          <cell r="J33">
            <v>6.8552653810972572E-2</v>
          </cell>
          <cell r="K33">
            <v>0.26438474076813379</v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  <cell r="Y33" t="str">
            <v/>
          </cell>
          <cell r="Z33" t="str">
            <v/>
          </cell>
          <cell r="AA33" t="str">
            <v/>
          </cell>
        </row>
        <row r="34">
          <cell r="H34">
            <v>9.8269200000000015E-2</v>
          </cell>
          <cell r="I34">
            <v>0.10918800000000002</v>
          </cell>
          <cell r="J34">
            <v>0</v>
          </cell>
          <cell r="K34">
            <v>0</v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</row>
        <row r="35">
          <cell r="H35">
            <v>7.17055330002421E-2</v>
          </cell>
          <cell r="I35">
            <v>7.1782883571699027E-2</v>
          </cell>
          <cell r="J35">
            <v>7.1782883571699027E-2</v>
          </cell>
          <cell r="K35">
            <v>0.29100890861182704</v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</row>
        <row r="43"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</row>
        <row r="44"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</row>
        <row r="45"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</row>
        <row r="46"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</row>
        <row r="47"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</row>
        <row r="48"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</row>
        <row r="49"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</row>
        <row r="50"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</row>
        <row r="51"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</row>
        <row r="52"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</row>
        <row r="53"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</row>
        <row r="54"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</row>
        <row r="55"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</row>
        <row r="58"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</row>
        <row r="60"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</row>
        <row r="61"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  <cell r="Y61" t="str">
            <v/>
          </cell>
          <cell r="Z61" t="str">
            <v/>
          </cell>
          <cell r="AA61" t="str">
            <v/>
          </cell>
        </row>
        <row r="62"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  <cell r="Y62" t="str">
            <v/>
          </cell>
          <cell r="Z62" t="str">
            <v/>
          </cell>
          <cell r="AA62" t="str">
            <v/>
          </cell>
        </row>
        <row r="63"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  <cell r="S63" t="str">
            <v/>
          </cell>
          <cell r="T63" t="str">
            <v/>
          </cell>
          <cell r="U63" t="str">
            <v/>
          </cell>
          <cell r="V63" t="str">
            <v/>
          </cell>
          <cell r="W63" t="str">
            <v/>
          </cell>
          <cell r="X63" t="str">
            <v/>
          </cell>
          <cell r="Y63" t="str">
            <v/>
          </cell>
          <cell r="Z63" t="str">
            <v/>
          </cell>
          <cell r="AA63" t="str">
            <v/>
          </cell>
        </row>
        <row r="64"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  <cell r="W64" t="str">
            <v/>
          </cell>
          <cell r="X64" t="str">
            <v/>
          </cell>
          <cell r="Y64" t="str">
            <v/>
          </cell>
          <cell r="Z64" t="str">
            <v/>
          </cell>
          <cell r="AA64" t="str">
            <v/>
          </cell>
        </row>
        <row r="65"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 t="str">
            <v/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/>
          </cell>
          <cell r="W65" t="str">
            <v/>
          </cell>
          <cell r="X65" t="str">
            <v/>
          </cell>
          <cell r="Y65" t="str">
            <v/>
          </cell>
          <cell r="Z65" t="str">
            <v/>
          </cell>
          <cell r="AA65" t="str">
            <v/>
          </cell>
        </row>
        <row r="66"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 t="str">
            <v/>
          </cell>
          <cell r="Q66" t="str">
            <v/>
          </cell>
          <cell r="R66" t="str">
            <v/>
          </cell>
          <cell r="S66" t="str">
            <v/>
          </cell>
          <cell r="T66" t="str">
            <v/>
          </cell>
          <cell r="U66" t="str">
            <v/>
          </cell>
          <cell r="V66" t="str">
            <v/>
          </cell>
          <cell r="W66" t="str">
            <v/>
          </cell>
          <cell r="X66" t="str">
            <v/>
          </cell>
          <cell r="Y66" t="str">
            <v/>
          </cell>
          <cell r="Z66" t="str">
            <v/>
          </cell>
          <cell r="AA66" t="str">
            <v/>
          </cell>
        </row>
        <row r="67"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/>
          </cell>
          <cell r="W67" t="str">
            <v/>
          </cell>
          <cell r="X67" t="str">
            <v/>
          </cell>
          <cell r="Y67" t="str">
            <v/>
          </cell>
          <cell r="Z67" t="str">
            <v/>
          </cell>
          <cell r="AA67" t="str">
            <v/>
          </cell>
        </row>
        <row r="69"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/>
          </cell>
          <cell r="W69" t="str">
            <v/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</row>
        <row r="70"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 t="str">
            <v/>
          </cell>
          <cell r="T70" t="str">
            <v/>
          </cell>
          <cell r="U70" t="str">
            <v/>
          </cell>
          <cell r="V70" t="str">
            <v/>
          </cell>
          <cell r="W70" t="str">
            <v/>
          </cell>
          <cell r="X70" t="str">
            <v/>
          </cell>
          <cell r="Y70" t="str">
            <v/>
          </cell>
          <cell r="Z70" t="str">
            <v/>
          </cell>
          <cell r="AA70" t="str">
            <v/>
          </cell>
        </row>
        <row r="71"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/>
          </cell>
          <cell r="W71" t="str">
            <v/>
          </cell>
          <cell r="X71" t="str">
            <v/>
          </cell>
          <cell r="Y71" t="str">
            <v/>
          </cell>
          <cell r="Z71" t="str">
            <v/>
          </cell>
          <cell r="AA71" t="str">
            <v/>
          </cell>
        </row>
        <row r="72"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  <cell r="V72" t="str">
            <v/>
          </cell>
          <cell r="W72" t="str">
            <v/>
          </cell>
          <cell r="X72" t="str">
            <v/>
          </cell>
          <cell r="Y72" t="str">
            <v/>
          </cell>
          <cell r="Z72" t="str">
            <v/>
          </cell>
          <cell r="AA72" t="str">
            <v/>
          </cell>
        </row>
        <row r="73"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/>
          </cell>
          <cell r="W73" t="str">
            <v/>
          </cell>
          <cell r="X73" t="str">
            <v/>
          </cell>
          <cell r="Y73" t="str">
            <v/>
          </cell>
          <cell r="Z73" t="str">
            <v/>
          </cell>
          <cell r="AA73" t="str">
            <v/>
          </cell>
        </row>
        <row r="74"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Z74" t="str">
            <v/>
          </cell>
          <cell r="AA74" t="str">
            <v/>
          </cell>
        </row>
        <row r="75"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/>
          </cell>
          <cell r="W75" t="str">
            <v/>
          </cell>
          <cell r="X75" t="str">
            <v/>
          </cell>
          <cell r="Y75" t="str">
            <v/>
          </cell>
          <cell r="Z75" t="str">
            <v/>
          </cell>
          <cell r="AA75" t="str">
            <v/>
          </cell>
        </row>
        <row r="77"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/>
          </cell>
          <cell r="W77" t="str">
            <v/>
          </cell>
          <cell r="X77" t="str">
            <v/>
          </cell>
          <cell r="Y77" t="str">
            <v/>
          </cell>
          <cell r="Z77" t="str">
            <v/>
          </cell>
          <cell r="AA77" t="str">
            <v/>
          </cell>
        </row>
        <row r="78"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Z78" t="str">
            <v/>
          </cell>
          <cell r="AA78" t="str">
            <v/>
          </cell>
        </row>
        <row r="79"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/>
          </cell>
          <cell r="W79" t="str">
            <v/>
          </cell>
          <cell r="X79" t="str">
            <v/>
          </cell>
          <cell r="Y79" t="str">
            <v/>
          </cell>
          <cell r="Z79" t="str">
            <v/>
          </cell>
          <cell r="AA79" t="str">
            <v/>
          </cell>
        </row>
        <row r="80"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 t="str">
            <v/>
          </cell>
          <cell r="U80" t="str">
            <v/>
          </cell>
          <cell r="V80" t="str">
            <v/>
          </cell>
          <cell r="W80" t="str">
            <v/>
          </cell>
          <cell r="X80" t="str">
            <v/>
          </cell>
          <cell r="Y80" t="str">
            <v/>
          </cell>
          <cell r="Z80" t="str">
            <v/>
          </cell>
          <cell r="AA80" t="str">
            <v/>
          </cell>
        </row>
        <row r="81"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/>
          </cell>
          <cell r="W81" t="str">
            <v/>
          </cell>
          <cell r="X81" t="str">
            <v/>
          </cell>
          <cell r="Y81" t="str">
            <v/>
          </cell>
          <cell r="Z81" t="str">
            <v/>
          </cell>
          <cell r="AA81" t="str">
            <v/>
          </cell>
        </row>
        <row r="82"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  <cell r="V82" t="str">
            <v/>
          </cell>
          <cell r="W82" t="str">
            <v/>
          </cell>
          <cell r="X82" t="str">
            <v/>
          </cell>
          <cell r="Y82" t="str">
            <v/>
          </cell>
          <cell r="Z82" t="str">
            <v/>
          </cell>
          <cell r="AA82" t="str">
            <v/>
          </cell>
        </row>
        <row r="83"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/>
          </cell>
          <cell r="W83" t="str">
            <v/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</row>
        <row r="85"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</row>
        <row r="86"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 t="str">
            <v/>
          </cell>
          <cell r="U86" t="str">
            <v/>
          </cell>
          <cell r="V86" t="str">
            <v/>
          </cell>
          <cell r="W86" t="str">
            <v/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</row>
        <row r="87"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</row>
        <row r="88"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</row>
        <row r="89"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</row>
        <row r="90"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</row>
        <row r="91"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</row>
        <row r="92"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</row>
        <row r="93"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</row>
        <row r="94"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  <cell r="V94" t="str">
            <v/>
          </cell>
          <cell r="W94" t="str">
            <v/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</row>
        <row r="95"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/>
          </cell>
          <cell r="W95" t="str">
            <v/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</row>
        <row r="96"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</row>
        <row r="97"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</row>
        <row r="98"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</row>
        <row r="100"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  <cell r="Q100" t="str">
            <v/>
          </cell>
          <cell r="R100" t="str">
            <v/>
          </cell>
          <cell r="S100" t="str">
            <v/>
          </cell>
          <cell r="T100" t="str">
            <v/>
          </cell>
          <cell r="U100" t="str">
            <v/>
          </cell>
          <cell r="V100" t="str">
            <v/>
          </cell>
          <cell r="W100" t="str">
            <v/>
          </cell>
          <cell r="X100" t="str">
            <v/>
          </cell>
          <cell r="Y100" t="str">
            <v/>
          </cell>
          <cell r="Z100" t="str">
            <v/>
          </cell>
          <cell r="AA100" t="str">
            <v/>
          </cell>
        </row>
        <row r="101"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  <cell r="Q101" t="str">
            <v/>
          </cell>
          <cell r="R101" t="str">
            <v/>
          </cell>
          <cell r="S101" t="str">
            <v/>
          </cell>
          <cell r="T101" t="str">
            <v/>
          </cell>
          <cell r="U101" t="str">
            <v/>
          </cell>
          <cell r="V101" t="str">
            <v/>
          </cell>
          <cell r="W101" t="str">
            <v/>
          </cell>
          <cell r="X101" t="str">
            <v/>
          </cell>
          <cell r="Y101" t="str">
            <v/>
          </cell>
          <cell r="Z101" t="str">
            <v/>
          </cell>
          <cell r="AA101" t="str">
            <v/>
          </cell>
        </row>
        <row r="102"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 t="str">
            <v/>
          </cell>
          <cell r="P102" t="str">
            <v/>
          </cell>
          <cell r="Q102" t="str">
            <v/>
          </cell>
          <cell r="R102" t="str">
            <v/>
          </cell>
          <cell r="S102" t="str">
            <v/>
          </cell>
          <cell r="T102" t="str">
            <v/>
          </cell>
          <cell r="U102" t="str">
            <v/>
          </cell>
          <cell r="V102" t="str">
            <v/>
          </cell>
          <cell r="W102" t="str">
            <v/>
          </cell>
          <cell r="X102" t="str">
            <v/>
          </cell>
          <cell r="Y102" t="str">
            <v/>
          </cell>
          <cell r="Z102" t="str">
            <v/>
          </cell>
          <cell r="AA102" t="str">
            <v/>
          </cell>
        </row>
        <row r="103"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 t="str">
            <v/>
          </cell>
          <cell r="P103" t="str">
            <v/>
          </cell>
          <cell r="Q103" t="str">
            <v/>
          </cell>
          <cell r="R103" t="str">
            <v/>
          </cell>
          <cell r="S103" t="str">
            <v/>
          </cell>
          <cell r="T103" t="str">
            <v/>
          </cell>
          <cell r="U103" t="str">
            <v/>
          </cell>
          <cell r="V103" t="str">
            <v/>
          </cell>
          <cell r="W103" t="str">
            <v/>
          </cell>
          <cell r="X103" t="str">
            <v/>
          </cell>
          <cell r="Y103" t="str">
            <v/>
          </cell>
          <cell r="Z103" t="str">
            <v/>
          </cell>
          <cell r="AA103" t="str">
            <v/>
          </cell>
        </row>
        <row r="104"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 t="str">
            <v/>
          </cell>
          <cell r="P104" t="str">
            <v/>
          </cell>
          <cell r="Q104" t="str">
            <v/>
          </cell>
          <cell r="R104" t="str">
            <v/>
          </cell>
          <cell r="S104" t="str">
            <v/>
          </cell>
          <cell r="T104" t="str">
            <v/>
          </cell>
          <cell r="U104" t="str">
            <v/>
          </cell>
          <cell r="V104" t="str">
            <v/>
          </cell>
          <cell r="W104" t="str">
            <v/>
          </cell>
          <cell r="X104" t="str">
            <v/>
          </cell>
          <cell r="Y104" t="str">
            <v/>
          </cell>
          <cell r="Z104" t="str">
            <v/>
          </cell>
          <cell r="AA104" t="str">
            <v/>
          </cell>
        </row>
        <row r="105"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  <cell r="V105" t="str">
            <v/>
          </cell>
          <cell r="W105" t="str">
            <v/>
          </cell>
          <cell r="X105" t="str">
            <v/>
          </cell>
          <cell r="Y105" t="str">
            <v/>
          </cell>
          <cell r="Z105" t="str">
            <v/>
          </cell>
          <cell r="AA105" t="str">
            <v/>
          </cell>
        </row>
        <row r="106"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  <cell r="V106" t="str">
            <v/>
          </cell>
          <cell r="W106" t="str">
            <v/>
          </cell>
          <cell r="X106" t="str">
            <v/>
          </cell>
          <cell r="Y106" t="str">
            <v/>
          </cell>
          <cell r="Z106" t="str">
            <v/>
          </cell>
          <cell r="AA106" t="str">
            <v/>
          </cell>
        </row>
        <row r="107"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  <cell r="V107" t="str">
            <v/>
          </cell>
          <cell r="W107" t="str">
            <v/>
          </cell>
          <cell r="X107" t="str">
            <v/>
          </cell>
          <cell r="Y107" t="str">
            <v/>
          </cell>
          <cell r="Z107" t="str">
            <v/>
          </cell>
          <cell r="AA107" t="str">
            <v/>
          </cell>
        </row>
      </sheetData>
      <sheetData sheetId="3"/>
      <sheetData sheetId="4"/>
      <sheetData sheetId="5" refreshError="1"/>
      <sheetData sheetId="6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B186"/>
  <sheetViews>
    <sheetView showGridLines="0" tabSelected="1" view="pageBreakPreview" topLeftCell="R1" zoomScale="85" zoomScaleNormal="70" zoomScaleSheetLayoutView="85" workbookViewId="0">
      <selection activeCell="AJ7" sqref="AJ7"/>
    </sheetView>
  </sheetViews>
  <sheetFormatPr defaultRowHeight="12.75"/>
  <cols>
    <col min="1" max="1" width="24.7109375" customWidth="1"/>
    <col min="2" max="2" width="9.7109375" customWidth="1"/>
    <col min="3" max="22" width="10.7109375" customWidth="1"/>
    <col min="23" max="23" width="9.28515625" customWidth="1"/>
    <col min="24" max="27" width="8.28515625" customWidth="1"/>
    <col min="28" max="28" width="8.7109375" customWidth="1"/>
    <col min="29" max="29" width="9.28515625" bestFit="1" customWidth="1"/>
    <col min="30" max="36" width="9.28515625" customWidth="1"/>
    <col min="37" max="37" width="10.140625" bestFit="1" customWidth="1"/>
    <col min="39" max="39" width="10.140625" customWidth="1"/>
    <col min="40" max="46" width="9.140625" customWidth="1"/>
  </cols>
  <sheetData>
    <row r="1" spans="1:45" ht="6" customHeight="1" thickBot="1"/>
    <row r="2" spans="1:45" ht="12.75" customHeight="1">
      <c r="A2" s="482"/>
      <c r="B2" s="420"/>
      <c r="C2" s="420"/>
      <c r="D2" s="420"/>
      <c r="E2" s="420"/>
      <c r="F2" s="483"/>
      <c r="G2" s="472" t="s">
        <v>11</v>
      </c>
      <c r="H2" s="488"/>
      <c r="I2" s="488"/>
      <c r="J2" s="488"/>
      <c r="K2" s="489"/>
      <c r="L2" s="472" t="s">
        <v>12</v>
      </c>
      <c r="M2" s="492"/>
      <c r="N2" s="492"/>
      <c r="O2" s="493"/>
      <c r="P2" s="472" t="s">
        <v>13</v>
      </c>
      <c r="Q2" s="500"/>
      <c r="R2" s="502"/>
      <c r="S2" s="503"/>
      <c r="T2" s="503"/>
      <c r="U2" s="503"/>
      <c r="V2" s="504"/>
      <c r="W2" s="531" t="s">
        <v>229</v>
      </c>
      <c r="X2" s="532"/>
      <c r="Y2" s="526">
        <f ca="1">TODAY()</f>
        <v>43418</v>
      </c>
      <c r="Z2" s="527"/>
      <c r="AA2" s="527"/>
      <c r="AB2" s="528"/>
      <c r="AC2" s="535" t="s">
        <v>14</v>
      </c>
      <c r="AD2" s="403">
        <v>1</v>
      </c>
      <c r="AE2" s="404"/>
      <c r="AF2" s="537"/>
      <c r="AG2" s="518">
        <v>0</v>
      </c>
    </row>
    <row r="3" spans="1:45" ht="13.5" customHeight="1" thickBot="1">
      <c r="A3" s="484"/>
      <c r="B3" s="387"/>
      <c r="C3" s="387"/>
      <c r="D3" s="387"/>
      <c r="E3" s="387"/>
      <c r="F3" s="485"/>
      <c r="G3" s="473"/>
      <c r="H3" s="490"/>
      <c r="I3" s="490"/>
      <c r="J3" s="490"/>
      <c r="K3" s="491"/>
      <c r="L3" s="473"/>
      <c r="M3" s="494"/>
      <c r="N3" s="494"/>
      <c r="O3" s="495"/>
      <c r="P3" s="473"/>
      <c r="Q3" s="501"/>
      <c r="R3" s="505"/>
      <c r="S3" s="506"/>
      <c r="T3" s="506"/>
      <c r="U3" s="506"/>
      <c r="V3" s="507"/>
      <c r="W3" s="533"/>
      <c r="X3" s="534"/>
      <c r="Y3" s="529"/>
      <c r="Z3" s="529"/>
      <c r="AA3" s="529"/>
      <c r="AB3" s="530"/>
      <c r="AC3" s="536"/>
      <c r="AD3" s="405"/>
      <c r="AE3" s="406"/>
      <c r="AF3" s="538"/>
      <c r="AG3" s="519"/>
    </row>
    <row r="4" spans="1:45">
      <c r="A4" s="484"/>
      <c r="B4" s="387"/>
      <c r="C4" s="387"/>
      <c r="D4" s="387"/>
      <c r="E4" s="387"/>
      <c r="F4" s="485"/>
      <c r="G4" s="474" t="s">
        <v>15</v>
      </c>
      <c r="H4" s="478"/>
      <c r="I4" s="478"/>
      <c r="J4" s="478"/>
      <c r="K4" s="479"/>
      <c r="L4" s="474" t="s">
        <v>16</v>
      </c>
      <c r="M4" s="475"/>
      <c r="N4" s="478"/>
      <c r="O4" s="479"/>
      <c r="P4" s="496" t="s">
        <v>17</v>
      </c>
      <c r="Q4" s="497"/>
      <c r="R4" s="466"/>
      <c r="S4" s="467"/>
      <c r="T4" s="467"/>
      <c r="U4" s="467"/>
      <c r="V4" s="508"/>
      <c r="W4" s="510" t="s">
        <v>30</v>
      </c>
      <c r="X4" s="511"/>
      <c r="Y4" s="511"/>
      <c r="Z4" s="511"/>
      <c r="AA4" s="511"/>
      <c r="AB4" s="511"/>
      <c r="AC4" s="535" t="s">
        <v>214</v>
      </c>
      <c r="AD4" s="540"/>
      <c r="AE4" s="540"/>
      <c r="AF4" s="540"/>
      <c r="AG4" s="541"/>
    </row>
    <row r="5" spans="1:45" ht="13.5" thickBot="1">
      <c r="A5" s="486"/>
      <c r="B5" s="470"/>
      <c r="C5" s="470"/>
      <c r="D5" s="470"/>
      <c r="E5" s="470"/>
      <c r="F5" s="487"/>
      <c r="G5" s="476"/>
      <c r="H5" s="480"/>
      <c r="I5" s="480"/>
      <c r="J5" s="480"/>
      <c r="K5" s="481"/>
      <c r="L5" s="476"/>
      <c r="M5" s="477"/>
      <c r="N5" s="480"/>
      <c r="O5" s="481"/>
      <c r="P5" s="498"/>
      <c r="Q5" s="499"/>
      <c r="R5" s="469"/>
      <c r="S5" s="470"/>
      <c r="T5" s="470"/>
      <c r="U5" s="470"/>
      <c r="V5" s="509"/>
      <c r="W5" s="512"/>
      <c r="X5" s="513"/>
      <c r="Y5" s="513"/>
      <c r="Z5" s="513"/>
      <c r="AA5" s="513"/>
      <c r="AB5" s="513"/>
      <c r="AC5" s="542"/>
      <c r="AD5" s="543"/>
      <c r="AE5" s="543"/>
      <c r="AF5" s="543"/>
      <c r="AG5" s="544"/>
    </row>
    <row r="6" spans="1:45" ht="14.1" customHeight="1">
      <c r="A6" s="25"/>
      <c r="B6" s="26"/>
      <c r="C6" s="26"/>
      <c r="D6" s="26"/>
      <c r="E6" s="26"/>
      <c r="F6" s="26"/>
      <c r="H6" s="147"/>
      <c r="I6" s="148"/>
      <c r="J6" s="148"/>
      <c r="K6" s="148"/>
      <c r="L6" s="148"/>
      <c r="M6" s="197" t="s">
        <v>186</v>
      </c>
      <c r="N6" s="28" t="s">
        <v>121</v>
      </c>
      <c r="O6" s="28"/>
      <c r="P6" s="27"/>
      <c r="Q6" s="27"/>
      <c r="R6" s="27"/>
      <c r="S6" s="27"/>
      <c r="T6" s="27"/>
      <c r="U6" s="27"/>
      <c r="V6" s="27"/>
      <c r="W6" s="520" t="s">
        <v>31</v>
      </c>
      <c r="X6" s="521"/>
      <c r="Y6" s="521"/>
      <c r="Z6" s="248" t="s">
        <v>43</v>
      </c>
      <c r="AA6" s="426">
        <v>30</v>
      </c>
      <c r="AB6" s="427"/>
      <c r="AC6" s="419" t="s">
        <v>215</v>
      </c>
      <c r="AD6" s="420"/>
      <c r="AE6" s="421" t="s">
        <v>260</v>
      </c>
      <c r="AF6" s="422"/>
      <c r="AG6" s="423"/>
    </row>
    <row r="7" spans="1:45" ht="14.1" customHeight="1">
      <c r="A7" s="25"/>
      <c r="B7" s="26"/>
      <c r="C7" s="26"/>
      <c r="D7" s="26"/>
      <c r="E7" s="26"/>
      <c r="F7" s="26"/>
      <c r="G7" s="26"/>
      <c r="H7" s="147"/>
      <c r="I7" s="148"/>
      <c r="J7" s="148"/>
      <c r="K7" s="148"/>
      <c r="L7" s="148"/>
      <c r="M7" s="148"/>
      <c r="N7" s="28" t="s">
        <v>122</v>
      </c>
      <c r="O7" s="28"/>
      <c r="P7" s="27"/>
      <c r="Q7" s="27"/>
      <c r="R7" s="27"/>
      <c r="S7" s="27"/>
      <c r="T7" s="27"/>
      <c r="U7" s="27"/>
      <c r="V7" s="27"/>
      <c r="W7" s="522" t="s">
        <v>135</v>
      </c>
      <c r="X7" s="523"/>
      <c r="Y7" s="523"/>
      <c r="Z7" s="249" t="s">
        <v>41</v>
      </c>
      <c r="AA7" s="428">
        <f>1*3600/1600</f>
        <v>2.25</v>
      </c>
      <c r="AB7" s="429"/>
      <c r="AC7" s="428" t="s">
        <v>278</v>
      </c>
      <c r="AD7" s="545"/>
      <c r="AE7" s="428">
        <f>0.306*10^6*3.968</f>
        <v>1214208</v>
      </c>
      <c r="AF7" s="429"/>
      <c r="AG7" s="438"/>
    </row>
    <row r="8" spans="1:45" ht="14.1" customHeight="1">
      <c r="A8" s="25"/>
      <c r="B8" s="26"/>
      <c r="C8" s="26"/>
      <c r="D8" s="26"/>
      <c r="E8" s="26"/>
      <c r="F8" s="26"/>
      <c r="G8" s="26"/>
      <c r="H8" s="147"/>
      <c r="I8" s="148"/>
      <c r="J8" s="148"/>
      <c r="K8" s="148"/>
      <c r="L8" s="148"/>
      <c r="M8" s="148"/>
      <c r="N8" s="28" t="s">
        <v>187</v>
      </c>
      <c r="O8" s="28"/>
      <c r="P8" s="27"/>
      <c r="Q8" s="27"/>
      <c r="R8" s="27"/>
      <c r="S8" s="27"/>
      <c r="T8" s="27"/>
      <c r="U8" s="27"/>
      <c r="V8" s="27"/>
      <c r="W8" s="514" t="s">
        <v>208</v>
      </c>
      <c r="X8" s="515"/>
      <c r="Y8" s="515"/>
      <c r="Z8" s="251"/>
      <c r="AA8" s="434" t="s">
        <v>255</v>
      </c>
      <c r="AB8" s="435"/>
      <c r="AC8" s="439"/>
      <c r="AD8" s="539"/>
      <c r="AE8" s="439"/>
      <c r="AF8" s="440"/>
      <c r="AG8" s="441"/>
    </row>
    <row r="9" spans="1:45" ht="14.1" customHeight="1">
      <c r="A9" s="25"/>
      <c r="B9" s="26"/>
      <c r="C9" s="26"/>
      <c r="D9" s="26"/>
      <c r="E9" s="26"/>
      <c r="F9" s="26"/>
      <c r="G9" s="26"/>
      <c r="H9" s="148"/>
      <c r="I9" s="148"/>
      <c r="J9" s="148"/>
      <c r="K9" s="148"/>
      <c r="L9" s="148"/>
      <c r="M9" s="148"/>
      <c r="N9" s="27"/>
      <c r="O9" s="27"/>
      <c r="P9" s="27"/>
      <c r="Q9" s="27"/>
      <c r="R9" s="27"/>
      <c r="S9" s="27"/>
      <c r="T9" s="27"/>
      <c r="U9" s="27"/>
      <c r="V9" s="27"/>
      <c r="W9" s="524" t="s">
        <v>136</v>
      </c>
      <c r="X9" s="525"/>
      <c r="Y9" s="525"/>
      <c r="Z9" s="250" t="s">
        <v>105</v>
      </c>
      <c r="AA9" s="430">
        <f>SUM(C62:V62)*0.3048/1000</f>
        <v>9.5</v>
      </c>
      <c r="AB9" s="431"/>
      <c r="AC9" s="439"/>
      <c r="AD9" s="539"/>
      <c r="AE9" s="439"/>
      <c r="AF9" s="440"/>
      <c r="AG9" s="441"/>
    </row>
    <row r="10" spans="1:45" ht="14.1" customHeight="1">
      <c r="A10" s="25"/>
      <c r="B10" s="26"/>
      <c r="C10" s="26"/>
      <c r="D10" s="26"/>
      <c r="E10" s="26"/>
      <c r="F10" s="26"/>
      <c r="G10" s="26"/>
      <c r="H10" s="148"/>
      <c r="I10" s="148"/>
      <c r="J10" s="148"/>
      <c r="K10" s="148"/>
      <c r="L10" s="148"/>
      <c r="M10" s="148"/>
      <c r="N10" s="27"/>
      <c r="O10" s="27"/>
      <c r="P10" s="27"/>
      <c r="Q10" s="27"/>
      <c r="R10" s="27"/>
      <c r="S10" s="27"/>
      <c r="T10" s="27"/>
      <c r="U10" s="27"/>
      <c r="V10" s="27"/>
      <c r="W10" s="146" t="s">
        <v>111</v>
      </c>
      <c r="X10" s="287">
        <v>1</v>
      </c>
      <c r="Y10" s="288">
        <v>10</v>
      </c>
      <c r="Z10" s="289" t="s">
        <v>120</v>
      </c>
      <c r="AA10" s="432">
        <f>(VLOOKUP(Y10,W15:AB34,6)-32)*5/9-(VLOOKUP(X10,W15:AB34,2)-32)*5/9</f>
        <v>1.8804731713968863</v>
      </c>
      <c r="AB10" s="433"/>
      <c r="AC10" s="439"/>
      <c r="AD10" s="539"/>
      <c r="AE10" s="439"/>
      <c r="AF10" s="440"/>
      <c r="AG10" s="441"/>
    </row>
    <row r="11" spans="1:45" ht="14.1" customHeight="1">
      <c r="A11" s="25"/>
      <c r="B11" s="26"/>
      <c r="C11" s="26"/>
      <c r="D11" s="26"/>
      <c r="E11" s="26"/>
      <c r="F11" s="26"/>
      <c r="G11" s="26"/>
      <c r="H11" s="147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310"/>
      <c r="X11" s="319"/>
      <c r="Y11" s="319"/>
      <c r="Z11" s="319"/>
      <c r="AA11" s="319"/>
      <c r="AB11" s="319"/>
      <c r="AC11" s="439"/>
      <c r="AD11" s="539"/>
      <c r="AE11" s="439"/>
      <c r="AF11" s="440"/>
      <c r="AG11" s="441"/>
    </row>
    <row r="12" spans="1:45" ht="12.75" customHeight="1">
      <c r="A12" s="25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W12" s="397" t="s">
        <v>216</v>
      </c>
      <c r="X12" s="398"/>
      <c r="Y12" s="398"/>
      <c r="Z12" s="398"/>
      <c r="AA12" s="398"/>
      <c r="AB12" s="464"/>
      <c r="AC12" s="415" t="s">
        <v>213</v>
      </c>
      <c r="AD12" s="398"/>
      <c r="AE12" s="398"/>
      <c r="AF12" s="398"/>
      <c r="AG12" s="399"/>
      <c r="AH12" s="276"/>
    </row>
    <row r="13" spans="1:45" ht="13.5" thickBot="1">
      <c r="A13" s="25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W13" s="400"/>
      <c r="X13" s="401"/>
      <c r="Y13" s="401"/>
      <c r="Z13" s="401"/>
      <c r="AA13" s="401"/>
      <c r="AB13" s="465"/>
      <c r="AC13" s="416"/>
      <c r="AD13" s="401"/>
      <c r="AE13" s="401"/>
      <c r="AF13" s="401"/>
      <c r="AG13" s="402"/>
      <c r="AH13" s="285"/>
      <c r="AM13" t="s">
        <v>133</v>
      </c>
    </row>
    <row r="14" spans="1:45">
      <c r="A14" s="25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W14" s="47" t="s">
        <v>18</v>
      </c>
      <c r="X14" s="516" t="s">
        <v>22</v>
      </c>
      <c r="Y14" s="517"/>
      <c r="Z14" s="436" t="s">
        <v>134</v>
      </c>
      <c r="AA14" s="437"/>
      <c r="AB14" s="277" t="s">
        <v>100</v>
      </c>
      <c r="AC14" s="286" t="s">
        <v>18</v>
      </c>
      <c r="AD14" s="394" t="s">
        <v>29</v>
      </c>
      <c r="AE14" s="395"/>
      <c r="AF14" s="395"/>
      <c r="AG14" s="396"/>
      <c r="AM14" s="187" t="s">
        <v>124</v>
      </c>
      <c r="AN14" s="179" t="s">
        <v>125</v>
      </c>
      <c r="AO14" s="179" t="s">
        <v>126</v>
      </c>
      <c r="AP14" s="179" t="s">
        <v>127</v>
      </c>
      <c r="AQ14" s="179" t="s">
        <v>128</v>
      </c>
      <c r="AR14" s="179" t="s">
        <v>129</v>
      </c>
      <c r="AS14" s="180" t="s">
        <v>130</v>
      </c>
    </row>
    <row r="15" spans="1:45" ht="12.75" customHeight="1">
      <c r="W15" s="122">
        <v>1</v>
      </c>
      <c r="X15" s="448">
        <v>15</v>
      </c>
      <c r="Y15" s="449"/>
      <c r="Z15" s="446">
        <f>IF($C$56="BARE",ts(X15,$AA$6,AM15,AN15,AO15,AP15,AQ15,AR15,AS15,$AA$7),"")</f>
        <v>15.087989807128906</v>
      </c>
      <c r="AA15" s="447"/>
      <c r="AB15" s="278">
        <f>IF(W15="","",X15-C81/C57/Flow.cal!D29)</f>
        <v>15.38885300793369</v>
      </c>
      <c r="AC15" s="281">
        <f>W15</f>
        <v>1</v>
      </c>
      <c r="AD15" s="407" t="s">
        <v>161</v>
      </c>
      <c r="AE15" s="408"/>
      <c r="AF15" s="408"/>
      <c r="AG15" s="409"/>
      <c r="AM15" s="25">
        <f>Flow.cal!D30</f>
        <v>6.7186296520118732E-2</v>
      </c>
      <c r="AN15" s="26">
        <f>Flow.cal!D41</f>
        <v>2615818.2590963789</v>
      </c>
      <c r="AO15" s="26">
        <f>Flow.cal!D42</f>
        <v>3.2070099107405854</v>
      </c>
      <c r="AP15" s="26">
        <f>C$64</f>
        <v>1.016</v>
      </c>
      <c r="AQ15" s="188">
        <f>C$63</f>
        <v>0.8</v>
      </c>
      <c r="AR15" s="188">
        <f>C$60</f>
        <v>12.75</v>
      </c>
      <c r="AS15" s="189">
        <f>C$61</f>
        <v>11.375984251968504</v>
      </c>
    </row>
    <row r="16" spans="1:45" ht="12.75" customHeight="1">
      <c r="W16" s="123">
        <v>2</v>
      </c>
      <c r="X16" s="450">
        <f>IF(W16="","",AB15)</f>
        <v>15.38885300793369</v>
      </c>
      <c r="Y16" s="451"/>
      <c r="Z16" s="424">
        <f>IF($D$56="BARE",ts(X16,$AA$6,AM16,AN16,AO16,AP16,AQ16,AR16,AS16,$AA$7),"")</f>
        <v>15.474564552307129</v>
      </c>
      <c r="AA16" s="425"/>
      <c r="AB16" s="279">
        <f>IF(W16="","",X16-D81/D57/Flow.cal!E29)</f>
        <v>15.765291180908438</v>
      </c>
      <c r="AC16" s="281">
        <f t="shared" ref="AC16:AC34" si="0">W16</f>
        <v>2</v>
      </c>
      <c r="AD16" s="410" t="s">
        <v>161</v>
      </c>
      <c r="AE16" s="411"/>
      <c r="AF16" s="411"/>
      <c r="AG16" s="409"/>
      <c r="AM16" s="25">
        <f>Flow.cal!E30</f>
        <v>6.7117609849467741E-2</v>
      </c>
      <c r="AN16" s="26">
        <f>Flow.cal!E41</f>
        <v>2617602.6733975159</v>
      </c>
      <c r="AO16" s="26">
        <f>Flow.cal!E42</f>
        <v>3.2051892944866101</v>
      </c>
      <c r="AP16" s="26">
        <f>D$64</f>
        <v>1.016</v>
      </c>
      <c r="AQ16" s="188">
        <f>D$63</f>
        <v>0.8</v>
      </c>
      <c r="AR16" s="188">
        <f>D$60</f>
        <v>12.75</v>
      </c>
      <c r="AS16" s="189">
        <f>D$61</f>
        <v>11.375984251968504</v>
      </c>
    </row>
    <row r="17" spans="23:45" ht="12.75" customHeight="1">
      <c r="W17" s="123">
        <v>3</v>
      </c>
      <c r="X17" s="450">
        <f t="shared" ref="X17:X29" si="1">IF(W17="","",AB16)</f>
        <v>15.765291180908438</v>
      </c>
      <c r="Y17" s="451"/>
      <c r="Z17" s="424">
        <f>IF($E$56="BARE",ts(X17,$AA$6,AM17,AN17,AO17,AP17,AQ17,AR17,AS17,$AA$7),"")</f>
        <v>15.84705924987793</v>
      </c>
      <c r="AA17" s="425"/>
      <c r="AB17" s="279">
        <f>IF(W17="","",X17-E81/E57/Flow.cal!F29)</f>
        <v>16.12986425714239</v>
      </c>
      <c r="AC17" s="281">
        <f t="shared" si="0"/>
        <v>3</v>
      </c>
      <c r="AD17" s="407" t="s">
        <v>161</v>
      </c>
      <c r="AE17" s="408"/>
      <c r="AF17" s="408"/>
      <c r="AG17" s="409"/>
      <c r="AM17" s="25">
        <f>Flow.cal!F30</f>
        <v>6.7051117947243527E-2</v>
      </c>
      <c r="AN17" s="26">
        <f>Flow.cal!F41</f>
        <v>2623348.5490543013</v>
      </c>
      <c r="AO17" s="26">
        <f>Flow.cal!F42</f>
        <v>3.2034357140995264</v>
      </c>
      <c r="AP17" s="26">
        <f>E$64</f>
        <v>1.016</v>
      </c>
      <c r="AQ17" s="188">
        <f>E$63</f>
        <v>0.8</v>
      </c>
      <c r="AR17" s="188">
        <f>E$60</f>
        <v>12.75</v>
      </c>
      <c r="AS17" s="189">
        <f>E$61</f>
        <v>11.375984251968504</v>
      </c>
    </row>
    <row r="18" spans="23:45" ht="12.75" customHeight="1">
      <c r="W18" s="123">
        <v>4</v>
      </c>
      <c r="X18" s="450">
        <f t="shared" si="1"/>
        <v>16.12986425714239</v>
      </c>
      <c r="Y18" s="451"/>
      <c r="Z18" s="424">
        <f>IF($F$56="BARE",ts(X18,$AA$6,AM18,AN18,AO18,AP18,AQ18,AR18,AS18,$AA$7),"")</f>
        <v>16.209537506103516</v>
      </c>
      <c r="AA18" s="425"/>
      <c r="AB18" s="279">
        <f>IF(W18="","",X18-F81/F57/Flow.cal!G29)</f>
        <v>16.482982798375087</v>
      </c>
      <c r="AC18" s="281">
        <f t="shared" si="0"/>
        <v>4</v>
      </c>
      <c r="AD18" s="407" t="s">
        <v>161</v>
      </c>
      <c r="AE18" s="408"/>
      <c r="AF18" s="408"/>
      <c r="AG18" s="409"/>
      <c r="AM18" s="25">
        <f>Flow.cal!G30</f>
        <v>6.698672360361374E-2</v>
      </c>
      <c r="AN18" s="26">
        <f>Flow.cal!G41</f>
        <v>2628924.2474973365</v>
      </c>
      <c r="AO18" s="26">
        <f>Flow.cal!G42</f>
        <v>3.2017457362677932</v>
      </c>
      <c r="AP18" s="26">
        <f>F$64</f>
        <v>1.016</v>
      </c>
      <c r="AQ18" s="188">
        <f>F$63</f>
        <v>0.8</v>
      </c>
      <c r="AR18" s="188">
        <f>F$60</f>
        <v>12.75</v>
      </c>
      <c r="AS18" s="189">
        <f>F$61</f>
        <v>11.375984251968504</v>
      </c>
    </row>
    <row r="19" spans="23:45" ht="12.75" customHeight="1">
      <c r="W19" s="123">
        <v>5</v>
      </c>
      <c r="X19" s="450">
        <f t="shared" si="1"/>
        <v>16.482982798375087</v>
      </c>
      <c r="Y19" s="451"/>
      <c r="Z19" s="424">
        <f>IF($G$56="BARE",ts(X19,$AA$6,AM19,AN19,AO19,AP19,AQ19,AR19,AS19,$AA$7),"")</f>
        <v>16.560632705688477</v>
      </c>
      <c r="AA19" s="425"/>
      <c r="AB19" s="279">
        <f>IF(W19="","",X19-G81/G57/Flow.cal!H29)</f>
        <v>16.825091771371586</v>
      </c>
      <c r="AC19" s="281">
        <f t="shared" si="0"/>
        <v>5</v>
      </c>
      <c r="AD19" s="407" t="s">
        <v>161</v>
      </c>
      <c r="AE19" s="408"/>
      <c r="AF19" s="408"/>
      <c r="AG19" s="409"/>
      <c r="AM19" s="25">
        <f>Flow.cal!H30</f>
        <v>6.6924358731243375E-2</v>
      </c>
      <c r="AN19" s="26">
        <f>Flow.cal!H41</f>
        <v>2634334.6488798121</v>
      </c>
      <c r="AO19" s="26">
        <f>Flow.cal!H42</f>
        <v>3.2001167675718216</v>
      </c>
      <c r="AP19" s="26">
        <f>G$64</f>
        <v>1.016</v>
      </c>
      <c r="AQ19" s="188">
        <f>G$63</f>
        <v>0.8</v>
      </c>
      <c r="AR19" s="188">
        <f>G$60</f>
        <v>12.75</v>
      </c>
      <c r="AS19" s="189">
        <f>G$61</f>
        <v>11.375984251968504</v>
      </c>
    </row>
    <row r="20" spans="23:45" ht="12.75" customHeight="1">
      <c r="W20" s="123">
        <v>6</v>
      </c>
      <c r="X20" s="450">
        <f t="shared" si="1"/>
        <v>16.825091771371586</v>
      </c>
      <c r="Y20" s="451"/>
      <c r="Z20" s="424">
        <f>IF($H$56="BARE",ts(X20,$AA$6,AM20,AN20,AO20,AP20,AQ20,AR20,AS20,$AA$7),"")</f>
        <v>16.899974822998047</v>
      </c>
      <c r="AA20" s="425"/>
      <c r="AB20" s="279">
        <f>IF(W20="","",X20-H81/H57/Flow.cal!I29)</f>
        <v>17.156639304421571</v>
      </c>
      <c r="AC20" s="281">
        <f t="shared" si="0"/>
        <v>6</v>
      </c>
      <c r="AD20" s="407" t="s">
        <v>161</v>
      </c>
      <c r="AE20" s="408"/>
      <c r="AF20" s="408"/>
      <c r="AG20" s="409"/>
      <c r="AM20" s="25">
        <f>Flow.cal!I30</f>
        <v>6.6863935852235934E-2</v>
      </c>
      <c r="AN20" s="26">
        <f>Flow.cal!I41</f>
        <v>2639586.3920671204</v>
      </c>
      <c r="AO20" s="26">
        <f>Flow.cal!I42</f>
        <v>3.1985457741414463</v>
      </c>
      <c r="AP20" s="26">
        <f>H$64</f>
        <v>1.016</v>
      </c>
      <c r="AQ20" s="188">
        <f>H$63</f>
        <v>0.8</v>
      </c>
      <c r="AR20" s="188">
        <f>H$60</f>
        <v>12.75</v>
      </c>
      <c r="AS20" s="189">
        <f>H$61</f>
        <v>11.375984251968504</v>
      </c>
    </row>
    <row r="21" spans="23:45" ht="12.75" customHeight="1">
      <c r="W21" s="123">
        <v>7</v>
      </c>
      <c r="X21" s="450">
        <f t="shared" si="1"/>
        <v>17.156639304421571</v>
      </c>
      <c r="Y21" s="451"/>
      <c r="Z21" s="424">
        <f>IF($I$56="BARE",ts(X21,$AA$6,AM21,AN21,AO21,AP21,AQ21,AR21,AS21,$AA$7),"")</f>
        <v>17.228855133056641</v>
      </c>
      <c r="AA21" s="425"/>
      <c r="AB21" s="279">
        <f>IF(W21="","",X21-I81/I57/Flow.cal!J29)</f>
        <v>17.478026463967797</v>
      </c>
      <c r="AC21" s="281">
        <f t="shared" si="0"/>
        <v>7</v>
      </c>
      <c r="AD21" s="407" t="s">
        <v>161</v>
      </c>
      <c r="AE21" s="408"/>
      <c r="AF21" s="408"/>
      <c r="AG21" s="409"/>
      <c r="AM21" s="25">
        <f>Flow.cal!J30</f>
        <v>6.6805377204279509E-2</v>
      </c>
      <c r="AN21" s="26">
        <f>Flow.cal!J41</f>
        <v>2644685.3502842686</v>
      </c>
      <c r="AO21" s="26">
        <f>Flow.cal!J42</f>
        <v>3.19703004115908</v>
      </c>
      <c r="AP21" s="26">
        <f>I$64</f>
        <v>1.016</v>
      </c>
      <c r="AQ21" s="188">
        <f>I$63</f>
        <v>0.8</v>
      </c>
      <c r="AR21" s="188">
        <f>I$60</f>
        <v>12.75</v>
      </c>
      <c r="AS21" s="189">
        <f>I$61</f>
        <v>11.375984251968504</v>
      </c>
    </row>
    <row r="22" spans="23:45" ht="12.75" customHeight="1">
      <c r="W22" s="123">
        <v>8</v>
      </c>
      <c r="X22" s="450">
        <f t="shared" si="1"/>
        <v>17.478026463967797</v>
      </c>
      <c r="Y22" s="451"/>
      <c r="Z22" s="424">
        <f>IF($J$56="BARE",ts(X22,$AA$6,AM22,AN22,AO22,AP22,AQ22,AR22,AS22,$AA$7),"")</f>
        <v>17.548437118530273</v>
      </c>
      <c r="AA22" s="425"/>
      <c r="AB22" s="279">
        <f>IF(W22="","",X22-J81/J57/Flow.cal!K29)</f>
        <v>17.789612480798997</v>
      </c>
      <c r="AC22" s="281">
        <f t="shared" si="0"/>
        <v>8</v>
      </c>
      <c r="AD22" s="407" t="s">
        <v>161</v>
      </c>
      <c r="AE22" s="408"/>
      <c r="AF22" s="408"/>
      <c r="AG22" s="409"/>
      <c r="AM22" s="25">
        <f>Flow.cal!K30</f>
        <v>6.6748614738741996E-2</v>
      </c>
      <c r="AN22" s="26">
        <f>Flow.cal!K41</f>
        <v>2649636.6203586506</v>
      </c>
      <c r="AO22" s="26">
        <f>Flow.cal!K42</f>
        <v>3.1955671636042817</v>
      </c>
      <c r="AP22" s="26">
        <f>J$64</f>
        <v>1.016</v>
      </c>
      <c r="AQ22" s="188">
        <f>J$63</f>
        <v>0.8</v>
      </c>
      <c r="AR22" s="188">
        <f>J$60</f>
        <v>12.75</v>
      </c>
      <c r="AS22" s="189">
        <f>J$61</f>
        <v>11.375984251968504</v>
      </c>
    </row>
    <row r="23" spans="23:45" ht="12.75" customHeight="1">
      <c r="W23" s="123">
        <v>9</v>
      </c>
      <c r="X23" s="450">
        <f t="shared" si="1"/>
        <v>17.789612480798997</v>
      </c>
      <c r="Y23" s="451"/>
      <c r="Z23" s="424">
        <f>IF($K$56="BARE",ts(X23,$AA$6,AM23,AN23,AO23,AP23,AQ23,AR23,AS23,$AA$7),"")</f>
        <v>17.858274459838867</v>
      </c>
      <c r="AA23" s="425"/>
      <c r="AB23" s="279">
        <f>IF(W23="","",X23-K81/K57/Flow.cal!L29)</f>
        <v>18.09176382947458</v>
      </c>
      <c r="AC23" s="281">
        <f t="shared" si="0"/>
        <v>9</v>
      </c>
      <c r="AD23" s="407" t="s">
        <v>161</v>
      </c>
      <c r="AE23" s="408"/>
      <c r="AF23" s="408"/>
      <c r="AG23" s="409"/>
      <c r="AM23" s="25">
        <f>Flow.cal!L30</f>
        <v>6.6693590118908894E-2</v>
      </c>
      <c r="AN23" s="26">
        <f>Flow.cal!L41</f>
        <v>2654444.5126750385</v>
      </c>
      <c r="AO23" s="26">
        <f>Flow.cal!L42</f>
        <v>3.1941550377429588</v>
      </c>
      <c r="AP23" s="26">
        <f>K$64</f>
        <v>1.016</v>
      </c>
      <c r="AQ23" s="188">
        <f>K$63</f>
        <v>0.8</v>
      </c>
      <c r="AR23" s="188">
        <f>K$60</f>
        <v>12.75</v>
      </c>
      <c r="AS23" s="189">
        <f>K$61</f>
        <v>11.375984251968504</v>
      </c>
    </row>
    <row r="24" spans="23:45" ht="12.75" customHeight="1">
      <c r="W24" s="123">
        <v>10</v>
      </c>
      <c r="X24" s="450">
        <f t="shared" si="1"/>
        <v>18.09176382947458</v>
      </c>
      <c r="Y24" s="451"/>
      <c r="Z24" s="424">
        <f>IF($L$56="BARE",ts(X24,$AA$6,AM24,AN24,AO24,AP24,AQ24,AR24,AS24,$AA$7),"")</f>
        <v>18.158002853393555</v>
      </c>
      <c r="AA24" s="425"/>
      <c r="AB24" s="279">
        <f>IF(W24="","",X24-L81/L57/Flow.cal!M29)</f>
        <v>18.384851708514397</v>
      </c>
      <c r="AC24" s="281">
        <f t="shared" si="0"/>
        <v>10</v>
      </c>
      <c r="AD24" s="407" t="s">
        <v>161</v>
      </c>
      <c r="AE24" s="408"/>
      <c r="AF24" s="408"/>
      <c r="AG24" s="409"/>
      <c r="AM24" s="25">
        <f>Flow.cal!M30</f>
        <v>6.6640235316827542E-2</v>
      </c>
      <c r="AN24" s="26">
        <f>Flow.cal!M41</f>
        <v>2659114.2412525276</v>
      </c>
      <c r="AO24" s="26">
        <f>Flow.cal!M42</f>
        <v>3.1927913584218168</v>
      </c>
      <c r="AP24" s="26">
        <f>L$64</f>
        <v>1.016</v>
      </c>
      <c r="AQ24" s="188">
        <f>L$63</f>
        <v>0.8</v>
      </c>
      <c r="AR24" s="188">
        <f>L$60</f>
        <v>12.75</v>
      </c>
      <c r="AS24" s="189">
        <f>L$61</f>
        <v>11.375984251968504</v>
      </c>
    </row>
    <row r="25" spans="23:45" ht="12.75" customHeight="1">
      <c r="W25" s="123" t="s">
        <v>123</v>
      </c>
      <c r="X25" s="450">
        <f t="shared" si="1"/>
        <v>18.384851708514397</v>
      </c>
      <c r="Y25" s="451"/>
      <c r="Z25" s="424" t="str">
        <f>IF($M$56="BARE",ts(X25,$AA$6,AM25,AN25,AO25,AP25,AQ25,AR25,AS25,$AA$7),"")</f>
        <v/>
      </c>
      <c r="AA25" s="425"/>
      <c r="AB25" s="279">
        <f>IF(W25="","",X25-M81/M57/Flow.cal!N29)</f>
        <v>21.264112793724781</v>
      </c>
      <c r="AC25" s="281" t="str">
        <f t="shared" si="0"/>
        <v>PUMP</v>
      </c>
      <c r="AD25" s="407"/>
      <c r="AE25" s="408"/>
      <c r="AF25" s="408"/>
      <c r="AG25" s="409"/>
      <c r="AI25" s="324"/>
      <c r="AM25" s="25">
        <f>Flow.cal!N30</f>
        <v>6.6588472613932692E-2</v>
      </c>
      <c r="AN25" s="26" t="e">
        <f>Flow.cal!N41</f>
        <v>#VALUE!</v>
      </c>
      <c r="AO25" s="26">
        <f>Flow.cal!N42</f>
        <v>3.1914736215991204</v>
      </c>
      <c r="AP25" s="26" t="str">
        <f>M$64</f>
        <v/>
      </c>
      <c r="AQ25" s="188" t="str">
        <f>M$63</f>
        <v/>
      </c>
      <c r="AR25" s="188" t="str">
        <f>M$60</f>
        <v/>
      </c>
      <c r="AS25" s="189" t="str">
        <f>M$61</f>
        <v/>
      </c>
    </row>
    <row r="26" spans="23:45" ht="12.75" customHeight="1">
      <c r="W26" s="123">
        <v>11</v>
      </c>
      <c r="X26" s="450">
        <f t="shared" si="1"/>
        <v>21.264112793724781</v>
      </c>
      <c r="Y26" s="451"/>
      <c r="Z26" s="424" t="str">
        <f>IF($N$56="BARE",ts(X26,$AA$6,AM26,AN26,AO26,AP26,AQ26,AR26,AS26,$AA$7),"")</f>
        <v/>
      </c>
      <c r="AA26" s="425"/>
      <c r="AB26" s="279">
        <f>IF(W26="","",X26-N81/N57/Flow.cal!O29)</f>
        <v>21.094769897054142</v>
      </c>
      <c r="AC26" s="281">
        <f t="shared" si="0"/>
        <v>11</v>
      </c>
      <c r="AD26" s="407" t="s">
        <v>161</v>
      </c>
      <c r="AE26" s="408"/>
      <c r="AF26" s="408"/>
      <c r="AG26" s="409"/>
      <c r="AI26" s="324"/>
      <c r="AM26" s="25">
        <f>Flow.cal!O30</f>
        <v>6.6080073097942449E-2</v>
      </c>
      <c r="AN26" s="26">
        <f>Flow.cal!O41</f>
        <v>2708605.9894062742</v>
      </c>
      <c r="AO26" s="26">
        <f>Flow.cal!O42</f>
        <v>3.1788035294729302</v>
      </c>
      <c r="AP26" s="26" t="str">
        <f>N$64</f>
        <v/>
      </c>
      <c r="AQ26" s="188" t="str">
        <f>N$63</f>
        <v/>
      </c>
      <c r="AR26" s="188">
        <f>N$60</f>
        <v>12.75</v>
      </c>
      <c r="AS26" s="189">
        <f>N$61</f>
        <v>11.375984251968504</v>
      </c>
    </row>
    <row r="27" spans="23:45" ht="12.75" customHeight="1">
      <c r="W27" s="123">
        <v>12</v>
      </c>
      <c r="X27" s="450">
        <f t="shared" si="1"/>
        <v>21.094769897054142</v>
      </c>
      <c r="Y27" s="451"/>
      <c r="Z27" s="424" t="str">
        <f>IF($O$56="BARE",ts(X27,$AA$6,AM27,AN27,AO27,AP27,AQ27,AR27,AS27,$AA$7),"")</f>
        <v/>
      </c>
      <c r="AA27" s="425"/>
      <c r="AB27" s="279">
        <f>IF(W27="","",X27-O81/O57/Flow.cal!P29)</f>
        <v>20.931332482340334</v>
      </c>
      <c r="AC27" s="281">
        <f t="shared" si="0"/>
        <v>12</v>
      </c>
      <c r="AD27" s="407" t="s">
        <v>161</v>
      </c>
      <c r="AE27" s="408"/>
      <c r="AF27" s="408"/>
      <c r="AG27" s="409"/>
      <c r="AI27" s="324"/>
      <c r="AM27" s="25">
        <f>Flow.cal!P30</f>
        <v>6.6109973640662317E-2</v>
      </c>
      <c r="AN27" s="26">
        <f>Flow.cal!P41</f>
        <v>2705942.5347208022</v>
      </c>
      <c r="AO27" s="26">
        <f>Flow.cal!P42</f>
        <v>3.1795351172197721</v>
      </c>
      <c r="AP27" s="26" t="str">
        <f>O$64</f>
        <v/>
      </c>
      <c r="AQ27" s="188" t="str">
        <f>O$63</f>
        <v/>
      </c>
      <c r="AR27" s="188">
        <f>O$60</f>
        <v>12.75</v>
      </c>
      <c r="AS27" s="189">
        <f>O$61</f>
        <v>11.375984251968504</v>
      </c>
    </row>
    <row r="28" spans="23:45" ht="12.75" customHeight="1">
      <c r="W28" s="123">
        <v>13</v>
      </c>
      <c r="X28" s="450">
        <f t="shared" si="1"/>
        <v>20.931332482340334</v>
      </c>
      <c r="Y28" s="451"/>
      <c r="Z28" s="424">
        <f>IF($P$56="BARE",ts(X28,$AA$6,AM28,AN28,AO28,AP28,AQ28,AR28,AS28,$AA$7),"")</f>
        <v>20.979030609130859</v>
      </c>
      <c r="AA28" s="425"/>
      <c r="AB28" s="279">
        <f>IF(W28="","",X28-P81/P57/Flow.cal!Q29)</f>
        <v>21.142273072208919</v>
      </c>
      <c r="AC28" s="281">
        <f t="shared" si="0"/>
        <v>13</v>
      </c>
      <c r="AD28" s="407" t="s">
        <v>161</v>
      </c>
      <c r="AE28" s="408"/>
      <c r="AF28" s="408"/>
      <c r="AG28" s="409"/>
      <c r="AI28" s="324"/>
      <c r="AM28" s="25">
        <f>Flow.cal!Q30</f>
        <v>6.6138827101402786E-2</v>
      </c>
      <c r="AN28" s="26">
        <f>Flow.cal!Q41</f>
        <v>2703374.6868405072</v>
      </c>
      <c r="AO28" s="26">
        <f>Flow.cal!Q42</f>
        <v>3.1802426843148464</v>
      </c>
      <c r="AP28" s="26">
        <f>P$64</f>
        <v>1.016</v>
      </c>
      <c r="AQ28" s="188">
        <f>P$63</f>
        <v>0.8</v>
      </c>
      <c r="AR28" s="188">
        <f>P$60</f>
        <v>12.75</v>
      </c>
      <c r="AS28" s="189">
        <f>P$61</f>
        <v>11.375984251968504</v>
      </c>
    </row>
    <row r="29" spans="23:45" ht="12.75" customHeight="1">
      <c r="W29" s="339">
        <v>14</v>
      </c>
      <c r="X29" s="442">
        <f t="shared" si="1"/>
        <v>21.142273072208919</v>
      </c>
      <c r="Y29" s="443"/>
      <c r="Z29" s="424">
        <f>IF($Q$56="BARE",ts(X29,$AA$6,AM29,AN29,AO29,AP29,AQ29,AR29,AS29,$AA$7),"")</f>
        <v>21.188863754272461</v>
      </c>
      <c r="AA29" s="425"/>
      <c r="AB29" s="279">
        <f>IF(W29="","",X29-Q81/Q57/Flow.cal!R29)</f>
        <v>21.347339223891716</v>
      </c>
      <c r="AC29" s="337">
        <f t="shared" si="0"/>
        <v>14</v>
      </c>
      <c r="AD29" s="412" t="s">
        <v>161</v>
      </c>
      <c r="AE29" s="413"/>
      <c r="AF29" s="413"/>
      <c r="AG29" s="414"/>
      <c r="AI29" s="324"/>
      <c r="AM29" s="25">
        <f>Flow.cal!R30</f>
        <v>6.6101584381156778E-2</v>
      </c>
      <c r="AN29" s="26">
        <f>Flow.cal!R41</f>
        <v>2706689.577126612</v>
      </c>
      <c r="AO29" s="26">
        <f>Flow.cal!R42</f>
        <v>3.1793296839791059</v>
      </c>
      <c r="AP29" s="26">
        <f>Q$64</f>
        <v>1.016</v>
      </c>
      <c r="AQ29" s="188">
        <f>Q$63</f>
        <v>0.8</v>
      </c>
      <c r="AR29" s="188">
        <f>Q$60</f>
        <v>12.75</v>
      </c>
      <c r="AS29" s="189">
        <f>Q$61</f>
        <v>11.375984251968504</v>
      </c>
    </row>
    <row r="30" spans="23:45" ht="12.75" customHeight="1">
      <c r="W30" s="339">
        <v>15</v>
      </c>
      <c r="X30" s="442">
        <f>IF(W30="","",AB29)</f>
        <v>21.347339223891716</v>
      </c>
      <c r="Y30" s="443"/>
      <c r="Z30" s="424">
        <f>IF($R$56="BARE",ts(X30,$AA$6,AM30,AN30,AO30,AP30,AQ30,AR30,AS30,$AA$7),"")</f>
        <v>21.392856597900391</v>
      </c>
      <c r="AA30" s="425"/>
      <c r="AB30" s="279">
        <f>IF(W30="","",X30-R81/R57/Flow.cal!S29)</f>
        <v>21.546726973269134</v>
      </c>
      <c r="AC30" s="337">
        <f t="shared" si="0"/>
        <v>15</v>
      </c>
      <c r="AD30" s="412" t="s">
        <v>161</v>
      </c>
      <c r="AE30" s="413"/>
      <c r="AF30" s="413"/>
      <c r="AG30" s="414"/>
      <c r="AI30" s="324"/>
      <c r="AM30" s="25">
        <f>Flow.cal!S30</f>
        <v>6.6065379975892791E-2</v>
      </c>
      <c r="AN30" s="26">
        <f>Flow.cal!S41</f>
        <v>2709915.7144851568</v>
      </c>
      <c r="AO30" s="26">
        <f>Flow.cal!S42</f>
        <v>3.1784446446255443</v>
      </c>
      <c r="AP30" s="26">
        <f>R$64</f>
        <v>1.016</v>
      </c>
      <c r="AQ30" s="188">
        <f>R$63</f>
        <v>0.8</v>
      </c>
      <c r="AR30" s="188">
        <f>R$60</f>
        <v>12.75</v>
      </c>
      <c r="AS30" s="189">
        <f>R$61</f>
        <v>11.375984251968504</v>
      </c>
    </row>
    <row r="31" spans="23:45" ht="12.75" customHeight="1">
      <c r="W31" s="339">
        <v>16</v>
      </c>
      <c r="X31" s="442">
        <f>IF(W31="","",AB30)</f>
        <v>21.546726973269134</v>
      </c>
      <c r="Y31" s="443"/>
      <c r="Z31" s="424">
        <f>IF($S$56="BARE",ts(X31,$AA$6,AM31,AN31,AO31,AP31,AQ31,AR31,AS31,$AA$7),"")</f>
        <v>21.590164184570312</v>
      </c>
      <c r="AA31" s="425"/>
      <c r="AB31" s="279">
        <f>IF(W31="","",X31-S81/S57/Flow.cal!T29)</f>
        <v>21.740652856288794</v>
      </c>
      <c r="AC31" s="337">
        <f t="shared" si="0"/>
        <v>16</v>
      </c>
      <c r="AD31" s="412" t="s">
        <v>326</v>
      </c>
      <c r="AE31" s="413"/>
      <c r="AF31" s="413"/>
      <c r="AG31" s="414"/>
      <c r="AI31" s="324"/>
      <c r="AM31" s="25">
        <f>Flow.cal!T30</f>
        <v>6.6030175044738265E-2</v>
      </c>
      <c r="AN31" s="26">
        <f>Flow.cal!T41</f>
        <v>2713056.2610038584</v>
      </c>
      <c r="AO31" s="26">
        <f>Flow.cal!T42</f>
        <v>3.1775864044032676</v>
      </c>
      <c r="AP31" s="26">
        <f>S$64</f>
        <v>1.016</v>
      </c>
      <c r="AQ31" s="188">
        <f>S$63</f>
        <v>0.8</v>
      </c>
      <c r="AR31" s="188">
        <f>S$60</f>
        <v>12.75</v>
      </c>
      <c r="AS31" s="189">
        <f>S$61</f>
        <v>11.375984251968504</v>
      </c>
    </row>
    <row r="32" spans="23:45" ht="12.75" customHeight="1">
      <c r="W32" s="336">
        <v>17</v>
      </c>
      <c r="X32" s="442">
        <f>IF(W32="","",AB31)</f>
        <v>21.740652856288794</v>
      </c>
      <c r="Y32" s="443"/>
      <c r="Z32" s="424">
        <f>IF($T$56="BARE",ts(X32,$AA$6,AM32,AN32,AO32,AP32,AQ32,AR32,AS32,$AA$7),"")</f>
        <v>21.78309440612793</v>
      </c>
      <c r="AA32" s="425"/>
      <c r="AB32" s="279">
        <f>IF(W32="","",X32-T81/T57/Flow.cal!U29)</f>
        <v>21.929267999318562</v>
      </c>
      <c r="AC32" s="337">
        <f t="shared" si="0"/>
        <v>17</v>
      </c>
      <c r="AD32" s="412" t="s">
        <v>161</v>
      </c>
      <c r="AE32" s="413"/>
      <c r="AF32" s="413"/>
      <c r="AG32" s="414"/>
      <c r="AI32" s="324"/>
      <c r="AM32" s="25">
        <f>Flow.cal!U30</f>
        <v>6.5995940448576762E-2</v>
      </c>
      <c r="AN32" s="26">
        <f>Flow.cal!U41</f>
        <v>2716113.5344738658</v>
      </c>
      <c r="AO32" s="26">
        <f>Flow.cal!U42</f>
        <v>3.1767540537419947</v>
      </c>
      <c r="AP32" s="26">
        <f>T$64</f>
        <v>1.016</v>
      </c>
      <c r="AQ32" s="188">
        <f>T$63</f>
        <v>0.8</v>
      </c>
      <c r="AR32" s="188">
        <f>T$60</f>
        <v>12.75</v>
      </c>
      <c r="AS32" s="189">
        <f>T$61</f>
        <v>11.375984251968504</v>
      </c>
    </row>
    <row r="33" spans="1:45" ht="12.75" customHeight="1">
      <c r="W33" s="336">
        <v>18</v>
      </c>
      <c r="X33" s="442">
        <f>IF(W33="","",AB32)</f>
        <v>21.929267999318562</v>
      </c>
      <c r="Y33" s="443"/>
      <c r="Z33" s="424">
        <f>IF($U$56="BARE",ts(X33,$AA$6,AM33,AN33,AO33,AP33,AQ33,AR33,AS33,$AA$7),"")</f>
        <v>21.970743179321289</v>
      </c>
      <c r="AA33" s="425"/>
      <c r="AB33" s="279">
        <f>IF(W33="","",X33-U81/U57/Flow.cal!V29)</f>
        <v>22.112746078618727</v>
      </c>
      <c r="AC33" s="337">
        <f t="shared" si="0"/>
        <v>18</v>
      </c>
      <c r="AD33" s="412" t="s">
        <v>326</v>
      </c>
      <c r="AE33" s="413"/>
      <c r="AF33" s="413"/>
      <c r="AG33" s="414"/>
      <c r="AI33" s="324"/>
      <c r="AM33" s="25">
        <f>Flow.cal!V30</f>
        <v>6.596263735324237E-2</v>
      </c>
      <c r="AN33" s="26">
        <f>Flow.cal!V41</f>
        <v>2719090.7379054655</v>
      </c>
      <c r="AO33" s="26">
        <f>Flow.cal!V42</f>
        <v>3.1759464617605477</v>
      </c>
      <c r="AP33" s="26">
        <f>U$64</f>
        <v>1.016</v>
      </c>
      <c r="AQ33" s="188">
        <f>U$63</f>
        <v>0.8</v>
      </c>
      <c r="AR33" s="188">
        <f>U$60</f>
        <v>12.75</v>
      </c>
      <c r="AS33" s="189">
        <f>U$61</f>
        <v>11.375984251968504</v>
      </c>
    </row>
    <row r="34" spans="1:45" ht="12.75" customHeight="1" thickBot="1">
      <c r="W34" s="338">
        <v>19</v>
      </c>
      <c r="X34" s="444">
        <f>IF(W34="","",AB33)</f>
        <v>22.112746078618727</v>
      </c>
      <c r="Y34" s="445"/>
      <c r="Z34" s="456">
        <f>IF($V$56="BARE",ts(X34,$AA$6,AM34,AN34,AO34,AP34,AQ34,AR34,AS34,$AA$7),"")</f>
        <v>22.153282165527344</v>
      </c>
      <c r="AA34" s="457"/>
      <c r="AB34" s="280">
        <f>IF(W34="","",X34-V81/V57/Flow.cal!W29)</f>
        <v>22.291254527546311</v>
      </c>
      <c r="AC34" s="337">
        <f t="shared" si="0"/>
        <v>19</v>
      </c>
      <c r="AD34" s="412" t="s">
        <v>161</v>
      </c>
      <c r="AE34" s="413"/>
      <c r="AF34" s="413"/>
      <c r="AG34" s="414"/>
      <c r="AI34" s="324"/>
      <c r="AM34" s="181">
        <f>Flow.cal!V30</f>
        <v>6.596263735324237E-2</v>
      </c>
      <c r="AN34" s="182">
        <f>Flow.cal!W41</f>
        <v>2721989.3583362685</v>
      </c>
      <c r="AO34" s="182">
        <f>Flow.cal!W42</f>
        <v>3.1751629814678113</v>
      </c>
      <c r="AP34" s="182">
        <f>V$64</f>
        <v>1.016</v>
      </c>
      <c r="AQ34" s="190">
        <f>V$63</f>
        <v>0.8</v>
      </c>
      <c r="AR34" s="190">
        <f>V$60</f>
        <v>12.75</v>
      </c>
      <c r="AS34" s="191">
        <f>V$61</f>
        <v>11.375984251968504</v>
      </c>
    </row>
    <row r="35" spans="1:45">
      <c r="W35" s="303"/>
      <c r="X35" s="293"/>
      <c r="Y35" s="293"/>
      <c r="Z35" s="293"/>
      <c r="AA35" s="293"/>
      <c r="AB35" s="293"/>
      <c r="AC35" s="293"/>
      <c r="AD35" s="293"/>
      <c r="AE35" s="293"/>
      <c r="AF35" s="293"/>
      <c r="AG35" s="299"/>
    </row>
    <row r="36" spans="1:45">
      <c r="A36" s="25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W36" s="397" t="s">
        <v>101</v>
      </c>
      <c r="X36" s="398"/>
      <c r="Y36" s="398"/>
      <c r="Z36" s="398"/>
      <c r="AA36" s="398"/>
      <c r="AB36" s="398"/>
      <c r="AC36" s="398"/>
      <c r="AD36" s="398"/>
      <c r="AE36" s="398"/>
      <c r="AF36" s="398"/>
      <c r="AG36" s="399"/>
      <c r="AK36" s="183"/>
    </row>
    <row r="37" spans="1:45">
      <c r="A37" s="25"/>
      <c r="B37" s="26"/>
      <c r="C37" s="26"/>
      <c r="D37" s="26"/>
      <c r="E37" s="26"/>
      <c r="F37" s="26"/>
      <c r="G37" s="26"/>
      <c r="H37" s="26"/>
      <c r="I37" s="26"/>
      <c r="J37" s="26"/>
      <c r="L37" s="26"/>
      <c r="M37" s="26"/>
      <c r="N37" s="26"/>
      <c r="O37" s="26"/>
      <c r="P37" s="26"/>
      <c r="Q37" s="26"/>
      <c r="W37" s="400"/>
      <c r="X37" s="401"/>
      <c r="Y37" s="401"/>
      <c r="Z37" s="401"/>
      <c r="AA37" s="401"/>
      <c r="AB37" s="401"/>
      <c r="AC37" s="401"/>
      <c r="AD37" s="401"/>
      <c r="AE37" s="401"/>
      <c r="AF37" s="401"/>
      <c r="AG37" s="402"/>
      <c r="AK37" s="184"/>
      <c r="AM37" s="374" t="s">
        <v>327</v>
      </c>
    </row>
    <row r="38" spans="1:45">
      <c r="W38" s="297" t="s">
        <v>18</v>
      </c>
      <c r="X38" s="388" t="s">
        <v>29</v>
      </c>
      <c r="Y38" s="389"/>
      <c r="Z38" s="389"/>
      <c r="AA38" s="389"/>
      <c r="AB38" s="389"/>
      <c r="AC38" s="389"/>
      <c r="AD38" s="389"/>
      <c r="AE38" s="389"/>
      <c r="AF38" s="389"/>
      <c r="AG38" s="390"/>
      <c r="AK38" s="184"/>
      <c r="AM38" s="374" t="s">
        <v>328</v>
      </c>
    </row>
    <row r="39" spans="1:45">
      <c r="W39" s="296">
        <f>W15</f>
        <v>1</v>
      </c>
      <c r="X39" s="391" t="s">
        <v>118</v>
      </c>
      <c r="Y39" s="392"/>
      <c r="Z39" s="392"/>
      <c r="AA39" s="392"/>
      <c r="AB39" s="392"/>
      <c r="AC39" s="392"/>
      <c r="AD39" s="392"/>
      <c r="AE39" s="392"/>
      <c r="AF39" s="392"/>
      <c r="AG39" s="393"/>
      <c r="AK39" s="185"/>
    </row>
    <row r="40" spans="1:45">
      <c r="W40" s="296">
        <f t="shared" ref="W40:W58" si="2">W16</f>
        <v>2</v>
      </c>
      <c r="X40" s="391" t="s">
        <v>118</v>
      </c>
      <c r="Y40" s="392"/>
      <c r="Z40" s="392"/>
      <c r="AA40" s="392"/>
      <c r="AB40" s="392"/>
      <c r="AC40" s="392"/>
      <c r="AD40" s="392"/>
      <c r="AE40" s="392"/>
      <c r="AF40" s="392"/>
      <c r="AG40" s="393"/>
      <c r="AK40" s="186"/>
    </row>
    <row r="41" spans="1:45">
      <c r="W41" s="296">
        <f t="shared" si="2"/>
        <v>3</v>
      </c>
      <c r="X41" s="391" t="s">
        <v>118</v>
      </c>
      <c r="Y41" s="392"/>
      <c r="Z41" s="392"/>
      <c r="AA41" s="392"/>
      <c r="AB41" s="392"/>
      <c r="AC41" s="392"/>
      <c r="AD41" s="392"/>
      <c r="AE41" s="392"/>
      <c r="AF41" s="392"/>
      <c r="AG41" s="393"/>
      <c r="AK41" s="186"/>
    </row>
    <row r="42" spans="1:45">
      <c r="W42" s="296">
        <f t="shared" si="2"/>
        <v>4</v>
      </c>
      <c r="X42" s="391" t="s">
        <v>118</v>
      </c>
      <c r="Y42" s="392"/>
      <c r="Z42" s="392"/>
      <c r="AA42" s="392"/>
      <c r="AB42" s="392"/>
      <c r="AC42" s="392"/>
      <c r="AD42" s="392"/>
      <c r="AE42" s="392"/>
      <c r="AF42" s="392"/>
      <c r="AG42" s="393"/>
      <c r="AK42" s="186"/>
    </row>
    <row r="43" spans="1:45">
      <c r="W43" s="296">
        <f t="shared" si="2"/>
        <v>5</v>
      </c>
      <c r="X43" s="391" t="s">
        <v>118</v>
      </c>
      <c r="Y43" s="392"/>
      <c r="Z43" s="392"/>
      <c r="AA43" s="392"/>
      <c r="AB43" s="392"/>
      <c r="AC43" s="392"/>
      <c r="AD43" s="392"/>
      <c r="AE43" s="392"/>
      <c r="AF43" s="392"/>
      <c r="AG43" s="393"/>
      <c r="AK43" s="186"/>
    </row>
    <row r="44" spans="1:45">
      <c r="W44" s="296">
        <f t="shared" si="2"/>
        <v>6</v>
      </c>
      <c r="X44" s="391" t="s">
        <v>118</v>
      </c>
      <c r="Y44" s="392"/>
      <c r="Z44" s="392"/>
      <c r="AA44" s="392"/>
      <c r="AB44" s="392"/>
      <c r="AC44" s="392"/>
      <c r="AD44" s="392"/>
      <c r="AE44" s="392"/>
      <c r="AF44" s="392"/>
      <c r="AG44" s="393"/>
      <c r="AK44" s="186"/>
    </row>
    <row r="45" spans="1:45">
      <c r="W45" s="296">
        <f t="shared" si="2"/>
        <v>7</v>
      </c>
      <c r="X45" s="391" t="s">
        <v>118</v>
      </c>
      <c r="Y45" s="392"/>
      <c r="Z45" s="392"/>
      <c r="AA45" s="392"/>
      <c r="AB45" s="392"/>
      <c r="AC45" s="392"/>
      <c r="AD45" s="392"/>
      <c r="AE45" s="392"/>
      <c r="AF45" s="392"/>
      <c r="AG45" s="393"/>
      <c r="AK45" s="186"/>
    </row>
    <row r="46" spans="1:45">
      <c r="W46" s="296">
        <f t="shared" si="2"/>
        <v>8</v>
      </c>
      <c r="X46" s="391" t="s">
        <v>118</v>
      </c>
      <c r="Y46" s="392"/>
      <c r="Z46" s="392"/>
      <c r="AA46" s="392"/>
      <c r="AB46" s="392"/>
      <c r="AC46" s="392"/>
      <c r="AD46" s="392"/>
      <c r="AE46" s="392"/>
      <c r="AF46" s="392"/>
      <c r="AG46" s="393"/>
    </row>
    <row r="47" spans="1:45">
      <c r="W47" s="296">
        <f t="shared" si="2"/>
        <v>9</v>
      </c>
      <c r="X47" s="391" t="s">
        <v>118</v>
      </c>
      <c r="Y47" s="392"/>
      <c r="Z47" s="392"/>
      <c r="AA47" s="392"/>
      <c r="AB47" s="392"/>
      <c r="AC47" s="392"/>
      <c r="AD47" s="392"/>
      <c r="AE47" s="392"/>
      <c r="AF47" s="392"/>
      <c r="AG47" s="393"/>
    </row>
    <row r="48" spans="1:45">
      <c r="W48" s="296">
        <f t="shared" si="2"/>
        <v>10</v>
      </c>
      <c r="X48" s="391" t="s">
        <v>118</v>
      </c>
      <c r="Y48" s="392"/>
      <c r="Z48" s="392"/>
      <c r="AA48" s="392"/>
      <c r="AB48" s="392"/>
      <c r="AC48" s="392"/>
      <c r="AD48" s="392"/>
      <c r="AE48" s="392"/>
      <c r="AF48" s="392"/>
      <c r="AG48" s="393"/>
    </row>
    <row r="49" spans="1:47">
      <c r="W49" s="296" t="str">
        <f t="shared" si="2"/>
        <v>PUMP</v>
      </c>
      <c r="X49" s="391"/>
      <c r="Y49" s="392"/>
      <c r="Z49" s="392"/>
      <c r="AA49" s="392"/>
      <c r="AB49" s="392"/>
      <c r="AC49" s="392"/>
      <c r="AD49" s="392"/>
      <c r="AE49" s="392"/>
      <c r="AF49" s="392"/>
      <c r="AG49" s="393"/>
      <c r="AT49" s="140"/>
    </row>
    <row r="50" spans="1:47">
      <c r="A50" s="25"/>
      <c r="B50" s="26"/>
      <c r="C50" s="26"/>
      <c r="D50" s="26"/>
      <c r="E50" s="26"/>
      <c r="F50" s="26"/>
      <c r="U50" s="275"/>
      <c r="V50" s="275"/>
      <c r="W50" s="296">
        <f t="shared" si="2"/>
        <v>11</v>
      </c>
      <c r="X50" s="391" t="s">
        <v>118</v>
      </c>
      <c r="Y50" s="392"/>
      <c r="Z50" s="392"/>
      <c r="AA50" s="392"/>
      <c r="AB50" s="392"/>
      <c r="AC50" s="392"/>
      <c r="AD50" s="392"/>
      <c r="AE50" s="392"/>
      <c r="AF50" s="392"/>
      <c r="AG50" s="393"/>
      <c r="AT50" s="140"/>
    </row>
    <row r="51" spans="1:47" ht="12.75" customHeight="1">
      <c r="W51" s="296">
        <f t="shared" si="2"/>
        <v>12</v>
      </c>
      <c r="X51" s="391" t="s">
        <v>118</v>
      </c>
      <c r="Y51" s="392"/>
      <c r="Z51" s="392"/>
      <c r="AA51" s="392"/>
      <c r="AB51" s="392"/>
      <c r="AC51" s="392"/>
      <c r="AD51" s="392"/>
      <c r="AE51" s="392"/>
      <c r="AF51" s="392"/>
      <c r="AG51" s="393"/>
      <c r="AT51" s="140"/>
    </row>
    <row r="52" spans="1:47" ht="12" customHeight="1" thickBot="1">
      <c r="W52" s="296">
        <f t="shared" si="2"/>
        <v>13</v>
      </c>
      <c r="X52" s="391" t="s">
        <v>118</v>
      </c>
      <c r="Y52" s="392"/>
      <c r="Z52" s="392"/>
      <c r="AA52" s="392"/>
      <c r="AB52" s="392"/>
      <c r="AC52" s="392"/>
      <c r="AD52" s="392"/>
      <c r="AE52" s="392"/>
      <c r="AF52" s="392"/>
      <c r="AG52" s="393"/>
      <c r="AT52" s="140"/>
    </row>
    <row r="53" spans="1:47" ht="12.75" customHeight="1">
      <c r="A53" s="460" t="s">
        <v>191</v>
      </c>
      <c r="B53" s="461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31"/>
      <c r="Q53" s="36"/>
      <c r="U53" s="282"/>
      <c r="V53" s="282"/>
      <c r="W53" s="296">
        <f t="shared" si="2"/>
        <v>14</v>
      </c>
      <c r="X53" s="391" t="s">
        <v>118</v>
      </c>
      <c r="Y53" s="392"/>
      <c r="Z53" s="392"/>
      <c r="AA53" s="392"/>
      <c r="AB53" s="392"/>
      <c r="AC53" s="392"/>
      <c r="AD53" s="392"/>
      <c r="AE53" s="392"/>
      <c r="AF53" s="392"/>
      <c r="AG53" s="393"/>
      <c r="AT53" s="140"/>
    </row>
    <row r="54" spans="1:47" ht="12.75" customHeight="1" thickBot="1">
      <c r="A54" s="462"/>
      <c r="B54" s="463"/>
      <c r="C54" s="120"/>
      <c r="D54" s="120"/>
      <c r="E54" s="33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37"/>
      <c r="T54" s="145"/>
      <c r="U54" s="283"/>
      <c r="V54" s="284"/>
      <c r="W54" s="296">
        <f t="shared" si="2"/>
        <v>15</v>
      </c>
      <c r="X54" s="391" t="s">
        <v>118</v>
      </c>
      <c r="Y54" s="392"/>
      <c r="Z54" s="392"/>
      <c r="AA54" s="392"/>
      <c r="AB54" s="392"/>
      <c r="AC54" s="392"/>
      <c r="AD54" s="392"/>
      <c r="AE54" s="392"/>
      <c r="AF54" s="392"/>
      <c r="AG54" s="393"/>
      <c r="AT54" s="140"/>
    </row>
    <row r="55" spans="1:47" ht="12.75" customHeight="1" thickBot="1">
      <c r="A55" s="48" t="s">
        <v>21</v>
      </c>
      <c r="B55" s="49"/>
      <c r="C55" s="311">
        <f>W15</f>
        <v>1</v>
      </c>
      <c r="D55" s="312">
        <f>W16</f>
        <v>2</v>
      </c>
      <c r="E55" s="312">
        <f>W17</f>
        <v>3</v>
      </c>
      <c r="F55" s="312">
        <f>W18</f>
        <v>4</v>
      </c>
      <c r="G55" s="312">
        <f>W19</f>
        <v>5</v>
      </c>
      <c r="H55" s="312">
        <f>W20</f>
        <v>6</v>
      </c>
      <c r="I55" s="312">
        <f>W21</f>
        <v>7</v>
      </c>
      <c r="J55" s="312">
        <f>W22</f>
        <v>8</v>
      </c>
      <c r="K55" s="312">
        <f>W23</f>
        <v>9</v>
      </c>
      <c r="L55" s="312">
        <f>W24</f>
        <v>10</v>
      </c>
      <c r="M55" s="312" t="str">
        <f>W25</f>
        <v>PUMP</v>
      </c>
      <c r="N55" s="312">
        <f>W26</f>
        <v>11</v>
      </c>
      <c r="O55" s="312">
        <f>W27</f>
        <v>12</v>
      </c>
      <c r="P55" s="312">
        <f>W28</f>
        <v>13</v>
      </c>
      <c r="Q55" s="312">
        <f>W29</f>
        <v>14</v>
      </c>
      <c r="R55" s="312">
        <f>W30</f>
        <v>15</v>
      </c>
      <c r="S55" s="312">
        <f>W31</f>
        <v>16</v>
      </c>
      <c r="T55" s="312">
        <f>W32</f>
        <v>17</v>
      </c>
      <c r="U55" s="312">
        <f>W33</f>
        <v>18</v>
      </c>
      <c r="V55" s="313">
        <f>W34</f>
        <v>19</v>
      </c>
      <c r="W55" s="352">
        <f t="shared" si="2"/>
        <v>16</v>
      </c>
      <c r="X55" s="391" t="s">
        <v>118</v>
      </c>
      <c r="Y55" s="392"/>
      <c r="Z55" s="392"/>
      <c r="AA55" s="392"/>
      <c r="AB55" s="392"/>
      <c r="AC55" s="392"/>
      <c r="AD55" s="392"/>
      <c r="AE55" s="392"/>
      <c r="AF55" s="392"/>
      <c r="AG55" s="393"/>
      <c r="AT55" s="140"/>
    </row>
    <row r="56" spans="1:47" ht="14.25">
      <c r="A56" s="50" t="s">
        <v>20</v>
      </c>
      <c r="B56" s="53"/>
      <c r="C56" s="143" t="s">
        <v>194</v>
      </c>
      <c r="D56" s="198" t="s">
        <v>194</v>
      </c>
      <c r="E56" s="198" t="s">
        <v>194</v>
      </c>
      <c r="F56" s="198" t="s">
        <v>194</v>
      </c>
      <c r="G56" s="198" t="s">
        <v>194</v>
      </c>
      <c r="H56" s="198" t="s">
        <v>194</v>
      </c>
      <c r="I56" s="198" t="s">
        <v>194</v>
      </c>
      <c r="J56" s="198" t="s">
        <v>194</v>
      </c>
      <c r="K56" s="198" t="s">
        <v>194</v>
      </c>
      <c r="L56" s="198" t="s">
        <v>194</v>
      </c>
      <c r="M56" s="198" t="s">
        <v>199</v>
      </c>
      <c r="N56" s="198" t="s">
        <v>258</v>
      </c>
      <c r="O56" s="198" t="s">
        <v>258</v>
      </c>
      <c r="P56" s="198" t="s">
        <v>194</v>
      </c>
      <c r="Q56" s="198" t="s">
        <v>194</v>
      </c>
      <c r="R56" s="198" t="s">
        <v>194</v>
      </c>
      <c r="S56" s="198" t="s">
        <v>194</v>
      </c>
      <c r="T56" s="198" t="s">
        <v>194</v>
      </c>
      <c r="U56" s="198" t="s">
        <v>194</v>
      </c>
      <c r="V56" s="273" t="s">
        <v>194</v>
      </c>
      <c r="W56" s="296">
        <f t="shared" si="2"/>
        <v>17</v>
      </c>
      <c r="X56" s="391" t="s">
        <v>118</v>
      </c>
      <c r="Y56" s="392"/>
      <c r="Z56" s="392"/>
      <c r="AA56" s="392"/>
      <c r="AB56" s="392"/>
      <c r="AC56" s="392"/>
      <c r="AD56" s="392"/>
      <c r="AE56" s="392"/>
      <c r="AF56" s="392"/>
      <c r="AG56" s="393"/>
      <c r="AT56" s="140"/>
    </row>
    <row r="57" spans="1:47">
      <c r="A57" s="54" t="s">
        <v>110</v>
      </c>
      <c r="B57" s="206" t="s">
        <v>200</v>
      </c>
      <c r="C57" s="29">
        <f>Flow.cal!D11</f>
        <v>725308.64197530877</v>
      </c>
      <c r="D57" s="96">
        <f>Flow.cal!E11</f>
        <v>725308.64197530877</v>
      </c>
      <c r="E57" s="96">
        <f>Flow.cal!F11</f>
        <v>725308.64197530877</v>
      </c>
      <c r="F57" s="96">
        <f>Flow.cal!G11</f>
        <v>725308.64197530877</v>
      </c>
      <c r="G57" s="96">
        <f>Flow.cal!H11</f>
        <v>725308.64197530877</v>
      </c>
      <c r="H57" s="96">
        <f>Flow.cal!I11</f>
        <v>725308.64197530877</v>
      </c>
      <c r="I57" s="96">
        <f>Flow.cal!J11</f>
        <v>725308.64197530877</v>
      </c>
      <c r="J57" s="96">
        <f>Flow.cal!K11</f>
        <v>725308.64197530877</v>
      </c>
      <c r="K57" s="96">
        <f>Flow.cal!L11</f>
        <v>725308.64197530877</v>
      </c>
      <c r="L57" s="96">
        <f>Flow.cal!M11</f>
        <v>725308.64197530877</v>
      </c>
      <c r="M57" s="96">
        <f>Flow.cal!N11</f>
        <v>725308.64197530877</v>
      </c>
      <c r="N57" s="96">
        <f>Flow.cal!O11</f>
        <v>725308.64197530877</v>
      </c>
      <c r="O57" s="96">
        <f>Flow.cal!P11</f>
        <v>725308.64197530877</v>
      </c>
      <c r="P57" s="96">
        <f>Flow.cal!Q11</f>
        <v>725308.64197530877</v>
      </c>
      <c r="Q57" s="96">
        <f>Flow.cal!R11</f>
        <v>725308.64197530877</v>
      </c>
      <c r="R57" s="96">
        <f>Flow.cal!S11</f>
        <v>725308.64197530877</v>
      </c>
      <c r="S57" s="96">
        <f>Flow.cal!T11</f>
        <v>725308.64197530877</v>
      </c>
      <c r="T57" s="96">
        <f>Flow.cal!U11</f>
        <v>725308.64197530877</v>
      </c>
      <c r="U57" s="96">
        <f>Flow.cal!V11</f>
        <v>725308.64197530877</v>
      </c>
      <c r="V57" s="266">
        <f>Flow.cal!W11</f>
        <v>725308.64197530877</v>
      </c>
      <c r="W57" s="296">
        <f t="shared" si="2"/>
        <v>18</v>
      </c>
      <c r="X57" s="391" t="s">
        <v>118</v>
      </c>
      <c r="Y57" s="392"/>
      <c r="Z57" s="392"/>
      <c r="AA57" s="392"/>
      <c r="AB57" s="392"/>
      <c r="AC57" s="392"/>
      <c r="AD57" s="392"/>
      <c r="AE57" s="392"/>
      <c r="AF57" s="392"/>
      <c r="AG57" s="393"/>
      <c r="AT57" s="140"/>
    </row>
    <row r="58" spans="1:47">
      <c r="A58" s="54" t="s">
        <v>32</v>
      </c>
      <c r="B58" s="206" t="s">
        <v>201</v>
      </c>
      <c r="C58" s="244">
        <v>12</v>
      </c>
      <c r="D58" s="245">
        <v>12</v>
      </c>
      <c r="E58" s="244">
        <v>12</v>
      </c>
      <c r="F58" s="244">
        <v>12</v>
      </c>
      <c r="G58" s="244">
        <v>12</v>
      </c>
      <c r="H58" s="244">
        <v>12</v>
      </c>
      <c r="I58" s="244">
        <v>12</v>
      </c>
      <c r="J58" s="244">
        <v>12</v>
      </c>
      <c r="K58" s="244">
        <v>12</v>
      </c>
      <c r="L58" s="244">
        <v>12</v>
      </c>
      <c r="M58" s="244"/>
      <c r="N58" s="244">
        <v>12</v>
      </c>
      <c r="O58" s="244">
        <v>12</v>
      </c>
      <c r="P58" s="244">
        <v>12</v>
      </c>
      <c r="Q58" s="244">
        <v>12</v>
      </c>
      <c r="R58" s="244">
        <v>12</v>
      </c>
      <c r="S58" s="244">
        <v>12</v>
      </c>
      <c r="T58" s="244">
        <v>12</v>
      </c>
      <c r="U58" s="244">
        <v>12</v>
      </c>
      <c r="V58" s="244">
        <v>12</v>
      </c>
      <c r="W58" s="296">
        <f t="shared" si="2"/>
        <v>19</v>
      </c>
      <c r="X58" s="391" t="s">
        <v>118</v>
      </c>
      <c r="Y58" s="392"/>
      <c r="Z58" s="392"/>
      <c r="AA58" s="392"/>
      <c r="AB58" s="392"/>
      <c r="AC58" s="392"/>
      <c r="AD58" s="392"/>
      <c r="AE58" s="392"/>
      <c r="AF58" s="392"/>
      <c r="AG58" s="393"/>
      <c r="AT58" s="140"/>
    </row>
    <row r="59" spans="1:47">
      <c r="A59" s="54" t="s">
        <v>33</v>
      </c>
      <c r="B59" s="207"/>
      <c r="C59" s="246">
        <v>80</v>
      </c>
      <c r="D59" s="247">
        <v>80</v>
      </c>
      <c r="E59" s="246">
        <v>80</v>
      </c>
      <c r="F59" s="246">
        <v>80</v>
      </c>
      <c r="G59" s="246">
        <v>80</v>
      </c>
      <c r="H59" s="246">
        <v>80</v>
      </c>
      <c r="I59" s="246">
        <v>80</v>
      </c>
      <c r="J59" s="246">
        <v>80</v>
      </c>
      <c r="K59" s="246">
        <v>80</v>
      </c>
      <c r="L59" s="246">
        <v>80</v>
      </c>
      <c r="M59" s="246"/>
      <c r="N59" s="246">
        <v>80</v>
      </c>
      <c r="O59" s="246">
        <v>80</v>
      </c>
      <c r="P59" s="246">
        <v>80</v>
      </c>
      <c r="Q59" s="246">
        <v>80</v>
      </c>
      <c r="R59" s="246">
        <v>80</v>
      </c>
      <c r="S59" s="246">
        <v>80</v>
      </c>
      <c r="T59" s="246">
        <v>80</v>
      </c>
      <c r="U59" s="246">
        <v>80</v>
      </c>
      <c r="V59" s="246">
        <v>80</v>
      </c>
      <c r="W59" s="397" t="s">
        <v>209</v>
      </c>
      <c r="X59" s="398"/>
      <c r="Y59" s="398"/>
      <c r="Z59" s="398"/>
      <c r="AA59" s="398"/>
      <c r="AB59" s="464"/>
      <c r="AC59" s="415" t="s">
        <v>221</v>
      </c>
      <c r="AD59" s="398"/>
      <c r="AE59" s="398"/>
      <c r="AF59" s="398"/>
      <c r="AG59" s="399"/>
      <c r="AT59" s="140"/>
    </row>
    <row r="60" spans="1:47">
      <c r="A60" s="54" t="s">
        <v>81</v>
      </c>
      <c r="B60" s="207" t="s">
        <v>201</v>
      </c>
      <c r="C60" s="97">
        <f t="shared" ref="C60:L60" si="3">IF(C58="","",VLOOKUP(C58,PIPE1,2))</f>
        <v>12.75</v>
      </c>
      <c r="D60" s="97">
        <f t="shared" si="3"/>
        <v>12.75</v>
      </c>
      <c r="E60" s="97">
        <f t="shared" si="3"/>
        <v>12.75</v>
      </c>
      <c r="F60" s="97">
        <f t="shared" si="3"/>
        <v>12.75</v>
      </c>
      <c r="G60" s="97">
        <f t="shared" si="3"/>
        <v>12.75</v>
      </c>
      <c r="H60" s="97">
        <f t="shared" si="3"/>
        <v>12.75</v>
      </c>
      <c r="I60" s="97">
        <f t="shared" si="3"/>
        <v>12.75</v>
      </c>
      <c r="J60" s="97">
        <f t="shared" si="3"/>
        <v>12.75</v>
      </c>
      <c r="K60" s="97">
        <f t="shared" si="3"/>
        <v>12.75</v>
      </c>
      <c r="L60" s="97">
        <f t="shared" si="3"/>
        <v>12.75</v>
      </c>
      <c r="M60" s="97" t="str">
        <f t="shared" ref="M60:U60" si="4">IF(M58="","",VLOOKUP(M58,PIPE1,2))</f>
        <v/>
      </c>
      <c r="N60" s="97">
        <f t="shared" si="4"/>
        <v>12.75</v>
      </c>
      <c r="O60" s="97">
        <f t="shared" si="4"/>
        <v>12.75</v>
      </c>
      <c r="P60" s="97">
        <f t="shared" si="4"/>
        <v>12.75</v>
      </c>
      <c r="Q60" s="97">
        <f t="shared" si="4"/>
        <v>12.75</v>
      </c>
      <c r="R60" s="97">
        <f t="shared" si="4"/>
        <v>12.75</v>
      </c>
      <c r="S60" s="97">
        <f t="shared" si="4"/>
        <v>12.75</v>
      </c>
      <c r="T60" s="97">
        <f t="shared" si="4"/>
        <v>12.75</v>
      </c>
      <c r="U60" s="97">
        <f t="shared" si="4"/>
        <v>12.75</v>
      </c>
      <c r="V60" s="224">
        <f t="shared" ref="V60" si="5">IF(V58="","",VLOOKUP(V58,PIPE1,2))</f>
        <v>12.75</v>
      </c>
      <c r="W60" s="400"/>
      <c r="X60" s="401"/>
      <c r="Y60" s="401"/>
      <c r="Z60" s="401"/>
      <c r="AA60" s="401"/>
      <c r="AB60" s="465"/>
      <c r="AC60" s="416"/>
      <c r="AD60" s="401"/>
      <c r="AE60" s="401"/>
      <c r="AF60" s="401"/>
      <c r="AG60" s="402"/>
      <c r="AT60" s="140"/>
    </row>
    <row r="61" spans="1:47">
      <c r="A61" s="54" t="s">
        <v>34</v>
      </c>
      <c r="B61" s="208" t="s">
        <v>201</v>
      </c>
      <c r="C61" s="35">
        <f>IF(C58="","",VLOOKUP(C58,PIPE,VLOOKUP(C59,SCH,2)))*1000/25.4</f>
        <v>11.375984251968504</v>
      </c>
      <c r="D61" s="34">
        <f t="shared" ref="D61:K61" si="6">IF(D58="","",VLOOKUP(D58,PIPE,VLOOKUP(D59,SCH,2)))*1000/25.4</f>
        <v>11.375984251968504</v>
      </c>
      <c r="E61" s="34">
        <f t="shared" si="6"/>
        <v>11.375984251968504</v>
      </c>
      <c r="F61" s="34">
        <f t="shared" si="6"/>
        <v>11.375984251968504</v>
      </c>
      <c r="G61" s="34">
        <f t="shared" si="6"/>
        <v>11.375984251968504</v>
      </c>
      <c r="H61" s="34">
        <f t="shared" si="6"/>
        <v>11.375984251968504</v>
      </c>
      <c r="I61" s="34">
        <f t="shared" si="6"/>
        <v>11.375984251968504</v>
      </c>
      <c r="J61" s="34">
        <f t="shared" si="6"/>
        <v>11.375984251968504</v>
      </c>
      <c r="K61" s="34">
        <f t="shared" si="6"/>
        <v>11.375984251968504</v>
      </c>
      <c r="L61" s="34">
        <f t="shared" ref="L61:U61" si="7">IF(L58="","",VLOOKUP(L58,PIPE,VLOOKUP(L59,SCH,2))*1000/25.4)</f>
        <v>11.375984251968504</v>
      </c>
      <c r="M61" s="34" t="str">
        <f t="shared" si="7"/>
        <v/>
      </c>
      <c r="N61" s="34">
        <f t="shared" si="7"/>
        <v>11.375984251968504</v>
      </c>
      <c r="O61" s="34">
        <f t="shared" si="7"/>
        <v>11.375984251968504</v>
      </c>
      <c r="P61" s="34">
        <f t="shared" si="7"/>
        <v>11.375984251968504</v>
      </c>
      <c r="Q61" s="34">
        <f t="shared" si="7"/>
        <v>11.375984251968504</v>
      </c>
      <c r="R61" s="34">
        <f t="shared" si="7"/>
        <v>11.375984251968504</v>
      </c>
      <c r="S61" s="34">
        <f t="shared" si="7"/>
        <v>11.375984251968504</v>
      </c>
      <c r="T61" s="34">
        <f t="shared" si="7"/>
        <v>11.375984251968504</v>
      </c>
      <c r="U61" s="34">
        <f t="shared" si="7"/>
        <v>11.375984251968504</v>
      </c>
      <c r="V61" s="237">
        <f t="shared" ref="V61" si="8">IF(V58="","",VLOOKUP(V58,PIPE,VLOOKUP(V59,SCH,2))*1000/25.4)</f>
        <v>11.375984251968504</v>
      </c>
      <c r="W61" s="297" t="s">
        <v>18</v>
      </c>
      <c r="X61" s="466" t="s">
        <v>29</v>
      </c>
      <c r="Y61" s="467"/>
      <c r="Z61" s="467"/>
      <c r="AA61" s="467"/>
      <c r="AB61" s="468"/>
      <c r="AC61" s="286" t="s">
        <v>18</v>
      </c>
      <c r="AD61" s="394" t="s">
        <v>29</v>
      </c>
      <c r="AE61" s="395"/>
      <c r="AF61" s="395"/>
      <c r="AG61" s="396"/>
      <c r="AT61" s="140"/>
    </row>
    <row r="62" spans="1:47">
      <c r="A62" s="54" t="s">
        <v>35</v>
      </c>
      <c r="B62" s="209" t="s">
        <v>202</v>
      </c>
      <c r="C62" s="101">
        <f>500/0.3048</f>
        <v>1640.4199475065616</v>
      </c>
      <c r="D62" s="101">
        <f t="shared" ref="D62:V62" si="9">500/0.3048</f>
        <v>1640.4199475065616</v>
      </c>
      <c r="E62" s="101">
        <f t="shared" si="9"/>
        <v>1640.4199475065616</v>
      </c>
      <c r="F62" s="101">
        <f t="shared" si="9"/>
        <v>1640.4199475065616</v>
      </c>
      <c r="G62" s="101">
        <f t="shared" si="9"/>
        <v>1640.4199475065616</v>
      </c>
      <c r="H62" s="101">
        <f t="shared" si="9"/>
        <v>1640.4199475065616</v>
      </c>
      <c r="I62" s="101">
        <f t="shared" si="9"/>
        <v>1640.4199475065616</v>
      </c>
      <c r="J62" s="101">
        <f t="shared" si="9"/>
        <v>1640.4199475065616</v>
      </c>
      <c r="K62" s="101">
        <f t="shared" si="9"/>
        <v>1640.4199475065616</v>
      </c>
      <c r="L62" s="101">
        <f t="shared" si="9"/>
        <v>1640.4199475065616</v>
      </c>
      <c r="M62" s="101"/>
      <c r="N62" s="101">
        <f t="shared" si="9"/>
        <v>1640.4199475065616</v>
      </c>
      <c r="O62" s="101">
        <f t="shared" si="9"/>
        <v>1640.4199475065616</v>
      </c>
      <c r="P62" s="101">
        <f t="shared" si="9"/>
        <v>1640.4199475065616</v>
      </c>
      <c r="Q62" s="101">
        <f t="shared" si="9"/>
        <v>1640.4199475065616</v>
      </c>
      <c r="R62" s="223">
        <f t="shared" si="9"/>
        <v>1640.4199475065616</v>
      </c>
      <c r="S62" s="223">
        <f t="shared" si="9"/>
        <v>1640.4199475065616</v>
      </c>
      <c r="T62" s="223">
        <f t="shared" si="9"/>
        <v>1640.4199475065616</v>
      </c>
      <c r="U62" s="223">
        <f t="shared" si="9"/>
        <v>1640.4199475065616</v>
      </c>
      <c r="V62" s="223">
        <f t="shared" si="9"/>
        <v>1640.4199475065616</v>
      </c>
      <c r="W62" s="296">
        <f>W39</f>
        <v>1</v>
      </c>
      <c r="X62" s="380" t="s">
        <v>264</v>
      </c>
      <c r="Y62" s="381"/>
      <c r="Z62" s="381"/>
      <c r="AA62" s="381"/>
      <c r="AB62" s="382"/>
      <c r="AC62" s="281">
        <f>W62</f>
        <v>1</v>
      </c>
      <c r="AD62" s="380" t="s">
        <v>272</v>
      </c>
      <c r="AE62" s="381"/>
      <c r="AF62" s="381"/>
      <c r="AG62" s="383"/>
      <c r="AT62" s="140"/>
    </row>
    <row r="63" spans="1:47" s="217" customFormat="1">
      <c r="A63" s="54" t="s">
        <v>36</v>
      </c>
      <c r="B63" s="211"/>
      <c r="C63" s="52">
        <f>IF(C56="BARE",VLOOKUP($AD$15,$D$117:$F$124,3,FALSE),"")</f>
        <v>0.8</v>
      </c>
      <c r="D63" s="52">
        <f>IF(D56="BARE",VLOOKUP($AD$16,$D$117:$F$124,3,FALSE),"")</f>
        <v>0.8</v>
      </c>
      <c r="E63" s="52">
        <f>IF(E56="BARE",VLOOKUP($AD$17,$D$117:$F$124,3,FALSE),"")</f>
        <v>0.8</v>
      </c>
      <c r="F63" s="52">
        <f>IF(F56="BARE",VLOOKUP($AD$18,$D$117:$F$124,3,FALSE),"")</f>
        <v>0.8</v>
      </c>
      <c r="G63" s="52">
        <f>IF(G56="BARE",VLOOKUP($AD$19,$D$117:$F$124,3,FALSE),"")</f>
        <v>0.8</v>
      </c>
      <c r="H63" s="52">
        <f>IF(H56="BARE",VLOOKUP($AD$20,$D$117:$F$124,3,FALSE),"")</f>
        <v>0.8</v>
      </c>
      <c r="I63" s="52">
        <f>IF(I56="BARE",VLOOKUP($AD$21,$D$117:$F$124,3,FALSE),"")</f>
        <v>0.8</v>
      </c>
      <c r="J63" s="52">
        <f>IF(J56="BARE",VLOOKUP($AD$22,$D$117:$F$124,3,FALSE),"")</f>
        <v>0.8</v>
      </c>
      <c r="K63" s="52">
        <f>IF(K56="BARE",VLOOKUP($AD$23,$D$117:$F$124,3,FALSE),"")</f>
        <v>0.8</v>
      </c>
      <c r="L63" s="52">
        <f>IF(L56="BARE",VLOOKUP($AD$24,$D$117:$F$124,3,FALSE),"")</f>
        <v>0.8</v>
      </c>
      <c r="M63" s="52" t="str">
        <f>IF(M56="BARE",VLOOKUP($AD$25,$D$117:$F$124,3,FALSE),"")</f>
        <v/>
      </c>
      <c r="N63" s="52" t="str">
        <f>IF(N56="BARE",VLOOKUP($AD$26,$D$117:$F$124,3,FALSE),"")</f>
        <v/>
      </c>
      <c r="O63" s="52" t="str">
        <f>IF(O56="BARE",VLOOKUP($AD$27,$D$117:$F$124,3,FALSE),"")</f>
        <v/>
      </c>
      <c r="P63" s="52">
        <f>IF(P56="BARE",VLOOKUP($AD$28,$D$117:$F$124,3,FALSE),"")</f>
        <v>0.8</v>
      </c>
      <c r="Q63" s="52">
        <f>IF(Q56="BARE",VLOOKUP($AD$29,$D$117:$F$124,3,FALSE),"")</f>
        <v>0.8</v>
      </c>
      <c r="R63" s="52">
        <f>IF(R56="BARE",VLOOKUP($AD$30,$D$117:$F$124,3,FALSE),"")</f>
        <v>0.8</v>
      </c>
      <c r="S63" s="52">
        <f>IF(S56="BARE",VLOOKUP($AD$31,$D$117:$F$124,3,FALSE),"")</f>
        <v>0.8</v>
      </c>
      <c r="T63" s="52">
        <f>IF(T56="BARE",VLOOKUP($AD$32,$D$117:$F$124,3,FALSE),"")</f>
        <v>0.8</v>
      </c>
      <c r="U63" s="52">
        <f>IF(U56="BARE",VLOOKUP($AD$33,$D$117:$F$124,3,FALSE),"")</f>
        <v>0.8</v>
      </c>
      <c r="V63" s="52">
        <f>IF(V56="BARE",VLOOKUP($AD$34,$D$117:$F$124,3,FALSE),"")</f>
        <v>0.8</v>
      </c>
      <c r="W63" s="296">
        <f t="shared" ref="W63:W65" si="10">W40</f>
        <v>2</v>
      </c>
      <c r="X63" s="380" t="s">
        <v>264</v>
      </c>
      <c r="Y63" s="381"/>
      <c r="Z63" s="381"/>
      <c r="AA63" s="381"/>
      <c r="AB63" s="382"/>
      <c r="AC63" s="281">
        <f t="shared" ref="AC63:AC65" si="11">W63</f>
        <v>2</v>
      </c>
      <c r="AD63" s="380" t="s">
        <v>272</v>
      </c>
      <c r="AE63" s="381"/>
      <c r="AF63" s="381"/>
      <c r="AG63" s="383"/>
      <c r="AT63" s="140"/>
      <c r="AU63"/>
    </row>
    <row r="64" spans="1:47" s="231" customFormat="1">
      <c r="A64" s="54" t="s">
        <v>109</v>
      </c>
      <c r="B64" s="30"/>
      <c r="C64" s="139">
        <f>IF(C56="BARE",VLOOKUP($X$39,$H$117:$L$124,5,FALSE),"")</f>
        <v>1.016</v>
      </c>
      <c r="D64" s="298">
        <f t="shared" ref="D64:L64" si="12">IF(D56="BARE",VLOOKUP($X$40,$H$117:$L$124,5,FALSE),"")</f>
        <v>1.016</v>
      </c>
      <c r="E64" s="298">
        <f>IF(E56="BARE",VLOOKUP($X$41,$H$117:$L$124,5,FALSE),"")</f>
        <v>1.016</v>
      </c>
      <c r="F64" s="298">
        <f>IF(F56="BARE",VLOOKUP($X$42,$H$117:$L$124,5,FALSE),"")</f>
        <v>1.016</v>
      </c>
      <c r="G64" s="298">
        <f>IF(G56="BARE",VLOOKUP($X$43,$H$117:$L$124,5,FALSE),"")</f>
        <v>1.016</v>
      </c>
      <c r="H64" s="298">
        <f>IF(H56="BARE",VLOOKUP($X$44,$H$117:$L$124,5,FALSE),"")</f>
        <v>1.016</v>
      </c>
      <c r="I64" s="298">
        <f>IF(I56="BARE",VLOOKUP($X$45,$H$117:$L$124,5,FALSE),"")</f>
        <v>1.016</v>
      </c>
      <c r="J64" s="298">
        <f>IF(J56="BARE",VLOOKUP($X$46,$H$117:$L$124,5,FALSE),"")</f>
        <v>1.016</v>
      </c>
      <c r="K64" s="298">
        <f>IF(K56="BARE",VLOOKUP($X$47,$H$117:$L$124,5,FALSE),"")</f>
        <v>1.016</v>
      </c>
      <c r="L64" s="298">
        <f t="shared" si="12"/>
        <v>1.016</v>
      </c>
      <c r="M64" s="298" t="str">
        <f>IF(M56="BARE",VLOOKUP($X$49,$H$117:$L$124,5,FALSE),"")</f>
        <v/>
      </c>
      <c r="N64" s="298" t="str">
        <f>IF(N56="BARE",VLOOKUP($X$50,$H$117:$L$124,5,FALSE),"")</f>
        <v/>
      </c>
      <c r="O64" s="298" t="str">
        <f>IF(O56="BARE",VLOOKUP($X$51,$H$117:$L$124,5,FALSE),"")</f>
        <v/>
      </c>
      <c r="P64" s="298">
        <f>IF(P56="BARE",VLOOKUP($X$52,$H$117:$L$124,5,FALSE),"")</f>
        <v>1.016</v>
      </c>
      <c r="Q64" s="298">
        <f>IF(Q56="BARE",VLOOKUP($X$53,$H$117:$L$124,5,FALSE),"")</f>
        <v>1.016</v>
      </c>
      <c r="R64" s="298">
        <f>IF(R56="BARE",VLOOKUP($X$54,$H$117:$L$124,5,FALSE),"")</f>
        <v>1.016</v>
      </c>
      <c r="S64" s="298">
        <f>IF(S56="BARE",VLOOKUP($X$55,$H$117:$L$124,5,FALSE),"")</f>
        <v>1.016</v>
      </c>
      <c r="T64" s="298">
        <f>IF(T56="BARE",VLOOKUP($X$56,$H$117:$L$124,5,FALSE),"")</f>
        <v>1.016</v>
      </c>
      <c r="U64" s="298">
        <f>IF(U56="BARE",VLOOKUP($X$57,$H$117:$L$124,5,FALSE),"")</f>
        <v>1.016</v>
      </c>
      <c r="V64" s="307">
        <f>IF(V56="BARE",VLOOKUP($X$58,$H$117:$L$124,5,FALSE),"")</f>
        <v>1.016</v>
      </c>
      <c r="W64" s="296">
        <f t="shared" si="10"/>
        <v>3</v>
      </c>
      <c r="X64" s="380" t="s">
        <v>264</v>
      </c>
      <c r="Y64" s="381"/>
      <c r="Z64" s="381"/>
      <c r="AA64" s="381"/>
      <c r="AB64" s="382"/>
      <c r="AC64" s="281">
        <f t="shared" si="11"/>
        <v>3</v>
      </c>
      <c r="AD64" s="380" t="s">
        <v>272</v>
      </c>
      <c r="AE64" s="381"/>
      <c r="AF64" s="381"/>
      <c r="AG64" s="383"/>
      <c r="AT64" s="140"/>
      <c r="AU64"/>
    </row>
    <row r="65" spans="1:47" s="231" customFormat="1">
      <c r="A65" s="292" t="s">
        <v>266</v>
      </c>
      <c r="B65" s="209" t="s">
        <v>201</v>
      </c>
      <c r="C65" s="223"/>
      <c r="D65" s="223"/>
      <c r="E65" s="223"/>
      <c r="F65" s="223"/>
      <c r="G65" s="223"/>
      <c r="H65" s="223"/>
      <c r="I65" s="223"/>
      <c r="J65" s="223"/>
      <c r="K65" s="223"/>
      <c r="L65" s="223"/>
      <c r="M65" s="223"/>
      <c r="N65" s="223"/>
      <c r="O65" s="223"/>
      <c r="P65" s="223"/>
      <c r="Q65" s="223"/>
      <c r="R65" s="223"/>
      <c r="S65" s="223"/>
      <c r="T65" s="223"/>
      <c r="U65" s="223"/>
      <c r="V65" s="238"/>
      <c r="W65" s="296">
        <f t="shared" si="10"/>
        <v>4</v>
      </c>
      <c r="X65" s="380" t="s">
        <v>264</v>
      </c>
      <c r="Y65" s="381"/>
      <c r="Z65" s="381"/>
      <c r="AA65" s="381"/>
      <c r="AB65" s="382"/>
      <c r="AC65" s="281">
        <f t="shared" si="11"/>
        <v>4</v>
      </c>
      <c r="AD65" s="380" t="s">
        <v>272</v>
      </c>
      <c r="AE65" s="381"/>
      <c r="AF65" s="381"/>
      <c r="AG65" s="383"/>
      <c r="AT65" s="140"/>
      <c r="AU65"/>
    </row>
    <row r="66" spans="1:47" s="217" customFormat="1">
      <c r="A66" s="221" t="s">
        <v>196</v>
      </c>
      <c r="B66" s="209" t="s">
        <v>201</v>
      </c>
      <c r="C66" s="97">
        <f>IF(C58="","",C65*2+C60)</f>
        <v>12.75</v>
      </c>
      <c r="D66" s="97">
        <f>IF(D58="","",D65*2+D60)</f>
        <v>12.75</v>
      </c>
      <c r="E66" s="97">
        <f>IF(E58="","",E65*2+E60)</f>
        <v>12.75</v>
      </c>
      <c r="F66" s="97">
        <f>IF(F58="","",F65*2+F60)</f>
        <v>12.75</v>
      </c>
      <c r="G66" s="97">
        <f t="shared" ref="G66:V66" si="13">IF(G58="","",G65*2+G60)</f>
        <v>12.75</v>
      </c>
      <c r="H66" s="97">
        <f t="shared" si="13"/>
        <v>12.75</v>
      </c>
      <c r="I66" s="97">
        <f t="shared" si="13"/>
        <v>12.75</v>
      </c>
      <c r="J66" s="97">
        <f t="shared" si="13"/>
        <v>12.75</v>
      </c>
      <c r="K66" s="97">
        <f t="shared" si="13"/>
        <v>12.75</v>
      </c>
      <c r="L66" s="97">
        <f t="shared" si="13"/>
        <v>12.75</v>
      </c>
      <c r="M66" s="97" t="str">
        <f t="shared" si="13"/>
        <v/>
      </c>
      <c r="N66" s="97">
        <f t="shared" si="13"/>
        <v>12.75</v>
      </c>
      <c r="O66" s="97">
        <f t="shared" si="13"/>
        <v>12.75</v>
      </c>
      <c r="P66" s="97">
        <f t="shared" si="13"/>
        <v>12.75</v>
      </c>
      <c r="Q66" s="97">
        <f t="shared" si="13"/>
        <v>12.75</v>
      </c>
      <c r="R66" s="97">
        <f t="shared" si="13"/>
        <v>12.75</v>
      </c>
      <c r="S66" s="97">
        <f t="shared" si="13"/>
        <v>12.75</v>
      </c>
      <c r="T66" s="97">
        <f t="shared" si="13"/>
        <v>12.75</v>
      </c>
      <c r="U66" s="97">
        <f t="shared" si="13"/>
        <v>12.75</v>
      </c>
      <c r="V66" s="97">
        <f t="shared" si="13"/>
        <v>12.75</v>
      </c>
      <c r="W66" s="296">
        <f t="shared" ref="W66:W81" si="14">W43</f>
        <v>5</v>
      </c>
      <c r="X66" s="380" t="s">
        <v>264</v>
      </c>
      <c r="Y66" s="381"/>
      <c r="Z66" s="381"/>
      <c r="AA66" s="381"/>
      <c r="AB66" s="382"/>
      <c r="AC66" s="281">
        <f t="shared" ref="AC66:AC81" si="15">W66</f>
        <v>5</v>
      </c>
      <c r="AD66" s="380" t="s">
        <v>272</v>
      </c>
      <c r="AE66" s="381"/>
      <c r="AF66" s="381"/>
      <c r="AG66" s="383"/>
      <c r="AT66" s="140"/>
      <c r="AU66"/>
    </row>
    <row r="67" spans="1:47">
      <c r="A67" s="232" t="s">
        <v>206</v>
      </c>
      <c r="B67" s="212" t="s">
        <v>204</v>
      </c>
      <c r="C67" s="348">
        <f>IF(C58="","",IF($X$62=$P$120,C87*EXP(C88*$X$15),C87*$X$15+C88))</f>
        <v>0</v>
      </c>
      <c r="D67" s="348">
        <f>IF(D58="","",IF($X$63=$P$120,D87*EXP(D88*$X$16),D87*$X$16+D88))</f>
        <v>0</v>
      </c>
      <c r="E67" s="348">
        <f>IF(E58="","",IF($X$64=$P$120,E87*EXP(E88*$X$17),E87*$X$17+E88))</f>
        <v>0</v>
      </c>
      <c r="F67" s="348">
        <f>IF(F58="","",IF($X$65=$P$120,F87*EXP(F88*$X$18),F87*$X$18+F88))</f>
        <v>0</v>
      </c>
      <c r="G67" s="348">
        <f>IF(G58="","",IF($X$66=$P$120,G87*EXP(G88*$X$19),G87*$X$19+G88))</f>
        <v>0</v>
      </c>
      <c r="H67" s="348">
        <f>IF(H58="","",IF($X$67=$P$120,H87*EXP(H88*$X$20),H87*$X$20+H88))</f>
        <v>0</v>
      </c>
      <c r="I67" s="348">
        <f>IF(I58="","",IF($X$68=$P$120,I87*EXP(I88*$X$21),I87*$X$21+I88))</f>
        <v>0</v>
      </c>
      <c r="J67" s="348">
        <f>IF(J58="","",IF($X$69=$P$120,J87*EXP(J88*$X$22),J87*$X$22+J88))</f>
        <v>0</v>
      </c>
      <c r="K67" s="348">
        <f>IF(K58="","",IF($X$70=$P$120,K87*EXP(K88*$X$23),K87*$X$23+K88))</f>
        <v>0</v>
      </c>
      <c r="L67" s="348">
        <f>IF(L58="","",IF($X$71=$P$120,L87*EXP(L88*$X$24),L87*$X$24+L88))</f>
        <v>0</v>
      </c>
      <c r="M67" s="348" t="str">
        <f>IF(M58="","",IF($X$72=$P$120,M87*EXP(M88*$X$25),M87*$X$25+M88))</f>
        <v/>
      </c>
      <c r="N67" s="348">
        <f>IF(N58="","",IF($X$73=$P$120,N87*EXP(N88*$X$26),N87*$X$26+N88))</f>
        <v>0</v>
      </c>
      <c r="O67" s="348">
        <f>IF(O58="","",IF($X$74=$P$120,O87*EXP(O88*$X$27),O87*$X$27+O88))</f>
        <v>0</v>
      </c>
      <c r="P67" s="348">
        <f>IF(P58="","",IF($X$75=$P$120,P87*EXP(P88*$X$28),P87*$X$28+P88))</f>
        <v>0</v>
      </c>
      <c r="Q67" s="348">
        <f>IF(Q58="","",IF($X$76=$P$120,Q87*EXP(Q88*$X$29),Q87*$X$29+Q88))</f>
        <v>0</v>
      </c>
      <c r="R67" s="348">
        <f>IF(R58="","",IF($X$77=$P$120,R87*EXP(R88*$X$30),R87*$X$30+R88))</f>
        <v>0</v>
      </c>
      <c r="S67" s="348">
        <f>IF(S58="","",IF($X$78=$P$120,S87*EXP(S88*$X$31),S87*$X$31+S88))</f>
        <v>0</v>
      </c>
      <c r="T67" s="348">
        <f>IF(T58="","",IF($X$79=$P$120,T87*EXP(T88*$X$32),T87*$X$32+T88))</f>
        <v>0</v>
      </c>
      <c r="U67" s="348">
        <f>IF(U58="","",IF($X$80=$P$120,U87*EXP(U88*$X$33),U87*$X$33+U88))</f>
        <v>0</v>
      </c>
      <c r="V67" s="348">
        <f>IF(V58="","",IF($X$81=$P$120,V87*EXP(V88*$X$34),V87*$X$34+V88))</f>
        <v>0</v>
      </c>
      <c r="W67" s="296">
        <f t="shared" si="14"/>
        <v>6</v>
      </c>
      <c r="X67" s="380" t="s">
        <v>264</v>
      </c>
      <c r="Y67" s="381"/>
      <c r="Z67" s="381"/>
      <c r="AA67" s="381"/>
      <c r="AB67" s="382"/>
      <c r="AC67" s="281">
        <f t="shared" si="15"/>
        <v>6</v>
      </c>
      <c r="AD67" s="380" t="s">
        <v>272</v>
      </c>
      <c r="AE67" s="381"/>
      <c r="AF67" s="381"/>
      <c r="AG67" s="383"/>
      <c r="AT67" s="140"/>
    </row>
    <row r="68" spans="1:47">
      <c r="A68" s="232" t="s">
        <v>205</v>
      </c>
      <c r="B68" s="212" t="s">
        <v>204</v>
      </c>
      <c r="C68" s="100">
        <f>IF(C58="","",C91*$X$15^3+C92*$X$15^2+C93*$X$15+C94)</f>
        <v>30.466325303749997</v>
      </c>
      <c r="D68" s="100">
        <f>IF(D58="","",D91*$X$16^3+D92*$X$16^2+D93*$X$16+D94)</f>
        <v>30.463878988950608</v>
      </c>
      <c r="E68" s="100">
        <f>IF(E58="","",E91*$X$17^3+E92*$X$17^2+E93*$X$17+E94)</f>
        <v>30.461509914114053</v>
      </c>
      <c r="F68" s="100">
        <f>IF(F58="","",F91*$X$18^3+F92*$X$18^2+F93*$X$18+F94)</f>
        <v>30.459214701732126</v>
      </c>
      <c r="G68" s="100">
        <f>IF(G58="","",G91*$X$19^3+G92*$X$19^2+G93*$X$19+G94)</f>
        <v>30.456990843525926</v>
      </c>
      <c r="H68" s="100">
        <f>IF(H58="","",H91*$X$20^3+H92*$X$20^2+H93*$X$20+H94)</f>
        <v>30.454835608540002</v>
      </c>
      <c r="I68" s="100">
        <f>IF(I58="","",I91*$X$21^3+I92*$X$21^2+I93*$X$21+I94)</f>
        <v>30.452746240001449</v>
      </c>
      <c r="J68" s="100">
        <f>IF(J58="","",J91*$X$22^3+J92*$X$22^2+J93*$X$22+J94)</f>
        <v>30.450720272225265</v>
      </c>
      <c r="K68" s="100">
        <f>IF(K58="","",K91*$X$23^3+K92*$X$23^2+K93*$X$23+K94)</f>
        <v>30.448755498371973</v>
      </c>
      <c r="L68" s="100">
        <f>IF(L58="","",L91*$X$24^3+L92*$X$24^2+L93*$X$24+L94)</f>
        <v>30.446849661450365</v>
      </c>
      <c r="M68" s="100" t="str">
        <f>IF(M58="","",M91*$X$25^3+M92*$X$25^2+M93*$X$25+M94)</f>
        <v/>
      </c>
      <c r="N68" s="100">
        <f>IF(N58="","",N91*$X$26^3+N92*$X$26^2+N93*$X$26+N94)</f>
        <v>30.426806878535274</v>
      </c>
      <c r="O68" s="100">
        <f>IF(O58="","",O91*$X$27^3+O92*$X$27^2+O93*$X$27+O94)</f>
        <v>30.427878303512486</v>
      </c>
      <c r="P68" s="100">
        <f>IF(P58="","",P91*$X$28^3+P92*$X$28^2+P93*$X$28+P94)</f>
        <v>30.428912201911494</v>
      </c>
      <c r="Q68" s="100">
        <f>IF(Q58="","",Q91*$X$29^3+Q92*$X$29^2+Q93*$X$29+Q94)</f>
        <v>30.427577770365808</v>
      </c>
      <c r="R68" s="100">
        <f>IF(R58="","",R91*$X$30^3+R92*$X$30^2+R93*$X$30+R94)</f>
        <v>30.426280245671556</v>
      </c>
      <c r="S68" s="100">
        <f>IF(S58="","",S91*$X$31^3+S92*$X$31^2+S93*$X$31+S94)</f>
        <v>30.42501840873426</v>
      </c>
      <c r="T68" s="100">
        <f>IF(T58="","",T91*$X$32^3+T92*$X$32^2+T93*$X$32+T94)</f>
        <v>30.423790909157631</v>
      </c>
      <c r="U68" s="100">
        <f>IF(U58="","",U91*$X$33^3+U92*$X$33^2+U93*$X$33+U94)</f>
        <v>30.422596809125693</v>
      </c>
      <c r="V68" s="100">
        <f>IF(V58="","",V91*$X$34^3+V92*$X$34^2+V93*$X$34+V94)</f>
        <v>30.421435026824444</v>
      </c>
      <c r="W68" s="296">
        <f t="shared" si="14"/>
        <v>7</v>
      </c>
      <c r="X68" s="380" t="s">
        <v>264</v>
      </c>
      <c r="Y68" s="381"/>
      <c r="Z68" s="381"/>
      <c r="AA68" s="381"/>
      <c r="AB68" s="382"/>
      <c r="AC68" s="281">
        <f t="shared" si="15"/>
        <v>7</v>
      </c>
      <c r="AD68" s="380" t="s">
        <v>272</v>
      </c>
      <c r="AE68" s="381"/>
      <c r="AF68" s="381"/>
      <c r="AG68" s="383"/>
      <c r="AT68" s="140"/>
    </row>
    <row r="69" spans="1:47">
      <c r="A69" s="54" t="s">
        <v>38</v>
      </c>
      <c r="B69" s="212" t="s">
        <v>93</v>
      </c>
      <c r="C69" s="100">
        <f>IF(C58="","",ifc($AM$15,C61,C60,$AN$15,$AO$15))</f>
        <v>342.84804076715011</v>
      </c>
      <c r="D69" s="100">
        <f>IF(D58="","",ifc($AM$16,D61,D60,$AN$16,$AO$16))</f>
        <v>342.61958511665443</v>
      </c>
      <c r="E69" s="100">
        <f>IF(E58="","",ifc($AM$17,E61,E60,$AN$17,$AO$17))</f>
        <v>342.81855657572959</v>
      </c>
      <c r="F69" s="100">
        <f>IF(F58="","",ifc($AM$18,F61,F60,$AN$18,$AO$18))</f>
        <v>343.01120544123899</v>
      </c>
      <c r="G69" s="100">
        <f>IF(G58="","",ifc($AM$19,G61,G60,$AN$19,$AO$19))</f>
        <v>343.19773069497148</v>
      </c>
      <c r="H69" s="100">
        <f>IF(H58="","",ifc($AM$20,H61,H60,$AN$20,$AO$20))</f>
        <v>343.37843958635551</v>
      </c>
      <c r="I69" s="100">
        <f>IF(I58="","",ifc($AM$21,I61,I60,$AN$21,$AO$21))</f>
        <v>343.55347829795545</v>
      </c>
      <c r="J69" s="100">
        <f>IF(J58="","",ifc($AM$22,J61,J60,$AN$22,$AO$22))</f>
        <v>343.72312290451799</v>
      </c>
      <c r="K69" s="100">
        <f>IF(K58="","",ifc($AM$23,K61,K60,$AN$23,$AO$23))</f>
        <v>343.88758378896227</v>
      </c>
      <c r="L69" s="100">
        <f>IF(L58="","",ifc($AM$24,L61,L60,$AN$24,$AO$24))</f>
        <v>344.04701763566317</v>
      </c>
      <c r="M69" s="100" t="str">
        <f>IF(M58="","",ifc($AM$25,M61,M60,$AN$25,$AO$25))</f>
        <v/>
      </c>
      <c r="N69" s="100">
        <f>IF(N58="","",ifc($AM$26,N61,N60,$AN$26,$AO$26))</f>
        <v>345.71897798850921</v>
      </c>
      <c r="O69" s="100">
        <f>IF(O58="","",ifc($AM$27,O61,O60,$AN$27,$AO$27))</f>
        <v>345.62980114977483</v>
      </c>
      <c r="P69" s="100">
        <f>IF(P58="","",ifc($AM$28,P61,P60,$AN$28,$AO$28))</f>
        <v>345.54377214140857</v>
      </c>
      <c r="Q69" s="100">
        <f>IF(Q58="","",ifc($AM$29,Q61,Q60,$AN$29,$AO$29))</f>
        <v>345.65481261091537</v>
      </c>
      <c r="R69" s="100">
        <f>IF(R58="","",ifc($AM$30,R61,R60,$AN$30,$AO$30))</f>
        <v>345.76280058632437</v>
      </c>
      <c r="S69" s="100">
        <f>IF(S58="","",ifc($AM$31,S61,S60,$AN$31,$AO$31))</f>
        <v>345.86777054158915</v>
      </c>
      <c r="T69" s="100">
        <f>IF(T58="","",ifc($AM$32,T61,T60,$AN$32,$AO$32))</f>
        <v>345.96983257648719</v>
      </c>
      <c r="U69" s="100">
        <f>IF(U58="","",ifc($AM$33,U61,U60,$AN$33,$AO$33))</f>
        <v>346.06911428577507</v>
      </c>
      <c r="V69" s="100">
        <f>IF(V58="","",ifc($AM$34,V61,V60,$AN$34,$AO$34))</f>
        <v>346.33572266240964</v>
      </c>
      <c r="W69" s="296">
        <f t="shared" si="14"/>
        <v>8</v>
      </c>
      <c r="X69" s="380" t="s">
        <v>264</v>
      </c>
      <c r="Y69" s="381"/>
      <c r="Z69" s="381"/>
      <c r="AA69" s="381"/>
      <c r="AB69" s="382"/>
      <c r="AC69" s="281">
        <f t="shared" si="15"/>
        <v>8</v>
      </c>
      <c r="AD69" s="380" t="s">
        <v>272</v>
      </c>
      <c r="AE69" s="381"/>
      <c r="AF69" s="381"/>
      <c r="AG69" s="383"/>
      <c r="AR69" s="177"/>
      <c r="AS69" s="177"/>
      <c r="AT69" s="140"/>
    </row>
    <row r="70" spans="1:47">
      <c r="A70" s="218" t="s">
        <v>197</v>
      </c>
      <c r="B70" s="210"/>
      <c r="C70" s="215"/>
      <c r="D70" s="215"/>
      <c r="E70" s="216"/>
      <c r="F70" s="215"/>
      <c r="G70" s="215"/>
      <c r="H70" s="215"/>
      <c r="I70" s="215"/>
      <c r="J70" s="215"/>
      <c r="K70" s="215"/>
      <c r="L70" s="215"/>
      <c r="M70" s="215"/>
      <c r="N70" s="215"/>
      <c r="O70" s="215"/>
      <c r="P70" s="215"/>
      <c r="Q70" s="215"/>
      <c r="R70" s="214"/>
      <c r="S70" s="214"/>
      <c r="T70" s="214"/>
      <c r="U70" s="214"/>
      <c r="V70" s="239"/>
      <c r="W70" s="296">
        <f t="shared" si="14"/>
        <v>9</v>
      </c>
      <c r="X70" s="380" t="s">
        <v>264</v>
      </c>
      <c r="Y70" s="381"/>
      <c r="Z70" s="381"/>
      <c r="AA70" s="381"/>
      <c r="AB70" s="382"/>
      <c r="AC70" s="281">
        <f t="shared" si="15"/>
        <v>9</v>
      </c>
      <c r="AD70" s="380" t="s">
        <v>272</v>
      </c>
      <c r="AE70" s="381"/>
      <c r="AF70" s="381"/>
      <c r="AG70" s="383"/>
    </row>
    <row r="71" spans="1:47" s="217" customFormat="1">
      <c r="A71" s="54" t="s">
        <v>37</v>
      </c>
      <c r="B71" s="212" t="s">
        <v>92</v>
      </c>
      <c r="C71" s="98">
        <f t="shared" ref="C71:U71" si="16">IF(C56="BARE",C72+C73,"")</f>
        <v>2.0176369736712783</v>
      </c>
      <c r="D71" s="98">
        <f t="shared" si="16"/>
        <v>2.0064484396498692</v>
      </c>
      <c r="E71" s="98">
        <f t="shared" si="16"/>
        <v>1.9955351986551002</v>
      </c>
      <c r="F71" s="98">
        <f t="shared" si="16"/>
        <v>1.9847830069412609</v>
      </c>
      <c r="G71" s="98">
        <f t="shared" si="16"/>
        <v>1.9742362754233014</v>
      </c>
      <c r="H71" s="98">
        <f t="shared" si="16"/>
        <v>1.9639115437186221</v>
      </c>
      <c r="I71" s="98">
        <f t="shared" si="16"/>
        <v>1.9537750325826402</v>
      </c>
      <c r="J71" s="98">
        <f t="shared" si="16"/>
        <v>1.943795403809073</v>
      </c>
      <c r="K71" s="98">
        <f t="shared" si="16"/>
        <v>1.9339911961249336</v>
      </c>
      <c r="L71" s="98">
        <f t="shared" si="16"/>
        <v>1.9243794844646267</v>
      </c>
      <c r="M71" s="98" t="str">
        <f t="shared" si="16"/>
        <v/>
      </c>
      <c r="N71" s="98" t="str">
        <f t="shared" si="16"/>
        <v/>
      </c>
      <c r="O71" s="98" t="str">
        <f t="shared" si="16"/>
        <v/>
      </c>
      <c r="P71" s="98">
        <f t="shared" si="16"/>
        <v>1.8263004462384433</v>
      </c>
      <c r="Q71" s="98">
        <f t="shared" si="16"/>
        <v>1.818324987361067</v>
      </c>
      <c r="R71" s="98">
        <f t="shared" si="16"/>
        <v>1.8104600712331063</v>
      </c>
      <c r="S71" s="98">
        <f t="shared" si="16"/>
        <v>1.8027436048512775</v>
      </c>
      <c r="T71" s="98">
        <f t="shared" si="16"/>
        <v>1.7950897224698859</v>
      </c>
      <c r="U71" s="98">
        <f t="shared" si="16"/>
        <v>1.7875377744342045</v>
      </c>
      <c r="V71" s="240">
        <f t="shared" ref="V71" si="17">IF(V56="BARE",V72+V73,"")</f>
        <v>1.7800851083028073</v>
      </c>
      <c r="W71" s="296">
        <f t="shared" si="14"/>
        <v>10</v>
      </c>
      <c r="X71" s="380" t="s">
        <v>264</v>
      </c>
      <c r="Y71" s="381"/>
      <c r="Z71" s="381"/>
      <c r="AA71" s="381"/>
      <c r="AB71" s="382"/>
      <c r="AC71" s="281">
        <f t="shared" si="15"/>
        <v>10</v>
      </c>
      <c r="AD71" s="380" t="s">
        <v>272</v>
      </c>
      <c r="AE71" s="381"/>
      <c r="AF71" s="381"/>
      <c r="AG71" s="383"/>
      <c r="AM71"/>
      <c r="AN71"/>
      <c r="AO71"/>
      <c r="AP71"/>
      <c r="AQ71"/>
      <c r="AR71"/>
      <c r="AS71"/>
      <c r="AT71"/>
      <c r="AU71"/>
    </row>
    <row r="72" spans="1:47">
      <c r="A72" s="55" t="s">
        <v>39</v>
      </c>
      <c r="B72" s="212"/>
      <c r="C72" s="51">
        <f>IF(C56="BARE",csc(C64,C60,$AA$6,$Z15,$AA$7),"")</f>
        <v>1.4031092503135314</v>
      </c>
      <c r="D72" s="51">
        <f>IF(D56="BARE",csc(D64,D60,$AA$6,$Z16,$AA$7),"")</f>
        <v>1.3911889832039623</v>
      </c>
      <c r="E72" s="51">
        <f>IF(E56="BARE",csc(E64,E60,$AA$6,$Z17,$AA$7),"")</f>
        <v>1.3795699187743733</v>
      </c>
      <c r="F72" s="51">
        <f>IF(F56="BARE",csc(F64,F60,$AA$6,$Z18,$AA$7),"")</f>
        <v>1.3681301838410416</v>
      </c>
      <c r="G72" s="51">
        <f>IF(G56="BARE",csc(G64,G60,$AA$6,$Z19,$AA$7),"")</f>
        <v>1.3569168421432642</v>
      </c>
      <c r="H72" s="51">
        <f>IF(H56="BARE",csc(H64,H60,$AA$6,$Z20,$AA$7),"")</f>
        <v>1.3459471995097332</v>
      </c>
      <c r="I72" s="51">
        <f>IF(I56="BARE",csc(I64,I60,$AA$6,$Z21,$AA$7),"")</f>
        <v>1.3351850818744111</v>
      </c>
      <c r="J72" s="51">
        <f>IF(J56="BARE",csc(J64,J60,$AA$6,$Z22,$AA$7),"")</f>
        <v>1.3245969888708495</v>
      </c>
      <c r="K72" s="51">
        <f>IF(K56="BARE",csc(K64,K60,$AA$6,$Z23,$AA$7),"")</f>
        <v>1.3142023567524612</v>
      </c>
      <c r="L72" s="51">
        <f>IF(L56="BARE",csc(L64,L60,$AA$6,$Z24,$AA$7),"")</f>
        <v>1.304019002999169</v>
      </c>
      <c r="M72" s="51" t="str">
        <f>IF(M56="BARE",csc(M64,M60,$AA$6,$Z25,$AA$7),"")</f>
        <v/>
      </c>
      <c r="N72" s="51" t="str">
        <f>IF(N56="BARE",csc(N64,N60,$AA$6,$Z26,$AA$7),"")</f>
        <v/>
      </c>
      <c r="O72" s="51" t="str">
        <f>IF(O56="BARE",csc(O64,O60,$AA$6,$Z27,$AA$7),"")</f>
        <v/>
      </c>
      <c r="P72" s="51">
        <f>IF(P56="BARE",csc(P64,P60,$AA$6,$Z28,$AA$7),"")</f>
        <v>1.2005364704775048</v>
      </c>
      <c r="Q72" s="51">
        <f>IF(Q56="BARE",csc(Q64,Q60,$AA$6,$Z29,$AA$7),"")</f>
        <v>1.192157408962168</v>
      </c>
      <c r="R72" s="51">
        <f>IF(R56="BARE",csc(R64,R60,$AA$6,$Z30,$AA$7),"")</f>
        <v>1.1838999001980226</v>
      </c>
      <c r="S72" s="51">
        <f>IF(S56="BARE",csc(S64,S60,$AA$6,$Z31,$AA$7),"")</f>
        <v>1.1758034975335625</v>
      </c>
      <c r="T72" s="51">
        <f>IF(T56="BARE",csc(T64,T60,$AA$6,$Z32,$AA$7),"")</f>
        <v>1.1677779084858535</v>
      </c>
      <c r="U72" s="51">
        <f>IF(U56="BARE",csc(U64,U60,$AA$6,$Z33,$AA$7),"")</f>
        <v>1.1598642399717174</v>
      </c>
      <c r="V72" s="199">
        <f>IF(V56="BARE",csc(V64,V60,$AA$6,$Z34,$AA$7),"")</f>
        <v>1.1520595241016203</v>
      </c>
      <c r="W72" s="296" t="str">
        <f t="shared" si="14"/>
        <v>PUMP</v>
      </c>
      <c r="X72" s="380" t="s">
        <v>264</v>
      </c>
      <c r="Y72" s="381"/>
      <c r="Z72" s="381"/>
      <c r="AA72" s="381"/>
      <c r="AB72" s="382"/>
      <c r="AC72" s="281" t="str">
        <f t="shared" si="15"/>
        <v>PUMP</v>
      </c>
      <c r="AD72" s="380" t="s">
        <v>264</v>
      </c>
      <c r="AE72" s="381"/>
      <c r="AF72" s="381"/>
      <c r="AG72" s="383"/>
    </row>
    <row r="73" spans="1:47" s="222" customFormat="1">
      <c r="A73" s="55" t="s">
        <v>40</v>
      </c>
      <c r="B73" s="212"/>
      <c r="C73" s="99">
        <f>IF(C56="BARE",CoRad(C63,$AA$6,$Z15),"")</f>
        <v>0.61452772335774708</v>
      </c>
      <c r="D73" s="99">
        <f>IF(D56="BARE",CoRad(D63,$AA$6,$Z16),"")</f>
        <v>0.61525945644590707</v>
      </c>
      <c r="E73" s="99">
        <f>IF(E56="BARE",CoRad(E63,$AA$6,$Z17),"")</f>
        <v>0.61596527988072702</v>
      </c>
      <c r="F73" s="99">
        <f>IF(F56="BARE",CoRad(F63,$AA$6,$Z18),"")</f>
        <v>0.61665282310021929</v>
      </c>
      <c r="G73" s="99">
        <f>IF(G56="BARE",CoRad(G63,$AA$6,$Z19),"")</f>
        <v>0.61731943328003724</v>
      </c>
      <c r="H73" s="99">
        <f>IF(H56="BARE",CoRad(H63,$AA$6,$Z20),"")</f>
        <v>0.6179643442088889</v>
      </c>
      <c r="I73" s="99">
        <f>IF(I56="BARE",CoRad(I63,$AA$6,$Z21),"")</f>
        <v>0.61858995070822909</v>
      </c>
      <c r="J73" s="99">
        <f>IF(J56="BARE",CoRad(J63,$AA$6,$Z22),"")</f>
        <v>0.61919841493822358</v>
      </c>
      <c r="K73" s="99">
        <f>IF(K56="BARE",CoRad(K63,$AA$6,$Z23),"")</f>
        <v>0.61978883937247242</v>
      </c>
      <c r="L73" s="99">
        <f>IF(L56="BARE",CoRad(L63,$AA$6,$Z24),"")</f>
        <v>0.62036048146545764</v>
      </c>
      <c r="M73" s="99" t="str">
        <f>IF(M56="BARE",CoRad(M63,$AA$6,$Z25),"")</f>
        <v/>
      </c>
      <c r="N73" s="99" t="str">
        <f>IF(N56="BARE",CoRad(N63,$AA$6,$Z26),"")</f>
        <v/>
      </c>
      <c r="O73" s="99" t="str">
        <f>IF(O56="BARE",CoRad(O63,$AA$6,$Z27),"")</f>
        <v/>
      </c>
      <c r="P73" s="99">
        <f>IF(P56="BARE",CoRad(P63,$AA$6,$Z28),"")</f>
        <v>0.62576397576093845</v>
      </c>
      <c r="Q73" s="99">
        <f>IF(Q56="BARE",CoRad(Q63,$AA$6,$Z29),"")</f>
        <v>0.62616757839889892</v>
      </c>
      <c r="R73" s="99">
        <f>IF(R56="BARE",CoRad(R63,$AA$6,$Z30),"")</f>
        <v>0.62656017103508366</v>
      </c>
      <c r="S73" s="99">
        <f>IF(S56="BARE",CoRad(S63,$AA$6,$Z31),"")</f>
        <v>0.6269401073177151</v>
      </c>
      <c r="T73" s="99">
        <f>IF(T56="BARE",CoRad(T63,$AA$6,$Z32),"")</f>
        <v>0.62731181398403235</v>
      </c>
      <c r="U73" s="99">
        <f>IF(U56="BARE",CoRad(U63,$AA$6,$Z33),"")</f>
        <v>0.62767353446248708</v>
      </c>
      <c r="V73" s="241">
        <f>IF(V56="BARE",CoRad(V63,$AA$6,$Z34),"")</f>
        <v>0.62802558420118693</v>
      </c>
      <c r="W73" s="296">
        <f t="shared" si="14"/>
        <v>11</v>
      </c>
      <c r="X73" s="380" t="s">
        <v>264</v>
      </c>
      <c r="Y73" s="381"/>
      <c r="Z73" s="381"/>
      <c r="AA73" s="381"/>
      <c r="AB73" s="382"/>
      <c r="AC73" s="281">
        <f t="shared" si="15"/>
        <v>11</v>
      </c>
      <c r="AD73" s="380" t="s">
        <v>272</v>
      </c>
      <c r="AE73" s="381"/>
      <c r="AF73" s="381"/>
      <c r="AG73" s="383"/>
      <c r="AM73"/>
      <c r="AN73"/>
      <c r="AO73"/>
      <c r="AP73"/>
      <c r="AQ73"/>
      <c r="AR73"/>
      <c r="AS73"/>
      <c r="AT73"/>
      <c r="AU73"/>
    </row>
    <row r="74" spans="1:47" s="222" customFormat="1">
      <c r="A74" s="218" t="s">
        <v>198</v>
      </c>
      <c r="B74" s="210"/>
      <c r="C74" s="215"/>
      <c r="D74" s="215"/>
      <c r="E74" s="216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4"/>
      <c r="S74" s="214"/>
      <c r="T74" s="214"/>
      <c r="U74" s="214"/>
      <c r="V74" s="239"/>
      <c r="W74" s="296">
        <f t="shared" si="14"/>
        <v>12</v>
      </c>
      <c r="X74" s="380" t="s">
        <v>264</v>
      </c>
      <c r="Y74" s="381"/>
      <c r="Z74" s="381"/>
      <c r="AA74" s="381"/>
      <c r="AB74" s="382"/>
      <c r="AC74" s="281">
        <f t="shared" si="15"/>
        <v>12</v>
      </c>
      <c r="AD74" s="380" t="s">
        <v>272</v>
      </c>
      <c r="AE74" s="381"/>
      <c r="AF74" s="381"/>
      <c r="AG74" s="383"/>
      <c r="AM74"/>
      <c r="AN74"/>
      <c r="AO74"/>
      <c r="AP74"/>
      <c r="AQ74"/>
      <c r="AR74"/>
      <c r="AS74"/>
      <c r="AT74"/>
      <c r="AU74"/>
    </row>
    <row r="75" spans="1:47" s="222" customFormat="1">
      <c r="A75" s="229" t="s">
        <v>203</v>
      </c>
      <c r="B75" s="207" t="s">
        <v>201</v>
      </c>
      <c r="C75" s="215" t="str">
        <f t="shared" ref="C75:V75" si="18">IF(C56="BURIED",3*C60,"")</f>
        <v/>
      </c>
      <c r="D75" s="220" t="str">
        <f t="shared" si="18"/>
        <v/>
      </c>
      <c r="E75" s="220" t="str">
        <f t="shared" si="18"/>
        <v/>
      </c>
      <c r="F75" s="220" t="str">
        <f t="shared" si="18"/>
        <v/>
      </c>
      <c r="G75" s="220" t="str">
        <f t="shared" si="18"/>
        <v/>
      </c>
      <c r="H75" s="220" t="str">
        <f t="shared" si="18"/>
        <v/>
      </c>
      <c r="I75" s="220" t="str">
        <f t="shared" si="18"/>
        <v/>
      </c>
      <c r="J75" s="220" t="str">
        <f t="shared" si="18"/>
        <v/>
      </c>
      <c r="K75" s="220" t="str">
        <f t="shared" si="18"/>
        <v/>
      </c>
      <c r="L75" s="220" t="str">
        <f t="shared" si="18"/>
        <v/>
      </c>
      <c r="M75" s="220" t="str">
        <f t="shared" si="18"/>
        <v/>
      </c>
      <c r="N75" s="220">
        <f t="shared" si="18"/>
        <v>38.25</v>
      </c>
      <c r="O75" s="220">
        <f t="shared" si="18"/>
        <v>38.25</v>
      </c>
      <c r="P75" s="220" t="str">
        <f t="shared" si="18"/>
        <v/>
      </c>
      <c r="Q75" s="220" t="str">
        <f t="shared" si="18"/>
        <v/>
      </c>
      <c r="R75" s="215" t="str">
        <f t="shared" si="18"/>
        <v/>
      </c>
      <c r="S75" s="220" t="str">
        <f t="shared" si="18"/>
        <v/>
      </c>
      <c r="T75" s="220" t="str">
        <f t="shared" si="18"/>
        <v/>
      </c>
      <c r="U75" s="220" t="str">
        <f t="shared" si="18"/>
        <v/>
      </c>
      <c r="V75" s="56" t="str">
        <f t="shared" si="18"/>
        <v/>
      </c>
      <c r="W75" s="296">
        <f t="shared" si="14"/>
        <v>13</v>
      </c>
      <c r="X75" s="380" t="s">
        <v>264</v>
      </c>
      <c r="Y75" s="381"/>
      <c r="Z75" s="381"/>
      <c r="AA75" s="381"/>
      <c r="AB75" s="382"/>
      <c r="AC75" s="281">
        <f t="shared" si="15"/>
        <v>13</v>
      </c>
      <c r="AD75" s="380" t="s">
        <v>272</v>
      </c>
      <c r="AE75" s="381"/>
      <c r="AF75" s="381"/>
      <c r="AG75" s="383"/>
      <c r="AM75"/>
      <c r="AN75"/>
      <c r="AO75"/>
      <c r="AP75"/>
      <c r="AQ75"/>
      <c r="AR75"/>
      <c r="AS75"/>
      <c r="AT75"/>
      <c r="AU75"/>
    </row>
    <row r="76" spans="1:47" s="231" customFormat="1">
      <c r="A76" s="236" t="s">
        <v>188</v>
      </c>
      <c r="B76" s="209" t="s">
        <v>202</v>
      </c>
      <c r="C76" s="228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379">
        <f>1.5/0.3048</f>
        <v>4.9212598425196852</v>
      </c>
      <c r="O76" s="379">
        <f>1.5/0.3048</f>
        <v>4.9212598425196852</v>
      </c>
      <c r="P76" s="227"/>
      <c r="Q76" s="227"/>
      <c r="R76" s="227">
        <f>1.5/0.3048</f>
        <v>4.9212598425196852</v>
      </c>
      <c r="S76" s="227">
        <f t="shared" ref="S76:V76" si="19">1.5/0.3048</f>
        <v>4.9212598425196852</v>
      </c>
      <c r="T76" s="227">
        <f t="shared" si="19"/>
        <v>4.9212598425196852</v>
      </c>
      <c r="U76" s="227">
        <f t="shared" si="19"/>
        <v>4.9212598425196852</v>
      </c>
      <c r="V76" s="227">
        <f t="shared" si="19"/>
        <v>4.9212598425196852</v>
      </c>
      <c r="W76" s="296">
        <f t="shared" si="14"/>
        <v>14</v>
      </c>
      <c r="X76" s="380" t="s">
        <v>264</v>
      </c>
      <c r="Y76" s="381"/>
      <c r="Z76" s="381"/>
      <c r="AA76" s="381"/>
      <c r="AB76" s="382"/>
      <c r="AC76" s="281">
        <f t="shared" si="15"/>
        <v>14</v>
      </c>
      <c r="AD76" s="380" t="s">
        <v>272</v>
      </c>
      <c r="AE76" s="381"/>
      <c r="AF76" s="381"/>
      <c r="AG76" s="383"/>
      <c r="AM76"/>
      <c r="AN76"/>
      <c r="AO76"/>
      <c r="AP76"/>
      <c r="AQ76"/>
      <c r="AR76"/>
      <c r="AS76"/>
      <c r="AT76"/>
      <c r="AU76"/>
    </row>
    <row r="77" spans="1:47" s="262" customFormat="1">
      <c r="A77" s="292" t="s">
        <v>189</v>
      </c>
      <c r="B77" s="291" t="s">
        <v>222</v>
      </c>
      <c r="C77" s="343" t="str">
        <f>IF(C56="BURIED",diga($AA$8,C76),"")</f>
        <v/>
      </c>
      <c r="D77" s="342" t="str">
        <f>IF(D56="BURIED",diga($AA$8,D76),"")</f>
        <v/>
      </c>
      <c r="E77" s="342" t="str">
        <f>IF(E56="BURIED",diga($AA$8,E76),"")</f>
        <v/>
      </c>
      <c r="F77" s="342" t="str">
        <f>IF(F56="BURIED",diga($AA$8,F76),"")</f>
        <v/>
      </c>
      <c r="G77" s="342" t="str">
        <f>IF(G56="BURIED",diga($AA$8,G76),"")</f>
        <v/>
      </c>
      <c r="H77" s="342" t="str">
        <f>IF(H56="BURIED",diga($AA$8,H76),"")</f>
        <v/>
      </c>
      <c r="I77" s="342" t="str">
        <f>IF(I56="BURIED",diga($AA$8,I76),"")</f>
        <v/>
      </c>
      <c r="J77" s="342" t="str">
        <f>IF(J56="BURIED",diga($AA$8,J76),"")</f>
        <v/>
      </c>
      <c r="K77" s="342" t="str">
        <f>IF(K56="BURIED",diga($AA$8,K76),"")</f>
        <v/>
      </c>
      <c r="L77" s="342" t="str">
        <f>IF(L56="BURIED",diga($AA$8,L76),"")</f>
        <v/>
      </c>
      <c r="M77" s="342" t="str">
        <f>IF(M56="BURIED",diga($AA$8,M76),"")</f>
        <v/>
      </c>
      <c r="N77" s="342">
        <f>IF(N56="BURIED",diga($AA$8,N76),"")</f>
        <v>13.551868217411185</v>
      </c>
      <c r="O77" s="342">
        <f>IF(O56="BURIED",diga($AA$8,O76),"")</f>
        <v>13.551868217411185</v>
      </c>
      <c r="P77" s="342" t="str">
        <f>IF(P56="BURIED",diga($AA$8,P76),"")</f>
        <v/>
      </c>
      <c r="Q77" s="342" t="str">
        <f>IF(Q56="BURIED",diga($AA$8,Q76),"")</f>
        <v/>
      </c>
      <c r="R77" s="342" t="str">
        <f>IF(R56="BURIED",diga($AA$8,R76),"")</f>
        <v/>
      </c>
      <c r="S77" s="342" t="str">
        <f>IF(S56="BURIED",diga($AA$8,S76),"")</f>
        <v/>
      </c>
      <c r="T77" s="342" t="str">
        <f>IF(T56="BURIED",diga($AA$8,T76),"")</f>
        <v/>
      </c>
      <c r="U77" s="342" t="str">
        <f>IF(U56="BURIED",diga($AA$8,U76),"")</f>
        <v/>
      </c>
      <c r="V77" s="343" t="str">
        <f>IF(V56="BURIED",diga($AA$8,V76),"")</f>
        <v/>
      </c>
      <c r="W77" s="296">
        <f t="shared" si="14"/>
        <v>15</v>
      </c>
      <c r="X77" s="380" t="s">
        <v>264</v>
      </c>
      <c r="Y77" s="381"/>
      <c r="Z77" s="381"/>
      <c r="AA77" s="381"/>
      <c r="AB77" s="382"/>
      <c r="AC77" s="281">
        <f t="shared" si="15"/>
        <v>15</v>
      </c>
      <c r="AD77" s="380" t="s">
        <v>272</v>
      </c>
      <c r="AE77" s="381"/>
      <c r="AF77" s="381"/>
      <c r="AG77" s="383"/>
      <c r="AM77"/>
      <c r="AN77"/>
      <c r="AO77"/>
      <c r="AP77"/>
      <c r="AQ77"/>
      <c r="AR77"/>
      <c r="AS77"/>
      <c r="AT77"/>
      <c r="AU77"/>
    </row>
    <row r="78" spans="1:47" s="262" customFormat="1">
      <c r="A78" s="292" t="s">
        <v>190</v>
      </c>
      <c r="B78" s="291" t="s">
        <v>222</v>
      </c>
      <c r="C78" s="139" t="str">
        <f>IF(C56="BURIED",IF($AA$6&gt;$X$15,$AA$6-C77,$AA$6+C77),"")</f>
        <v/>
      </c>
      <c r="D78" s="298" t="str">
        <f>IF(D56="BURIED",IF($AA$6&gt;$X$16,$AA$6-D77,$AA$6+D77),"")</f>
        <v/>
      </c>
      <c r="E78" s="298" t="str">
        <f>IF(E56="BURIED",IF($AA$6&gt;$X$17,$AA$6-E77,$AA$6+E77),"")</f>
        <v/>
      </c>
      <c r="F78" s="298" t="str">
        <f>IF(F56="BURIED",IF($AA$6&gt;$X$18,$AA$6-F77,$AA$6+F77),"")</f>
        <v/>
      </c>
      <c r="G78" s="298" t="str">
        <f>IF(G56="BURIED",IF($AA$6&gt;$X$19,$AA$6-G77,$AA$6+G77),"")</f>
        <v/>
      </c>
      <c r="H78" s="298" t="str">
        <f>IF(H56="BURIED",IF($AA$6&gt;$X$20,$AA$6-H77,$AA$6+H77),"")</f>
        <v/>
      </c>
      <c r="I78" s="298" t="str">
        <f>IF(I56="BURIED",IF($AA$6&gt;$X$21,$AA$6-I77,$AA$6+I77),"")</f>
        <v/>
      </c>
      <c r="J78" s="298" t="str">
        <f>IF(J56="BURIED",IF($AA$6&gt;$X$22,$AA$6-J77,$AA$6+J77),"")</f>
        <v/>
      </c>
      <c r="K78" s="298" t="str">
        <f>IF(K56="BURIED",IF($AA$6&gt;$X$23,$AA$6-K77,$AA$6+K77),"")</f>
        <v/>
      </c>
      <c r="L78" s="298" t="str">
        <f>IF(L56="BURIED",IF($AA$6&gt;$X$24,$AA$6-L77,$AA$6+L77),"")</f>
        <v/>
      </c>
      <c r="M78" s="298" t="str">
        <f>IF(M56="BURIED",IF($AA$6&gt;$X$25,$AA$6-M77,$AA$6+M77),"")</f>
        <v/>
      </c>
      <c r="N78" s="298">
        <f>IF(N56="BURIED",IF($AA$6&gt;$X$26,$AA$6-N77,$AA$6+N77),"")</f>
        <v>16.448131782588817</v>
      </c>
      <c r="O78" s="298">
        <f>IF(O56="BURIED",IF($AA$6&gt;$X$27,$AA$6-O77,$AA$6+O77),"")</f>
        <v>16.448131782588817</v>
      </c>
      <c r="P78" s="298" t="str">
        <f>IF(P56="BURIED",IF($AA$6&gt;$X$28,$AA$6-P77,$AA$6+P77),"")</f>
        <v/>
      </c>
      <c r="Q78" s="298" t="str">
        <f>IF(Q56="BURIED",IF($AA$6&gt;$X$29,$AA$6-Q77,$AA$6+Q77),"")</f>
        <v/>
      </c>
      <c r="R78" s="298" t="str">
        <f>IF(R56="BURIED",IF($AA$6&gt;$X$30,$AA$6-R77,$AA$6+R77),"")</f>
        <v/>
      </c>
      <c r="S78" s="298" t="str">
        <f>IF(S56="BURIED",IF($AA$6&gt;$X$31,$AA$6-S77,$AA$6+S77),"")</f>
        <v/>
      </c>
      <c r="T78" s="298" t="str">
        <f>IF(T56="BURIED",IF($AA$6&gt;$X$32,$AA$6-T77,$AA$6+T77),"")</f>
        <v/>
      </c>
      <c r="U78" s="298" t="str">
        <f>IF(U56="BURIED",IF($AA$6&gt;$X$33,$AA$6-U77,$AA$6+U77),"")</f>
        <v/>
      </c>
      <c r="V78" s="333" t="str">
        <f>IF(V56="BURIED",IF($AA$6&gt;$X$34,$AA$6-V77,$AA$6+V77),"")</f>
        <v/>
      </c>
      <c r="W78" s="296">
        <f t="shared" si="14"/>
        <v>16</v>
      </c>
      <c r="X78" s="380" t="s">
        <v>264</v>
      </c>
      <c r="Y78" s="381"/>
      <c r="Z78" s="381"/>
      <c r="AA78" s="381"/>
      <c r="AB78" s="382"/>
      <c r="AC78" s="281">
        <f t="shared" si="15"/>
        <v>16</v>
      </c>
      <c r="AD78" s="380" t="s">
        <v>272</v>
      </c>
      <c r="AE78" s="381"/>
      <c r="AF78" s="381"/>
      <c r="AG78" s="383"/>
      <c r="AM78"/>
      <c r="AN78"/>
      <c r="AO78"/>
      <c r="AP78"/>
      <c r="AQ78"/>
      <c r="AR78"/>
      <c r="AS78"/>
      <c r="AT78"/>
      <c r="AU78"/>
    </row>
    <row r="79" spans="1:47">
      <c r="A79" s="292" t="s">
        <v>207</v>
      </c>
      <c r="B79" s="212" t="s">
        <v>204</v>
      </c>
      <c r="C79" s="234"/>
      <c r="D79" s="234"/>
      <c r="E79" s="234"/>
      <c r="F79" s="234"/>
      <c r="G79" s="234"/>
      <c r="H79" s="234"/>
      <c r="I79" s="234"/>
      <c r="J79" s="234"/>
      <c r="K79" s="234"/>
      <c r="L79" s="234"/>
      <c r="M79" s="234"/>
      <c r="N79" s="372">
        <v>0.8</v>
      </c>
      <c r="O79" s="372">
        <v>0.8</v>
      </c>
      <c r="P79" s="234"/>
      <c r="Q79" s="372"/>
      <c r="R79" s="372">
        <v>0.8</v>
      </c>
      <c r="S79" s="372">
        <v>0.8</v>
      </c>
      <c r="T79" s="372">
        <v>0.8</v>
      </c>
      <c r="U79" s="372">
        <v>0.8</v>
      </c>
      <c r="V79" s="373">
        <v>0.8</v>
      </c>
      <c r="W79" s="296">
        <f t="shared" si="14"/>
        <v>17</v>
      </c>
      <c r="X79" s="380" t="s">
        <v>264</v>
      </c>
      <c r="Y79" s="381"/>
      <c r="Z79" s="381"/>
      <c r="AA79" s="381"/>
      <c r="AB79" s="382"/>
      <c r="AC79" s="281">
        <f t="shared" si="15"/>
        <v>17</v>
      </c>
      <c r="AD79" s="380" t="s">
        <v>272</v>
      </c>
      <c r="AE79" s="381"/>
      <c r="AF79" s="381"/>
      <c r="AG79" s="383"/>
    </row>
    <row r="80" spans="1:47">
      <c r="A80" s="371" t="s">
        <v>325</v>
      </c>
      <c r="B80" s="370" t="s">
        <v>323</v>
      </c>
      <c r="C80" s="213">
        <f t="shared" ref="C80:V80" si="20">OVH(C56,C66,C61,C60,C75,C68,C67,C79,C69,C71)</f>
        <v>1.9964596033096313</v>
      </c>
      <c r="D80" s="219">
        <f t="shared" si="20"/>
        <v>1.9854949712753296</v>
      </c>
      <c r="E80" s="219">
        <f t="shared" si="20"/>
        <v>1.9748146533966064</v>
      </c>
      <c r="F80" s="219">
        <f t="shared" si="20"/>
        <v>1.9642906188964844</v>
      </c>
      <c r="G80" s="219">
        <f t="shared" si="20"/>
        <v>1.9539661407470703</v>
      </c>
      <c r="H80" s="219">
        <f t="shared" si="20"/>
        <v>1.9438576698303223</v>
      </c>
      <c r="I80" s="219">
        <f t="shared" si="20"/>
        <v>1.9339321851730347</v>
      </c>
      <c r="J80" s="219">
        <f t="shared" si="20"/>
        <v>1.9241592884063721</v>
      </c>
      <c r="K80" s="219">
        <f t="shared" si="20"/>
        <v>1.9145568609237671</v>
      </c>
      <c r="L80" s="219">
        <f t="shared" si="20"/>
        <v>1.905142068862915</v>
      </c>
      <c r="M80" s="219" t="str">
        <f t="shared" si="20"/>
        <v/>
      </c>
      <c r="N80" s="219">
        <f>OVH(N56,N66,N61,N60,N75,N68,N67,N79,N69,N71)</f>
        <v>1.5253301858901978</v>
      </c>
      <c r="O80" s="219">
        <f>OVH(O56,O66,O61,O60,O75,O68,O67,O79,O69,O71)</f>
        <v>1.5253286361694336</v>
      </c>
      <c r="P80" s="219">
        <f t="shared" si="20"/>
        <v>1.8090074062347412</v>
      </c>
      <c r="Q80" s="219">
        <f t="shared" si="20"/>
        <v>1.801185131072998</v>
      </c>
      <c r="R80" s="219">
        <f t="shared" si="20"/>
        <v>1.7934703826904297</v>
      </c>
      <c r="S80" s="219">
        <f t="shared" si="20"/>
        <v>1.7859005928039551</v>
      </c>
      <c r="T80" s="219">
        <f t="shared" si="20"/>
        <v>1.7783915996551514</v>
      </c>
      <c r="U80" s="219">
        <f t="shared" si="20"/>
        <v>1.7709819078445435</v>
      </c>
      <c r="V80" s="213">
        <f t="shared" si="20"/>
        <v>1.7636739015579224</v>
      </c>
      <c r="W80" s="296">
        <f t="shared" si="14"/>
        <v>18</v>
      </c>
      <c r="X80" s="380" t="s">
        <v>264</v>
      </c>
      <c r="Y80" s="381"/>
      <c r="Z80" s="381"/>
      <c r="AA80" s="381"/>
      <c r="AB80" s="382"/>
      <c r="AC80" s="281">
        <f t="shared" si="15"/>
        <v>18</v>
      </c>
      <c r="AD80" s="380" t="s">
        <v>272</v>
      </c>
      <c r="AE80" s="381"/>
      <c r="AF80" s="381"/>
      <c r="AG80" s="383"/>
    </row>
    <row r="81" spans="1:33" ht="13.5" thickBot="1">
      <c r="A81" s="130" t="s">
        <v>119</v>
      </c>
      <c r="B81" s="131" t="s">
        <v>42</v>
      </c>
      <c r="C81" s="340">
        <f>TH(C56,C80,C61,C60,C62,$Z$15,C78,$AA$6,$X$15,C55)</f>
        <v>-163016.12744871227</v>
      </c>
      <c r="D81" s="233">
        <f>TH(D56,D80,D61,D60,D62,$Z$16,D78,$AA$6,$X$16,D55)</f>
        <v>-157918.06184827836</v>
      </c>
      <c r="E81" s="233">
        <f>TH(E56,E80,E61,E60,E62,$Z$17,E78,$AA$6,$X$17,E55)</f>
        <v>-153040.67859177577</v>
      </c>
      <c r="F81" s="233">
        <f>TH(F56,F80,F61,F60,F62,$Z$18,F78,$AA$6,$X$18,F55)</f>
        <v>-148326.39006008499</v>
      </c>
      <c r="G81" s="233">
        <f>TH(G56,G80,G61,G60,G62,$Z$19,G78,$AA$6,$X$19,G55)</f>
        <v>-143790.33983406669</v>
      </c>
      <c r="H81" s="233">
        <f>TH(H56,H80,H61,H60,H62,$Z$20,H78,$AA$6,$X$20,H55)</f>
        <v>-139434.5649337917</v>
      </c>
      <c r="I81" s="233">
        <f>TH(I56,I80,I61,I60,I62,$Z$21,I78,$AA$6,$X$21,I55)</f>
        <v>-135239.92631970727</v>
      </c>
      <c r="J81" s="233">
        <f>TH(J56,J80,J61,J60,J62,$Z$22,J78,$AA$6,$X$22,J55)</f>
        <v>-131189.39848362067</v>
      </c>
      <c r="K81" s="233">
        <f>TH(K56,K80,K61,K60,K62,$Z$23,K78,$AA$6,$X$23,K55)</f>
        <v>-127286.55536441616</v>
      </c>
      <c r="L81" s="233">
        <f>TH(L56,L80,L61,L60,L62,$Z$24,L78,$AA$6,$X$24,L55)</f>
        <v>-123533.90564920545</v>
      </c>
      <c r="M81" s="233">
        <f>TH(M56,M80,M61,M60,M62,$Z$25,M78,$AA$6,$X$25,M55)</f>
        <v>-1214208</v>
      </c>
      <c r="N81" s="233">
        <f>TH(N56,N80,N61,N60,N62,$Z$26,N78,$AA$6,$X$26,N55)</f>
        <v>71777.987413224473</v>
      </c>
      <c r="O81" s="233">
        <f>TH(O56,O80,O61,O60,O62,$Z$27,O78,$AA$6,$X$27,O55)</f>
        <v>69254.009196288956</v>
      </c>
      <c r="P81" s="233">
        <f>TH(P56,P80,P61,P60,P62,$Z$28,P78,$AA$6,$X$28,P55)</f>
        <v>-89356.758756685405</v>
      </c>
      <c r="Q81" s="233">
        <f>TH(Q56,Q80,Q61,Q60,Q62,$Z$29,Q78,$AA$6,$X$29,Q55)</f>
        <v>-86900.869726394681</v>
      </c>
      <c r="R81" s="233">
        <f>TH(R56,R80,R61,R60,R62,$Z$30,R78,$AA$6,$X$30,R55)</f>
        <v>-84525.37397929818</v>
      </c>
      <c r="S81" s="233">
        <f>TH(S56,S80,S61,S60,S62,$Z$31,S78,$AA$6,$X$31,S55)</f>
        <v>-82239.157340616774</v>
      </c>
      <c r="T81" s="233">
        <f>TH(T56,T80,T61,T60,T62,$Z$32,T78,$AA$6,$X$32,T55)</f>
        <v>-80014.657140706113</v>
      </c>
      <c r="U81" s="233">
        <f>TH(U56,U80,U61,U60,U62,$Z$33,U78,$AA$6,$X$33,U55)</f>
        <v>-77861.600536266982</v>
      </c>
      <c r="V81" s="341">
        <f>TH(V56,V80,V61,V60,V62,$Z$34,V78,$AA$6,$X$34,V55)</f>
        <v>-75777.483253224898</v>
      </c>
      <c r="W81" s="300">
        <f t="shared" si="14"/>
        <v>19</v>
      </c>
      <c r="X81" s="384" t="s">
        <v>264</v>
      </c>
      <c r="Y81" s="385"/>
      <c r="Z81" s="385"/>
      <c r="AA81" s="385"/>
      <c r="AB81" s="386"/>
      <c r="AC81" s="290">
        <f t="shared" si="15"/>
        <v>19</v>
      </c>
      <c r="AD81" s="380" t="s">
        <v>272</v>
      </c>
      <c r="AE81" s="381"/>
      <c r="AF81" s="381"/>
      <c r="AG81" s="383"/>
    </row>
    <row r="82" spans="1:33">
      <c r="A82" s="200"/>
      <c r="B82" s="201"/>
      <c r="C82" s="202"/>
      <c r="D82" s="202"/>
      <c r="E82" s="202"/>
      <c r="F82" s="202"/>
      <c r="G82" s="202"/>
      <c r="H82" s="202"/>
      <c r="I82" s="202"/>
      <c r="J82" s="202"/>
      <c r="K82" s="202"/>
      <c r="L82" s="202"/>
      <c r="M82" s="202"/>
      <c r="N82" s="202"/>
      <c r="O82" s="202"/>
      <c r="P82" s="202"/>
      <c r="Q82" s="202"/>
      <c r="R82" s="202"/>
      <c r="S82" s="202"/>
      <c r="T82" s="202"/>
      <c r="U82" s="202"/>
      <c r="V82" s="202"/>
      <c r="W82" s="203"/>
      <c r="X82" s="204"/>
      <c r="Y82" s="204"/>
      <c r="Z82" s="204"/>
      <c r="AA82" s="205"/>
      <c r="AB82" s="205"/>
    </row>
    <row r="83" spans="1:33">
      <c r="A83" s="200"/>
      <c r="B83" s="201"/>
      <c r="C83" s="369"/>
      <c r="D83" s="202"/>
      <c r="E83" s="202"/>
      <c r="F83" s="202"/>
      <c r="G83" s="202"/>
      <c r="H83" s="202"/>
      <c r="I83" s="202"/>
      <c r="J83" s="202"/>
      <c r="K83" s="202"/>
      <c r="L83" s="202"/>
      <c r="M83" s="202"/>
      <c r="N83" s="202"/>
      <c r="O83" s="202"/>
      <c r="P83" s="202"/>
      <c r="Q83" s="202"/>
      <c r="R83" s="202"/>
      <c r="S83" s="202"/>
      <c r="T83" s="202"/>
      <c r="U83" s="202"/>
      <c r="V83" s="202"/>
      <c r="W83" s="203"/>
      <c r="X83" s="204"/>
      <c r="Y83" s="204"/>
      <c r="Z83" s="204"/>
      <c r="AA83" s="205"/>
      <c r="AB83" s="205"/>
    </row>
    <row r="84" spans="1:33">
      <c r="A84" s="200"/>
      <c r="B84" s="201"/>
      <c r="C84" s="368"/>
      <c r="D84" s="202"/>
      <c r="E84" s="202"/>
      <c r="F84" s="202"/>
      <c r="G84" s="202"/>
      <c r="H84" s="202"/>
      <c r="I84" s="202"/>
      <c r="J84" s="202"/>
      <c r="K84" s="202"/>
      <c r="L84" s="202"/>
      <c r="M84" s="202"/>
      <c r="N84" s="202"/>
      <c r="O84" s="202"/>
      <c r="P84" s="202"/>
      <c r="Q84" s="202"/>
      <c r="R84" s="202"/>
      <c r="S84" s="202"/>
      <c r="T84" s="202"/>
      <c r="U84" s="202"/>
      <c r="V84" s="202"/>
      <c r="W84" s="203"/>
      <c r="X84" s="204"/>
      <c r="Y84" s="204"/>
      <c r="Z84" s="204"/>
      <c r="AA84" s="205"/>
      <c r="AB84" s="205"/>
    </row>
    <row r="85" spans="1:33" s="314" customFormat="1">
      <c r="A85" s="200"/>
      <c r="B85" s="201"/>
      <c r="C85" s="202"/>
      <c r="D85" s="202"/>
      <c r="E85" s="202"/>
      <c r="F85" s="202"/>
      <c r="G85" s="202"/>
      <c r="H85" s="202"/>
      <c r="I85" s="202"/>
      <c r="J85" s="202"/>
      <c r="K85" s="202"/>
      <c r="L85" s="202"/>
      <c r="M85" s="202"/>
      <c r="N85" s="202"/>
      <c r="O85" s="202"/>
      <c r="P85" s="202"/>
      <c r="Q85" s="202"/>
      <c r="R85" s="202"/>
      <c r="S85" s="202"/>
      <c r="T85" s="202"/>
      <c r="U85" s="202"/>
      <c r="V85" s="202"/>
      <c r="W85" s="301"/>
      <c r="X85" s="305"/>
      <c r="Y85" s="305"/>
      <c r="Z85" s="305"/>
      <c r="AA85" s="306"/>
      <c r="AB85" s="306"/>
    </row>
    <row r="86" spans="1:33" s="314" customFormat="1">
      <c r="A86" s="349" t="s">
        <v>321</v>
      </c>
    </row>
    <row r="87" spans="1:33" s="314" customFormat="1">
      <c r="B87" s="324" t="s">
        <v>269</v>
      </c>
      <c r="C87" s="324">
        <f>VLOOKUP($X$62,INS,5,0)</f>
        <v>0</v>
      </c>
      <c r="D87" s="324">
        <f>VLOOKUP($X$63,INS,5,0)</f>
        <v>0</v>
      </c>
      <c r="E87" s="324">
        <f>VLOOKUP($X$64,INS,5,0)</f>
        <v>0</v>
      </c>
      <c r="F87" s="324">
        <f>VLOOKUP($X$65,INS,5,0)</f>
        <v>0</v>
      </c>
      <c r="G87" s="324">
        <f>VLOOKUP($X$66,INS,5,0)</f>
        <v>0</v>
      </c>
      <c r="H87" s="324">
        <f>VLOOKUP($X$67,INS,5,0)</f>
        <v>0</v>
      </c>
      <c r="I87" s="324">
        <f>VLOOKUP($X$68,INS,5,0)</f>
        <v>0</v>
      </c>
      <c r="J87" s="324">
        <f>VLOOKUP($X$69,INS,5,0)</f>
        <v>0</v>
      </c>
      <c r="K87" s="324">
        <f>VLOOKUP($X$70,INS,5,0)</f>
        <v>0</v>
      </c>
      <c r="L87" s="324">
        <f>VLOOKUP($X$71,INS,5,0)</f>
        <v>0</v>
      </c>
      <c r="M87" s="324">
        <f>VLOOKUP($X$72,INS,5,0)</f>
        <v>0</v>
      </c>
      <c r="N87" s="324">
        <f>VLOOKUP($X$73,INS,5,0)</f>
        <v>0</v>
      </c>
      <c r="O87" s="324">
        <f>VLOOKUP($X$74,INS,5,0)</f>
        <v>0</v>
      </c>
      <c r="P87" s="324">
        <f>VLOOKUP($X$75,INS,5,0)</f>
        <v>0</v>
      </c>
      <c r="Q87" s="324">
        <f>VLOOKUP($X$76,INS,5,0)</f>
        <v>0</v>
      </c>
      <c r="R87" s="324">
        <f>VLOOKUP($X$77,INS,5,0)</f>
        <v>0</v>
      </c>
      <c r="S87" s="324">
        <f>VLOOKUP($X$78,INS,5,0)</f>
        <v>0</v>
      </c>
      <c r="T87" s="324">
        <f>VLOOKUP($X$79,INS,5,0)</f>
        <v>0</v>
      </c>
      <c r="U87" s="324">
        <f>VLOOKUP($X$80,INS,5,0)</f>
        <v>0</v>
      </c>
      <c r="V87" s="324">
        <f>VLOOKUP($X$81,INS,5,0)</f>
        <v>0</v>
      </c>
    </row>
    <row r="88" spans="1:33" s="314" customFormat="1">
      <c r="B88" s="324" t="s">
        <v>270</v>
      </c>
      <c r="C88" s="314">
        <f>VLOOKUP($X$62,INS,6,0)</f>
        <v>0</v>
      </c>
      <c r="D88" s="324">
        <f>VLOOKUP($X$63,INS,6,0)</f>
        <v>0</v>
      </c>
      <c r="E88" s="324">
        <f>VLOOKUP($X$64,INS,6,0)</f>
        <v>0</v>
      </c>
      <c r="F88" s="324">
        <f>VLOOKUP($X$65,INS,6,0)</f>
        <v>0</v>
      </c>
      <c r="G88" s="324">
        <f>VLOOKUP($X$66,INS,6,0)</f>
        <v>0</v>
      </c>
      <c r="H88" s="324">
        <f>VLOOKUP($X$67,INS,6,0)</f>
        <v>0</v>
      </c>
      <c r="I88" s="324">
        <f>VLOOKUP($X$68,INS,6,0)</f>
        <v>0</v>
      </c>
      <c r="J88" s="324">
        <f>VLOOKUP($X$69,INS,6,0)</f>
        <v>0</v>
      </c>
      <c r="K88" s="324">
        <f>VLOOKUP($X$70,INS,6,0)</f>
        <v>0</v>
      </c>
      <c r="L88" s="324">
        <f>VLOOKUP($X$71,INS,6,0)</f>
        <v>0</v>
      </c>
      <c r="M88" s="324">
        <f>VLOOKUP($X$72,INS,6,0)</f>
        <v>0</v>
      </c>
      <c r="N88" s="324">
        <f>VLOOKUP($X$73,INS,6,0)</f>
        <v>0</v>
      </c>
      <c r="O88" s="324">
        <f>VLOOKUP($X$74,INS,6,0)</f>
        <v>0</v>
      </c>
      <c r="P88" s="324">
        <f>VLOOKUP($X$75,INS,6,0)</f>
        <v>0</v>
      </c>
      <c r="Q88" s="324">
        <f>VLOOKUP($X$76,INS,6,0)</f>
        <v>0</v>
      </c>
      <c r="R88" s="324">
        <f>VLOOKUP($X$77,INS,6,0)</f>
        <v>0</v>
      </c>
      <c r="S88" s="324">
        <f>VLOOKUP($X$78,INS,6,0)</f>
        <v>0</v>
      </c>
      <c r="T88" s="324">
        <f>VLOOKUP($X$79,INS,6,0)</f>
        <v>0</v>
      </c>
      <c r="U88" s="324">
        <f>VLOOKUP($X$80,INS,6,0)</f>
        <v>0</v>
      </c>
      <c r="V88" s="324">
        <f>VLOOKUP($X$81,INS,6,0)</f>
        <v>0</v>
      </c>
    </row>
    <row r="89" spans="1:33" s="314" customFormat="1">
      <c r="Y89" s="314">
        <f>PI()</f>
        <v>3.1415926535897931</v>
      </c>
      <c r="Z89" s="314">
        <v>1</v>
      </c>
    </row>
    <row r="90" spans="1:33" s="314" customFormat="1">
      <c r="A90" s="349" t="s">
        <v>320</v>
      </c>
      <c r="Y90" s="314" t="e">
        <f>PI_1(Z89)</f>
        <v>#VALUE!</v>
      </c>
    </row>
    <row r="91" spans="1:33" s="314" customFormat="1">
      <c r="B91" s="324" t="s">
        <v>269</v>
      </c>
      <c r="C91" s="324">
        <f>VLOOKUP($AD$62,PIPk,3,0)</f>
        <v>8.9999999999999999E-11</v>
      </c>
      <c r="D91" s="324">
        <f>VLOOKUP($AD$63,PIPk,3,0)</f>
        <v>8.9999999999999999E-11</v>
      </c>
      <c r="E91" s="324">
        <f>VLOOKUP($AD$64,PIPk,3,0)</f>
        <v>8.9999999999999999E-11</v>
      </c>
      <c r="F91" s="324">
        <f>VLOOKUP($AD$65,PIPk,3,0)</f>
        <v>8.9999999999999999E-11</v>
      </c>
      <c r="G91" s="324">
        <f>VLOOKUP($AD$66,PIPk,3,0)</f>
        <v>8.9999999999999999E-11</v>
      </c>
      <c r="H91" s="324">
        <f>VLOOKUP($AD$67,PIPk,3,0)</f>
        <v>8.9999999999999999E-11</v>
      </c>
      <c r="I91" s="324">
        <f>VLOOKUP($AD$68,PIPk,3,0)</f>
        <v>8.9999999999999999E-11</v>
      </c>
      <c r="J91" s="324">
        <f>VLOOKUP($AD$69,PIPk,3,0)</f>
        <v>8.9999999999999999E-11</v>
      </c>
      <c r="K91" s="324">
        <f>VLOOKUP($AD$70,PIPk,3,0)</f>
        <v>8.9999999999999999E-11</v>
      </c>
      <c r="L91" s="324">
        <f>VLOOKUP($AD$71,PIPk,3,0)</f>
        <v>8.9999999999999999E-11</v>
      </c>
      <c r="M91" s="324">
        <f>VLOOKUP($AD$72,PIPk,3,0)</f>
        <v>0</v>
      </c>
      <c r="N91" s="324">
        <f>VLOOKUP($AD$73,PIPk,3,0)</f>
        <v>8.9999999999999999E-11</v>
      </c>
      <c r="O91" s="324">
        <f>VLOOKUP($AD$74,PIPk,3,0)</f>
        <v>8.9999999999999999E-11</v>
      </c>
      <c r="P91" s="324">
        <f>VLOOKUP($AD$75,PIPk,3,0)</f>
        <v>8.9999999999999999E-11</v>
      </c>
      <c r="Q91" s="324">
        <f>VLOOKUP($AD$76,PIPk,3,0)</f>
        <v>8.9999999999999999E-11</v>
      </c>
      <c r="R91" s="324">
        <f>VLOOKUP($AD$77,PIPk,3,0)</f>
        <v>8.9999999999999999E-11</v>
      </c>
      <c r="S91" s="324">
        <f>VLOOKUP($AD$78,PIPk,3,0)</f>
        <v>8.9999999999999999E-11</v>
      </c>
      <c r="T91" s="324">
        <f>VLOOKUP($AD$79,PIPk,3,0)</f>
        <v>8.9999999999999999E-11</v>
      </c>
      <c r="U91" s="324">
        <f>VLOOKUP($AD$80,PIPk,3,0)</f>
        <v>8.9999999999999999E-11</v>
      </c>
      <c r="V91" s="324">
        <f>VLOOKUP($AD$81,PIPk,3,0)</f>
        <v>8.9999999999999999E-11</v>
      </c>
    </row>
    <row r="92" spans="1:33" s="314" customFormat="1">
      <c r="B92" s="324" t="s">
        <v>270</v>
      </c>
      <c r="C92" s="324">
        <f>VLOOKUP($AD$62,PIPk,4,0)</f>
        <v>-3.0000000000000001E-6</v>
      </c>
      <c r="D92" s="324">
        <f>VLOOKUP($AD$63,PIPk,4,0)</f>
        <v>-3.0000000000000001E-6</v>
      </c>
      <c r="E92" s="324">
        <f>VLOOKUP($AD$64,PIPk,4,0)</f>
        <v>-3.0000000000000001E-6</v>
      </c>
      <c r="F92" s="324">
        <f>VLOOKUP($AD$65,PIPk,4,0)</f>
        <v>-3.0000000000000001E-6</v>
      </c>
      <c r="G92" s="324">
        <f>VLOOKUP($AD$66,PIPk,4,0)</f>
        <v>-3.0000000000000001E-6</v>
      </c>
      <c r="H92" s="324">
        <f>VLOOKUP($AD$67,PIPk,4,0)</f>
        <v>-3.0000000000000001E-6</v>
      </c>
      <c r="I92" s="324">
        <f>VLOOKUP($AD$68,PIPk,4,0)</f>
        <v>-3.0000000000000001E-6</v>
      </c>
      <c r="J92" s="324">
        <f>VLOOKUP($AD$69,PIPk,4,0)</f>
        <v>-3.0000000000000001E-6</v>
      </c>
      <c r="K92" s="324">
        <f>VLOOKUP($AD$70,PIPk,4,0)</f>
        <v>-3.0000000000000001E-6</v>
      </c>
      <c r="L92" s="324">
        <f>VLOOKUP($AD$71,PIPk,4,0)</f>
        <v>-3.0000000000000001E-6</v>
      </c>
      <c r="M92" s="324">
        <f>VLOOKUP($AD$72,PIPk,4,0)</f>
        <v>0</v>
      </c>
      <c r="N92" s="324">
        <f>VLOOKUP($AD$73,PIPk,4,0)</f>
        <v>-3.0000000000000001E-6</v>
      </c>
      <c r="O92" s="324">
        <f>VLOOKUP($AD$74,PIPk,4,0)</f>
        <v>-3.0000000000000001E-6</v>
      </c>
      <c r="P92" s="324">
        <f>VLOOKUP($AD$75,PIPk,4,0)</f>
        <v>-3.0000000000000001E-6</v>
      </c>
      <c r="Q92" s="324">
        <f>VLOOKUP($AD$76,PIPk,4,0)</f>
        <v>-3.0000000000000001E-6</v>
      </c>
      <c r="R92" s="324">
        <f>VLOOKUP($AD$77,PIPk,4,0)</f>
        <v>-3.0000000000000001E-6</v>
      </c>
      <c r="S92" s="324">
        <f>VLOOKUP($AD$78,PIPk,4,0)</f>
        <v>-3.0000000000000001E-6</v>
      </c>
      <c r="T92" s="324">
        <f>VLOOKUP($AD$79,PIPk,4,0)</f>
        <v>-3.0000000000000001E-6</v>
      </c>
      <c r="U92" s="324">
        <f>VLOOKUP($AD$80,PIPk,4,0)</f>
        <v>-3.0000000000000001E-6</v>
      </c>
      <c r="V92" s="324">
        <f>VLOOKUP($AD$81,PIPk,4,0)</f>
        <v>-3.0000000000000001E-6</v>
      </c>
    </row>
    <row r="93" spans="1:33" s="314" customFormat="1">
      <c r="B93" s="324" t="s">
        <v>276</v>
      </c>
      <c r="C93" s="324">
        <f>VLOOKUP($AD$62,PIPk,5,0)</f>
        <v>-6.1999999999999998E-3</v>
      </c>
      <c r="D93" s="324">
        <f>VLOOKUP($AD$63,PIPk,5,0)</f>
        <v>-6.1999999999999998E-3</v>
      </c>
      <c r="E93" s="324">
        <f>VLOOKUP($AD$64,PIPk,5,0)</f>
        <v>-6.1999999999999998E-3</v>
      </c>
      <c r="F93" s="324">
        <f>VLOOKUP($AD$65,PIPk,5,0)</f>
        <v>-6.1999999999999998E-3</v>
      </c>
      <c r="G93" s="324">
        <f>VLOOKUP($AD$66,PIPk,5,0)</f>
        <v>-6.1999999999999998E-3</v>
      </c>
      <c r="H93" s="324">
        <f>VLOOKUP($AD$67,PIPk,5,0)</f>
        <v>-6.1999999999999998E-3</v>
      </c>
      <c r="I93" s="324">
        <f>VLOOKUP($AD$68,PIPk,5,0)</f>
        <v>-6.1999999999999998E-3</v>
      </c>
      <c r="J93" s="324">
        <f>VLOOKUP($AD$69,PIPk,5,0)</f>
        <v>-6.1999999999999998E-3</v>
      </c>
      <c r="K93" s="324">
        <f>VLOOKUP($AD$70,PIPk,5,0)</f>
        <v>-6.1999999999999998E-3</v>
      </c>
      <c r="L93" s="324">
        <f>VLOOKUP($AD$71,PIPk,5,0)</f>
        <v>-6.1999999999999998E-3</v>
      </c>
      <c r="M93" s="324">
        <f>VLOOKUP($AD$72,PIPk,5,0)</f>
        <v>0</v>
      </c>
      <c r="N93" s="324">
        <f>VLOOKUP($AD$73,PIPk,5,0)</f>
        <v>-6.1999999999999998E-3</v>
      </c>
      <c r="O93" s="324">
        <f>VLOOKUP($AD$74,PIPk,5,0)</f>
        <v>-6.1999999999999998E-3</v>
      </c>
      <c r="P93" s="324">
        <f>VLOOKUP($AD$75,PIPk,5,0)</f>
        <v>-6.1999999999999998E-3</v>
      </c>
      <c r="Q93" s="324">
        <f>VLOOKUP($AD$76,PIPk,5,0)</f>
        <v>-6.1999999999999998E-3</v>
      </c>
      <c r="R93" s="324">
        <f>VLOOKUP($AD$77,PIPk,5,0)</f>
        <v>-6.1999999999999998E-3</v>
      </c>
      <c r="S93" s="324">
        <f>VLOOKUP($AD$78,PIPk,5,0)</f>
        <v>-6.1999999999999998E-3</v>
      </c>
      <c r="T93" s="324">
        <f>VLOOKUP($AD$79,PIPk,5,0)</f>
        <v>-6.1999999999999998E-3</v>
      </c>
      <c r="U93" s="324">
        <f>VLOOKUP($AD$80,PIPk,5,0)</f>
        <v>-6.1999999999999998E-3</v>
      </c>
      <c r="V93" s="324">
        <f>VLOOKUP($AD$81,PIPk,5,0)</f>
        <v>-6.1999999999999998E-3</v>
      </c>
    </row>
    <row r="94" spans="1:33" s="314" customFormat="1">
      <c r="B94" s="324" t="s">
        <v>273</v>
      </c>
      <c r="C94" s="324">
        <f>VLOOKUP($AD$62,PIPk,6,0)</f>
        <v>30.56</v>
      </c>
      <c r="D94" s="324">
        <f>VLOOKUP($AD$63,PIPk,6,0)</f>
        <v>30.56</v>
      </c>
      <c r="E94" s="324">
        <f>VLOOKUP($AD$64,PIPk,6,0)</f>
        <v>30.56</v>
      </c>
      <c r="F94" s="324">
        <f>VLOOKUP($AD$65,PIPk,6,0)</f>
        <v>30.56</v>
      </c>
      <c r="G94" s="324">
        <f>VLOOKUP($AD$66,PIPk,6,0)</f>
        <v>30.56</v>
      </c>
      <c r="H94" s="324">
        <f>VLOOKUP($AD$67,PIPk,6,0)</f>
        <v>30.56</v>
      </c>
      <c r="I94" s="324">
        <f>VLOOKUP($AD$68,PIPk,6,0)</f>
        <v>30.56</v>
      </c>
      <c r="J94" s="324">
        <f>VLOOKUP($AD$69,PIPk,6,0)</f>
        <v>30.56</v>
      </c>
      <c r="K94" s="324">
        <f>VLOOKUP($AD$70,PIPk,6,0)</f>
        <v>30.56</v>
      </c>
      <c r="L94" s="324">
        <f>VLOOKUP($AD$71,PIPk,6,0)</f>
        <v>30.56</v>
      </c>
      <c r="M94" s="324">
        <f>VLOOKUP($AD$72,PIPk,6,0)</f>
        <v>0</v>
      </c>
      <c r="N94" s="324">
        <f>VLOOKUP($AD$73,PIPk,6,0)</f>
        <v>30.56</v>
      </c>
      <c r="O94" s="324">
        <f>VLOOKUP($AD$74,PIPk,6,0)</f>
        <v>30.56</v>
      </c>
      <c r="P94" s="324">
        <f>VLOOKUP($AD$75,PIPk,6,0)</f>
        <v>30.56</v>
      </c>
      <c r="Q94" s="324">
        <f>VLOOKUP($AD$76,PIPk,6,0)</f>
        <v>30.56</v>
      </c>
      <c r="R94" s="324">
        <f>VLOOKUP($AD$77,PIPk,6,0)</f>
        <v>30.56</v>
      </c>
      <c r="S94" s="324">
        <f>VLOOKUP($AD$78,PIPk,6,0)</f>
        <v>30.56</v>
      </c>
      <c r="T94" s="324">
        <f>VLOOKUP($AD$79,PIPk,6,0)</f>
        <v>30.56</v>
      </c>
      <c r="U94" s="324">
        <f>VLOOKUP($AD$80,PIPk,6,0)</f>
        <v>30.56</v>
      </c>
      <c r="V94" s="324">
        <f>VLOOKUP($AD$81,PIPk,6,0)</f>
        <v>30.56</v>
      </c>
    </row>
    <row r="95" spans="1:33" s="314" customFormat="1"/>
    <row r="96" spans="1:33" s="314" customFormat="1">
      <c r="A96" s="324"/>
    </row>
    <row r="97" spans="1:54" s="314" customFormat="1">
      <c r="A97" s="324"/>
    </row>
    <row r="98" spans="1:54" s="314" customFormat="1">
      <c r="A98" s="324"/>
      <c r="C98" s="357"/>
      <c r="D98" s="357"/>
      <c r="E98" s="357"/>
      <c r="F98" s="357"/>
      <c r="G98" s="357"/>
      <c r="H98" s="357"/>
      <c r="I98" s="357"/>
      <c r="J98" s="357"/>
      <c r="K98" s="357"/>
      <c r="L98" s="357"/>
      <c r="M98" s="357"/>
      <c r="N98" s="357"/>
      <c r="O98" s="357"/>
      <c r="P98" s="357"/>
      <c r="Q98" s="357"/>
      <c r="R98" s="357"/>
      <c r="S98" s="357"/>
      <c r="T98" s="357"/>
      <c r="U98" s="357"/>
      <c r="V98" s="357"/>
    </row>
    <row r="99" spans="1:54" s="314" customFormat="1">
      <c r="A99" s="324"/>
    </row>
    <row r="100" spans="1:54" s="314" customFormat="1">
      <c r="A100" s="324"/>
    </row>
    <row r="101" spans="1:54" s="314" customFormat="1">
      <c r="A101" s="324"/>
    </row>
    <row r="102" spans="1:54">
      <c r="A102" s="324"/>
      <c r="W102" s="295"/>
      <c r="AQ102" s="301"/>
      <c r="AR102" s="454"/>
      <c r="AS102" s="454"/>
      <c r="AT102" s="455"/>
      <c r="AU102" s="455"/>
      <c r="AV102" s="455"/>
      <c r="AW102" s="294"/>
      <c r="AX102" s="301"/>
      <c r="AY102" s="418"/>
      <c r="AZ102" s="418"/>
      <c r="BA102" s="418"/>
      <c r="BB102" s="418"/>
    </row>
    <row r="103" spans="1:54">
      <c r="AQ103" s="301"/>
      <c r="AR103" s="454"/>
      <c r="AS103" s="454"/>
      <c r="AT103" s="455"/>
      <c r="AU103" s="455"/>
      <c r="AV103" s="455"/>
      <c r="AW103" s="294"/>
      <c r="AX103" s="301"/>
      <c r="AY103" s="418"/>
      <c r="AZ103" s="418"/>
      <c r="BA103" s="418"/>
      <c r="BB103" s="418"/>
    </row>
    <row r="104" spans="1:54">
      <c r="AQ104" s="301"/>
      <c r="AR104" s="454"/>
      <c r="AS104" s="454"/>
      <c r="AT104" s="455"/>
      <c r="AU104" s="455"/>
      <c r="AV104" s="455"/>
      <c r="AW104" s="294"/>
      <c r="AX104" s="301"/>
      <c r="AY104" s="418"/>
      <c r="AZ104" s="418"/>
      <c r="BA104" s="418"/>
      <c r="BB104" s="418"/>
    </row>
    <row r="105" spans="1:54">
      <c r="AQ105" s="301"/>
      <c r="AR105" s="454"/>
      <c r="AS105" s="454"/>
      <c r="AT105" s="455"/>
      <c r="AU105" s="455"/>
      <c r="AV105" s="455"/>
      <c r="AW105" s="294"/>
      <c r="AX105" s="301"/>
      <c r="AY105" s="418"/>
      <c r="AZ105" s="418"/>
      <c r="BA105" s="418"/>
      <c r="BB105" s="418"/>
    </row>
    <row r="106" spans="1:54">
      <c r="AQ106" s="301"/>
      <c r="AR106" s="454"/>
      <c r="AS106" s="454"/>
      <c r="AT106" s="455"/>
      <c r="AU106" s="455"/>
      <c r="AV106" s="455"/>
      <c r="AW106" s="294"/>
      <c r="AX106" s="301"/>
      <c r="AY106" s="418"/>
      <c r="AZ106" s="418"/>
      <c r="BA106" s="418"/>
      <c r="BB106" s="418"/>
    </row>
    <row r="107" spans="1:54">
      <c r="AQ107" s="301"/>
      <c r="AR107" s="454"/>
      <c r="AS107" s="454"/>
      <c r="AT107" s="455"/>
      <c r="AU107" s="455"/>
      <c r="AV107" s="455"/>
      <c r="AW107" s="294"/>
      <c r="AX107" s="301"/>
      <c r="AY107" s="418"/>
      <c r="AZ107" s="418"/>
      <c r="BA107" s="418"/>
      <c r="BB107" s="418"/>
    </row>
    <row r="108" spans="1:54">
      <c r="AQ108" s="301"/>
      <c r="AR108" s="454"/>
      <c r="AS108" s="454"/>
      <c r="AT108" s="455"/>
      <c r="AU108" s="455"/>
      <c r="AV108" s="455"/>
      <c r="AW108" s="294"/>
      <c r="AX108" s="301"/>
      <c r="AY108" s="418"/>
      <c r="AZ108" s="418"/>
      <c r="BA108" s="418"/>
      <c r="BB108" s="418"/>
    </row>
    <row r="109" spans="1:54">
      <c r="AQ109" s="301"/>
      <c r="AR109" s="454"/>
      <c r="AS109" s="454"/>
      <c r="AT109" s="455"/>
      <c r="AU109" s="455"/>
      <c r="AV109" s="455"/>
      <c r="AW109" s="294"/>
      <c r="AX109" s="301"/>
      <c r="AY109" s="418"/>
      <c r="AZ109" s="418"/>
      <c r="BA109" s="418"/>
      <c r="BB109" s="418"/>
    </row>
    <row r="110" spans="1:54">
      <c r="AQ110" s="304"/>
      <c r="AR110" s="454"/>
      <c r="AS110" s="454"/>
      <c r="AT110" s="455"/>
      <c r="AU110" s="455"/>
      <c r="AV110" s="455"/>
      <c r="AW110" s="294"/>
      <c r="AX110" s="301"/>
      <c r="AY110" s="418"/>
      <c r="AZ110" s="418"/>
      <c r="BA110" s="418"/>
      <c r="BB110" s="418"/>
    </row>
    <row r="111" spans="1:54">
      <c r="AQ111" s="301"/>
      <c r="AR111" s="454"/>
      <c r="AS111" s="454"/>
      <c r="AT111" s="455"/>
      <c r="AU111" s="455"/>
      <c r="AV111" s="455"/>
      <c r="AW111" s="294"/>
      <c r="AX111" s="301"/>
      <c r="AY111" s="418"/>
      <c r="AZ111" s="418"/>
      <c r="BA111" s="418"/>
      <c r="BB111" s="418"/>
    </row>
    <row r="112" spans="1:54">
      <c r="AQ112" s="458"/>
      <c r="AR112" s="458"/>
      <c r="AS112" s="458"/>
      <c r="AT112" s="458"/>
      <c r="AU112" s="458"/>
      <c r="AV112" s="458"/>
      <c r="AW112" s="294"/>
      <c r="AX112" s="295"/>
      <c r="AY112" s="295"/>
      <c r="AZ112" s="295"/>
      <c r="BA112" s="295"/>
      <c r="BB112" s="295"/>
    </row>
    <row r="113" spans="2:54">
      <c r="W113" s="458"/>
      <c r="X113" s="458"/>
      <c r="Y113" s="458"/>
      <c r="Z113" s="458"/>
      <c r="AA113" s="458"/>
      <c r="AB113" s="458"/>
      <c r="AC113" s="458"/>
      <c r="AD113" s="458"/>
      <c r="AE113" s="458"/>
      <c r="AF113" s="458"/>
      <c r="AG113" s="458"/>
      <c r="AQ113" s="302"/>
      <c r="AR113" s="389"/>
      <c r="AS113" s="389"/>
      <c r="AT113" s="389"/>
      <c r="AU113" s="389"/>
      <c r="AV113" s="389"/>
      <c r="AW113" s="294"/>
      <c r="AX113" s="294"/>
      <c r="AY113" s="294"/>
      <c r="AZ113" s="294"/>
      <c r="BA113" s="294"/>
      <c r="BB113" s="294"/>
    </row>
    <row r="114" spans="2:54">
      <c r="W114" s="458"/>
      <c r="X114" s="458"/>
      <c r="Y114" s="458"/>
      <c r="Z114" s="458"/>
      <c r="AA114" s="458"/>
      <c r="AB114" s="458"/>
      <c r="AC114" s="458"/>
      <c r="AD114" s="458"/>
      <c r="AE114" s="458"/>
      <c r="AF114" s="458"/>
      <c r="AG114" s="458"/>
      <c r="AQ114" s="301"/>
      <c r="AR114" s="452"/>
      <c r="AS114" s="452"/>
      <c r="AT114" s="452"/>
      <c r="AU114" s="453"/>
      <c r="AV114" s="453"/>
      <c r="AW114" s="294"/>
      <c r="AX114" s="294"/>
      <c r="AY114" s="294"/>
      <c r="AZ114" s="294"/>
      <c r="BA114" s="294"/>
      <c r="BB114" s="294"/>
    </row>
    <row r="115" spans="2:54" ht="15">
      <c r="B115" s="40" t="s">
        <v>19</v>
      </c>
      <c r="W115" s="302"/>
      <c r="X115" s="389"/>
      <c r="Y115" s="389"/>
      <c r="Z115" s="389"/>
      <c r="AA115" s="389"/>
      <c r="AB115" s="389"/>
      <c r="AC115" s="389"/>
      <c r="AD115" s="389"/>
      <c r="AE115" s="389"/>
      <c r="AF115" s="389"/>
      <c r="AG115" s="389"/>
      <c r="AQ115" s="301"/>
      <c r="AR115" s="453"/>
      <c r="AS115" s="453"/>
      <c r="AT115" s="453"/>
      <c r="AU115" s="453"/>
      <c r="AV115" s="453"/>
      <c r="AW115" s="294"/>
      <c r="AX115" s="417"/>
      <c r="AY115" s="417"/>
      <c r="AZ115" s="417"/>
      <c r="BA115" s="417"/>
      <c r="BB115" s="417"/>
    </row>
    <row r="116" spans="2:54" ht="15.75">
      <c r="B116" s="39"/>
      <c r="C116" s="39"/>
      <c r="D116" s="469" t="s">
        <v>172</v>
      </c>
      <c r="E116" s="470"/>
      <c r="F116" s="470"/>
      <c r="H116" s="380" t="s">
        <v>171</v>
      </c>
      <c r="I116" s="381"/>
      <c r="J116" s="381"/>
      <c r="K116" s="381"/>
      <c r="L116" s="382"/>
      <c r="P116" s="318" t="s">
        <v>254</v>
      </c>
      <c r="Q116" s="319"/>
      <c r="R116" s="319"/>
      <c r="S116" s="319"/>
      <c r="T116" s="319"/>
      <c r="U116" s="44"/>
      <c r="W116" s="301"/>
      <c r="X116" s="459"/>
      <c r="Y116" s="459"/>
      <c r="Z116" s="459"/>
      <c r="AA116" s="459"/>
      <c r="AB116" s="459"/>
      <c r="AC116" s="459"/>
      <c r="AD116" s="459"/>
      <c r="AE116" s="459"/>
      <c r="AF116" s="459"/>
      <c r="AG116" s="459"/>
      <c r="AQ116" s="301"/>
      <c r="AR116" s="452"/>
      <c r="AS116" s="452"/>
      <c r="AT116" s="452"/>
      <c r="AU116" s="453"/>
      <c r="AV116" s="453"/>
      <c r="AW116" s="294"/>
      <c r="AX116" s="301"/>
      <c r="AY116" s="389"/>
      <c r="AZ116" s="389"/>
      <c r="BA116" s="389"/>
      <c r="BB116" s="389"/>
    </row>
    <row r="117" spans="2:54" ht="15.75">
      <c r="B117" s="9">
        <v>0.125</v>
      </c>
      <c r="C117" s="39">
        <v>150</v>
      </c>
      <c r="D117" s="41" t="s">
        <v>162</v>
      </c>
      <c r="E117" s="42"/>
      <c r="F117" s="32">
        <v>0.8</v>
      </c>
      <c r="H117" s="124" t="s">
        <v>102</v>
      </c>
      <c r="I117" s="125"/>
      <c r="J117" s="125"/>
      <c r="K117" s="125"/>
      <c r="L117" s="114">
        <f>1.016</f>
        <v>1.016</v>
      </c>
      <c r="N117" s="258" t="s">
        <v>193</v>
      </c>
      <c r="P117" s="252" t="s">
        <v>210</v>
      </c>
      <c r="Q117" s="259"/>
      <c r="S117" s="293"/>
      <c r="T117" s="309" t="s">
        <v>211</v>
      </c>
      <c r="U117" s="253" t="s">
        <v>212</v>
      </c>
      <c r="W117" s="301"/>
      <c r="X117" s="459"/>
      <c r="Y117" s="459"/>
      <c r="Z117" s="459"/>
      <c r="AA117" s="459"/>
      <c r="AB117" s="459"/>
      <c r="AC117" s="459"/>
      <c r="AD117" s="459"/>
      <c r="AE117" s="459"/>
      <c r="AF117" s="459"/>
      <c r="AG117" s="459"/>
      <c r="AQ117" s="301"/>
      <c r="AR117" s="452"/>
      <c r="AS117" s="452"/>
      <c r="AT117" s="452"/>
      <c r="AU117" s="453"/>
      <c r="AV117" s="453"/>
      <c r="AW117" s="294"/>
      <c r="AX117" s="301"/>
      <c r="AY117" s="389"/>
      <c r="AZ117" s="389"/>
      <c r="BA117" s="389"/>
      <c r="BB117" s="389"/>
    </row>
    <row r="118" spans="2:54" ht="15.75">
      <c r="B118" s="9">
        <v>0.25</v>
      </c>
      <c r="C118" s="39">
        <v>300</v>
      </c>
      <c r="D118" s="41" t="s">
        <v>23</v>
      </c>
      <c r="E118" s="42"/>
      <c r="F118" s="32">
        <v>0.8</v>
      </c>
      <c r="H118" s="126" t="s">
        <v>103</v>
      </c>
      <c r="I118" s="127"/>
      <c r="J118" s="127"/>
      <c r="K118" s="127"/>
      <c r="L118" s="108">
        <v>1.2350000000000001</v>
      </c>
      <c r="N118" s="256" t="s">
        <v>195</v>
      </c>
      <c r="P118" s="271" t="s">
        <v>265</v>
      </c>
      <c r="Q118" s="267"/>
      <c r="R118" s="267"/>
      <c r="S118" s="67"/>
      <c r="T118" s="272"/>
      <c r="U118" s="272"/>
      <c r="W118" s="301"/>
      <c r="X118" s="459"/>
      <c r="Y118" s="459"/>
      <c r="Z118" s="459"/>
      <c r="AA118" s="459"/>
      <c r="AB118" s="459"/>
      <c r="AC118" s="459"/>
      <c r="AD118" s="459"/>
      <c r="AE118" s="459"/>
      <c r="AF118" s="459"/>
      <c r="AG118" s="459"/>
      <c r="AQ118" s="301"/>
      <c r="AR118" s="452"/>
      <c r="AS118" s="452"/>
      <c r="AT118" s="452"/>
      <c r="AU118" s="453"/>
      <c r="AV118" s="453"/>
      <c r="AW118" s="294"/>
      <c r="AX118" s="301"/>
      <c r="AY118" s="389"/>
      <c r="AZ118" s="389"/>
      <c r="BA118" s="389"/>
      <c r="BB118" s="389"/>
    </row>
    <row r="119" spans="2:54" ht="15.75">
      <c r="B119" s="9">
        <v>0.5</v>
      </c>
      <c r="C119" s="39">
        <v>600</v>
      </c>
      <c r="D119" s="41" t="s">
        <v>24</v>
      </c>
      <c r="E119" s="42"/>
      <c r="F119" s="32">
        <v>0.12</v>
      </c>
      <c r="H119" s="126" t="s">
        <v>104</v>
      </c>
      <c r="I119" s="127"/>
      <c r="J119" s="127"/>
      <c r="K119" s="127"/>
      <c r="L119" s="108">
        <v>1.3939999999999999</v>
      </c>
      <c r="N119" s="327" t="s">
        <v>259</v>
      </c>
      <c r="P119" s="317" t="s">
        <v>228</v>
      </c>
      <c r="Q119" s="274"/>
      <c r="T119" s="260">
        <v>4.1699999999999997E-5</v>
      </c>
      <c r="U119" s="255">
        <v>2.2499999999999999E-2</v>
      </c>
      <c r="W119" s="301"/>
      <c r="X119" s="459"/>
      <c r="Y119" s="459"/>
      <c r="Z119" s="459"/>
      <c r="AA119" s="459"/>
      <c r="AB119" s="459"/>
      <c r="AC119" s="459"/>
      <c r="AD119" s="459"/>
      <c r="AE119" s="459"/>
      <c r="AF119" s="459"/>
      <c r="AG119" s="459"/>
      <c r="AQ119" s="301"/>
      <c r="AR119" s="452"/>
      <c r="AS119" s="452"/>
      <c r="AT119" s="452"/>
      <c r="AU119" s="453"/>
      <c r="AV119" s="453"/>
      <c r="AW119" s="294"/>
      <c r="AX119" s="301"/>
      <c r="AY119" s="389"/>
      <c r="AZ119" s="389"/>
      <c r="BA119" s="389"/>
      <c r="BB119" s="389"/>
    </row>
    <row r="120" spans="2:54" ht="15.75">
      <c r="B120" s="9">
        <v>0.75</v>
      </c>
      <c r="C120" s="39">
        <v>10</v>
      </c>
      <c r="D120" s="41" t="s">
        <v>25</v>
      </c>
      <c r="E120" s="42"/>
      <c r="F120" s="32">
        <v>0.55000000000000004</v>
      </c>
      <c r="H120" s="265" t="s">
        <v>217</v>
      </c>
      <c r="I120" s="127"/>
      <c r="J120" s="127"/>
      <c r="K120" s="127"/>
      <c r="L120" s="108">
        <v>1.79</v>
      </c>
      <c r="N120" s="257" t="s">
        <v>192</v>
      </c>
      <c r="P120" s="317" t="s">
        <v>231</v>
      </c>
      <c r="Q120" s="274"/>
      <c r="R120" s="314"/>
      <c r="S120" s="314"/>
      <c r="T120" s="260">
        <v>2.5010000000000001E-2</v>
      </c>
      <c r="U120" s="255">
        <v>2.0899999999999998E-3</v>
      </c>
      <c r="V120" s="314" t="s">
        <v>232</v>
      </c>
      <c r="W120" s="301"/>
      <c r="X120" s="322"/>
      <c r="Y120" s="322"/>
      <c r="Z120" s="322"/>
      <c r="AA120" s="322"/>
      <c r="AB120" s="322"/>
      <c r="AC120" s="322"/>
      <c r="AD120" s="322"/>
      <c r="AE120" s="322"/>
      <c r="AF120" s="322"/>
      <c r="AG120" s="322"/>
      <c r="AQ120" s="301"/>
      <c r="AR120" s="452"/>
      <c r="AS120" s="452"/>
      <c r="AT120" s="452"/>
      <c r="AU120" s="453"/>
      <c r="AV120" s="453"/>
      <c r="AW120" s="294"/>
      <c r="AX120" s="301"/>
      <c r="AY120" s="389"/>
      <c r="AZ120" s="389"/>
      <c r="BA120" s="389"/>
      <c r="BB120" s="389"/>
    </row>
    <row r="121" spans="2:54" ht="15.75">
      <c r="B121" s="9">
        <v>1</v>
      </c>
      <c r="C121" s="39">
        <v>20</v>
      </c>
      <c r="D121" s="41" t="s">
        <v>27</v>
      </c>
      <c r="E121" s="42"/>
      <c r="F121" s="32">
        <v>0.2</v>
      </c>
      <c r="H121" s="265" t="s">
        <v>218</v>
      </c>
      <c r="I121" s="127"/>
      <c r="J121" s="127"/>
      <c r="K121" s="127"/>
      <c r="L121" s="108">
        <v>0.89</v>
      </c>
      <c r="P121" s="317" t="s">
        <v>233</v>
      </c>
      <c r="Q121" s="274"/>
      <c r="R121" s="314"/>
      <c r="S121" s="314"/>
      <c r="T121" s="260">
        <v>3.3300000000000003E-5</v>
      </c>
      <c r="U121" s="255">
        <v>1.83E-2</v>
      </c>
      <c r="W121" s="301"/>
      <c r="X121" s="459"/>
      <c r="Y121" s="459"/>
      <c r="Z121" s="459"/>
      <c r="AA121" s="459"/>
      <c r="AB121" s="459"/>
      <c r="AC121" s="459"/>
      <c r="AD121" s="459"/>
      <c r="AE121" s="459"/>
      <c r="AF121" s="459"/>
      <c r="AG121" s="459"/>
      <c r="AQ121" s="301"/>
      <c r="AR121" s="452"/>
      <c r="AS121" s="452"/>
      <c r="AT121" s="452"/>
      <c r="AU121" s="453"/>
      <c r="AV121" s="453"/>
      <c r="AW121" s="294"/>
      <c r="AX121" s="301"/>
      <c r="AY121" s="389"/>
      <c r="AZ121" s="389"/>
      <c r="BA121" s="389"/>
      <c r="BB121" s="389"/>
    </row>
    <row r="122" spans="2:54" ht="15.75">
      <c r="B122" s="9">
        <v>1.25</v>
      </c>
      <c r="C122" s="39">
        <v>30</v>
      </c>
      <c r="D122" s="43" t="s">
        <v>28</v>
      </c>
      <c r="F122" s="32">
        <v>0.6</v>
      </c>
      <c r="H122" s="265" t="s">
        <v>220</v>
      </c>
      <c r="I122" s="127"/>
      <c r="J122" s="127"/>
      <c r="K122" s="127"/>
      <c r="L122" s="108">
        <v>0.89</v>
      </c>
      <c r="N122" s="320" t="s">
        <v>256</v>
      </c>
      <c r="P122" s="317" t="s">
        <v>234</v>
      </c>
      <c r="Q122" s="274"/>
      <c r="R122" s="314"/>
      <c r="S122" s="314"/>
      <c r="T122" s="260">
        <v>3.3300000000000003E-5</v>
      </c>
      <c r="U122" s="255">
        <v>1.9199999999999998E-2</v>
      </c>
      <c r="W122" s="301"/>
      <c r="X122" s="459"/>
      <c r="Y122" s="459"/>
      <c r="Z122" s="459"/>
      <c r="AA122" s="459"/>
      <c r="AB122" s="459"/>
      <c r="AC122" s="459"/>
      <c r="AD122" s="459"/>
      <c r="AE122" s="459"/>
      <c r="AF122" s="459"/>
      <c r="AG122" s="459"/>
      <c r="AQ122" s="301"/>
      <c r="AR122" s="452"/>
      <c r="AS122" s="452"/>
      <c r="AT122" s="452"/>
      <c r="AU122" s="453"/>
      <c r="AV122" s="453"/>
      <c r="AW122" s="294"/>
      <c r="AX122" s="301"/>
      <c r="AY122" s="389"/>
      <c r="AZ122" s="389"/>
      <c r="BA122" s="389"/>
      <c r="BB122" s="389"/>
    </row>
    <row r="123" spans="2:54" ht="15.75">
      <c r="B123" s="9">
        <v>1.5</v>
      </c>
      <c r="C123" s="39">
        <v>40</v>
      </c>
      <c r="D123" s="41" t="s">
        <v>26</v>
      </c>
      <c r="E123" s="42"/>
      <c r="F123" s="32">
        <v>0.6</v>
      </c>
      <c r="H123" s="265" t="s">
        <v>219</v>
      </c>
      <c r="I123" s="127"/>
      <c r="J123" s="127"/>
      <c r="K123" s="127"/>
      <c r="L123" s="108">
        <v>1.79</v>
      </c>
      <c r="N123" s="321" t="s">
        <v>257</v>
      </c>
      <c r="P123" s="317" t="s">
        <v>235</v>
      </c>
      <c r="Q123" s="274"/>
      <c r="R123" s="314"/>
      <c r="S123" s="314"/>
      <c r="T123" s="261">
        <v>6.0000000000000002E-5</v>
      </c>
      <c r="U123" s="254">
        <v>1.7170000000000001E-2</v>
      </c>
      <c r="W123" s="334"/>
      <c r="X123" s="322"/>
      <c r="Y123" s="322"/>
      <c r="Z123" s="322"/>
      <c r="AA123" s="322"/>
      <c r="AB123" s="322"/>
      <c r="AC123" s="322"/>
      <c r="AD123" s="322"/>
      <c r="AE123" s="322"/>
      <c r="AF123" s="322"/>
      <c r="AG123" s="322"/>
      <c r="AQ123" s="301"/>
      <c r="AR123" s="452"/>
      <c r="AS123" s="452"/>
      <c r="AT123" s="452"/>
      <c r="AU123" s="453"/>
      <c r="AV123" s="453"/>
      <c r="AW123" s="294"/>
      <c r="AX123" s="301"/>
      <c r="AY123" s="389"/>
      <c r="AZ123" s="389"/>
      <c r="BA123" s="389"/>
      <c r="BB123" s="389"/>
    </row>
    <row r="124" spans="2:54" ht="15.75">
      <c r="B124" s="9">
        <v>2</v>
      </c>
      <c r="C124" s="39">
        <v>60</v>
      </c>
      <c r="D124" s="471"/>
      <c r="E124" s="471"/>
      <c r="F124" s="235"/>
      <c r="H124" s="106"/>
      <c r="I124" s="23"/>
      <c r="J124" s="23"/>
      <c r="K124" s="192"/>
      <c r="L124" s="111">
        <v>0</v>
      </c>
      <c r="N124" s="321" t="s">
        <v>230</v>
      </c>
      <c r="P124" s="317" t="s">
        <v>236</v>
      </c>
      <c r="Q124" s="274"/>
      <c r="R124" s="314"/>
      <c r="S124" s="314"/>
      <c r="T124" s="261">
        <v>5.0000000000000002E-5</v>
      </c>
      <c r="U124" s="254">
        <v>0.02</v>
      </c>
      <c r="W124" s="334"/>
      <c r="X124" s="322"/>
      <c r="Y124" s="322"/>
      <c r="Z124" s="322"/>
      <c r="AA124" s="322"/>
      <c r="AB124" s="322"/>
      <c r="AC124" s="322"/>
      <c r="AD124" s="322"/>
      <c r="AE124" s="322"/>
      <c r="AF124" s="322"/>
      <c r="AG124" s="322"/>
      <c r="AQ124" s="301"/>
      <c r="AR124" s="452"/>
      <c r="AS124" s="452"/>
      <c r="AT124" s="452"/>
      <c r="AU124" s="453"/>
      <c r="AV124" s="453"/>
      <c r="AW124" s="294"/>
      <c r="AX124" s="301"/>
      <c r="AY124" s="389"/>
      <c r="AZ124" s="389"/>
      <c r="BA124" s="389"/>
      <c r="BB124" s="389"/>
    </row>
    <row r="125" spans="2:54" ht="15.75">
      <c r="B125" s="9">
        <v>2.5</v>
      </c>
      <c r="C125" s="39">
        <v>80</v>
      </c>
      <c r="N125" s="270"/>
      <c r="P125" s="317" t="s">
        <v>237</v>
      </c>
      <c r="T125" s="316">
        <v>5.0000000000000002E-5</v>
      </c>
      <c r="U125" s="316">
        <v>2.5000000000000001E-2</v>
      </c>
      <c r="W125" s="334"/>
      <c r="X125" s="322"/>
      <c r="Y125" s="322"/>
      <c r="Z125" s="322"/>
      <c r="AA125" s="322"/>
      <c r="AB125" s="322"/>
      <c r="AC125" s="322"/>
      <c r="AD125" s="322"/>
      <c r="AE125" s="322"/>
      <c r="AF125" s="322"/>
      <c r="AG125" s="322"/>
      <c r="AQ125" s="301"/>
      <c r="AR125" s="452"/>
      <c r="AS125" s="452"/>
      <c r="AT125" s="452"/>
      <c r="AU125" s="453"/>
      <c r="AV125" s="453"/>
      <c r="AW125" s="294"/>
      <c r="AX125" s="301"/>
      <c r="AY125" s="389"/>
      <c r="AZ125" s="389"/>
      <c r="BA125" s="389"/>
      <c r="BB125" s="389"/>
    </row>
    <row r="126" spans="2:54" ht="15.75">
      <c r="B126" s="9">
        <v>3</v>
      </c>
      <c r="C126" s="39">
        <v>100</v>
      </c>
      <c r="P126" s="317" t="s">
        <v>238</v>
      </c>
      <c r="T126" s="316">
        <v>6.6699999999999995E-5</v>
      </c>
      <c r="U126" s="316">
        <v>2.1700000000000001E-2</v>
      </c>
      <c r="W126" s="334"/>
      <c r="X126" s="322"/>
      <c r="Y126" s="322"/>
      <c r="Z126" s="322"/>
      <c r="AA126" s="322"/>
      <c r="AB126" s="322"/>
      <c r="AC126" s="322"/>
      <c r="AD126" s="322"/>
      <c r="AE126" s="322"/>
      <c r="AF126" s="322"/>
      <c r="AG126" s="322"/>
      <c r="AQ126" s="301"/>
      <c r="AR126" s="452"/>
      <c r="AS126" s="452"/>
      <c r="AT126" s="452"/>
      <c r="AU126" s="453"/>
      <c r="AV126" s="453"/>
      <c r="AW126" s="294"/>
      <c r="AX126" s="301"/>
      <c r="AY126" s="389"/>
      <c r="AZ126" s="389"/>
      <c r="BA126" s="389"/>
      <c r="BB126" s="389"/>
    </row>
    <row r="127" spans="2:54" ht="15.75">
      <c r="B127" s="9">
        <v>3.5</v>
      </c>
      <c r="C127" s="39">
        <v>120</v>
      </c>
      <c r="P127" s="317" t="s">
        <v>239</v>
      </c>
      <c r="T127" s="323">
        <v>5.8300000000000001E-5</v>
      </c>
      <c r="U127" s="316">
        <v>2.4199999999999999E-2</v>
      </c>
      <c r="W127" s="334"/>
      <c r="X127" s="322"/>
      <c r="Y127" s="322"/>
      <c r="Z127" s="322"/>
      <c r="AA127" s="322"/>
      <c r="AB127" s="322"/>
      <c r="AC127" s="322"/>
      <c r="AD127" s="322"/>
      <c r="AE127" s="322"/>
      <c r="AF127" s="322"/>
      <c r="AG127" s="322"/>
      <c r="AQ127" s="301"/>
      <c r="AR127" s="452"/>
      <c r="AS127" s="452"/>
      <c r="AT127" s="452"/>
      <c r="AU127" s="453"/>
      <c r="AV127" s="453"/>
      <c r="AW127" s="294"/>
      <c r="AX127" s="301"/>
      <c r="AY127" s="389"/>
      <c r="AZ127" s="389"/>
      <c r="BA127" s="389"/>
      <c r="BB127" s="389"/>
    </row>
    <row r="128" spans="2:54" ht="15.75">
      <c r="B128" s="9">
        <v>4</v>
      </c>
      <c r="C128" s="39">
        <v>140</v>
      </c>
      <c r="P128" s="317" t="s">
        <v>240</v>
      </c>
      <c r="T128" s="329">
        <v>4.5800000000000002E-5</v>
      </c>
      <c r="U128" s="329">
        <v>2.46E-2</v>
      </c>
      <c r="W128" s="334"/>
      <c r="X128" s="322"/>
      <c r="Y128" s="322"/>
      <c r="Z128" s="322"/>
      <c r="AA128" s="322"/>
      <c r="AB128" s="322"/>
      <c r="AC128" s="322"/>
      <c r="AD128" s="322"/>
      <c r="AE128" s="322"/>
      <c r="AF128" s="322"/>
      <c r="AG128" s="322"/>
      <c r="AQ128" s="301"/>
      <c r="AR128" s="452"/>
      <c r="AS128" s="452"/>
      <c r="AT128" s="452"/>
      <c r="AU128" s="453"/>
      <c r="AV128" s="453"/>
      <c r="AW128" s="294"/>
      <c r="AX128" s="301"/>
      <c r="AY128" s="389"/>
      <c r="AZ128" s="389"/>
      <c r="BA128" s="389"/>
      <c r="BB128" s="389"/>
    </row>
    <row r="129" spans="2:54" ht="15.75">
      <c r="B129" s="9">
        <v>5</v>
      </c>
      <c r="C129" s="39">
        <v>160</v>
      </c>
      <c r="P129" s="317" t="s">
        <v>241</v>
      </c>
      <c r="T129" s="329">
        <v>5.8300000000000001E-5</v>
      </c>
      <c r="U129" s="329">
        <v>1.5800000000000002E-2</v>
      </c>
      <c r="W129" s="334"/>
      <c r="X129" s="322"/>
      <c r="Y129" s="322"/>
      <c r="Z129" s="322"/>
      <c r="AA129" s="322"/>
      <c r="AB129" s="322"/>
      <c r="AC129" s="322"/>
      <c r="AD129" s="322"/>
      <c r="AE129" s="322"/>
      <c r="AF129" s="322"/>
      <c r="AG129" s="322"/>
      <c r="AQ129" s="301"/>
      <c r="AR129" s="452"/>
      <c r="AS129" s="452"/>
      <c r="AT129" s="452"/>
      <c r="AU129" s="453"/>
      <c r="AV129" s="453"/>
      <c r="AW129" s="294"/>
      <c r="AX129" s="301"/>
      <c r="AY129" s="389"/>
      <c r="AZ129" s="389"/>
      <c r="BA129" s="389"/>
      <c r="BB129" s="389"/>
    </row>
    <row r="130" spans="2:54" ht="15.75">
      <c r="B130" s="9">
        <v>6</v>
      </c>
      <c r="C130" s="39" t="s">
        <v>5</v>
      </c>
      <c r="P130" s="317" t="s">
        <v>242</v>
      </c>
      <c r="Q130" s="315"/>
      <c r="R130" s="314"/>
      <c r="S130" s="314"/>
      <c r="T130" s="261">
        <v>3.3300000000000003E-5</v>
      </c>
      <c r="U130" s="254">
        <v>2.3300000000000001E-2</v>
      </c>
      <c r="W130" s="334"/>
      <c r="X130" s="322"/>
      <c r="Y130" s="322"/>
      <c r="Z130" s="322"/>
      <c r="AA130" s="322"/>
      <c r="AB130" s="322"/>
      <c r="AC130" s="322"/>
      <c r="AD130" s="322"/>
      <c r="AE130" s="322"/>
      <c r="AF130" s="322"/>
      <c r="AG130" s="322"/>
      <c r="AQ130" s="301"/>
      <c r="AR130" s="452"/>
      <c r="AS130" s="452"/>
      <c r="AT130" s="452"/>
      <c r="AU130" s="453"/>
      <c r="AV130" s="453"/>
      <c r="AW130" s="294"/>
      <c r="AX130" s="301"/>
      <c r="AY130" s="389"/>
      <c r="AZ130" s="389"/>
      <c r="BA130" s="389"/>
      <c r="BB130" s="389"/>
    </row>
    <row r="131" spans="2:54" ht="15.75">
      <c r="B131" s="9">
        <v>8</v>
      </c>
      <c r="C131" s="39" t="s">
        <v>6</v>
      </c>
      <c r="P131" s="317" t="s">
        <v>243</v>
      </c>
      <c r="Q131" s="314"/>
      <c r="R131" s="314"/>
      <c r="S131" s="314"/>
      <c r="T131" s="261">
        <v>4.5800000000000002E-5</v>
      </c>
      <c r="U131" s="254">
        <v>1.9599999999999999E-2</v>
      </c>
      <c r="W131" s="334"/>
      <c r="X131" s="322"/>
      <c r="Y131" s="322"/>
      <c r="Z131" s="322"/>
      <c r="AA131" s="322"/>
      <c r="AB131" s="322"/>
      <c r="AC131" s="322"/>
      <c r="AD131" s="322"/>
      <c r="AE131" s="322"/>
      <c r="AF131" s="322"/>
      <c r="AG131" s="322"/>
      <c r="AQ131" s="301"/>
      <c r="AR131" s="452"/>
      <c r="AS131" s="452"/>
      <c r="AT131" s="452"/>
      <c r="AU131" s="453"/>
      <c r="AV131" s="453"/>
      <c r="AW131" s="294"/>
      <c r="AX131" s="301"/>
      <c r="AY131" s="389"/>
      <c r="AZ131" s="389"/>
      <c r="BA131" s="389"/>
      <c r="BB131" s="389"/>
    </row>
    <row r="132" spans="2:54" ht="15.75">
      <c r="B132" s="9">
        <v>10</v>
      </c>
      <c r="C132" s="39" t="s">
        <v>7</v>
      </c>
      <c r="P132" s="317" t="s">
        <v>244</v>
      </c>
      <c r="Q132" s="314"/>
      <c r="R132" s="314"/>
      <c r="S132" s="314"/>
      <c r="T132" s="330">
        <v>6.2500000000000001E-5</v>
      </c>
      <c r="U132" s="254">
        <v>1.1299999999999999E-2</v>
      </c>
      <c r="W132" s="334"/>
      <c r="X132" s="322"/>
      <c r="Y132" s="322"/>
      <c r="Z132" s="322"/>
      <c r="AA132" s="322"/>
      <c r="AB132" s="322"/>
      <c r="AC132" s="322"/>
      <c r="AD132" s="322"/>
      <c r="AE132" s="322"/>
      <c r="AF132" s="322"/>
      <c r="AG132" s="322"/>
      <c r="AQ132" s="301"/>
      <c r="AR132" s="452"/>
      <c r="AS132" s="452"/>
      <c r="AT132" s="452"/>
      <c r="AU132" s="453"/>
      <c r="AV132" s="453"/>
      <c r="AW132" s="294"/>
      <c r="AX132" s="301"/>
      <c r="AY132" s="389"/>
      <c r="AZ132" s="389"/>
      <c r="BA132" s="389"/>
      <c r="BB132" s="389"/>
    </row>
    <row r="133" spans="2:54" ht="15.75">
      <c r="B133" s="9">
        <v>12</v>
      </c>
      <c r="C133" s="39" t="s">
        <v>8</v>
      </c>
      <c r="P133" s="308" t="s">
        <v>224</v>
      </c>
      <c r="Q133" s="326"/>
      <c r="R133" s="324"/>
      <c r="S133" s="324"/>
      <c r="T133" s="261">
        <f>0.00005</f>
        <v>5.0000000000000002E-5</v>
      </c>
      <c r="U133" s="254">
        <v>2.5999999999999999E-2</v>
      </c>
      <c r="W133" s="334"/>
      <c r="X133" s="322"/>
      <c r="Y133" s="322"/>
      <c r="Z133" s="322"/>
      <c r="AA133" s="322"/>
      <c r="AB133" s="322"/>
      <c r="AC133" s="322"/>
      <c r="AD133" s="322"/>
      <c r="AE133" s="322"/>
      <c r="AF133" s="322"/>
      <c r="AG133" s="322"/>
      <c r="AQ133" s="301"/>
      <c r="AR133" s="452"/>
      <c r="AS133" s="452"/>
      <c r="AT133" s="452"/>
      <c r="AU133" s="453"/>
      <c r="AV133" s="453"/>
      <c r="AW133" s="294"/>
      <c r="AX133" s="301"/>
      <c r="AY133" s="389"/>
      <c r="AZ133" s="389"/>
      <c r="BA133" s="389"/>
      <c r="BB133" s="389"/>
    </row>
    <row r="134" spans="2:54" ht="15.75">
      <c r="B134" s="9">
        <v>14</v>
      </c>
      <c r="C134" s="39" t="s">
        <v>1</v>
      </c>
      <c r="P134" s="308" t="s">
        <v>225</v>
      </c>
      <c r="Q134" s="324"/>
      <c r="R134" s="324"/>
      <c r="S134" s="324"/>
      <c r="T134" s="261">
        <f>0.0000475</f>
        <v>4.7500000000000003E-5</v>
      </c>
      <c r="U134" s="254">
        <v>2.5999999999999999E-2</v>
      </c>
      <c r="W134" s="334"/>
      <c r="X134" s="322"/>
      <c r="Y134" s="322"/>
      <c r="Z134" s="322"/>
      <c r="AA134" s="322"/>
      <c r="AB134" s="322"/>
      <c r="AC134" s="322"/>
      <c r="AD134" s="322"/>
      <c r="AE134" s="322"/>
      <c r="AF134" s="322"/>
      <c r="AG134" s="322"/>
      <c r="AQ134" s="294"/>
      <c r="AR134" s="294"/>
      <c r="AS134" s="294"/>
      <c r="AT134" s="294"/>
      <c r="AU134" s="294"/>
      <c r="AV134" s="294"/>
      <c r="AW134" s="294"/>
      <c r="AX134" s="301"/>
      <c r="AY134" s="389"/>
      <c r="AZ134" s="389"/>
      <c r="BA134" s="389"/>
      <c r="BB134" s="389"/>
    </row>
    <row r="135" spans="2:54" ht="15.75">
      <c r="B135" s="9">
        <v>16</v>
      </c>
      <c r="C135" s="39" t="s">
        <v>2</v>
      </c>
      <c r="P135" s="308" t="s">
        <v>226</v>
      </c>
      <c r="Q135" s="324"/>
      <c r="R135" s="324"/>
      <c r="S135" s="324"/>
      <c r="T135" s="328">
        <v>5.0000000000000002E-5</v>
      </c>
      <c r="U135" s="261">
        <v>0.02</v>
      </c>
      <c r="W135" s="334"/>
      <c r="X135" s="322"/>
      <c r="Y135" s="322"/>
      <c r="Z135" s="322"/>
      <c r="AA135" s="322"/>
      <c r="AB135" s="322"/>
      <c r="AC135" s="322"/>
      <c r="AD135" s="322"/>
      <c r="AE135" s="322"/>
      <c r="AF135" s="322"/>
      <c r="AG135" s="322"/>
      <c r="AQ135" s="294"/>
      <c r="AR135" s="294"/>
      <c r="AS135" s="294"/>
      <c r="AT135" s="294"/>
      <c r="AU135" s="294"/>
      <c r="AV135" s="294"/>
      <c r="AW135" s="294"/>
      <c r="AX135" s="301"/>
      <c r="AY135" s="389"/>
      <c r="AZ135" s="389"/>
      <c r="BA135" s="389"/>
      <c r="BB135" s="389"/>
    </row>
    <row r="136" spans="2:54" ht="15.75">
      <c r="B136" s="9">
        <v>18</v>
      </c>
      <c r="C136" s="39" t="s">
        <v>3</v>
      </c>
      <c r="P136" s="308" t="s">
        <v>227</v>
      </c>
      <c r="Q136" s="324"/>
      <c r="R136" s="324"/>
      <c r="S136" s="324"/>
      <c r="T136" s="331">
        <v>5.4200000000000003E-5</v>
      </c>
      <c r="U136" s="261">
        <v>0.02</v>
      </c>
      <c r="W136" s="344"/>
      <c r="X136" s="344"/>
      <c r="Y136" s="344"/>
      <c r="Z136" s="344"/>
      <c r="AA136" s="344"/>
      <c r="AB136" s="344"/>
      <c r="AC136" s="344"/>
      <c r="AD136" s="344"/>
      <c r="AE136" s="344"/>
      <c r="AF136" s="344"/>
      <c r="AG136" s="344"/>
      <c r="AQ136" s="294"/>
      <c r="AR136" s="294"/>
      <c r="AS136" s="294"/>
      <c r="AT136" s="294"/>
      <c r="AU136" s="294"/>
      <c r="AV136" s="294"/>
      <c r="AW136" s="294"/>
      <c r="AX136" s="294"/>
      <c r="AY136" s="294"/>
      <c r="AZ136" s="294"/>
      <c r="BA136" s="294"/>
      <c r="BB136" s="294"/>
    </row>
    <row r="137" spans="2:54" ht="15.75">
      <c r="B137" s="9">
        <v>20</v>
      </c>
      <c r="C137" s="39" t="s">
        <v>4</v>
      </c>
      <c r="P137" s="308" t="s">
        <v>247</v>
      </c>
      <c r="Q137" s="324"/>
      <c r="R137" s="324"/>
      <c r="S137" s="324"/>
      <c r="T137" s="327">
        <v>3.9100000000000002E-5</v>
      </c>
      <c r="U137" s="327">
        <v>2.1600000000000001E-2</v>
      </c>
      <c r="W137" s="344"/>
      <c r="X137" s="344"/>
      <c r="Y137" s="344"/>
      <c r="Z137" s="344"/>
      <c r="AA137" s="344"/>
      <c r="AB137" s="344"/>
      <c r="AC137" s="344"/>
      <c r="AD137" s="344"/>
      <c r="AE137" s="344"/>
      <c r="AF137" s="344"/>
      <c r="AG137" s="344"/>
      <c r="AQ137" s="294"/>
      <c r="AR137" s="294"/>
      <c r="AS137" s="294"/>
      <c r="AT137" s="294"/>
      <c r="AU137" s="294"/>
      <c r="AV137" s="294"/>
      <c r="AW137" s="294"/>
      <c r="AX137" s="294"/>
      <c r="AY137" s="294"/>
      <c r="AZ137" s="294"/>
      <c r="BA137" s="294"/>
      <c r="BB137" s="294"/>
    </row>
    <row r="138" spans="2:54" ht="15.75">
      <c r="B138" s="9">
        <v>22</v>
      </c>
      <c r="C138" s="38"/>
      <c r="H138" s="271" t="s">
        <v>274</v>
      </c>
      <c r="I138" s="267"/>
      <c r="J138" s="319"/>
      <c r="K138" s="319"/>
      <c r="L138" s="319"/>
      <c r="M138" s="44" t="s">
        <v>275</v>
      </c>
      <c r="P138" s="308" t="s">
        <v>248</v>
      </c>
      <c r="Q138" s="324"/>
      <c r="R138" s="324"/>
      <c r="S138" s="325"/>
      <c r="T138" s="329">
        <v>4.0132999999999997E-5</v>
      </c>
      <c r="U138" s="329">
        <v>2.1600000000000001E-2</v>
      </c>
      <c r="W138" s="302"/>
      <c r="X138" s="345"/>
      <c r="Y138" s="345"/>
      <c r="Z138" s="345"/>
      <c r="AA138" s="345"/>
      <c r="AB138" s="345"/>
      <c r="AC138" s="302"/>
      <c r="AD138" s="346"/>
      <c r="AE138" s="346"/>
      <c r="AF138" s="346"/>
      <c r="AG138" s="346"/>
      <c r="AQ138" s="294"/>
      <c r="AR138" s="294"/>
      <c r="AS138" s="294"/>
      <c r="AT138" s="294"/>
      <c r="AU138" s="294"/>
      <c r="AV138" s="294"/>
      <c r="AW138" s="294"/>
      <c r="AX138" s="294"/>
      <c r="AY138" s="294"/>
      <c r="AZ138" s="294"/>
      <c r="BA138" s="294"/>
      <c r="BB138" s="294"/>
    </row>
    <row r="139" spans="2:54" ht="15.75">
      <c r="B139" s="9">
        <v>24</v>
      </c>
      <c r="C139" s="38"/>
      <c r="H139" s="347" t="s">
        <v>210</v>
      </c>
      <c r="I139" s="44"/>
      <c r="J139" s="298" t="s">
        <v>261</v>
      </c>
      <c r="K139" s="298" t="s">
        <v>262</v>
      </c>
      <c r="L139" s="298" t="s">
        <v>263</v>
      </c>
      <c r="M139" s="298" t="s">
        <v>263</v>
      </c>
      <c r="P139" s="308" t="s">
        <v>249</v>
      </c>
      <c r="Q139" s="324"/>
      <c r="R139" s="324"/>
      <c r="S139" s="325"/>
      <c r="T139" s="329">
        <v>4.057E-5</v>
      </c>
      <c r="U139" s="329">
        <v>2.1600000000000001E-2</v>
      </c>
      <c r="W139" s="334"/>
      <c r="X139" s="345"/>
      <c r="Y139" s="345"/>
      <c r="Z139" s="345"/>
      <c r="AA139" s="345"/>
      <c r="AB139" s="345"/>
      <c r="AC139" s="334"/>
      <c r="AD139" s="345"/>
      <c r="AE139" s="345"/>
      <c r="AF139" s="345"/>
      <c r="AG139" s="345"/>
    </row>
    <row r="140" spans="2:54" ht="15.75">
      <c r="B140" s="9">
        <v>26</v>
      </c>
      <c r="C140" s="38"/>
      <c r="H140" s="317" t="s">
        <v>322</v>
      </c>
      <c r="I140" s="264"/>
      <c r="J140" s="328">
        <v>0</v>
      </c>
      <c r="K140" s="351">
        <v>0</v>
      </c>
      <c r="L140" s="272">
        <v>0</v>
      </c>
      <c r="M140" s="272">
        <v>0</v>
      </c>
      <c r="P140" s="308" t="s">
        <v>245</v>
      </c>
      <c r="S140" s="325"/>
      <c r="T140" s="325">
        <v>3.2230000000000001E-5</v>
      </c>
      <c r="U140" s="327">
        <v>3.6999999999999998E-2</v>
      </c>
      <c r="W140" s="334"/>
      <c r="X140" s="345"/>
      <c r="Y140" s="345"/>
      <c r="Z140" s="345"/>
      <c r="AA140" s="345"/>
      <c r="AB140" s="345"/>
      <c r="AC140" s="334"/>
      <c r="AD140" s="345"/>
      <c r="AE140" s="345"/>
      <c r="AF140" s="345"/>
      <c r="AG140" s="345"/>
    </row>
    <row r="141" spans="2:54" ht="15.75">
      <c r="B141" s="9">
        <v>28</v>
      </c>
      <c r="C141" s="38"/>
      <c r="H141" s="317" t="s">
        <v>271</v>
      </c>
      <c r="I141" s="326"/>
      <c r="J141" s="328">
        <v>8.9999999999999999E-11</v>
      </c>
      <c r="K141" s="328">
        <v>-3.0000000000000001E-6</v>
      </c>
      <c r="L141" s="327">
        <v>-6.1999999999999998E-3</v>
      </c>
      <c r="M141" s="327">
        <v>30.56</v>
      </c>
      <c r="P141" s="308" t="s">
        <v>246</v>
      </c>
      <c r="Q141" s="324"/>
      <c r="R141" s="324"/>
      <c r="S141" s="325"/>
      <c r="T141" s="332">
        <v>3.1000000000000001E-5</v>
      </c>
      <c r="U141" s="329">
        <v>3.6999999999999998E-2</v>
      </c>
      <c r="W141" s="334"/>
      <c r="X141" s="345"/>
      <c r="Y141" s="345"/>
      <c r="Z141" s="345"/>
      <c r="AA141" s="345"/>
      <c r="AB141" s="345"/>
      <c r="AC141" s="334"/>
      <c r="AD141" s="345"/>
      <c r="AE141" s="345"/>
      <c r="AF141" s="345"/>
      <c r="AG141" s="345"/>
    </row>
    <row r="142" spans="2:54" ht="15.75">
      <c r="B142" s="9">
        <v>30</v>
      </c>
      <c r="C142" s="38"/>
      <c r="H142" s="308" t="s">
        <v>277</v>
      </c>
      <c r="I142" s="358"/>
      <c r="J142" s="327">
        <v>3E-10</v>
      </c>
      <c r="K142" s="327">
        <v>-1.0499999999999999E-6</v>
      </c>
      <c r="L142" s="327">
        <v>5.7499999999999999E-3</v>
      </c>
      <c r="M142" s="327">
        <v>8.1639999999999997</v>
      </c>
      <c r="P142" s="308" t="s">
        <v>250</v>
      </c>
      <c r="Q142" s="324"/>
      <c r="R142" s="324"/>
      <c r="S142" s="325"/>
      <c r="T142" s="332">
        <v>3.048E-5</v>
      </c>
      <c r="U142" s="329">
        <v>3.6999999999999998E-2</v>
      </c>
      <c r="W142" s="301"/>
      <c r="X142" s="387"/>
      <c r="Y142" s="387"/>
      <c r="Z142" s="387"/>
      <c r="AA142" s="387"/>
      <c r="AB142" s="387"/>
      <c r="AC142" s="301"/>
      <c r="AD142" s="387"/>
      <c r="AE142" s="387"/>
      <c r="AF142" s="387"/>
      <c r="AG142" s="387"/>
    </row>
    <row r="143" spans="2:54" ht="15.75">
      <c r="B143" s="9">
        <v>32</v>
      </c>
      <c r="C143" s="38"/>
      <c r="H143" s="317" t="s">
        <v>267</v>
      </c>
      <c r="I143" s="326"/>
      <c r="J143" s="327">
        <v>0</v>
      </c>
      <c r="K143" s="350">
        <v>6.9999999999999999E-6</v>
      </c>
      <c r="L143" s="327">
        <v>4.1000000000000002E-2</v>
      </c>
      <c r="M143" s="327">
        <v>61.6</v>
      </c>
      <c r="P143" s="308" t="s">
        <v>251</v>
      </c>
      <c r="T143" s="327">
        <v>2.0000000000000002E-5</v>
      </c>
      <c r="U143" s="327">
        <v>4.8000000000000001E-2</v>
      </c>
      <c r="W143" s="301"/>
      <c r="X143" s="387"/>
      <c r="Y143" s="387"/>
      <c r="Z143" s="387"/>
      <c r="AA143" s="387"/>
      <c r="AB143" s="387"/>
      <c r="AC143" s="301"/>
      <c r="AD143" s="387"/>
      <c r="AE143" s="387"/>
      <c r="AF143" s="387"/>
      <c r="AG143" s="387"/>
    </row>
    <row r="144" spans="2:54" ht="15.75">
      <c r="B144" s="9">
        <v>34</v>
      </c>
      <c r="C144" s="38"/>
      <c r="H144" s="317" t="s">
        <v>268</v>
      </c>
      <c r="I144" s="326"/>
      <c r="J144" s="327">
        <v>0</v>
      </c>
      <c r="K144" s="327">
        <v>0</v>
      </c>
      <c r="L144" s="327">
        <v>0.03</v>
      </c>
      <c r="M144" s="327">
        <v>65</v>
      </c>
      <c r="P144" s="308" t="s">
        <v>252</v>
      </c>
      <c r="T144" s="327">
        <v>1.6699999999999999E-5</v>
      </c>
      <c r="U144" s="327">
        <v>5.0799999999999998E-2</v>
      </c>
      <c r="W144" s="301"/>
      <c r="X144" s="387"/>
      <c r="Y144" s="387"/>
      <c r="Z144" s="387"/>
      <c r="AA144" s="387"/>
      <c r="AB144" s="387"/>
      <c r="AC144" s="301"/>
      <c r="AD144" s="387"/>
      <c r="AE144" s="387"/>
      <c r="AF144" s="387"/>
      <c r="AG144" s="387"/>
    </row>
    <row r="145" spans="2:33" ht="15.75">
      <c r="B145" s="9">
        <v>36</v>
      </c>
      <c r="C145" s="38"/>
      <c r="H145" s="265"/>
      <c r="I145" s="264"/>
      <c r="J145" s="269"/>
      <c r="K145" s="327"/>
      <c r="L145" s="327"/>
      <c r="M145" s="327"/>
      <c r="P145" s="308" t="s">
        <v>253</v>
      </c>
      <c r="T145" s="327">
        <v>2.0000000000000002E-5</v>
      </c>
      <c r="U145" s="327">
        <v>5.5E-2</v>
      </c>
      <c r="W145" s="301"/>
      <c r="X145" s="387"/>
      <c r="Y145" s="387"/>
      <c r="Z145" s="387"/>
      <c r="AA145" s="387"/>
      <c r="AB145" s="387"/>
      <c r="AC145" s="301"/>
      <c r="AD145" s="387"/>
      <c r="AE145" s="387"/>
      <c r="AF145" s="387"/>
      <c r="AG145" s="387"/>
    </row>
    <row r="146" spans="2:33" ht="15.75">
      <c r="B146" s="9">
        <v>38</v>
      </c>
      <c r="C146" s="38"/>
      <c r="H146" s="265"/>
      <c r="I146" s="264"/>
      <c r="J146" s="269"/>
      <c r="K146" s="327"/>
      <c r="L146" s="327"/>
      <c r="M146" s="327"/>
      <c r="P146" s="335"/>
      <c r="Q146" s="267"/>
      <c r="R146" s="267"/>
      <c r="S146" s="267"/>
      <c r="T146" s="267"/>
      <c r="U146" s="267"/>
      <c r="W146" s="301"/>
      <c r="X146" s="387"/>
      <c r="Y146" s="387"/>
      <c r="Z146" s="387"/>
      <c r="AA146" s="387"/>
      <c r="AB146" s="387"/>
      <c r="AC146" s="301"/>
      <c r="AD146" s="387"/>
      <c r="AE146" s="387"/>
      <c r="AF146" s="387"/>
      <c r="AG146" s="387"/>
    </row>
    <row r="147" spans="2:33" ht="15.75">
      <c r="B147" s="9">
        <v>40</v>
      </c>
      <c r="C147" s="38"/>
      <c r="H147" s="268"/>
      <c r="I147" s="263"/>
      <c r="J147" s="270"/>
      <c r="K147" s="270"/>
      <c r="L147" s="270"/>
      <c r="M147" s="270"/>
      <c r="W147" s="301"/>
      <c r="X147" s="387"/>
      <c r="Y147" s="387"/>
      <c r="Z147" s="387"/>
      <c r="AA147" s="387"/>
      <c r="AB147" s="387"/>
      <c r="AC147" s="301"/>
      <c r="AD147" s="387"/>
      <c r="AE147" s="387"/>
      <c r="AF147" s="387"/>
      <c r="AG147" s="387"/>
    </row>
    <row r="148" spans="2:33" ht="15.75">
      <c r="B148" s="9">
        <v>42</v>
      </c>
      <c r="C148" s="38"/>
      <c r="W148" s="301"/>
      <c r="X148" s="387"/>
      <c r="Y148" s="387"/>
      <c r="Z148" s="387"/>
      <c r="AA148" s="387"/>
      <c r="AB148" s="387"/>
      <c r="AC148" s="301"/>
      <c r="AD148" s="387"/>
      <c r="AE148" s="387"/>
      <c r="AF148" s="387"/>
      <c r="AG148" s="387"/>
    </row>
    <row r="149" spans="2:33" ht="15.75">
      <c r="B149" s="9">
        <v>44</v>
      </c>
      <c r="C149" s="38"/>
      <c r="W149" s="301"/>
      <c r="X149" s="387"/>
      <c r="Y149" s="387"/>
      <c r="Z149" s="387"/>
      <c r="AA149" s="387"/>
      <c r="AB149" s="387"/>
      <c r="AC149" s="301"/>
      <c r="AD149" s="387"/>
      <c r="AE149" s="387"/>
      <c r="AF149" s="387"/>
      <c r="AG149" s="387"/>
    </row>
    <row r="150" spans="2:33" ht="15.75">
      <c r="B150" s="9">
        <v>46</v>
      </c>
      <c r="C150" s="38"/>
      <c r="W150" s="301"/>
      <c r="X150" s="387"/>
      <c r="Y150" s="387"/>
      <c r="Z150" s="387"/>
      <c r="AA150" s="387"/>
      <c r="AB150" s="387"/>
      <c r="AC150" s="301"/>
      <c r="AD150" s="387"/>
      <c r="AE150" s="387"/>
      <c r="AF150" s="387"/>
      <c r="AG150" s="387"/>
    </row>
    <row r="151" spans="2:33" ht="15.75">
      <c r="B151" s="9">
        <v>48</v>
      </c>
      <c r="C151" s="38"/>
      <c r="W151" s="301"/>
      <c r="X151" s="387"/>
      <c r="Y151" s="387"/>
      <c r="Z151" s="387"/>
      <c r="AA151" s="387"/>
      <c r="AB151" s="387"/>
      <c r="AC151" s="301"/>
      <c r="AD151" s="387"/>
      <c r="AE151" s="387"/>
      <c r="AF151" s="387"/>
      <c r="AG151" s="387"/>
    </row>
    <row r="152" spans="2:33" ht="15.75">
      <c r="B152" s="9">
        <v>50</v>
      </c>
      <c r="C152" s="38"/>
      <c r="W152" s="301"/>
      <c r="X152" s="387"/>
      <c r="Y152" s="387"/>
      <c r="Z152" s="387"/>
      <c r="AA152" s="387"/>
      <c r="AB152" s="387"/>
      <c r="AC152" s="301"/>
      <c r="AD152" s="387"/>
      <c r="AE152" s="387"/>
      <c r="AF152" s="387"/>
      <c r="AG152" s="387"/>
    </row>
    <row r="153" spans="2:33" ht="15.75">
      <c r="B153" s="9">
        <v>52</v>
      </c>
      <c r="C153" s="38"/>
      <c r="W153" s="301"/>
      <c r="X153" s="387"/>
      <c r="Y153" s="387"/>
      <c r="Z153" s="387"/>
      <c r="AA153" s="387"/>
      <c r="AB153" s="387"/>
      <c r="AC153" s="301"/>
      <c r="AD153" s="387"/>
      <c r="AE153" s="387"/>
      <c r="AF153" s="387"/>
      <c r="AG153" s="387"/>
    </row>
    <row r="154" spans="2:33" ht="15.75">
      <c r="B154" s="9">
        <v>54</v>
      </c>
      <c r="C154" s="38"/>
      <c r="W154" s="301"/>
      <c r="X154" s="387"/>
      <c r="Y154" s="387"/>
      <c r="Z154" s="387"/>
      <c r="AA154" s="387"/>
      <c r="AB154" s="387"/>
      <c r="AC154" s="301"/>
      <c r="AD154" s="387"/>
      <c r="AE154" s="387"/>
      <c r="AF154" s="387"/>
      <c r="AG154" s="387"/>
    </row>
    <row r="155" spans="2:33" ht="15.75">
      <c r="B155" s="9">
        <v>56</v>
      </c>
      <c r="C155" s="38"/>
      <c r="W155" s="301"/>
      <c r="X155" s="387"/>
      <c r="Y155" s="387"/>
      <c r="Z155" s="387"/>
      <c r="AA155" s="387"/>
      <c r="AB155" s="387"/>
      <c r="AC155" s="301"/>
      <c r="AD155" s="387"/>
      <c r="AE155" s="387"/>
      <c r="AF155" s="387"/>
      <c r="AG155" s="387"/>
    </row>
    <row r="156" spans="2:33" ht="15.75">
      <c r="B156" s="9">
        <v>58</v>
      </c>
      <c r="C156" s="38"/>
      <c r="W156" s="301"/>
      <c r="X156" s="387"/>
      <c r="Y156" s="387"/>
      <c r="Z156" s="387"/>
      <c r="AA156" s="387"/>
      <c r="AB156" s="387"/>
      <c r="AC156" s="301"/>
      <c r="AD156" s="387"/>
      <c r="AE156" s="387"/>
      <c r="AF156" s="387"/>
      <c r="AG156" s="387"/>
    </row>
    <row r="157" spans="2:33" ht="15.75">
      <c r="B157" s="9">
        <v>60</v>
      </c>
      <c r="C157" s="38"/>
      <c r="W157" s="301"/>
      <c r="X157" s="387"/>
      <c r="Y157" s="387"/>
      <c r="Z157" s="387"/>
      <c r="AA157" s="387"/>
      <c r="AB157" s="387"/>
      <c r="AC157" s="301"/>
      <c r="AD157" s="387"/>
      <c r="AE157" s="387"/>
      <c r="AF157" s="387"/>
      <c r="AG157" s="387"/>
    </row>
    <row r="158" spans="2:33" ht="15.75">
      <c r="B158" s="9">
        <v>66</v>
      </c>
      <c r="C158" s="38"/>
      <c r="W158" s="301"/>
      <c r="X158" s="387"/>
      <c r="Y158" s="387"/>
      <c r="Z158" s="387"/>
      <c r="AA158" s="387"/>
      <c r="AB158" s="387"/>
      <c r="AC158" s="301"/>
      <c r="AD158" s="387"/>
      <c r="AE158" s="387"/>
      <c r="AF158" s="387"/>
      <c r="AG158" s="387"/>
    </row>
    <row r="159" spans="2:33" ht="15.75">
      <c r="B159" s="9">
        <v>72</v>
      </c>
      <c r="C159" s="38"/>
      <c r="W159" s="294"/>
      <c r="X159" s="294"/>
      <c r="Y159" s="294"/>
      <c r="Z159" s="294"/>
      <c r="AA159" s="294"/>
      <c r="AB159" s="294"/>
      <c r="AC159" s="294"/>
      <c r="AD159" s="294"/>
      <c r="AE159" s="294"/>
      <c r="AF159" s="294"/>
      <c r="AG159" s="294"/>
    </row>
    <row r="160" spans="2:33">
      <c r="C160" s="38"/>
      <c r="W160" s="294"/>
      <c r="X160" s="294"/>
      <c r="Y160" s="294"/>
      <c r="Z160" s="294"/>
      <c r="AA160" s="294"/>
      <c r="AB160" s="294"/>
      <c r="AC160" s="294"/>
      <c r="AD160" s="294"/>
      <c r="AE160" s="294"/>
      <c r="AF160" s="294"/>
      <c r="AG160" s="294"/>
    </row>
    <row r="185" spans="1:22">
      <c r="A185" s="230"/>
      <c r="B185" s="207"/>
      <c r="C185" s="226"/>
      <c r="D185" s="225"/>
      <c r="E185" s="225"/>
      <c r="F185" s="225"/>
      <c r="G185" s="225"/>
      <c r="H185" s="225"/>
      <c r="I185" s="225"/>
      <c r="J185" s="225"/>
      <c r="K185" s="225"/>
      <c r="L185" s="225"/>
      <c r="M185" s="225"/>
      <c r="N185" s="225"/>
      <c r="O185" s="225"/>
      <c r="P185" s="225"/>
      <c r="Q185" s="225"/>
      <c r="R185" s="225"/>
      <c r="S185" s="225"/>
      <c r="T185" s="225"/>
      <c r="U185" s="225"/>
      <c r="V185" s="242"/>
    </row>
    <row r="186" spans="1:22">
      <c r="A186" s="292"/>
      <c r="B186" s="209"/>
      <c r="C186" s="215"/>
      <c r="D186" s="220"/>
      <c r="E186" s="220"/>
      <c r="F186" s="220"/>
      <c r="G186" s="220"/>
      <c r="H186" s="220"/>
      <c r="I186" s="220"/>
      <c r="J186" s="220"/>
      <c r="K186" s="220"/>
      <c r="L186" s="220"/>
      <c r="M186" s="220"/>
      <c r="N186" s="220"/>
      <c r="O186" s="220"/>
      <c r="P186" s="220"/>
      <c r="Q186" s="220"/>
      <c r="R186" s="220"/>
      <c r="S186" s="220"/>
      <c r="T186" s="220"/>
      <c r="U186" s="220"/>
      <c r="V186" s="243"/>
    </row>
  </sheetData>
  <mergeCells count="282">
    <mergeCell ref="AG2:AG3"/>
    <mergeCell ref="X25:Y25"/>
    <mergeCell ref="X26:Y26"/>
    <mergeCell ref="X30:Y30"/>
    <mergeCell ref="X21:Y21"/>
    <mergeCell ref="Z26:AA26"/>
    <mergeCell ref="Z27:AA27"/>
    <mergeCell ref="X31:Y31"/>
    <mergeCell ref="X29:Y29"/>
    <mergeCell ref="W6:Y6"/>
    <mergeCell ref="W7:Y7"/>
    <mergeCell ref="W9:Y9"/>
    <mergeCell ref="Y2:AB3"/>
    <mergeCell ref="W2:X3"/>
    <mergeCell ref="AC2:AC3"/>
    <mergeCell ref="AF2:AF3"/>
    <mergeCell ref="Z31:AA31"/>
    <mergeCell ref="AC11:AD11"/>
    <mergeCell ref="AE11:AG11"/>
    <mergeCell ref="AC4:AG5"/>
    <mergeCell ref="AC7:AD7"/>
    <mergeCell ref="AC8:AD8"/>
    <mergeCell ref="AC9:AD9"/>
    <mergeCell ref="AC10:AD10"/>
    <mergeCell ref="P4:Q5"/>
    <mergeCell ref="P2:Q3"/>
    <mergeCell ref="R2:V3"/>
    <mergeCell ref="R4:V5"/>
    <mergeCell ref="W12:AB13"/>
    <mergeCell ref="W4:AB5"/>
    <mergeCell ref="X27:Y27"/>
    <mergeCell ref="X28:Y28"/>
    <mergeCell ref="X22:Y22"/>
    <mergeCell ref="X23:Y23"/>
    <mergeCell ref="X24:Y24"/>
    <mergeCell ref="Z22:AA22"/>
    <mergeCell ref="Z23:AA23"/>
    <mergeCell ref="Z24:AA24"/>
    <mergeCell ref="Z25:AA25"/>
    <mergeCell ref="Z28:AA28"/>
    <mergeCell ref="W8:Y8"/>
    <mergeCell ref="X14:Y14"/>
    <mergeCell ref="L2:L3"/>
    <mergeCell ref="L4:M5"/>
    <mergeCell ref="N4:O5"/>
    <mergeCell ref="A2:F5"/>
    <mergeCell ref="G2:G3"/>
    <mergeCell ref="G4:G5"/>
    <mergeCell ref="H4:K5"/>
    <mergeCell ref="H2:K3"/>
    <mergeCell ref="M2:O3"/>
    <mergeCell ref="AR129:AV129"/>
    <mergeCell ref="AR114:AV114"/>
    <mergeCell ref="AQ112:AV112"/>
    <mergeCell ref="AR110:AV110"/>
    <mergeCell ref="AR111:AV111"/>
    <mergeCell ref="AR113:AV113"/>
    <mergeCell ref="AR126:AV126"/>
    <mergeCell ref="AR127:AV127"/>
    <mergeCell ref="AR115:AV115"/>
    <mergeCell ref="AR116:AV116"/>
    <mergeCell ref="AR123:AV123"/>
    <mergeCell ref="AR124:AV124"/>
    <mergeCell ref="AR125:AV125"/>
    <mergeCell ref="AR119:AV119"/>
    <mergeCell ref="AR120:AV120"/>
    <mergeCell ref="AR106:AV106"/>
    <mergeCell ref="AR107:AV107"/>
    <mergeCell ref="AR122:AV122"/>
    <mergeCell ref="AR117:AV117"/>
    <mergeCell ref="AR118:AV118"/>
    <mergeCell ref="AR108:AV108"/>
    <mergeCell ref="AR121:AV121"/>
    <mergeCell ref="A53:B54"/>
    <mergeCell ref="AR128:AV128"/>
    <mergeCell ref="AR102:AV102"/>
    <mergeCell ref="W59:AB60"/>
    <mergeCell ref="AC59:AG60"/>
    <mergeCell ref="X61:AB61"/>
    <mergeCell ref="AD61:AG61"/>
    <mergeCell ref="X62:AB62"/>
    <mergeCell ref="H116:L116"/>
    <mergeCell ref="D116:F116"/>
    <mergeCell ref="D124:E124"/>
    <mergeCell ref="X57:AG57"/>
    <mergeCell ref="X58:AG58"/>
    <mergeCell ref="X56:AG56"/>
    <mergeCell ref="AD71:AG71"/>
    <mergeCell ref="X72:AB72"/>
    <mergeCell ref="AD72:AG72"/>
    <mergeCell ref="AR133:AV133"/>
    <mergeCell ref="AR130:AV130"/>
    <mergeCell ref="AR131:AV131"/>
    <mergeCell ref="AR132:AV132"/>
    <mergeCell ref="AR109:AV109"/>
    <mergeCell ref="Z33:AA33"/>
    <mergeCell ref="Z34:AA34"/>
    <mergeCell ref="X44:AG44"/>
    <mergeCell ref="X45:AG45"/>
    <mergeCell ref="X46:AG46"/>
    <mergeCell ref="W113:AG114"/>
    <mergeCell ref="X115:AG115"/>
    <mergeCell ref="X116:AG116"/>
    <mergeCell ref="X117:AG117"/>
    <mergeCell ref="X118:AG118"/>
    <mergeCell ref="X119:AG119"/>
    <mergeCell ref="X121:AG121"/>
    <mergeCell ref="X122:AG122"/>
    <mergeCell ref="AD62:AG62"/>
    <mergeCell ref="X63:AB63"/>
    <mergeCell ref="AD63:AG63"/>
    <mergeCell ref="AR103:AV103"/>
    <mergeCell ref="AR104:AV104"/>
    <mergeCell ref="AR105:AV105"/>
    <mergeCell ref="X32:Y32"/>
    <mergeCell ref="X33:Y33"/>
    <mergeCell ref="X34:Y34"/>
    <mergeCell ref="Z15:AA15"/>
    <mergeCell ref="Z16:AA16"/>
    <mergeCell ref="Z17:AA17"/>
    <mergeCell ref="Z18:AA18"/>
    <mergeCell ref="Z19:AA19"/>
    <mergeCell ref="Z20:AA20"/>
    <mergeCell ref="Z21:AA21"/>
    <mergeCell ref="X15:Y15"/>
    <mergeCell ref="X16:Y16"/>
    <mergeCell ref="X17:Y17"/>
    <mergeCell ref="X18:Y18"/>
    <mergeCell ref="X19:Y19"/>
    <mergeCell ref="X20:Y20"/>
    <mergeCell ref="X41:AG41"/>
    <mergeCell ref="X42:AG42"/>
    <mergeCell ref="X43:AG43"/>
    <mergeCell ref="X50:AG50"/>
    <mergeCell ref="X51:AG51"/>
    <mergeCell ref="X52:AG52"/>
    <mergeCell ref="X53:AG53"/>
    <mergeCell ref="X54:AG54"/>
    <mergeCell ref="X55:AG55"/>
    <mergeCell ref="X47:AG47"/>
    <mergeCell ref="X48:AG48"/>
    <mergeCell ref="X49:AG49"/>
    <mergeCell ref="AC6:AD6"/>
    <mergeCell ref="AE6:AG6"/>
    <mergeCell ref="Z32:AA32"/>
    <mergeCell ref="Z30:AA30"/>
    <mergeCell ref="Z29:AA29"/>
    <mergeCell ref="AA6:AB6"/>
    <mergeCell ref="AA7:AB7"/>
    <mergeCell ref="AA9:AB9"/>
    <mergeCell ref="AA10:AB10"/>
    <mergeCell ref="AA8:AB8"/>
    <mergeCell ref="Z14:AA14"/>
    <mergeCell ref="AE7:AG7"/>
    <mergeCell ref="AE8:AG8"/>
    <mergeCell ref="AE9:AG9"/>
    <mergeCell ref="AE10:AG10"/>
    <mergeCell ref="AY110:BB110"/>
    <mergeCell ref="AY111:BB111"/>
    <mergeCell ref="AY108:BB108"/>
    <mergeCell ref="AY109:BB109"/>
    <mergeCell ref="AY103:BB103"/>
    <mergeCell ref="AY102:BB102"/>
    <mergeCell ref="AY104:BB104"/>
    <mergeCell ref="AY105:BB105"/>
    <mergeCell ref="AY106:BB106"/>
    <mergeCell ref="AY107:BB107"/>
    <mergeCell ref="AY118:BB118"/>
    <mergeCell ref="AY119:BB119"/>
    <mergeCell ref="AY120:BB120"/>
    <mergeCell ref="AY121:BB121"/>
    <mergeCell ref="AY122:BB122"/>
    <mergeCell ref="AY117:BB117"/>
    <mergeCell ref="AX115:BB115"/>
    <mergeCell ref="AY116:BB116"/>
    <mergeCell ref="AY133:BB133"/>
    <mergeCell ref="AY134:BB134"/>
    <mergeCell ref="AY135:BB135"/>
    <mergeCell ref="AY128:BB128"/>
    <mergeCell ref="AY129:BB129"/>
    <mergeCell ref="AY130:BB130"/>
    <mergeCell ref="AY131:BB131"/>
    <mergeCell ref="AY132:BB132"/>
    <mergeCell ref="AY123:BB123"/>
    <mergeCell ref="AY124:BB124"/>
    <mergeCell ref="AY125:BB125"/>
    <mergeCell ref="AY126:BB126"/>
    <mergeCell ref="AY127:BB127"/>
    <mergeCell ref="X150:AB150"/>
    <mergeCell ref="X151:AB151"/>
    <mergeCell ref="X152:AB152"/>
    <mergeCell ref="X153:AB153"/>
    <mergeCell ref="X154:AB154"/>
    <mergeCell ref="X155:AB155"/>
    <mergeCell ref="X156:AB156"/>
    <mergeCell ref="X157:AB157"/>
    <mergeCell ref="X142:AB142"/>
    <mergeCell ref="X143:AB143"/>
    <mergeCell ref="X144:AB144"/>
    <mergeCell ref="X145:AB145"/>
    <mergeCell ref="X146:AB146"/>
    <mergeCell ref="X147:AB147"/>
    <mergeCell ref="X148:AB148"/>
    <mergeCell ref="X158:AB158"/>
    <mergeCell ref="AD2:AE3"/>
    <mergeCell ref="AD15:AG15"/>
    <mergeCell ref="AD16:AG16"/>
    <mergeCell ref="AD17:AG17"/>
    <mergeCell ref="AD18:AG18"/>
    <mergeCell ref="AD19:AG19"/>
    <mergeCell ref="AD20:AG20"/>
    <mergeCell ref="AD21:AG21"/>
    <mergeCell ref="AD22:AG22"/>
    <mergeCell ref="AD23:AG23"/>
    <mergeCell ref="AD24:AG24"/>
    <mergeCell ref="AD25:AG25"/>
    <mergeCell ref="AD26:AG26"/>
    <mergeCell ref="AD27:AG27"/>
    <mergeCell ref="AD28:AG28"/>
    <mergeCell ref="AD29:AG29"/>
    <mergeCell ref="AD30:AG30"/>
    <mergeCell ref="AD31:AG31"/>
    <mergeCell ref="AD32:AG32"/>
    <mergeCell ref="AD33:AG33"/>
    <mergeCell ref="AD34:AG34"/>
    <mergeCell ref="AC12:AG13"/>
    <mergeCell ref="X149:AB149"/>
    <mergeCell ref="X38:AG38"/>
    <mergeCell ref="X39:AG39"/>
    <mergeCell ref="X40:AG40"/>
    <mergeCell ref="AD14:AG14"/>
    <mergeCell ref="W36:AG37"/>
    <mergeCell ref="AD142:AG142"/>
    <mergeCell ref="AD143:AG143"/>
    <mergeCell ref="AD144:AG144"/>
    <mergeCell ref="AD145:AG145"/>
    <mergeCell ref="X64:AB64"/>
    <mergeCell ref="AD64:AG64"/>
    <mergeCell ref="X65:AB65"/>
    <mergeCell ref="AD65:AG65"/>
    <mergeCell ref="X66:AB66"/>
    <mergeCell ref="AD66:AG66"/>
    <mergeCell ref="X67:AB67"/>
    <mergeCell ref="AD67:AG67"/>
    <mergeCell ref="X68:AB68"/>
    <mergeCell ref="AD68:AG68"/>
    <mergeCell ref="X69:AB69"/>
    <mergeCell ref="AD69:AG69"/>
    <mergeCell ref="X70:AB70"/>
    <mergeCell ref="AD70:AG70"/>
    <mergeCell ref="X71:AB71"/>
    <mergeCell ref="AD146:AG146"/>
    <mergeCell ref="AD147:AG147"/>
    <mergeCell ref="AD148:AG148"/>
    <mergeCell ref="AD158:AG158"/>
    <mergeCell ref="AD149:AG149"/>
    <mergeCell ref="AD150:AG150"/>
    <mergeCell ref="AD151:AG151"/>
    <mergeCell ref="AD152:AG152"/>
    <mergeCell ref="AD153:AG153"/>
    <mergeCell ref="AD154:AG154"/>
    <mergeCell ref="AD155:AG155"/>
    <mergeCell ref="AD156:AG156"/>
    <mergeCell ref="AD157:AG157"/>
    <mergeCell ref="X78:AB78"/>
    <mergeCell ref="AD78:AG78"/>
    <mergeCell ref="X79:AB79"/>
    <mergeCell ref="AD79:AG79"/>
    <mergeCell ref="X80:AB80"/>
    <mergeCell ref="AD80:AG80"/>
    <mergeCell ref="X81:AB81"/>
    <mergeCell ref="AD81:AG81"/>
    <mergeCell ref="X73:AB73"/>
    <mergeCell ref="AD73:AG73"/>
    <mergeCell ref="X74:AB74"/>
    <mergeCell ref="AD74:AG74"/>
    <mergeCell ref="X75:AB75"/>
    <mergeCell ref="AD75:AG75"/>
    <mergeCell ref="X76:AB76"/>
    <mergeCell ref="AD76:AG76"/>
    <mergeCell ref="X77:AB77"/>
    <mergeCell ref="AD77:AG77"/>
  </mergeCells>
  <phoneticPr fontId="1" type="noConversion"/>
  <dataValidations count="10">
    <dataValidation type="list" allowBlank="1" showInputMessage="1" showErrorMessage="1" sqref="C58:V58">
      <formula1>$B$116:$B$159</formula1>
    </dataValidation>
    <dataValidation type="list" allowBlank="1" showInputMessage="1" showErrorMessage="1" sqref="C59:V59">
      <formula1>$C$116:$C$137</formula1>
    </dataValidation>
    <dataValidation type="list" allowBlank="1" showInputMessage="1" showErrorMessage="1" sqref="C56:V56">
      <formula1>$N$117:$N$120</formula1>
    </dataValidation>
    <dataValidation type="list" allowBlank="1" showInputMessage="1" showErrorMessage="1" sqref="X144:AB158">
      <formula1>$P$118:$P$123</formula1>
    </dataValidation>
    <dataValidation type="list" allowBlank="1" showInputMessage="1" showErrorMessage="1" sqref="AD144:AG158 AD62:AG81">
      <formula1>$H$140:$H$147</formula1>
    </dataValidation>
    <dataValidation type="list" allowBlank="1" showInputMessage="1" showErrorMessage="1" sqref="AR114:AV133 X82:AB82 AD15:AG34">
      <formula1>$D$117:$D$124</formula1>
    </dataValidation>
    <dataValidation type="list" allowBlank="1" showInputMessage="1" showErrorMessage="1" sqref="Y40:AB58 AR102:AV111 X39:X58">
      <formula1>$H$117:$H$124</formula1>
    </dataValidation>
    <dataValidation type="list" allowBlank="1" showInputMessage="1" showErrorMessage="1" sqref="X10:Y10">
      <formula1>$W$15:$W$34</formula1>
    </dataValidation>
    <dataValidation type="list" allowBlank="1" showInputMessage="1" showErrorMessage="1" sqref="AA8:AB8">
      <formula1>$N$122:$N$124</formula1>
    </dataValidation>
    <dataValidation type="list" allowBlank="1" showInputMessage="1" showErrorMessage="1" sqref="X62:AB81">
      <formula1>$P$118:$P$145</formula1>
    </dataValidation>
  </dataValidations>
  <pageMargins left="0.7" right="0.7" top="0.75" bottom="0.75" header="0.3" footer="0.3"/>
  <pageSetup paperSize="9" scale="2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W53"/>
  <sheetViews>
    <sheetView workbookViewId="0">
      <selection activeCell="D7" sqref="D7:W8"/>
    </sheetView>
  </sheetViews>
  <sheetFormatPr defaultRowHeight="12.75"/>
  <cols>
    <col min="1" max="1" width="2.7109375" customWidth="1"/>
    <col min="2" max="2" width="12.7109375" customWidth="1"/>
    <col min="3" max="23" width="10.7109375" customWidth="1"/>
  </cols>
  <sheetData>
    <row r="2" spans="2:23" ht="13.5" thickBot="1"/>
    <row r="3" spans="2:23" ht="15.75">
      <c r="B3" s="76" t="s">
        <v>55</v>
      </c>
      <c r="C3" s="70"/>
      <c r="D3" s="71">
        <f>Heat.cal!C55</f>
        <v>1</v>
      </c>
      <c r="E3" s="71">
        <f>Heat.cal!D55</f>
        <v>2</v>
      </c>
      <c r="F3" s="71">
        <f>Heat.cal!E55</f>
        <v>3</v>
      </c>
      <c r="G3" s="71">
        <f>Heat.cal!F55</f>
        <v>4</v>
      </c>
      <c r="H3" s="71">
        <f>Heat.cal!G55</f>
        <v>5</v>
      </c>
      <c r="I3" s="71">
        <f>Heat.cal!H55</f>
        <v>6</v>
      </c>
      <c r="J3" s="71">
        <f>Heat.cal!I55</f>
        <v>7</v>
      </c>
      <c r="K3" s="71">
        <f>Heat.cal!J55</f>
        <v>8</v>
      </c>
      <c r="L3" s="71">
        <f>Heat.cal!K55</f>
        <v>9</v>
      </c>
      <c r="M3" s="71">
        <f>Heat.cal!L55</f>
        <v>10</v>
      </c>
      <c r="N3" s="71" t="str">
        <f>Heat.cal!M55</f>
        <v>PUMP</v>
      </c>
      <c r="O3" s="71">
        <f>Heat.cal!N55</f>
        <v>11</v>
      </c>
      <c r="P3" s="71">
        <f>Heat.cal!O55</f>
        <v>12</v>
      </c>
      <c r="Q3" s="71">
        <f>Heat.cal!P55</f>
        <v>13</v>
      </c>
      <c r="R3" s="71">
        <f>Heat.cal!Q55</f>
        <v>14</v>
      </c>
      <c r="S3" s="71">
        <f>Heat.cal!R55</f>
        <v>15</v>
      </c>
      <c r="T3" s="71">
        <f>Heat.cal!S55</f>
        <v>16</v>
      </c>
      <c r="U3" s="71">
        <f>Heat.cal!T55</f>
        <v>17</v>
      </c>
      <c r="V3" s="71">
        <f>Heat.cal!U55</f>
        <v>18</v>
      </c>
      <c r="W3" s="172">
        <f>Heat.cal!V55</f>
        <v>19</v>
      </c>
    </row>
    <row r="4" spans="2:23" ht="14.25">
      <c r="B4" s="84" t="s">
        <v>82</v>
      </c>
      <c r="C4" s="44"/>
      <c r="D4" s="94" t="str">
        <f>IF(D11&lt;&gt;0,IF(D20&lt;&gt;"","2PH","LIQUID"),IF(D20&lt;&gt;"","VAPOR"," "))</f>
        <v>LIQUID</v>
      </c>
      <c r="E4" s="94" t="str">
        <f>IF(E11&lt;&gt;0,IF(E20&lt;&gt;"","2PH","LIQUID"),IF(E20&lt;&gt;"","VAPOR"," "))</f>
        <v>LIQUID</v>
      </c>
      <c r="F4" s="94" t="str">
        <f t="shared" ref="F4:W4" si="0">IF(F11&lt;&gt;0,IF(F20&lt;&gt;"","2PH","LIQUID"),IF(F20&lt;&gt;"","VAPOR"," "))</f>
        <v>LIQUID</v>
      </c>
      <c r="G4" s="94" t="str">
        <f t="shared" si="0"/>
        <v>LIQUID</v>
      </c>
      <c r="H4" s="94" t="str">
        <f t="shared" si="0"/>
        <v>LIQUID</v>
      </c>
      <c r="I4" s="94" t="str">
        <f t="shared" si="0"/>
        <v>LIQUID</v>
      </c>
      <c r="J4" s="94" t="str">
        <f t="shared" si="0"/>
        <v>LIQUID</v>
      </c>
      <c r="K4" s="94" t="str">
        <f t="shared" si="0"/>
        <v>LIQUID</v>
      </c>
      <c r="L4" s="94" t="str">
        <f t="shared" si="0"/>
        <v>LIQUID</v>
      </c>
      <c r="M4" s="94" t="str">
        <f t="shared" si="0"/>
        <v>LIQUID</v>
      </c>
      <c r="N4" s="94" t="str">
        <f t="shared" si="0"/>
        <v>LIQUID</v>
      </c>
      <c r="O4" s="94" t="str">
        <f t="shared" si="0"/>
        <v>LIQUID</v>
      </c>
      <c r="P4" s="94" t="str">
        <f t="shared" si="0"/>
        <v>LIQUID</v>
      </c>
      <c r="Q4" s="94" t="str">
        <f t="shared" si="0"/>
        <v>LIQUID</v>
      </c>
      <c r="R4" s="94" t="str">
        <f t="shared" si="0"/>
        <v>LIQUID</v>
      </c>
      <c r="S4" s="94" t="str">
        <f t="shared" si="0"/>
        <v>LIQUID</v>
      </c>
      <c r="T4" s="94" t="str">
        <f t="shared" si="0"/>
        <v>LIQUID</v>
      </c>
      <c r="U4" s="94" t="str">
        <f t="shared" si="0"/>
        <v>LIQUID</v>
      </c>
      <c r="V4" s="94" t="str">
        <f t="shared" si="0"/>
        <v>LIQUID</v>
      </c>
      <c r="W4" s="144" t="str">
        <f t="shared" si="0"/>
        <v>LIQUID</v>
      </c>
    </row>
    <row r="5" spans="2:23">
      <c r="B5" s="78" t="s">
        <v>58</v>
      </c>
      <c r="C5" s="67"/>
      <c r="D5" s="113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65"/>
    </row>
    <row r="6" spans="2:23">
      <c r="B6" s="78" t="s">
        <v>83</v>
      </c>
      <c r="C6" s="81" t="s">
        <v>96</v>
      </c>
      <c r="D6" s="10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65"/>
    </row>
    <row r="7" spans="2:23">
      <c r="B7" s="546" t="s">
        <v>79</v>
      </c>
      <c r="C7" s="547"/>
      <c r="D7" s="375">
        <v>580246.91358024697</v>
      </c>
      <c r="E7" s="375">
        <v>580246.91358024697</v>
      </c>
      <c r="F7" s="375">
        <v>580246.91358024697</v>
      </c>
      <c r="G7" s="375">
        <v>580246.91358024697</v>
      </c>
      <c r="H7" s="375">
        <v>580246.91358024697</v>
      </c>
      <c r="I7" s="375">
        <v>580246.91358024697</v>
      </c>
      <c r="J7" s="375">
        <v>580246.91358024697</v>
      </c>
      <c r="K7" s="375">
        <v>580246.91358024697</v>
      </c>
      <c r="L7" s="375">
        <v>580246.91358024697</v>
      </c>
      <c r="M7" s="375">
        <v>580246.91358024697</v>
      </c>
      <c r="N7" s="375">
        <v>580246.91358024697</v>
      </c>
      <c r="O7" s="375">
        <v>580246.91358024697</v>
      </c>
      <c r="P7" s="375">
        <v>580246.91358024697</v>
      </c>
      <c r="Q7" s="375">
        <v>580246.91358024697</v>
      </c>
      <c r="R7" s="375">
        <v>580246.91358024697</v>
      </c>
      <c r="S7" s="375">
        <v>580246.91358024697</v>
      </c>
      <c r="T7" s="375">
        <v>580246.91358024697</v>
      </c>
      <c r="U7" s="375">
        <v>580246.91358024697</v>
      </c>
      <c r="V7" s="375">
        <v>580246.91358024697</v>
      </c>
      <c r="W7" s="377">
        <v>580246.91358024697</v>
      </c>
    </row>
    <row r="8" spans="2:23">
      <c r="B8" s="546" t="s">
        <v>78</v>
      </c>
      <c r="C8" s="547"/>
      <c r="D8" s="376">
        <v>145061.72839506174</v>
      </c>
      <c r="E8" s="376">
        <v>145061.72839506174</v>
      </c>
      <c r="F8" s="376">
        <v>145061.72839506174</v>
      </c>
      <c r="G8" s="376">
        <v>145061.72839506174</v>
      </c>
      <c r="H8" s="376">
        <v>145061.72839506174</v>
      </c>
      <c r="I8" s="376">
        <v>145061.72839506174</v>
      </c>
      <c r="J8" s="376">
        <v>145061.72839506174</v>
      </c>
      <c r="K8" s="376">
        <v>145061.72839506174</v>
      </c>
      <c r="L8" s="376">
        <v>145061.72839506174</v>
      </c>
      <c r="M8" s="376">
        <v>145061.72839506174</v>
      </c>
      <c r="N8" s="376">
        <v>145061.72839506174</v>
      </c>
      <c r="O8" s="376">
        <v>145061.72839506174</v>
      </c>
      <c r="P8" s="376">
        <v>145061.72839506174</v>
      </c>
      <c r="Q8" s="376">
        <v>145061.72839506174</v>
      </c>
      <c r="R8" s="376">
        <v>145061.72839506174</v>
      </c>
      <c r="S8" s="376">
        <v>145061.72839506174</v>
      </c>
      <c r="T8" s="376">
        <v>145061.72839506174</v>
      </c>
      <c r="U8" s="376">
        <v>145061.72839506174</v>
      </c>
      <c r="V8" s="376">
        <v>145061.72839506174</v>
      </c>
      <c r="W8" s="378">
        <v>145061.72839506174</v>
      </c>
    </row>
    <row r="9" spans="2:23">
      <c r="B9" s="484"/>
      <c r="C9" s="485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353"/>
      <c r="S9" s="110"/>
      <c r="T9" s="110"/>
      <c r="U9" s="110"/>
      <c r="V9" s="110"/>
      <c r="W9" s="354"/>
    </row>
    <row r="10" spans="2:23">
      <c r="B10" s="25"/>
      <c r="C10" s="67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353"/>
      <c r="S10" s="110"/>
      <c r="T10" s="110"/>
      <c r="U10" s="110"/>
      <c r="V10" s="110"/>
      <c r="W10" s="354"/>
    </row>
    <row r="11" spans="2:23">
      <c r="B11" s="78" t="s">
        <v>65</v>
      </c>
      <c r="C11" s="82" t="s">
        <v>74</v>
      </c>
      <c r="D11" s="108">
        <f>SUM(D7:D10)</f>
        <v>725308.64197530877</v>
      </c>
      <c r="E11" s="108">
        <f>SUM(E7:E10)</f>
        <v>725308.64197530877</v>
      </c>
      <c r="F11" s="108">
        <f t="shared" ref="F11:W11" si="1">SUM(F7:F10)</f>
        <v>725308.64197530877</v>
      </c>
      <c r="G11" s="108">
        <f t="shared" si="1"/>
        <v>725308.64197530877</v>
      </c>
      <c r="H11" s="108">
        <f t="shared" si="1"/>
        <v>725308.64197530877</v>
      </c>
      <c r="I11" s="108">
        <f t="shared" si="1"/>
        <v>725308.64197530877</v>
      </c>
      <c r="J11" s="108">
        <f t="shared" si="1"/>
        <v>725308.64197530877</v>
      </c>
      <c r="K11" s="108">
        <f t="shared" si="1"/>
        <v>725308.64197530877</v>
      </c>
      <c r="L11" s="108">
        <f t="shared" si="1"/>
        <v>725308.64197530877</v>
      </c>
      <c r="M11" s="108">
        <f t="shared" si="1"/>
        <v>725308.64197530877</v>
      </c>
      <c r="N11" s="108">
        <f t="shared" si="1"/>
        <v>725308.64197530877</v>
      </c>
      <c r="O11" s="108">
        <f t="shared" si="1"/>
        <v>725308.64197530877</v>
      </c>
      <c r="P11" s="108">
        <f t="shared" si="1"/>
        <v>725308.64197530877</v>
      </c>
      <c r="Q11" s="108">
        <f t="shared" si="1"/>
        <v>725308.64197530877</v>
      </c>
      <c r="R11" s="108">
        <f t="shared" si="1"/>
        <v>725308.64197530877</v>
      </c>
      <c r="S11" s="327">
        <f t="shared" si="1"/>
        <v>725308.64197530877</v>
      </c>
      <c r="T11" s="327">
        <f t="shared" si="1"/>
        <v>725308.64197530877</v>
      </c>
      <c r="U11" s="327">
        <f t="shared" si="1"/>
        <v>725308.64197530877</v>
      </c>
      <c r="V11" s="327">
        <f t="shared" si="1"/>
        <v>725308.64197530877</v>
      </c>
      <c r="W11" s="89">
        <f t="shared" si="1"/>
        <v>725308.64197530877</v>
      </c>
    </row>
    <row r="12" spans="2:23">
      <c r="B12" s="79" t="s">
        <v>70</v>
      </c>
      <c r="C12" s="82" t="s">
        <v>85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26"/>
      <c r="S12" s="108"/>
      <c r="T12" s="108"/>
      <c r="U12" s="108"/>
      <c r="V12" s="108"/>
      <c r="W12" s="65"/>
    </row>
    <row r="13" spans="2:23">
      <c r="B13" s="78" t="s">
        <v>66</v>
      </c>
      <c r="C13" s="82" t="s">
        <v>86</v>
      </c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23"/>
      <c r="S13" s="111"/>
      <c r="T13" s="111"/>
      <c r="U13" s="111"/>
      <c r="V13" s="111"/>
      <c r="W13" s="107"/>
    </row>
    <row r="14" spans="2:23">
      <c r="B14" s="78" t="s">
        <v>62</v>
      </c>
      <c r="C14" s="67"/>
      <c r="D14" s="93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26"/>
      <c r="S14" s="26"/>
      <c r="T14" s="26"/>
      <c r="U14" s="26"/>
      <c r="V14" s="26"/>
      <c r="W14" s="65"/>
    </row>
    <row r="15" spans="2:23">
      <c r="B15" s="78" t="s">
        <v>84</v>
      </c>
      <c r="C15" s="67"/>
      <c r="D15" s="9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6"/>
      <c r="S15" s="26"/>
      <c r="T15" s="26"/>
      <c r="U15" s="26"/>
      <c r="V15" s="26"/>
      <c r="W15" s="65"/>
    </row>
    <row r="16" spans="2:23">
      <c r="B16" s="484"/>
      <c r="C16" s="485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355"/>
      <c r="S16" s="109"/>
      <c r="T16" s="109"/>
      <c r="U16" s="109"/>
      <c r="V16" s="109"/>
      <c r="W16" s="356"/>
    </row>
    <row r="17" spans="2:23">
      <c r="B17" s="484"/>
      <c r="C17" s="485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353"/>
      <c r="S17" s="110"/>
      <c r="T17" s="110"/>
      <c r="U17" s="110"/>
      <c r="V17" s="110"/>
      <c r="W17" s="354"/>
    </row>
    <row r="18" spans="2:23">
      <c r="B18" s="484"/>
      <c r="C18" s="485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353"/>
      <c r="S18" s="110"/>
      <c r="T18" s="110"/>
      <c r="U18" s="110"/>
      <c r="V18" s="110"/>
      <c r="W18" s="354"/>
    </row>
    <row r="19" spans="2:23">
      <c r="B19" s="25"/>
      <c r="C19" s="67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353"/>
      <c r="S19" s="110"/>
      <c r="T19" s="110"/>
      <c r="U19" s="110"/>
      <c r="V19" s="110"/>
      <c r="W19" s="354"/>
    </row>
    <row r="20" spans="2:23">
      <c r="B20" s="78" t="s">
        <v>65</v>
      </c>
      <c r="C20" s="82" t="s">
        <v>74</v>
      </c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26"/>
      <c r="S20" s="108"/>
      <c r="T20" s="108"/>
      <c r="U20" s="108"/>
      <c r="V20" s="108"/>
      <c r="W20" s="65"/>
    </row>
    <row r="21" spans="2:23">
      <c r="B21" s="79" t="s">
        <v>70</v>
      </c>
      <c r="C21" s="82" t="s">
        <v>85</v>
      </c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26"/>
      <c r="S21" s="108"/>
      <c r="T21" s="108"/>
      <c r="U21" s="108"/>
      <c r="V21" s="108"/>
      <c r="W21" s="65"/>
    </row>
    <row r="22" spans="2:23">
      <c r="B22" s="78" t="s">
        <v>66</v>
      </c>
      <c r="C22" s="82" t="s">
        <v>86</v>
      </c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23"/>
      <c r="S22" s="111"/>
      <c r="T22" s="111"/>
      <c r="U22" s="111"/>
      <c r="V22" s="111"/>
      <c r="W22" s="107"/>
    </row>
    <row r="23" spans="2:23" ht="14.25">
      <c r="B23" s="115" t="s">
        <v>57</v>
      </c>
      <c r="C23" s="116"/>
      <c r="D23" s="128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95"/>
    </row>
    <row r="24" spans="2:23" ht="13.9" customHeight="1">
      <c r="B24" s="79" t="s">
        <v>80</v>
      </c>
      <c r="C24" s="82" t="s">
        <v>88</v>
      </c>
      <c r="D24" s="168">
        <f>Heat.cal!X15</f>
        <v>15</v>
      </c>
      <c r="E24" s="168">
        <f>Heat.cal!X16</f>
        <v>15.38885300793369</v>
      </c>
      <c r="F24" s="168">
        <f>Heat.cal!X17</f>
        <v>15.765291180908438</v>
      </c>
      <c r="G24" s="168">
        <f>Heat.cal!X18</f>
        <v>16.12986425714239</v>
      </c>
      <c r="H24" s="169">
        <f>Heat.cal!X19</f>
        <v>16.482982798375087</v>
      </c>
      <c r="I24" s="168">
        <f>Heat.cal!X20</f>
        <v>16.825091771371586</v>
      </c>
      <c r="J24" s="168">
        <f>Heat.cal!X21</f>
        <v>17.156639304421571</v>
      </c>
      <c r="K24" s="168">
        <f>Heat.cal!X22</f>
        <v>17.478026463967797</v>
      </c>
      <c r="L24" s="168">
        <f>Heat.cal!X23</f>
        <v>17.789612480798997</v>
      </c>
      <c r="M24" s="168">
        <f>Heat.cal!X24</f>
        <v>18.09176382947458</v>
      </c>
      <c r="N24" s="168">
        <f>Heat.cal!X25</f>
        <v>18.384851708514397</v>
      </c>
      <c r="O24" s="168">
        <f>Heat.cal!X26</f>
        <v>21.264112793724781</v>
      </c>
      <c r="P24" s="168">
        <f>Heat.cal!X27</f>
        <v>21.094769897054142</v>
      </c>
      <c r="Q24" s="168">
        <f>Heat.cal!X28</f>
        <v>20.931332482340334</v>
      </c>
      <c r="R24" s="168">
        <f>Heat.cal!X29</f>
        <v>21.142273072208919</v>
      </c>
      <c r="S24" s="168">
        <f>Heat.cal!X30</f>
        <v>21.347339223891716</v>
      </c>
      <c r="T24" s="168">
        <f>Heat.cal!X31</f>
        <v>21.546726973269134</v>
      </c>
      <c r="U24" s="168">
        <f>Heat.cal!X32</f>
        <v>21.740652856288794</v>
      </c>
      <c r="V24" s="168">
        <f>Heat.cal!X33</f>
        <v>21.929267999318562</v>
      </c>
      <c r="W24" s="170">
        <f>Heat.cal!X34</f>
        <v>22.112746078618727</v>
      </c>
    </row>
    <row r="25" spans="2:23" ht="13.9" customHeight="1">
      <c r="B25" s="79"/>
      <c r="C25" s="166" t="s">
        <v>117</v>
      </c>
      <c r="D25" s="129">
        <f>(D24-32)*5/9</f>
        <v>-9.4444444444444446</v>
      </c>
      <c r="E25" s="129">
        <f t="shared" ref="E25:W25" si="2">(E24-32)*5/9</f>
        <v>-9.2284149955923951</v>
      </c>
      <c r="F25" s="129">
        <f t="shared" si="2"/>
        <v>-9.0192826772730896</v>
      </c>
      <c r="G25" s="129">
        <f t="shared" si="2"/>
        <v>-8.8167420793653388</v>
      </c>
      <c r="H25" s="129">
        <f t="shared" si="2"/>
        <v>-8.6205651120138409</v>
      </c>
      <c r="I25" s="129">
        <f t="shared" si="2"/>
        <v>-8.4305045714602294</v>
      </c>
      <c r="J25" s="129">
        <f t="shared" si="2"/>
        <v>-8.2463114975435712</v>
      </c>
      <c r="K25" s="129">
        <f t="shared" si="2"/>
        <v>-8.0677630755734455</v>
      </c>
      <c r="L25" s="129">
        <f t="shared" si="2"/>
        <v>-7.8946597328894468</v>
      </c>
      <c r="M25" s="129">
        <f t="shared" si="2"/>
        <v>-7.7267978725141218</v>
      </c>
      <c r="N25" s="129">
        <f t="shared" si="2"/>
        <v>-7.5639712730475583</v>
      </c>
      <c r="O25" s="129">
        <f t="shared" si="2"/>
        <v>-5.9643817812640112</v>
      </c>
      <c r="P25" s="129">
        <f t="shared" si="2"/>
        <v>-6.0584611683032543</v>
      </c>
      <c r="Q25" s="129">
        <f t="shared" si="2"/>
        <v>-6.1492597320331477</v>
      </c>
      <c r="R25" s="129">
        <f t="shared" si="2"/>
        <v>-6.0320705154394894</v>
      </c>
      <c r="S25" s="129">
        <f t="shared" si="2"/>
        <v>-5.9181448756157131</v>
      </c>
      <c r="T25" s="129">
        <f t="shared" si="2"/>
        <v>-5.8073739037393706</v>
      </c>
      <c r="U25" s="129">
        <f t="shared" si="2"/>
        <v>-5.6996373020617819</v>
      </c>
      <c r="V25" s="129">
        <f t="shared" si="2"/>
        <v>-5.5948511114896879</v>
      </c>
      <c r="W25" s="167">
        <f t="shared" si="2"/>
        <v>-5.4929188452118183</v>
      </c>
    </row>
    <row r="26" spans="2:23" ht="13.9" customHeight="1">
      <c r="B26" s="79"/>
      <c r="C26" s="82" t="s">
        <v>87</v>
      </c>
      <c r="D26" s="168">
        <f>(D24-32)*5/9+273</f>
        <v>263.55555555555554</v>
      </c>
      <c r="E26" s="168">
        <f t="shared" ref="E26:W26" si="3">(E24-32)*5/9+273</f>
        <v>263.7715850044076</v>
      </c>
      <c r="F26" s="168">
        <f t="shared" si="3"/>
        <v>263.98071732272689</v>
      </c>
      <c r="G26" s="168">
        <f t="shared" si="3"/>
        <v>264.18325792063467</v>
      </c>
      <c r="H26" s="168">
        <f t="shared" si="3"/>
        <v>264.37943488798618</v>
      </c>
      <c r="I26" s="168">
        <f t="shared" si="3"/>
        <v>264.56949542853977</v>
      </c>
      <c r="J26" s="168">
        <f t="shared" si="3"/>
        <v>264.75368850245644</v>
      </c>
      <c r="K26" s="168">
        <f t="shared" si="3"/>
        <v>264.93223692442655</v>
      </c>
      <c r="L26" s="168">
        <f t="shared" si="3"/>
        <v>265.10534026711053</v>
      </c>
      <c r="M26" s="168">
        <f t="shared" si="3"/>
        <v>265.27320212748589</v>
      </c>
      <c r="N26" s="168">
        <f t="shared" si="3"/>
        <v>265.43602872695243</v>
      </c>
      <c r="O26" s="168">
        <f t="shared" si="3"/>
        <v>267.03561821873598</v>
      </c>
      <c r="P26" s="168">
        <f t="shared" si="3"/>
        <v>266.94153883169673</v>
      </c>
      <c r="Q26" s="168">
        <f t="shared" si="3"/>
        <v>266.85074026796684</v>
      </c>
      <c r="R26" s="168">
        <f t="shared" si="3"/>
        <v>266.9679294845605</v>
      </c>
      <c r="S26" s="168">
        <f t="shared" si="3"/>
        <v>267.08185512438428</v>
      </c>
      <c r="T26" s="168">
        <f t="shared" si="3"/>
        <v>267.19262609626065</v>
      </c>
      <c r="U26" s="168">
        <f t="shared" si="3"/>
        <v>267.30036269793823</v>
      </c>
      <c r="V26" s="168">
        <f t="shared" si="3"/>
        <v>267.40514888851033</v>
      </c>
      <c r="W26" s="171">
        <f t="shared" si="3"/>
        <v>267.50708115478818</v>
      </c>
    </row>
    <row r="27" spans="2:23">
      <c r="B27" s="79" t="s">
        <v>63</v>
      </c>
      <c r="C27" s="67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26"/>
      <c r="S27" s="108"/>
      <c r="T27" s="108"/>
      <c r="U27" s="108"/>
      <c r="V27" s="108"/>
      <c r="W27" s="65"/>
    </row>
    <row r="28" spans="2:23">
      <c r="B28" s="79" t="s">
        <v>64</v>
      </c>
      <c r="C28" s="104" t="s">
        <v>91</v>
      </c>
      <c r="D28" s="108">
        <f>EXP(VisL($B$7,D26))*0.8+EXP(VisL($B$8,D26))*0.2</f>
        <v>0.15404350128390079</v>
      </c>
      <c r="E28" s="108">
        <f t="shared" ref="E28:W28" si="4">EXP(VisL($B$7,E26))*0.8+EXP(VisL($B$8,E26))*0.2</f>
        <v>0.15369491658892928</v>
      </c>
      <c r="F28" s="108">
        <f t="shared" si="4"/>
        <v>0.15335828123023157</v>
      </c>
      <c r="G28" s="108">
        <f t="shared" si="4"/>
        <v>0.15303302289283521</v>
      </c>
      <c r="H28" s="108">
        <f t="shared" si="4"/>
        <v>0.15271872338689513</v>
      </c>
      <c r="I28" s="108">
        <f t="shared" si="4"/>
        <v>0.15241487293610784</v>
      </c>
      <c r="J28" s="108">
        <f t="shared" si="4"/>
        <v>0.15212101678089845</v>
      </c>
      <c r="K28" s="108">
        <f t="shared" si="4"/>
        <v>0.1518367543155156</v>
      </c>
      <c r="L28" s="108">
        <f t="shared" si="4"/>
        <v>0.15156173829580488</v>
      </c>
      <c r="M28" s="108">
        <f t="shared" si="4"/>
        <v>0.1512955774180231</v>
      </c>
      <c r="N28" s="108">
        <f t="shared" si="4"/>
        <v>0.15103783654156033</v>
      </c>
      <c r="O28" s="108">
        <f t="shared" si="4"/>
        <v>0.14853109906877826</v>
      </c>
      <c r="P28" s="108">
        <f t="shared" si="4"/>
        <v>0.14867729797975915</v>
      </c>
      <c r="Q28" s="108">
        <f t="shared" si="4"/>
        <v>0.1488185217199694</v>
      </c>
      <c r="R28" s="108">
        <f t="shared" si="4"/>
        <v>0.14863626326070209</v>
      </c>
      <c r="S28" s="108">
        <f t="shared" si="4"/>
        <v>0.14845931273815383</v>
      </c>
      <c r="T28" s="108">
        <f t="shared" si="4"/>
        <v>0.1482874610207788</v>
      </c>
      <c r="U28" s="108">
        <f t="shared" si="4"/>
        <v>0.14812054777699887</v>
      </c>
      <c r="V28" s="108">
        <f t="shared" si="4"/>
        <v>0.14795836672250717</v>
      </c>
      <c r="W28" s="89">
        <f t="shared" si="4"/>
        <v>0.14780080727306383</v>
      </c>
    </row>
    <row r="29" spans="2:23">
      <c r="B29" s="79" t="s">
        <v>69</v>
      </c>
      <c r="C29" s="67"/>
      <c r="D29" s="118">
        <f>cpl($B$7,D26)*0.8+cpl($B$8,D26)*0.2</f>
        <v>0.57799257199762877</v>
      </c>
      <c r="E29" s="118">
        <f t="shared" ref="E29:W29" si="5">cpl($B$7,E26)*0.8+cpl($B$8,E26)*0.2</f>
        <v>0.57838270254134494</v>
      </c>
      <c r="F29" s="118">
        <f t="shared" si="5"/>
        <v>0.57876123919308486</v>
      </c>
      <c r="G29" s="118">
        <f t="shared" si="5"/>
        <v>0.57912865388108392</v>
      </c>
      <c r="H29" s="118">
        <f t="shared" si="5"/>
        <v>0.5794852590349403</v>
      </c>
      <c r="I29" s="118">
        <f t="shared" si="5"/>
        <v>0.57983148379328409</v>
      </c>
      <c r="J29" s="118">
        <f t="shared" si="5"/>
        <v>0.58016770760228864</v>
      </c>
      <c r="K29" s="118">
        <f t="shared" si="5"/>
        <v>0.58049425939910471</v>
      </c>
      <c r="L29" s="118">
        <f t="shared" si="5"/>
        <v>0.58081141685184123</v>
      </c>
      <c r="M29" s="118">
        <f t="shared" si="5"/>
        <v>0.5811195177897106</v>
      </c>
      <c r="N29" s="118">
        <f t="shared" si="5"/>
        <v>0.58141896052185249</v>
      </c>
      <c r="O29" s="118">
        <f t="shared" si="5"/>
        <v>0.58438820347705844</v>
      </c>
      <c r="P29" s="118">
        <f t="shared" si="5"/>
        <v>0.58421214924766507</v>
      </c>
      <c r="Q29" s="118">
        <f t="shared" si="5"/>
        <v>0.5840424296859591</v>
      </c>
      <c r="R29" s="118">
        <f t="shared" si="5"/>
        <v>0.58426152711566204</v>
      </c>
      <c r="S29" s="118">
        <f t="shared" si="5"/>
        <v>0.58447478203939252</v>
      </c>
      <c r="T29" s="118">
        <f t="shared" si="5"/>
        <v>0.58468240137005667</v>
      </c>
      <c r="U29" s="118">
        <f t="shared" si="5"/>
        <v>0.58488453637015092</v>
      </c>
      <c r="V29" s="118">
        <f t="shared" si="5"/>
        <v>0.58508139697990458</v>
      </c>
      <c r="W29" s="142">
        <f t="shared" si="5"/>
        <v>0.5852730798146667</v>
      </c>
    </row>
    <row r="30" spans="2:23">
      <c r="B30" s="79" t="s">
        <v>68</v>
      </c>
      <c r="C30" s="67"/>
      <c r="D30" s="118">
        <f>THL($B$7,D26)*0.8+THL($B$8,D26)*0.2</f>
        <v>6.7186296520118732E-2</v>
      </c>
      <c r="E30" s="118">
        <f t="shared" ref="E30:W30" si="6">THL($B$7,E26)*0.8+THL($B$8,E26)*0.2</f>
        <v>6.7117609849467741E-2</v>
      </c>
      <c r="F30" s="118">
        <f t="shared" si="6"/>
        <v>6.7051117947243527E-2</v>
      </c>
      <c r="G30" s="118">
        <f t="shared" si="6"/>
        <v>6.698672360361374E-2</v>
      </c>
      <c r="H30" s="118">
        <f t="shared" si="6"/>
        <v>6.6924358731243375E-2</v>
      </c>
      <c r="I30" s="118">
        <f t="shared" si="6"/>
        <v>6.6863935852235934E-2</v>
      </c>
      <c r="J30" s="118">
        <f t="shared" si="6"/>
        <v>6.6805377204279509E-2</v>
      </c>
      <c r="K30" s="118">
        <f t="shared" si="6"/>
        <v>6.6748614738741996E-2</v>
      </c>
      <c r="L30" s="118">
        <f t="shared" si="6"/>
        <v>6.6693590118908894E-2</v>
      </c>
      <c r="M30" s="118">
        <f t="shared" si="6"/>
        <v>6.6640235316827542E-2</v>
      </c>
      <c r="N30" s="118">
        <f t="shared" si="6"/>
        <v>6.6588472613932692E-2</v>
      </c>
      <c r="O30" s="118">
        <f t="shared" si="6"/>
        <v>6.6080073097942449E-2</v>
      </c>
      <c r="P30" s="118">
        <f t="shared" si="6"/>
        <v>6.6109973640662317E-2</v>
      </c>
      <c r="Q30" s="118">
        <f t="shared" si="6"/>
        <v>6.6138827101402786E-2</v>
      </c>
      <c r="R30" s="118">
        <f t="shared" si="6"/>
        <v>6.6101584381156778E-2</v>
      </c>
      <c r="S30" s="118">
        <f t="shared" si="6"/>
        <v>6.6065379975892791E-2</v>
      </c>
      <c r="T30" s="118">
        <f t="shared" si="6"/>
        <v>6.6030175044738265E-2</v>
      </c>
      <c r="U30" s="118">
        <f t="shared" si="6"/>
        <v>6.5995940448576762E-2</v>
      </c>
      <c r="V30" s="118">
        <f t="shared" si="6"/>
        <v>6.596263735324237E-2</v>
      </c>
      <c r="W30" s="142">
        <f t="shared" si="6"/>
        <v>6.5930246323602254E-2</v>
      </c>
    </row>
    <row r="31" spans="2:23">
      <c r="B31" s="79" t="s">
        <v>67</v>
      </c>
      <c r="C31" s="67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26"/>
      <c r="S31" s="108"/>
      <c r="T31" s="108"/>
      <c r="U31" s="108"/>
      <c r="V31" s="108"/>
      <c r="W31" s="65"/>
    </row>
    <row r="32" spans="2:23">
      <c r="B32" s="79" t="s">
        <v>64</v>
      </c>
      <c r="C32" s="67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26"/>
      <c r="S32" s="108"/>
      <c r="T32" s="108"/>
      <c r="U32" s="108"/>
      <c r="V32" s="108"/>
      <c r="W32" s="65"/>
    </row>
    <row r="33" spans="2:23">
      <c r="B33" s="79" t="s">
        <v>69</v>
      </c>
      <c r="C33" s="67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26"/>
      <c r="S33" s="108"/>
      <c r="T33" s="108"/>
      <c r="U33" s="108"/>
      <c r="V33" s="108"/>
      <c r="W33" s="65"/>
    </row>
    <row r="34" spans="2:23">
      <c r="B34" s="79" t="s">
        <v>68</v>
      </c>
      <c r="C34" s="67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26"/>
      <c r="S34" s="108"/>
      <c r="T34" s="108"/>
      <c r="U34" s="108"/>
      <c r="V34" s="108"/>
      <c r="W34" s="65"/>
    </row>
    <row r="35" spans="2:23">
      <c r="B35" s="79" t="s">
        <v>71</v>
      </c>
      <c r="C35" s="67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26"/>
      <c r="S35" s="108"/>
      <c r="T35" s="108"/>
      <c r="U35" s="108"/>
      <c r="V35" s="108"/>
      <c r="W35" s="65"/>
    </row>
    <row r="36" spans="2:23">
      <c r="B36" s="79" t="s">
        <v>64</v>
      </c>
      <c r="C36" s="67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26"/>
      <c r="S36" s="108"/>
      <c r="T36" s="108"/>
      <c r="U36" s="108"/>
      <c r="V36" s="108"/>
      <c r="W36" s="65"/>
    </row>
    <row r="37" spans="2:23">
      <c r="B37" s="79" t="s">
        <v>69</v>
      </c>
      <c r="C37" s="67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26"/>
      <c r="S37" s="108"/>
      <c r="T37" s="108"/>
      <c r="U37" s="108"/>
      <c r="V37" s="108"/>
      <c r="W37" s="65"/>
    </row>
    <row r="38" spans="2:23">
      <c r="B38" s="79" t="s">
        <v>68</v>
      </c>
      <c r="C38" s="67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26"/>
      <c r="S38" s="108"/>
      <c r="T38" s="108"/>
      <c r="U38" s="108"/>
      <c r="V38" s="108"/>
      <c r="W38" s="65"/>
    </row>
    <row r="39" spans="2:23">
      <c r="B39" s="79" t="s">
        <v>70</v>
      </c>
      <c r="C39" s="67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26"/>
      <c r="S39" s="108"/>
      <c r="T39" s="108"/>
      <c r="U39" s="108"/>
      <c r="V39" s="108"/>
      <c r="W39" s="65"/>
    </row>
    <row r="40" spans="2:23" ht="14.25">
      <c r="B40" s="115" t="s">
        <v>56</v>
      </c>
      <c r="C40" s="116"/>
      <c r="D40" s="128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95"/>
    </row>
    <row r="41" spans="2:23">
      <c r="B41" s="79" t="s">
        <v>60</v>
      </c>
      <c r="C41" s="67"/>
      <c r="D41" s="108">
        <f>6.32*D11/D28/Heat.cal!C61</f>
        <v>2615818.2590963789</v>
      </c>
      <c r="E41" s="108">
        <f>6.31*E11/E28/(Heat.cal!D61)</f>
        <v>2617602.6733975159</v>
      </c>
      <c r="F41" s="108">
        <f>6.31*F11/F28/(Heat.cal!E61)</f>
        <v>2623348.5490543013</v>
      </c>
      <c r="G41" s="108">
        <f>6.31*G11/G28/(Heat.cal!F61)</f>
        <v>2628924.2474973365</v>
      </c>
      <c r="H41" s="108">
        <f>6.31*H11/H28/(Heat.cal!G61)</f>
        <v>2634334.6488798121</v>
      </c>
      <c r="I41" s="108">
        <f>6.31*I11/I28/(Heat.cal!H61)</f>
        <v>2639586.3920671204</v>
      </c>
      <c r="J41" s="108">
        <f>6.31*J11/J28/(Heat.cal!I61)</f>
        <v>2644685.3502842686</v>
      </c>
      <c r="K41" s="108">
        <f>6.31*K11/K28/(Heat.cal!J61)</f>
        <v>2649636.6203586506</v>
      </c>
      <c r="L41" s="108">
        <f>6.31*L11/L28/(Heat.cal!K61)</f>
        <v>2654444.5126750385</v>
      </c>
      <c r="M41" s="108">
        <f>6.31*M11/M28/(Heat.cal!L61)</f>
        <v>2659114.2412525276</v>
      </c>
      <c r="N41" s="108" t="e">
        <f>6.31*N11/N28/(Heat.cal!M61)</f>
        <v>#VALUE!</v>
      </c>
      <c r="O41" s="108">
        <f>6.31*O11/O28/(Heat.cal!N61)</f>
        <v>2708605.9894062742</v>
      </c>
      <c r="P41" s="108">
        <f>6.31*P11/P28/(Heat.cal!O61)</f>
        <v>2705942.5347208022</v>
      </c>
      <c r="Q41" s="108">
        <f>6.31*Q11/Q28/(Heat.cal!P61)</f>
        <v>2703374.6868405072</v>
      </c>
      <c r="R41" s="108">
        <f>6.31*R11/R28/(Heat.cal!Q61)</f>
        <v>2706689.577126612</v>
      </c>
      <c r="S41" s="108">
        <f>6.31*S11/S28/(Heat.cal!R61)</f>
        <v>2709915.7144851568</v>
      </c>
      <c r="T41" s="108">
        <f>6.31*T11/T28/(Heat.cal!S61)</f>
        <v>2713056.2610038584</v>
      </c>
      <c r="U41" s="108">
        <f>6.31*U11/U28/(Heat.cal!T61)</f>
        <v>2716113.5344738658</v>
      </c>
      <c r="V41" s="108">
        <f>6.31*V11/V28/(Heat.cal!U61)</f>
        <v>2719090.7379054655</v>
      </c>
      <c r="W41" s="89">
        <f>6.31*W11/W28/(Heat.cal!V61)</f>
        <v>2721989.3583362685</v>
      </c>
    </row>
    <row r="42" spans="2:23" ht="13.5" thickBot="1">
      <c r="B42" s="80" t="s">
        <v>61</v>
      </c>
      <c r="C42" s="68"/>
      <c r="D42" s="112">
        <f>D29*D28*2.42/D30</f>
        <v>3.2070099107405854</v>
      </c>
      <c r="E42" s="112">
        <f>E29*E28*2.42/E30</f>
        <v>3.2051892944866101</v>
      </c>
      <c r="F42" s="112">
        <f t="shared" ref="F42:W42" si="7">F29*F28*2.42/F30</f>
        <v>3.2034357140995264</v>
      </c>
      <c r="G42" s="112">
        <f t="shared" si="7"/>
        <v>3.2017457362677932</v>
      </c>
      <c r="H42" s="112">
        <f t="shared" si="7"/>
        <v>3.2001167675718216</v>
      </c>
      <c r="I42" s="112">
        <f t="shared" si="7"/>
        <v>3.1985457741414463</v>
      </c>
      <c r="J42" s="112">
        <f t="shared" si="7"/>
        <v>3.19703004115908</v>
      </c>
      <c r="K42" s="112">
        <f t="shared" si="7"/>
        <v>3.1955671636042817</v>
      </c>
      <c r="L42" s="112">
        <f t="shared" si="7"/>
        <v>3.1941550377429588</v>
      </c>
      <c r="M42" s="112">
        <f t="shared" si="7"/>
        <v>3.1927913584218168</v>
      </c>
      <c r="N42" s="112">
        <f t="shared" si="7"/>
        <v>3.1914736215991204</v>
      </c>
      <c r="O42" s="112">
        <f t="shared" si="7"/>
        <v>3.1788035294729302</v>
      </c>
      <c r="P42" s="112">
        <f t="shared" si="7"/>
        <v>3.1795351172197721</v>
      </c>
      <c r="Q42" s="112">
        <f t="shared" si="7"/>
        <v>3.1802426843148464</v>
      </c>
      <c r="R42" s="112">
        <f t="shared" si="7"/>
        <v>3.1793296839791059</v>
      </c>
      <c r="S42" s="112">
        <f t="shared" si="7"/>
        <v>3.1784446446255443</v>
      </c>
      <c r="T42" s="112">
        <f t="shared" si="7"/>
        <v>3.1775864044032676</v>
      </c>
      <c r="U42" s="112">
        <f t="shared" si="7"/>
        <v>3.1767540537419947</v>
      </c>
      <c r="V42" s="112">
        <f t="shared" si="7"/>
        <v>3.1759464617605477</v>
      </c>
      <c r="W42" s="90">
        <f t="shared" si="7"/>
        <v>3.1751629814678113</v>
      </c>
    </row>
    <row r="48" spans="2:23" ht="15.75" thickBot="1">
      <c r="B48" s="59" t="s">
        <v>72</v>
      </c>
      <c r="F48" t="s">
        <v>76</v>
      </c>
    </row>
    <row r="49" spans="2:14" ht="14.25">
      <c r="B49" s="61" t="s">
        <v>48</v>
      </c>
      <c r="C49" s="72"/>
      <c r="D49" s="77" t="s">
        <v>73</v>
      </c>
      <c r="F49" s="85" t="s">
        <v>48</v>
      </c>
      <c r="G49" s="86"/>
      <c r="H49" s="92" t="s">
        <v>77</v>
      </c>
      <c r="I49" s="91" t="s">
        <v>75</v>
      </c>
      <c r="N49" s="141"/>
    </row>
    <row r="50" spans="2:14">
      <c r="B50" s="25" t="s">
        <v>44</v>
      </c>
      <c r="C50" s="26"/>
      <c r="D50" s="65">
        <v>44</v>
      </c>
      <c r="F50" s="25" t="s">
        <v>44</v>
      </c>
      <c r="G50" s="26"/>
      <c r="H50" s="87"/>
      <c r="I50" s="88">
        <f>H50*D50</f>
        <v>0</v>
      </c>
      <c r="M50" s="141"/>
      <c r="N50" s="141"/>
    </row>
    <row r="51" spans="2:14">
      <c r="B51" s="25" t="s">
        <v>46</v>
      </c>
      <c r="C51" s="26"/>
      <c r="D51" s="65">
        <v>58</v>
      </c>
      <c r="F51" s="25" t="s">
        <v>46</v>
      </c>
      <c r="G51" s="26"/>
      <c r="H51" s="83"/>
      <c r="I51" s="89">
        <f t="shared" ref="I51:I52" si="8">H51*D51</f>
        <v>0</v>
      </c>
    </row>
    <row r="52" spans="2:14">
      <c r="B52" s="25" t="s">
        <v>45</v>
      </c>
      <c r="C52" s="26"/>
      <c r="D52" s="65">
        <v>58</v>
      </c>
      <c r="F52" s="25" t="s">
        <v>45</v>
      </c>
      <c r="G52" s="26"/>
      <c r="H52" s="83"/>
      <c r="I52" s="89">
        <f t="shared" si="8"/>
        <v>0</v>
      </c>
    </row>
    <row r="53" spans="2:14" ht="13.5" thickBot="1">
      <c r="B53" s="73"/>
      <c r="C53" s="74"/>
      <c r="D53" s="75"/>
      <c r="F53" s="73"/>
      <c r="G53" s="74"/>
      <c r="H53" s="68"/>
      <c r="I53" s="90"/>
    </row>
  </sheetData>
  <mergeCells count="6">
    <mergeCell ref="B18:C18"/>
    <mergeCell ref="B7:C7"/>
    <mergeCell ref="B8:C8"/>
    <mergeCell ref="B9:C9"/>
    <mergeCell ref="B16:C16"/>
    <mergeCell ref="B17:C17"/>
  </mergeCells>
  <phoneticPr fontId="1" type="noConversion"/>
  <dataValidations disablePrompts="1" count="1">
    <dataValidation type="list" allowBlank="1" showInputMessage="1" showErrorMessage="1" sqref="B7:C9 B16:C18">
      <formula1>$B$50:$B$52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4:X28"/>
  <sheetViews>
    <sheetView workbookViewId="0">
      <selection activeCell="F37" sqref="E37:F37"/>
    </sheetView>
  </sheetViews>
  <sheetFormatPr defaultRowHeight="12.75"/>
  <cols>
    <col min="1" max="1" width="2.7109375" customWidth="1"/>
    <col min="2" max="2" width="12.7109375" customWidth="1"/>
    <col min="8" max="8" width="16.7109375" customWidth="1"/>
    <col min="9" max="9" width="10.7109375" customWidth="1"/>
    <col min="10" max="10" width="12.7109375" customWidth="1"/>
    <col min="15" max="15" width="9.7109375" bestFit="1" customWidth="1"/>
    <col min="16" max="16" width="16.7109375" customWidth="1"/>
    <col min="17" max="17" width="10.7109375" customWidth="1"/>
    <col min="18" max="18" width="12.7109375" customWidth="1"/>
    <col min="23" max="23" width="9.7109375" bestFit="1" customWidth="1"/>
    <col min="24" max="24" width="16.7109375" customWidth="1"/>
  </cols>
  <sheetData>
    <row r="4" spans="2:24" ht="18.75">
      <c r="B4" s="117" t="s">
        <v>90</v>
      </c>
    </row>
    <row r="5" spans="2:24" ht="15.75" thickBot="1">
      <c r="B5" s="59" t="s">
        <v>89</v>
      </c>
      <c r="D5" s="57" t="s">
        <v>131</v>
      </c>
      <c r="J5" s="59" t="s">
        <v>47</v>
      </c>
      <c r="L5" t="s">
        <v>54</v>
      </c>
      <c r="R5" s="59" t="s">
        <v>59</v>
      </c>
      <c r="T5" t="s">
        <v>53</v>
      </c>
    </row>
    <row r="6" spans="2:24" ht="14.25">
      <c r="B6" s="61" t="s">
        <v>48</v>
      </c>
      <c r="C6" s="66"/>
      <c r="D6" s="62" t="s">
        <v>49</v>
      </c>
      <c r="E6" s="153" t="s">
        <v>50</v>
      </c>
      <c r="F6" s="153" t="s">
        <v>51</v>
      </c>
      <c r="G6" s="62" t="s">
        <v>52</v>
      </c>
      <c r="H6" s="152" t="s">
        <v>112</v>
      </c>
      <c r="I6" s="60"/>
      <c r="J6" s="61" t="s">
        <v>48</v>
      </c>
      <c r="K6" s="178" t="s">
        <v>132</v>
      </c>
      <c r="L6" s="62" t="s">
        <v>49</v>
      </c>
      <c r="M6" s="153" t="s">
        <v>50</v>
      </c>
      <c r="N6" s="153" t="s">
        <v>51</v>
      </c>
      <c r="O6" s="153" t="s">
        <v>52</v>
      </c>
      <c r="P6" s="156" t="s">
        <v>113</v>
      </c>
      <c r="R6" s="61" t="s">
        <v>48</v>
      </c>
      <c r="S6" s="66"/>
      <c r="T6" s="62" t="s">
        <v>49</v>
      </c>
      <c r="U6" s="62" t="s">
        <v>50</v>
      </c>
      <c r="V6" s="62" t="s">
        <v>51</v>
      </c>
      <c r="W6" s="62" t="s">
        <v>52</v>
      </c>
      <c r="X6" s="152" t="s">
        <v>113</v>
      </c>
    </row>
    <row r="7" spans="2:24">
      <c r="B7" s="25" t="s">
        <v>44</v>
      </c>
      <c r="C7" s="67"/>
      <c r="D7" s="63">
        <v>-7.7640000000000002</v>
      </c>
      <c r="E7" s="174">
        <v>721.9</v>
      </c>
      <c r="F7" s="175">
        <v>2.3810000000000001E-2</v>
      </c>
      <c r="G7" s="119">
        <v>-4.6650000000000002E-5</v>
      </c>
      <c r="H7" s="160" t="s">
        <v>115</v>
      </c>
      <c r="J7" s="25" t="s">
        <v>44</v>
      </c>
      <c r="K7" s="108">
        <v>44</v>
      </c>
      <c r="L7" s="63">
        <v>61.364199999999997</v>
      </c>
      <c r="M7" s="157">
        <v>0.43025049999999998</v>
      </c>
      <c r="N7" s="157">
        <v>-2.4648999999999999E-3</v>
      </c>
      <c r="O7" s="158">
        <v>5.5644749999999998E-6</v>
      </c>
      <c r="P7" s="155" t="s">
        <v>114</v>
      </c>
      <c r="R7" s="25" t="s">
        <v>44</v>
      </c>
      <c r="S7" s="67"/>
      <c r="T7" s="57">
        <v>0.2611</v>
      </c>
      <c r="U7" s="57">
        <v>-5.3089999999999995E-4</v>
      </c>
      <c r="V7" s="58">
        <v>-8.8759999999999995E-8</v>
      </c>
      <c r="W7" s="69"/>
      <c r="X7" s="159" t="s">
        <v>116</v>
      </c>
    </row>
    <row r="8" spans="2:24">
      <c r="B8" s="25" t="s">
        <v>46</v>
      </c>
      <c r="C8" s="67"/>
      <c r="D8" s="121">
        <f>-3.821</f>
        <v>-3.8210000000000002</v>
      </c>
      <c r="E8" s="154">
        <f>612.1</f>
        <v>612.1</v>
      </c>
      <c r="F8" s="108">
        <v>0</v>
      </c>
      <c r="G8" s="26">
        <v>0</v>
      </c>
      <c r="H8" s="89"/>
      <c r="J8" s="25" t="s">
        <v>46</v>
      </c>
      <c r="K8" s="108">
        <v>58</v>
      </c>
      <c r="L8">
        <v>-49.06</v>
      </c>
      <c r="M8" s="108">
        <v>1.3080000000000001</v>
      </c>
      <c r="N8" s="108">
        <v>-4.0000000000000001E-3</v>
      </c>
      <c r="O8" s="173">
        <v>6.9999999999999999E-6</v>
      </c>
      <c r="P8" s="65"/>
      <c r="R8" s="25" t="s">
        <v>46</v>
      </c>
      <c r="S8" s="67"/>
      <c r="T8">
        <v>0.27900000000000003</v>
      </c>
      <c r="U8">
        <v>-7.6840000000000003E-4</v>
      </c>
      <c r="V8" s="173">
        <v>6.9999999999999997E-7</v>
      </c>
      <c r="W8">
        <v>-2.0000000000000001E-10</v>
      </c>
      <c r="X8" s="89"/>
    </row>
    <row r="9" spans="2:24">
      <c r="B9" s="25" t="s">
        <v>45</v>
      </c>
      <c r="C9" s="67"/>
      <c r="D9" s="26" t="e">
        <f>NA()</f>
        <v>#N/A</v>
      </c>
      <c r="E9" s="108" t="e">
        <f>NA()</f>
        <v>#N/A</v>
      </c>
      <c r="F9" s="108" t="e">
        <f>NA()</f>
        <v>#N/A</v>
      </c>
      <c r="G9" s="26" t="e">
        <f>NA()</f>
        <v>#N/A</v>
      </c>
      <c r="H9" s="89"/>
      <c r="J9" s="25" t="s">
        <v>45</v>
      </c>
      <c r="K9" s="108"/>
      <c r="L9" s="26" t="e">
        <f>NA()</f>
        <v>#N/A</v>
      </c>
      <c r="M9" s="108" t="e">
        <f>NA()</f>
        <v>#N/A</v>
      </c>
      <c r="N9" s="108" t="e">
        <f>NA()</f>
        <v>#N/A</v>
      </c>
      <c r="O9" s="108" t="e">
        <f>NA()</f>
        <v>#N/A</v>
      </c>
      <c r="P9" s="65"/>
      <c r="R9" s="25" t="s">
        <v>45</v>
      </c>
      <c r="S9" s="67"/>
      <c r="T9" s="26" t="e">
        <f>NA()</f>
        <v>#N/A</v>
      </c>
      <c r="U9" s="26" t="e">
        <f>NA()</f>
        <v>#N/A</v>
      </c>
      <c r="V9" s="26" t="e">
        <f>NA()</f>
        <v>#N/A</v>
      </c>
      <c r="W9" s="26"/>
      <c r="X9" s="89"/>
    </row>
    <row r="10" spans="2:24" ht="13.5" thickBot="1">
      <c r="B10" s="45"/>
      <c r="C10" s="68"/>
      <c r="D10" s="46"/>
      <c r="E10" s="112"/>
      <c r="F10" s="112"/>
      <c r="G10" s="149"/>
      <c r="H10" s="90"/>
      <c r="J10" s="45"/>
      <c r="K10" s="112"/>
      <c r="L10" s="46"/>
      <c r="M10" s="112"/>
      <c r="N10" s="112"/>
      <c r="O10" s="112"/>
      <c r="P10" s="150"/>
      <c r="R10" s="45"/>
      <c r="S10" s="68"/>
      <c r="T10" s="46"/>
      <c r="U10" s="46"/>
      <c r="V10" s="46"/>
      <c r="W10" s="149"/>
      <c r="X10" s="90"/>
    </row>
    <row r="12" spans="2:24">
      <c r="S12">
        <v>263</v>
      </c>
      <c r="T12" s="176">
        <f>T8+U8*S12+V8*S12^2+W8*S12^3</f>
        <v>0.12169081060000003</v>
      </c>
      <c r="U12">
        <f>T12/1.731</f>
        <v>7.0300872674754489E-2</v>
      </c>
    </row>
    <row r="15" spans="2:24" ht="18.75">
      <c r="B15" s="117" t="s">
        <v>94</v>
      </c>
    </row>
    <row r="16" spans="2:24" ht="15.75" thickBot="1">
      <c r="B16" s="59" t="s">
        <v>98</v>
      </c>
      <c r="D16" s="57" t="s">
        <v>99</v>
      </c>
      <c r="J16" s="59" t="s">
        <v>47</v>
      </c>
      <c r="L16" t="s">
        <v>54</v>
      </c>
      <c r="R16" s="59" t="s">
        <v>59</v>
      </c>
      <c r="T16" t="s">
        <v>97</v>
      </c>
    </row>
    <row r="17" spans="2:24" ht="14.25">
      <c r="B17" s="61" t="s">
        <v>48</v>
      </c>
      <c r="C17" s="66"/>
      <c r="D17" s="62" t="s">
        <v>49</v>
      </c>
      <c r="E17" s="62" t="s">
        <v>50</v>
      </c>
      <c r="F17" s="62" t="s">
        <v>51</v>
      </c>
      <c r="G17" s="62" t="s">
        <v>52</v>
      </c>
      <c r="H17" s="156" t="s">
        <v>113</v>
      </c>
      <c r="I17" s="151"/>
      <c r="J17" s="61" t="s">
        <v>48</v>
      </c>
      <c r="K17" s="161" t="s">
        <v>49</v>
      </c>
      <c r="L17" s="62" t="s">
        <v>50</v>
      </c>
      <c r="M17" s="62" t="s">
        <v>51</v>
      </c>
      <c r="N17" s="62" t="s">
        <v>52</v>
      </c>
      <c r="O17" s="164" t="s">
        <v>95</v>
      </c>
      <c r="P17" s="156" t="s">
        <v>113</v>
      </c>
      <c r="Q17" s="151"/>
      <c r="R17" s="61" t="s">
        <v>48</v>
      </c>
      <c r="S17" s="66"/>
      <c r="T17" s="62" t="s">
        <v>49</v>
      </c>
      <c r="U17" s="62" t="s">
        <v>50</v>
      </c>
      <c r="V17" s="62" t="s">
        <v>51</v>
      </c>
      <c r="W17" s="62" t="s">
        <v>52</v>
      </c>
      <c r="X17" s="152" t="s">
        <v>113</v>
      </c>
    </row>
    <row r="18" spans="2:24">
      <c r="B18" s="25" t="s">
        <v>44</v>
      </c>
      <c r="C18" s="67"/>
      <c r="D18" s="63">
        <v>4.9120000000000001E-4</v>
      </c>
      <c r="E18" s="64">
        <f>0.08379912</f>
        <v>8.3799120000000005E-2</v>
      </c>
      <c r="F18" s="63">
        <f>0.0003255759</f>
        <v>3.2557590000000002E-4</v>
      </c>
      <c r="G18" s="119">
        <f>-0.0000003957572</f>
        <v>-3.957572E-7</v>
      </c>
      <c r="H18" s="155"/>
      <c r="I18" s="26"/>
      <c r="J18" s="25" t="s">
        <v>44</v>
      </c>
      <c r="K18" s="162">
        <f>29.5952</f>
        <v>29.595199999999998</v>
      </c>
      <c r="L18" s="69">
        <f>0.08379912</f>
        <v>8.3799120000000005E-2</v>
      </c>
      <c r="M18" s="69">
        <f>0.0003255759</f>
        <v>3.2557590000000002E-4</v>
      </c>
      <c r="N18" s="119">
        <f>-0.0000003957572</f>
        <v>-3.957572E-7</v>
      </c>
      <c r="O18" s="67">
        <f>0.0000000001312889</f>
        <v>1.312889E-10</v>
      </c>
      <c r="P18" s="155"/>
      <c r="Q18" s="26"/>
      <c r="R18" s="25" t="s">
        <v>44</v>
      </c>
      <c r="S18" s="67"/>
      <c r="T18" s="57">
        <f xml:space="preserve"> 0.001858</f>
        <v>1.8580000000000001E-3</v>
      </c>
      <c r="U18" s="57">
        <f>-0.000004698</f>
        <v>-4.6979999999999997E-6</v>
      </c>
      <c r="V18" s="58">
        <f>0.0000002177</f>
        <v>2.177E-7</v>
      </c>
      <c r="W18" s="119">
        <f>-0.00000000008409001</f>
        <v>-8.4090009999999997E-11</v>
      </c>
      <c r="X18" s="159"/>
    </row>
    <row r="19" spans="2:24">
      <c r="B19" s="25"/>
      <c r="C19" s="67"/>
      <c r="D19" s="63"/>
      <c r="E19" s="64"/>
      <c r="F19" s="63"/>
      <c r="G19" s="119"/>
      <c r="H19" s="155"/>
      <c r="I19" s="26"/>
      <c r="J19" s="25"/>
      <c r="K19" s="93"/>
      <c r="M19" s="69"/>
      <c r="N19" s="69"/>
      <c r="O19" s="165"/>
      <c r="P19" s="155"/>
      <c r="Q19" s="26"/>
      <c r="R19" s="25"/>
      <c r="S19" s="67"/>
      <c r="T19" s="57"/>
      <c r="U19" s="57"/>
      <c r="V19" s="58"/>
      <c r="W19" s="119"/>
      <c r="X19" s="159"/>
    </row>
    <row r="20" spans="2:24">
      <c r="B20" s="25"/>
      <c r="C20" s="67"/>
      <c r="D20" s="63"/>
      <c r="E20" s="64"/>
      <c r="F20" s="63"/>
      <c r="G20" s="119"/>
      <c r="H20" s="155"/>
      <c r="I20" s="26"/>
      <c r="J20" s="25"/>
      <c r="K20" s="93"/>
      <c r="M20" s="69"/>
      <c r="N20" s="69"/>
      <c r="O20" s="165"/>
      <c r="P20" s="155"/>
      <c r="Q20" s="26"/>
      <c r="R20" s="25"/>
      <c r="S20" s="67"/>
      <c r="T20" s="57"/>
      <c r="U20" s="57"/>
      <c r="V20" s="58"/>
      <c r="W20" s="119"/>
      <c r="X20" s="159"/>
    </row>
    <row r="21" spans="2:24">
      <c r="B21" s="25" t="s">
        <v>46</v>
      </c>
      <c r="C21" s="67"/>
      <c r="D21" s="26"/>
      <c r="E21" s="26"/>
      <c r="F21" s="26"/>
      <c r="G21" s="26"/>
      <c r="H21" s="65"/>
      <c r="I21" s="26"/>
      <c r="J21" s="25" t="s">
        <v>46</v>
      </c>
      <c r="K21" s="93"/>
      <c r="L21" s="26"/>
      <c r="M21" s="26"/>
      <c r="N21" s="26"/>
      <c r="O21" s="67"/>
      <c r="P21" s="65"/>
      <c r="Q21" s="26"/>
      <c r="R21" s="25" t="s">
        <v>46</v>
      </c>
      <c r="S21" s="67"/>
      <c r="T21" s="26"/>
      <c r="U21" s="26"/>
      <c r="V21" s="26"/>
      <c r="W21" s="26"/>
      <c r="X21" s="89"/>
    </row>
    <row r="22" spans="2:24">
      <c r="B22" s="25" t="s">
        <v>45</v>
      </c>
      <c r="C22" s="67"/>
      <c r="D22" s="26" t="e">
        <f>NA()</f>
        <v>#N/A</v>
      </c>
      <c r="E22" s="26" t="e">
        <f>NA()</f>
        <v>#N/A</v>
      </c>
      <c r="F22" s="26" t="e">
        <f>NA()</f>
        <v>#N/A</v>
      </c>
      <c r="G22" s="26" t="e">
        <f>NA()</f>
        <v>#N/A</v>
      </c>
      <c r="H22" s="65"/>
      <c r="I22" s="26"/>
      <c r="J22" s="25" t="s">
        <v>45</v>
      </c>
      <c r="K22" s="93"/>
      <c r="L22" s="26" t="e">
        <f>NA()</f>
        <v>#N/A</v>
      </c>
      <c r="M22" s="26" t="e">
        <f>NA()</f>
        <v>#N/A</v>
      </c>
      <c r="N22" s="26" t="e">
        <f>NA()</f>
        <v>#N/A</v>
      </c>
      <c r="O22" s="67" t="e">
        <f>NA()</f>
        <v>#N/A</v>
      </c>
      <c r="P22" s="65"/>
      <c r="Q22" s="26"/>
      <c r="R22" s="25" t="s">
        <v>45</v>
      </c>
      <c r="S22" s="67"/>
      <c r="T22" s="26" t="e">
        <f>NA()</f>
        <v>#N/A</v>
      </c>
      <c r="U22" s="26" t="e">
        <f>NA()</f>
        <v>#N/A</v>
      </c>
      <c r="V22" s="26" t="e">
        <f>NA()</f>
        <v>#N/A</v>
      </c>
      <c r="W22" s="26"/>
      <c r="X22" s="89"/>
    </row>
    <row r="23" spans="2:24" ht="13.5" thickBot="1">
      <c r="B23" s="102"/>
      <c r="C23" s="68"/>
      <c r="D23" s="103"/>
      <c r="E23" s="103"/>
      <c r="F23" s="103"/>
      <c r="G23" s="103"/>
      <c r="H23" s="150"/>
      <c r="I23" s="26"/>
      <c r="J23" s="102"/>
      <c r="K23" s="163"/>
      <c r="L23" s="103"/>
      <c r="M23" s="103"/>
      <c r="N23" s="103"/>
      <c r="O23" s="68"/>
      <c r="P23" s="150"/>
      <c r="Q23" s="26"/>
      <c r="R23" s="102"/>
      <c r="S23" s="68"/>
      <c r="T23" s="103"/>
      <c r="U23" s="103"/>
      <c r="V23" s="103"/>
      <c r="W23" s="149"/>
      <c r="X23" s="90"/>
    </row>
    <row r="26" spans="2:24">
      <c r="L26" s="26"/>
    </row>
    <row r="27" spans="2:24">
      <c r="L27" s="26"/>
    </row>
    <row r="28" spans="2:24">
      <c r="L28" s="2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O153"/>
  <sheetViews>
    <sheetView zoomScale="75" workbookViewId="0">
      <pane xSplit="1" ySplit="4" topLeftCell="B7" activePane="bottomRight" state="frozen"/>
      <selection pane="topRight"/>
      <selection pane="bottomLeft"/>
      <selection pane="bottomRight" activeCell="E52" sqref="E52"/>
    </sheetView>
  </sheetViews>
  <sheetFormatPr defaultColWidth="12.5703125" defaultRowHeight="12.75"/>
  <cols>
    <col min="1" max="1" width="7.7109375" customWidth="1"/>
    <col min="2" max="5" width="10.28515625" customWidth="1"/>
    <col min="6" max="6" width="11.5703125" customWidth="1"/>
    <col min="7" max="7" width="12.85546875" customWidth="1"/>
    <col min="8" max="8" width="11.5703125" customWidth="1"/>
    <col min="9" max="11" width="10.28515625" customWidth="1"/>
    <col min="12" max="12" width="12.85546875" customWidth="1"/>
    <col min="13" max="13" width="10.28515625" customWidth="1"/>
    <col min="14" max="14" width="11.5703125" customWidth="1"/>
    <col min="15" max="18" width="10.28515625" customWidth="1"/>
    <col min="19" max="19" width="12.85546875" customWidth="1"/>
    <col min="20" max="20" width="11.5703125" customWidth="1"/>
    <col min="21" max="21" width="10.28515625" customWidth="1"/>
    <col min="22" max="22" width="9" customWidth="1"/>
  </cols>
  <sheetData>
    <row r="1" spans="1:41">
      <c r="A1" s="132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I1" s="1"/>
      <c r="AJ1" s="1"/>
      <c r="AK1" s="1"/>
      <c r="AL1" s="1"/>
      <c r="AM1" s="1"/>
      <c r="AN1" s="1"/>
      <c r="AO1" s="1"/>
    </row>
    <row r="2" spans="1:41" ht="24.75">
      <c r="A2" s="133" t="s">
        <v>106</v>
      </c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33" t="s">
        <v>107</v>
      </c>
      <c r="AI2" s="1"/>
      <c r="AJ2" s="1"/>
      <c r="AK2" s="1"/>
      <c r="AL2" s="1"/>
      <c r="AM2" s="1"/>
      <c r="AN2" s="1"/>
      <c r="AO2" s="1"/>
    </row>
    <row r="3" spans="1:41" ht="13.5" thickBo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I3" s="1"/>
      <c r="AJ3" s="1"/>
      <c r="AK3" s="1"/>
      <c r="AL3" s="1"/>
      <c r="AM3" s="1"/>
      <c r="AN3" s="1"/>
      <c r="AO3" s="1"/>
    </row>
    <row r="4" spans="1:41" ht="16.5" thickTop="1">
      <c r="A4" s="3" t="s">
        <v>0</v>
      </c>
      <c r="B4" s="4">
        <v>150</v>
      </c>
      <c r="C4" s="4">
        <v>300</v>
      </c>
      <c r="D4" s="4">
        <v>600</v>
      </c>
      <c r="E4" s="4" t="s">
        <v>1</v>
      </c>
      <c r="F4" s="4" t="s">
        <v>2</v>
      </c>
      <c r="G4" s="4" t="s">
        <v>3</v>
      </c>
      <c r="H4" s="4" t="s">
        <v>4</v>
      </c>
      <c r="I4" s="4">
        <v>10</v>
      </c>
      <c r="J4" s="4">
        <v>20</v>
      </c>
      <c r="K4" s="4">
        <v>30</v>
      </c>
      <c r="L4" s="4">
        <v>40</v>
      </c>
      <c r="M4" s="4">
        <v>60</v>
      </c>
      <c r="N4" s="4">
        <v>80</v>
      </c>
      <c r="O4" s="4">
        <v>100</v>
      </c>
      <c r="P4" s="4">
        <v>120</v>
      </c>
      <c r="Q4" s="4">
        <v>140</v>
      </c>
      <c r="R4" s="4">
        <v>160</v>
      </c>
      <c r="S4" s="4" t="s">
        <v>5</v>
      </c>
      <c r="T4" s="4" t="s">
        <v>6</v>
      </c>
      <c r="U4" s="4" t="s">
        <v>7</v>
      </c>
      <c r="V4" s="5" t="s">
        <v>8</v>
      </c>
      <c r="W4" s="6">
        <v>150</v>
      </c>
      <c r="X4" s="7">
        <v>300</v>
      </c>
      <c r="Y4" s="7">
        <v>600</v>
      </c>
      <c r="Z4" s="1"/>
      <c r="AA4" s="3" t="s">
        <v>0</v>
      </c>
      <c r="AB4" s="136" t="s">
        <v>108</v>
      </c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5.75">
      <c r="A5" s="8">
        <v>0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0"/>
      <c r="W5" s="11"/>
      <c r="X5" s="12"/>
      <c r="Y5" s="12"/>
      <c r="Z5" s="1"/>
      <c r="AA5" s="8">
        <v>0</v>
      </c>
      <c r="AB5" s="137">
        <v>0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5.75">
      <c r="A6" s="8">
        <v>0.125</v>
      </c>
      <c r="B6" s="9" t="s">
        <v>9</v>
      </c>
      <c r="C6" s="9" t="s">
        <v>9</v>
      </c>
      <c r="D6" s="9" t="s">
        <v>9</v>
      </c>
      <c r="E6" s="9" t="s">
        <v>9</v>
      </c>
      <c r="F6" s="9">
        <v>7.7980000000000002E-3</v>
      </c>
      <c r="G6" s="9">
        <v>6.731E-3</v>
      </c>
      <c r="H6" s="9">
        <v>5.4609999999999997E-3</v>
      </c>
      <c r="I6" s="9"/>
      <c r="J6" s="9"/>
      <c r="K6" s="9"/>
      <c r="L6" s="9">
        <v>6.731E-3</v>
      </c>
      <c r="M6" s="9"/>
      <c r="N6" s="9">
        <v>5.4609999999999997E-3</v>
      </c>
      <c r="O6" s="9"/>
      <c r="P6" s="9"/>
      <c r="Q6" s="9"/>
      <c r="R6" s="9"/>
      <c r="S6" s="9">
        <v>6.8326000000000003E-3</v>
      </c>
      <c r="T6" s="9">
        <v>5.4609999999999997E-3</v>
      </c>
      <c r="U6" s="9"/>
      <c r="V6" s="10"/>
      <c r="W6" s="11"/>
      <c r="X6" s="12"/>
      <c r="Y6" s="12"/>
      <c r="Z6" s="1"/>
      <c r="AA6" s="8">
        <v>0.125</v>
      </c>
      <c r="AB6" s="137">
        <v>0.40500000000000003</v>
      </c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5.75">
      <c r="A7" s="8">
        <v>0.25</v>
      </c>
      <c r="B7" s="9" t="s">
        <v>9</v>
      </c>
      <c r="C7" s="9" t="s">
        <v>9</v>
      </c>
      <c r="D7" s="9" t="s">
        <v>9</v>
      </c>
      <c r="E7" s="9" t="s">
        <v>9</v>
      </c>
      <c r="F7" s="9">
        <v>1.0414E-2</v>
      </c>
      <c r="G7" s="9">
        <v>9.2455999999999997E-3</v>
      </c>
      <c r="H7" s="9">
        <v>7.6709999999999999E-3</v>
      </c>
      <c r="I7" s="9"/>
      <c r="J7" s="9"/>
      <c r="K7" s="9"/>
      <c r="L7" s="9">
        <v>9.2455999999999997E-3</v>
      </c>
      <c r="M7" s="9"/>
      <c r="N7" s="9">
        <v>7.6709999999999999E-3</v>
      </c>
      <c r="O7" s="9"/>
      <c r="P7" s="9"/>
      <c r="Q7" s="9"/>
      <c r="R7" s="9" t="e">
        <f>NA()</f>
        <v>#N/A</v>
      </c>
      <c r="S7" s="9">
        <v>9.2455999999999997E-3</v>
      </c>
      <c r="T7" s="9">
        <v>7.6709999999999999E-3</v>
      </c>
      <c r="U7" s="9" t="e">
        <f>NA()</f>
        <v>#N/A</v>
      </c>
      <c r="V7" s="10" t="e">
        <f>NA()</f>
        <v>#N/A</v>
      </c>
      <c r="W7" s="11"/>
      <c r="X7" s="12"/>
      <c r="Y7" s="12"/>
      <c r="Z7" s="1"/>
      <c r="AA7" s="8">
        <v>0.25</v>
      </c>
      <c r="AB7" s="137">
        <v>0.54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5.75">
      <c r="A8" s="8">
        <v>0.5</v>
      </c>
      <c r="B8" s="9">
        <v>1.387E-2</v>
      </c>
      <c r="C8" s="9">
        <v>1.387E-2</v>
      </c>
      <c r="D8" s="9">
        <v>1.387E-2</v>
      </c>
      <c r="E8" s="9">
        <v>1.8030000000000001E-2</v>
      </c>
      <c r="F8" s="9">
        <v>1.712E-2</v>
      </c>
      <c r="G8" s="9">
        <v>1.5800000000000002E-2</v>
      </c>
      <c r="H8" s="9">
        <v>1.387E-2</v>
      </c>
      <c r="I8" s="9"/>
      <c r="J8" s="9"/>
      <c r="K8" s="9"/>
      <c r="L8" s="9">
        <v>1.5800000000000002E-2</v>
      </c>
      <c r="M8" s="9"/>
      <c r="N8" s="9">
        <v>1.387E-2</v>
      </c>
      <c r="O8" s="9"/>
      <c r="P8" s="9"/>
      <c r="Q8" s="9"/>
      <c r="R8" s="9">
        <v>1.184E-2</v>
      </c>
      <c r="S8" s="9">
        <v>1.5800000000000002E-2</v>
      </c>
      <c r="T8" s="9">
        <v>1.387E-2</v>
      </c>
      <c r="U8" s="9">
        <v>6.4000000000000003E-3</v>
      </c>
      <c r="V8" s="10">
        <v>1.5800000000000002E-2</v>
      </c>
      <c r="W8" s="6">
        <v>80</v>
      </c>
      <c r="X8" s="7">
        <v>80</v>
      </c>
      <c r="Y8" s="7">
        <v>80</v>
      </c>
      <c r="Z8" s="1"/>
      <c r="AA8" s="8">
        <v>0.5</v>
      </c>
      <c r="AB8" s="137">
        <v>0.84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5.75">
      <c r="A9" s="8">
        <v>0.75</v>
      </c>
      <c r="B9" s="9">
        <v>1.8850000000000002E-2</v>
      </c>
      <c r="C9" s="9">
        <v>1.8850000000000002E-2</v>
      </c>
      <c r="D9" s="9">
        <v>1.8850000000000002E-2</v>
      </c>
      <c r="E9" s="9">
        <v>2.3369999999999998E-2</v>
      </c>
      <c r="F9" s="9">
        <v>2.2450000000000001E-2</v>
      </c>
      <c r="G9" s="9">
        <v>2.0930000000000001E-2</v>
      </c>
      <c r="H9" s="9">
        <v>1.8850000000000002E-2</v>
      </c>
      <c r="I9" s="9"/>
      <c r="J9" s="9"/>
      <c r="K9" s="9"/>
      <c r="L9" s="9">
        <v>2.0930000000000001E-2</v>
      </c>
      <c r="M9" s="9"/>
      <c r="N9" s="9">
        <v>1.8850000000000002E-2</v>
      </c>
      <c r="O9" s="9"/>
      <c r="P9" s="9"/>
      <c r="Q9" s="9"/>
      <c r="R9" s="9">
        <v>1.5600000000000001E-2</v>
      </c>
      <c r="S9" s="9">
        <v>2.0930000000000001E-2</v>
      </c>
      <c r="T9" s="9">
        <v>1.8850000000000002E-2</v>
      </c>
      <c r="U9" s="9">
        <v>1.102E-2</v>
      </c>
      <c r="V9" s="10">
        <v>2.0900000000000002E-2</v>
      </c>
      <c r="W9" s="6">
        <v>80</v>
      </c>
      <c r="X9" s="7">
        <v>80</v>
      </c>
      <c r="Y9" s="7">
        <v>80</v>
      </c>
      <c r="Z9" s="1"/>
      <c r="AA9" s="8">
        <v>0.75</v>
      </c>
      <c r="AB9" s="137">
        <v>1.05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5.75">
      <c r="A10" s="8">
        <v>1</v>
      </c>
      <c r="B10" s="9">
        <v>2.4309999999999998E-2</v>
      </c>
      <c r="C10" s="9">
        <v>2.4309999999999998E-2</v>
      </c>
      <c r="D10" s="9">
        <v>2.4309999999999998E-2</v>
      </c>
      <c r="E10" s="9">
        <v>3.0100000000000002E-2</v>
      </c>
      <c r="F10" s="9">
        <v>2.7859999999999999E-2</v>
      </c>
      <c r="G10" s="9">
        <v>2.664E-2</v>
      </c>
      <c r="H10" s="9">
        <v>2.4309999999999998E-2</v>
      </c>
      <c r="I10" s="9"/>
      <c r="J10" s="9"/>
      <c r="K10" s="9"/>
      <c r="L10" s="9">
        <v>2.664E-2</v>
      </c>
      <c r="M10" s="9"/>
      <c r="N10" s="9">
        <v>2.4309999999999998E-2</v>
      </c>
      <c r="O10" s="9"/>
      <c r="P10" s="9"/>
      <c r="Q10" s="9"/>
      <c r="R10" s="9">
        <v>2.07E-2</v>
      </c>
      <c r="S10" s="9">
        <v>2.664E-2</v>
      </c>
      <c r="T10" s="9">
        <v>2.4309999999999998E-2</v>
      </c>
      <c r="U10" s="9">
        <v>1.521E-2</v>
      </c>
      <c r="V10" s="10">
        <v>2.6600000000000002E-2</v>
      </c>
      <c r="W10" s="6">
        <v>80</v>
      </c>
      <c r="X10" s="7">
        <v>80</v>
      </c>
      <c r="Y10" s="7">
        <v>80</v>
      </c>
      <c r="Z10" s="1"/>
      <c r="AA10" s="8">
        <v>1</v>
      </c>
      <c r="AB10" s="137">
        <v>1.3149999999999999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5.75">
      <c r="A11" s="8">
        <v>1.25</v>
      </c>
      <c r="B11" s="9">
        <v>3.2460000000000003E-2</v>
      </c>
      <c r="C11" s="9">
        <v>3.2460000000000003E-2</v>
      </c>
      <c r="D11" s="9">
        <v>3.2460000000000003E-2</v>
      </c>
      <c r="E11" s="9" t="e">
        <f>NA()</f>
        <v>#N/A</v>
      </c>
      <c r="F11" s="9" t="e">
        <f>NA()</f>
        <v>#N/A</v>
      </c>
      <c r="G11" s="9" t="e">
        <f>NA()</f>
        <v>#N/A</v>
      </c>
      <c r="H11" s="9" t="e">
        <f>NA()</f>
        <v>#N/A</v>
      </c>
      <c r="I11" s="9"/>
      <c r="J11" s="9"/>
      <c r="K11" s="9"/>
      <c r="L11" s="9" t="e">
        <f>NA()</f>
        <v>#N/A</v>
      </c>
      <c r="M11" s="9"/>
      <c r="N11" s="9" t="e">
        <f>NA()</f>
        <v>#N/A</v>
      </c>
      <c r="O11" s="9"/>
      <c r="P11" s="9"/>
      <c r="Q11" s="9"/>
      <c r="R11" s="9" t="e">
        <f>NA()</f>
        <v>#N/A</v>
      </c>
      <c r="S11" s="9" t="e">
        <f>NA()</f>
        <v>#N/A</v>
      </c>
      <c r="T11" s="9" t="e">
        <f>NA()</f>
        <v>#N/A</v>
      </c>
      <c r="U11" s="9" t="e">
        <f>NA()</f>
        <v>#N/A</v>
      </c>
      <c r="V11" s="10">
        <v>3.5099999999999999E-2</v>
      </c>
      <c r="W11" s="6">
        <v>80</v>
      </c>
      <c r="X11" s="7">
        <v>80</v>
      </c>
      <c r="Y11" s="7">
        <v>80</v>
      </c>
      <c r="Z11" s="1"/>
      <c r="AA11" s="8">
        <v>1.25</v>
      </c>
      <c r="AB11" s="137">
        <v>1.66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5.75">
      <c r="A12" s="8">
        <v>1.5</v>
      </c>
      <c r="B12" s="9">
        <v>3.8100000000000002E-2</v>
      </c>
      <c r="C12" s="9">
        <v>3.8100000000000002E-2</v>
      </c>
      <c r="D12" s="9">
        <v>3.8100000000000002E-2</v>
      </c>
      <c r="E12" s="9">
        <v>4.496E-2</v>
      </c>
      <c r="F12" s="9">
        <v>4.2720000000000001E-2</v>
      </c>
      <c r="G12" s="9">
        <v>4.0890000000000003E-2</v>
      </c>
      <c r="H12" s="9">
        <v>3.8100000000000002E-2</v>
      </c>
      <c r="I12" s="9"/>
      <c r="J12" s="9"/>
      <c r="K12" s="9"/>
      <c r="L12" s="9">
        <v>4.0890000000000003E-2</v>
      </c>
      <c r="M12" s="9"/>
      <c r="N12" s="9">
        <v>3.8100000000000002E-2</v>
      </c>
      <c r="O12" s="9"/>
      <c r="P12" s="9"/>
      <c r="Q12" s="9"/>
      <c r="R12" s="9">
        <v>3.3989999999999999E-2</v>
      </c>
      <c r="S12" s="9">
        <v>4.0890000000000003E-2</v>
      </c>
      <c r="T12" s="9">
        <v>3.8100000000000002E-2</v>
      </c>
      <c r="U12" s="9">
        <v>2.794E-2</v>
      </c>
      <c r="V12" s="10">
        <v>4.0899999999999999E-2</v>
      </c>
      <c r="W12" s="6">
        <v>80</v>
      </c>
      <c r="X12" s="7">
        <v>80</v>
      </c>
      <c r="Y12" s="7">
        <v>80</v>
      </c>
      <c r="Z12" s="1"/>
      <c r="AA12" s="8">
        <v>1.5</v>
      </c>
      <c r="AB12" s="137">
        <v>1.9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5.75">
      <c r="A13" s="8">
        <v>2</v>
      </c>
      <c r="B13" s="9">
        <v>5.2499999999999998E-2</v>
      </c>
      <c r="C13" s="9">
        <v>5.2499999999999998E-2</v>
      </c>
      <c r="D13" s="9">
        <v>4.9250000000000002E-2</v>
      </c>
      <c r="E13" s="9">
        <v>5.7020000000000001E-2</v>
      </c>
      <c r="F13" s="9">
        <v>5.4789999999999998E-2</v>
      </c>
      <c r="G13" s="9">
        <v>5.2499999999999998E-2</v>
      </c>
      <c r="H13" s="9">
        <v>4.9250000000000002E-2</v>
      </c>
      <c r="I13" s="9"/>
      <c r="J13" s="9"/>
      <c r="K13" s="9"/>
      <c r="L13" s="9">
        <v>5.2499999999999998E-2</v>
      </c>
      <c r="M13" s="9"/>
      <c r="N13" s="9">
        <v>4.9250000000000002E-2</v>
      </c>
      <c r="O13" s="9"/>
      <c r="P13" s="9"/>
      <c r="Q13" s="9"/>
      <c r="R13" s="9">
        <v>4.2900000000000001E-2</v>
      </c>
      <c r="S13" s="9">
        <v>5.2499999999999998E-2</v>
      </c>
      <c r="T13" s="9">
        <v>4.9250000000000002E-2</v>
      </c>
      <c r="U13" s="9">
        <v>3.8179999999999999E-2</v>
      </c>
      <c r="V13" s="10">
        <v>5.2499999999999998E-2</v>
      </c>
      <c r="W13" s="6">
        <v>40</v>
      </c>
      <c r="X13" s="7">
        <v>40</v>
      </c>
      <c r="Y13" s="7">
        <v>80</v>
      </c>
      <c r="Z13" s="1"/>
      <c r="AA13" s="8">
        <v>2</v>
      </c>
      <c r="AB13" s="137">
        <v>2.375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5.75">
      <c r="A14" s="8">
        <v>2.5</v>
      </c>
      <c r="B14" s="9">
        <v>6.2710000000000002E-2</v>
      </c>
      <c r="C14" s="9">
        <v>6.2710000000000002E-2</v>
      </c>
      <c r="D14" s="9">
        <v>5.9000000000000004E-2</v>
      </c>
      <c r="E14" s="9">
        <v>6.8809999999999996E-2</v>
      </c>
      <c r="F14" s="9">
        <v>6.6930000000000003E-2</v>
      </c>
      <c r="G14" s="9">
        <v>6.2710000000000002E-2</v>
      </c>
      <c r="H14" s="9">
        <v>5.9000000000000004E-2</v>
      </c>
      <c r="I14" s="9"/>
      <c r="J14" s="9"/>
      <c r="K14" s="9"/>
      <c r="L14" s="9">
        <v>6.2710000000000002E-2</v>
      </c>
      <c r="M14" s="9"/>
      <c r="N14" s="9">
        <v>5.9000000000000004E-2</v>
      </c>
      <c r="O14" s="9"/>
      <c r="P14" s="9"/>
      <c r="Q14" s="9"/>
      <c r="R14" s="9">
        <v>5.3969999999999997E-2</v>
      </c>
      <c r="S14" s="9">
        <v>6.2710000000000002E-2</v>
      </c>
      <c r="T14" s="9">
        <v>5.9000000000000004E-2</v>
      </c>
      <c r="U14" s="9">
        <v>4.4979999999999999E-2</v>
      </c>
      <c r="V14" s="10">
        <v>6.2700000000000006E-2</v>
      </c>
      <c r="W14" s="6">
        <v>40</v>
      </c>
      <c r="X14" s="7">
        <v>40</v>
      </c>
      <c r="Y14" s="7">
        <v>80</v>
      </c>
      <c r="Z14" s="1"/>
      <c r="AA14" s="8">
        <v>2.5</v>
      </c>
      <c r="AB14" s="137">
        <v>2.875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5.75">
      <c r="A15" s="8">
        <v>3</v>
      </c>
      <c r="B15" s="9">
        <v>7.7929999999999999E-2</v>
      </c>
      <c r="C15" s="9">
        <v>7.7929999999999999E-2</v>
      </c>
      <c r="D15" s="9">
        <v>7.3660000000000003E-2</v>
      </c>
      <c r="E15" s="9">
        <v>8.4680000000000005E-2</v>
      </c>
      <c r="F15" s="9">
        <v>8.2799999999999999E-2</v>
      </c>
      <c r="G15" s="9">
        <v>7.7929999999999999E-2</v>
      </c>
      <c r="H15" s="9">
        <v>7.3660000000000003E-2</v>
      </c>
      <c r="I15" s="9"/>
      <c r="J15" s="9"/>
      <c r="K15" s="9"/>
      <c r="L15" s="9">
        <v>7.7929999999999999E-2</v>
      </c>
      <c r="M15" s="9"/>
      <c r="N15" s="9">
        <v>7.3660000000000003E-2</v>
      </c>
      <c r="O15" s="9"/>
      <c r="P15" s="9"/>
      <c r="Q15" s="9"/>
      <c r="R15" s="9">
        <v>6.6650000000000001E-2</v>
      </c>
      <c r="S15" s="9">
        <v>7.7929999999999999E-2</v>
      </c>
      <c r="T15" s="9">
        <v>7.3660000000000003E-2</v>
      </c>
      <c r="U15" s="9">
        <v>5.842E-2</v>
      </c>
      <c r="V15" s="10">
        <v>7.7899999999999997E-2</v>
      </c>
      <c r="W15" s="6">
        <v>40</v>
      </c>
      <c r="X15" s="7">
        <v>40</v>
      </c>
      <c r="Y15" s="7">
        <v>80</v>
      </c>
      <c r="Z15" s="1"/>
      <c r="AA15" s="8">
        <v>3</v>
      </c>
      <c r="AB15" s="137">
        <v>3.5</v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5.75">
      <c r="A16" s="8">
        <v>3.5</v>
      </c>
      <c r="B16" s="9">
        <v>9.0120000000000006E-2</v>
      </c>
      <c r="C16" s="9">
        <v>9.0120000000000006E-2</v>
      </c>
      <c r="D16" s="9">
        <v>8.5449999999999998E-2</v>
      </c>
      <c r="E16" s="9" t="e">
        <f>NA()</f>
        <v>#N/A</v>
      </c>
      <c r="F16" s="9" t="e">
        <f>NA()</f>
        <v>#N/A</v>
      </c>
      <c r="G16" s="9" t="e">
        <f>NA()</f>
        <v>#N/A</v>
      </c>
      <c r="H16" s="9" t="e">
        <f>NA()</f>
        <v>#N/A</v>
      </c>
      <c r="I16" s="9"/>
      <c r="J16" s="9"/>
      <c r="K16" s="9"/>
      <c r="L16" s="9" t="e">
        <f>NA()</f>
        <v>#N/A</v>
      </c>
      <c r="M16" s="9"/>
      <c r="N16" s="9" t="e">
        <f>NA()</f>
        <v>#N/A</v>
      </c>
      <c r="O16" s="9"/>
      <c r="P16" s="9" t="e">
        <f>NA()</f>
        <v>#N/A</v>
      </c>
      <c r="Q16" s="9"/>
      <c r="R16" s="9"/>
      <c r="S16" s="9" t="e">
        <f>NA()</f>
        <v>#N/A</v>
      </c>
      <c r="T16" s="9" t="e">
        <f>NA()</f>
        <v>#N/A</v>
      </c>
      <c r="U16" s="9" t="e">
        <f>NA()</f>
        <v>#N/A</v>
      </c>
      <c r="V16" s="10">
        <v>9.01E-2</v>
      </c>
      <c r="W16" s="6">
        <v>40</v>
      </c>
      <c r="X16" s="7">
        <v>40</v>
      </c>
      <c r="Y16" s="7">
        <v>80</v>
      </c>
      <c r="Z16" s="1"/>
      <c r="AA16" s="8">
        <v>3.5</v>
      </c>
      <c r="AB16" s="137">
        <v>4</v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5.75">
      <c r="A17" s="8">
        <v>4</v>
      </c>
      <c r="B17" s="9">
        <v>0.10226</v>
      </c>
      <c r="C17" s="9">
        <v>0.10226</v>
      </c>
      <c r="D17" s="9">
        <v>9.7180000000000002E-2</v>
      </c>
      <c r="E17" s="9">
        <v>0.11008</v>
      </c>
      <c r="F17" s="9">
        <v>0.1082</v>
      </c>
      <c r="G17" s="9">
        <v>0.10226</v>
      </c>
      <c r="H17" s="9">
        <v>9.7180000000000002E-2</v>
      </c>
      <c r="I17" s="9"/>
      <c r="J17" s="9"/>
      <c r="K17" s="9"/>
      <c r="L17" s="9">
        <v>0.10226</v>
      </c>
      <c r="M17" s="9"/>
      <c r="N17" s="9">
        <v>9.7180000000000002E-2</v>
      </c>
      <c r="O17" s="9"/>
      <c r="P17" s="9">
        <v>9.2050000000000007E-2</v>
      </c>
      <c r="Q17" s="9"/>
      <c r="R17" s="9">
        <v>8.7330000000000005E-2</v>
      </c>
      <c r="S17" s="9">
        <v>0.10226</v>
      </c>
      <c r="T17" s="9">
        <v>9.7180000000000002E-2</v>
      </c>
      <c r="U17" s="9">
        <v>8.0060000000000006E-2</v>
      </c>
      <c r="V17" s="10">
        <v>0.1023</v>
      </c>
      <c r="W17" s="6">
        <v>40</v>
      </c>
      <c r="X17" s="7">
        <v>40</v>
      </c>
      <c r="Y17" s="7">
        <v>80</v>
      </c>
      <c r="Z17" s="1"/>
      <c r="AA17" s="8">
        <v>4</v>
      </c>
      <c r="AB17" s="137">
        <v>4.5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5.75">
      <c r="A18" s="8">
        <v>5</v>
      </c>
      <c r="B18" s="9">
        <v>0.12819</v>
      </c>
      <c r="C18" s="9">
        <v>0.12819</v>
      </c>
      <c r="D18" s="9">
        <v>0.12225</v>
      </c>
      <c r="E18" s="9">
        <v>0.13575999999999999</v>
      </c>
      <c r="F18" s="9" t="e">
        <f>NA()</f>
        <v>#N/A</v>
      </c>
      <c r="G18" s="9" t="e">
        <f>NA()</f>
        <v>#N/A</v>
      </c>
      <c r="H18" s="9" t="e">
        <f>NA()</f>
        <v>#N/A</v>
      </c>
      <c r="I18" s="9"/>
      <c r="J18" s="9"/>
      <c r="K18" s="9"/>
      <c r="L18" s="9" t="e">
        <f>NA()</f>
        <v>#N/A</v>
      </c>
      <c r="M18" s="9"/>
      <c r="N18" s="9" t="e">
        <f>NA()</f>
        <v>#N/A</v>
      </c>
      <c r="O18" s="9"/>
      <c r="P18" s="9" t="e">
        <f>NA()</f>
        <v>#N/A</v>
      </c>
      <c r="Q18" s="9"/>
      <c r="R18" s="9"/>
      <c r="S18" s="9" t="e">
        <f>NA()</f>
        <v>#N/A</v>
      </c>
      <c r="T18" s="9" t="e">
        <f>NA()</f>
        <v>#N/A</v>
      </c>
      <c r="U18" s="9" t="e">
        <f>NA()</f>
        <v>#N/A</v>
      </c>
      <c r="V18" s="10">
        <v>0.12820000000000001</v>
      </c>
      <c r="W18" s="6">
        <v>40</v>
      </c>
      <c r="X18" s="7">
        <v>40</v>
      </c>
      <c r="Y18" s="7">
        <v>80</v>
      </c>
      <c r="Z18" s="1"/>
      <c r="AA18" s="8">
        <v>5</v>
      </c>
      <c r="AB18" s="137">
        <v>5.5629999999999997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5.75">
      <c r="A19" s="8">
        <v>6</v>
      </c>
      <c r="B19" s="9">
        <v>0.15404999999999999</v>
      </c>
      <c r="C19" s="9">
        <v>0.15404999999999999</v>
      </c>
      <c r="D19" s="9">
        <v>0.14632999999999999</v>
      </c>
      <c r="E19" s="9">
        <v>0.16274</v>
      </c>
      <c r="F19" s="9">
        <v>0.16147</v>
      </c>
      <c r="G19" s="9">
        <v>0.15404999999999999</v>
      </c>
      <c r="H19" s="9">
        <v>0.14632999999999999</v>
      </c>
      <c r="I19" s="9"/>
      <c r="J19" s="9" t="e">
        <f>NA()</f>
        <v>#N/A</v>
      </c>
      <c r="K19" s="9" t="e">
        <f>NA()</f>
        <v>#N/A</v>
      </c>
      <c r="L19" s="9">
        <v>0.15404999999999999</v>
      </c>
      <c r="M19" s="9" t="e">
        <f>NA()</f>
        <v>#N/A</v>
      </c>
      <c r="N19" s="9">
        <v>0.14632999999999999</v>
      </c>
      <c r="O19" s="9" t="e">
        <f>NA()</f>
        <v>#N/A</v>
      </c>
      <c r="P19" s="9">
        <v>0.13972999999999999</v>
      </c>
      <c r="Q19" s="9"/>
      <c r="R19" s="9">
        <v>0.1318</v>
      </c>
      <c r="S19" s="9">
        <v>0.15404999999999999</v>
      </c>
      <c r="T19" s="9">
        <v>0.14632999999999999</v>
      </c>
      <c r="U19" s="9">
        <v>0.12438</v>
      </c>
      <c r="V19" s="10">
        <v>0.15409999999999999</v>
      </c>
      <c r="W19" s="6">
        <v>40</v>
      </c>
      <c r="X19" s="7">
        <v>40</v>
      </c>
      <c r="Y19" s="7">
        <v>80</v>
      </c>
      <c r="Z19" s="1"/>
      <c r="AA19" s="8">
        <v>6</v>
      </c>
      <c r="AB19" s="137">
        <v>6.625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5.75">
      <c r="A20" s="8">
        <v>8</v>
      </c>
      <c r="B20" s="9">
        <v>0.20499999999999999</v>
      </c>
      <c r="C20" s="9">
        <v>0.20499999999999999</v>
      </c>
      <c r="D20" s="9">
        <v>0.19367999999999999</v>
      </c>
      <c r="E20" s="9">
        <v>0.21354000000000001</v>
      </c>
      <c r="F20" s="9">
        <v>0.21156</v>
      </c>
      <c r="G20" s="9">
        <v>0.20272000000000001</v>
      </c>
      <c r="H20" s="9">
        <v>0.19367000000000001</v>
      </c>
      <c r="I20" s="9"/>
      <c r="J20" s="9">
        <v>0.20637</v>
      </c>
      <c r="K20" s="9">
        <v>0.20499999999999999</v>
      </c>
      <c r="L20" s="9">
        <v>0.20272000000000001</v>
      </c>
      <c r="M20" s="9">
        <v>0.19844999999999999</v>
      </c>
      <c r="N20" s="9">
        <v>0.19367000000000001</v>
      </c>
      <c r="O20" s="9">
        <v>0.18895000000000001</v>
      </c>
      <c r="P20" s="9">
        <v>0.18260000000000001</v>
      </c>
      <c r="Q20" s="9"/>
      <c r="R20" s="9">
        <v>0.17305000000000001</v>
      </c>
      <c r="S20" s="9">
        <v>0.20272000000000001</v>
      </c>
      <c r="T20" s="9">
        <v>0.19367000000000001</v>
      </c>
      <c r="U20" s="9">
        <v>0.17462</v>
      </c>
      <c r="V20" s="10">
        <v>0.20269999999999999</v>
      </c>
      <c r="W20" s="6">
        <v>30</v>
      </c>
      <c r="X20" s="7">
        <v>30</v>
      </c>
      <c r="Y20" s="7">
        <v>80</v>
      </c>
      <c r="Z20" s="1"/>
      <c r="AA20" s="8">
        <v>8</v>
      </c>
      <c r="AB20" s="137">
        <v>8.625</v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5.75">
      <c r="A21" s="8">
        <v>10</v>
      </c>
      <c r="B21" s="9">
        <v>0.25745000000000001</v>
      </c>
      <c r="C21" s="9">
        <v>0.25745000000000001</v>
      </c>
      <c r="D21" s="9">
        <v>0.24765000000000001</v>
      </c>
      <c r="E21" s="9">
        <v>0.26623999999999998</v>
      </c>
      <c r="F21" s="9">
        <v>0.26467000000000002</v>
      </c>
      <c r="G21" s="9">
        <v>0.25451000000000001</v>
      </c>
      <c r="H21" s="9">
        <v>0.24765000000000001</v>
      </c>
      <c r="I21" s="9"/>
      <c r="J21" s="9">
        <v>0.26035000000000003</v>
      </c>
      <c r="K21" s="9">
        <v>0.25745000000000001</v>
      </c>
      <c r="L21" s="9">
        <v>0.25451000000000001</v>
      </c>
      <c r="M21" s="9" t="e">
        <f>NA()</f>
        <v>#N/A</v>
      </c>
      <c r="N21" s="9">
        <v>0.24765000000000001</v>
      </c>
      <c r="O21" s="9">
        <v>0.23658000000000001</v>
      </c>
      <c r="P21" s="9">
        <v>0.23022999999999999</v>
      </c>
      <c r="Q21" s="9">
        <v>0.22225</v>
      </c>
      <c r="R21" s="9">
        <v>0.21590000000000001</v>
      </c>
      <c r="S21" s="9">
        <v>0.25451000000000001</v>
      </c>
      <c r="T21" s="9">
        <v>0.24765000000000001</v>
      </c>
      <c r="U21" s="9">
        <v>0.22225</v>
      </c>
      <c r="V21" s="10">
        <v>0.2545</v>
      </c>
      <c r="W21" s="6">
        <v>30</v>
      </c>
      <c r="X21" s="7">
        <v>30</v>
      </c>
      <c r="Y21" s="7" t="s">
        <v>6</v>
      </c>
      <c r="Z21" s="1"/>
      <c r="AA21" s="8">
        <v>10</v>
      </c>
      <c r="AB21" s="137">
        <v>10.75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5.75">
      <c r="A22" s="8">
        <v>12</v>
      </c>
      <c r="B22" s="9">
        <v>0.30708999999999997</v>
      </c>
      <c r="C22" s="9">
        <v>0.30708999999999997</v>
      </c>
      <c r="D22" s="9">
        <v>0.29844999999999999</v>
      </c>
      <c r="E22" s="9">
        <v>0.31546999999999997</v>
      </c>
      <c r="F22" s="9">
        <v>0.31470999999999999</v>
      </c>
      <c r="G22" s="9">
        <v>0.30480000000000002</v>
      </c>
      <c r="H22" s="9">
        <v>0.29844999999999999</v>
      </c>
      <c r="I22" s="9" t="e">
        <f>NA()</f>
        <v>#N/A</v>
      </c>
      <c r="J22" s="9">
        <v>0.31114999999999998</v>
      </c>
      <c r="K22" s="9">
        <v>0.30708999999999997</v>
      </c>
      <c r="L22" s="9">
        <v>0.30321999999999999</v>
      </c>
      <c r="M22" s="9">
        <v>0.29530000000000001</v>
      </c>
      <c r="N22" s="9">
        <v>0.28894999999999998</v>
      </c>
      <c r="O22" s="9">
        <v>0.28103</v>
      </c>
      <c r="P22" s="9">
        <v>0.27305000000000001</v>
      </c>
      <c r="Q22" s="9">
        <v>0.26669999999999999</v>
      </c>
      <c r="R22" s="9">
        <v>0.25719999999999998</v>
      </c>
      <c r="S22" s="9">
        <v>0.30480000000000002</v>
      </c>
      <c r="T22" s="9">
        <v>0.29844999999999999</v>
      </c>
      <c r="U22" s="9">
        <v>0.27305000000000001</v>
      </c>
      <c r="V22" s="10">
        <v>0.30320000000000003</v>
      </c>
      <c r="W22" s="6">
        <v>30</v>
      </c>
      <c r="X22" s="7">
        <v>30</v>
      </c>
      <c r="Y22" s="7" t="s">
        <v>6</v>
      </c>
      <c r="Z22" s="1"/>
      <c r="AA22" s="8">
        <v>12</v>
      </c>
      <c r="AB22" s="137">
        <v>12.75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15.75">
      <c r="A23" s="8">
        <v>14</v>
      </c>
      <c r="B23" s="9">
        <v>0.33655000000000002</v>
      </c>
      <c r="C23" s="9">
        <v>0.33655000000000002</v>
      </c>
      <c r="D23" s="9">
        <v>0.33019999999999999</v>
      </c>
      <c r="E23" s="9">
        <v>0.34767999999999999</v>
      </c>
      <c r="F23" s="9">
        <v>0.34605000000000002</v>
      </c>
      <c r="G23" s="9" t="e">
        <f>NA()</f>
        <v>#N/A</v>
      </c>
      <c r="H23" s="9" t="e">
        <f>NA()</f>
        <v>#N/A</v>
      </c>
      <c r="I23" s="9">
        <v>0.34289999999999998</v>
      </c>
      <c r="J23" s="9">
        <v>0.33975</v>
      </c>
      <c r="K23" s="9">
        <v>0.33655000000000002</v>
      </c>
      <c r="L23" s="9">
        <v>0.33334999999999998</v>
      </c>
      <c r="M23" s="9">
        <v>0.32547999999999999</v>
      </c>
      <c r="N23" s="9">
        <v>0.3175</v>
      </c>
      <c r="O23" s="9">
        <v>0.308</v>
      </c>
      <c r="P23" s="9">
        <v>0.30008000000000001</v>
      </c>
      <c r="Q23" s="9">
        <v>0.29210000000000003</v>
      </c>
      <c r="R23" s="9">
        <v>0.28417999999999999</v>
      </c>
      <c r="S23" s="9">
        <v>0.33655000000000002</v>
      </c>
      <c r="T23" s="9">
        <v>0.33019999999999999</v>
      </c>
      <c r="U23" s="9" t="e">
        <f>NA()</f>
        <v>#N/A</v>
      </c>
      <c r="V23" s="10">
        <v>0.33339999999999997</v>
      </c>
      <c r="W23" s="6" t="s">
        <v>5</v>
      </c>
      <c r="X23" s="7" t="s">
        <v>5</v>
      </c>
      <c r="Y23" s="7" t="s">
        <v>6</v>
      </c>
      <c r="Z23" s="1"/>
      <c r="AA23" s="8">
        <v>14</v>
      </c>
      <c r="AB23" s="137">
        <v>14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5.75">
      <c r="A24" s="8">
        <v>16</v>
      </c>
      <c r="B24" s="9">
        <v>0.38735000000000003</v>
      </c>
      <c r="C24" s="9">
        <v>0.38735000000000003</v>
      </c>
      <c r="D24" s="9">
        <v>0.38100000000000001</v>
      </c>
      <c r="E24" s="9">
        <v>0.39801999999999998</v>
      </c>
      <c r="F24" s="9">
        <v>0.39684999999999998</v>
      </c>
      <c r="G24" s="9"/>
      <c r="H24" s="9"/>
      <c r="I24" s="9">
        <v>0.39369999999999999</v>
      </c>
      <c r="J24" s="9">
        <v>0.39055000000000001</v>
      </c>
      <c r="K24" s="9">
        <v>0.38735000000000003</v>
      </c>
      <c r="L24" s="9">
        <v>0.38100000000000001</v>
      </c>
      <c r="M24" s="9">
        <v>0.37307000000000001</v>
      </c>
      <c r="N24" s="9">
        <v>0.36358000000000001</v>
      </c>
      <c r="O24" s="9">
        <v>0.35403000000000001</v>
      </c>
      <c r="P24" s="9">
        <v>0.34453</v>
      </c>
      <c r="Q24" s="9">
        <v>0.33334999999999998</v>
      </c>
      <c r="R24" s="9">
        <v>0.32547999999999999</v>
      </c>
      <c r="S24" s="9">
        <v>0.38735000000000003</v>
      </c>
      <c r="T24" s="9">
        <v>0.38100000000000001</v>
      </c>
      <c r="U24" s="9"/>
      <c r="V24" s="10">
        <v>0.38100000000000001</v>
      </c>
      <c r="W24" s="6" t="s">
        <v>5</v>
      </c>
      <c r="X24" s="7" t="s">
        <v>5</v>
      </c>
      <c r="Y24" s="7" t="s">
        <v>6</v>
      </c>
      <c r="Z24" s="1"/>
      <c r="AA24" s="8">
        <v>16</v>
      </c>
      <c r="AB24" s="137">
        <v>16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t="15.75">
      <c r="A25" s="8">
        <v>18</v>
      </c>
      <c r="B25" s="9">
        <v>0.43814999999999998</v>
      </c>
      <c r="C25" s="9">
        <v>0.43180000000000002</v>
      </c>
      <c r="D25" s="9">
        <v>0.43180000000000002</v>
      </c>
      <c r="E25" s="9">
        <v>0.44882</v>
      </c>
      <c r="F25" s="9">
        <v>0.44764999999999999</v>
      </c>
      <c r="G25" s="9"/>
      <c r="H25" s="9"/>
      <c r="I25" s="9">
        <v>0.44450000000000001</v>
      </c>
      <c r="J25" s="9">
        <v>0.44135000000000002</v>
      </c>
      <c r="K25" s="9">
        <v>0.43495</v>
      </c>
      <c r="L25" s="9">
        <v>0.42864999999999998</v>
      </c>
      <c r="M25" s="9">
        <v>0.41909999999999997</v>
      </c>
      <c r="N25" s="9">
        <v>0.40960000000000002</v>
      </c>
      <c r="O25" s="9">
        <v>0.39846999999999999</v>
      </c>
      <c r="P25" s="9">
        <v>0.38735000000000003</v>
      </c>
      <c r="Q25" s="9">
        <v>0.37785000000000002</v>
      </c>
      <c r="R25" s="9">
        <v>0.36671999999999999</v>
      </c>
      <c r="S25" s="9">
        <v>0.43814999999999998</v>
      </c>
      <c r="T25" s="9">
        <v>0.43180000000000002</v>
      </c>
      <c r="U25" s="9"/>
      <c r="V25" s="10">
        <v>0.42859999999999998</v>
      </c>
      <c r="W25" s="6" t="s">
        <v>5</v>
      </c>
      <c r="X25" s="7" t="s">
        <v>6</v>
      </c>
      <c r="Y25" s="7" t="s">
        <v>6</v>
      </c>
      <c r="Z25" s="1"/>
      <c r="AA25" s="8">
        <v>18</v>
      </c>
      <c r="AB25" s="137">
        <v>18</v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t="15.75">
      <c r="A26" s="8">
        <v>20</v>
      </c>
      <c r="B26" s="9">
        <v>0.48895</v>
      </c>
      <c r="C26" s="9">
        <v>0.47788000000000003</v>
      </c>
      <c r="D26" s="9">
        <v>0.48259999999999997</v>
      </c>
      <c r="E26" s="9">
        <v>0.49845</v>
      </c>
      <c r="F26" s="9">
        <v>0.49692999999999998</v>
      </c>
      <c r="G26" s="9"/>
      <c r="H26" s="9"/>
      <c r="I26" s="9">
        <v>0.49530000000000002</v>
      </c>
      <c r="J26" s="9">
        <v>0.48895</v>
      </c>
      <c r="K26" s="9">
        <v>0.48259999999999997</v>
      </c>
      <c r="L26" s="9">
        <v>0.47788000000000003</v>
      </c>
      <c r="M26" s="9">
        <v>0.46675</v>
      </c>
      <c r="N26" s="9">
        <v>0.45562999999999998</v>
      </c>
      <c r="O26" s="9">
        <v>0.44291999999999998</v>
      </c>
      <c r="P26" s="9">
        <v>0.43180000000000002</v>
      </c>
      <c r="Q26" s="9">
        <v>0.41909999999999997</v>
      </c>
      <c r="R26" s="9">
        <v>0.40803</v>
      </c>
      <c r="S26" s="9">
        <v>0.48895</v>
      </c>
      <c r="T26" s="9">
        <v>0.48259999999999997</v>
      </c>
      <c r="U26" s="9"/>
      <c r="V26" s="10">
        <v>0.47789999999999999</v>
      </c>
      <c r="W26" s="6" t="s">
        <v>5</v>
      </c>
      <c r="X26" s="7">
        <v>40</v>
      </c>
      <c r="Y26" s="7" t="s">
        <v>6</v>
      </c>
      <c r="Z26" s="1"/>
      <c r="AA26" s="8">
        <v>20</v>
      </c>
      <c r="AB26" s="137">
        <v>20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5.75">
      <c r="A27" s="8">
        <v>22</v>
      </c>
      <c r="B27" s="9">
        <v>0.53969999999999996</v>
      </c>
      <c r="C27" s="9" t="e">
        <f>NA()</f>
        <v>#N/A</v>
      </c>
      <c r="D27" s="9" t="e">
        <f>NA()</f>
        <v>#N/A</v>
      </c>
      <c r="E27" s="9">
        <v>0.54925000000000002</v>
      </c>
      <c r="F27" s="9">
        <v>0.54773000000000005</v>
      </c>
      <c r="G27" s="9" t="s">
        <v>10</v>
      </c>
      <c r="H27" s="9"/>
      <c r="I27" s="9">
        <v>0.54610000000000003</v>
      </c>
      <c r="J27" s="9">
        <v>0.53974999999999995</v>
      </c>
      <c r="K27" s="9">
        <v>0.53339999999999999</v>
      </c>
      <c r="L27" s="9" t="e">
        <f>NA()</f>
        <v>#N/A</v>
      </c>
      <c r="M27" s="9">
        <v>0.51434999999999997</v>
      </c>
      <c r="N27" s="9">
        <v>0.50165000000000004</v>
      </c>
      <c r="O27" s="9">
        <v>0.48895</v>
      </c>
      <c r="P27" s="9">
        <v>0.47625000000000001</v>
      </c>
      <c r="Q27" s="9">
        <v>0.46355000000000002</v>
      </c>
      <c r="R27" s="9">
        <v>0.45084999999999997</v>
      </c>
      <c r="S27" s="9">
        <v>0.53974999999999995</v>
      </c>
      <c r="T27" s="9">
        <v>0.53339999999999999</v>
      </c>
      <c r="U27" s="9"/>
      <c r="V27" s="10">
        <v>0.53969999999999996</v>
      </c>
      <c r="W27" s="6" t="s">
        <v>5</v>
      </c>
      <c r="X27" s="7">
        <v>40</v>
      </c>
      <c r="Y27" s="7"/>
      <c r="Z27" s="1"/>
      <c r="AA27" s="8">
        <v>22</v>
      </c>
      <c r="AB27" s="137">
        <v>22</v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5.75">
      <c r="A28" s="8">
        <v>24</v>
      </c>
      <c r="B28" s="9">
        <v>0.59050000000000002</v>
      </c>
      <c r="C28" s="9"/>
      <c r="D28" s="9"/>
      <c r="E28" s="9">
        <v>0.59853000000000001</v>
      </c>
      <c r="F28" s="9">
        <v>0.59689999999999999</v>
      </c>
      <c r="G28" s="9"/>
      <c r="H28" s="9"/>
      <c r="I28" s="9">
        <v>0.59689999999999999</v>
      </c>
      <c r="J28" s="9">
        <v>0.59055000000000002</v>
      </c>
      <c r="K28" s="9">
        <v>0.58104999999999996</v>
      </c>
      <c r="L28" s="9">
        <v>0.57469999999999999</v>
      </c>
      <c r="M28" s="9">
        <v>0.56042999999999998</v>
      </c>
      <c r="N28" s="9">
        <v>0.54773000000000005</v>
      </c>
      <c r="O28" s="9">
        <v>0.53181999999999996</v>
      </c>
      <c r="P28" s="9">
        <v>0.51754999999999995</v>
      </c>
      <c r="Q28" s="9">
        <v>0.50465000000000004</v>
      </c>
      <c r="R28" s="9">
        <v>0.49058000000000002</v>
      </c>
      <c r="S28" s="9">
        <v>0.59055000000000002</v>
      </c>
      <c r="T28" s="9">
        <v>0.58420000000000005</v>
      </c>
      <c r="U28" s="9"/>
      <c r="V28" s="10">
        <v>0.59050000000000002</v>
      </c>
      <c r="W28" s="6" t="s">
        <v>5</v>
      </c>
      <c r="X28" s="7">
        <v>40</v>
      </c>
      <c r="Y28" s="7"/>
      <c r="Z28" s="1"/>
      <c r="AA28" s="8">
        <v>24</v>
      </c>
      <c r="AB28" s="137">
        <v>24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5.75">
      <c r="A29" s="8">
        <v>26</v>
      </c>
      <c r="B29" s="9">
        <v>0.64129999999999998</v>
      </c>
      <c r="C29" s="9"/>
      <c r="D29" s="9"/>
      <c r="E29" s="9" t="e">
        <f>NA()</f>
        <v>#N/A</v>
      </c>
      <c r="F29" s="9" t="e">
        <f>NA()</f>
        <v>#N/A</v>
      </c>
      <c r="G29" s="9"/>
      <c r="H29" s="9"/>
      <c r="I29" s="9">
        <v>0.64415999999999995</v>
      </c>
      <c r="J29" s="9">
        <v>0.63500000000000001</v>
      </c>
      <c r="K29" s="9" t="e">
        <f>NA()</f>
        <v>#N/A</v>
      </c>
      <c r="L29" s="9" t="e">
        <f>NA()</f>
        <v>#N/A</v>
      </c>
      <c r="M29" s="9" t="e">
        <f>NA()</f>
        <v>#N/A</v>
      </c>
      <c r="N29" s="9" t="e">
        <f>NA()</f>
        <v>#N/A</v>
      </c>
      <c r="O29" s="9" t="e">
        <f>NA()</f>
        <v>#N/A</v>
      </c>
      <c r="P29" s="9" t="e">
        <f>NA()</f>
        <v>#N/A</v>
      </c>
      <c r="Q29" s="9" t="e">
        <f>NA()</f>
        <v>#N/A</v>
      </c>
      <c r="R29" s="9" t="e">
        <f>NA()</f>
        <v>#N/A</v>
      </c>
      <c r="S29" s="9">
        <v>0.64134999999999998</v>
      </c>
      <c r="T29" s="9">
        <v>0.63500000000000001</v>
      </c>
      <c r="U29" s="9"/>
      <c r="V29" s="10">
        <v>0.64129999999999998</v>
      </c>
      <c r="W29" s="11"/>
      <c r="X29" s="12"/>
      <c r="Y29" s="12"/>
      <c r="Z29" s="1"/>
      <c r="AA29" s="8">
        <v>26</v>
      </c>
      <c r="AB29" s="137">
        <v>26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5.75">
      <c r="A30" s="8">
        <v>28</v>
      </c>
      <c r="B30" s="9">
        <v>0.69210000000000005</v>
      </c>
      <c r="C30" s="9"/>
      <c r="D30" s="9"/>
      <c r="E30" s="9" t="e">
        <f>NA()</f>
        <v>#N/A</v>
      </c>
      <c r="F30" s="9" t="e">
        <f>NA()</f>
        <v>#N/A</v>
      </c>
      <c r="G30" s="9"/>
      <c r="H30" s="9"/>
      <c r="I30" s="9">
        <v>0.69516</v>
      </c>
      <c r="J30" s="9">
        <v>0.68559999999999999</v>
      </c>
      <c r="K30" s="9">
        <v>0.67923999999999995</v>
      </c>
      <c r="L30" s="9" t="e">
        <f>NA()</f>
        <v>#N/A</v>
      </c>
      <c r="M30" s="9"/>
      <c r="N30" s="9"/>
      <c r="O30" s="9"/>
      <c r="P30" s="9"/>
      <c r="Q30" s="9"/>
      <c r="R30" s="9"/>
      <c r="S30" s="9">
        <v>0.69194</v>
      </c>
      <c r="T30" s="9">
        <v>0.68559999999999999</v>
      </c>
      <c r="U30" s="9"/>
      <c r="V30" s="10">
        <v>0.69210000000000005</v>
      </c>
      <c r="W30" s="11"/>
      <c r="X30" s="12"/>
      <c r="Y30" s="12"/>
      <c r="Z30" s="1"/>
      <c r="AA30" s="8">
        <v>28</v>
      </c>
      <c r="AB30" s="137">
        <v>28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5.75">
      <c r="A31" s="8">
        <v>30</v>
      </c>
      <c r="B31" s="9">
        <v>0.7429</v>
      </c>
      <c r="C31" s="9"/>
      <c r="D31" s="9"/>
      <c r="E31" s="9">
        <v>0.74929999999999997</v>
      </c>
      <c r="F31" s="9">
        <v>0.74616000000000005</v>
      </c>
      <c r="G31" s="9"/>
      <c r="H31" s="9"/>
      <c r="I31" s="9">
        <v>0.74616000000000005</v>
      </c>
      <c r="J31" s="9">
        <v>0.73660000000000003</v>
      </c>
      <c r="K31" s="9">
        <v>0.73024</v>
      </c>
      <c r="L31" s="9" t="e">
        <f>NA()</f>
        <v>#N/A</v>
      </c>
      <c r="M31" s="9"/>
      <c r="N31" s="9"/>
      <c r="O31" s="9"/>
      <c r="P31" s="9"/>
      <c r="Q31" s="9"/>
      <c r="R31" s="9"/>
      <c r="S31" s="9">
        <v>0.74294000000000004</v>
      </c>
      <c r="T31" s="9">
        <v>0.73660000000000003</v>
      </c>
      <c r="U31" s="9"/>
      <c r="V31" s="10">
        <v>0.7429</v>
      </c>
      <c r="W31" s="11"/>
      <c r="X31" s="12"/>
      <c r="Y31" s="12"/>
      <c r="Z31" s="1"/>
      <c r="AA31" s="8">
        <v>30</v>
      </c>
      <c r="AB31" s="137">
        <v>30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5.75">
      <c r="A32" s="8">
        <v>32</v>
      </c>
      <c r="B32" s="9">
        <v>0.79369999999999996</v>
      </c>
      <c r="C32" s="9"/>
      <c r="D32" s="9"/>
      <c r="E32" s="9" t="e">
        <f>NA()</f>
        <v>#N/A</v>
      </c>
      <c r="F32" s="9" t="e">
        <f>NA()</f>
        <v>#N/A</v>
      </c>
      <c r="G32" s="9"/>
      <c r="H32" s="9"/>
      <c r="I32" s="9">
        <v>0.79715999999999998</v>
      </c>
      <c r="J32" s="9">
        <v>0.78759999999999997</v>
      </c>
      <c r="K32" s="9">
        <v>0.78124000000000005</v>
      </c>
      <c r="L32" s="9">
        <v>0.77803999999999995</v>
      </c>
      <c r="M32" s="9"/>
      <c r="N32" s="9"/>
      <c r="O32" s="9"/>
      <c r="P32" s="9"/>
      <c r="Q32" s="9"/>
      <c r="R32" s="9"/>
      <c r="S32" s="9">
        <v>0.79393999999999998</v>
      </c>
      <c r="T32" s="9">
        <v>0.78759999999999997</v>
      </c>
      <c r="U32" s="9"/>
      <c r="V32" s="10">
        <v>0.79369999999999996</v>
      </c>
      <c r="W32" s="11"/>
      <c r="X32" s="12"/>
      <c r="Y32" s="12"/>
      <c r="Z32" s="1"/>
      <c r="AA32" s="8">
        <v>32</v>
      </c>
      <c r="AB32" s="137">
        <v>32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5.75">
      <c r="A33" s="8">
        <v>34</v>
      </c>
      <c r="B33" s="9">
        <v>0.84450000000000003</v>
      </c>
      <c r="C33" s="9"/>
      <c r="D33" s="9"/>
      <c r="E33" s="9"/>
      <c r="F33" s="9"/>
      <c r="G33" s="9"/>
      <c r="H33" s="9"/>
      <c r="I33" s="9">
        <v>0.84816000000000003</v>
      </c>
      <c r="J33" s="9">
        <v>0.83860000000000001</v>
      </c>
      <c r="K33" s="9">
        <v>0.83223999999999998</v>
      </c>
      <c r="L33" s="9">
        <v>0.82904</v>
      </c>
      <c r="M33" s="9"/>
      <c r="N33" s="9"/>
      <c r="O33" s="9"/>
      <c r="P33" s="9"/>
      <c r="Q33" s="9"/>
      <c r="R33" s="9"/>
      <c r="S33" s="9">
        <v>0.84494000000000002</v>
      </c>
      <c r="T33" s="9">
        <v>0.83860000000000001</v>
      </c>
      <c r="U33" s="9"/>
      <c r="V33" s="10">
        <v>0.84450000000000003</v>
      </c>
      <c r="W33" s="11"/>
      <c r="X33" s="12"/>
      <c r="Y33" s="12"/>
      <c r="Z33" s="1"/>
      <c r="AA33" s="8">
        <v>34</v>
      </c>
      <c r="AB33" s="137">
        <v>34</v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6.5" thickBot="1">
      <c r="A34" s="8">
        <v>36</v>
      </c>
      <c r="B34" s="9">
        <v>0.89529999999999998</v>
      </c>
      <c r="C34" s="9"/>
      <c r="D34" s="9"/>
      <c r="E34" s="9"/>
      <c r="F34" s="9"/>
      <c r="G34" s="9"/>
      <c r="H34" s="9"/>
      <c r="I34" s="9">
        <v>0.89815999999999996</v>
      </c>
      <c r="J34" s="9">
        <v>0.88859999999999995</v>
      </c>
      <c r="K34" s="9">
        <v>0.88224000000000002</v>
      </c>
      <c r="L34" s="9">
        <v>0.87590000000000001</v>
      </c>
      <c r="M34" s="9"/>
      <c r="N34" s="9"/>
      <c r="O34" s="9"/>
      <c r="P34" s="9"/>
      <c r="Q34" s="9"/>
      <c r="R34" s="9"/>
      <c r="S34" s="9">
        <v>0.89493999999999996</v>
      </c>
      <c r="T34" s="9">
        <v>0.88859999999999995</v>
      </c>
      <c r="U34" s="9"/>
      <c r="V34" s="10">
        <v>0.89529999999999998</v>
      </c>
      <c r="W34" s="11"/>
      <c r="X34" s="12"/>
      <c r="Y34" s="12"/>
      <c r="Z34" s="1"/>
      <c r="AA34" s="13">
        <v>36</v>
      </c>
      <c r="AB34" s="138">
        <v>36</v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6.5" thickTop="1">
      <c r="A35" s="8">
        <v>38</v>
      </c>
      <c r="B35" s="9">
        <v>0.94610000000000005</v>
      </c>
      <c r="C35" s="9"/>
      <c r="D35" s="9"/>
      <c r="E35" s="9"/>
      <c r="F35" s="9"/>
      <c r="G35" s="9"/>
      <c r="H35" s="9"/>
      <c r="I35" s="9" t="e">
        <f>NA()</f>
        <v>#N/A</v>
      </c>
      <c r="J35" s="9" t="e">
        <f>NA()</f>
        <v>#N/A</v>
      </c>
      <c r="K35" s="9" t="e">
        <f>NA()</f>
        <v>#N/A</v>
      </c>
      <c r="L35" s="9" t="e">
        <f>NA()</f>
        <v>#N/A</v>
      </c>
      <c r="M35" s="9"/>
      <c r="N35" s="9"/>
      <c r="O35" s="9"/>
      <c r="P35" s="9"/>
      <c r="Q35" s="9"/>
      <c r="R35" s="9"/>
      <c r="S35" s="9">
        <v>0.94594</v>
      </c>
      <c r="T35" s="9">
        <v>0.93959999999999999</v>
      </c>
      <c r="U35" s="9"/>
      <c r="V35" s="10">
        <v>0.94610000000000005</v>
      </c>
      <c r="W35" s="11"/>
      <c r="X35" s="12"/>
      <c r="Y35" s="12"/>
      <c r="Z35" s="1"/>
      <c r="AA35" s="134"/>
      <c r="AB35" s="135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5.75">
      <c r="A36" s="8">
        <v>40</v>
      </c>
      <c r="B36" s="9">
        <v>0.99690000000000001</v>
      </c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>
        <v>0.99694000000000005</v>
      </c>
      <c r="T36" s="9">
        <v>0.99060000000000004</v>
      </c>
      <c r="U36" s="9"/>
      <c r="V36" s="10">
        <v>0.99690000000000001</v>
      </c>
      <c r="W36" s="11"/>
      <c r="X36" s="12"/>
      <c r="Y36" s="12"/>
      <c r="Z36" s="1"/>
      <c r="AA36" s="134"/>
      <c r="AB36" s="135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5.75">
      <c r="A37" s="8">
        <v>42</v>
      </c>
      <c r="B37" s="9">
        <v>1.0477000000000001</v>
      </c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>
        <v>1.0479400000000001</v>
      </c>
      <c r="T37" s="9">
        <v>1.0416000000000001</v>
      </c>
      <c r="U37" s="9"/>
      <c r="V37" s="10">
        <v>1.0477000000000001</v>
      </c>
      <c r="W37" s="11"/>
      <c r="X37" s="12"/>
      <c r="Y37" s="12"/>
      <c r="Z37" s="1"/>
      <c r="AA37" s="134"/>
      <c r="AB37" s="135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5.75">
      <c r="A38" s="8">
        <v>44</v>
      </c>
      <c r="B38" s="9">
        <v>1.0985</v>
      </c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>
        <v>1.09894</v>
      </c>
      <c r="T38" s="9">
        <v>1.0926</v>
      </c>
      <c r="U38" s="9"/>
      <c r="V38" s="10">
        <v>1.0985</v>
      </c>
      <c r="W38" s="11"/>
      <c r="X38" s="12"/>
      <c r="Y38" s="12"/>
      <c r="Z38" s="1"/>
      <c r="AA38" s="134"/>
      <c r="AB38" s="135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5.75">
      <c r="A39" s="8">
        <v>46</v>
      </c>
      <c r="B39" s="9">
        <v>1.1493</v>
      </c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>
        <v>1.1489400000000001</v>
      </c>
      <c r="T39" s="9">
        <v>1.1426000000000001</v>
      </c>
      <c r="U39" s="9"/>
      <c r="V39" s="10">
        <v>1.1493</v>
      </c>
      <c r="W39" s="11"/>
      <c r="X39" s="12"/>
      <c r="Y39" s="12"/>
      <c r="Z39" s="1"/>
      <c r="AA39" s="134"/>
      <c r="AB39" s="135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5.75">
      <c r="A40" s="8">
        <v>48</v>
      </c>
      <c r="B40" s="9">
        <v>1.2000999999999999</v>
      </c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>
        <v>1.19994</v>
      </c>
      <c r="T40" s="9">
        <v>1.1936</v>
      </c>
      <c r="U40" s="9"/>
      <c r="V40" s="10">
        <v>1.2000999999999999</v>
      </c>
      <c r="W40" s="11"/>
      <c r="X40" s="12"/>
      <c r="Y40" s="12"/>
      <c r="Z40" s="1"/>
      <c r="AA40" s="134"/>
      <c r="AB40" s="135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5.75">
      <c r="A41" s="8">
        <v>50</v>
      </c>
      <c r="B41" s="9">
        <v>1.2509999999999999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 t="e">
        <f>NA()</f>
        <v>#N/A</v>
      </c>
      <c r="T41" s="9" t="e">
        <f>NA()</f>
        <v>#N/A</v>
      </c>
      <c r="U41" s="9"/>
      <c r="V41" s="10">
        <v>1.3017000000000001</v>
      </c>
      <c r="W41" s="11"/>
      <c r="X41" s="12"/>
      <c r="Y41" s="12"/>
      <c r="Z41" s="1"/>
      <c r="AA41" s="134"/>
      <c r="AB41" s="135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5.75">
      <c r="A42" s="8">
        <v>52</v>
      </c>
      <c r="B42" s="9">
        <v>1.3017000000000001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10">
        <v>1.4033</v>
      </c>
      <c r="W42" s="11"/>
      <c r="X42" s="12"/>
      <c r="Y42" s="12"/>
      <c r="Z42" s="1"/>
      <c r="AA42" s="134"/>
      <c r="AB42" s="135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5.75">
      <c r="A43" s="8">
        <v>54</v>
      </c>
      <c r="B43" s="9">
        <v>1.3526</v>
      </c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10">
        <v>1.5048999999999999</v>
      </c>
      <c r="W43" s="11"/>
      <c r="X43" s="12"/>
      <c r="Y43" s="12"/>
      <c r="Z43" s="1"/>
      <c r="AA43" s="134"/>
      <c r="AB43" s="135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5.75">
      <c r="A44" s="8">
        <v>56</v>
      </c>
      <c r="B44" s="9">
        <v>1.4033</v>
      </c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10" t="e">
        <f>NA()</f>
        <v>#N/A</v>
      </c>
      <c r="W44" s="11"/>
      <c r="X44" s="12"/>
      <c r="Y44" s="12"/>
      <c r="Z44" s="1"/>
      <c r="AA44" s="134"/>
      <c r="AB44" s="135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5.75">
      <c r="A45" s="8">
        <v>58</v>
      </c>
      <c r="B45" s="9" t="e">
        <f>NA()</f>
        <v>#N/A</v>
      </c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10"/>
      <c r="W45" s="11"/>
      <c r="X45" s="12"/>
      <c r="Y45" s="12"/>
      <c r="Z45" s="1"/>
      <c r="AA45" s="134"/>
      <c r="AB45" s="135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5.75">
      <c r="A46" s="8">
        <v>60</v>
      </c>
      <c r="B46" s="9">
        <v>1.5048999999999999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10"/>
      <c r="W46" s="11"/>
      <c r="X46" s="12"/>
      <c r="Y46" s="12"/>
      <c r="Z46" s="1"/>
      <c r="AA46" s="134"/>
      <c r="AB46" s="135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5.75">
      <c r="A47" s="8">
        <v>66</v>
      </c>
      <c r="B47" s="9">
        <v>1.65734</v>
      </c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10"/>
      <c r="W47" s="11"/>
      <c r="X47" s="12"/>
      <c r="Y47" s="12"/>
      <c r="Z47" s="1"/>
      <c r="AA47" s="134"/>
      <c r="AB47" s="135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6.5" thickBot="1">
      <c r="A48" s="13">
        <v>72</v>
      </c>
      <c r="B48" s="14">
        <v>1.8036000000000001</v>
      </c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5"/>
      <c r="W48" s="11"/>
      <c r="X48" s="12"/>
      <c r="Y48" s="12"/>
      <c r="Z48" s="1"/>
      <c r="AA48" s="134"/>
      <c r="AB48" s="135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3.5" thickTop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>
      <c r="A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3.5" thickBot="1">
      <c r="A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6.5" thickTop="1">
      <c r="A52" s="1"/>
      <c r="B52" s="16">
        <v>10</v>
      </c>
      <c r="C52" s="17">
        <v>9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5.75">
      <c r="A53" s="1"/>
      <c r="B53" s="18">
        <v>20</v>
      </c>
      <c r="C53" s="19">
        <v>10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5.75">
      <c r="A54" s="1"/>
      <c r="B54" s="18">
        <v>30</v>
      </c>
      <c r="C54" s="19">
        <v>11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5.75">
      <c r="A55" s="1"/>
      <c r="B55" s="18">
        <v>40</v>
      </c>
      <c r="C55" s="19">
        <v>12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5.75">
      <c r="A56" s="1"/>
      <c r="B56" s="18">
        <v>60</v>
      </c>
      <c r="C56" s="19">
        <v>13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  <row r="57" spans="1:41" ht="15.75">
      <c r="A57" s="1"/>
      <c r="B57" s="18">
        <v>80</v>
      </c>
      <c r="C57" s="19">
        <v>14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</row>
    <row r="58" spans="1:41" ht="15.75">
      <c r="A58" s="1"/>
      <c r="B58" s="18">
        <v>100</v>
      </c>
      <c r="C58" s="19">
        <v>15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</row>
    <row r="59" spans="1:41" ht="15.75">
      <c r="A59" s="1"/>
      <c r="B59" s="18">
        <v>120</v>
      </c>
      <c r="C59" s="19">
        <v>16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</row>
    <row r="60" spans="1:41" ht="15.75">
      <c r="A60" s="1"/>
      <c r="B60" s="18">
        <v>140</v>
      </c>
      <c r="C60" s="19">
        <v>17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</row>
    <row r="61" spans="1:41" ht="15.75">
      <c r="A61" s="1"/>
      <c r="B61" s="18">
        <v>150</v>
      </c>
      <c r="C61" s="19">
        <v>2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</row>
    <row r="62" spans="1:41" ht="15.75">
      <c r="A62" s="1"/>
      <c r="B62" s="18">
        <v>160</v>
      </c>
      <c r="C62" s="19">
        <v>18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</row>
    <row r="63" spans="1:41" ht="15.75">
      <c r="A63" s="1"/>
      <c r="B63" s="18">
        <v>300</v>
      </c>
      <c r="C63" s="19">
        <v>3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</row>
    <row r="64" spans="1:41" ht="15.75">
      <c r="A64" s="1"/>
      <c r="B64" s="18">
        <v>600</v>
      </c>
      <c r="C64" s="19">
        <v>4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</row>
    <row r="65" spans="1:41" ht="15.75">
      <c r="A65" s="1"/>
      <c r="B65" s="20" t="s">
        <v>1</v>
      </c>
      <c r="C65" s="19">
        <v>5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</row>
    <row r="66" spans="1:41" ht="15.75">
      <c r="A66" s="1"/>
      <c r="B66" s="20" t="s">
        <v>2</v>
      </c>
      <c r="C66" s="19">
        <v>6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</row>
    <row r="67" spans="1:41" ht="15.75">
      <c r="A67" s="1"/>
      <c r="B67" s="20" t="s">
        <v>3</v>
      </c>
      <c r="C67" s="19">
        <v>7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</row>
    <row r="68" spans="1:41" ht="15.75">
      <c r="A68" s="1"/>
      <c r="B68" s="20" t="s">
        <v>4</v>
      </c>
      <c r="C68" s="19">
        <v>8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</row>
    <row r="69" spans="1:41" ht="15.75">
      <c r="A69" s="1"/>
      <c r="B69" s="18" t="s">
        <v>5</v>
      </c>
      <c r="C69" s="19">
        <v>19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</row>
    <row r="70" spans="1:41" ht="15.75">
      <c r="A70" s="1"/>
      <c r="B70" s="18" t="s">
        <v>6</v>
      </c>
      <c r="C70" s="19">
        <v>20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</row>
    <row r="71" spans="1:41" ht="15.75">
      <c r="A71" s="1"/>
      <c r="B71" s="18" t="s">
        <v>7</v>
      </c>
      <c r="C71" s="19">
        <v>21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</row>
    <row r="72" spans="1:41" ht="16.5" thickBot="1">
      <c r="A72" s="1"/>
      <c r="B72" s="21" t="s">
        <v>8</v>
      </c>
      <c r="C72" s="22">
        <v>22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</row>
    <row r="73" spans="1:41" ht="13.5" thickTop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</row>
    <row r="74" spans="1:4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</row>
    <row r="75" spans="1:4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</row>
    <row r="76" spans="1:4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</row>
    <row r="77" spans="1:4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</row>
    <row r="78" spans="1:4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</row>
    <row r="79" spans="1:4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</row>
    <row r="80" spans="1:4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</row>
    <row r="81" spans="1:4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</row>
    <row r="82" spans="1:4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</row>
    <row r="83" spans="1:4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</row>
    <row r="84" spans="1:4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</row>
    <row r="85" spans="1:4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</row>
    <row r="86" spans="1:4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</row>
    <row r="87" spans="1:4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</row>
    <row r="88" spans="1:4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</row>
    <row r="89" spans="1:4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</row>
    <row r="90" spans="1:4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</row>
    <row r="91" spans="1:4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</row>
    <row r="92" spans="1:4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</row>
    <row r="93" spans="1:4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</row>
    <row r="94" spans="1:4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</row>
    <row r="95" spans="1:4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</row>
    <row r="96" spans="1:4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</row>
    <row r="97" spans="1:4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</row>
    <row r="98" spans="1:4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</row>
    <row r="99" spans="1:4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</row>
    <row r="100" spans="1:4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</row>
    <row r="101" spans="1:4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</row>
    <row r="102" spans="1:4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</row>
    <row r="103" spans="1:4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</row>
    <row r="104" spans="1:4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</row>
    <row r="105" spans="1:4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</row>
    <row r="106" spans="1:4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</row>
    <row r="107" spans="1:4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</row>
    <row r="108" spans="1:4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</row>
    <row r="109" spans="1:4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</row>
    <row r="110" spans="1:4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</row>
    <row r="111" spans="1:4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</row>
    <row r="112" spans="1:4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</row>
    <row r="113" spans="1:4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</row>
    <row r="114" spans="1:4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</row>
    <row r="115" spans="1:4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</row>
    <row r="116" spans="1:4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</row>
    <row r="117" spans="1:4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</row>
    <row r="118" spans="1:4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</row>
    <row r="119" spans="1:4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</row>
    <row r="120" spans="1:4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</row>
    <row r="121" spans="1:4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</row>
    <row r="122" spans="1:4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</row>
    <row r="123" spans="1:4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</row>
    <row r="124" spans="1:4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</row>
    <row r="125" spans="1:4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</row>
    <row r="126" spans="1:4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</row>
    <row r="127" spans="1:4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</row>
    <row r="128" spans="1:4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</row>
    <row r="129" spans="1:4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</row>
    <row r="130" spans="1:4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</row>
    <row r="131" spans="1:4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</row>
    <row r="132" spans="1:4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</row>
    <row r="133" spans="1:4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</row>
    <row r="134" spans="1:4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</row>
    <row r="135" spans="1:4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</row>
    <row r="136" spans="1:4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</row>
    <row r="137" spans="1:4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</row>
    <row r="138" spans="1:4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</row>
    <row r="139" spans="1:4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</row>
    <row r="140" spans="1:4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</row>
    <row r="141" spans="1:4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</row>
    <row r="142" spans="1:4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</row>
    <row r="143" spans="1:4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</row>
    <row r="144" spans="1:4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</row>
    <row r="145" spans="1:4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</row>
    <row r="146" spans="1:4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</row>
    <row r="147" spans="1:4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</row>
    <row r="148" spans="1:4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</row>
    <row r="149" spans="1:4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</row>
    <row r="150" spans="1:4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</row>
    <row r="151" spans="1:4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</row>
    <row r="152" spans="1:4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</row>
    <row r="153" spans="1:4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</row>
  </sheetData>
  <phoneticPr fontId="1" type="noConversion"/>
  <printOptions gridLines="1" gridLinesSet="0"/>
  <pageMargins left="0.55118110236220474" right="0.55118110236220474" top="0.61" bottom="0.7" header="0.31496062992125984" footer="0.51181102362204722"/>
  <pageSetup paperSize="9" scale="65" orientation="landscape" r:id="rId1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4:Y96"/>
  <sheetViews>
    <sheetView topLeftCell="A70" zoomScale="85" zoomScaleNormal="85" workbookViewId="0">
      <selection activeCell="O83" sqref="O83"/>
    </sheetView>
  </sheetViews>
  <sheetFormatPr defaultRowHeight="12.75"/>
  <cols>
    <col min="2" max="2" width="2.28515625" customWidth="1"/>
    <col min="5" max="5" width="10.7109375" customWidth="1"/>
    <col min="8" max="8" width="3.7109375" customWidth="1"/>
    <col min="9" max="9" width="10.7109375" customWidth="1"/>
    <col min="10" max="10" width="3.7109375" customWidth="1"/>
    <col min="11" max="11" width="10.7109375" customWidth="1"/>
    <col min="12" max="12" width="3.7109375" customWidth="1"/>
    <col min="13" max="13" width="10.7109375" customWidth="1"/>
    <col min="14" max="14" width="3.7109375" customWidth="1"/>
    <col min="15" max="15" width="5.7109375" customWidth="1"/>
  </cols>
  <sheetData>
    <row r="4" spans="2:3" s="193" customFormat="1" ht="37.5">
      <c r="B4" s="195" t="s">
        <v>137</v>
      </c>
    </row>
    <row r="5" spans="2:3" s="193" customFormat="1" ht="9.9499999999999993" customHeight="1">
      <c r="B5" s="195"/>
    </row>
    <row r="6" spans="2:3" s="193" customFormat="1" ht="25.5" customHeight="1">
      <c r="B6" s="194" t="s">
        <v>141</v>
      </c>
    </row>
    <row r="7" spans="2:3" ht="24">
      <c r="C7" s="196" t="s">
        <v>142</v>
      </c>
    </row>
    <row r="8" spans="2:3" s="262" customFormat="1" ht="24">
      <c r="C8" s="196" t="s">
        <v>223</v>
      </c>
    </row>
    <row r="9" spans="2:3" ht="20.100000000000001" customHeight="1">
      <c r="C9" s="196"/>
    </row>
    <row r="10" spans="2:3" ht="25.5">
      <c r="B10" s="194" t="s">
        <v>140</v>
      </c>
    </row>
    <row r="11" spans="2:3" ht="23.25">
      <c r="C11" s="196" t="s">
        <v>138</v>
      </c>
    </row>
    <row r="12" spans="2:3" ht="23.25">
      <c r="C12" s="196" t="s">
        <v>139</v>
      </c>
    </row>
    <row r="13" spans="2:3" ht="20.100000000000001" customHeight="1">
      <c r="C13" s="196"/>
    </row>
    <row r="14" spans="2:3" ht="26.25">
      <c r="B14" s="194" t="s">
        <v>143</v>
      </c>
    </row>
    <row r="15" spans="2:3" ht="24">
      <c r="C15" s="196" t="s">
        <v>144</v>
      </c>
    </row>
    <row r="17" spans="2:25" ht="26.25">
      <c r="B17" s="194" t="s">
        <v>185</v>
      </c>
    </row>
    <row r="19" spans="2:25" s="262" customFormat="1" ht="25.5">
      <c r="B19" s="194" t="s">
        <v>280</v>
      </c>
    </row>
    <row r="20" spans="2:25" ht="23.25">
      <c r="B20" s="262"/>
      <c r="C20" s="196" t="s">
        <v>279</v>
      </c>
    </row>
    <row r="21" spans="2:25" s="324" customFormat="1" ht="12.75" customHeight="1">
      <c r="C21" s="196"/>
    </row>
    <row r="22" spans="2:25" s="324" customFormat="1" ht="25.5">
      <c r="B22" s="194" t="s">
        <v>281</v>
      </c>
      <c r="C22" s="196"/>
    </row>
    <row r="23" spans="2:25" s="324" customFormat="1" ht="23.25">
      <c r="C23" s="196" t="s">
        <v>282</v>
      </c>
    </row>
    <row r="25" spans="2:25" s="324" customFormat="1"/>
    <row r="26" spans="2:25" s="324" customFormat="1"/>
    <row r="27" spans="2:25" s="193" customFormat="1" ht="37.5">
      <c r="B27" s="195" t="s">
        <v>145</v>
      </c>
    </row>
    <row r="28" spans="2:25" s="193" customFormat="1" ht="9.9499999999999993" customHeight="1">
      <c r="B28" s="195"/>
    </row>
    <row r="29" spans="2:25" s="193" customFormat="1" ht="25.5" customHeight="1">
      <c r="B29" s="194" t="s">
        <v>159</v>
      </c>
      <c r="J29" s="194"/>
      <c r="K29" s="194"/>
    </row>
    <row r="31" spans="2:25" ht="24">
      <c r="C31" s="196" t="s">
        <v>149</v>
      </c>
      <c r="Q31" s="196" t="s">
        <v>165</v>
      </c>
      <c r="Y31" s="196" t="s">
        <v>167</v>
      </c>
    </row>
    <row r="32" spans="2:25" ht="29.25">
      <c r="C32" s="196" t="s">
        <v>146</v>
      </c>
      <c r="Q32" s="196" t="s">
        <v>166</v>
      </c>
      <c r="Y32" s="196" t="s">
        <v>169</v>
      </c>
    </row>
    <row r="33" spans="2:22" ht="26.25">
      <c r="B33" t="s">
        <v>147</v>
      </c>
      <c r="C33" s="196" t="s">
        <v>148</v>
      </c>
      <c r="Q33" s="196" t="s">
        <v>151</v>
      </c>
      <c r="U33" s="196" t="s">
        <v>150</v>
      </c>
    </row>
    <row r="34" spans="2:22" ht="23.25">
      <c r="C34" s="196"/>
      <c r="Q34" s="196" t="s">
        <v>152</v>
      </c>
    </row>
    <row r="35" spans="2:22" ht="15" customHeight="1">
      <c r="C35" s="196"/>
    </row>
    <row r="36" spans="2:22" ht="26.25">
      <c r="C36" s="196" t="s">
        <v>155</v>
      </c>
      <c r="Q36" s="196" t="s">
        <v>153</v>
      </c>
    </row>
    <row r="37" spans="2:22" ht="23.25">
      <c r="C37" s="196" t="s">
        <v>158</v>
      </c>
      <c r="Q37" s="196" t="s">
        <v>154</v>
      </c>
      <c r="V37" s="196" t="s">
        <v>157</v>
      </c>
    </row>
    <row r="38" spans="2:22" ht="24">
      <c r="C38" s="196"/>
      <c r="Q38" s="196" t="s">
        <v>156</v>
      </c>
    </row>
    <row r="39" spans="2:22" ht="24">
      <c r="Q39" s="196" t="s">
        <v>168</v>
      </c>
    </row>
    <row r="41" spans="2:22" s="193" customFormat="1" ht="25.5" customHeight="1">
      <c r="B41" s="194" t="s">
        <v>160</v>
      </c>
      <c r="J41" s="194"/>
      <c r="K41" s="194"/>
    </row>
    <row r="43" spans="2:22" ht="24">
      <c r="C43" s="196" t="s">
        <v>163</v>
      </c>
      <c r="P43" s="196"/>
      <c r="Q43" s="196" t="s">
        <v>164</v>
      </c>
    </row>
    <row r="44" spans="2:22" ht="23.25">
      <c r="C44" s="196" t="s">
        <v>170</v>
      </c>
      <c r="F44" s="117" t="s">
        <v>173</v>
      </c>
      <c r="L44" s="196"/>
      <c r="P44" s="196"/>
    </row>
    <row r="45" spans="2:22" ht="12.75" customHeight="1">
      <c r="C45" s="196"/>
      <c r="L45" s="196"/>
      <c r="P45" s="196"/>
    </row>
    <row r="46" spans="2:22" ht="24">
      <c r="C46" s="196"/>
      <c r="Q46" s="196" t="s">
        <v>174</v>
      </c>
    </row>
    <row r="47" spans="2:22" ht="23.25">
      <c r="C47" s="196"/>
      <c r="Q47" s="196" t="s">
        <v>175</v>
      </c>
    </row>
    <row r="48" spans="2:22" ht="26.25">
      <c r="C48" s="196"/>
      <c r="L48" s="196"/>
      <c r="Q48" s="196" t="s">
        <v>177</v>
      </c>
      <c r="R48" s="196" t="s">
        <v>178</v>
      </c>
    </row>
    <row r="49" spans="2:21" ht="24">
      <c r="C49" s="196"/>
      <c r="L49" s="196"/>
      <c r="Q49" s="196" t="s">
        <v>176</v>
      </c>
      <c r="U49" s="196" t="s">
        <v>179</v>
      </c>
    </row>
    <row r="50" spans="2:21" ht="12.75" customHeight="1">
      <c r="C50" s="196"/>
      <c r="L50" s="196"/>
    </row>
    <row r="51" spans="2:21" ht="23.25">
      <c r="L51" s="196"/>
    </row>
    <row r="52" spans="2:21" ht="23.25">
      <c r="Q52" s="196" t="s">
        <v>180</v>
      </c>
    </row>
    <row r="53" spans="2:21" ht="24">
      <c r="Q53" s="196" t="s">
        <v>181</v>
      </c>
    </row>
    <row r="54" spans="2:21" ht="23.25">
      <c r="Q54" s="196"/>
    </row>
    <row r="57" spans="2:21" ht="26.25">
      <c r="B57" s="194" t="s">
        <v>182</v>
      </c>
    </row>
    <row r="59" spans="2:21" ht="24">
      <c r="C59" s="196" t="s">
        <v>183</v>
      </c>
      <c r="M59" s="196"/>
      <c r="P59" s="196"/>
    </row>
    <row r="60" spans="2:21" ht="24">
      <c r="C60" s="196" t="s">
        <v>184</v>
      </c>
      <c r="F60" s="117"/>
      <c r="L60" s="196"/>
      <c r="P60" s="196"/>
    </row>
    <row r="62" spans="2:21" ht="23.25">
      <c r="C62" s="196"/>
      <c r="F62" s="117"/>
      <c r="L62" s="196"/>
      <c r="P62" s="196"/>
    </row>
    <row r="63" spans="2:21" ht="26.25">
      <c r="B63" s="194" t="s">
        <v>283</v>
      </c>
    </row>
    <row r="65" spans="3:15" s="358" customFormat="1" ht="23.85" customHeight="1"/>
    <row r="66" spans="3:15" s="358" customFormat="1" ht="23.85" customHeight="1">
      <c r="C66" s="367" t="s">
        <v>314</v>
      </c>
    </row>
    <row r="67" spans="3:15" s="358" customFormat="1" ht="23.85" customHeight="1"/>
    <row r="68" spans="3:15" s="358" customFormat="1" ht="23.85" customHeight="1">
      <c r="C68" s="367" t="s">
        <v>284</v>
      </c>
    </row>
    <row r="69" spans="3:15" s="358" customFormat="1" ht="23.85" customHeight="1"/>
    <row r="70" spans="3:15" s="358" customFormat="1" ht="23.85" customHeight="1">
      <c r="C70" s="359">
        <v>1</v>
      </c>
      <c r="D70" s="548" t="s">
        <v>285</v>
      </c>
      <c r="E70" s="359" t="s">
        <v>316</v>
      </c>
      <c r="F70" s="548" t="s">
        <v>286</v>
      </c>
      <c r="G70" s="359" t="s">
        <v>316</v>
      </c>
      <c r="H70" s="551" t="s">
        <v>287</v>
      </c>
      <c r="I70" s="362" t="s">
        <v>288</v>
      </c>
      <c r="J70" s="548" t="s">
        <v>286</v>
      </c>
      <c r="K70" s="362" t="s">
        <v>289</v>
      </c>
      <c r="L70" s="551" t="s">
        <v>291</v>
      </c>
      <c r="M70" s="548" t="s">
        <v>286</v>
      </c>
      <c r="N70" s="549">
        <v>1</v>
      </c>
      <c r="O70" s="549"/>
    </row>
    <row r="71" spans="3:15" s="358" customFormat="1" ht="23.85" customHeight="1">
      <c r="C71" s="360" t="s">
        <v>315</v>
      </c>
      <c r="D71" s="548"/>
      <c r="E71" s="360" t="s">
        <v>317</v>
      </c>
      <c r="F71" s="548"/>
      <c r="G71" s="360">
        <v>24</v>
      </c>
      <c r="H71" s="551"/>
      <c r="I71" s="360" t="s">
        <v>293</v>
      </c>
      <c r="J71" s="548"/>
      <c r="K71" s="360" t="s">
        <v>294</v>
      </c>
      <c r="L71" s="551"/>
      <c r="M71" s="548"/>
      <c r="N71" s="550" t="s">
        <v>318</v>
      </c>
      <c r="O71" s="550"/>
    </row>
    <row r="72" spans="3:15" s="358" customFormat="1" ht="23.85" customHeight="1">
      <c r="C72" s="364"/>
      <c r="D72" s="363"/>
      <c r="E72" s="364"/>
      <c r="F72" s="363"/>
      <c r="G72" s="364"/>
      <c r="H72" s="366"/>
      <c r="I72" s="364"/>
      <c r="J72" s="363"/>
      <c r="K72" s="364"/>
      <c r="L72" s="363"/>
      <c r="M72" s="364"/>
      <c r="N72" s="366"/>
    </row>
    <row r="73" spans="3:15" s="358" customFormat="1" ht="23.85" customHeight="1">
      <c r="C73" s="367" t="s">
        <v>296</v>
      </c>
      <c r="D73" s="363"/>
      <c r="E73" s="364"/>
      <c r="F73" s="363"/>
      <c r="G73" s="364"/>
      <c r="H73" s="366"/>
      <c r="I73" s="364"/>
      <c r="J73" s="363"/>
      <c r="K73" s="364"/>
      <c r="L73" s="363"/>
      <c r="M73" s="364"/>
      <c r="N73" s="366"/>
    </row>
    <row r="74" spans="3:15" s="358" customFormat="1" ht="23.85" customHeight="1">
      <c r="C74" s="361"/>
      <c r="L74" s="361"/>
    </row>
    <row r="75" spans="3:15" s="358" customFormat="1" ht="23.85" customHeight="1">
      <c r="C75" s="359">
        <v>1</v>
      </c>
      <c r="D75" s="548" t="s">
        <v>285</v>
      </c>
      <c r="E75" s="359" t="s">
        <v>316</v>
      </c>
      <c r="F75" s="548" t="s">
        <v>286</v>
      </c>
      <c r="G75" s="359" t="s">
        <v>316</v>
      </c>
      <c r="H75" s="551" t="s">
        <v>287</v>
      </c>
      <c r="I75" s="362" t="s">
        <v>288</v>
      </c>
      <c r="J75" s="551" t="s">
        <v>291</v>
      </c>
      <c r="K75" s="548" t="s">
        <v>286</v>
      </c>
      <c r="L75" s="549">
        <v>1</v>
      </c>
      <c r="M75" s="549"/>
      <c r="N75" s="551"/>
    </row>
    <row r="76" spans="3:15" s="358" customFormat="1" ht="23.85" customHeight="1">
      <c r="C76" s="360" t="s">
        <v>315</v>
      </c>
      <c r="D76" s="548"/>
      <c r="E76" s="360" t="s">
        <v>317</v>
      </c>
      <c r="F76" s="548"/>
      <c r="G76" s="360">
        <v>24</v>
      </c>
      <c r="H76" s="551"/>
      <c r="I76" s="360" t="s">
        <v>293</v>
      </c>
      <c r="J76" s="551"/>
      <c r="K76" s="548"/>
      <c r="L76" s="550" t="s">
        <v>318</v>
      </c>
      <c r="M76" s="550"/>
      <c r="N76" s="551"/>
    </row>
    <row r="77" spans="3:15" s="358" customFormat="1" ht="23.85" customHeight="1">
      <c r="C77" s="364"/>
      <c r="D77" s="363"/>
      <c r="E77" s="364"/>
      <c r="F77" s="363"/>
      <c r="G77" s="364"/>
      <c r="H77" s="366"/>
      <c r="I77" s="364"/>
      <c r="J77" s="366"/>
      <c r="K77" s="363"/>
      <c r="L77" s="364"/>
      <c r="M77" s="364"/>
      <c r="N77" s="366"/>
    </row>
    <row r="78" spans="3:15" s="358" customFormat="1" ht="23.85" customHeight="1">
      <c r="C78" s="361" t="s">
        <v>324</v>
      </c>
      <c r="D78" s="363"/>
      <c r="E78" s="364"/>
      <c r="F78" s="363"/>
      <c r="G78" s="364"/>
      <c r="H78" s="366"/>
      <c r="I78" s="361" t="s">
        <v>319</v>
      </c>
      <c r="J78" s="366"/>
      <c r="K78" s="363"/>
      <c r="L78" s="364"/>
      <c r="M78" s="364"/>
      <c r="N78" s="366"/>
    </row>
    <row r="79" spans="3:15" s="358" customFormat="1" ht="23.85" customHeight="1"/>
    <row r="80" spans="3:15" s="358" customFormat="1" ht="23.85" customHeight="1">
      <c r="C80" s="367" t="s">
        <v>311</v>
      </c>
    </row>
    <row r="81" spans="3:21" s="358" customFormat="1"/>
    <row r="82" spans="3:21" ht="23.25">
      <c r="C82" s="367" t="s">
        <v>284</v>
      </c>
      <c r="D82" s="358"/>
      <c r="E82" s="358"/>
      <c r="F82" s="358"/>
      <c r="G82" s="358"/>
      <c r="H82" s="358"/>
      <c r="I82" s="358"/>
      <c r="J82" s="358"/>
      <c r="K82" s="358"/>
      <c r="L82" s="358"/>
      <c r="M82" s="358"/>
      <c r="N82" s="358"/>
      <c r="O82" s="358"/>
      <c r="P82" s="358"/>
      <c r="Q82" s="358"/>
      <c r="R82" s="358"/>
      <c r="S82" s="358"/>
      <c r="T82" s="358"/>
      <c r="U82" s="358"/>
    </row>
    <row r="83" spans="3:21">
      <c r="C83" s="358"/>
      <c r="D83" s="358"/>
      <c r="E83" s="358"/>
      <c r="F83" s="358"/>
      <c r="G83" s="358"/>
      <c r="H83" s="358"/>
      <c r="I83" s="358"/>
      <c r="J83" s="358"/>
      <c r="K83" s="358"/>
      <c r="L83" s="358"/>
      <c r="M83" s="358"/>
      <c r="N83" s="358"/>
      <c r="O83" s="358"/>
      <c r="P83" s="358"/>
      <c r="Q83" s="358"/>
      <c r="R83" s="358"/>
      <c r="S83" s="358"/>
      <c r="T83" s="358"/>
      <c r="U83" s="358"/>
    </row>
    <row r="84" spans="3:21" ht="23.25">
      <c r="C84" s="359">
        <v>1</v>
      </c>
      <c r="D84" s="548" t="s">
        <v>285</v>
      </c>
      <c r="E84" s="359">
        <v>1</v>
      </c>
      <c r="F84" s="548" t="s">
        <v>286</v>
      </c>
      <c r="G84" s="359" t="s">
        <v>313</v>
      </c>
      <c r="H84" s="551" t="s">
        <v>287</v>
      </c>
      <c r="I84" s="362" t="s">
        <v>288</v>
      </c>
      <c r="J84" s="548" t="s">
        <v>286</v>
      </c>
      <c r="K84" s="362" t="s">
        <v>289</v>
      </c>
      <c r="L84" s="548" t="s">
        <v>286</v>
      </c>
      <c r="M84" s="362" t="s">
        <v>290</v>
      </c>
      <c r="N84" s="551" t="s">
        <v>291</v>
      </c>
      <c r="O84" s="358"/>
      <c r="P84" s="358"/>
      <c r="Q84" s="358"/>
      <c r="R84" s="358"/>
      <c r="S84" s="358"/>
      <c r="T84" s="358"/>
      <c r="U84" s="358"/>
    </row>
    <row r="85" spans="3:21" ht="24.75">
      <c r="C85" s="360" t="s">
        <v>312</v>
      </c>
      <c r="D85" s="548"/>
      <c r="E85" s="360" t="s">
        <v>292</v>
      </c>
      <c r="F85" s="548"/>
      <c r="G85" s="360">
        <v>24</v>
      </c>
      <c r="H85" s="551"/>
      <c r="I85" s="360" t="s">
        <v>293</v>
      </c>
      <c r="J85" s="548"/>
      <c r="K85" s="360" t="s">
        <v>294</v>
      </c>
      <c r="L85" s="548"/>
      <c r="M85" s="360" t="s">
        <v>295</v>
      </c>
      <c r="N85" s="551"/>
      <c r="O85" s="358"/>
      <c r="P85" s="358"/>
      <c r="Q85" s="358"/>
      <c r="R85" s="358"/>
      <c r="S85" s="358"/>
      <c r="T85" s="358"/>
      <c r="U85" s="358"/>
    </row>
    <row r="86" spans="3:21" ht="23.25">
      <c r="C86" s="364"/>
      <c r="D86" s="363"/>
      <c r="E86" s="364"/>
      <c r="F86" s="363"/>
      <c r="G86" s="364"/>
      <c r="H86" s="366"/>
      <c r="I86" s="364"/>
      <c r="J86" s="363"/>
      <c r="K86" s="364"/>
      <c r="L86" s="363"/>
      <c r="M86" s="364"/>
      <c r="N86" s="366"/>
      <c r="O86" s="358"/>
      <c r="P86" s="361"/>
      <c r="Q86" s="358"/>
      <c r="R86" s="358"/>
      <c r="S86" s="358"/>
      <c r="T86" s="358"/>
      <c r="U86" s="358"/>
    </row>
    <row r="87" spans="3:21" ht="23.25">
      <c r="C87" s="367" t="s">
        <v>296</v>
      </c>
      <c r="D87" s="363"/>
      <c r="E87" s="364"/>
      <c r="F87" s="363"/>
      <c r="G87" s="364"/>
      <c r="H87" s="366"/>
      <c r="I87" s="364"/>
      <c r="J87" s="363"/>
      <c r="K87" s="364"/>
      <c r="L87" s="363"/>
      <c r="M87" s="364"/>
      <c r="N87" s="366"/>
      <c r="O87" s="358"/>
      <c r="P87" s="361"/>
      <c r="Q87" s="358"/>
      <c r="R87" s="358"/>
      <c r="S87" s="358"/>
      <c r="T87" s="358"/>
      <c r="U87" s="358"/>
    </row>
    <row r="88" spans="3:21" ht="23.25">
      <c r="C88" s="361"/>
      <c r="D88" s="358"/>
      <c r="E88" s="358"/>
      <c r="F88" s="358"/>
      <c r="G88" s="358"/>
      <c r="H88" s="358"/>
      <c r="I88" s="358"/>
      <c r="J88" s="358"/>
      <c r="K88" s="358"/>
      <c r="L88" s="361"/>
      <c r="M88" s="358"/>
      <c r="N88" s="358"/>
      <c r="O88" s="358"/>
      <c r="P88" s="361"/>
      <c r="Q88" s="358"/>
      <c r="R88" s="358"/>
      <c r="S88" s="358"/>
      <c r="T88" s="358"/>
      <c r="U88" s="358"/>
    </row>
    <row r="89" spans="3:21" ht="23.25">
      <c r="C89" s="359">
        <v>1</v>
      </c>
      <c r="D89" s="548" t="s">
        <v>285</v>
      </c>
      <c r="E89" s="359">
        <v>1</v>
      </c>
      <c r="F89" s="548" t="s">
        <v>286</v>
      </c>
      <c r="G89" s="359" t="s">
        <v>313</v>
      </c>
      <c r="H89" s="551" t="s">
        <v>287</v>
      </c>
      <c r="I89" s="362" t="s">
        <v>288</v>
      </c>
      <c r="J89" s="363" t="s">
        <v>286</v>
      </c>
      <c r="K89" s="362" t="s">
        <v>297</v>
      </c>
      <c r="L89" s="551" t="s">
        <v>291</v>
      </c>
      <c r="M89" s="365"/>
      <c r="N89" s="551"/>
      <c r="O89" s="358"/>
      <c r="P89" s="361" t="s">
        <v>298</v>
      </c>
      <c r="Q89" s="358"/>
      <c r="R89" s="358"/>
      <c r="S89" s="358"/>
      <c r="T89" s="358"/>
      <c r="U89" s="361" t="s">
        <v>299</v>
      </c>
    </row>
    <row r="90" spans="3:21" ht="24.75">
      <c r="C90" s="360" t="s">
        <v>312</v>
      </c>
      <c r="D90" s="548"/>
      <c r="E90" s="360" t="s">
        <v>292</v>
      </c>
      <c r="F90" s="548"/>
      <c r="G90" s="360">
        <v>24</v>
      </c>
      <c r="H90" s="551"/>
      <c r="I90" s="360" t="s">
        <v>293</v>
      </c>
      <c r="J90" s="363"/>
      <c r="K90" s="360" t="s">
        <v>295</v>
      </c>
      <c r="L90" s="551"/>
      <c r="M90" s="364"/>
      <c r="N90" s="551"/>
      <c r="O90" s="358"/>
      <c r="P90" s="361" t="s">
        <v>300</v>
      </c>
      <c r="Q90" s="358"/>
      <c r="R90" s="358"/>
      <c r="S90" s="358"/>
      <c r="T90" s="358"/>
      <c r="U90" s="361" t="s">
        <v>301</v>
      </c>
    </row>
    <row r="91" spans="3:21" ht="24">
      <c r="C91" s="361"/>
      <c r="D91" s="358"/>
      <c r="E91" s="358"/>
      <c r="F91" s="358"/>
      <c r="G91" s="358"/>
      <c r="H91" s="358"/>
      <c r="I91" s="358"/>
      <c r="J91" s="358"/>
      <c r="K91" s="358"/>
      <c r="L91" s="361"/>
      <c r="M91" s="361"/>
      <c r="N91" s="358"/>
      <c r="O91" s="358"/>
      <c r="P91" s="361" t="s">
        <v>302</v>
      </c>
      <c r="Q91" s="358"/>
      <c r="R91" s="361"/>
      <c r="S91" s="358"/>
      <c r="T91" s="358"/>
      <c r="U91" s="361" t="s">
        <v>303</v>
      </c>
    </row>
    <row r="92" spans="3:21" ht="23.25">
      <c r="C92" s="361"/>
      <c r="D92" s="358"/>
      <c r="E92" s="358"/>
      <c r="F92" s="358"/>
      <c r="G92" s="358"/>
      <c r="H92" s="358"/>
      <c r="I92" s="358"/>
      <c r="J92" s="358"/>
      <c r="K92" s="358"/>
      <c r="L92" s="361"/>
      <c r="M92" s="361"/>
      <c r="N92" s="358"/>
      <c r="O92" s="358"/>
      <c r="P92" s="361" t="s">
        <v>304</v>
      </c>
      <c r="Q92" s="361"/>
      <c r="R92" s="358"/>
      <c r="S92" s="358"/>
      <c r="T92" s="358"/>
      <c r="U92" s="361"/>
    </row>
    <row r="93" spans="3:21" ht="23.25">
      <c r="C93" s="361"/>
      <c r="D93" s="358"/>
      <c r="E93" s="358"/>
      <c r="F93" s="358"/>
      <c r="G93" s="358"/>
      <c r="H93" s="358"/>
      <c r="I93" s="358"/>
      <c r="J93" s="358"/>
      <c r="K93" s="358"/>
      <c r="L93" s="361"/>
      <c r="M93" s="361"/>
      <c r="N93" s="358"/>
      <c r="O93" s="358"/>
      <c r="P93" s="361"/>
      <c r="Q93" s="361"/>
      <c r="R93" s="358"/>
      <c r="S93" s="358"/>
      <c r="T93" s="358"/>
      <c r="U93" s="361"/>
    </row>
    <row r="94" spans="3:21" ht="24.75">
      <c r="C94" s="361" t="s">
        <v>305</v>
      </c>
      <c r="D94" s="358"/>
      <c r="E94" s="358"/>
      <c r="F94" s="358"/>
      <c r="G94" s="358"/>
      <c r="H94" s="358"/>
      <c r="I94" s="358"/>
      <c r="J94" s="358"/>
      <c r="K94" s="358"/>
      <c r="L94" s="361"/>
      <c r="M94" s="361"/>
      <c r="N94" s="358"/>
      <c r="O94" s="358"/>
      <c r="P94" s="361" t="s">
        <v>306</v>
      </c>
      <c r="Q94" s="361"/>
      <c r="R94" s="358"/>
      <c r="S94" s="358"/>
      <c r="T94" s="358"/>
      <c r="U94" s="361" t="s">
        <v>307</v>
      </c>
    </row>
    <row r="95" spans="3:21" ht="26.25">
      <c r="C95" s="361"/>
      <c r="D95" s="358"/>
      <c r="E95" s="358"/>
      <c r="F95" s="358"/>
      <c r="G95" s="358"/>
      <c r="H95" s="358"/>
      <c r="I95" s="358"/>
      <c r="J95" s="358"/>
      <c r="K95" s="358"/>
      <c r="L95" s="361"/>
      <c r="M95" s="361"/>
      <c r="N95" s="358"/>
      <c r="O95" s="358"/>
      <c r="P95" s="361" t="s">
        <v>308</v>
      </c>
      <c r="Q95" s="361"/>
      <c r="R95" s="358"/>
      <c r="S95" s="358"/>
      <c r="T95" s="358"/>
      <c r="U95" s="361" t="s">
        <v>309</v>
      </c>
    </row>
    <row r="96" spans="3:21" ht="23.25">
      <c r="C96" s="361"/>
      <c r="D96" s="358"/>
      <c r="E96" s="358"/>
      <c r="F96" s="358"/>
      <c r="G96" s="358"/>
      <c r="H96" s="358"/>
      <c r="I96" s="358"/>
      <c r="J96" s="358"/>
      <c r="K96" s="358"/>
      <c r="L96" s="361"/>
      <c r="M96" s="361"/>
      <c r="N96" s="358"/>
      <c r="O96" s="358"/>
      <c r="P96" s="361"/>
      <c r="Q96" s="361"/>
      <c r="R96" s="358"/>
      <c r="S96" s="358"/>
      <c r="T96" s="358"/>
      <c r="U96" s="361" t="s">
        <v>310</v>
      </c>
    </row>
  </sheetData>
  <mergeCells count="27">
    <mergeCell ref="L89:L90"/>
    <mergeCell ref="N89:N90"/>
    <mergeCell ref="N84:N85"/>
    <mergeCell ref="D84:D85"/>
    <mergeCell ref="F84:F85"/>
    <mergeCell ref="H84:H85"/>
    <mergeCell ref="J84:J85"/>
    <mergeCell ref="L84:L85"/>
    <mergeCell ref="D75:D76"/>
    <mergeCell ref="F75:F76"/>
    <mergeCell ref="H75:H76"/>
    <mergeCell ref="J75:J76"/>
    <mergeCell ref="D89:D90"/>
    <mergeCell ref="F89:F90"/>
    <mergeCell ref="H89:H90"/>
    <mergeCell ref="D70:D71"/>
    <mergeCell ref="F70:F71"/>
    <mergeCell ref="H70:H71"/>
    <mergeCell ref="J70:J71"/>
    <mergeCell ref="L70:L71"/>
    <mergeCell ref="K75:K76"/>
    <mergeCell ref="L75:M75"/>
    <mergeCell ref="L76:M76"/>
    <mergeCell ref="N75:N76"/>
    <mergeCell ref="M70:M71"/>
    <mergeCell ref="N70:O70"/>
    <mergeCell ref="N71:O71"/>
  </mergeCells>
  <phoneticPr fontId="1" type="noConversion"/>
  <pageMargins left="0.7" right="0.7" top="0.75" bottom="0.75" header="0.3" footer="0.3"/>
  <pageSetup paperSize="9" orientation="portrait" horizont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8</vt:i4>
      </vt:variant>
    </vt:vector>
  </HeadingPairs>
  <TitlesOfParts>
    <vt:vector size="13" baseType="lpstr">
      <vt:lpstr>Heat.cal</vt:lpstr>
      <vt:lpstr>Flow.cal</vt:lpstr>
      <vt:lpstr>Property</vt:lpstr>
      <vt:lpstr>Piping</vt:lpstr>
      <vt:lpstr>개발기준</vt:lpstr>
      <vt:lpstr>HCP</vt:lpstr>
      <vt:lpstr>INS</vt:lpstr>
      <vt:lpstr>PIPE</vt:lpstr>
      <vt:lpstr>PIPE1</vt:lpstr>
      <vt:lpstr>PIPk</vt:lpstr>
      <vt:lpstr>Heat.cal!Print_Area</vt:lpstr>
      <vt:lpstr>SCH</vt:lpstr>
      <vt:lpstr>VIS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adminstor</dc:creator>
  <cp:lastModifiedBy>wcjung</cp:lastModifiedBy>
  <dcterms:created xsi:type="dcterms:W3CDTF">2017-10-20T12:26:24Z</dcterms:created>
  <dcterms:modified xsi:type="dcterms:W3CDTF">2018-11-14T09:02:53Z</dcterms:modified>
</cp:coreProperties>
</file>