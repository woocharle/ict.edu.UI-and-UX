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0" yWindow="60" windowWidth="19200" windowHeight="11865"/>
  </bookViews>
  <sheets>
    <sheet name="Sketch_Rated" sheetId="5" r:id="rId1"/>
    <sheet name="piping" sheetId="4" r:id="rId2"/>
  </sheets>
  <functionGroups/>
  <definedNames>
    <definedName name="CF" localSheetId="0">piping!$I$57:$I$65</definedName>
    <definedName name="DRIVER">piping!$I$52:$I$53</definedName>
    <definedName name="NT">piping!$K$52:$K$53</definedName>
    <definedName name="PIPE">piping!$A$4:$V$48</definedName>
    <definedName name="PIPE1">piping!$A$4:$A$48</definedName>
    <definedName name="_xlnm.Print_Area" localSheetId="0">Sketch_Rated!$A$1:$Z$265</definedName>
    <definedName name="PTYPE">piping!$K$62:$K$64</definedName>
    <definedName name="SCH">piping!$A$4:$V$4</definedName>
    <definedName name="TWOPH">piping!$K$56:$K$59</definedName>
  </definedNames>
  <calcPr calcId="124519"/>
</workbook>
</file>

<file path=xl/calcChain.xml><?xml version="1.0" encoding="utf-8"?>
<calcChain xmlns="http://schemas.openxmlformats.org/spreadsheetml/2006/main">
  <c r="D235" i="5"/>
  <c r="D176"/>
  <c r="F213"/>
  <c r="J213"/>
  <c r="L213"/>
  <c r="N213"/>
  <c r="O213"/>
  <c r="P213"/>
  <c r="Q213"/>
  <c r="R213"/>
  <c r="S213"/>
  <c r="T213"/>
  <c r="U213"/>
  <c r="V213"/>
  <c r="W213"/>
  <c r="X213"/>
  <c r="Y213"/>
  <c r="Z213"/>
  <c r="AA22"/>
  <c r="AA29"/>
  <c r="AA17"/>
  <c r="N45"/>
  <c r="N227" s="1"/>
  <c r="O45"/>
  <c r="O227" s="1"/>
  <c r="P45"/>
  <c r="P227" s="1"/>
  <c r="Q45"/>
  <c r="Q229" s="1"/>
  <c r="R45"/>
  <c r="R228" s="1"/>
  <c r="S45"/>
  <c r="S227" s="1"/>
  <c r="T45"/>
  <c r="T227" s="1"/>
  <c r="U45"/>
  <c r="U230" s="1"/>
  <c r="V45"/>
  <c r="V227" s="1"/>
  <c r="W45"/>
  <c r="W227" s="1"/>
  <c r="X45"/>
  <c r="X227" s="1"/>
  <c r="Y45"/>
  <c r="Y228" s="1"/>
  <c r="Z45"/>
  <c r="Z229" s="1"/>
  <c r="O229"/>
  <c r="S229"/>
  <c r="N230"/>
  <c r="R230"/>
  <c r="V230"/>
  <c r="N231"/>
  <c r="O231"/>
  <c r="R231"/>
  <c r="T231"/>
  <c r="V231"/>
  <c r="N232"/>
  <c r="O232"/>
  <c r="R232"/>
  <c r="V232"/>
  <c r="Z232"/>
  <c r="N233"/>
  <c r="O233"/>
  <c r="Q233"/>
  <c r="R233"/>
  <c r="S233"/>
  <c r="U233"/>
  <c r="V233"/>
  <c r="Z233"/>
  <c r="N234"/>
  <c r="O234"/>
  <c r="Q234"/>
  <c r="R234"/>
  <c r="S234"/>
  <c r="U234"/>
  <c r="V234"/>
  <c r="Z234"/>
  <c r="N235"/>
  <c r="O235"/>
  <c r="P235"/>
  <c r="Q235"/>
  <c r="R235"/>
  <c r="S235"/>
  <c r="U235"/>
  <c r="V235"/>
  <c r="X235"/>
  <c r="Z235"/>
  <c r="N236"/>
  <c r="O236"/>
  <c r="P236"/>
  <c r="Q236"/>
  <c r="R236"/>
  <c r="S236"/>
  <c r="T236"/>
  <c r="U236"/>
  <c r="V236"/>
  <c r="X236"/>
  <c r="Z236"/>
  <c r="N237"/>
  <c r="O237"/>
  <c r="P237"/>
  <c r="Q237"/>
  <c r="R237"/>
  <c r="S237"/>
  <c r="T237"/>
  <c r="U237"/>
  <c r="V237"/>
  <c r="X237"/>
  <c r="Y237"/>
  <c r="Z237"/>
  <c r="N240"/>
  <c r="O240"/>
  <c r="P240"/>
  <c r="Q240"/>
  <c r="R240"/>
  <c r="S240"/>
  <c r="T240"/>
  <c r="U240"/>
  <c r="V240"/>
  <c r="X240"/>
  <c r="Y240"/>
  <c r="Z240"/>
  <c r="N241"/>
  <c r="O241"/>
  <c r="P241"/>
  <c r="Q241"/>
  <c r="R241"/>
  <c r="S241"/>
  <c r="T241"/>
  <c r="U241"/>
  <c r="V241"/>
  <c r="X241"/>
  <c r="Y241"/>
  <c r="Z241"/>
  <c r="N242"/>
  <c r="O242"/>
  <c r="P242"/>
  <c r="Q242"/>
  <c r="R242"/>
  <c r="S242"/>
  <c r="T242"/>
  <c r="U242"/>
  <c r="V242"/>
  <c r="X242"/>
  <c r="Y242"/>
  <c r="Z242"/>
  <c r="N243"/>
  <c r="O243"/>
  <c r="P243"/>
  <c r="Q243"/>
  <c r="R243"/>
  <c r="S243"/>
  <c r="T243"/>
  <c r="U243"/>
  <c r="V243"/>
  <c r="X243"/>
  <c r="Y243"/>
  <c r="Z243"/>
  <c r="N244"/>
  <c r="O244"/>
  <c r="P244"/>
  <c r="Q244"/>
  <c r="R244"/>
  <c r="S244"/>
  <c r="T244"/>
  <c r="U244"/>
  <c r="V244"/>
  <c r="X244"/>
  <c r="Y244"/>
  <c r="Z244"/>
  <c r="N245"/>
  <c r="O245"/>
  <c r="P245"/>
  <c r="Q245"/>
  <c r="R245"/>
  <c r="S245"/>
  <c r="T245"/>
  <c r="U245"/>
  <c r="V245"/>
  <c r="X245"/>
  <c r="Y245"/>
  <c r="Z245"/>
  <c r="N246"/>
  <c r="O246"/>
  <c r="P246"/>
  <c r="Q246"/>
  <c r="R246"/>
  <c r="S246"/>
  <c r="T246"/>
  <c r="U246"/>
  <c r="V246"/>
  <c r="X246"/>
  <c r="Y246"/>
  <c r="Z246"/>
  <c r="N247"/>
  <c r="O247"/>
  <c r="P247"/>
  <c r="Q247"/>
  <c r="R247"/>
  <c r="S247"/>
  <c r="T247"/>
  <c r="U247"/>
  <c r="V247"/>
  <c r="X247"/>
  <c r="Y247"/>
  <c r="Z247"/>
  <c r="N248"/>
  <c r="O248"/>
  <c r="P248"/>
  <c r="Q248"/>
  <c r="R248"/>
  <c r="S248"/>
  <c r="T248"/>
  <c r="U248"/>
  <c r="V248"/>
  <c r="X248"/>
  <c r="Y248"/>
  <c r="Z248"/>
  <c r="N249"/>
  <c r="O249"/>
  <c r="P249"/>
  <c r="Q249"/>
  <c r="R249"/>
  <c r="S249"/>
  <c r="T249"/>
  <c r="U249"/>
  <c r="V249"/>
  <c r="X249"/>
  <c r="Y249"/>
  <c r="Z249"/>
  <c r="N250"/>
  <c r="O250"/>
  <c r="P250"/>
  <c r="Q250"/>
  <c r="R250"/>
  <c r="S250"/>
  <c r="T250"/>
  <c r="U250"/>
  <c r="V250"/>
  <c r="X250"/>
  <c r="Y250"/>
  <c r="Z250"/>
  <c r="N251"/>
  <c r="O251"/>
  <c r="P251"/>
  <c r="Q251"/>
  <c r="R251"/>
  <c r="S251"/>
  <c r="T251"/>
  <c r="U251"/>
  <c r="V251"/>
  <c r="X251"/>
  <c r="Y251"/>
  <c r="Z251"/>
  <c r="N252"/>
  <c r="O252"/>
  <c r="P252"/>
  <c r="Q252"/>
  <c r="R252"/>
  <c r="S252"/>
  <c r="T252"/>
  <c r="U252"/>
  <c r="V252"/>
  <c r="X252"/>
  <c r="Y252"/>
  <c r="Z252"/>
  <c r="N253"/>
  <c r="O253"/>
  <c r="P253"/>
  <c r="Q253"/>
  <c r="R253"/>
  <c r="S253"/>
  <c r="T253"/>
  <c r="U253"/>
  <c r="V253"/>
  <c r="X253"/>
  <c r="Y253"/>
  <c r="Z253"/>
  <c r="N256"/>
  <c r="O256"/>
  <c r="P256"/>
  <c r="Q256"/>
  <c r="R256"/>
  <c r="S256"/>
  <c r="T256"/>
  <c r="U256"/>
  <c r="V256"/>
  <c r="X256"/>
  <c r="Y256"/>
  <c r="Z256"/>
  <c r="N257"/>
  <c r="O257"/>
  <c r="P257"/>
  <c r="Q257"/>
  <c r="R257"/>
  <c r="S257"/>
  <c r="T257"/>
  <c r="U257"/>
  <c r="V257"/>
  <c r="X257"/>
  <c r="Y257"/>
  <c r="Z257"/>
  <c r="N258"/>
  <c r="O258"/>
  <c r="P258"/>
  <c r="Q258"/>
  <c r="R258"/>
  <c r="S258"/>
  <c r="T258"/>
  <c r="U258"/>
  <c r="V258"/>
  <c r="X258"/>
  <c r="Y258"/>
  <c r="Z258"/>
  <c r="N259"/>
  <c r="O259"/>
  <c r="P259"/>
  <c r="Q259"/>
  <c r="R259"/>
  <c r="S259"/>
  <c r="T259"/>
  <c r="U259"/>
  <c r="V259"/>
  <c r="X259"/>
  <c r="Y259"/>
  <c r="Z259"/>
  <c r="N260"/>
  <c r="O260"/>
  <c r="P260"/>
  <c r="Q260"/>
  <c r="R260"/>
  <c r="S260"/>
  <c r="T260"/>
  <c r="U260"/>
  <c r="V260"/>
  <c r="X260"/>
  <c r="Y260"/>
  <c r="Z260"/>
  <c r="N261"/>
  <c r="O261"/>
  <c r="P261"/>
  <c r="Q261"/>
  <c r="R261"/>
  <c r="S261"/>
  <c r="T261"/>
  <c r="U261"/>
  <c r="V261"/>
  <c r="X261"/>
  <c r="Y261"/>
  <c r="Z261"/>
  <c r="N262"/>
  <c r="O262"/>
  <c r="P262"/>
  <c r="Q262"/>
  <c r="R262"/>
  <c r="S262"/>
  <c r="T262"/>
  <c r="U262"/>
  <c r="V262"/>
  <c r="X262"/>
  <c r="Y262"/>
  <c r="Z262"/>
  <c r="N263"/>
  <c r="O263"/>
  <c r="P263"/>
  <c r="Q263"/>
  <c r="R263"/>
  <c r="S263"/>
  <c r="T263"/>
  <c r="U263"/>
  <c r="V263"/>
  <c r="X263"/>
  <c r="Y263"/>
  <c r="Z263"/>
  <c r="N214"/>
  <c r="O214"/>
  <c r="P214"/>
  <c r="Q214"/>
  <c r="R214"/>
  <c r="S214"/>
  <c r="T214"/>
  <c r="U214"/>
  <c r="V214"/>
  <c r="W214"/>
  <c r="W231" s="1"/>
  <c r="X214"/>
  <c r="Y214"/>
  <c r="Z214"/>
  <c r="N215"/>
  <c r="O215"/>
  <c r="P215"/>
  <c r="Q215"/>
  <c r="R215"/>
  <c r="S215"/>
  <c r="T215"/>
  <c r="U215"/>
  <c r="V215"/>
  <c r="W215"/>
  <c r="X215"/>
  <c r="Y215"/>
  <c r="Z215"/>
  <c r="N216"/>
  <c r="O216"/>
  <c r="P216"/>
  <c r="Q216"/>
  <c r="R216"/>
  <c r="S216"/>
  <c r="T216"/>
  <c r="U216"/>
  <c r="V216"/>
  <c r="W216"/>
  <c r="W241" s="1"/>
  <c r="X216"/>
  <c r="Y216"/>
  <c r="Z216"/>
  <c r="N217"/>
  <c r="O217"/>
  <c r="P217"/>
  <c r="Q217"/>
  <c r="R217"/>
  <c r="S217"/>
  <c r="T217"/>
  <c r="U217"/>
  <c r="V217"/>
  <c r="W217"/>
  <c r="X217"/>
  <c r="Y217"/>
  <c r="Z217"/>
  <c r="N218"/>
  <c r="O218"/>
  <c r="P218"/>
  <c r="Q218"/>
  <c r="R218"/>
  <c r="S218"/>
  <c r="T218"/>
  <c r="U218"/>
  <c r="V218"/>
  <c r="W218"/>
  <c r="X218"/>
  <c r="Y218"/>
  <c r="Z218"/>
  <c r="N219"/>
  <c r="O219"/>
  <c r="P219"/>
  <c r="Q219"/>
  <c r="R219"/>
  <c r="S219"/>
  <c r="T219"/>
  <c r="U219"/>
  <c r="V219"/>
  <c r="W219"/>
  <c r="X219"/>
  <c r="Y219"/>
  <c r="Z219"/>
  <c r="N220"/>
  <c r="O220"/>
  <c r="P220"/>
  <c r="Q220"/>
  <c r="R220"/>
  <c r="S220"/>
  <c r="T220"/>
  <c r="U220"/>
  <c r="V220"/>
  <c r="W220"/>
  <c r="X220"/>
  <c r="Y220"/>
  <c r="Z220"/>
  <c r="N221"/>
  <c r="O221"/>
  <c r="P221"/>
  <c r="Q221"/>
  <c r="R221"/>
  <c r="S221"/>
  <c r="T221"/>
  <c r="U221"/>
  <c r="V221"/>
  <c r="W221"/>
  <c r="X221"/>
  <c r="Y221"/>
  <c r="Z221"/>
  <c r="N222"/>
  <c r="O222"/>
  <c r="P222"/>
  <c r="Q222"/>
  <c r="R222"/>
  <c r="S222"/>
  <c r="T222"/>
  <c r="U222"/>
  <c r="V222"/>
  <c r="W222"/>
  <c r="X222"/>
  <c r="Y222"/>
  <c r="Z222"/>
  <c r="N223"/>
  <c r="O223"/>
  <c r="P223"/>
  <c r="Q223"/>
  <c r="R223"/>
  <c r="S223"/>
  <c r="T223"/>
  <c r="U223"/>
  <c r="V223"/>
  <c r="W223"/>
  <c r="X223"/>
  <c r="Y223"/>
  <c r="Z223"/>
  <c r="N205"/>
  <c r="O205"/>
  <c r="P205"/>
  <c r="Q205"/>
  <c r="R205"/>
  <c r="S205"/>
  <c r="T205"/>
  <c r="U205"/>
  <c r="V205"/>
  <c r="W205"/>
  <c r="X205"/>
  <c r="Y205"/>
  <c r="Z205"/>
  <c r="N206"/>
  <c r="N208" s="1"/>
  <c r="O206"/>
  <c r="O208" s="1"/>
  <c r="P206"/>
  <c r="P208" s="1"/>
  <c r="Q206"/>
  <c r="Q208" s="1"/>
  <c r="R206"/>
  <c r="R208" s="1"/>
  <c r="S206"/>
  <c r="S208" s="1"/>
  <c r="T206"/>
  <c r="T208" s="1"/>
  <c r="U206"/>
  <c r="U208" s="1"/>
  <c r="V206"/>
  <c r="V208" s="1"/>
  <c r="W206"/>
  <c r="X206"/>
  <c r="Y206"/>
  <c r="Y208" s="1"/>
  <c r="Z206"/>
  <c r="Z208" s="1"/>
  <c r="N207"/>
  <c r="O207"/>
  <c r="P207"/>
  <c r="Q207"/>
  <c r="R207"/>
  <c r="S207"/>
  <c r="T207"/>
  <c r="U207"/>
  <c r="V207"/>
  <c r="W207"/>
  <c r="X207"/>
  <c r="Y207"/>
  <c r="Z207"/>
  <c r="W229"/>
  <c r="W233"/>
  <c r="W237"/>
  <c r="W228"/>
  <c r="W236"/>
  <c r="W208"/>
  <c r="X208"/>
  <c r="N209"/>
  <c r="O209"/>
  <c r="P209"/>
  <c r="Q209"/>
  <c r="R209"/>
  <c r="S209"/>
  <c r="T209"/>
  <c r="U209"/>
  <c r="V209"/>
  <c r="W209"/>
  <c r="X209"/>
  <c r="Y209"/>
  <c r="Z209"/>
  <c r="Z231" l="1"/>
  <c r="Z228"/>
  <c r="Z230"/>
  <c r="Y236"/>
  <c r="Y235"/>
  <c r="T235"/>
  <c r="Y234"/>
  <c r="T234"/>
  <c r="P234"/>
  <c r="Y233"/>
  <c r="T233"/>
  <c r="P233"/>
  <c r="Y232"/>
  <c r="Q232"/>
  <c r="P231"/>
  <c r="X230"/>
  <c r="T228"/>
  <c r="X234"/>
  <c r="X233"/>
  <c r="X232"/>
  <c r="P232"/>
  <c r="P229"/>
  <c r="Q231"/>
  <c r="U229"/>
  <c r="U227"/>
  <c r="Y229"/>
  <c r="Y227"/>
  <c r="U232"/>
  <c r="U231"/>
  <c r="Y230"/>
  <c r="Q230"/>
  <c r="U228"/>
  <c r="Y231"/>
  <c r="P230"/>
  <c r="Q228"/>
  <c r="Q227"/>
  <c r="T232"/>
  <c r="P228"/>
  <c r="X228"/>
  <c r="X231"/>
  <c r="X229"/>
  <c r="T230"/>
  <c r="T229"/>
  <c r="Z227"/>
  <c r="S232"/>
  <c r="S231"/>
  <c r="S230"/>
  <c r="O230"/>
  <c r="R227"/>
  <c r="V229"/>
  <c r="R229"/>
  <c r="N229"/>
  <c r="S228"/>
  <c r="O228"/>
  <c r="V228"/>
  <c r="N228"/>
  <c r="W235"/>
  <c r="W257"/>
  <c r="W259"/>
  <c r="W262"/>
  <c r="W250"/>
  <c r="W248"/>
  <c r="W244"/>
  <c r="W240"/>
  <c r="W230"/>
  <c r="W232" s="1"/>
  <c r="W261"/>
  <c r="W253"/>
  <c r="W251"/>
  <c r="W249"/>
  <c r="W247"/>
  <c r="W243"/>
  <c r="N210"/>
  <c r="O210"/>
  <c r="P210"/>
  <c r="Q210"/>
  <c r="R210"/>
  <c r="S210"/>
  <c r="T210"/>
  <c r="U210"/>
  <c r="V210"/>
  <c r="X210"/>
  <c r="Y210"/>
  <c r="Z210"/>
  <c r="T200"/>
  <c r="T199"/>
  <c r="T198"/>
  <c r="T197"/>
  <c r="T196"/>
  <c r="T195"/>
  <c r="T194"/>
  <c r="T193"/>
  <c r="T192"/>
  <c r="T191"/>
  <c r="N70"/>
  <c r="O70"/>
  <c r="P70"/>
  <c r="Q70"/>
  <c r="R70"/>
  <c r="S70"/>
  <c r="T70"/>
  <c r="U70"/>
  <c r="V70"/>
  <c r="W70"/>
  <c r="X70"/>
  <c r="Y70"/>
  <c r="O71"/>
  <c r="P71"/>
  <c r="Q71"/>
  <c r="R71"/>
  <c r="S71"/>
  <c r="T71"/>
  <c r="U71"/>
  <c r="V71"/>
  <c r="W71"/>
  <c r="X71"/>
  <c r="Y71"/>
  <c r="W263"/>
  <c r="W242"/>
  <c r="W246"/>
  <c r="W245"/>
  <c r="W200" l="1"/>
  <c r="W199"/>
  <c r="W198"/>
  <c r="W197"/>
  <c r="W196"/>
  <c r="W195"/>
  <c r="W194"/>
  <c r="W193"/>
  <c r="W192"/>
  <c r="W191"/>
  <c r="W63"/>
  <c r="W77"/>
  <c r="W76"/>
  <c r="W75"/>
  <c r="W73"/>
  <c r="W74" s="1"/>
  <c r="W72"/>
  <c r="W210" s="1"/>
  <c r="W69"/>
  <c r="W187" s="1"/>
  <c r="W68"/>
  <c r="J205"/>
  <c r="L205"/>
  <c r="C68"/>
  <c r="Z70"/>
  <c r="N71"/>
  <c r="Z71"/>
  <c r="Y30"/>
  <c r="F48"/>
  <c r="F205" s="1"/>
  <c r="D48"/>
  <c r="E48" s="1"/>
  <c r="Z9"/>
  <c r="AA9" s="1"/>
  <c r="M48"/>
  <c r="K48"/>
  <c r="I48"/>
  <c r="I63" s="1"/>
  <c r="H48"/>
  <c r="J206"/>
  <c r="L206"/>
  <c r="Y22"/>
  <c r="R68"/>
  <c r="S68"/>
  <c r="T68"/>
  <c r="U68"/>
  <c r="V68"/>
  <c r="X68"/>
  <c r="Y68"/>
  <c r="Z68"/>
  <c r="T69"/>
  <c r="R72"/>
  <c r="S72"/>
  <c r="T72"/>
  <c r="U72"/>
  <c r="V72"/>
  <c r="X72"/>
  <c r="Y72"/>
  <c r="Z72"/>
  <c r="R73"/>
  <c r="S73"/>
  <c r="S74" s="1"/>
  <c r="T73"/>
  <c r="T74" s="1"/>
  <c r="U73"/>
  <c r="U74" s="1"/>
  <c r="V73"/>
  <c r="V74" s="1"/>
  <c r="X73"/>
  <c r="X74" s="1"/>
  <c r="Y73"/>
  <c r="Y74" s="1"/>
  <c r="Z73"/>
  <c r="Z74" s="1"/>
  <c r="R74"/>
  <c r="R75"/>
  <c r="S75"/>
  <c r="T75"/>
  <c r="U75"/>
  <c r="V75"/>
  <c r="X75"/>
  <c r="Y75"/>
  <c r="Z75"/>
  <c r="R76"/>
  <c r="S76"/>
  <c r="T76"/>
  <c r="U76"/>
  <c r="V76"/>
  <c r="X76"/>
  <c r="Y76"/>
  <c r="Z76"/>
  <c r="R77"/>
  <c r="S77"/>
  <c r="T77"/>
  <c r="U77"/>
  <c r="V77"/>
  <c r="X77"/>
  <c r="Y77"/>
  <c r="Z77"/>
  <c r="G63"/>
  <c r="H63"/>
  <c r="J63"/>
  <c r="K63"/>
  <c r="L63"/>
  <c r="M63"/>
  <c r="N63"/>
  <c r="O63"/>
  <c r="P63"/>
  <c r="Q63"/>
  <c r="R63"/>
  <c r="S63"/>
  <c r="U63"/>
  <c r="V63"/>
  <c r="X63"/>
  <c r="Y63"/>
  <c r="Z63"/>
  <c r="J76"/>
  <c r="L76"/>
  <c r="N76"/>
  <c r="O76"/>
  <c r="P76"/>
  <c r="Q76"/>
  <c r="E217"/>
  <c r="F217"/>
  <c r="G217"/>
  <c r="H217"/>
  <c r="I217"/>
  <c r="J217"/>
  <c r="K217"/>
  <c r="L217"/>
  <c r="D217"/>
  <c r="E214"/>
  <c r="F214"/>
  <c r="G214"/>
  <c r="H214"/>
  <c r="I214"/>
  <c r="J214"/>
  <c r="K214"/>
  <c r="L214"/>
  <c r="M214"/>
  <c r="D214"/>
  <c r="F207"/>
  <c r="J207"/>
  <c r="L207"/>
  <c r="F71"/>
  <c r="AG12"/>
  <c r="AM20"/>
  <c r="AM23"/>
  <c r="L219"/>
  <c r="D65"/>
  <c r="D70"/>
  <c r="D78"/>
  <c r="AG24"/>
  <c r="AG27" s="1"/>
  <c r="AK23"/>
  <c r="AJ23" s="1"/>
  <c r="AJ20"/>
  <c r="AG17"/>
  <c r="AG7"/>
  <c r="D220"/>
  <c r="E220"/>
  <c r="F220"/>
  <c r="G220"/>
  <c r="H220"/>
  <c r="I220"/>
  <c r="J220"/>
  <c r="K220"/>
  <c r="L220"/>
  <c r="L73"/>
  <c r="L74" s="1"/>
  <c r="N73"/>
  <c r="N74" s="1"/>
  <c r="O73"/>
  <c r="O74" s="1"/>
  <c r="P73"/>
  <c r="P74" s="1"/>
  <c r="Q73"/>
  <c r="Q74" s="1"/>
  <c r="J75"/>
  <c r="L75"/>
  <c r="N75"/>
  <c r="O75"/>
  <c r="P75"/>
  <c r="Q75"/>
  <c r="W234"/>
  <c r="E205" l="1"/>
  <c r="E213"/>
  <c r="W252"/>
  <c r="W256"/>
  <c r="W258"/>
  <c r="T190"/>
  <c r="T185"/>
  <c r="T172"/>
  <c r="T155"/>
  <c r="T201" s="1"/>
  <c r="T187"/>
  <c r="T178"/>
  <c r="T169"/>
  <c r="T160"/>
  <c r="T188"/>
  <c r="T174"/>
  <c r="T165"/>
  <c r="T161"/>
  <c r="T179"/>
  <c r="T189"/>
  <c r="T184"/>
  <c r="T180"/>
  <c r="T176"/>
  <c r="T171"/>
  <c r="T166"/>
  <c r="T162"/>
  <c r="T158"/>
  <c r="T181"/>
  <c r="T177"/>
  <c r="T168"/>
  <c r="T163"/>
  <c r="T159"/>
  <c r="T182"/>
  <c r="T173"/>
  <c r="T164"/>
  <c r="T156"/>
  <c r="T183"/>
  <c r="T170"/>
  <c r="T157"/>
  <c r="W168"/>
  <c r="W185"/>
  <c r="W163"/>
  <c r="W181"/>
  <c r="W159"/>
  <c r="W177"/>
  <c r="W155"/>
  <c r="W201" s="1"/>
  <c r="W172"/>
  <c r="W190"/>
  <c r="W158"/>
  <c r="W162"/>
  <c r="W166"/>
  <c r="W171"/>
  <c r="W176"/>
  <c r="W180"/>
  <c r="W184"/>
  <c r="W189"/>
  <c r="W157"/>
  <c r="W161"/>
  <c r="W165"/>
  <c r="W170"/>
  <c r="W174"/>
  <c r="W179"/>
  <c r="W183"/>
  <c r="W188"/>
  <c r="W156"/>
  <c r="W160"/>
  <c r="W164"/>
  <c r="W169"/>
  <c r="W173"/>
  <c r="W178"/>
  <c r="W182"/>
  <c r="M71"/>
  <c r="D63"/>
  <c r="D68"/>
  <c r="AK33"/>
  <c r="F73"/>
  <c r="F74" s="1"/>
  <c r="J73"/>
  <c r="J74" s="1"/>
  <c r="E72"/>
  <c r="F72"/>
  <c r="H72"/>
  <c r="J72"/>
  <c r="L72"/>
  <c r="N72"/>
  <c r="O72"/>
  <c r="P72"/>
  <c r="Q72"/>
  <c r="W260"/>
  <c r="AA19" l="1"/>
  <c r="AA21" s="1"/>
  <c r="AA23" s="1"/>
  <c r="D205"/>
  <c r="F63"/>
  <c r="F68"/>
  <c r="F206" s="1"/>
  <c r="L223"/>
  <c r="J223"/>
  <c r="I223"/>
  <c r="H223"/>
  <c r="G223"/>
  <c r="F223"/>
  <c r="E223"/>
  <c r="L222"/>
  <c r="J222"/>
  <c r="I222"/>
  <c r="H222"/>
  <c r="G222"/>
  <c r="F222"/>
  <c r="E222"/>
  <c r="L221"/>
  <c r="J221"/>
  <c r="I221"/>
  <c r="H221"/>
  <c r="G221"/>
  <c r="F221"/>
  <c r="E221"/>
  <c r="J219"/>
  <c r="I219"/>
  <c r="H219"/>
  <c r="G219"/>
  <c r="F219"/>
  <c r="E219"/>
  <c r="L216"/>
  <c r="J216"/>
  <c r="I216"/>
  <c r="H216"/>
  <c r="G216"/>
  <c r="F216"/>
  <c r="E216"/>
  <c r="L215"/>
  <c r="J215"/>
  <c r="I215"/>
  <c r="H215"/>
  <c r="G215"/>
  <c r="F215"/>
  <c r="E215"/>
  <c r="Z200"/>
  <c r="Y200"/>
  <c r="X200"/>
  <c r="V200"/>
  <c r="U200"/>
  <c r="S200"/>
  <c r="R200"/>
  <c r="Q200"/>
  <c r="P200"/>
  <c r="O200"/>
  <c r="N200"/>
  <c r="M200"/>
  <c r="L200"/>
  <c r="K200"/>
  <c r="J200"/>
  <c r="I200"/>
  <c r="H200"/>
  <c r="G200"/>
  <c r="F200"/>
  <c r="E200"/>
  <c r="Z199"/>
  <c r="Y199"/>
  <c r="X199"/>
  <c r="V199"/>
  <c r="U199"/>
  <c r="S199"/>
  <c r="R199"/>
  <c r="Q199"/>
  <c r="P199"/>
  <c r="O199"/>
  <c r="N199"/>
  <c r="M199"/>
  <c r="L199"/>
  <c r="K199"/>
  <c r="J199"/>
  <c r="I199"/>
  <c r="H199"/>
  <c r="G199"/>
  <c r="F199"/>
  <c r="E199"/>
  <c r="Z198"/>
  <c r="Y198"/>
  <c r="X198"/>
  <c r="V198"/>
  <c r="U198"/>
  <c r="S198"/>
  <c r="R198"/>
  <c r="Q198"/>
  <c r="P198"/>
  <c r="O198"/>
  <c r="N198"/>
  <c r="M198"/>
  <c r="L198"/>
  <c r="K198"/>
  <c r="J198"/>
  <c r="I198"/>
  <c r="H198"/>
  <c r="G198"/>
  <c r="F198"/>
  <c r="E198"/>
  <c r="Z197"/>
  <c r="Y197"/>
  <c r="X197"/>
  <c r="V197"/>
  <c r="U197"/>
  <c r="S197"/>
  <c r="R197"/>
  <c r="Q197"/>
  <c r="P197"/>
  <c r="O197"/>
  <c r="N197"/>
  <c r="M197"/>
  <c r="L197"/>
  <c r="K197"/>
  <c r="J197"/>
  <c r="I197"/>
  <c r="H197"/>
  <c r="G197"/>
  <c r="F197"/>
  <c r="E197"/>
  <c r="D197"/>
  <c r="Z196"/>
  <c r="Y196"/>
  <c r="X196"/>
  <c r="V196"/>
  <c r="U196"/>
  <c r="S196"/>
  <c r="R196"/>
  <c r="Q196"/>
  <c r="P196"/>
  <c r="O196"/>
  <c r="N196"/>
  <c r="M196"/>
  <c r="L196"/>
  <c r="K196"/>
  <c r="J196"/>
  <c r="I196"/>
  <c r="H196"/>
  <c r="G196"/>
  <c r="F196"/>
  <c r="E196"/>
  <c r="D196"/>
  <c r="Z195"/>
  <c r="Y195"/>
  <c r="X195"/>
  <c r="V195"/>
  <c r="U195"/>
  <c r="S195"/>
  <c r="R195"/>
  <c r="Q195"/>
  <c r="P195"/>
  <c r="O195"/>
  <c r="N195"/>
  <c r="M195"/>
  <c r="L195"/>
  <c r="K195"/>
  <c r="J195"/>
  <c r="I195"/>
  <c r="H195"/>
  <c r="G195"/>
  <c r="F195"/>
  <c r="E195"/>
  <c r="Z194"/>
  <c r="Y194"/>
  <c r="X194"/>
  <c r="V194"/>
  <c r="U194"/>
  <c r="S194"/>
  <c r="R194"/>
  <c r="Q194"/>
  <c r="P194"/>
  <c r="O194"/>
  <c r="N194"/>
  <c r="M194"/>
  <c r="L194"/>
  <c r="K194"/>
  <c r="J194"/>
  <c r="I194"/>
  <c r="H194"/>
  <c r="G194"/>
  <c r="F194"/>
  <c r="E194"/>
  <c r="Z193"/>
  <c r="Y193"/>
  <c r="X193"/>
  <c r="V193"/>
  <c r="U193"/>
  <c r="S193"/>
  <c r="R193"/>
  <c r="Q193"/>
  <c r="P193"/>
  <c r="O193"/>
  <c r="N193"/>
  <c r="M193"/>
  <c r="L193"/>
  <c r="K193"/>
  <c r="J193"/>
  <c r="I193"/>
  <c r="H193"/>
  <c r="G193"/>
  <c r="F193"/>
  <c r="E193"/>
  <c r="Z192"/>
  <c r="Y192"/>
  <c r="X192"/>
  <c r="V192"/>
  <c r="U192"/>
  <c r="S192"/>
  <c r="R192"/>
  <c r="Q192"/>
  <c r="P192"/>
  <c r="O192"/>
  <c r="N192"/>
  <c r="M192"/>
  <c r="L192"/>
  <c r="K192"/>
  <c r="J192"/>
  <c r="I192"/>
  <c r="H192"/>
  <c r="G192"/>
  <c r="F192"/>
  <c r="E192"/>
  <c r="D192"/>
  <c r="Z191"/>
  <c r="Y191"/>
  <c r="X191"/>
  <c r="V191"/>
  <c r="U191"/>
  <c r="S191"/>
  <c r="R191"/>
  <c r="Q191"/>
  <c r="P191"/>
  <c r="O191"/>
  <c r="N191"/>
  <c r="M191"/>
  <c r="L191"/>
  <c r="K191"/>
  <c r="J191"/>
  <c r="I191"/>
  <c r="H191"/>
  <c r="G191"/>
  <c r="F191"/>
  <c r="E191"/>
  <c r="D191"/>
  <c r="F69"/>
  <c r="Q68"/>
  <c r="P68"/>
  <c r="O68"/>
  <c r="N68"/>
  <c r="M68"/>
  <c r="L68"/>
  <c r="K68"/>
  <c r="J68"/>
  <c r="I68"/>
  <c r="H68"/>
  <c r="H205" s="1"/>
  <c r="H213" s="1"/>
  <c r="G68"/>
  <c r="M45"/>
  <c r="L45"/>
  <c r="K45"/>
  <c r="J45"/>
  <c r="I45"/>
  <c r="H45"/>
  <c r="G45"/>
  <c r="F45"/>
  <c r="D45"/>
  <c r="D76" s="1"/>
  <c r="Z29"/>
  <c r="Y29" s="1"/>
  <c r="Y26"/>
  <c r="Z26" s="1"/>
  <c r="AA26" s="1"/>
  <c r="B45" i="4"/>
  <c r="V44"/>
  <c r="T41"/>
  <c r="S41"/>
  <c r="L35"/>
  <c r="K35"/>
  <c r="J35"/>
  <c r="I35"/>
  <c r="F32"/>
  <c r="E32"/>
  <c r="L31"/>
  <c r="L30"/>
  <c r="F30"/>
  <c r="E30"/>
  <c r="R29"/>
  <c r="Q29"/>
  <c r="P29"/>
  <c r="O29"/>
  <c r="N29"/>
  <c r="M29"/>
  <c r="L29"/>
  <c r="K29"/>
  <c r="F29"/>
  <c r="E29"/>
  <c r="L27"/>
  <c r="D27"/>
  <c r="C27"/>
  <c r="U23"/>
  <c r="H23"/>
  <c r="G23"/>
  <c r="I22"/>
  <c r="M21"/>
  <c r="O19"/>
  <c r="M19"/>
  <c r="K19"/>
  <c r="J19"/>
  <c r="U18"/>
  <c r="T18"/>
  <c r="S18"/>
  <c r="P18"/>
  <c r="N18"/>
  <c r="L18"/>
  <c r="H18"/>
  <c r="G18"/>
  <c r="F18"/>
  <c r="U16"/>
  <c r="T16"/>
  <c r="S16"/>
  <c r="P16"/>
  <c r="N16"/>
  <c r="L16"/>
  <c r="H16"/>
  <c r="G16"/>
  <c r="F16"/>
  <c r="E16"/>
  <c r="U11"/>
  <c r="T11"/>
  <c r="S11"/>
  <c r="R11"/>
  <c r="N11"/>
  <c r="L11"/>
  <c r="H11"/>
  <c r="G11"/>
  <c r="F11"/>
  <c r="E11"/>
  <c r="V7"/>
  <c r="U7"/>
  <c r="R7"/>
  <c r="F208" i="5"/>
  <c r="J208"/>
  <c r="L208"/>
  <c r="D198"/>
  <c r="D206" l="1"/>
  <c r="D213"/>
  <c r="I76"/>
  <c r="I229"/>
  <c r="I233"/>
  <c r="I237"/>
  <c r="I243"/>
  <c r="I247"/>
  <c r="I251"/>
  <c r="I257"/>
  <c r="I261"/>
  <c r="I227"/>
  <c r="I228"/>
  <c r="I232"/>
  <c r="I236"/>
  <c r="I242"/>
  <c r="I246"/>
  <c r="I250"/>
  <c r="I256"/>
  <c r="I260"/>
  <c r="I231"/>
  <c r="I235"/>
  <c r="I241"/>
  <c r="I245"/>
  <c r="I249"/>
  <c r="I253"/>
  <c r="I259"/>
  <c r="I263"/>
  <c r="I230"/>
  <c r="I234"/>
  <c r="I240"/>
  <c r="I244"/>
  <c r="I248"/>
  <c r="I252"/>
  <c r="I258"/>
  <c r="I262"/>
  <c r="L230"/>
  <c r="L234"/>
  <c r="L240"/>
  <c r="L244"/>
  <c r="L248"/>
  <c r="L252"/>
  <c r="L258"/>
  <c r="L262"/>
  <c r="L229"/>
  <c r="L233"/>
  <c r="L237"/>
  <c r="L243"/>
  <c r="L247"/>
  <c r="L251"/>
  <c r="L257"/>
  <c r="L261"/>
  <c r="L227"/>
  <c r="L228"/>
  <c r="L232"/>
  <c r="L236"/>
  <c r="L242"/>
  <c r="L246"/>
  <c r="L250"/>
  <c r="L256"/>
  <c r="L260"/>
  <c r="L231"/>
  <c r="L235"/>
  <c r="L241"/>
  <c r="L245"/>
  <c r="L249"/>
  <c r="L253"/>
  <c r="L259"/>
  <c r="L263"/>
  <c r="G76"/>
  <c r="G231"/>
  <c r="G235"/>
  <c r="G241"/>
  <c r="G245"/>
  <c r="G249"/>
  <c r="G253"/>
  <c r="G259"/>
  <c r="G263"/>
  <c r="G230"/>
  <c r="G234"/>
  <c r="G240"/>
  <c r="G244"/>
  <c r="G248"/>
  <c r="G252"/>
  <c r="G258"/>
  <c r="G262"/>
  <c r="G229"/>
  <c r="G233"/>
  <c r="G237"/>
  <c r="G243"/>
  <c r="G247"/>
  <c r="G251"/>
  <c r="G257"/>
  <c r="G261"/>
  <c r="G227"/>
  <c r="G228"/>
  <c r="G232"/>
  <c r="G236"/>
  <c r="G242"/>
  <c r="G246"/>
  <c r="G250"/>
  <c r="G256"/>
  <c r="G260"/>
  <c r="F227"/>
  <c r="F228"/>
  <c r="F232"/>
  <c r="F236"/>
  <c r="F242"/>
  <c r="F246"/>
  <c r="F250"/>
  <c r="F256"/>
  <c r="F260"/>
  <c r="F231"/>
  <c r="F235"/>
  <c r="F241"/>
  <c r="F245"/>
  <c r="F249"/>
  <c r="F253"/>
  <c r="F259"/>
  <c r="F263"/>
  <c r="F230"/>
  <c r="F234"/>
  <c r="F240"/>
  <c r="F244"/>
  <c r="F248"/>
  <c r="F252"/>
  <c r="F258"/>
  <c r="F262"/>
  <c r="F229"/>
  <c r="F233"/>
  <c r="F237"/>
  <c r="F243"/>
  <c r="F247"/>
  <c r="F251"/>
  <c r="F257"/>
  <c r="F261"/>
  <c r="J227"/>
  <c r="J228"/>
  <c r="J232"/>
  <c r="J236"/>
  <c r="J242"/>
  <c r="J246"/>
  <c r="J250"/>
  <c r="J256"/>
  <c r="J260"/>
  <c r="J231"/>
  <c r="J235"/>
  <c r="J241"/>
  <c r="J245"/>
  <c r="J249"/>
  <c r="J253"/>
  <c r="J259"/>
  <c r="J263"/>
  <c r="J230"/>
  <c r="J234"/>
  <c r="J240"/>
  <c r="J244"/>
  <c r="J248"/>
  <c r="J252"/>
  <c r="J258"/>
  <c r="J262"/>
  <c r="J229"/>
  <c r="J233"/>
  <c r="J237"/>
  <c r="J243"/>
  <c r="J247"/>
  <c r="J251"/>
  <c r="J257"/>
  <c r="J261"/>
  <c r="G205"/>
  <c r="K205"/>
  <c r="M205"/>
  <c r="H76"/>
  <c r="H230"/>
  <c r="H234"/>
  <c r="H240"/>
  <c r="H244"/>
  <c r="H248"/>
  <c r="H252"/>
  <c r="H258"/>
  <c r="H262"/>
  <c r="H229"/>
  <c r="H233"/>
  <c r="H237"/>
  <c r="H243"/>
  <c r="H247"/>
  <c r="H251"/>
  <c r="H257"/>
  <c r="H261"/>
  <c r="H227"/>
  <c r="H228"/>
  <c r="H232"/>
  <c r="H236"/>
  <c r="H242"/>
  <c r="H246"/>
  <c r="H250"/>
  <c r="H256"/>
  <c r="H260"/>
  <c r="H231"/>
  <c r="H235"/>
  <c r="H241"/>
  <c r="H245"/>
  <c r="H249"/>
  <c r="H253"/>
  <c r="H259"/>
  <c r="H263"/>
  <c r="I205"/>
  <c r="K76"/>
  <c r="K231"/>
  <c r="K235"/>
  <c r="K241"/>
  <c r="K245"/>
  <c r="K249"/>
  <c r="K253"/>
  <c r="K259"/>
  <c r="K263"/>
  <c r="K230"/>
  <c r="K234"/>
  <c r="K240"/>
  <c r="K244"/>
  <c r="K248"/>
  <c r="K252"/>
  <c r="K258"/>
  <c r="K262"/>
  <c r="K229"/>
  <c r="K233"/>
  <c r="K237"/>
  <c r="K243"/>
  <c r="K247"/>
  <c r="K251"/>
  <c r="K257"/>
  <c r="K261"/>
  <c r="K227"/>
  <c r="K228"/>
  <c r="K232"/>
  <c r="K236"/>
  <c r="K242"/>
  <c r="K246"/>
  <c r="K250"/>
  <c r="K256"/>
  <c r="K260"/>
  <c r="F76"/>
  <c r="H206"/>
  <c r="H207" s="1"/>
  <c r="R69"/>
  <c r="R184" s="1"/>
  <c r="Q69"/>
  <c r="Q177" s="1"/>
  <c r="D251"/>
  <c r="D237"/>
  <c r="D258"/>
  <c r="D253"/>
  <c r="D261"/>
  <c r="D240"/>
  <c r="D234"/>
  <c r="D236"/>
  <c r="D229"/>
  <c r="D230"/>
  <c r="D233"/>
  <c r="D231"/>
  <c r="D228"/>
  <c r="L210"/>
  <c r="Z69"/>
  <c r="Z189" s="1"/>
  <c r="N69"/>
  <c r="N184" s="1"/>
  <c r="V69"/>
  <c r="V187" s="1"/>
  <c r="P69"/>
  <c r="P189" s="1"/>
  <c r="U69"/>
  <c r="U169" s="1"/>
  <c r="O69"/>
  <c r="O189" s="1"/>
  <c r="S69"/>
  <c r="S184" s="1"/>
  <c r="Y69"/>
  <c r="Y189" s="1"/>
  <c r="X69"/>
  <c r="X183" s="1"/>
  <c r="J69"/>
  <c r="J210"/>
  <c r="D194"/>
  <c r="D199"/>
  <c r="D200" s="1"/>
  <c r="O77"/>
  <c r="J77"/>
  <c r="N77"/>
  <c r="Q77"/>
  <c r="L69"/>
  <c r="L77"/>
  <c r="P77"/>
  <c r="I218"/>
  <c r="F188"/>
  <c r="F183"/>
  <c r="F189"/>
  <c r="F184"/>
  <c r="N189"/>
  <c r="Q155"/>
  <c r="Q201" s="1"/>
  <c r="U156"/>
  <c r="F158"/>
  <c r="U160"/>
  <c r="F162"/>
  <c r="Q163"/>
  <c r="U164"/>
  <c r="F166"/>
  <c r="Q168"/>
  <c r="F171"/>
  <c r="X171"/>
  <c r="U173"/>
  <c r="F176"/>
  <c r="U178"/>
  <c r="U182"/>
  <c r="U183"/>
  <c r="Y184"/>
  <c r="F190"/>
  <c r="H218"/>
  <c r="L218"/>
  <c r="L209"/>
  <c r="Q189"/>
  <c r="Q180"/>
  <c r="Q190"/>
  <c r="Q185"/>
  <c r="U155"/>
  <c r="U201" s="1"/>
  <c r="F157"/>
  <c r="U159"/>
  <c r="F161"/>
  <c r="Q162"/>
  <c r="U163"/>
  <c r="F165"/>
  <c r="Q166"/>
  <c r="U168"/>
  <c r="F170"/>
  <c r="R170"/>
  <c r="Q171"/>
  <c r="U172"/>
  <c r="F174"/>
  <c r="N174"/>
  <c r="R174"/>
  <c r="Q176"/>
  <c r="U177"/>
  <c r="F179"/>
  <c r="Y179"/>
  <c r="R181"/>
  <c r="R182"/>
  <c r="Z182"/>
  <c r="R187"/>
  <c r="G218"/>
  <c r="M227"/>
  <c r="U190"/>
  <c r="U185"/>
  <c r="U181"/>
  <c r="U187"/>
  <c r="Z185"/>
  <c r="S155"/>
  <c r="S201" s="1"/>
  <c r="F156"/>
  <c r="Q157"/>
  <c r="U158"/>
  <c r="F160"/>
  <c r="N160"/>
  <c r="R160"/>
  <c r="Q161"/>
  <c r="U162"/>
  <c r="O163"/>
  <c r="Y163"/>
  <c r="F164"/>
  <c r="Q165"/>
  <c r="U166"/>
  <c r="Y168"/>
  <c r="F169"/>
  <c r="R169"/>
  <c r="Q170"/>
  <c r="V170"/>
  <c r="U171"/>
  <c r="Y172"/>
  <c r="F173"/>
  <c r="R173"/>
  <c r="Q174"/>
  <c r="U176"/>
  <c r="Y177"/>
  <c r="F178"/>
  <c r="N178"/>
  <c r="R178"/>
  <c r="Q179"/>
  <c r="V179"/>
  <c r="F180"/>
  <c r="F181"/>
  <c r="Q181"/>
  <c r="F182"/>
  <c r="Q182"/>
  <c r="X182"/>
  <c r="Q183"/>
  <c r="F185"/>
  <c r="N185"/>
  <c r="Q187"/>
  <c r="U188"/>
  <c r="R190"/>
  <c r="F218"/>
  <c r="J218"/>
  <c r="J209"/>
  <c r="O182"/>
  <c r="S182"/>
  <c r="Y187"/>
  <c r="Y188"/>
  <c r="F155"/>
  <c r="F201" s="1"/>
  <c r="R155"/>
  <c r="R201" s="1"/>
  <c r="Q156"/>
  <c r="U157"/>
  <c r="Z157"/>
  <c r="F159"/>
  <c r="N159"/>
  <c r="R159"/>
  <c r="Q160"/>
  <c r="V160"/>
  <c r="U161"/>
  <c r="Y162"/>
  <c r="F163"/>
  <c r="R163"/>
  <c r="Q164"/>
  <c r="U165"/>
  <c r="Z165"/>
  <c r="Y166"/>
  <c r="F168"/>
  <c r="R168"/>
  <c r="Q169"/>
  <c r="U170"/>
  <c r="S171"/>
  <c r="Y171"/>
  <c r="F172"/>
  <c r="R172"/>
  <c r="Q173"/>
  <c r="U174"/>
  <c r="Z174"/>
  <c r="Y176"/>
  <c r="F177"/>
  <c r="R177"/>
  <c r="Q178"/>
  <c r="V178"/>
  <c r="U179"/>
  <c r="U180"/>
  <c r="V181"/>
  <c r="F187"/>
  <c r="Q188"/>
  <c r="U189"/>
  <c r="Y190"/>
  <c r="F209"/>
  <c r="D193"/>
  <c r="M233"/>
  <c r="H208"/>
  <c r="S169" l="1"/>
  <c r="N187"/>
  <c r="O180"/>
  <c r="O176"/>
  <c r="O166"/>
  <c r="O187"/>
  <c r="N164"/>
  <c r="O169"/>
  <c r="N155"/>
  <c r="N201" s="1"/>
  <c r="O177"/>
  <c r="O185"/>
  <c r="O190"/>
  <c r="N177"/>
  <c r="N172"/>
  <c r="O171"/>
  <c r="N168"/>
  <c r="O158"/>
  <c r="O159"/>
  <c r="O173"/>
  <c r="N170"/>
  <c r="Y182"/>
  <c r="R164"/>
  <c r="Y155"/>
  <c r="Y201" s="1"/>
  <c r="R180"/>
  <c r="Y178"/>
  <c r="R165"/>
  <c r="Y156"/>
  <c r="Y158"/>
  <c r="Y183"/>
  <c r="Y159"/>
  <c r="R156"/>
  <c r="Y185"/>
  <c r="Y181"/>
  <c r="R179"/>
  <c r="Y174"/>
  <c r="S160"/>
  <c r="O165"/>
  <c r="O161"/>
  <c r="V162"/>
  <c r="V180"/>
  <c r="S180"/>
  <c r="O174"/>
  <c r="G206"/>
  <c r="G213"/>
  <c r="I206"/>
  <c r="I213"/>
  <c r="K206"/>
  <c r="K213"/>
  <c r="M206"/>
  <c r="M213"/>
  <c r="Y173"/>
  <c r="R161"/>
  <c r="Q158"/>
  <c r="Q184"/>
  <c r="O183"/>
  <c r="Q172"/>
  <c r="R162"/>
  <c r="N158"/>
  <c r="R189"/>
  <c r="M240"/>
  <c r="M231"/>
  <c r="M230"/>
  <c r="M232" s="1"/>
  <c r="Y165"/>
  <c r="Y157"/>
  <c r="V182"/>
  <c r="V169"/>
  <c r="S188"/>
  <c r="V165"/>
  <c r="V161"/>
  <c r="V188"/>
  <c r="S183"/>
  <c r="V176"/>
  <c r="V171"/>
  <c r="V185"/>
  <c r="V183"/>
  <c r="S176"/>
  <c r="V173"/>
  <c r="S162"/>
  <c r="S158"/>
  <c r="V156"/>
  <c r="S177"/>
  <c r="S172"/>
  <c r="S190"/>
  <c r="S164"/>
  <c r="V158"/>
  <c r="V189"/>
  <c r="S185"/>
  <c r="S166"/>
  <c r="V164"/>
  <c r="S187"/>
  <c r="V174"/>
  <c r="S168"/>
  <c r="S159"/>
  <c r="S178"/>
  <c r="V184"/>
  <c r="S170"/>
  <c r="Y180"/>
  <c r="Y164"/>
  <c r="R157"/>
  <c r="R176"/>
  <c r="R166"/>
  <c r="Y161"/>
  <c r="R188"/>
  <c r="Y160"/>
  <c r="R171"/>
  <c r="R158"/>
  <c r="R183"/>
  <c r="Y169"/>
  <c r="R185"/>
  <c r="Y170"/>
  <c r="U184"/>
  <c r="I207"/>
  <c r="K207"/>
  <c r="K73" s="1"/>
  <c r="K74" s="1"/>
  <c r="O181"/>
  <c r="N163"/>
  <c r="O162"/>
  <c r="O188"/>
  <c r="N169"/>
  <c r="O168"/>
  <c r="S163"/>
  <c r="V157"/>
  <c r="N179"/>
  <c r="O178"/>
  <c r="S173"/>
  <c r="V166"/>
  <c r="N161"/>
  <c r="O160"/>
  <c r="S156"/>
  <c r="V190"/>
  <c r="N190"/>
  <c r="O184"/>
  <c r="N182"/>
  <c r="O179"/>
  <c r="V163"/>
  <c r="Q159"/>
  <c r="X184"/>
  <c r="N188"/>
  <c r="N173"/>
  <c r="O172"/>
  <c r="N156"/>
  <c r="O155"/>
  <c r="O201" s="1"/>
  <c r="N165"/>
  <c r="O164"/>
  <c r="N180"/>
  <c r="N176"/>
  <c r="N171"/>
  <c r="O170"/>
  <c r="N166"/>
  <c r="N162"/>
  <c r="N183"/>
  <c r="N157"/>
  <c r="O156"/>
  <c r="N181"/>
  <c r="O157"/>
  <c r="S189"/>
  <c r="S181"/>
  <c r="S179"/>
  <c r="S174"/>
  <c r="S161"/>
  <c r="V177"/>
  <c r="V172"/>
  <c r="S165"/>
  <c r="V159"/>
  <c r="V155"/>
  <c r="V201" s="1"/>
  <c r="V168"/>
  <c r="S157"/>
  <c r="X162"/>
  <c r="P182"/>
  <c r="Z170"/>
  <c r="Z161"/>
  <c r="X176"/>
  <c r="X166"/>
  <c r="X158"/>
  <c r="P171"/>
  <c r="P162"/>
  <c r="P185"/>
  <c r="P188"/>
  <c r="X188"/>
  <c r="P184"/>
  <c r="P176"/>
  <c r="P166"/>
  <c r="P158"/>
  <c r="Z178"/>
  <c r="P183"/>
  <c r="P179"/>
  <c r="P174"/>
  <c r="P170"/>
  <c r="P165"/>
  <c r="P161"/>
  <c r="P157"/>
  <c r="Z183"/>
  <c r="X180"/>
  <c r="Z176"/>
  <c r="Z171"/>
  <c r="Z166"/>
  <c r="Z162"/>
  <c r="Z158"/>
  <c r="Z187"/>
  <c r="P187"/>
  <c r="X174"/>
  <c r="X170"/>
  <c r="X165"/>
  <c r="X161"/>
  <c r="X157"/>
  <c r="Z180"/>
  <c r="P178"/>
  <c r="X179"/>
  <c r="X177"/>
  <c r="X172"/>
  <c r="X168"/>
  <c r="X163"/>
  <c r="X159"/>
  <c r="X155"/>
  <c r="X201" s="1"/>
  <c r="Z190"/>
  <c r="P190"/>
  <c r="Z177"/>
  <c r="Z172"/>
  <c r="Z168"/>
  <c r="Z163"/>
  <c r="Z159"/>
  <c r="Z155"/>
  <c r="Z201" s="1"/>
  <c r="Z179"/>
  <c r="P173"/>
  <c r="P169"/>
  <c r="P164"/>
  <c r="P160"/>
  <c r="P156"/>
  <c r="X189"/>
  <c r="X187"/>
  <c r="Z184"/>
  <c r="X185"/>
  <c r="X181"/>
  <c r="P180"/>
  <c r="X178"/>
  <c r="X173"/>
  <c r="X169"/>
  <c r="X164"/>
  <c r="X160"/>
  <c r="X156"/>
  <c r="Z181"/>
  <c r="P181"/>
  <c r="P177"/>
  <c r="P172"/>
  <c r="P168"/>
  <c r="P163"/>
  <c r="P159"/>
  <c r="P155"/>
  <c r="P201" s="1"/>
  <c r="X190"/>
  <c r="Z188"/>
  <c r="Z173"/>
  <c r="Z169"/>
  <c r="Z164"/>
  <c r="Z160"/>
  <c r="Z156"/>
  <c r="F210"/>
  <c r="F75" s="1"/>
  <c r="F77" s="1"/>
  <c r="AJ30"/>
  <c r="I73"/>
  <c r="I74" s="1"/>
  <c r="D195"/>
  <c r="H69"/>
  <c r="H187" s="1"/>
  <c r="H73"/>
  <c r="H74" s="1"/>
  <c r="M215"/>
  <c r="M216" s="1"/>
  <c r="D227"/>
  <c r="D232" s="1"/>
  <c r="D215"/>
  <c r="D216" s="1"/>
  <c r="J188"/>
  <c r="J183"/>
  <c r="J189"/>
  <c r="J184"/>
  <c r="J182"/>
  <c r="J181"/>
  <c r="J180"/>
  <c r="J177"/>
  <c r="J172"/>
  <c r="J168"/>
  <c r="J163"/>
  <c r="J159"/>
  <c r="J155"/>
  <c r="J201" s="1"/>
  <c r="J190"/>
  <c r="J178"/>
  <c r="J173"/>
  <c r="J169"/>
  <c r="J164"/>
  <c r="J160"/>
  <c r="J156"/>
  <c r="J187"/>
  <c r="J179"/>
  <c r="J174"/>
  <c r="J170"/>
  <c r="J165"/>
  <c r="J161"/>
  <c r="J157"/>
  <c r="J185"/>
  <c r="J176"/>
  <c r="J171"/>
  <c r="J166"/>
  <c r="J162"/>
  <c r="J158"/>
  <c r="L190"/>
  <c r="L185"/>
  <c r="L181"/>
  <c r="L187"/>
  <c r="L189"/>
  <c r="L179"/>
  <c r="L174"/>
  <c r="L170"/>
  <c r="L165"/>
  <c r="L161"/>
  <c r="L157"/>
  <c r="L188"/>
  <c r="L183"/>
  <c r="L182"/>
  <c r="L176"/>
  <c r="L171"/>
  <c r="L166"/>
  <c r="L162"/>
  <c r="L158"/>
  <c r="L184"/>
  <c r="L180"/>
  <c r="L177"/>
  <c r="L172"/>
  <c r="L168"/>
  <c r="L163"/>
  <c r="L159"/>
  <c r="L155"/>
  <c r="L201" s="1"/>
  <c r="L178"/>
  <c r="L173"/>
  <c r="L169"/>
  <c r="L164"/>
  <c r="L160"/>
  <c r="L156"/>
  <c r="M228"/>
  <c r="M229"/>
  <c r="M217"/>
  <c r="K208"/>
  <c r="H209"/>
  <c r="I208"/>
  <c r="I209" s="1"/>
  <c r="K209"/>
  <c r="G207" l="1"/>
  <c r="M207"/>
  <c r="M235"/>
  <c r="M247"/>
  <c r="M244"/>
  <c r="M262"/>
  <c r="M243"/>
  <c r="M241"/>
  <c r="M250"/>
  <c r="M253"/>
  <c r="M251"/>
  <c r="M249"/>
  <c r="M248"/>
  <c r="M261"/>
  <c r="H210"/>
  <c r="H75" s="1"/>
  <c r="I69"/>
  <c r="I169" s="1"/>
  <c r="H190"/>
  <c r="H168"/>
  <c r="H180"/>
  <c r="H179"/>
  <c r="H156"/>
  <c r="H157"/>
  <c r="H189"/>
  <c r="H173"/>
  <c r="H163"/>
  <c r="H183"/>
  <c r="H171"/>
  <c r="H174"/>
  <c r="H185"/>
  <c r="H169"/>
  <c r="H155"/>
  <c r="H182"/>
  <c r="H166"/>
  <c r="H165"/>
  <c r="H181"/>
  <c r="H164"/>
  <c r="H188"/>
  <c r="H172"/>
  <c r="H162"/>
  <c r="H161"/>
  <c r="H184"/>
  <c r="H160"/>
  <c r="H178"/>
  <c r="H159"/>
  <c r="H177"/>
  <c r="H158"/>
  <c r="H176"/>
  <c r="H170"/>
  <c r="D250"/>
  <c r="D249"/>
  <c r="D243"/>
  <c r="D262"/>
  <c r="D244"/>
  <c r="D241"/>
  <c r="D247"/>
  <c r="D248"/>
  <c r="D242"/>
  <c r="D245"/>
  <c r="D218"/>
  <c r="D263"/>
  <c r="D246"/>
  <c r="G208"/>
  <c r="M208"/>
  <c r="M209" s="1"/>
  <c r="M242"/>
  <c r="M263"/>
  <c r="M246"/>
  <c r="M245"/>
  <c r="M218"/>
  <c r="G209"/>
  <c r="G69" l="1"/>
  <c r="G182" s="1"/>
  <c r="G73"/>
  <c r="G74" s="1"/>
  <c r="M259"/>
  <c r="M257"/>
  <c r="H77"/>
  <c r="I170"/>
  <c r="I159"/>
  <c r="I190"/>
  <c r="I177"/>
  <c r="I156"/>
  <c r="I176"/>
  <c r="I158"/>
  <c r="I173"/>
  <c r="I155"/>
  <c r="I172"/>
  <c r="I183"/>
  <c r="I171"/>
  <c r="I165"/>
  <c r="I187"/>
  <c r="I185"/>
  <c r="I189"/>
  <c r="I168"/>
  <c r="I182"/>
  <c r="I166"/>
  <c r="I161"/>
  <c r="I179"/>
  <c r="I164"/>
  <c r="I188"/>
  <c r="I184"/>
  <c r="I163"/>
  <c r="I181"/>
  <c r="I162"/>
  <c r="I157"/>
  <c r="I174"/>
  <c r="I160"/>
  <c r="I178"/>
  <c r="I180"/>
  <c r="AF20"/>
  <c r="D207"/>
  <c r="AJ27"/>
  <c r="H201"/>
  <c r="D257"/>
  <c r="D259"/>
  <c r="Z22"/>
  <c r="AF24" s="1"/>
  <c r="M73"/>
  <c r="M74" s="1"/>
  <c r="I72"/>
  <c r="I210" s="1"/>
  <c r="G72"/>
  <c r="G210" s="1"/>
  <c r="D208"/>
  <c r="D209"/>
  <c r="G177" l="1"/>
  <c r="G171"/>
  <c r="G188"/>
  <c r="G172"/>
  <c r="G157"/>
  <c r="G162"/>
  <c r="G173"/>
  <c r="G181"/>
  <c r="G185"/>
  <c r="G160"/>
  <c r="G158"/>
  <c r="G174"/>
  <c r="G163"/>
  <c r="G165"/>
  <c r="G180"/>
  <c r="G179"/>
  <c r="G168"/>
  <c r="G170"/>
  <c r="G176"/>
  <c r="G178"/>
  <c r="G183"/>
  <c r="G184"/>
  <c r="G190"/>
  <c r="G161"/>
  <c r="G189"/>
  <c r="G156"/>
  <c r="G187"/>
  <c r="G155"/>
  <c r="G166"/>
  <c r="G169"/>
  <c r="G164"/>
  <c r="G159"/>
  <c r="I201"/>
  <c r="D69"/>
  <c r="D73"/>
  <c r="D74" s="1"/>
  <c r="AF21"/>
  <c r="I75"/>
  <c r="G75"/>
  <c r="M69"/>
  <c r="D219"/>
  <c r="G201" l="1"/>
  <c r="D172"/>
  <c r="D173"/>
  <c r="D189"/>
  <c r="D183"/>
  <c r="D165"/>
  <c r="D182"/>
  <c r="D161"/>
  <c r="D159"/>
  <c r="D174"/>
  <c r="D164"/>
  <c r="D178"/>
  <c r="D187"/>
  <c r="D188"/>
  <c r="D168"/>
  <c r="D163"/>
  <c r="D177"/>
  <c r="D160"/>
  <c r="D190"/>
  <c r="D169"/>
  <c r="D171"/>
  <c r="D157"/>
  <c r="D156"/>
  <c r="D162"/>
  <c r="D170"/>
  <c r="D158"/>
  <c r="D185"/>
  <c r="D184"/>
  <c r="D181"/>
  <c r="D166"/>
  <c r="D155"/>
  <c r="D180"/>
  <c r="D179"/>
  <c r="Y19"/>
  <c r="AM27" s="1"/>
  <c r="D222"/>
  <c r="G77"/>
  <c r="M189"/>
  <c r="M184"/>
  <c r="M180"/>
  <c r="M190"/>
  <c r="M185"/>
  <c r="M178"/>
  <c r="M173"/>
  <c r="M169"/>
  <c r="M164"/>
  <c r="M160"/>
  <c r="M156"/>
  <c r="M179"/>
  <c r="M174"/>
  <c r="M170"/>
  <c r="M165"/>
  <c r="M161"/>
  <c r="M157"/>
  <c r="M188"/>
  <c r="M183"/>
  <c r="M182"/>
  <c r="M181"/>
  <c r="M176"/>
  <c r="M171"/>
  <c r="M166"/>
  <c r="M162"/>
  <c r="M158"/>
  <c r="M187"/>
  <c r="M177"/>
  <c r="M172"/>
  <c r="M168"/>
  <c r="M163"/>
  <c r="M159"/>
  <c r="M155"/>
  <c r="D201" l="1"/>
  <c r="I77"/>
  <c r="D221"/>
  <c r="D223" s="1"/>
  <c r="D252"/>
  <c r="D256"/>
  <c r="M201"/>
  <c r="D260"/>
  <c r="M72"/>
  <c r="D72"/>
  <c r="M210" l="1"/>
  <c r="D210"/>
  <c r="D75" s="1"/>
  <c r="D71" s="1"/>
  <c r="M258" l="1"/>
  <c r="D77"/>
  <c r="K221" l="1"/>
  <c r="K219"/>
  <c r="K223"/>
  <c r="K222"/>
  <c r="K218"/>
  <c r="K215"/>
  <c r="K216"/>
  <c r="K69"/>
  <c r="K174" l="1"/>
  <c r="K170"/>
  <c r="K183"/>
  <c r="K189"/>
  <c r="K159"/>
  <c r="K158"/>
  <c r="K165"/>
  <c r="K180"/>
  <c r="K163"/>
  <c r="K178"/>
  <c r="K173"/>
  <c r="K164"/>
  <c r="K160"/>
  <c r="K182"/>
  <c r="K171"/>
  <c r="K166"/>
  <c r="K181"/>
  <c r="K179"/>
  <c r="K190"/>
  <c r="K185"/>
  <c r="K176"/>
  <c r="K168"/>
  <c r="K161"/>
  <c r="K156"/>
  <c r="K177"/>
  <c r="K157"/>
  <c r="K187"/>
  <c r="K172"/>
  <c r="K184"/>
  <c r="K169"/>
  <c r="K188"/>
  <c r="K162"/>
  <c r="K155"/>
  <c r="K201" l="1"/>
  <c r="K72"/>
  <c r="K210" s="1"/>
  <c r="K75" l="1"/>
  <c r="K77" l="1"/>
  <c r="E206" l="1"/>
  <c r="E208" s="1"/>
  <c r="E68"/>
  <c r="E45" l="1"/>
  <c r="E63"/>
  <c r="E207" s="1"/>
  <c r="E229" l="1"/>
  <c r="E233"/>
  <c r="E237"/>
  <c r="E243"/>
  <c r="E247"/>
  <c r="E251"/>
  <c r="E257"/>
  <c r="E261"/>
  <c r="E227"/>
  <c r="E228"/>
  <c r="E232"/>
  <c r="E236"/>
  <c r="E242"/>
  <c r="E246"/>
  <c r="E250"/>
  <c r="E256"/>
  <c r="E260"/>
  <c r="E231"/>
  <c r="E235"/>
  <c r="E241"/>
  <c r="E245"/>
  <c r="E249"/>
  <c r="E253"/>
  <c r="E259"/>
  <c r="E263"/>
  <c r="E230"/>
  <c r="E234"/>
  <c r="E240"/>
  <c r="E244"/>
  <c r="E248"/>
  <c r="E252"/>
  <c r="E258"/>
  <c r="E262"/>
  <c r="E73"/>
  <c r="E69"/>
  <c r="E176" s="1"/>
  <c r="E76"/>
  <c r="E70"/>
  <c r="E218"/>
  <c r="E209"/>
  <c r="E158" l="1"/>
  <c r="E74"/>
  <c r="Z19"/>
  <c r="E168"/>
  <c r="E161"/>
  <c r="E173"/>
  <c r="E171"/>
  <c r="E174"/>
  <c r="E164"/>
  <c r="E183"/>
  <c r="E165"/>
  <c r="E156"/>
  <c r="E181"/>
  <c r="E166"/>
  <c r="E157"/>
  <c r="E160"/>
  <c r="E178"/>
  <c r="E182"/>
  <c r="E159"/>
  <c r="E172"/>
  <c r="E162"/>
  <c r="E177"/>
  <c r="E155"/>
  <c r="E201" s="1"/>
  <c r="E170"/>
  <c r="E163"/>
  <c r="E184"/>
  <c r="E185"/>
  <c r="E180"/>
  <c r="E179"/>
  <c r="E169"/>
  <c r="E210"/>
  <c r="E75" s="1"/>
  <c r="E187"/>
  <c r="E190"/>
  <c r="E189"/>
  <c r="E188"/>
  <c r="Z17" l="1"/>
  <c r="E77"/>
  <c r="E71"/>
  <c r="F70"/>
  <c r="Y17" l="1"/>
  <c r="Y21" s="1"/>
  <c r="Y23" s="1"/>
  <c r="Z21"/>
  <c r="Z23" l="1"/>
  <c r="AF30" s="1"/>
  <c r="AF23"/>
  <c r="M234"/>
  <c r="M236"/>
  <c r="M220"/>
  <c r="M221"/>
  <c r="M252"/>
  <c r="M222"/>
  <c r="M223"/>
  <c r="M219"/>
  <c r="M256"/>
  <c r="M260"/>
  <c r="M75"/>
  <c r="AA28" s="1"/>
  <c r="AA33" s="1"/>
  <c r="AA34" s="1"/>
  <c r="AA42" s="1"/>
  <c r="M237"/>
  <c r="M77" l="1"/>
  <c r="Z28"/>
  <c r="M76"/>
  <c r="Y27" s="1"/>
  <c r="Z27" s="1"/>
  <c r="M70" l="1"/>
  <c r="L71" s="1"/>
  <c r="L70" s="1"/>
  <c r="K71" s="1"/>
  <c r="K70" s="1"/>
  <c r="J71" s="1"/>
  <c r="J70" s="1"/>
  <c r="I71" s="1"/>
  <c r="I70" s="1"/>
  <c r="H71" s="1"/>
  <c r="AA27"/>
  <c r="AA35" s="1"/>
  <c r="AA36" s="1"/>
  <c r="Z33"/>
  <c r="Z34" s="1"/>
  <c r="Y28"/>
  <c r="Y33" s="1"/>
  <c r="Z42" l="1"/>
  <c r="H79"/>
  <c r="H70" s="1"/>
  <c r="G71" s="1"/>
  <c r="G70" s="1"/>
  <c r="Z35"/>
  <c r="Y35" s="1"/>
  <c r="AA39"/>
  <c r="AA40"/>
  <c r="AA37"/>
  <c r="AA38" s="1"/>
  <c r="AA41" l="1"/>
  <c r="Z36"/>
  <c r="Y36" s="1"/>
  <c r="AF27"/>
  <c r="Y34"/>
  <c r="Y42" s="1"/>
  <c r="Z39" l="1"/>
  <c r="Z40"/>
  <c r="Z37"/>
  <c r="Z38" s="1"/>
  <c r="AF33" s="1"/>
  <c r="Y39"/>
  <c r="Y40"/>
  <c r="Z41" l="1"/>
  <c r="AJ33" s="1"/>
  <c r="Y41"/>
  <c r="Y37"/>
  <c r="Y38" s="1"/>
</calcChain>
</file>

<file path=xl/comments1.xml><?xml version="1.0" encoding="utf-8"?>
<comments xmlns="http://schemas.openxmlformats.org/spreadsheetml/2006/main">
  <authors>
    <author>만든 이</author>
  </authors>
  <commentList>
    <comment ref="C48" authorId="0">
      <text>
        <r>
          <rPr>
            <b/>
            <sz val="9"/>
            <color indexed="81"/>
            <rFont val="Tahoma"/>
            <family val="2"/>
          </rPr>
          <t xml:space="preserve">kg/hr, m3/hr 
</t>
        </r>
        <r>
          <rPr>
            <b/>
            <sz val="9"/>
            <color indexed="81"/>
            <rFont val="돋움"/>
            <family val="3"/>
            <charset val="129"/>
          </rPr>
          <t>둘</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하나</t>
        </r>
        <r>
          <rPr>
            <b/>
            <sz val="9"/>
            <color indexed="81"/>
            <rFont val="Tahoma"/>
            <family val="2"/>
          </rPr>
          <t xml:space="preserve"> </t>
        </r>
        <r>
          <rPr>
            <b/>
            <sz val="9"/>
            <color indexed="81"/>
            <rFont val="돋움"/>
            <family val="3"/>
            <charset val="129"/>
          </rPr>
          <t xml:space="preserve">선택
</t>
        </r>
      </text>
    </comment>
    <comment ref="C70" authorId="0">
      <text>
        <r>
          <rPr>
            <b/>
            <sz val="9"/>
            <color indexed="81"/>
            <rFont val="Tahoma"/>
            <family val="2"/>
          </rPr>
          <t>2PH</t>
        </r>
        <r>
          <rPr>
            <b/>
            <sz val="9"/>
            <color indexed="81"/>
            <rFont val="돋움"/>
            <family val="3"/>
            <charset val="129"/>
          </rPr>
          <t>일</t>
        </r>
        <r>
          <rPr>
            <b/>
            <sz val="9"/>
            <color indexed="81"/>
            <rFont val="Tahoma"/>
            <family val="2"/>
          </rPr>
          <t xml:space="preserve"> </t>
        </r>
        <r>
          <rPr>
            <b/>
            <sz val="9"/>
            <color indexed="81"/>
            <rFont val="돋움"/>
            <family val="3"/>
            <charset val="129"/>
          </rPr>
          <t>때</t>
        </r>
        <r>
          <rPr>
            <b/>
            <sz val="9"/>
            <color indexed="81"/>
            <rFont val="Tahoma"/>
            <family val="2"/>
          </rPr>
          <t xml:space="preserve"> </t>
        </r>
        <r>
          <rPr>
            <b/>
            <sz val="9"/>
            <color indexed="81"/>
            <rFont val="돋움"/>
            <family val="3"/>
            <charset val="129"/>
          </rPr>
          <t>수동적으로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왼편에</t>
        </r>
        <r>
          <rPr>
            <b/>
            <sz val="9"/>
            <color indexed="81"/>
            <rFont val="Tahoma"/>
            <family val="2"/>
          </rPr>
          <t xml:space="preserve"> </t>
        </r>
        <r>
          <rPr>
            <b/>
            <sz val="9"/>
            <color indexed="81"/>
            <rFont val="돋움"/>
            <family val="3"/>
            <charset val="129"/>
          </rPr>
          <t>있는</t>
        </r>
        <r>
          <rPr>
            <b/>
            <sz val="9"/>
            <color indexed="81"/>
            <rFont val="Tahoma"/>
            <family val="2"/>
          </rPr>
          <t xml:space="preserve"> 
Press. Destination </t>
        </r>
        <r>
          <rPr>
            <b/>
            <sz val="9"/>
            <color indexed="81"/>
            <rFont val="돋움"/>
            <family val="3"/>
            <charset val="129"/>
          </rPr>
          <t>입력</t>
        </r>
        <r>
          <rPr>
            <b/>
            <sz val="9"/>
            <color indexed="81"/>
            <rFont val="Tahoma"/>
            <family val="2"/>
          </rPr>
          <t xml:space="preserve"> </t>
        </r>
      </text>
    </comment>
    <comment ref="C75" authorId="0">
      <text>
        <r>
          <rPr>
            <b/>
            <sz val="9"/>
            <color indexed="81"/>
            <rFont val="Tahoma"/>
            <family val="2"/>
          </rPr>
          <t>HTFS</t>
        </r>
        <r>
          <rPr>
            <b/>
            <sz val="9"/>
            <color indexed="81"/>
            <rFont val="돋움"/>
            <family val="3"/>
            <charset val="129"/>
          </rPr>
          <t>인</t>
        </r>
        <r>
          <rPr>
            <b/>
            <sz val="9"/>
            <color indexed="81"/>
            <rFont val="Tahoma"/>
            <family val="2"/>
          </rPr>
          <t xml:space="preserve"> </t>
        </r>
        <r>
          <rPr>
            <b/>
            <sz val="9"/>
            <color indexed="81"/>
            <rFont val="돋움"/>
            <family val="3"/>
            <charset val="129"/>
          </rPr>
          <t>경우</t>
        </r>
        <r>
          <rPr>
            <b/>
            <sz val="9"/>
            <color indexed="81"/>
            <rFont val="Tahoma"/>
            <family val="2"/>
          </rPr>
          <t xml:space="preserve"> 
FRICTION PRESS.DROP+
ACCELEATION PRESS.DROP</t>
        </r>
      </text>
    </comment>
    <comment ref="C193" authorId="0">
      <text>
        <r>
          <rPr>
            <b/>
            <sz val="9"/>
            <color indexed="81"/>
            <rFont val="Tahoma"/>
            <family val="2"/>
          </rPr>
          <t xml:space="preserve">Based on large diameter
</t>
        </r>
      </text>
    </comment>
    <comment ref="C198" authorId="0">
      <text>
        <r>
          <rPr>
            <b/>
            <sz val="9"/>
            <color indexed="81"/>
            <rFont val="Tahoma"/>
            <family val="2"/>
          </rPr>
          <t xml:space="preserve">Based on large diameter
</t>
        </r>
      </text>
    </comment>
    <comment ref="C201" authorId="0">
      <text>
        <r>
          <rPr>
            <b/>
            <sz val="9"/>
            <color indexed="81"/>
            <rFont val="Tahoma"/>
            <family val="2"/>
          </rPr>
          <t>K or N = fL/D</t>
        </r>
      </text>
    </comment>
    <comment ref="B234" authorId="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 xml:space="preserve">때
</t>
        </r>
        <r>
          <rPr>
            <b/>
            <sz val="9"/>
            <color indexed="81"/>
            <rFont val="Tahoma"/>
            <family val="2"/>
          </rPr>
          <t xml:space="preserve">Mach No. </t>
        </r>
        <r>
          <rPr>
            <b/>
            <sz val="9"/>
            <color indexed="81"/>
            <rFont val="돋움"/>
            <family val="3"/>
            <charset val="129"/>
          </rPr>
          <t xml:space="preserve">적용
</t>
        </r>
      </text>
    </comment>
    <comment ref="B235" authorId="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 xml:space="preserve">때
</t>
        </r>
        <r>
          <rPr>
            <b/>
            <sz val="9"/>
            <color indexed="81"/>
            <rFont val="Tahoma"/>
            <family val="2"/>
          </rPr>
          <t xml:space="preserve">Mach No. </t>
        </r>
        <r>
          <rPr>
            <b/>
            <sz val="9"/>
            <color indexed="81"/>
            <rFont val="돋움"/>
            <family val="3"/>
            <charset val="129"/>
          </rPr>
          <t xml:space="preserve">적용
</t>
        </r>
      </text>
    </comment>
    <comment ref="B236" authorId="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때
위에서</t>
        </r>
        <r>
          <rPr>
            <b/>
            <sz val="9"/>
            <color indexed="81"/>
            <rFont val="Tahoma"/>
            <family val="2"/>
          </rPr>
          <t xml:space="preserve"> </t>
        </r>
        <r>
          <rPr>
            <b/>
            <sz val="9"/>
            <color indexed="81"/>
            <rFont val="돋움"/>
            <family val="3"/>
            <charset val="129"/>
          </rPr>
          <t>정리할</t>
        </r>
        <r>
          <rPr>
            <b/>
            <sz val="9"/>
            <color indexed="81"/>
            <rFont val="Tahoma"/>
            <family val="2"/>
          </rPr>
          <t xml:space="preserve"> </t>
        </r>
        <r>
          <rPr>
            <b/>
            <sz val="9"/>
            <color indexed="81"/>
            <rFont val="돋움"/>
            <family val="3"/>
            <charset val="129"/>
          </rPr>
          <t>때는</t>
        </r>
        <r>
          <rPr>
            <b/>
            <sz val="9"/>
            <color indexed="81"/>
            <rFont val="Tahoma"/>
            <family val="2"/>
          </rPr>
          <t xml:space="preserve"> 
friction </t>
        </r>
        <r>
          <rPr>
            <b/>
            <sz val="9"/>
            <color indexed="81"/>
            <rFont val="맑은 고딕"/>
            <family val="3"/>
            <charset val="129"/>
          </rPr>
          <t>Δ</t>
        </r>
        <r>
          <rPr>
            <b/>
            <sz val="7.65"/>
            <color indexed="81"/>
            <rFont val="Tahoma"/>
            <family val="2"/>
          </rPr>
          <t>P</t>
        </r>
        <r>
          <rPr>
            <b/>
            <sz val="7.65"/>
            <color indexed="81"/>
            <rFont val="맑은 고딕"/>
            <family val="3"/>
            <charset val="129"/>
          </rPr>
          <t>과</t>
        </r>
        <r>
          <rPr>
            <b/>
            <sz val="7.65"/>
            <color indexed="81"/>
            <rFont val="Tahoma"/>
            <family val="2"/>
          </rPr>
          <t xml:space="preserve"> Acceleration </t>
        </r>
        <r>
          <rPr>
            <b/>
            <sz val="7.65"/>
            <color indexed="81"/>
            <rFont val="맑은 고딕"/>
            <family val="3"/>
            <charset val="129"/>
          </rPr>
          <t>Δ</t>
        </r>
        <r>
          <rPr>
            <b/>
            <sz val="7.65"/>
            <color indexed="81"/>
            <rFont val="Tahoma"/>
            <family val="2"/>
          </rPr>
          <t>P</t>
        </r>
        <r>
          <rPr>
            <b/>
            <sz val="7.65"/>
            <color indexed="81"/>
            <rFont val="맑은 고딕"/>
            <family val="3"/>
            <charset val="129"/>
          </rPr>
          <t>과</t>
        </r>
        <r>
          <rPr>
            <b/>
            <sz val="7.65"/>
            <color indexed="81"/>
            <rFont val="Tahoma"/>
            <family val="2"/>
          </rPr>
          <t xml:space="preserve"> </t>
        </r>
        <r>
          <rPr>
            <b/>
            <sz val="7.65"/>
            <color indexed="81"/>
            <rFont val="맑은 고딕"/>
            <family val="3"/>
            <charset val="129"/>
          </rPr>
          <t xml:space="preserve">합침
</t>
        </r>
      </text>
    </comment>
  </commentList>
</comments>
</file>

<file path=xl/sharedStrings.xml><?xml version="1.0" encoding="utf-8"?>
<sst xmlns="http://schemas.openxmlformats.org/spreadsheetml/2006/main" count="491" uniqueCount="311">
  <si>
    <t>PIPING  SPEC.</t>
    <phoneticPr fontId="4" type="noConversion"/>
  </si>
  <si>
    <t>5S</t>
  </si>
  <si>
    <t>10S</t>
  </si>
  <si>
    <t>40S</t>
  </si>
  <si>
    <t>80S</t>
  </si>
  <si>
    <t>STD</t>
  </si>
  <si>
    <t>XS</t>
  </si>
  <si>
    <t>XXS</t>
  </si>
  <si>
    <t>ANSI</t>
  </si>
  <si>
    <t>NA</t>
  </si>
  <si>
    <t xml:space="preserve">         </t>
  </si>
  <si>
    <t>DRIVER</t>
    <phoneticPr fontId="4" type="noConversion"/>
  </si>
  <si>
    <t>MOTOR</t>
    <phoneticPr fontId="4" type="noConversion"/>
  </si>
  <si>
    <t>NEWTONIAN</t>
    <phoneticPr fontId="4" type="noConversion"/>
  </si>
  <si>
    <t>TURBINE</t>
    <phoneticPr fontId="4" type="noConversion"/>
  </si>
  <si>
    <t>NON-NEWTONIAN</t>
    <phoneticPr fontId="4" type="noConversion"/>
  </si>
  <si>
    <t>Com.factor</t>
    <phoneticPr fontId="4" type="noConversion"/>
  </si>
  <si>
    <t>HTFS</t>
    <phoneticPr fontId="4" type="noConversion"/>
  </si>
  <si>
    <t>DuklerII</t>
    <phoneticPr fontId="4" type="noConversion"/>
  </si>
  <si>
    <t>CENTRIFUGAL</t>
    <phoneticPr fontId="4" type="noConversion"/>
  </si>
  <si>
    <t>RECIPROCATING</t>
    <phoneticPr fontId="4" type="noConversion"/>
  </si>
  <si>
    <t>Fitting</t>
    <phoneticPr fontId="4" type="noConversion"/>
  </si>
  <si>
    <t>ROTARY</t>
    <phoneticPr fontId="4" type="noConversion"/>
  </si>
  <si>
    <t>JOB NO.</t>
  </si>
  <si>
    <t xml:space="preserve">BY: </t>
    <phoneticPr fontId="29" type="noConversion"/>
  </si>
  <si>
    <t xml:space="preserve">DATE: </t>
    <phoneticPr fontId="29" type="noConversion"/>
  </si>
  <si>
    <t>PAGE:</t>
  </si>
  <si>
    <t>REV:</t>
    <phoneticPr fontId="4" type="noConversion"/>
  </si>
  <si>
    <t>SERVICE</t>
  </si>
  <si>
    <t>CHECKED BY:</t>
  </si>
  <si>
    <t>APPROVED BY:</t>
  </si>
  <si>
    <t xml:space="preserve">PUMP CALCULATION </t>
    <phoneticPr fontId="4" type="noConversion"/>
  </si>
  <si>
    <t>PUMP TYPE</t>
    <phoneticPr fontId="4" type="noConversion"/>
  </si>
  <si>
    <t>m3/hr</t>
    <phoneticPr fontId="4" type="noConversion"/>
  </si>
  <si>
    <t>kg/cm2</t>
    <phoneticPr fontId="4" type="noConversion"/>
  </si>
  <si>
    <t>DRIVER</t>
    <phoneticPr fontId="4" type="noConversion"/>
  </si>
  <si>
    <t>MOTOR</t>
  </si>
  <si>
    <t>PUMP SPEED</t>
    <phoneticPr fontId="4" type="noConversion"/>
  </si>
  <si>
    <t>RPM</t>
    <phoneticPr fontId="4" type="noConversion"/>
  </si>
  <si>
    <t>SUCTION</t>
  </si>
  <si>
    <t>Operating Pres.</t>
  </si>
  <si>
    <r>
      <t>kg/cm</t>
    </r>
    <r>
      <rPr>
        <vertAlign val="superscript"/>
        <sz val="9"/>
        <rFont val="Arial"/>
        <family val="2"/>
      </rPr>
      <t>2</t>
    </r>
    <r>
      <rPr>
        <sz val="9"/>
        <rFont val="Arial"/>
        <family val="2"/>
      </rPr>
      <t>.G</t>
    </r>
  </si>
  <si>
    <t>meter</t>
  </si>
  <si>
    <t>Vapor Pres.</t>
  </si>
  <si>
    <r>
      <t>kg/cm</t>
    </r>
    <r>
      <rPr>
        <vertAlign val="superscript"/>
        <sz val="9"/>
        <rFont val="Arial"/>
        <family val="2"/>
      </rPr>
      <t>2</t>
    </r>
    <r>
      <rPr>
        <sz val="9"/>
        <rFont val="Arial"/>
        <family val="2"/>
      </rPr>
      <t>.A</t>
    </r>
  </si>
  <si>
    <t>Allowance</t>
  </si>
  <si>
    <r>
      <t>kg/cm</t>
    </r>
    <r>
      <rPr>
        <vertAlign val="superscript"/>
        <sz val="10"/>
        <rFont val="Arial"/>
        <family val="2"/>
      </rPr>
      <t>2</t>
    </r>
  </si>
  <si>
    <t>Strainer</t>
  </si>
  <si>
    <t>Acceleration Head</t>
    <phoneticPr fontId="4" type="noConversion"/>
  </si>
  <si>
    <t>Others</t>
  </si>
  <si>
    <t>Net Suction Pres.</t>
  </si>
  <si>
    <t>Max. Suction Pres.</t>
  </si>
  <si>
    <t>NPSH Available</t>
  </si>
  <si>
    <t>DISCHARGE</t>
  </si>
  <si>
    <t xml:space="preserve"> </t>
    <phoneticPr fontId="29" type="noConversion"/>
  </si>
  <si>
    <t>Pipe friction Loss</t>
  </si>
  <si>
    <t>Pipe Gravity Loss</t>
  </si>
  <si>
    <t>Equip. Pres. Drop</t>
  </si>
  <si>
    <t>Diff. Pres.</t>
  </si>
  <si>
    <t>Disch. Press. Req'd</t>
  </si>
  <si>
    <t>Diff.  Head ( Net )</t>
  </si>
  <si>
    <t>Hydr. Horsepower</t>
  </si>
  <si>
    <t>Est. Shut-off Pres.</t>
  </si>
  <si>
    <t>C.V dp / Friction</t>
  </si>
  <si>
    <t>%</t>
  </si>
  <si>
    <t>STREAM   ID</t>
  </si>
  <si>
    <t>°C</t>
  </si>
  <si>
    <t>inch</t>
  </si>
  <si>
    <r>
      <t>kg/cm</t>
    </r>
    <r>
      <rPr>
        <vertAlign val="superscript"/>
        <sz val="10"/>
        <rFont val="Arial"/>
        <family val="2"/>
      </rPr>
      <t>2</t>
    </r>
    <r>
      <rPr>
        <sz val="10"/>
        <rFont val="Arial"/>
        <family val="2"/>
      </rPr>
      <t>G</t>
    </r>
  </si>
  <si>
    <t>M</t>
  </si>
  <si>
    <r>
      <t>kg/m</t>
    </r>
    <r>
      <rPr>
        <vertAlign val="superscript"/>
        <sz val="10"/>
        <rFont val="Arial"/>
        <family val="2"/>
      </rPr>
      <t>3</t>
    </r>
  </si>
  <si>
    <t>cP</t>
    <phoneticPr fontId="4" type="noConversion"/>
  </si>
  <si>
    <t>m/sec</t>
  </si>
  <si>
    <r>
      <t>kg/cm</t>
    </r>
    <r>
      <rPr>
        <vertAlign val="superscript"/>
        <sz val="10"/>
        <rFont val="Arial"/>
        <family val="2"/>
      </rPr>
      <t>2</t>
    </r>
    <phoneticPr fontId="29" type="noConversion"/>
  </si>
  <si>
    <t>CV PRESSURE DROP</t>
  </si>
  <si>
    <t xml:space="preserve"> THIS DRAWING HAS NOT BEEN PUBLISHED AND IS THE SOLE PROPERTY OF GLOTEC ENGINEERING (GTENG)  AND IS NOT BE DISCLOSED OUTSIDE OF GTENG.</t>
    <phoneticPr fontId="29" type="noConversion"/>
  </si>
  <si>
    <t>-</t>
    <phoneticPr fontId="4" type="noConversion"/>
  </si>
  <si>
    <t>m</t>
    <phoneticPr fontId="4" type="noConversion"/>
  </si>
  <si>
    <t>Fitting</t>
  </si>
  <si>
    <t xml:space="preserve">  FITTINGS</t>
    <phoneticPr fontId="29" type="noConversion"/>
  </si>
  <si>
    <t xml:space="preserve">   ELBOW</t>
    <phoneticPr fontId="4" type="noConversion"/>
  </si>
  <si>
    <t>k1</t>
    <phoneticPr fontId="4" type="noConversion"/>
  </si>
  <si>
    <t>kinf</t>
    <phoneticPr fontId="4" type="noConversion"/>
  </si>
  <si>
    <t xml:space="preserve">    90 deg        </t>
    <phoneticPr fontId="4" type="noConversion"/>
  </si>
  <si>
    <t xml:space="preserve">Std (R/D=1), screwed  </t>
    <phoneticPr fontId="4" type="noConversion"/>
  </si>
  <si>
    <t xml:space="preserve">                        </t>
    <phoneticPr fontId="4" type="noConversion"/>
  </si>
  <si>
    <t>Std (R/D=1), flg/wld</t>
    <phoneticPr fontId="4" type="noConversion"/>
  </si>
  <si>
    <t>LR (R/D=1.5), screwed</t>
    <phoneticPr fontId="4" type="noConversion"/>
  </si>
  <si>
    <t xml:space="preserve">                      </t>
    <phoneticPr fontId="4" type="noConversion"/>
  </si>
  <si>
    <t>LR (R/D=1.5), flg/wld</t>
    <phoneticPr fontId="4" type="noConversion"/>
  </si>
  <si>
    <t xml:space="preserve">    45 deg        </t>
    <phoneticPr fontId="4" type="noConversion"/>
  </si>
  <si>
    <t xml:space="preserve">Std (R/D=1), screwed  </t>
  </si>
  <si>
    <t xml:space="preserve">                       </t>
    <phoneticPr fontId="4" type="noConversion"/>
  </si>
  <si>
    <t xml:space="preserve">    180 deg      </t>
    <phoneticPr fontId="4" type="noConversion"/>
  </si>
  <si>
    <t xml:space="preserve">   TEES</t>
    <phoneticPr fontId="4" type="noConversion"/>
  </si>
  <si>
    <t xml:space="preserve">    As Elbow      </t>
    <phoneticPr fontId="4" type="noConversion"/>
  </si>
  <si>
    <t xml:space="preserve">Std, screwed  </t>
    <phoneticPr fontId="4" type="noConversion"/>
  </si>
  <si>
    <t xml:space="preserve">                           </t>
    <phoneticPr fontId="4" type="noConversion"/>
  </si>
  <si>
    <t>LR, screwed</t>
    <phoneticPr fontId="4" type="noConversion"/>
  </si>
  <si>
    <t>Std, flg/wld</t>
    <phoneticPr fontId="4" type="noConversion"/>
  </si>
  <si>
    <t>Stub-in-type branch</t>
    <phoneticPr fontId="4" type="noConversion"/>
  </si>
  <si>
    <t xml:space="preserve">    Run through</t>
    <phoneticPr fontId="4" type="noConversion"/>
  </si>
  <si>
    <t xml:space="preserve">Screwed  </t>
    <phoneticPr fontId="4" type="noConversion"/>
  </si>
  <si>
    <t>Flanged or welded</t>
    <phoneticPr fontId="4" type="noConversion"/>
  </si>
  <si>
    <t xml:space="preserve">   VALVES (FULL OPEN)</t>
    <phoneticPr fontId="4" type="noConversion"/>
  </si>
  <si>
    <t xml:space="preserve">    Gate    </t>
    <phoneticPr fontId="4" type="noConversion"/>
  </si>
  <si>
    <t>Full line size, B=1</t>
    <phoneticPr fontId="4" type="noConversion"/>
  </si>
  <si>
    <t xml:space="preserve">    Ball                       </t>
    <phoneticPr fontId="4" type="noConversion"/>
  </si>
  <si>
    <t>Reduced trim, B=0.9</t>
    <phoneticPr fontId="4" type="noConversion"/>
  </si>
  <si>
    <t xml:space="preserve">    Plug                       </t>
    <phoneticPr fontId="4" type="noConversion"/>
  </si>
  <si>
    <t>Reduced trim, B=0.8</t>
    <phoneticPr fontId="4" type="noConversion"/>
  </si>
  <si>
    <t xml:space="preserve">    Others        </t>
    <phoneticPr fontId="4" type="noConversion"/>
  </si>
  <si>
    <t>Globe, standard</t>
    <phoneticPr fontId="4" type="noConversion"/>
  </si>
  <si>
    <t>Globe, angle or Y</t>
    <phoneticPr fontId="4" type="noConversion"/>
  </si>
  <si>
    <t>Diaphragm, dam type</t>
    <phoneticPr fontId="4" type="noConversion"/>
  </si>
  <si>
    <t>Butterfly</t>
    <phoneticPr fontId="4" type="noConversion"/>
  </si>
  <si>
    <t xml:space="preserve">    Check</t>
    <phoneticPr fontId="4" type="noConversion"/>
  </si>
  <si>
    <t>Lift</t>
    <phoneticPr fontId="4" type="noConversion"/>
  </si>
  <si>
    <t>Swing</t>
    <phoneticPr fontId="4" type="noConversion"/>
  </si>
  <si>
    <t>Tilting-disk</t>
    <phoneticPr fontId="4" type="noConversion"/>
  </si>
  <si>
    <t xml:space="preserve">   ETC</t>
    <phoneticPr fontId="4" type="noConversion"/>
  </si>
  <si>
    <t xml:space="preserve">    Entrance   </t>
    <phoneticPr fontId="4" type="noConversion"/>
  </si>
  <si>
    <t>Sharp-edged</t>
    <phoneticPr fontId="4" type="noConversion"/>
  </si>
  <si>
    <t>Inward projecting (Borda)</t>
    <phoneticPr fontId="4" type="noConversion"/>
  </si>
  <si>
    <t>Rounded</t>
    <phoneticPr fontId="4" type="noConversion"/>
  </si>
  <si>
    <t xml:space="preserve">    Exit                       </t>
    <phoneticPr fontId="4" type="noConversion"/>
  </si>
  <si>
    <t>all types</t>
    <phoneticPr fontId="4" type="noConversion"/>
  </si>
  <si>
    <t xml:space="preserve">    Reducer</t>
    <phoneticPr fontId="4" type="noConversion"/>
  </si>
  <si>
    <t>Down Stream Pipe Dia</t>
    <phoneticPr fontId="4" type="noConversion"/>
  </si>
  <si>
    <t>Angle of dia change, degrees</t>
    <phoneticPr fontId="4" type="noConversion"/>
  </si>
  <si>
    <t>No. of reducer</t>
    <phoneticPr fontId="4" type="noConversion"/>
  </si>
  <si>
    <t xml:space="preserve">    Enlager</t>
    <phoneticPr fontId="4" type="noConversion"/>
  </si>
  <si>
    <t>No. of enlarger</t>
    <phoneticPr fontId="4" type="noConversion"/>
  </si>
  <si>
    <t xml:space="preserve">   K Value</t>
    <phoneticPr fontId="4" type="noConversion"/>
  </si>
  <si>
    <t xml:space="preserve">   Elbow</t>
    <phoneticPr fontId="4" type="noConversion"/>
  </si>
  <si>
    <t xml:space="preserve">   Tee</t>
    <phoneticPr fontId="4" type="noConversion"/>
  </si>
  <si>
    <t xml:space="preserve">    Reducer       </t>
    <phoneticPr fontId="4" type="noConversion"/>
  </si>
  <si>
    <t>Angles of dia change, degree</t>
    <phoneticPr fontId="4" type="noConversion"/>
  </si>
  <si>
    <t>Kvalue of friction</t>
    <phoneticPr fontId="4" type="noConversion"/>
  </si>
  <si>
    <t>Kvalue of Velocity Head (L.D)</t>
    <phoneticPr fontId="4" type="noConversion"/>
  </si>
  <si>
    <t>Total Value</t>
    <phoneticPr fontId="4" type="noConversion"/>
  </si>
  <si>
    <t xml:space="preserve">    Enlarger</t>
    <phoneticPr fontId="4" type="noConversion"/>
  </si>
  <si>
    <t xml:space="preserve">    Total</t>
    <phoneticPr fontId="4" type="noConversion"/>
  </si>
  <si>
    <t>Resistence coefficients</t>
    <phoneticPr fontId="4" type="noConversion"/>
  </si>
  <si>
    <t xml:space="preserve">  LIQUID PHASE CAL.C</t>
    <phoneticPr fontId="29" type="noConversion"/>
  </si>
  <si>
    <t>kg/m3</t>
    <phoneticPr fontId="4" type="noConversion"/>
  </si>
  <si>
    <t>cP</t>
    <phoneticPr fontId="4" type="noConversion"/>
  </si>
  <si>
    <t>dyn/cm</t>
    <phoneticPr fontId="4" type="noConversion"/>
  </si>
  <si>
    <t xml:space="preserve">   Flow rate (Liquild)</t>
    <phoneticPr fontId="4" type="noConversion"/>
  </si>
  <si>
    <t>kg/hr</t>
    <phoneticPr fontId="4" type="noConversion"/>
  </si>
  <si>
    <r>
      <t>V</t>
    </r>
    <r>
      <rPr>
        <sz val="11"/>
        <color theme="1"/>
        <rFont val="맑은 고딕"/>
        <family val="2"/>
        <charset val="129"/>
        <scheme val="minor"/>
      </rPr>
      <t>elocity</t>
    </r>
    <phoneticPr fontId="29" type="noConversion"/>
  </si>
  <si>
    <t>-</t>
    <phoneticPr fontId="4" type="noConversion"/>
  </si>
  <si>
    <t xml:space="preserve">   Reynolds No.</t>
    <phoneticPr fontId="4" type="noConversion"/>
  </si>
  <si>
    <t xml:space="preserve">   Friction Factor</t>
    <phoneticPr fontId="4" type="noConversion"/>
  </si>
  <si>
    <r>
      <t>kg/cm</t>
    </r>
    <r>
      <rPr>
        <vertAlign val="superscript"/>
        <sz val="10"/>
        <rFont val="Arial"/>
        <family val="2"/>
      </rPr>
      <t>2</t>
    </r>
    <phoneticPr fontId="29" type="noConversion"/>
  </si>
  <si>
    <t xml:space="preserve">  VAPOR PHASE CAL.C</t>
    <phoneticPr fontId="29" type="noConversion"/>
  </si>
  <si>
    <t xml:space="preserve">   Flow rate (Vapor)</t>
    <phoneticPr fontId="4" type="noConversion"/>
  </si>
  <si>
    <t xml:space="preserve">   Gas Density @ in</t>
    <phoneticPr fontId="4" type="noConversion"/>
  </si>
  <si>
    <t xml:space="preserve">   Vol.Flow @ in</t>
    <phoneticPr fontId="4" type="noConversion"/>
  </si>
  <si>
    <t>m3/s</t>
    <phoneticPr fontId="4" type="noConversion"/>
  </si>
  <si>
    <t xml:space="preserve">   Velocity @ in</t>
    <phoneticPr fontId="4" type="noConversion"/>
  </si>
  <si>
    <t>m/s</t>
    <phoneticPr fontId="4" type="noConversion"/>
  </si>
  <si>
    <t xml:space="preserve">   Reynolds No</t>
    <phoneticPr fontId="4" type="noConversion"/>
  </si>
  <si>
    <t xml:space="preserve">   Press. Drop by Friction</t>
    <phoneticPr fontId="4" type="noConversion"/>
  </si>
  <si>
    <t>kg/cm2</t>
    <phoneticPr fontId="4" type="noConversion"/>
  </si>
  <si>
    <r>
      <t xml:space="preserve">   Pressure</t>
    </r>
    <r>
      <rPr>
        <sz val="10"/>
        <rFont val="Arial"/>
        <family val="2"/>
      </rPr>
      <t xml:space="preserve"> @</t>
    </r>
    <r>
      <rPr>
        <sz val="11"/>
        <color theme="1"/>
        <rFont val="맑은 고딕"/>
        <family val="2"/>
        <charset val="129"/>
        <scheme val="minor"/>
      </rPr>
      <t>Out</t>
    </r>
    <phoneticPr fontId="4" type="noConversion"/>
  </si>
  <si>
    <t>kg/cm2.G</t>
    <phoneticPr fontId="4" type="noConversion"/>
  </si>
  <si>
    <t xml:space="preserve">   Gas Density @ Out</t>
    <phoneticPr fontId="4" type="noConversion"/>
  </si>
  <si>
    <t xml:space="preserve">   Velocity @ Out</t>
    <phoneticPr fontId="4" type="noConversion"/>
  </si>
  <si>
    <t xml:space="preserve">   Mach no. @Out</t>
    <phoneticPr fontId="4" type="noConversion"/>
  </si>
  <si>
    <t xml:space="preserve">  TWO-PHASE CAL.C</t>
    <phoneticPr fontId="4" type="noConversion"/>
  </si>
  <si>
    <t xml:space="preserve">   METHOD SELECTION</t>
    <phoneticPr fontId="4" type="noConversion"/>
  </si>
  <si>
    <t>deg</t>
    <phoneticPr fontId="4" type="noConversion"/>
  </si>
  <si>
    <t xml:space="preserve">   Vapor Flow rate @ outlet</t>
    <phoneticPr fontId="4" type="noConversion"/>
  </si>
  <si>
    <t xml:space="preserve">   C factor</t>
    <phoneticPr fontId="4" type="noConversion"/>
  </si>
  <si>
    <t xml:space="preserve">   Density</t>
    <phoneticPr fontId="4" type="noConversion"/>
  </si>
  <si>
    <t xml:space="preserve">   Bulk Density</t>
    <phoneticPr fontId="4" type="noConversion"/>
  </si>
  <si>
    <t xml:space="preserve">   Bulk Viscosity</t>
    <phoneticPr fontId="4" type="noConversion"/>
  </si>
  <si>
    <t xml:space="preserve">   Velocity</t>
    <phoneticPr fontId="4" type="noConversion"/>
  </si>
  <si>
    <t xml:space="preserve">   Reynolds number</t>
    <phoneticPr fontId="4" type="noConversion"/>
  </si>
  <si>
    <t xml:space="preserve">   Press. Drop by friction</t>
    <phoneticPr fontId="4" type="noConversion"/>
  </si>
  <si>
    <t xml:space="preserve">   Press. Drop by gravity</t>
    <phoneticPr fontId="4" type="noConversion"/>
  </si>
  <si>
    <t xml:space="preserve">   Press. Drop by Acceleration</t>
    <phoneticPr fontId="4" type="noConversion"/>
  </si>
  <si>
    <t xml:space="preserve">   MachNo</t>
    <phoneticPr fontId="4" type="noConversion"/>
  </si>
  <si>
    <t xml:space="preserve">  FLOW REGIME FOR VERTICAL</t>
    <phoneticPr fontId="4" type="noConversion"/>
  </si>
  <si>
    <t xml:space="preserve">   Simpson</t>
    <phoneticPr fontId="4" type="noConversion"/>
  </si>
  <si>
    <t>X-Axis(Xd)</t>
    <phoneticPr fontId="4" type="noConversion"/>
  </si>
  <si>
    <t>Y-Axis(Fr)</t>
    <phoneticPr fontId="4" type="noConversion"/>
  </si>
  <si>
    <t>Flow Regime</t>
    <phoneticPr fontId="4" type="noConversion"/>
  </si>
  <si>
    <t xml:space="preserve">   Griffith and Wallies</t>
    <phoneticPr fontId="4" type="noConversion"/>
  </si>
  <si>
    <t xml:space="preserve">   Taitel and Dukler</t>
    <phoneticPr fontId="4" type="noConversion"/>
  </si>
  <si>
    <t xml:space="preserve">   (1) Bubble-Slug</t>
    <phoneticPr fontId="4" type="noConversion"/>
  </si>
  <si>
    <t>X-Axis</t>
    <phoneticPr fontId="4" type="noConversion"/>
  </si>
  <si>
    <t xml:space="preserve">        Annular-trans</t>
    <phoneticPr fontId="4" type="noConversion"/>
  </si>
  <si>
    <t>Y-Axis</t>
    <phoneticPr fontId="4" type="noConversion"/>
  </si>
  <si>
    <t xml:space="preserve">   (2) Slug-Chum</t>
    <phoneticPr fontId="4" type="noConversion"/>
  </si>
  <si>
    <t xml:space="preserve">        Transition</t>
    <phoneticPr fontId="4" type="noConversion"/>
  </si>
  <si>
    <t>2ph Re no.</t>
    <phoneticPr fontId="4" type="noConversion"/>
  </si>
  <si>
    <t xml:space="preserve">   (3) Annular - Churn</t>
    <phoneticPr fontId="4" type="noConversion"/>
  </si>
  <si>
    <t xml:space="preserve">        Slug Trans</t>
    <phoneticPr fontId="4" type="noConversion"/>
  </si>
  <si>
    <t xml:space="preserve">  FLOW REGIME FOR HORZONTAL</t>
    <phoneticPr fontId="4" type="noConversion"/>
  </si>
  <si>
    <t>X-Axis(Xp)</t>
    <phoneticPr fontId="4" type="noConversion"/>
  </si>
  <si>
    <t>X-Axis(Fr)</t>
    <phoneticPr fontId="4" type="noConversion"/>
  </si>
  <si>
    <t>X-Axis(Xt)</t>
    <phoneticPr fontId="4" type="noConversion"/>
  </si>
  <si>
    <t>X-Axis(Xk)</t>
    <phoneticPr fontId="4" type="noConversion"/>
  </si>
  <si>
    <t xml:space="preserve">   Baker</t>
    <phoneticPr fontId="4" type="noConversion"/>
  </si>
  <si>
    <t xml:space="preserve">   Press drop by friction</t>
    <phoneticPr fontId="4" type="noConversion"/>
  </si>
  <si>
    <t>Elevation Change</t>
    <phoneticPr fontId="29" type="noConversion"/>
  </si>
  <si>
    <t>Equipment Pres. Drop</t>
    <phoneticPr fontId="29" type="noConversion"/>
  </si>
  <si>
    <r>
      <t>P</t>
    </r>
    <r>
      <rPr>
        <sz val="10"/>
        <color theme="1"/>
        <rFont val="Arial"/>
        <family val="2"/>
      </rPr>
      <t>hase</t>
    </r>
    <phoneticPr fontId="29" type="noConversion"/>
  </si>
  <si>
    <r>
      <t>V</t>
    </r>
    <r>
      <rPr>
        <sz val="10"/>
        <color theme="1"/>
        <rFont val="Arial"/>
        <family val="2"/>
      </rPr>
      <t>apor</t>
    </r>
    <r>
      <rPr>
        <sz val="10"/>
        <rFont val="Arial"/>
        <family val="2"/>
      </rPr>
      <t xml:space="preserve"> F</t>
    </r>
    <r>
      <rPr>
        <sz val="10"/>
        <color theme="1"/>
        <rFont val="Arial"/>
        <family val="2"/>
      </rPr>
      <t>raction</t>
    </r>
    <phoneticPr fontId="29" type="noConversion"/>
  </si>
  <si>
    <r>
      <t>N</t>
    </r>
    <r>
      <rPr>
        <sz val="10"/>
        <color theme="1"/>
        <rFont val="Arial"/>
        <family val="2"/>
      </rPr>
      <t>ormal</t>
    </r>
    <r>
      <rPr>
        <sz val="10"/>
        <rFont val="Arial"/>
        <family val="2"/>
      </rPr>
      <t xml:space="preserve"> F</t>
    </r>
    <r>
      <rPr>
        <sz val="10"/>
        <color theme="1"/>
        <rFont val="Arial"/>
        <family val="2"/>
      </rPr>
      <t>low</t>
    </r>
    <r>
      <rPr>
        <sz val="10"/>
        <rFont val="Arial"/>
        <family val="2"/>
      </rPr>
      <t xml:space="preserve"> R</t>
    </r>
    <r>
      <rPr>
        <sz val="10"/>
        <color theme="1"/>
        <rFont val="Arial"/>
        <family val="2"/>
      </rPr>
      <t>ate</t>
    </r>
    <phoneticPr fontId="29" type="noConversion"/>
  </si>
  <si>
    <r>
      <t>O</t>
    </r>
    <r>
      <rPr>
        <sz val="10"/>
        <color theme="1"/>
        <rFont val="Arial"/>
        <family val="2"/>
      </rPr>
      <t>ver</t>
    </r>
    <r>
      <rPr>
        <sz val="10"/>
        <rFont val="Arial"/>
        <family val="2"/>
      </rPr>
      <t xml:space="preserve"> D</t>
    </r>
    <r>
      <rPr>
        <sz val="10"/>
        <color theme="1"/>
        <rFont val="Arial"/>
        <family val="2"/>
      </rPr>
      <t>esign</t>
    </r>
    <phoneticPr fontId="29" type="noConversion"/>
  </si>
  <si>
    <r>
      <t>T</t>
    </r>
    <r>
      <rPr>
        <sz val="10"/>
        <color theme="1"/>
        <rFont val="Arial"/>
        <family val="2"/>
      </rPr>
      <t>emperature</t>
    </r>
    <phoneticPr fontId="29" type="noConversion"/>
  </si>
  <si>
    <r>
      <t>L</t>
    </r>
    <r>
      <rPr>
        <sz val="10"/>
        <color theme="1"/>
        <rFont val="Arial"/>
        <family val="2"/>
      </rPr>
      <t>ine</t>
    </r>
    <r>
      <rPr>
        <sz val="10"/>
        <rFont val="Arial"/>
        <family val="2"/>
      </rPr>
      <t xml:space="preserve"> S</t>
    </r>
    <r>
      <rPr>
        <sz val="10"/>
        <color theme="1"/>
        <rFont val="Arial"/>
        <family val="2"/>
      </rPr>
      <t>ize</t>
    </r>
    <phoneticPr fontId="29" type="noConversion"/>
  </si>
  <si>
    <r>
      <t>R</t>
    </r>
    <r>
      <rPr>
        <sz val="10"/>
        <color theme="1"/>
        <rFont val="Arial"/>
        <family val="2"/>
      </rPr>
      <t>ated</t>
    </r>
    <r>
      <rPr>
        <sz val="10"/>
        <rFont val="Arial"/>
        <family val="2"/>
      </rPr>
      <t xml:space="preserve"> F</t>
    </r>
    <r>
      <rPr>
        <sz val="10"/>
        <color theme="1"/>
        <rFont val="Arial"/>
        <family val="2"/>
      </rPr>
      <t>low</t>
    </r>
    <r>
      <rPr>
        <sz val="10"/>
        <rFont val="Arial"/>
        <family val="2"/>
      </rPr>
      <t xml:space="preserve"> R</t>
    </r>
    <r>
      <rPr>
        <sz val="10"/>
        <color theme="1"/>
        <rFont val="Arial"/>
        <family val="2"/>
      </rPr>
      <t>ate</t>
    </r>
    <phoneticPr fontId="29" type="noConversion"/>
  </si>
  <si>
    <r>
      <t>R</t>
    </r>
    <r>
      <rPr>
        <sz val="10"/>
        <color theme="1"/>
        <rFont val="Arial"/>
        <family val="2"/>
      </rPr>
      <t>eynolds.No</t>
    </r>
    <phoneticPr fontId="29" type="noConversion"/>
  </si>
  <si>
    <r>
      <t>P</t>
    </r>
    <r>
      <rPr>
        <sz val="10"/>
        <color theme="1"/>
        <rFont val="Arial"/>
        <family val="2"/>
      </rPr>
      <t>ressure</t>
    </r>
    <r>
      <rPr>
        <sz val="10"/>
        <rFont val="Arial"/>
        <family val="2"/>
      </rPr>
      <t xml:space="preserve"> @I</t>
    </r>
    <r>
      <rPr>
        <sz val="10"/>
        <color theme="1"/>
        <rFont val="Arial"/>
        <family val="2"/>
      </rPr>
      <t>nlet</t>
    </r>
    <phoneticPr fontId="29" type="noConversion"/>
  </si>
  <si>
    <r>
      <t>P</t>
    </r>
    <r>
      <rPr>
        <sz val="10"/>
        <color theme="1"/>
        <rFont val="Arial"/>
        <family val="2"/>
      </rPr>
      <t>ressure</t>
    </r>
    <r>
      <rPr>
        <sz val="10"/>
        <rFont val="Arial"/>
        <family val="2"/>
      </rPr>
      <t xml:space="preserve"> @</t>
    </r>
    <r>
      <rPr>
        <sz val="10"/>
        <color theme="1"/>
        <rFont val="Arial"/>
        <family val="2"/>
      </rPr>
      <t>Destination</t>
    </r>
    <phoneticPr fontId="29" type="noConversion"/>
  </si>
  <si>
    <r>
      <t>E</t>
    </r>
    <r>
      <rPr>
        <sz val="10"/>
        <color theme="1"/>
        <rFont val="Arial"/>
        <family val="2"/>
      </rPr>
      <t>quivalent</t>
    </r>
    <r>
      <rPr>
        <sz val="10"/>
        <rFont val="Arial"/>
        <family val="2"/>
      </rPr>
      <t xml:space="preserve"> L</t>
    </r>
    <r>
      <rPr>
        <sz val="10"/>
        <color theme="1"/>
        <rFont val="Arial"/>
        <family val="2"/>
      </rPr>
      <t>ength</t>
    </r>
    <phoneticPr fontId="29" type="noConversion"/>
  </si>
  <si>
    <r>
      <t>V</t>
    </r>
    <r>
      <rPr>
        <sz val="10"/>
        <color theme="1"/>
        <rFont val="Arial"/>
        <family val="2"/>
      </rPr>
      <t>elocity</t>
    </r>
    <phoneticPr fontId="29" type="noConversion"/>
  </si>
  <si>
    <r>
      <t>P</t>
    </r>
    <r>
      <rPr>
        <sz val="10"/>
        <color theme="1"/>
        <rFont val="Arial"/>
        <family val="2"/>
      </rPr>
      <t>res.</t>
    </r>
    <r>
      <rPr>
        <sz val="10"/>
        <rFont val="Arial"/>
        <family val="2"/>
      </rPr>
      <t xml:space="preserve"> D</t>
    </r>
    <r>
      <rPr>
        <sz val="10"/>
        <color theme="1"/>
        <rFont val="Arial"/>
        <family val="2"/>
      </rPr>
      <t>rop by Friction</t>
    </r>
    <phoneticPr fontId="29" type="noConversion"/>
  </si>
  <si>
    <r>
      <t>P</t>
    </r>
    <r>
      <rPr>
        <sz val="10"/>
        <color theme="1"/>
        <rFont val="Arial"/>
        <family val="2"/>
      </rPr>
      <t>res.</t>
    </r>
    <r>
      <rPr>
        <sz val="10"/>
        <rFont val="Arial"/>
        <family val="2"/>
      </rPr>
      <t xml:space="preserve"> D</t>
    </r>
    <r>
      <rPr>
        <sz val="10"/>
        <color theme="1"/>
        <rFont val="Arial"/>
        <family val="2"/>
      </rPr>
      <t>rop by Gravity</t>
    </r>
    <phoneticPr fontId="29" type="noConversion"/>
  </si>
  <si>
    <r>
      <t>P</t>
    </r>
    <r>
      <rPr>
        <sz val="10"/>
        <color theme="1"/>
        <rFont val="Arial"/>
        <family val="2"/>
      </rPr>
      <t>ressure</t>
    </r>
    <r>
      <rPr>
        <sz val="10"/>
        <rFont val="Arial"/>
        <family val="2"/>
      </rPr>
      <t xml:space="preserve"> D</t>
    </r>
    <r>
      <rPr>
        <sz val="10"/>
        <color theme="1"/>
        <rFont val="Arial"/>
        <family val="2"/>
      </rPr>
      <t>rop</t>
    </r>
    <r>
      <rPr>
        <sz val="10"/>
        <rFont val="Arial"/>
        <family val="2"/>
      </rPr>
      <t xml:space="preserve"> / 100 M</t>
    </r>
    <phoneticPr fontId="29" type="noConversion"/>
  </si>
  <si>
    <t>STD</t>
    <phoneticPr fontId="1" type="noConversion"/>
  </si>
  <si>
    <t>71-101-LA</t>
    <phoneticPr fontId="1" type="noConversion"/>
  </si>
  <si>
    <t>71-112-LA</t>
    <phoneticPr fontId="1" type="noConversion"/>
  </si>
  <si>
    <t>NEWTONIAN</t>
  </si>
  <si>
    <t>폴더경로</t>
    <phoneticPr fontId="1" type="noConversion"/>
  </si>
  <si>
    <t>C:\Users\wcjung\Desktop\업무 Support\엑셀파일\업무자동화 2</t>
  </si>
  <si>
    <t>파일이름</t>
    <phoneticPr fontId="1" type="noConversion"/>
  </si>
  <si>
    <t>파일경로</t>
    <phoneticPr fontId="1" type="noConversion"/>
  </si>
  <si>
    <t xml:space="preserve">hydraulic 계산 </t>
    <phoneticPr fontId="1" type="noConversion"/>
  </si>
  <si>
    <t>SUC.PRESS</t>
    <phoneticPr fontId="1" type="noConversion"/>
  </si>
  <si>
    <t>DIS.CHARGE</t>
    <phoneticPr fontId="1" type="noConversion"/>
  </si>
  <si>
    <t>FLOW RATE</t>
    <phoneticPr fontId="1" type="noConversion"/>
  </si>
  <si>
    <t>M3/HR</t>
    <phoneticPr fontId="1" type="noConversion"/>
  </si>
  <si>
    <t>NPSHA</t>
    <phoneticPr fontId="1" type="noConversion"/>
  </si>
  <si>
    <t>C:\Users\wcjung\Desktop\프로젝트\0.프로그래밍\18.07.17_Hydraulic Upgrade</t>
    <phoneticPr fontId="1" type="noConversion"/>
  </si>
  <si>
    <t>M</t>
    <phoneticPr fontId="1" type="noConversion"/>
  </si>
  <si>
    <t>HORSE POWER</t>
    <phoneticPr fontId="1" type="noConversion"/>
  </si>
  <si>
    <t>KW</t>
    <phoneticPr fontId="1" type="noConversion"/>
  </si>
  <si>
    <t>온도</t>
    <phoneticPr fontId="1" type="noConversion"/>
  </si>
  <si>
    <t>증기압</t>
    <phoneticPr fontId="1" type="noConversion"/>
  </si>
  <si>
    <t>SP.GR</t>
    <phoneticPr fontId="1" type="noConversion"/>
  </si>
  <si>
    <t>VIS</t>
    <phoneticPr fontId="1" type="noConversion"/>
  </si>
  <si>
    <t>C</t>
    <phoneticPr fontId="1" type="noConversion"/>
  </si>
  <si>
    <t>barG</t>
  </si>
  <si>
    <t>해당 datasheet (After)</t>
    <phoneticPr fontId="1" type="noConversion"/>
  </si>
  <si>
    <t>해당 datasheet (Before)</t>
    <phoneticPr fontId="1" type="noConversion"/>
  </si>
  <si>
    <t>shut-off press</t>
    <phoneticPr fontId="1" type="noConversion"/>
  </si>
  <si>
    <t>CENTRIFUGAL</t>
  </si>
  <si>
    <t>Velocity Check</t>
    <phoneticPr fontId="1" type="noConversion"/>
  </si>
  <si>
    <t>Item.no</t>
    <phoneticPr fontId="1" type="noConversion"/>
  </si>
  <si>
    <t>service</t>
    <phoneticPr fontId="1" type="noConversion"/>
  </si>
  <si>
    <t>ITEM NO.</t>
    <phoneticPr fontId="1" type="noConversion"/>
  </si>
  <si>
    <t>71-105-JA/B</t>
    <phoneticPr fontId="1" type="noConversion"/>
  </si>
  <si>
    <t>수정</t>
  </si>
  <si>
    <t>71-105-JAB_Centri_Rev.1.xls</t>
    <phoneticPr fontId="1" type="noConversion"/>
  </si>
  <si>
    <t>HYDRAULIC 파일_NEW_2.5.xlsm</t>
    <phoneticPr fontId="1" type="noConversion"/>
  </si>
  <si>
    <t>71-105-JAB_Centri_Rev.2.xls</t>
    <phoneticPr fontId="1" type="noConversion"/>
  </si>
  <si>
    <t>Acc.Head</t>
    <phoneticPr fontId="1" type="noConversion"/>
  </si>
  <si>
    <t>Pin(W24,M62,M63,M60,M190,M192,M194,M71,M53)</t>
  </si>
  <si>
    <t>2PH Calculation Method</t>
    <phoneticPr fontId="1" type="noConversion"/>
  </si>
  <si>
    <r>
      <t>F</t>
    </r>
    <r>
      <rPr>
        <sz val="10"/>
        <color theme="1"/>
        <rFont val="Arial"/>
        <family val="2"/>
      </rPr>
      <t>luid</t>
    </r>
    <r>
      <rPr>
        <sz val="10"/>
        <rFont val="Arial"/>
        <family val="2"/>
      </rPr>
      <t>, D</t>
    </r>
    <r>
      <rPr>
        <sz val="10"/>
        <color theme="1"/>
        <rFont val="Arial"/>
        <family val="2"/>
      </rPr>
      <t>ensity (Liquid)</t>
    </r>
    <phoneticPr fontId="29" type="noConversion"/>
  </si>
  <si>
    <r>
      <t>F</t>
    </r>
    <r>
      <rPr>
        <sz val="10"/>
        <color theme="1"/>
        <rFont val="Arial"/>
        <family val="2"/>
      </rPr>
      <t>luid</t>
    </r>
    <r>
      <rPr>
        <sz val="10"/>
        <rFont val="Arial"/>
        <family val="2"/>
      </rPr>
      <t>, D</t>
    </r>
    <r>
      <rPr>
        <sz val="10"/>
        <color theme="1"/>
        <rFont val="Arial"/>
        <family val="2"/>
      </rPr>
      <t>ensity (Vapor)</t>
    </r>
    <phoneticPr fontId="29" type="noConversion"/>
  </si>
  <si>
    <r>
      <t>F</t>
    </r>
    <r>
      <rPr>
        <sz val="10"/>
        <color theme="1"/>
        <rFont val="Arial"/>
        <family val="2"/>
      </rPr>
      <t>luid</t>
    </r>
    <r>
      <rPr>
        <sz val="10"/>
        <rFont val="Arial"/>
        <family val="2"/>
      </rPr>
      <t>, V</t>
    </r>
    <r>
      <rPr>
        <sz val="10"/>
        <color theme="1"/>
        <rFont val="Arial"/>
        <family val="2"/>
      </rPr>
      <t>iscosity (Liquid)</t>
    </r>
    <phoneticPr fontId="29" type="noConversion"/>
  </si>
  <si>
    <r>
      <t>F</t>
    </r>
    <r>
      <rPr>
        <sz val="10"/>
        <color theme="1"/>
        <rFont val="Arial"/>
        <family val="2"/>
      </rPr>
      <t>luid</t>
    </r>
    <r>
      <rPr>
        <sz val="10"/>
        <rFont val="Arial"/>
        <family val="2"/>
      </rPr>
      <t>, Viscosity</t>
    </r>
    <r>
      <rPr>
        <sz val="10"/>
        <color theme="1"/>
        <rFont val="Arial"/>
        <family val="2"/>
      </rPr>
      <t xml:space="preserve"> (Vapor)</t>
    </r>
    <phoneticPr fontId="29" type="noConversion"/>
  </si>
  <si>
    <t>MW</t>
    <phoneticPr fontId="1" type="noConversion"/>
  </si>
  <si>
    <t>Com.Z</t>
    <phoneticPr fontId="1" type="noConversion"/>
  </si>
  <si>
    <t xml:space="preserve">    Upward Angle</t>
    <phoneticPr fontId="4" type="noConversion"/>
  </si>
  <si>
    <t>Homo</t>
    <phoneticPr fontId="4" type="noConversion"/>
  </si>
  <si>
    <t xml:space="preserve">  K (for Non-Newtonian)</t>
    <phoneticPr fontId="4" type="noConversion"/>
  </si>
  <si>
    <t xml:space="preserve">  n (for Non-Newtonian)</t>
    <phoneticPr fontId="4" type="noConversion"/>
  </si>
  <si>
    <t>Operating Press.</t>
    <phoneticPr fontId="1" type="noConversion"/>
  </si>
  <si>
    <t xml:space="preserve">Design Press.  </t>
    <phoneticPr fontId="1" type="noConversion"/>
  </si>
  <si>
    <t xml:space="preserve">Min. Static Head        </t>
    <phoneticPr fontId="1" type="noConversion"/>
  </si>
  <si>
    <t xml:space="preserve">Max. Static Head       </t>
    <phoneticPr fontId="1" type="noConversion"/>
  </si>
  <si>
    <t xml:space="preserve">Pump Shaft Level      </t>
    <phoneticPr fontId="1" type="noConversion"/>
  </si>
  <si>
    <t>NORMAL</t>
    <phoneticPr fontId="4" type="noConversion"/>
  </si>
  <si>
    <t>RATED</t>
    <phoneticPr fontId="4" type="noConversion"/>
  </si>
  <si>
    <t>OPERATED PUMP</t>
    <phoneticPr fontId="4" type="noConversion"/>
  </si>
  <si>
    <t>SUCTION</t>
    <phoneticPr fontId="4" type="noConversion"/>
  </si>
  <si>
    <t xml:space="preserve">   TOTAL FLOW RATE</t>
    <phoneticPr fontId="4" type="noConversion"/>
  </si>
  <si>
    <t>m3/hr</t>
  </si>
  <si>
    <r>
      <t>kg/cm</t>
    </r>
    <r>
      <rPr>
        <vertAlign val="superscript"/>
        <sz val="10"/>
        <rFont val="Arial"/>
        <family val="2"/>
      </rPr>
      <t>2</t>
    </r>
    <r>
      <rPr>
        <sz val="10"/>
        <rFont val="Arial"/>
        <family val="2"/>
      </rPr>
      <t>.G</t>
    </r>
  </si>
  <si>
    <r>
      <t>Total Variable.</t>
    </r>
    <r>
      <rPr>
        <sz val="10"/>
        <rFont val="맑은 고딕"/>
        <family val="3"/>
        <charset val="129"/>
      </rPr>
      <t>Δ</t>
    </r>
    <r>
      <rPr>
        <sz val="8.5"/>
        <rFont val="Arial"/>
        <family val="2"/>
      </rPr>
      <t>P</t>
    </r>
    <phoneticPr fontId="4" type="noConversion"/>
  </si>
  <si>
    <t>meter</t>
    <phoneticPr fontId="4" type="noConversion"/>
  </si>
  <si>
    <t>KW</t>
    <phoneticPr fontId="4" type="noConversion"/>
  </si>
  <si>
    <t>Note</t>
    <phoneticPr fontId="4" type="noConversion"/>
  </si>
  <si>
    <t>Max. Static Head</t>
    <phoneticPr fontId="4" type="noConversion"/>
  </si>
  <si>
    <t>Est. Shut-off Pres.2</t>
    <phoneticPr fontId="1" type="noConversion"/>
  </si>
  <si>
    <r>
      <t>Est. Shut-off Pres.</t>
    </r>
    <r>
      <rPr>
        <sz val="10"/>
        <color theme="1"/>
        <rFont val="맑은 고딕"/>
        <family val="2"/>
        <charset val="129"/>
        <scheme val="minor"/>
      </rPr>
      <t>1</t>
    </r>
    <phoneticPr fontId="1" type="noConversion"/>
  </si>
  <si>
    <t>EA</t>
    <phoneticPr fontId="4" type="noConversion"/>
  </si>
  <si>
    <t>Pipe Friction Loss</t>
    <phoneticPr fontId="4" type="noConversion"/>
  </si>
  <si>
    <t xml:space="preserve">Flow Rate </t>
    <phoneticPr fontId="4" type="noConversion"/>
  </si>
  <si>
    <t>kg/cm</t>
    <phoneticPr fontId="4" type="noConversion"/>
  </si>
  <si>
    <t>kg/cm2G</t>
    <phoneticPr fontId="4" type="noConversion"/>
  </si>
  <si>
    <t>kg/cm2</t>
    <phoneticPr fontId="4" type="noConversion"/>
  </si>
  <si>
    <t>%</t>
    <phoneticPr fontId="4" type="noConversion"/>
  </si>
  <si>
    <t>C.V value</t>
    <phoneticPr fontId="4" type="noConversion"/>
  </si>
  <si>
    <t>MINIMUM</t>
    <phoneticPr fontId="4" type="noConversion"/>
  </si>
  <si>
    <t>Control Valve</t>
    <phoneticPr fontId="4" type="noConversion"/>
  </si>
  <si>
    <t>Control Valve_Main</t>
    <phoneticPr fontId="4" type="noConversion"/>
  </si>
  <si>
    <t>Surface Tension</t>
    <phoneticPr fontId="1" type="noConversion"/>
  </si>
  <si>
    <t xml:space="preserve">    Schedule or Class</t>
    <phoneticPr fontId="4" type="noConversion"/>
  </si>
  <si>
    <t>Line length, straight</t>
    <phoneticPr fontId="29" type="noConversion"/>
  </si>
  <si>
    <t>mm</t>
    <phoneticPr fontId="29" type="noConversion"/>
  </si>
  <si>
    <t xml:space="preserve">Complex factor </t>
    <phoneticPr fontId="29" type="noConversion"/>
  </si>
  <si>
    <t>Wall Roughness</t>
    <phoneticPr fontId="29" type="noConversion"/>
  </si>
  <si>
    <t>Pipe inside Dia</t>
    <phoneticPr fontId="29" type="noConversion"/>
  </si>
</sst>
</file>

<file path=xl/styles.xml><?xml version="1.0" encoding="utf-8"?>
<styleSheet xmlns="http://schemas.openxmlformats.org/spreadsheetml/2006/main">
  <numFmts count="37">
    <numFmt numFmtId="42" formatCode="_-&quot;₩&quot;* #,##0_-;\-&quot;₩&quot;* #,##0_-;_-&quot;₩&quot;* &quot;-&quot;_-;_-@_-"/>
    <numFmt numFmtId="41" formatCode="_-* #,##0_-;\-* #,##0_-;_-* &quot;-&quot;_-;_-@_-"/>
    <numFmt numFmtId="43" formatCode="_-* #,##0.00_-;\-* #,##0.00_-;_-* &quot;-&quot;??_-;_-@_-"/>
    <numFmt numFmtId="176" formatCode="_(* #,##0.00_);_(* \(#,##0.00\);_(* &quot;-&quot;??_);_(@_)"/>
    <numFmt numFmtId="177" formatCode="#,##0."/>
    <numFmt numFmtId="178" formatCode="\$#.00"/>
    <numFmt numFmtId="179" formatCode="_-&quot;£&quot;* #,##0.00_-;\-&quot;£&quot;* #,##0.00_-;_-&quot;£&quot;* &quot;-&quot;??_-;_-@_-"/>
    <numFmt numFmtId="180" formatCode="\$#."/>
    <numFmt numFmtId="181" formatCode="#.00"/>
    <numFmt numFmtId="182" formatCode="#."/>
    <numFmt numFmtId="183" formatCode="_(&quot;$&quot;* #,##0_);_(&quot;$&quot;* \(#,##0\);_(&quot;$&quot;* &quot;-&quot;_);_(@_)"/>
    <numFmt numFmtId="184" formatCode="_(&quot;$&quot;* #,##0.00_);_(&quot;$&quot;* \(#,##0.00\);_(&quot;$&quot;* &quot;-&quot;??_);_(@_)"/>
    <numFmt numFmtId="185" formatCode="&quot;?#,##0;[Red]\-&quot;&quot;?&quot;#,##0"/>
    <numFmt numFmtId="186" formatCode="_ * #,##0.00_ ;_ * &quot;₩&quot;&quot;₩&quot;&quot;₩&quot;\-#,##0.00_ ;_ * &quot;-&quot;??_ ;_ @_ "/>
    <numFmt numFmtId="187" formatCode="%#.00"/>
    <numFmt numFmtId="188" formatCode="_ * #,##0_ ;_ * \-#,##0_ ;_ * &quot;-&quot;_ ;_ @_ "/>
    <numFmt numFmtId="189" formatCode="_ * #,##0.00_ ;_ * \-#,##0.00_ ;_ * &quot;-&quot;??_ ;_ @_ "/>
    <numFmt numFmtId="190" formatCode="0.0"/>
    <numFmt numFmtId="191" formatCode="0.0_ "/>
    <numFmt numFmtId="192" formatCode="#,##0.0;[Red]\-#,##0.0"/>
    <numFmt numFmtId="193" formatCode="0.00_ "/>
    <numFmt numFmtId="194" formatCode="0_ "/>
    <numFmt numFmtId="195" formatCode="0.000"/>
    <numFmt numFmtId="196" formatCode="0.000_ "/>
    <numFmt numFmtId="197" formatCode="#,##0.000_);\(#,##0.000\)"/>
    <numFmt numFmtId="198" formatCode="0;_耀"/>
    <numFmt numFmtId="199" formatCode="#,##0.0"/>
    <numFmt numFmtId="200" formatCode="#,##0.000"/>
    <numFmt numFmtId="201" formatCode="0.0000"/>
    <numFmt numFmtId="202" formatCode="0.00_)"/>
    <numFmt numFmtId="203" formatCode="0.00;_耀"/>
    <numFmt numFmtId="204" formatCode="0.00000_ "/>
    <numFmt numFmtId="205" formatCode="0.000000"/>
    <numFmt numFmtId="206" formatCode="0.0;_耀"/>
    <numFmt numFmtId="207" formatCode="0.000000;_耀"/>
    <numFmt numFmtId="208" formatCode="0.0000_ "/>
    <numFmt numFmtId="209" formatCode="0.000;_耀"/>
  </numFmts>
  <fonts count="70">
    <font>
      <sz val="11"/>
      <color theme="1"/>
      <name val="맑은 고딕"/>
      <family val="2"/>
      <charset val="129"/>
      <scheme val="minor"/>
    </font>
    <font>
      <sz val="8"/>
      <name val="맑은 고딕"/>
      <family val="2"/>
      <charset val="129"/>
      <scheme val="minor"/>
    </font>
    <font>
      <sz val="10"/>
      <name val="Arial"/>
      <family val="2"/>
    </font>
    <font>
      <b/>
      <sz val="20"/>
      <color indexed="8"/>
      <name val="Helv"/>
      <family val="2"/>
    </font>
    <font>
      <sz val="8"/>
      <name val="돋움"/>
      <family val="3"/>
      <charset val="129"/>
    </font>
    <font>
      <sz val="20"/>
      <color indexed="8"/>
      <name val="Helv"/>
      <family val="2"/>
    </font>
    <font>
      <sz val="12"/>
      <color indexed="8"/>
      <name val="Helv"/>
      <family val="2"/>
    </font>
    <font>
      <sz val="12"/>
      <color indexed="8"/>
      <name val="Arial"/>
      <family val="2"/>
    </font>
    <font>
      <b/>
      <sz val="10"/>
      <name val="Arial"/>
      <family val="2"/>
    </font>
    <font>
      <sz val="11"/>
      <color rgb="FF9C0006"/>
      <name val="맑은 고딕"/>
      <family val="3"/>
      <charset val="129"/>
      <scheme val="minor"/>
    </font>
    <font>
      <sz val="1"/>
      <color indexed="8"/>
      <name val="Courier"/>
      <family val="3"/>
    </font>
    <font>
      <sz val="11"/>
      <color indexed="8"/>
      <name val="맑은 고딕"/>
      <family val="3"/>
      <charset val="129"/>
    </font>
    <font>
      <sz val="10"/>
      <name val="Times New Roman"/>
      <family val="1"/>
    </font>
    <font>
      <sz val="11"/>
      <color rgb="FF006100"/>
      <name val="맑은 고딕"/>
      <family val="3"/>
      <charset val="129"/>
      <scheme val="minor"/>
    </font>
    <font>
      <sz val="8"/>
      <name val="Arial"/>
      <family val="2"/>
    </font>
    <font>
      <b/>
      <sz val="12"/>
      <name val="Arial"/>
      <family val="2"/>
    </font>
    <font>
      <b/>
      <sz val="1"/>
      <color indexed="8"/>
      <name val="Courier"/>
      <family val="3"/>
    </font>
    <font>
      <sz val="11"/>
      <color indexed="19"/>
      <name val="맑은 고딕"/>
      <family val="3"/>
      <charset val="129"/>
      <scheme val="minor"/>
    </font>
    <font>
      <sz val="11"/>
      <name val="돋움"/>
      <family val="3"/>
      <charset val="129"/>
    </font>
    <font>
      <sz val="12"/>
      <name val="굴림체"/>
      <family val="3"/>
      <charset val="129"/>
    </font>
    <font>
      <sz val="11"/>
      <color theme="1"/>
      <name val="맑은 고딕"/>
      <family val="3"/>
      <charset val="129"/>
      <scheme val="minor"/>
    </font>
    <font>
      <sz val="1"/>
      <color indexed="16"/>
      <name val="Courier"/>
      <family val="3"/>
    </font>
    <font>
      <sz val="12"/>
      <name val="바탕체"/>
      <family val="1"/>
      <charset val="129"/>
    </font>
    <font>
      <sz val="12"/>
      <name val="뼻뮝"/>
      <family val="1"/>
      <charset val="129"/>
    </font>
    <font>
      <sz val="11"/>
      <name val="ＭＳ Ｐゴシック"/>
      <family val="2"/>
    </font>
    <font>
      <b/>
      <sz val="9.4"/>
      <name val="Arial"/>
      <family val="2"/>
    </font>
    <font>
      <sz val="10"/>
      <name val="Courier New"/>
      <family val="3"/>
    </font>
    <font>
      <sz val="9"/>
      <name val="ＭＳ Ｐゴシック"/>
      <family val="2"/>
    </font>
    <font>
      <sz val="11"/>
      <color theme="1"/>
      <name val="LG스마트체 Regular"/>
      <family val="3"/>
      <charset val="129"/>
    </font>
    <font>
      <b/>
      <u/>
      <sz val="20"/>
      <color indexed="8"/>
      <name val="Arial"/>
      <family val="2"/>
    </font>
    <font>
      <b/>
      <u/>
      <sz val="9"/>
      <color indexed="30"/>
      <name val="Arial"/>
      <family val="2"/>
    </font>
    <font>
      <b/>
      <i/>
      <sz val="10"/>
      <name val="Arial"/>
      <family val="2"/>
    </font>
    <font>
      <b/>
      <sz val="10"/>
      <color indexed="48"/>
      <name val="Arial"/>
      <family val="2"/>
    </font>
    <font>
      <sz val="10"/>
      <color indexed="12"/>
      <name val="Arial"/>
      <family val="2"/>
    </font>
    <font>
      <sz val="10"/>
      <name val="돋움"/>
      <family val="3"/>
      <charset val="129"/>
    </font>
    <font>
      <sz val="10"/>
      <color indexed="10"/>
      <name val="Arial"/>
      <family val="2"/>
    </font>
    <font>
      <sz val="9"/>
      <name val="Arial"/>
      <family val="2"/>
    </font>
    <font>
      <vertAlign val="superscript"/>
      <sz val="9"/>
      <name val="Arial"/>
      <family val="2"/>
    </font>
    <font>
      <b/>
      <sz val="10"/>
      <color indexed="10"/>
      <name val="Arial"/>
      <family val="2"/>
    </font>
    <font>
      <b/>
      <sz val="9"/>
      <color indexed="10"/>
      <name val="Arial"/>
      <family val="2"/>
    </font>
    <font>
      <b/>
      <sz val="9"/>
      <name val="Arial"/>
      <family val="2"/>
    </font>
    <font>
      <b/>
      <strike/>
      <sz val="10"/>
      <color indexed="10"/>
      <name val="Arial"/>
      <family val="2"/>
    </font>
    <font>
      <strike/>
      <sz val="10"/>
      <name val="Arial"/>
      <family val="2"/>
    </font>
    <font>
      <sz val="9"/>
      <name val="돋움"/>
      <family val="3"/>
      <charset val="129"/>
    </font>
    <font>
      <b/>
      <sz val="10"/>
      <color indexed="10"/>
      <name val="돋움"/>
      <family val="3"/>
      <charset val="129"/>
    </font>
    <font>
      <vertAlign val="superscript"/>
      <sz val="10"/>
      <name val="Arial"/>
      <family val="2"/>
    </font>
    <font>
      <u/>
      <sz val="9"/>
      <name val="Arial"/>
      <family val="2"/>
    </font>
    <font>
      <b/>
      <i/>
      <sz val="9"/>
      <name val="Arial"/>
      <family val="2"/>
    </font>
    <font>
      <b/>
      <sz val="9"/>
      <color indexed="10"/>
      <name val="돋움"/>
      <family val="3"/>
      <charset val="129"/>
    </font>
    <font>
      <sz val="14"/>
      <name val="Arial"/>
      <family val="2"/>
    </font>
    <font>
      <sz val="10"/>
      <color indexed="9"/>
      <name val="Arial"/>
      <family val="2"/>
    </font>
    <font>
      <sz val="8"/>
      <color indexed="12"/>
      <name val="Arial"/>
      <family val="2"/>
    </font>
    <font>
      <sz val="10"/>
      <color indexed="8"/>
      <name val="Arial"/>
      <family val="2"/>
    </font>
    <font>
      <b/>
      <sz val="8"/>
      <name val="Arial"/>
      <family val="2"/>
    </font>
    <font>
      <b/>
      <sz val="9"/>
      <color indexed="81"/>
      <name val="Tahoma"/>
      <family val="2"/>
    </font>
    <font>
      <b/>
      <sz val="9"/>
      <color indexed="81"/>
      <name val="돋움"/>
      <family val="3"/>
      <charset val="129"/>
    </font>
    <font>
      <b/>
      <sz val="9"/>
      <color indexed="81"/>
      <name val="맑은 고딕"/>
      <family val="3"/>
      <charset val="129"/>
    </font>
    <font>
      <b/>
      <sz val="7.65"/>
      <color indexed="81"/>
      <name val="Tahoma"/>
      <family val="2"/>
    </font>
    <font>
      <b/>
      <sz val="7.65"/>
      <color indexed="81"/>
      <name val="맑은 고딕"/>
      <family val="3"/>
      <charset val="129"/>
    </font>
    <font>
      <sz val="11"/>
      <color theme="1"/>
      <name val="Arial"/>
      <family val="2"/>
    </font>
    <font>
      <sz val="10"/>
      <color theme="1"/>
      <name val="Arial"/>
      <family val="2"/>
    </font>
    <font>
      <sz val="11"/>
      <color rgb="FF9C6500"/>
      <name val="맑은 고딕"/>
      <family val="3"/>
      <charset val="129"/>
      <scheme val="minor"/>
    </font>
    <font>
      <sz val="10"/>
      <name val="맑은 고딕"/>
      <family val="3"/>
      <charset val="129"/>
    </font>
    <font>
      <sz val="13"/>
      <color rgb="FF000000"/>
      <name val="맑은 고딕"/>
      <family val="3"/>
      <charset val="129"/>
      <scheme val="minor"/>
    </font>
    <font>
      <b/>
      <sz val="10"/>
      <color rgb="FFFF0000"/>
      <name val="Arial"/>
      <family val="2"/>
    </font>
    <font>
      <sz val="10"/>
      <color rgb="FF0000FF"/>
      <name val="Arial"/>
      <family val="2"/>
    </font>
    <font>
      <sz val="10"/>
      <color rgb="FFFF0000"/>
      <name val="Arial"/>
      <family val="2"/>
    </font>
    <font>
      <sz val="8.5"/>
      <name val="Arial"/>
      <family val="2"/>
    </font>
    <font>
      <sz val="10"/>
      <color theme="1"/>
      <name val="맑은 고딕"/>
      <family val="2"/>
      <charset val="129"/>
      <scheme val="minor"/>
    </font>
    <font>
      <b/>
      <sz val="10"/>
      <color rgb="FF3366FF"/>
      <name val="Arial"/>
      <family val="2"/>
    </font>
  </fonts>
  <fills count="19">
    <fill>
      <patternFill patternType="none"/>
    </fill>
    <fill>
      <patternFill patternType="gray125"/>
    </fill>
    <fill>
      <patternFill patternType="solid">
        <fgColor rgb="FFFFEB9C"/>
      </patternFill>
    </fill>
    <fill>
      <patternFill patternType="solid">
        <fgColor indexed="13"/>
        <bgColor indexed="64"/>
      </patternFill>
    </fill>
    <fill>
      <patternFill patternType="solid">
        <fgColor indexed="46"/>
      </patternFill>
    </fill>
    <fill>
      <patternFill patternType="solid">
        <fgColor indexed="27"/>
      </patternFill>
    </fill>
    <fill>
      <patternFill patternType="solid">
        <fgColor indexed="22"/>
        <bgColor indexed="64"/>
      </patternFill>
    </fill>
    <fill>
      <patternFill patternType="gray125">
        <fgColor indexed="26"/>
        <bgColor indexed="9"/>
      </patternFill>
    </fill>
    <fill>
      <patternFill patternType="solid">
        <fgColor indexed="26"/>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3"/>
        <bgColor indexed="64"/>
      </patternFill>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FF00"/>
        <bgColor indexed="64"/>
      </patternFill>
    </fill>
    <fill>
      <patternFill patternType="solid">
        <fgColor theme="0" tint="-0.14999847407452621"/>
        <bgColor indexed="64"/>
      </patternFill>
    </fill>
    <fill>
      <patternFill patternType="solid">
        <fgColor rgb="FF00FFFF"/>
        <bgColor indexed="64"/>
      </patternFill>
    </fill>
  </fills>
  <borders count="104">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style="double">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Dashed">
        <color indexed="64"/>
      </left>
      <right style="thin">
        <color indexed="64"/>
      </right>
      <top style="medium">
        <color indexed="64"/>
      </top>
      <bottom style="thin">
        <color indexed="64"/>
      </bottom>
      <diagonal/>
    </border>
    <border>
      <left style="mediumDashed">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Dashed">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Dashed">
        <color indexed="64"/>
      </left>
      <right style="thin">
        <color indexed="64"/>
      </right>
      <top/>
      <bottom/>
      <diagonal/>
    </border>
    <border>
      <left style="thin">
        <color indexed="8"/>
      </left>
      <right style="thin">
        <color indexed="8"/>
      </right>
      <top style="thin">
        <color indexed="8"/>
      </top>
      <bottom/>
      <diagonal/>
    </border>
    <border>
      <left style="thin">
        <color indexed="8"/>
      </left>
      <right style="thin">
        <color indexed="64"/>
      </right>
      <top style="thin">
        <color indexed="8"/>
      </top>
      <bottom/>
      <diagonal/>
    </border>
    <border>
      <left style="thin">
        <color indexed="8"/>
      </left>
      <right style="thin">
        <color indexed="8"/>
      </right>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Dashed">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64"/>
      </left>
      <right style="thin">
        <color indexed="64"/>
      </right>
      <top/>
      <bottom style="thin">
        <color indexed="64"/>
      </bottom>
      <diagonal/>
    </border>
    <border>
      <left style="mediumDashed">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8"/>
      </left>
      <right style="thin">
        <color indexed="8"/>
      </right>
      <top style="thin">
        <color indexed="8"/>
      </top>
      <bottom style="thin">
        <color indexed="8"/>
      </bottom>
      <diagonal/>
    </border>
    <border>
      <left/>
      <right style="medium">
        <color indexed="64"/>
      </right>
      <top/>
      <bottom style="thin">
        <color indexed="64"/>
      </bottom>
      <diagonal/>
    </border>
    <border>
      <left style="medium">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mediumDashed">
        <color indexed="64"/>
      </left>
      <right style="thin">
        <color indexed="64"/>
      </right>
      <top style="double">
        <color indexed="64"/>
      </top>
      <bottom/>
      <diagonal/>
    </border>
    <border>
      <left style="medium">
        <color indexed="64"/>
      </left>
      <right/>
      <top style="medium">
        <color indexed="64"/>
      </top>
      <bottom style="medium">
        <color indexed="64"/>
      </bottom>
      <diagonal/>
    </border>
    <border>
      <left style="double">
        <color indexed="64"/>
      </left>
      <right/>
      <top style="thin">
        <color indexed="64"/>
      </top>
      <bottom/>
      <diagonal/>
    </border>
    <border>
      <left/>
      <right style="double">
        <color indexed="64"/>
      </right>
      <top style="thin">
        <color indexed="64"/>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Dashed">
        <color indexed="64"/>
      </left>
      <right style="thin">
        <color indexed="64"/>
      </right>
      <top style="thin">
        <color indexed="64"/>
      </top>
      <bottom style="thin">
        <color indexed="64"/>
      </bottom>
      <diagonal/>
    </border>
    <border>
      <left style="medium">
        <color indexed="64"/>
      </left>
      <right style="thin">
        <color indexed="8"/>
      </right>
      <top style="thin">
        <color indexed="64"/>
      </top>
      <bottom/>
      <diagonal/>
    </border>
    <border>
      <left style="thin">
        <color indexed="64"/>
      </left>
      <right style="medium">
        <color indexed="64"/>
      </right>
      <top style="medium">
        <color indexed="64"/>
      </top>
      <bottom style="thin">
        <color indexed="64"/>
      </bottom>
      <diagonal/>
    </border>
  </borders>
  <cellStyleXfs count="306">
    <xf numFmtId="0" fontId="0" fillId="0" borderId="0">
      <alignment vertical="center"/>
    </xf>
    <xf numFmtId="0" fontId="2" fillId="0" borderId="0" applyProtection="0"/>
    <xf numFmtId="0" fontId="6" fillId="0" borderId="0"/>
    <xf numFmtId="42" fontId="6" fillId="0" borderId="0" applyFont="0" applyFill="0" applyBorder="0" applyAlignment="0" applyProtection="0"/>
    <xf numFmtId="0" fontId="6" fillId="0" borderId="0" applyFont="0" applyFill="0" applyBorder="0" applyAlignment="0" applyProtection="0"/>
    <xf numFmtId="0" fontId="8" fillId="0" borderId="0">
      <alignment horizontal="left"/>
    </xf>
    <xf numFmtId="41" fontId="6" fillId="0" borderId="0" applyFont="0" applyFill="0" applyBorder="0" applyAlignment="0" applyProtection="0"/>
    <xf numFmtId="0" fontId="6" fillId="0" borderId="0" applyFont="0" applyFill="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4" fontId="10" fillId="0" borderId="0">
      <protection locked="0"/>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 fillId="0" borderId="0" applyFont="0" applyFill="0" applyBorder="0" applyAlignment="0" applyProtection="0"/>
    <xf numFmtId="176" fontId="2" fillId="0" borderId="0" applyFont="0" applyFill="0" applyBorder="0" applyAlignment="0" applyProtection="0"/>
    <xf numFmtId="177" fontId="10" fillId="0" borderId="0">
      <protection locked="0"/>
    </xf>
    <xf numFmtId="178" fontId="10" fillId="0" borderId="0">
      <protection locked="0"/>
    </xf>
    <xf numFmtId="0" fontId="2" fillId="0" borderId="0" applyFont="0" applyFill="0" applyBorder="0" applyAlignment="0" applyProtection="0"/>
    <xf numFmtId="179" fontId="2" fillId="0" borderId="0" applyFont="0" applyFill="0" applyBorder="0" applyAlignment="0" applyProtection="0"/>
    <xf numFmtId="180" fontId="10" fillId="0" borderId="0">
      <protection locked="0"/>
    </xf>
    <xf numFmtId="0" fontId="10" fillId="0" borderId="0">
      <protection locked="0"/>
    </xf>
    <xf numFmtId="181" fontId="10" fillId="0" borderId="0">
      <protection locked="0"/>
    </xf>
    <xf numFmtId="0" fontId="12" fillId="0" borderId="22" applyNumberFormat="0" applyBorder="0" applyAlignment="0" applyProtection="0">
      <protection locked="0"/>
    </xf>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38" fontId="14" fillId="6" borderId="0" applyNumberFormat="0" applyBorder="0" applyAlignment="0" applyProtection="0"/>
    <xf numFmtId="0" fontId="15" fillId="0" borderId="23" applyNumberFormat="0" applyAlignment="0" applyProtection="0">
      <alignment horizontal="left" vertical="center"/>
    </xf>
    <xf numFmtId="0" fontId="15" fillId="0" borderId="24">
      <alignment horizontal="left" vertical="center"/>
    </xf>
    <xf numFmtId="0" fontId="10" fillId="0" borderId="0">
      <protection locked="0"/>
    </xf>
    <xf numFmtId="0" fontId="10" fillId="0" borderId="0">
      <protection locked="0"/>
    </xf>
    <xf numFmtId="182" fontId="16" fillId="0" borderId="0">
      <protection locked="0"/>
    </xf>
    <xf numFmtId="182" fontId="16" fillId="0" borderId="0">
      <protection locked="0"/>
    </xf>
    <xf numFmtId="0" fontId="2" fillId="7" borderId="6" applyNumberFormat="0" applyFont="0" applyAlignment="0">
      <protection locked="0"/>
    </xf>
    <xf numFmtId="10" fontId="14" fillId="8" borderId="6" applyNumberFormat="0" applyBorder="0" applyAlignment="0" applyProtection="0"/>
    <xf numFmtId="183" fontId="2" fillId="0" borderId="0" applyFont="0" applyFill="0" applyBorder="0" applyAlignment="0" applyProtection="0"/>
    <xf numFmtId="184" fontId="2" fillId="0" borderId="0" applyFont="0" applyFill="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185" fontId="18" fillId="0" borderId="0"/>
    <xf numFmtId="186" fontId="19" fillId="0" borderId="0"/>
    <xf numFmtId="186" fontId="19" fillId="0" borderId="0"/>
    <xf numFmtId="0" fontId="2" fillId="0" borderId="0"/>
    <xf numFmtId="0" fontId="20" fillId="0" borderId="0">
      <alignment vertical="center"/>
    </xf>
    <xf numFmtId="0" fontId="2" fillId="0" borderId="0"/>
    <xf numFmtId="0" fontId="2" fillId="0" borderId="0"/>
    <xf numFmtId="0" fontId="2" fillId="0" borderId="0" applyFont="0">
      <alignment horizontal="left" vertical="top" wrapText="1"/>
      <protection locked="0"/>
    </xf>
    <xf numFmtId="187" fontId="10" fillId="0" borderId="0">
      <protection locked="0"/>
    </xf>
    <xf numFmtId="10" fontId="2" fillId="0" borderId="0" applyFont="0" applyFill="0" applyBorder="0" applyAlignment="0" applyProtection="0"/>
    <xf numFmtId="9" fontId="2" fillId="0" borderId="0" applyFont="0" applyFill="0" applyBorder="0" applyAlignment="0" applyProtection="0"/>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182" fontId="21" fillId="0" borderId="0">
      <protection locked="0"/>
    </xf>
    <xf numFmtId="2" fontId="2" fillId="0" borderId="6" applyNumberFormat="0" applyFont="0" applyAlignment="0"/>
    <xf numFmtId="41" fontId="2" fillId="0" borderId="0" applyFont="0" applyFill="0" applyBorder="0" applyAlignment="0" applyProtection="0"/>
    <xf numFmtId="43" fontId="2" fillId="0" borderId="0" applyFont="0" applyFill="0" applyBorder="0" applyAlignment="0" applyProtection="0"/>
    <xf numFmtId="0" fontId="10" fillId="0" borderId="25">
      <protection locked="0"/>
    </xf>
    <xf numFmtId="9" fontId="22" fillId="0" borderId="0" applyFont="0" applyFill="0" applyBorder="0" applyAlignment="0" applyProtection="0"/>
    <xf numFmtId="9" fontId="14" fillId="0" borderId="0" applyFont="0" applyFill="0" applyBorder="0" applyAlignment="0" applyProtection="0"/>
    <xf numFmtId="9" fontId="22" fillId="0" borderId="0" applyFont="0" applyFill="0" applyBorder="0" applyAlignment="0" applyProtection="0"/>
    <xf numFmtId="0" fontId="23" fillId="0" borderId="0"/>
    <xf numFmtId="41" fontId="2" fillId="0" borderId="0" applyFont="0" applyFill="0" applyBorder="0" applyAlignment="0" applyProtection="0"/>
    <xf numFmtId="41" fontId="18" fillId="0" borderId="0" applyFont="0" applyFill="0" applyBorder="0" applyAlignment="0" applyProtection="0"/>
    <xf numFmtId="41" fontId="14" fillId="0" borderId="0" applyFont="0" applyFill="0" applyBorder="0" applyAlignment="0" applyProtection="0"/>
    <xf numFmtId="188" fontId="22" fillId="0" borderId="0" applyFont="0" applyFill="0" applyBorder="0" applyAlignment="0" applyProtection="0"/>
    <xf numFmtId="189" fontId="22" fillId="0" borderId="0" applyFont="0" applyFill="0" applyBorder="0" applyAlignment="0" applyProtection="0"/>
    <xf numFmtId="42" fontId="18" fillId="0" borderId="0" applyFont="0" applyFill="0" applyBorder="0" applyAlignment="0" applyProtection="0">
      <alignment vertical="center"/>
    </xf>
    <xf numFmtId="0" fontId="24" fillId="0" borderId="0">
      <alignment vertical="center"/>
    </xf>
    <xf numFmtId="0" fontId="18" fillId="0" borderId="0"/>
    <xf numFmtId="0" fontId="18"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5"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alignment vertical="center"/>
    </xf>
    <xf numFmtId="0" fontId="20" fillId="0" borderId="0">
      <alignment vertical="center"/>
    </xf>
    <xf numFmtId="0" fontId="18" fillId="0" borderId="0"/>
    <xf numFmtId="0" fontId="18"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18" fillId="0" borderId="0"/>
    <xf numFmtId="0" fontId="18"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18" fillId="0" borderId="0"/>
    <xf numFmtId="0" fontId="18"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8" fillId="0" borderId="0"/>
    <xf numFmtId="0" fontId="25" fillId="0" borderId="0"/>
    <xf numFmtId="0" fontId="25" fillId="0" borderId="0"/>
    <xf numFmtId="0" fontId="18" fillId="0" borderId="0"/>
    <xf numFmtId="0" fontId="18" fillId="0" borderId="0"/>
    <xf numFmtId="0" fontId="18" fillId="0" borderId="0"/>
    <xf numFmtId="0" fontId="28" fillId="0" borderId="0">
      <alignment vertical="center"/>
    </xf>
    <xf numFmtId="0" fontId="28" fillId="0" borderId="0">
      <alignment vertical="center"/>
    </xf>
    <xf numFmtId="0" fontId="2" fillId="0" borderId="0" applyProtection="0"/>
    <xf numFmtId="0" fontId="20" fillId="0" borderId="0">
      <alignment vertical="center"/>
    </xf>
    <xf numFmtId="0" fontId="18" fillId="0" borderId="0">
      <alignment vertical="center"/>
    </xf>
    <xf numFmtId="0" fontId="18" fillId="0" borderId="0">
      <alignment vertical="center"/>
    </xf>
    <xf numFmtId="0" fontId="20" fillId="0" borderId="0">
      <alignment vertical="center"/>
    </xf>
    <xf numFmtId="0" fontId="14" fillId="0" borderId="0"/>
    <xf numFmtId="0" fontId="14" fillId="0" borderId="0"/>
    <xf numFmtId="0" fontId="14" fillId="0" borderId="0"/>
    <xf numFmtId="0" fontId="14" fillId="0" borderId="0"/>
    <xf numFmtId="0" fontId="14" fillId="0" borderId="0"/>
    <xf numFmtId="0" fontId="2" fillId="0" borderId="0">
      <alignment vertical="center"/>
    </xf>
    <xf numFmtId="0" fontId="2" fillId="0" borderId="0" applyFont="0" applyFill="0" applyBorder="0" applyAlignment="0" applyProtection="0"/>
    <xf numFmtId="9" fontId="2" fillId="0" borderId="0" applyFont="0" applyFill="0" applyBorder="0" applyAlignment="0" applyProtection="0"/>
    <xf numFmtId="0" fontId="2" fillId="0" borderId="0" applyProtection="0"/>
    <xf numFmtId="0" fontId="9" fillId="15" borderId="0" applyNumberFormat="0" applyBorder="0" applyAlignment="0" applyProtection="0"/>
    <xf numFmtId="41" fontId="20" fillId="0" borderId="0" applyFont="0" applyFill="0" applyBorder="0" applyAlignment="0" applyProtection="0">
      <alignment vertical="center"/>
    </xf>
    <xf numFmtId="0" fontId="13" fillId="14" borderId="0" applyNumberFormat="0" applyBorder="0" applyAlignment="0" applyProtection="0"/>
    <xf numFmtId="0" fontId="61" fillId="2" borderId="0" applyNumberFormat="0" applyBorder="0" applyAlignment="0" applyProtection="0"/>
    <xf numFmtId="9" fontId="20" fillId="0" borderId="0" applyFont="0" applyFill="0" applyBorder="0" applyAlignment="0" applyProtection="0">
      <alignment vertical="center"/>
    </xf>
    <xf numFmtId="0" fontId="20" fillId="0" borderId="0">
      <alignment vertical="center"/>
    </xf>
  </cellStyleXfs>
  <cellXfs count="735">
    <xf numFmtId="0" fontId="0" fillId="0" borderId="0" xfId="0">
      <alignment vertical="center"/>
    </xf>
    <xf numFmtId="0" fontId="2" fillId="0" borderId="0" xfId="1" applyNumberFormat="1" applyProtection="1">
      <protection locked="0"/>
    </xf>
    <xf numFmtId="0" fontId="2" fillId="0" borderId="0" xfId="1"/>
    <xf numFmtId="0" fontId="3" fillId="0" borderId="0" xfId="1" applyNumberFormat="1" applyFont="1" applyProtection="1">
      <protection locked="0"/>
    </xf>
    <xf numFmtId="0" fontId="5" fillId="0" borderId="0" xfId="1" applyNumberFormat="1" applyFont="1" applyProtection="1">
      <protection locked="0"/>
    </xf>
    <xf numFmtId="0" fontId="6" fillId="3" borderId="1" xfId="1" applyNumberFormat="1" applyFont="1" applyFill="1" applyBorder="1" applyAlignment="1" applyProtection="1">
      <alignment horizontal="center"/>
      <protection locked="0"/>
    </xf>
    <xf numFmtId="0" fontId="6" fillId="3" borderId="2" xfId="1" applyNumberFormat="1" applyFont="1" applyFill="1" applyBorder="1" applyAlignment="1" applyProtection="1">
      <alignment horizontal="center"/>
      <protection locked="0"/>
    </xf>
    <xf numFmtId="0" fontId="6" fillId="3" borderId="3" xfId="1" applyNumberFormat="1" applyFont="1" applyFill="1" applyBorder="1" applyAlignment="1" applyProtection="1">
      <alignment horizontal="center"/>
      <protection locked="0"/>
    </xf>
    <xf numFmtId="0" fontId="2" fillId="0" borderId="4" xfId="1" applyNumberFormat="1" applyFont="1" applyFill="1" applyBorder="1" applyAlignment="1" applyProtection="1">
      <alignment horizontal="center"/>
      <protection locked="0"/>
    </xf>
    <xf numFmtId="0" fontId="2" fillId="0" borderId="0" xfId="1" applyNumberFormat="1" applyFont="1" applyFill="1" applyBorder="1" applyAlignment="1" applyProtection="1">
      <alignment horizontal="center"/>
      <protection locked="0"/>
    </xf>
    <xf numFmtId="0" fontId="6" fillId="3" borderId="5" xfId="1" applyNumberFormat="1" applyFont="1" applyFill="1" applyBorder="1" applyAlignment="1" applyProtection="1">
      <protection locked="0"/>
    </xf>
    <xf numFmtId="0" fontId="6" fillId="0" borderId="6" xfId="1" applyNumberFormat="1" applyFont="1" applyFill="1" applyBorder="1" applyAlignment="1" applyProtection="1">
      <protection locked="0"/>
    </xf>
    <xf numFmtId="0" fontId="6" fillId="0" borderId="7" xfId="1" applyNumberFormat="1" applyFont="1" applyFill="1" applyBorder="1" applyAlignment="1" applyProtection="1">
      <protection locked="0"/>
    </xf>
    <xf numFmtId="0" fontId="2" fillId="0" borderId="4" xfId="1" applyNumberFormat="1" applyFont="1" applyFill="1" applyBorder="1" applyAlignment="1" applyProtection="1">
      <protection locked="0"/>
    </xf>
    <xf numFmtId="0" fontId="2" fillId="0" borderId="0" xfId="1" applyNumberFormat="1" applyFont="1" applyFill="1" applyBorder="1" applyAlignment="1" applyProtection="1">
      <protection locked="0"/>
    </xf>
    <xf numFmtId="0" fontId="6" fillId="3" borderId="8" xfId="1" applyNumberFormat="1" applyFont="1" applyFill="1" applyBorder="1" applyAlignment="1" applyProtection="1">
      <protection locked="0"/>
    </xf>
    <xf numFmtId="0" fontId="6" fillId="0" borderId="9" xfId="1" applyNumberFormat="1" applyFont="1" applyFill="1" applyBorder="1" applyAlignment="1" applyProtection="1">
      <protection locked="0"/>
    </xf>
    <xf numFmtId="0" fontId="6" fillId="0" borderId="10" xfId="1" applyNumberFormat="1" applyFont="1" applyFill="1" applyBorder="1" applyAlignment="1" applyProtection="1">
      <protection locked="0"/>
    </xf>
    <xf numFmtId="0" fontId="2" fillId="0" borderId="11" xfId="1" applyNumberFormat="1" applyBorder="1" applyProtection="1">
      <protection locked="0"/>
    </xf>
    <xf numFmtId="0" fontId="2" fillId="0" borderId="12" xfId="1" applyNumberFormat="1" applyBorder="1" applyProtection="1">
      <protection locked="0"/>
    </xf>
    <xf numFmtId="0" fontId="2" fillId="0" borderId="13" xfId="1" applyNumberFormat="1" applyBorder="1" applyProtection="1">
      <protection locked="0"/>
    </xf>
    <xf numFmtId="0" fontId="2" fillId="0" borderId="15" xfId="1" applyNumberFormat="1" applyBorder="1" applyProtection="1">
      <protection locked="0"/>
    </xf>
    <xf numFmtId="0" fontId="2" fillId="0" borderId="16" xfId="1" applyNumberFormat="1" applyBorder="1" applyProtection="1">
      <protection locked="0"/>
    </xf>
    <xf numFmtId="0" fontId="2" fillId="0" borderId="17" xfId="1" applyNumberFormat="1" applyBorder="1" applyProtection="1">
      <protection locked="0"/>
    </xf>
    <xf numFmtId="0" fontId="7" fillId="0" borderId="11" xfId="2" applyFont="1" applyBorder="1"/>
    <xf numFmtId="0" fontId="2" fillId="0" borderId="18" xfId="1" applyNumberFormat="1" applyBorder="1" applyProtection="1">
      <protection locked="0"/>
    </xf>
    <xf numFmtId="0" fontId="2" fillId="0" borderId="19" xfId="1" applyNumberFormat="1" applyBorder="1" applyProtection="1">
      <protection locked="0"/>
    </xf>
    <xf numFmtId="0" fontId="7" fillId="0" borderId="14" xfId="2" applyFont="1" applyBorder="1"/>
    <xf numFmtId="0" fontId="2" fillId="0" borderId="20" xfId="1" applyNumberFormat="1" applyBorder="1" applyProtection="1">
      <protection locked="0"/>
    </xf>
    <xf numFmtId="0" fontId="2" fillId="0" borderId="21" xfId="1" applyNumberFormat="1" applyBorder="1" applyProtection="1">
      <protection locked="0"/>
    </xf>
    <xf numFmtId="0" fontId="7" fillId="0" borderId="15" xfId="2" applyFont="1" applyBorder="1" applyAlignment="1">
      <alignment horizontal="right"/>
    </xf>
    <xf numFmtId="0" fontId="14" fillId="0" borderId="29" xfId="1" applyFont="1" applyBorder="1"/>
    <xf numFmtId="0" fontId="2" fillId="9" borderId="27" xfId="1" applyFill="1" applyBorder="1" applyProtection="1">
      <protection locked="0"/>
    </xf>
    <xf numFmtId="0" fontId="2" fillId="0" borderId="26" xfId="1" applyFont="1" applyBorder="1"/>
    <xf numFmtId="0" fontId="2" fillId="0" borderId="27" xfId="1" applyBorder="1" applyProtection="1">
      <protection locked="0"/>
    </xf>
    <xf numFmtId="0" fontId="2" fillId="9" borderId="32" xfId="1" applyFill="1" applyBorder="1" applyAlignment="1" applyProtection="1">
      <alignment horizontal="center"/>
      <protection locked="0"/>
    </xf>
    <xf numFmtId="0" fontId="30" fillId="0" borderId="0" xfId="1" applyFont="1"/>
    <xf numFmtId="0" fontId="8" fillId="0" borderId="0" xfId="1" applyFont="1"/>
    <xf numFmtId="0" fontId="14" fillId="0" borderId="37" xfId="1" applyFont="1" applyBorder="1"/>
    <xf numFmtId="0" fontId="2" fillId="0" borderId="24" xfId="1" applyFont="1" applyBorder="1"/>
    <xf numFmtId="0" fontId="2" fillId="0" borderId="40" xfId="1" applyBorder="1"/>
    <xf numFmtId="0" fontId="2" fillId="0" borderId="0" xfId="1" applyBorder="1"/>
    <xf numFmtId="0" fontId="31" fillId="0" borderId="41" xfId="1" applyFont="1" applyBorder="1"/>
    <xf numFmtId="0" fontId="2" fillId="0" borderId="42" xfId="1" applyFont="1" applyBorder="1"/>
    <xf numFmtId="0" fontId="2" fillId="0" borderId="0" xfId="1" applyFont="1" applyBorder="1"/>
    <xf numFmtId="0" fontId="31" fillId="0" borderId="39" xfId="1" applyFont="1" applyBorder="1"/>
    <xf numFmtId="0" fontId="2" fillId="0" borderId="45" xfId="1" applyFont="1" applyBorder="1"/>
    <xf numFmtId="0" fontId="2" fillId="0" borderId="47" xfId="1" applyFont="1" applyBorder="1"/>
    <xf numFmtId="0" fontId="2" fillId="0" borderId="49" xfId="1" applyBorder="1" applyAlignment="1">
      <alignment vertical="center"/>
    </xf>
    <xf numFmtId="0" fontId="31" fillId="0" borderId="50" xfId="1" applyFont="1" applyBorder="1"/>
    <xf numFmtId="0" fontId="2" fillId="0" borderId="51" xfId="1" applyFont="1" applyBorder="1"/>
    <xf numFmtId="0" fontId="35" fillId="0" borderId="0" xfId="1" applyFont="1"/>
    <xf numFmtId="0" fontId="36" fillId="0" borderId="22" xfId="1" applyFont="1" applyBorder="1"/>
    <xf numFmtId="0" fontId="38" fillId="0" borderId="0" xfId="1" applyFont="1" applyProtection="1">
      <protection locked="0"/>
    </xf>
    <xf numFmtId="0" fontId="2" fillId="0" borderId="0" xfId="1" applyProtection="1">
      <protection locked="0"/>
    </xf>
    <xf numFmtId="0" fontId="2" fillId="0" borderId="0" xfId="1" quotePrefix="1" applyFont="1" applyFill="1" applyBorder="1"/>
    <xf numFmtId="0" fontId="2" fillId="0" borderId="0" xfId="1" applyFont="1" applyFill="1" applyBorder="1"/>
    <xf numFmtId="0" fontId="2" fillId="0" borderId="0" xfId="1" quotePrefix="1" applyFont="1" applyFill="1" applyBorder="1" applyProtection="1">
      <protection locked="0"/>
    </xf>
    <xf numFmtId="0" fontId="2" fillId="0" borderId="0" xfId="1" applyFont="1" applyFill="1" applyBorder="1" applyProtection="1">
      <protection locked="0"/>
    </xf>
    <xf numFmtId="0" fontId="2" fillId="0" borderId="0" xfId="1" applyFont="1" applyFill="1" applyProtection="1">
      <protection locked="0"/>
    </xf>
    <xf numFmtId="0" fontId="33" fillId="0" borderId="40" xfId="1" applyFont="1" applyBorder="1"/>
    <xf numFmtId="0" fontId="38" fillId="0" borderId="0" xfId="1" quotePrefix="1" applyFont="1" applyProtection="1">
      <protection locked="0"/>
    </xf>
    <xf numFmtId="0" fontId="36" fillId="0" borderId="40" xfId="1" applyFont="1" applyBorder="1"/>
    <xf numFmtId="0" fontId="36" fillId="0" borderId="0" xfId="1" applyFont="1" applyBorder="1"/>
    <xf numFmtId="0" fontId="36" fillId="0" borderId="0" xfId="1" applyFont="1" applyBorder="1" applyAlignment="1">
      <alignment horizontal="right"/>
    </xf>
    <xf numFmtId="0" fontId="39" fillId="0" borderId="0" xfId="1" applyFont="1"/>
    <xf numFmtId="0" fontId="40" fillId="0" borderId="0" xfId="1" applyFont="1" applyBorder="1"/>
    <xf numFmtId="0" fontId="36" fillId="0" borderId="0" xfId="1" applyFont="1"/>
    <xf numFmtId="0" fontId="41" fillId="0" borderId="0" xfId="1" quotePrefix="1" applyFont="1"/>
    <xf numFmtId="0" fontId="42" fillId="0" borderId="0" xfId="1" applyFont="1"/>
    <xf numFmtId="0" fontId="43" fillId="0" borderId="40" xfId="1" applyFont="1" applyBorder="1" applyAlignment="1">
      <alignment horizontal="right"/>
    </xf>
    <xf numFmtId="0" fontId="43" fillId="0" borderId="0" xfId="1" applyFont="1" applyBorder="1" applyAlignment="1">
      <alignment horizontal="right"/>
    </xf>
    <xf numFmtId="0" fontId="39" fillId="0" borderId="0" xfId="1" applyFont="1" applyBorder="1"/>
    <xf numFmtId="0" fontId="36" fillId="0" borderId="0" xfId="1" applyFont="1" applyBorder="1" applyAlignment="1">
      <alignment horizontal="center"/>
    </xf>
    <xf numFmtId="0" fontId="44" fillId="0" borderId="0" xfId="1" quotePrefix="1" applyFont="1"/>
    <xf numFmtId="193" fontId="36" fillId="0" borderId="0" xfId="1" applyNumberFormat="1" applyFont="1" applyBorder="1" applyAlignment="1">
      <alignment horizontal="center"/>
    </xf>
    <xf numFmtId="0" fontId="38" fillId="0" borderId="0" xfId="1" applyFont="1"/>
    <xf numFmtId="0" fontId="38" fillId="11" borderId="0" xfId="1" applyFont="1" applyFill="1" applyAlignment="1">
      <alignment horizontal="center"/>
    </xf>
    <xf numFmtId="0" fontId="38" fillId="0" borderId="0" xfId="1" quotePrefix="1" applyFont="1"/>
    <xf numFmtId="0" fontId="2" fillId="0" borderId="0" xfId="1" applyBorder="1" applyAlignment="1">
      <alignment horizontal="left"/>
    </xf>
    <xf numFmtId="196" fontId="2" fillId="0" borderId="0" xfId="1" applyNumberFormat="1" applyBorder="1"/>
    <xf numFmtId="0" fontId="36" fillId="0" borderId="40" xfId="1" applyFont="1" applyBorder="1" applyAlignment="1">
      <alignment horizontal="center"/>
    </xf>
    <xf numFmtId="0" fontId="2" fillId="0" borderId="0" xfId="1" applyFont="1" applyBorder="1" applyAlignment="1">
      <alignment horizontal="left"/>
    </xf>
    <xf numFmtId="193" fontId="2" fillId="0" borderId="0" xfId="1" applyNumberFormat="1" applyFont="1" applyBorder="1" applyAlignment="1">
      <alignment horizontal="center"/>
    </xf>
    <xf numFmtId="2" fontId="38" fillId="0" borderId="0" xfId="1" applyNumberFormat="1" applyFont="1" applyAlignment="1">
      <alignment horizontal="center"/>
    </xf>
    <xf numFmtId="0" fontId="36" fillId="0" borderId="40" xfId="1" applyFont="1" applyBorder="1" applyAlignment="1">
      <alignment horizontal="right"/>
    </xf>
    <xf numFmtId="0" fontId="2" fillId="0" borderId="0" xfId="1" applyFont="1"/>
    <xf numFmtId="0" fontId="46" fillId="0" borderId="0" xfId="1" applyFont="1" applyBorder="1" applyAlignment="1">
      <alignment horizontal="right"/>
    </xf>
    <xf numFmtId="0" fontId="36" fillId="0" borderId="0" xfId="1" applyFont="1" applyBorder="1" applyAlignment="1">
      <alignment horizontal="left"/>
    </xf>
    <xf numFmtId="2" fontId="2" fillId="0" borderId="0" xfId="1" applyNumberFormat="1"/>
    <xf numFmtId="0" fontId="40" fillId="0" borderId="40" xfId="1" applyFont="1" applyFill="1" applyBorder="1" applyAlignment="1">
      <alignment horizontal="left"/>
    </xf>
    <xf numFmtId="0" fontId="40" fillId="0" borderId="0" xfId="1" applyFont="1" applyFill="1" applyBorder="1" applyAlignment="1">
      <alignment horizontal="left"/>
    </xf>
    <xf numFmtId="0" fontId="36" fillId="0" borderId="0" xfId="1" applyFont="1" applyFill="1" applyBorder="1"/>
    <xf numFmtId="0" fontId="36" fillId="0" borderId="0" xfId="1" applyFont="1" applyFill="1" applyBorder="1" applyAlignment="1">
      <alignment horizontal="center"/>
    </xf>
    <xf numFmtId="0" fontId="47" fillId="0" borderId="40" xfId="1" applyFont="1" applyFill="1" applyBorder="1" applyAlignment="1">
      <alignment horizontal="left"/>
    </xf>
    <xf numFmtId="0" fontId="47" fillId="0" borderId="0" xfId="1" applyFont="1" applyFill="1" applyBorder="1" applyAlignment="1">
      <alignment horizontal="left"/>
    </xf>
    <xf numFmtId="0" fontId="2" fillId="0" borderId="0" xfId="1" applyFill="1" applyBorder="1"/>
    <xf numFmtId="0" fontId="36" fillId="0" borderId="0" xfId="1" applyFont="1" applyBorder="1" applyAlignment="1"/>
    <xf numFmtId="0" fontId="33" fillId="0" borderId="40" xfId="1" applyFont="1" applyFill="1" applyBorder="1" applyAlignment="1">
      <alignment horizontal="left"/>
    </xf>
    <xf numFmtId="0" fontId="33" fillId="0" borderId="0" xfId="1" applyFont="1" applyFill="1" applyBorder="1" applyAlignment="1">
      <alignment horizontal="left"/>
    </xf>
    <xf numFmtId="193" fontId="33" fillId="0" borderId="0" xfId="1" applyNumberFormat="1" applyFont="1" applyFill="1" applyBorder="1" applyProtection="1">
      <protection locked="0"/>
    </xf>
    <xf numFmtId="2" fontId="33" fillId="0" borderId="0" xfId="1" applyNumberFormat="1" applyFont="1" applyFill="1" applyBorder="1" applyProtection="1">
      <protection locked="0"/>
    </xf>
    <xf numFmtId="193" fontId="38" fillId="0" borderId="0" xfId="1" applyNumberFormat="1" applyFont="1" applyFill="1"/>
    <xf numFmtId="2" fontId="38" fillId="0" borderId="0" xfId="1" applyNumberFormat="1" applyFont="1"/>
    <xf numFmtId="0" fontId="33" fillId="9" borderId="0" xfId="1" applyFont="1" applyFill="1" applyBorder="1" applyProtection="1">
      <protection locked="0"/>
    </xf>
    <xf numFmtId="193" fontId="36" fillId="0" borderId="0" xfId="1" applyNumberFormat="1" applyFont="1" applyFill="1" applyBorder="1"/>
    <xf numFmtId="0" fontId="48" fillId="0" borderId="0" xfId="1" applyFont="1" applyBorder="1"/>
    <xf numFmtId="191" fontId="2" fillId="0" borderId="0" xfId="1" applyNumberFormat="1" applyFont="1" applyFill="1" applyBorder="1" applyProtection="1">
      <protection locked="0"/>
    </xf>
    <xf numFmtId="0" fontId="48" fillId="0" borderId="0" xfId="1" quotePrefix="1" applyFont="1" applyBorder="1"/>
    <xf numFmtId="193" fontId="2" fillId="0" borderId="0" xfId="1" applyNumberFormat="1"/>
    <xf numFmtId="0" fontId="2" fillId="0" borderId="0" xfId="1" applyBorder="1" applyAlignment="1">
      <alignment horizontal="center"/>
    </xf>
    <xf numFmtId="0" fontId="2" fillId="0" borderId="0" xfId="1" applyBorder="1" applyAlignment="1"/>
    <xf numFmtId="0" fontId="2" fillId="0" borderId="0" xfId="1" applyFont="1" applyFill="1" applyBorder="1" applyAlignment="1"/>
    <xf numFmtId="0" fontId="2" fillId="0" borderId="0" xfId="1" applyAlignment="1">
      <alignment horizontal="center"/>
    </xf>
    <xf numFmtId="0" fontId="38" fillId="0" borderId="0" xfId="1" applyFont="1" applyFill="1"/>
    <xf numFmtId="0" fontId="50" fillId="0" borderId="0" xfId="1" applyFont="1"/>
    <xf numFmtId="0" fontId="8" fillId="0" borderId="60" xfId="1" applyFont="1" applyBorder="1"/>
    <xf numFmtId="0" fontId="2" fillId="0" borderId="60" xfId="1" applyBorder="1"/>
    <xf numFmtId="0" fontId="2" fillId="0" borderId="60" xfId="1" applyFill="1" applyBorder="1"/>
    <xf numFmtId="0" fontId="33" fillId="9" borderId="62" xfId="1" applyFont="1" applyFill="1" applyBorder="1" applyAlignment="1" applyProtection="1">
      <alignment horizontal="center" vertical="center"/>
      <protection locked="0"/>
    </xf>
    <xf numFmtId="0" fontId="33" fillId="9" borderId="63" xfId="1" applyFont="1" applyFill="1" applyBorder="1" applyAlignment="1" applyProtection="1">
      <alignment horizontal="center" vertical="center"/>
      <protection locked="0"/>
    </xf>
    <xf numFmtId="0" fontId="33" fillId="9" borderId="62" xfId="1" quotePrefix="1" applyFont="1" applyFill="1" applyBorder="1" applyAlignment="1" applyProtection="1">
      <alignment horizontal="center" vertical="center"/>
      <protection locked="0"/>
    </xf>
    <xf numFmtId="0" fontId="51" fillId="9" borderId="62" xfId="1" applyFont="1" applyFill="1" applyBorder="1" applyAlignment="1" applyProtection="1">
      <alignment horizontal="center" vertical="center"/>
      <protection locked="0"/>
    </xf>
    <xf numFmtId="0" fontId="33" fillId="9" borderId="52" xfId="1" applyFont="1" applyFill="1" applyBorder="1" applyAlignment="1" applyProtection="1">
      <alignment horizontal="center" vertical="center"/>
      <protection locked="0"/>
    </xf>
    <xf numFmtId="191" fontId="33" fillId="12" borderId="64" xfId="2" applyNumberFormat="1" applyFont="1" applyFill="1" applyBorder="1" applyAlignment="1" applyProtection="1">
      <alignment horizontal="center"/>
      <protection locked="0"/>
    </xf>
    <xf numFmtId="191" fontId="33" fillId="12" borderId="56" xfId="2" applyNumberFormat="1" applyFont="1" applyFill="1" applyBorder="1" applyAlignment="1" applyProtection="1">
      <alignment horizontal="center"/>
      <protection locked="0"/>
    </xf>
    <xf numFmtId="0" fontId="2" fillId="0" borderId="6" xfId="1" applyBorder="1"/>
    <xf numFmtId="0" fontId="53" fillId="0" borderId="0" xfId="1" applyFont="1"/>
    <xf numFmtId="0" fontId="8" fillId="0" borderId="0" xfId="1" applyFont="1" applyBorder="1"/>
    <xf numFmtId="0" fontId="14" fillId="0" borderId="0" xfId="1" applyFont="1" applyFill="1" applyBorder="1"/>
    <xf numFmtId="0" fontId="14" fillId="0" borderId="0" xfId="1" applyFont="1" applyFill="1" applyBorder="1" applyAlignment="1">
      <alignment horizontal="center"/>
    </xf>
    <xf numFmtId="0" fontId="14" fillId="0" borderId="0" xfId="1" applyFont="1"/>
    <xf numFmtId="0" fontId="33" fillId="0" borderId="27" xfId="1" applyFont="1" applyFill="1" applyBorder="1" applyAlignment="1">
      <alignment vertical="center"/>
    </xf>
    <xf numFmtId="0" fontId="33" fillId="0" borderId="0" xfId="1" applyFont="1" applyFill="1" applyBorder="1" applyAlignment="1">
      <alignment vertical="center"/>
    </xf>
    <xf numFmtId="0" fontId="2" fillId="0" borderId="55" xfId="1" applyBorder="1" applyAlignment="1">
      <alignment horizontal="center"/>
    </xf>
    <xf numFmtId="0" fontId="33" fillId="12" borderId="55" xfId="298" applyNumberFormat="1" applyFont="1" applyFill="1" applyBorder="1" applyAlignment="1" applyProtection="1">
      <alignment horizontal="center"/>
      <protection locked="0"/>
    </xf>
    <xf numFmtId="0" fontId="33" fillId="12" borderId="57" xfId="298" applyNumberFormat="1" applyFont="1" applyFill="1" applyBorder="1" applyAlignment="1" applyProtection="1">
      <alignment horizontal="center"/>
      <protection locked="0"/>
    </xf>
    <xf numFmtId="0" fontId="33" fillId="0" borderId="0" xfId="1" applyFont="1" applyBorder="1"/>
    <xf numFmtId="0" fontId="33" fillId="12" borderId="55" xfId="298" applyNumberFormat="1" applyFont="1" applyFill="1" applyBorder="1" applyAlignment="1" applyProtection="1">
      <alignment horizontal="right"/>
      <protection locked="0"/>
    </xf>
    <xf numFmtId="0" fontId="33" fillId="12" borderId="4" xfId="298" applyNumberFormat="1" applyFont="1" applyFill="1" applyBorder="1" applyAlignment="1" applyProtection="1">
      <alignment horizontal="right"/>
      <protection locked="0"/>
    </xf>
    <xf numFmtId="0" fontId="33" fillId="12" borderId="70" xfId="298" applyNumberFormat="1" applyFont="1" applyFill="1" applyBorder="1" applyAlignment="1" applyProtection="1">
      <alignment horizontal="right"/>
      <protection locked="0"/>
    </xf>
    <xf numFmtId="0" fontId="2" fillId="0" borderId="27" xfId="1" applyBorder="1" applyAlignment="1">
      <alignment horizontal="center"/>
    </xf>
    <xf numFmtId="196" fontId="2" fillId="0" borderId="27" xfId="1" applyNumberFormat="1" applyBorder="1" applyAlignment="1">
      <alignment horizontal="center"/>
    </xf>
    <xf numFmtId="196" fontId="2" fillId="0" borderId="0" xfId="1" applyNumberFormat="1" applyBorder="1" applyAlignment="1">
      <alignment horizontal="center"/>
    </xf>
    <xf numFmtId="0" fontId="2" fillId="0" borderId="60" xfId="1" applyFont="1" applyBorder="1"/>
    <xf numFmtId="0" fontId="2" fillId="0" borderId="60" xfId="1" applyBorder="1" applyAlignment="1">
      <alignment horizontal="center"/>
    </xf>
    <xf numFmtId="196" fontId="2" fillId="0" borderId="60" xfId="1" applyNumberFormat="1" applyBorder="1" applyAlignment="1">
      <alignment horizontal="center"/>
    </xf>
    <xf numFmtId="0" fontId="33" fillId="0" borderId="69" xfId="1" applyFont="1" applyBorder="1"/>
    <xf numFmtId="0" fontId="2" fillId="0" borderId="26" xfId="1" applyBorder="1" applyAlignment="1">
      <alignment horizontal="left"/>
    </xf>
    <xf numFmtId="191" fontId="33" fillId="12" borderId="67" xfId="2" applyNumberFormat="1" applyFont="1" applyFill="1" applyBorder="1" applyAlignment="1" applyProtection="1">
      <alignment horizontal="center"/>
      <protection locked="0"/>
    </xf>
    <xf numFmtId="191" fontId="33" fillId="12" borderId="29" xfId="2" applyNumberFormat="1" applyFont="1" applyFill="1" applyBorder="1" applyAlignment="1" applyProtection="1">
      <alignment horizontal="center"/>
      <protection locked="0"/>
    </xf>
    <xf numFmtId="191" fontId="33" fillId="12" borderId="68" xfId="2" applyNumberFormat="1" applyFont="1" applyFill="1" applyBorder="1" applyAlignment="1" applyProtection="1">
      <alignment horizontal="center"/>
      <protection locked="0"/>
    </xf>
    <xf numFmtId="191" fontId="33" fillId="12" borderId="69" xfId="2" applyNumberFormat="1" applyFont="1" applyFill="1" applyBorder="1" applyAlignment="1" applyProtection="1">
      <alignment horizontal="center"/>
      <protection locked="0"/>
    </xf>
    <xf numFmtId="0" fontId="2" fillId="0" borderId="71" xfId="1" applyFont="1" applyBorder="1"/>
    <xf numFmtId="202" fontId="2" fillId="0" borderId="72" xfId="1" applyNumberFormat="1" applyFont="1" applyBorder="1" applyProtection="1"/>
    <xf numFmtId="0" fontId="33" fillId="0" borderId="4" xfId="1" applyFont="1" applyBorder="1"/>
    <xf numFmtId="0" fontId="2" fillId="0" borderId="73" xfId="1" applyFont="1" applyBorder="1"/>
    <xf numFmtId="202" fontId="2" fillId="0" borderId="73" xfId="1" applyNumberFormat="1" applyFont="1" applyBorder="1" applyProtection="1"/>
    <xf numFmtId="0" fontId="33" fillId="0" borderId="41" xfId="1" applyFont="1" applyBorder="1"/>
    <xf numFmtId="0" fontId="33" fillId="0" borderId="74" xfId="1" applyFont="1" applyBorder="1"/>
    <xf numFmtId="0" fontId="2" fillId="0" borderId="43" xfId="1" applyBorder="1" applyAlignment="1">
      <alignment horizontal="center"/>
    </xf>
    <xf numFmtId="0" fontId="33" fillId="12" borderId="54" xfId="298" applyNumberFormat="1" applyFont="1" applyFill="1" applyBorder="1" applyAlignment="1" applyProtection="1">
      <alignment horizontal="right"/>
      <protection locked="0"/>
    </xf>
    <xf numFmtId="0" fontId="33" fillId="12" borderId="74" xfId="298" applyNumberFormat="1" applyFont="1" applyFill="1" applyBorder="1" applyAlignment="1" applyProtection="1">
      <alignment horizontal="right"/>
      <protection locked="0"/>
    </xf>
    <xf numFmtId="0" fontId="33" fillId="12" borderId="64" xfId="298" applyNumberFormat="1" applyFont="1" applyFill="1" applyBorder="1" applyAlignment="1" applyProtection="1">
      <alignment horizontal="right"/>
      <protection locked="0"/>
    </xf>
    <xf numFmtId="0" fontId="33" fillId="12" borderId="54" xfId="298" applyNumberFormat="1" applyFont="1" applyFill="1" applyBorder="1" applyAlignment="1" applyProtection="1">
      <alignment horizontal="center"/>
      <protection locked="0"/>
    </xf>
    <xf numFmtId="0" fontId="33" fillId="12" borderId="56" xfId="298" applyNumberFormat="1" applyFont="1" applyFill="1" applyBorder="1" applyAlignment="1" applyProtection="1">
      <alignment horizontal="center"/>
      <protection locked="0"/>
    </xf>
    <xf numFmtId="202" fontId="2" fillId="0" borderId="71" xfId="1" applyNumberFormat="1" applyFont="1" applyBorder="1" applyProtection="1"/>
    <xf numFmtId="0" fontId="33" fillId="0" borderId="33" xfId="1" applyFont="1" applyBorder="1"/>
    <xf numFmtId="0" fontId="33" fillId="0" borderId="36" xfId="1" applyFont="1" applyBorder="1"/>
    <xf numFmtId="0" fontId="2" fillId="0" borderId="34" xfId="1" applyBorder="1" applyAlignment="1">
      <alignment horizontal="center"/>
    </xf>
    <xf numFmtId="0" fontId="33" fillId="0" borderId="46" xfId="1" applyFont="1" applyBorder="1"/>
    <xf numFmtId="0" fontId="33" fillId="0" borderId="75" xfId="1" applyFont="1" applyBorder="1"/>
    <xf numFmtId="0" fontId="33" fillId="12" borderId="76" xfId="298" applyNumberFormat="1" applyFont="1" applyFill="1" applyBorder="1" applyAlignment="1" applyProtection="1">
      <alignment horizontal="right"/>
      <protection locked="0"/>
    </xf>
    <xf numFmtId="0" fontId="33" fillId="12" borderId="75" xfId="298" applyNumberFormat="1" applyFont="1" applyFill="1" applyBorder="1" applyAlignment="1" applyProtection="1">
      <alignment horizontal="right"/>
      <protection locked="0"/>
    </xf>
    <xf numFmtId="0" fontId="33" fillId="12" borderId="77" xfId="298" applyNumberFormat="1" applyFont="1" applyFill="1" applyBorder="1" applyAlignment="1" applyProtection="1">
      <alignment horizontal="right"/>
      <protection locked="0"/>
    </xf>
    <xf numFmtId="0" fontId="33" fillId="12" borderId="76" xfId="298" applyNumberFormat="1" applyFont="1" applyFill="1" applyBorder="1" applyAlignment="1" applyProtection="1">
      <alignment horizontal="center"/>
      <protection locked="0"/>
    </xf>
    <xf numFmtId="0" fontId="33" fillId="12" borderId="78" xfId="298" applyNumberFormat="1" applyFont="1" applyFill="1" applyBorder="1" applyAlignment="1" applyProtection="1">
      <alignment horizontal="center"/>
      <protection locked="0"/>
    </xf>
    <xf numFmtId="0" fontId="2" fillId="0" borderId="79" xfId="1" applyFont="1" applyBorder="1"/>
    <xf numFmtId="202" fontId="2" fillId="0" borderId="79" xfId="1" applyNumberFormat="1" applyFont="1" applyBorder="1" applyProtection="1"/>
    <xf numFmtId="0" fontId="33" fillId="0" borderId="29" xfId="1" applyFont="1" applyBorder="1"/>
    <xf numFmtId="0" fontId="2" fillId="0" borderId="28" xfId="1" applyBorder="1" applyAlignment="1">
      <alignment horizontal="left"/>
    </xf>
    <xf numFmtId="194" fontId="33" fillId="12" borderId="67" xfId="2" applyNumberFormat="1" applyFont="1" applyFill="1" applyBorder="1" applyAlignment="1" applyProtection="1">
      <alignment horizontal="right"/>
      <protection locked="0"/>
    </xf>
    <xf numFmtId="194" fontId="33" fillId="12" borderId="29" xfId="2" applyNumberFormat="1" applyFont="1" applyFill="1" applyBorder="1" applyAlignment="1" applyProtection="1">
      <alignment horizontal="right"/>
      <protection locked="0"/>
    </xf>
    <xf numFmtId="194" fontId="33" fillId="12" borderId="68" xfId="2" applyNumberFormat="1" applyFont="1" applyFill="1" applyBorder="1" applyAlignment="1" applyProtection="1">
      <alignment horizontal="right"/>
      <protection locked="0"/>
    </xf>
    <xf numFmtId="0" fontId="33" fillId="12" borderId="80" xfId="298" applyNumberFormat="1" applyFont="1" applyFill="1" applyBorder="1" applyAlignment="1" applyProtection="1">
      <alignment horizontal="right"/>
      <protection locked="0"/>
    </xf>
    <xf numFmtId="0" fontId="33" fillId="12" borderId="36" xfId="298" applyNumberFormat="1" applyFont="1" applyFill="1" applyBorder="1" applyAlignment="1" applyProtection="1">
      <alignment horizontal="right"/>
      <protection locked="0"/>
    </xf>
    <xf numFmtId="0" fontId="33" fillId="12" borderId="81" xfId="298" applyNumberFormat="1" applyFont="1" applyFill="1" applyBorder="1" applyAlignment="1" applyProtection="1">
      <alignment horizontal="right"/>
      <protection locked="0"/>
    </xf>
    <xf numFmtId="0" fontId="33" fillId="12" borderId="80" xfId="298" applyNumberFormat="1" applyFont="1" applyFill="1" applyBorder="1" applyAlignment="1" applyProtection="1">
      <alignment horizontal="center"/>
      <protection locked="0"/>
    </xf>
    <xf numFmtId="0" fontId="33" fillId="12" borderId="82" xfId="298" applyNumberFormat="1" applyFont="1" applyFill="1" applyBorder="1" applyAlignment="1" applyProtection="1">
      <alignment horizontal="center"/>
      <protection locked="0"/>
    </xf>
    <xf numFmtId="0" fontId="2" fillId="0" borderId="47" xfId="1" applyBorder="1" applyAlignment="1">
      <alignment horizontal="center"/>
    </xf>
    <xf numFmtId="0" fontId="33" fillId="0" borderId="60" xfId="1" applyFont="1" applyFill="1" applyBorder="1" applyAlignment="1">
      <alignment vertical="center"/>
    </xf>
    <xf numFmtId="0" fontId="33" fillId="0" borderId="26" xfId="1" applyFont="1" applyBorder="1" applyProtection="1">
      <protection locked="0"/>
    </xf>
    <xf numFmtId="0" fontId="33" fillId="0" borderId="29" xfId="1" applyFont="1" applyBorder="1" applyProtection="1">
      <protection locked="0"/>
    </xf>
    <xf numFmtId="0" fontId="2" fillId="0" borderId="28" xfId="1" applyBorder="1" applyAlignment="1" applyProtection="1">
      <alignment horizontal="left"/>
      <protection locked="0"/>
    </xf>
    <xf numFmtId="0" fontId="33" fillId="0" borderId="40" xfId="1" applyFont="1" applyBorder="1" applyProtection="1">
      <protection locked="0"/>
    </xf>
    <xf numFmtId="0" fontId="33" fillId="0" borderId="4" xfId="1" applyFont="1" applyBorder="1" applyProtection="1">
      <protection locked="0"/>
    </xf>
    <xf numFmtId="0" fontId="2" fillId="0" borderId="0" xfId="1" applyBorder="1" applyAlignment="1" applyProtection="1">
      <alignment horizontal="center"/>
      <protection locked="0"/>
    </xf>
    <xf numFmtId="0" fontId="33" fillId="0" borderId="33" xfId="1" applyFont="1" applyBorder="1" applyProtection="1">
      <protection locked="0"/>
    </xf>
    <xf numFmtId="0" fontId="33" fillId="0" borderId="36" xfId="1" applyFont="1" applyBorder="1" applyProtection="1">
      <protection locked="0"/>
    </xf>
    <xf numFmtId="0" fontId="2" fillId="0" borderId="34" xfId="1" applyBorder="1" applyAlignment="1" applyProtection="1">
      <alignment horizontal="center"/>
      <protection locked="0"/>
    </xf>
    <xf numFmtId="0" fontId="2" fillId="0" borderId="83" xfId="1" applyFont="1" applyBorder="1"/>
    <xf numFmtId="202" fontId="2" fillId="0" borderId="83" xfId="1" applyNumberFormat="1" applyFont="1" applyBorder="1" applyProtection="1"/>
    <xf numFmtId="0" fontId="33" fillId="0" borderId="74" xfId="1" applyFont="1" applyBorder="1" applyProtection="1">
      <protection locked="0"/>
    </xf>
    <xf numFmtId="0" fontId="2" fillId="0" borderId="42" xfId="1" applyBorder="1" applyAlignment="1" applyProtection="1">
      <alignment horizontal="left"/>
      <protection locked="0"/>
    </xf>
    <xf numFmtId="194" fontId="33" fillId="12" borderId="54" xfId="2" applyNumberFormat="1" applyFont="1" applyFill="1" applyBorder="1" applyAlignment="1" applyProtection="1">
      <alignment horizontal="right"/>
      <protection locked="0"/>
    </xf>
    <xf numFmtId="191" fontId="33" fillId="12" borderId="54" xfId="2" applyNumberFormat="1" applyFont="1" applyFill="1" applyBorder="1" applyAlignment="1" applyProtection="1">
      <alignment horizontal="center"/>
      <protection locked="0"/>
    </xf>
    <xf numFmtId="191" fontId="33" fillId="12" borderId="74" xfId="2" applyNumberFormat="1" applyFont="1" applyFill="1" applyBorder="1" applyAlignment="1" applyProtection="1">
      <alignment horizontal="center"/>
      <protection locked="0"/>
    </xf>
    <xf numFmtId="194" fontId="33" fillId="12" borderId="55" xfId="298" applyNumberFormat="1" applyFont="1" applyFill="1" applyBorder="1" applyAlignment="1" applyProtection="1">
      <alignment horizontal="right"/>
      <protection locked="0"/>
    </xf>
    <xf numFmtId="194" fontId="33" fillId="12" borderId="80" xfId="298" applyNumberFormat="1" applyFont="1" applyFill="1" applyBorder="1" applyAlignment="1" applyProtection="1">
      <alignment horizontal="right"/>
      <protection locked="0"/>
    </xf>
    <xf numFmtId="0" fontId="33" fillId="0" borderId="75" xfId="1" applyFont="1" applyBorder="1" applyProtection="1">
      <protection locked="0"/>
    </xf>
    <xf numFmtId="0" fontId="33" fillId="0" borderId="0" xfId="1" applyFont="1" applyBorder="1" applyProtection="1">
      <protection locked="0"/>
    </xf>
    <xf numFmtId="0" fontId="33" fillId="0" borderId="0" xfId="298" applyNumberFormat="1" applyFont="1" applyFill="1" applyBorder="1" applyAlignment="1" applyProtection="1">
      <alignment horizontal="right"/>
      <protection locked="0"/>
    </xf>
    <xf numFmtId="0" fontId="33" fillId="0" borderId="0" xfId="298" applyNumberFormat="1" applyFont="1" applyFill="1" applyBorder="1" applyAlignment="1" applyProtection="1">
      <alignment horizontal="center"/>
      <protection locked="0"/>
    </xf>
    <xf numFmtId="0" fontId="2" fillId="0" borderId="0" xfId="1" applyFont="1" applyBorder="1" applyProtection="1"/>
    <xf numFmtId="0" fontId="2" fillId="0" borderId="0" xfId="1" applyFont="1" applyBorder="1" applyProtection="1">
      <protection locked="0"/>
    </xf>
    <xf numFmtId="0" fontId="2" fillId="0" borderId="60" xfId="1" applyBorder="1" applyProtection="1"/>
    <xf numFmtId="0" fontId="2" fillId="0" borderId="60" xfId="1" applyFont="1" applyBorder="1" applyProtection="1">
      <protection locked="0"/>
    </xf>
    <xf numFmtId="0" fontId="2" fillId="0" borderId="60" xfId="1" applyBorder="1" applyAlignment="1" applyProtection="1">
      <alignment horizontal="center"/>
      <protection locked="0"/>
    </xf>
    <xf numFmtId="0" fontId="2" fillId="0" borderId="26" xfId="1" applyFont="1" applyBorder="1" applyProtection="1"/>
    <xf numFmtId="0" fontId="2" fillId="0" borderId="69" xfId="1" applyFont="1" applyBorder="1" applyProtection="1"/>
    <xf numFmtId="0" fontId="2" fillId="0" borderId="26" xfId="1" applyFont="1" applyBorder="1" applyAlignment="1" applyProtection="1">
      <alignment horizontal="left"/>
    </xf>
    <xf numFmtId="196" fontId="2" fillId="0" borderId="29" xfId="2" applyNumberFormat="1" applyFont="1" applyFill="1" applyBorder="1" applyAlignment="1" applyProtection="1">
      <alignment horizontal="right"/>
    </xf>
    <xf numFmtId="196" fontId="2" fillId="0" borderId="67" xfId="2" applyNumberFormat="1" applyFont="1" applyFill="1" applyBorder="1" applyAlignment="1" applyProtection="1">
      <alignment horizontal="right"/>
    </xf>
    <xf numFmtId="196" fontId="2" fillId="0" borderId="32" xfId="2" applyNumberFormat="1" applyFont="1" applyFill="1" applyBorder="1" applyAlignment="1" applyProtection="1">
      <alignment horizontal="right"/>
    </xf>
    <xf numFmtId="0" fontId="2" fillId="0" borderId="40" xfId="1" applyFont="1" applyBorder="1" applyProtection="1"/>
    <xf numFmtId="0" fontId="2" fillId="0" borderId="4" xfId="1" applyFont="1" applyBorder="1" applyProtection="1"/>
    <xf numFmtId="0" fontId="2" fillId="0" borderId="0" xfId="1" applyFont="1" applyBorder="1" applyAlignment="1" applyProtection="1">
      <alignment horizontal="center"/>
    </xf>
    <xf numFmtId="196" fontId="2" fillId="0" borderId="55" xfId="2" applyNumberFormat="1" applyFont="1" applyFill="1" applyBorder="1" applyAlignment="1" applyProtection="1">
      <alignment horizontal="right"/>
    </xf>
    <xf numFmtId="196" fontId="2" fillId="0" borderId="22" xfId="2" applyNumberFormat="1" applyFont="1" applyFill="1" applyBorder="1" applyAlignment="1" applyProtection="1">
      <alignment horizontal="right"/>
    </xf>
    <xf numFmtId="0" fontId="2" fillId="0" borderId="41" xfId="1" applyFont="1" applyBorder="1" applyProtection="1"/>
    <xf numFmtId="0" fontId="2" fillId="0" borderId="74" xfId="1" applyFont="1" applyBorder="1" applyProtection="1"/>
    <xf numFmtId="0" fontId="2" fillId="0" borderId="43" xfId="1" applyFont="1" applyBorder="1" applyAlignment="1" applyProtection="1">
      <alignment horizontal="center"/>
    </xf>
    <xf numFmtId="196" fontId="2" fillId="0" borderId="54" xfId="2" applyNumberFormat="1" applyFont="1" applyFill="1" applyBorder="1" applyAlignment="1" applyProtection="1">
      <alignment horizontal="right"/>
    </xf>
    <xf numFmtId="196" fontId="2" fillId="0" borderId="44" xfId="2" applyNumberFormat="1" applyFont="1" applyFill="1" applyBorder="1" applyAlignment="1" applyProtection="1">
      <alignment horizontal="right"/>
    </xf>
    <xf numFmtId="0" fontId="2" fillId="0" borderId="33" xfId="1" applyFont="1" applyBorder="1" applyProtection="1"/>
    <xf numFmtId="0" fontId="2" fillId="0" borderId="36" xfId="1" applyFont="1" applyBorder="1" applyProtection="1"/>
    <xf numFmtId="0" fontId="2" fillId="0" borderId="34" xfId="1" applyFont="1" applyBorder="1" applyAlignment="1" applyProtection="1">
      <alignment horizontal="center"/>
    </xf>
    <xf numFmtId="196" fontId="2" fillId="0" borderId="80" xfId="2" applyNumberFormat="1" applyFont="1" applyFill="1" applyBorder="1" applyAlignment="1" applyProtection="1">
      <alignment horizontal="right"/>
    </xf>
    <xf numFmtId="196" fontId="2" fillId="0" borderId="84" xfId="2" applyNumberFormat="1" applyFont="1" applyFill="1" applyBorder="1" applyAlignment="1" applyProtection="1">
      <alignment horizontal="right"/>
    </xf>
    <xf numFmtId="0" fontId="2" fillId="0" borderId="46" xfId="1" applyFont="1" applyBorder="1" applyProtection="1"/>
    <xf numFmtId="0" fontId="2" fillId="0" borderId="75" xfId="1" applyFont="1" applyBorder="1" applyProtection="1"/>
    <xf numFmtId="0" fontId="2" fillId="0" borderId="60" xfId="1" applyFont="1" applyBorder="1" applyAlignment="1" applyProtection="1">
      <alignment horizontal="center"/>
    </xf>
    <xf numFmtId="196" fontId="2" fillId="0" borderId="76" xfId="2" applyNumberFormat="1" applyFont="1" applyFill="1" applyBorder="1" applyAlignment="1" applyProtection="1">
      <alignment horizontal="right"/>
    </xf>
    <xf numFmtId="196" fontId="2" fillId="0" borderId="61" xfId="2" applyNumberFormat="1" applyFont="1" applyFill="1" applyBorder="1" applyAlignment="1" applyProtection="1">
      <alignment horizontal="right"/>
    </xf>
    <xf numFmtId="0" fontId="2" fillId="0" borderId="60" xfId="298" applyNumberFormat="1" applyFont="1" applyFill="1" applyBorder="1" applyAlignment="1" applyProtection="1">
      <alignment horizontal="right"/>
    </xf>
    <xf numFmtId="0" fontId="2" fillId="0" borderId="29" xfId="1" applyFont="1" applyBorder="1" applyProtection="1"/>
    <xf numFmtId="0" fontId="2" fillId="0" borderId="28" xfId="1" applyFont="1" applyBorder="1" applyAlignment="1" applyProtection="1">
      <alignment horizontal="left"/>
    </xf>
    <xf numFmtId="0" fontId="2" fillId="0" borderId="60" xfId="1" applyBorder="1" applyAlignment="1" applyProtection="1">
      <alignment horizontal="center"/>
    </xf>
    <xf numFmtId="0" fontId="33" fillId="0" borderId="0" xfId="298" applyNumberFormat="1" applyFont="1" applyFill="1" applyBorder="1" applyAlignment="1" applyProtection="1">
      <alignment horizontal="right"/>
    </xf>
    <xf numFmtId="0" fontId="2" fillId="0" borderId="40" xfId="1" applyFont="1" applyFill="1" applyBorder="1" applyProtection="1"/>
    <xf numFmtId="0" fontId="2" fillId="0" borderId="29" xfId="1" applyFont="1" applyFill="1" applyBorder="1" applyProtection="1"/>
    <xf numFmtId="0" fontId="2" fillId="0" borderId="28" xfId="1" applyFont="1" applyFill="1" applyBorder="1" applyAlignment="1" applyProtection="1">
      <alignment horizontal="left"/>
    </xf>
    <xf numFmtId="196" fontId="2" fillId="0" borderId="69" xfId="2" applyNumberFormat="1" applyFont="1" applyFill="1" applyBorder="1" applyAlignment="1" applyProtection="1">
      <alignment horizontal="right"/>
    </xf>
    <xf numFmtId="0" fontId="2" fillId="0" borderId="4" xfId="1" applyFont="1" applyFill="1" applyBorder="1" applyProtection="1"/>
    <xf numFmtId="0" fontId="2" fillId="0" borderId="0" xfId="1" applyFont="1" applyFill="1" applyBorder="1" applyAlignment="1" applyProtection="1">
      <alignment horizontal="center"/>
    </xf>
    <xf numFmtId="196" fontId="2" fillId="0" borderId="57" xfId="2" applyNumberFormat="1" applyFont="1" applyFill="1" applyBorder="1" applyAlignment="1" applyProtection="1">
      <alignment horizontal="right"/>
    </xf>
    <xf numFmtId="0" fontId="2" fillId="0" borderId="33" xfId="1" applyFont="1" applyFill="1" applyBorder="1" applyProtection="1"/>
    <xf numFmtId="0" fontId="2" fillId="0" borderId="36" xfId="1" applyFont="1" applyFill="1" applyBorder="1" applyProtection="1"/>
    <xf numFmtId="0" fontId="2" fillId="0" borderId="34" xfId="1" applyFont="1" applyFill="1" applyBorder="1" applyAlignment="1" applyProtection="1">
      <alignment horizontal="center"/>
    </xf>
    <xf numFmtId="0" fontId="2" fillId="0" borderId="41" xfId="1" applyFont="1" applyFill="1" applyBorder="1" applyProtection="1"/>
    <xf numFmtId="0" fontId="2" fillId="0" borderId="74" xfId="1" applyFont="1" applyFill="1" applyBorder="1" applyProtection="1"/>
    <xf numFmtId="0" fontId="2" fillId="0" borderId="43" xfId="1" applyFont="1" applyFill="1" applyBorder="1" applyAlignment="1" applyProtection="1">
      <alignment horizontal="center"/>
    </xf>
    <xf numFmtId="196" fontId="2" fillId="0" borderId="56" xfId="2" applyNumberFormat="1" applyFont="1" applyFill="1" applyBorder="1" applyAlignment="1" applyProtection="1">
      <alignment horizontal="right"/>
    </xf>
    <xf numFmtId="196" fontId="2" fillId="0" borderId="82" xfId="2" applyNumberFormat="1" applyFont="1" applyFill="1" applyBorder="1" applyAlignment="1" applyProtection="1">
      <alignment horizontal="right"/>
    </xf>
    <xf numFmtId="0" fontId="2" fillId="0" borderId="46" xfId="1" applyFont="1" applyFill="1" applyBorder="1" applyProtection="1"/>
    <xf numFmtId="0" fontId="2" fillId="0" borderId="75" xfId="1" applyFont="1" applyFill="1" applyBorder="1" applyProtection="1"/>
    <xf numFmtId="0" fontId="2" fillId="0" borderId="47" xfId="1" applyFont="1" applyFill="1" applyBorder="1" applyAlignment="1" applyProtection="1">
      <alignment horizontal="center"/>
    </xf>
    <xf numFmtId="196" fontId="2" fillId="0" borderId="78" xfId="2" applyNumberFormat="1" applyFont="1" applyFill="1" applyBorder="1" applyAlignment="1" applyProtection="1">
      <alignment horizontal="right"/>
    </xf>
    <xf numFmtId="0" fontId="33" fillId="0" borderId="0" xfId="1" applyFont="1" applyBorder="1" applyProtection="1"/>
    <xf numFmtId="0" fontId="2" fillId="0" borderId="0" xfId="1" applyBorder="1" applyAlignment="1" applyProtection="1">
      <alignment horizontal="center"/>
    </xf>
    <xf numFmtId="0" fontId="2" fillId="0" borderId="26" xfId="1" applyFont="1" applyFill="1" applyBorder="1" applyProtection="1"/>
    <xf numFmtId="196" fontId="2" fillId="0" borderId="6" xfId="2" applyNumberFormat="1" applyFont="1" applyFill="1" applyBorder="1" applyAlignment="1" applyProtection="1">
      <alignment horizontal="right"/>
    </xf>
    <xf numFmtId="196" fontId="2" fillId="0" borderId="65" xfId="2" applyNumberFormat="1" applyFont="1" applyFill="1" applyBorder="1" applyAlignment="1" applyProtection="1">
      <alignment horizontal="right"/>
    </xf>
    <xf numFmtId="0" fontId="2" fillId="0" borderId="41" xfId="1" applyFill="1" applyBorder="1" applyProtection="1"/>
    <xf numFmtId="0" fontId="2" fillId="0" borderId="74" xfId="1" applyFill="1" applyBorder="1" applyProtection="1"/>
    <xf numFmtId="0" fontId="2" fillId="0" borderId="42" xfId="1" applyFont="1" applyFill="1" applyBorder="1" applyAlignment="1" applyProtection="1">
      <alignment horizontal="center"/>
    </xf>
    <xf numFmtId="0" fontId="2" fillId="0" borderId="4" xfId="1" applyBorder="1" applyProtection="1"/>
    <xf numFmtId="0" fontId="2" fillId="0" borderId="53" xfId="1" applyFont="1" applyBorder="1" applyAlignment="1" applyProtection="1">
      <alignment horizontal="center"/>
    </xf>
    <xf numFmtId="0" fontId="2" fillId="0" borderId="36" xfId="1" applyBorder="1" applyProtection="1"/>
    <xf numFmtId="0" fontId="2" fillId="0" borderId="35" xfId="1" applyFont="1" applyBorder="1" applyAlignment="1" applyProtection="1">
      <alignment horizontal="center"/>
    </xf>
    <xf numFmtId="0" fontId="2" fillId="0" borderId="58" xfId="1" applyFill="1" applyBorder="1" applyProtection="1"/>
    <xf numFmtId="0" fontId="2" fillId="0" borderId="66" xfId="1" applyBorder="1" applyProtection="1"/>
    <xf numFmtId="0" fontId="2" fillId="0" borderId="59" xfId="1" applyFont="1" applyBorder="1" applyAlignment="1" applyProtection="1">
      <alignment horizontal="center"/>
    </xf>
    <xf numFmtId="0" fontId="2" fillId="0" borderId="27" xfId="1" applyBorder="1"/>
    <xf numFmtId="0" fontId="2" fillId="0" borderId="55" xfId="1" applyBorder="1"/>
    <xf numFmtId="193" fontId="33" fillId="12" borderId="55" xfId="298" applyNumberFormat="1" applyFont="1" applyFill="1" applyBorder="1" applyAlignment="1" applyProtection="1">
      <alignment horizontal="center"/>
      <protection locked="0"/>
    </xf>
    <xf numFmtId="0" fontId="2" fillId="0" borderId="86" xfId="1" applyBorder="1" applyAlignment="1">
      <alignment horizontal="left"/>
    </xf>
    <xf numFmtId="198" fontId="2" fillId="0" borderId="86" xfId="1" applyNumberFormat="1" applyBorder="1" applyAlignment="1"/>
    <xf numFmtId="198" fontId="2" fillId="0" borderId="87" xfId="1" applyNumberFormat="1" applyBorder="1" applyAlignment="1"/>
    <xf numFmtId="198" fontId="2" fillId="0" borderId="88" xfId="1" applyNumberFormat="1" applyBorder="1" applyAlignment="1"/>
    <xf numFmtId="0" fontId="2" fillId="0" borderId="40" xfId="1" applyFont="1" applyBorder="1" applyAlignment="1">
      <alignment horizontal="left" indent="1"/>
    </xf>
    <xf numFmtId="0" fontId="2" fillId="0" borderId="53" xfId="1" applyFont="1" applyBorder="1" applyAlignment="1">
      <alignment horizontal="left" indent="1"/>
    </xf>
    <xf numFmtId="0" fontId="2" fillId="0" borderId="55" xfId="1" applyFont="1" applyBorder="1"/>
    <xf numFmtId="203" fontId="2" fillId="0" borderId="55" xfId="1" applyNumberFormat="1" applyBorder="1" applyAlignment="1"/>
    <xf numFmtId="203" fontId="2" fillId="0" borderId="70" xfId="1" applyNumberFormat="1" applyBorder="1" applyAlignment="1"/>
    <xf numFmtId="0" fontId="2" fillId="0" borderId="40" xfId="1" applyBorder="1" applyAlignment="1">
      <alignment horizontal="left" indent="1"/>
    </xf>
    <xf numFmtId="0" fontId="2" fillId="0" borderId="0" xfId="1" applyBorder="1" applyAlignment="1">
      <alignment horizontal="left" indent="1"/>
    </xf>
    <xf numFmtId="0" fontId="2" fillId="0" borderId="55" xfId="1" applyBorder="1" applyAlignment="1">
      <alignment horizontal="center" vertical="center"/>
    </xf>
    <xf numFmtId="0" fontId="2" fillId="0" borderId="40" xfId="1" applyFill="1" applyBorder="1" applyAlignment="1">
      <alignment vertical="center"/>
    </xf>
    <xf numFmtId="0" fontId="2" fillId="0" borderId="0" xfId="1" applyFill="1" applyBorder="1" applyAlignment="1">
      <alignment vertical="center"/>
    </xf>
    <xf numFmtId="0" fontId="2" fillId="0" borderId="55" xfId="1" applyBorder="1" applyAlignment="1"/>
    <xf numFmtId="0" fontId="2" fillId="0" borderId="70" xfId="1" applyBorder="1" applyAlignment="1"/>
    <xf numFmtId="0" fontId="2" fillId="0" borderId="26" xfId="1" applyBorder="1"/>
    <xf numFmtId="0" fontId="2" fillId="0" borderId="85" xfId="1" applyFill="1" applyBorder="1" applyAlignment="1">
      <alignment vertical="center"/>
    </xf>
    <xf numFmtId="0" fontId="2" fillId="0" borderId="25" xfId="1" applyFill="1" applyBorder="1" applyAlignment="1">
      <alignment vertical="center"/>
    </xf>
    <xf numFmtId="0" fontId="2" fillId="0" borderId="4" xfId="1" applyBorder="1"/>
    <xf numFmtId="196" fontId="2" fillId="0" borderId="4" xfId="1" applyNumberFormat="1" applyBorder="1"/>
    <xf numFmtId="196" fontId="2" fillId="0" borderId="55" xfId="1" applyNumberFormat="1" applyBorder="1"/>
    <xf numFmtId="0" fontId="2" fillId="0" borderId="55" xfId="1" applyBorder="1" applyAlignment="1">
      <alignment horizontal="left"/>
    </xf>
    <xf numFmtId="204" fontId="2" fillId="0" borderId="0" xfId="1" applyNumberFormat="1" applyBorder="1"/>
    <xf numFmtId="204" fontId="2" fillId="0" borderId="55" xfId="1" applyNumberFormat="1" applyBorder="1"/>
    <xf numFmtId="193" fontId="2" fillId="0" borderId="55" xfId="1" applyNumberFormat="1" applyBorder="1"/>
    <xf numFmtId="0" fontId="2" fillId="0" borderId="76" xfId="1" applyBorder="1" applyAlignment="1">
      <alignment horizontal="center"/>
    </xf>
    <xf numFmtId="0" fontId="2" fillId="0" borderId="76" xfId="1" applyBorder="1"/>
    <xf numFmtId="0" fontId="8" fillId="0" borderId="27" xfId="1" applyFont="1" applyBorder="1"/>
    <xf numFmtId="0" fontId="8" fillId="0" borderId="89" xfId="1" applyFont="1" applyBorder="1"/>
    <xf numFmtId="0" fontId="8" fillId="0" borderId="23" xfId="1" applyFont="1" applyBorder="1"/>
    <xf numFmtId="0" fontId="2" fillId="0" borderId="23" xfId="1" applyBorder="1" applyAlignment="1"/>
    <xf numFmtId="0" fontId="2" fillId="0" borderId="70" xfId="1" applyBorder="1"/>
    <xf numFmtId="196" fontId="2" fillId="0" borderId="70" xfId="1" applyNumberFormat="1" applyBorder="1"/>
    <xf numFmtId="0" fontId="2" fillId="0" borderId="55" xfId="1" applyNumberFormat="1" applyBorder="1"/>
    <xf numFmtId="0" fontId="2" fillId="0" borderId="46" xfId="1" applyBorder="1"/>
    <xf numFmtId="196" fontId="2" fillId="0" borderId="76" xfId="1" applyNumberFormat="1" applyBorder="1"/>
    <xf numFmtId="0" fontId="2" fillId="0" borderId="26" xfId="1" applyFill="1" applyBorder="1" applyAlignment="1">
      <alignment vertical="center"/>
    </xf>
    <xf numFmtId="0" fontId="2" fillId="0" borderId="27" xfId="1" applyFill="1" applyBorder="1" applyAlignment="1">
      <alignment vertical="center"/>
    </xf>
    <xf numFmtId="0" fontId="2" fillId="0" borderId="67" xfId="1" applyBorder="1" applyAlignment="1">
      <alignment horizontal="center"/>
    </xf>
    <xf numFmtId="0" fontId="2" fillId="0" borderId="55" xfId="1" applyBorder="1" applyAlignment="1">
      <alignment horizontal="right" vertical="center"/>
    </xf>
    <xf numFmtId="0" fontId="2" fillId="0" borderId="41" xfId="1" applyFill="1" applyBorder="1" applyAlignment="1">
      <alignment vertical="center"/>
    </xf>
    <xf numFmtId="0" fontId="2" fillId="0" borderId="43" xfId="1" applyFill="1" applyBorder="1" applyAlignment="1">
      <alignment vertical="center"/>
    </xf>
    <xf numFmtId="0" fontId="2" fillId="0" borderId="54" xfId="1" applyBorder="1" applyAlignment="1">
      <alignment horizontal="center"/>
    </xf>
    <xf numFmtId="0" fontId="2" fillId="0" borderId="54" xfId="1" applyBorder="1"/>
    <xf numFmtId="0" fontId="2" fillId="0" borderId="43" xfId="1" applyBorder="1"/>
    <xf numFmtId="0" fontId="2" fillId="0" borderId="55" xfId="1" applyBorder="1" applyAlignment="1">
      <alignment horizontal="right"/>
    </xf>
    <xf numFmtId="0" fontId="2" fillId="0" borderId="55" xfId="1" applyBorder="1" applyAlignment="1">
      <alignment horizontal="center" shrinkToFit="1"/>
    </xf>
    <xf numFmtId="0" fontId="2" fillId="0" borderId="55" xfId="1" quotePrefix="1" applyBorder="1" applyAlignment="1">
      <alignment horizontal="center"/>
    </xf>
    <xf numFmtId="196" fontId="2" fillId="0" borderId="54" xfId="1" applyNumberFormat="1" applyBorder="1"/>
    <xf numFmtId="0" fontId="2" fillId="0" borderId="46" xfId="1" applyFill="1" applyBorder="1" applyAlignment="1">
      <alignment vertical="center"/>
    </xf>
    <xf numFmtId="0" fontId="2" fillId="0" borderId="75" xfId="1" applyBorder="1"/>
    <xf numFmtId="0" fontId="2" fillId="0" borderId="77" xfId="1" applyBorder="1"/>
    <xf numFmtId="193" fontId="2" fillId="0" borderId="67" xfId="1" applyNumberFormat="1" applyBorder="1"/>
    <xf numFmtId="0" fontId="2" fillId="0" borderId="41" xfId="1" applyBorder="1"/>
    <xf numFmtId="0" fontId="2" fillId="0" borderId="40" xfId="1" applyFont="1" applyBorder="1" applyAlignment="1">
      <alignment vertical="center"/>
    </xf>
    <xf numFmtId="0" fontId="33" fillId="0" borderId="40" xfId="1" applyFont="1" applyBorder="1" applyAlignment="1">
      <alignment horizontal="left" vertical="center"/>
    </xf>
    <xf numFmtId="0" fontId="33" fillId="0" borderId="40" xfId="1" applyFont="1" applyBorder="1" applyAlignment="1">
      <alignment vertical="center"/>
    </xf>
    <xf numFmtId="0" fontId="33" fillId="0" borderId="40" xfId="1" applyFont="1" applyBorder="1" applyAlignment="1" applyProtection="1">
      <alignment horizontal="left" vertical="center"/>
    </xf>
    <xf numFmtId="0" fontId="33" fillId="10" borderId="55" xfId="1" applyFont="1" applyFill="1" applyBorder="1" applyAlignment="1" applyProtection="1">
      <alignment horizontal="right" vertical="center"/>
      <protection locked="0"/>
    </xf>
    <xf numFmtId="0" fontId="2" fillId="0" borderId="40" xfId="1" applyFont="1" applyBorder="1" applyAlignment="1">
      <alignment horizontal="left" vertical="center"/>
    </xf>
    <xf numFmtId="195" fontId="2" fillId="10" borderId="55" xfId="1" applyNumberFormat="1" applyFont="1" applyFill="1" applyBorder="1" applyAlignment="1" applyProtection="1">
      <alignment vertical="center"/>
      <protection locked="0"/>
    </xf>
    <xf numFmtId="0" fontId="2" fillId="0" borderId="40" xfId="1" applyBorder="1" applyAlignment="1">
      <alignment horizontal="left" vertical="center"/>
    </xf>
    <xf numFmtId="195" fontId="2" fillId="0" borderId="55" xfId="1" applyNumberFormat="1" applyFont="1" applyFill="1" applyBorder="1" applyAlignment="1" applyProtection="1">
      <alignment vertical="center"/>
    </xf>
    <xf numFmtId="0" fontId="31" fillId="0" borderId="50" xfId="1" applyFont="1" applyBorder="1" applyAlignment="1">
      <alignment vertical="center"/>
    </xf>
    <xf numFmtId="0" fontId="2" fillId="0" borderId="51" xfId="1" applyFont="1" applyBorder="1" applyAlignment="1">
      <alignment vertical="center"/>
    </xf>
    <xf numFmtId="0" fontId="2" fillId="0" borderId="52" xfId="1" applyFont="1" applyBorder="1" applyAlignment="1" applyProtection="1">
      <alignment vertical="center"/>
      <protection hidden="1"/>
    </xf>
    <xf numFmtId="0" fontId="2" fillId="0" borderId="31" xfId="1" applyFont="1" applyBorder="1" applyAlignment="1">
      <alignment vertical="center"/>
    </xf>
    <xf numFmtId="193" fontId="2" fillId="0" borderId="55" xfId="1" applyNumberFormat="1" applyFont="1" applyFill="1" applyBorder="1" applyAlignment="1" applyProtection="1">
      <alignment vertical="center"/>
      <protection locked="0"/>
    </xf>
    <xf numFmtId="2" fontId="2" fillId="0" borderId="55" xfId="1" applyNumberFormat="1" applyFont="1" applyBorder="1" applyAlignment="1" applyProtection="1">
      <alignment vertical="center"/>
      <protection hidden="1"/>
    </xf>
    <xf numFmtId="2" fontId="2" fillId="0" borderId="55" xfId="1" quotePrefix="1" applyNumberFormat="1" applyFont="1" applyBorder="1" applyAlignment="1" applyProtection="1">
      <alignment vertical="center"/>
      <protection hidden="1"/>
    </xf>
    <xf numFmtId="0" fontId="2" fillId="0" borderId="50" xfId="1" applyFont="1" applyBorder="1" applyAlignment="1">
      <alignment horizontal="left" indent="1"/>
    </xf>
    <xf numFmtId="0" fontId="2" fillId="0" borderId="0" xfId="1" applyNumberFormat="1" applyBorder="1"/>
    <xf numFmtId="196" fontId="59" fillId="0" borderId="0" xfId="298" applyNumberFormat="1" applyFont="1" applyFill="1" applyBorder="1" applyAlignment="1" applyProtection="1">
      <alignment horizontal="right"/>
    </xf>
    <xf numFmtId="196" fontId="59" fillId="0" borderId="80" xfId="298" applyNumberFormat="1" applyFont="1" applyFill="1" applyBorder="1" applyAlignment="1" applyProtection="1">
      <alignment horizontal="right"/>
    </xf>
    <xf numFmtId="196" fontId="59" fillId="0" borderId="82" xfId="298" applyNumberFormat="1" applyFont="1" applyFill="1" applyBorder="1" applyAlignment="1" applyProtection="1">
      <alignment horizontal="right"/>
    </xf>
    <xf numFmtId="196" fontId="60" fillId="0" borderId="43" xfId="298" applyNumberFormat="1" applyFont="1" applyFill="1" applyBorder="1" applyAlignment="1" applyProtection="1">
      <alignment horizontal="right"/>
    </xf>
    <xf numFmtId="196" fontId="60" fillId="0" borderId="54" xfId="298" applyNumberFormat="1" applyFont="1" applyFill="1" applyBorder="1" applyAlignment="1" applyProtection="1">
      <alignment horizontal="right"/>
    </xf>
    <xf numFmtId="196" fontId="60" fillId="0" borderId="56" xfId="298" applyNumberFormat="1" applyFont="1" applyFill="1" applyBorder="1" applyAlignment="1" applyProtection="1">
      <alignment horizontal="right"/>
    </xf>
    <xf numFmtId="196" fontId="60" fillId="0" borderId="0" xfId="298" applyNumberFormat="1" applyFont="1" applyFill="1" applyBorder="1" applyAlignment="1" applyProtection="1">
      <alignment horizontal="right"/>
    </xf>
    <xf numFmtId="196" fontId="60" fillId="0" borderId="55" xfId="298" applyNumberFormat="1" applyFont="1" applyFill="1" applyBorder="1" applyAlignment="1" applyProtection="1">
      <alignment horizontal="right"/>
    </xf>
    <xf numFmtId="196" fontId="60" fillId="0" borderId="57" xfId="298" applyNumberFormat="1" applyFont="1" applyFill="1" applyBorder="1" applyAlignment="1" applyProtection="1">
      <alignment horizontal="right"/>
    </xf>
    <xf numFmtId="196" fontId="60" fillId="0" borderId="66" xfId="298" applyNumberFormat="1" applyFont="1" applyFill="1" applyBorder="1" applyAlignment="1" applyProtection="1">
      <alignment horizontal="right"/>
    </xf>
    <xf numFmtId="196" fontId="60" fillId="0" borderId="48" xfId="298" applyNumberFormat="1" applyFont="1" applyFill="1" applyBorder="1" applyAlignment="1" applyProtection="1">
      <alignment horizontal="right"/>
    </xf>
    <xf numFmtId="196" fontId="60" fillId="0" borderId="49" xfId="298" applyNumberFormat="1" applyFont="1" applyFill="1" applyBorder="1" applyAlignment="1" applyProtection="1">
      <alignment horizontal="right"/>
    </xf>
    <xf numFmtId="196" fontId="2" fillId="0" borderId="0" xfId="1" applyNumberFormat="1" applyFill="1" applyBorder="1"/>
    <xf numFmtId="0" fontId="47" fillId="0" borderId="0" xfId="1" applyNumberFormat="1" applyFont="1" applyFill="1" applyBorder="1" applyAlignment="1">
      <alignment horizontal="left"/>
    </xf>
    <xf numFmtId="205" fontId="33" fillId="0" borderId="0" xfId="1" applyNumberFormat="1" applyFont="1" applyFill="1" applyBorder="1" applyAlignment="1">
      <alignment horizontal="left"/>
    </xf>
    <xf numFmtId="204" fontId="2" fillId="0" borderId="4" xfId="1" applyNumberFormat="1" applyBorder="1"/>
    <xf numFmtId="204" fontId="2" fillId="0" borderId="70" xfId="1" applyNumberFormat="1" applyBorder="1"/>
    <xf numFmtId="0" fontId="2" fillId="0" borderId="90" xfId="1" applyNumberFormat="1" applyBorder="1" applyProtection="1">
      <protection locked="0"/>
    </xf>
    <xf numFmtId="0" fontId="2" fillId="0" borderId="91" xfId="1" applyNumberFormat="1" applyBorder="1" applyProtection="1">
      <protection locked="0"/>
    </xf>
    <xf numFmtId="0" fontId="33" fillId="9" borderId="55" xfId="299" applyFont="1" applyFill="1" applyBorder="1" applyProtection="1">
      <protection locked="0"/>
    </xf>
    <xf numFmtId="193" fontId="33" fillId="9" borderId="55" xfId="299" applyNumberFormat="1" applyFont="1" applyFill="1" applyBorder="1" applyProtection="1">
      <protection locked="0"/>
    </xf>
    <xf numFmtId="191" fontId="33" fillId="9" borderId="55" xfId="299" applyNumberFormat="1" applyFont="1" applyFill="1" applyBorder="1" applyProtection="1">
      <protection locked="0"/>
    </xf>
    <xf numFmtId="196" fontId="2" fillId="0" borderId="55" xfId="1" applyNumberFormat="1" applyBorder="1" applyAlignment="1">
      <alignment vertical="center"/>
    </xf>
    <xf numFmtId="0" fontId="2" fillId="0" borderId="40" xfId="1" applyBorder="1" applyAlignment="1">
      <alignment vertical="center"/>
    </xf>
    <xf numFmtId="0" fontId="2" fillId="0" borderId="0" xfId="1" applyBorder="1" applyAlignment="1">
      <alignment vertical="center"/>
    </xf>
    <xf numFmtId="0" fontId="2" fillId="0" borderId="55" xfId="1" applyBorder="1" applyAlignment="1">
      <alignment vertical="center"/>
    </xf>
    <xf numFmtId="193" fontId="2" fillId="0" borderId="0" xfId="1" applyNumberFormat="1" applyAlignment="1">
      <alignment vertical="center"/>
    </xf>
    <xf numFmtId="193" fontId="2" fillId="0" borderId="55" xfId="1" applyNumberFormat="1" applyBorder="1" applyAlignment="1">
      <alignment vertical="center"/>
    </xf>
    <xf numFmtId="193" fontId="2" fillId="0" borderId="4" xfId="1" applyNumberFormat="1" applyBorder="1" applyAlignment="1">
      <alignment vertical="center"/>
    </xf>
    <xf numFmtId="193" fontId="2" fillId="0" borderId="70" xfId="1" applyNumberFormat="1" applyBorder="1" applyAlignment="1">
      <alignment vertical="center"/>
    </xf>
    <xf numFmtId="0" fontId="2" fillId="0" borderId="0" xfId="1" applyAlignment="1">
      <alignment vertical="center"/>
    </xf>
    <xf numFmtId="49" fontId="2" fillId="0" borderId="0" xfId="1" applyNumberFormat="1"/>
    <xf numFmtId="0" fontId="2" fillId="0" borderId="40" xfId="1" applyFont="1" applyBorder="1" applyAlignment="1"/>
    <xf numFmtId="193" fontId="2" fillId="0" borderId="0" xfId="1" applyNumberFormat="1" applyBorder="1"/>
    <xf numFmtId="207" fontId="2" fillId="0" borderId="55" xfId="1" applyNumberFormat="1" applyBorder="1" applyAlignment="1"/>
    <xf numFmtId="206" fontId="2" fillId="0" borderId="55" xfId="1" applyNumberFormat="1" applyFont="1" applyBorder="1" applyAlignment="1"/>
    <xf numFmtId="191" fontId="2" fillId="0" borderId="27" xfId="1" applyNumberFormat="1" applyBorder="1"/>
    <xf numFmtId="0" fontId="2" fillId="0" borderId="93" xfId="1" applyBorder="1"/>
    <xf numFmtId="0" fontId="2" fillId="0" borderId="94" xfId="1" applyBorder="1"/>
    <xf numFmtId="0" fontId="0" fillId="0" borderId="0" xfId="0" applyBorder="1" applyAlignment="1" applyProtection="1">
      <protection locked="0"/>
    </xf>
    <xf numFmtId="0" fontId="0" fillId="0" borderId="0" xfId="0" applyBorder="1" applyAlignment="1"/>
    <xf numFmtId="0" fontId="2" fillId="0" borderId="53" xfId="1" applyBorder="1"/>
    <xf numFmtId="0" fontId="0" fillId="0" borderId="0" xfId="0" applyNumberFormat="1" applyBorder="1" applyAlignment="1"/>
    <xf numFmtId="0" fontId="0" fillId="0" borderId="0" xfId="0" quotePrefix="1" applyBorder="1" applyAlignment="1" applyProtection="1">
      <protection locked="0"/>
    </xf>
    <xf numFmtId="0" fontId="2" fillId="0" borderId="95" xfId="1" applyBorder="1"/>
    <xf numFmtId="0" fontId="62" fillId="0" borderId="0" xfId="0" applyFont="1" applyBorder="1" applyAlignment="1" applyProtection="1">
      <protection locked="0"/>
    </xf>
    <xf numFmtId="0" fontId="42" fillId="0" borderId="0" xfId="0" applyFont="1" applyBorder="1" applyAlignment="1"/>
    <xf numFmtId="0" fontId="34" fillId="0" borderId="0" xfId="1" applyFont="1" applyBorder="1"/>
    <xf numFmtId="190" fontId="2" fillId="0" borderId="0" xfId="1" applyNumberFormat="1" applyBorder="1"/>
    <xf numFmtId="200" fontId="2" fillId="0" borderId="0" xfId="1" applyNumberFormat="1" applyBorder="1"/>
    <xf numFmtId="0" fontId="2" fillId="0" borderId="34" xfId="1" applyBorder="1"/>
    <xf numFmtId="0" fontId="2" fillId="0" borderId="35" xfId="1" applyBorder="1"/>
    <xf numFmtId="0" fontId="2" fillId="0" borderId="92" xfId="1" applyBorder="1"/>
    <xf numFmtId="2" fontId="2" fillId="0" borderId="0" xfId="1" applyNumberFormat="1" applyBorder="1"/>
    <xf numFmtId="0" fontId="2" fillId="0" borderId="36" xfId="1" applyBorder="1"/>
    <xf numFmtId="0" fontId="33" fillId="13" borderId="26" xfId="1" applyFont="1" applyFill="1" applyBorder="1"/>
    <xf numFmtId="0" fontId="33" fillId="13" borderId="41" xfId="1" applyFont="1" applyFill="1" applyBorder="1"/>
    <xf numFmtId="0" fontId="33" fillId="13" borderId="40" xfId="1" applyFont="1" applyFill="1" applyBorder="1"/>
    <xf numFmtId="0" fontId="33" fillId="13" borderId="33" xfId="1" applyFont="1" applyFill="1" applyBorder="1"/>
    <xf numFmtId="0" fontId="33" fillId="13" borderId="41" xfId="1" applyFont="1" applyFill="1" applyBorder="1" applyProtection="1">
      <protection locked="0"/>
    </xf>
    <xf numFmtId="208" fontId="2" fillId="0" borderId="76" xfId="1" applyNumberFormat="1" applyBorder="1" applyAlignment="1"/>
    <xf numFmtId="193" fontId="2" fillId="0" borderId="0" xfId="1" applyNumberFormat="1" applyProtection="1">
      <protection locked="0"/>
    </xf>
    <xf numFmtId="0" fontId="2" fillId="0" borderId="0" xfId="1" applyNumberFormat="1" applyBorder="1" applyProtection="1">
      <protection locked="0"/>
    </xf>
    <xf numFmtId="202" fontId="2" fillId="0" borderId="0" xfId="1" applyNumberFormat="1" applyFont="1" applyBorder="1" applyProtection="1"/>
    <xf numFmtId="0" fontId="2" fillId="0" borderId="0" xfId="1" applyBorder="1" applyAlignment="1" applyProtection="1">
      <alignment horizontal="left"/>
      <protection locked="0"/>
    </xf>
    <xf numFmtId="195" fontId="2" fillId="0" borderId="0" xfId="1" applyNumberFormat="1" applyBorder="1"/>
    <xf numFmtId="0" fontId="2" fillId="0" borderId="33" xfId="1" applyFont="1" applyBorder="1" applyAlignment="1">
      <alignment horizontal="left" indent="1"/>
    </xf>
    <xf numFmtId="0" fontId="2" fillId="0" borderId="30" xfId="1" applyFont="1" applyBorder="1" applyAlignment="1">
      <alignment horizontal="left" vertical="center" indent="1"/>
    </xf>
    <xf numFmtId="0" fontId="2" fillId="0" borderId="51" xfId="1" applyBorder="1" applyAlignment="1">
      <alignment vertical="center"/>
    </xf>
    <xf numFmtId="0" fontId="2" fillId="0" borderId="59" xfId="1" applyFont="1" applyBorder="1"/>
    <xf numFmtId="0" fontId="33" fillId="12" borderId="92" xfId="298" applyNumberFormat="1" applyFont="1" applyFill="1" applyBorder="1" applyAlignment="1" applyProtection="1">
      <alignment horizontal="center"/>
      <protection locked="0"/>
    </xf>
    <xf numFmtId="0" fontId="33" fillId="12" borderId="64" xfId="298" applyNumberFormat="1" applyFont="1" applyFill="1" applyBorder="1" applyAlignment="1" applyProtection="1">
      <alignment horizontal="center"/>
      <protection locked="0"/>
    </xf>
    <xf numFmtId="207" fontId="2" fillId="0" borderId="95" xfId="1" applyNumberFormat="1" applyBorder="1" applyAlignment="1"/>
    <xf numFmtId="207" fontId="2" fillId="0" borderId="70" xfId="1" applyNumberFormat="1" applyBorder="1" applyAlignment="1"/>
    <xf numFmtId="209" fontId="2" fillId="0" borderId="55" xfId="1" applyNumberFormat="1" applyBorder="1" applyAlignment="1"/>
    <xf numFmtId="0" fontId="2" fillId="0" borderId="93" xfId="1" applyFont="1" applyBorder="1" applyAlignment="1">
      <alignment horizontal="left" indent="1"/>
    </xf>
    <xf numFmtId="0" fontId="2" fillId="0" borderId="94" xfId="1" applyFont="1" applyBorder="1"/>
    <xf numFmtId="0" fontId="2" fillId="0" borderId="34" xfId="1" applyFont="1" applyBorder="1" applyAlignment="1">
      <alignment horizontal="left" indent="1"/>
    </xf>
    <xf numFmtId="0" fontId="2" fillId="0" borderId="35" xfId="1" applyFont="1" applyBorder="1"/>
    <xf numFmtId="0" fontId="33" fillId="12" borderId="70" xfId="298" applyNumberFormat="1" applyFont="1" applyFill="1" applyBorder="1" applyAlignment="1" applyProtection="1">
      <alignment horizontal="center"/>
      <protection locked="0"/>
    </xf>
    <xf numFmtId="0" fontId="33" fillId="12" borderId="95" xfId="298" applyNumberFormat="1" applyFont="1" applyFill="1" applyBorder="1" applyAlignment="1" applyProtection="1">
      <alignment horizontal="center"/>
      <protection locked="0"/>
    </xf>
    <xf numFmtId="0" fontId="2" fillId="0" borderId="22" xfId="1" applyBorder="1"/>
    <xf numFmtId="0" fontId="2" fillId="0" borderId="98" xfId="1" applyFont="1" applyBorder="1" applyAlignment="1">
      <alignment horizontal="left" indent="1"/>
    </xf>
    <xf numFmtId="0" fontId="2" fillId="0" borderId="97" xfId="1" applyFont="1" applyBorder="1" applyAlignment="1">
      <alignment horizontal="left" indent="1"/>
    </xf>
    <xf numFmtId="0" fontId="2" fillId="0" borderId="0" xfId="1" applyFont="1" applyBorder="1" applyAlignment="1">
      <alignment horizontal="left" indent="1"/>
    </xf>
    <xf numFmtId="0" fontId="2" fillId="0" borderId="53" xfId="1" applyFont="1" applyBorder="1"/>
    <xf numFmtId="0" fontId="2" fillId="0" borderId="41" xfId="1" applyFont="1" applyBorder="1" applyAlignment="1">
      <alignment horizontal="left" indent="1"/>
    </xf>
    <xf numFmtId="190" fontId="35" fillId="0" borderId="54" xfId="2" applyNumberFormat="1" applyFont="1" applyBorder="1" applyAlignment="1">
      <alignment horizontal="center"/>
    </xf>
    <xf numFmtId="190" fontId="35" fillId="0" borderId="92" xfId="2" applyNumberFormat="1" applyFont="1" applyBorder="1" applyAlignment="1">
      <alignment horizontal="center"/>
    </xf>
    <xf numFmtId="190" fontId="35" fillId="0" borderId="64" xfId="2" applyNumberFormat="1" applyFont="1" applyBorder="1" applyAlignment="1">
      <alignment horizontal="center"/>
    </xf>
    <xf numFmtId="0" fontId="2" fillId="0" borderId="33" xfId="1" applyFont="1" applyFill="1" applyBorder="1" applyAlignment="1">
      <alignment vertical="center"/>
    </xf>
    <xf numFmtId="0" fontId="33" fillId="0" borderId="34" xfId="1" applyFont="1" applyFill="1" applyBorder="1" applyAlignment="1">
      <alignment vertical="center"/>
    </xf>
    <xf numFmtId="0" fontId="2" fillId="0" borderId="40" xfId="1" quotePrefix="1" applyFont="1" applyBorder="1" applyAlignment="1">
      <alignment horizontal="left" indent="1"/>
    </xf>
    <xf numFmtId="0" fontId="2" fillId="0" borderId="99" xfId="1" applyFont="1" applyBorder="1" applyAlignment="1">
      <alignment horizontal="left" indent="1"/>
    </xf>
    <xf numFmtId="200" fontId="52" fillId="0" borderId="80" xfId="2" applyNumberFormat="1" applyFont="1" applyBorder="1" applyAlignment="1" applyProtection="1">
      <alignment horizontal="center"/>
    </xf>
    <xf numFmtId="200" fontId="52" fillId="0" borderId="36" xfId="2" applyNumberFormat="1" applyFont="1" applyBorder="1" applyAlignment="1" applyProtection="1">
      <alignment horizontal="center"/>
    </xf>
    <xf numFmtId="200" fontId="52" fillId="0" borderId="81" xfId="2" applyNumberFormat="1" applyFont="1" applyBorder="1" applyAlignment="1" applyProtection="1">
      <alignment horizontal="center"/>
    </xf>
    <xf numFmtId="4" fontId="52" fillId="0" borderId="55" xfId="297" applyNumberFormat="1" applyFont="1" applyBorder="1" applyAlignment="1" applyProtection="1">
      <alignment horizontal="center"/>
    </xf>
    <xf numFmtId="4" fontId="52" fillId="0" borderId="95" xfId="297" applyNumberFormat="1" applyFont="1" applyBorder="1" applyAlignment="1" applyProtection="1">
      <alignment horizontal="center"/>
    </xf>
    <xf numFmtId="201" fontId="52" fillId="0" borderId="54" xfId="297" applyNumberFormat="1" applyFont="1" applyBorder="1" applyAlignment="1" applyProtection="1">
      <alignment horizontal="center"/>
    </xf>
    <xf numFmtId="201" fontId="52" fillId="0" borderId="92" xfId="297" applyNumberFormat="1" applyFont="1" applyBorder="1" applyAlignment="1" applyProtection="1">
      <alignment horizontal="center"/>
    </xf>
    <xf numFmtId="201" fontId="52" fillId="0" borderId="64" xfId="297" applyNumberFormat="1" applyFont="1" applyBorder="1" applyAlignment="1" applyProtection="1">
      <alignment horizontal="center"/>
    </xf>
    <xf numFmtId="0" fontId="33" fillId="0" borderId="100" xfId="1" applyFont="1" applyBorder="1" applyAlignment="1">
      <alignment horizontal="left" indent="1"/>
    </xf>
    <xf numFmtId="0" fontId="33" fillId="0" borderId="60" xfId="1" applyFont="1" applyBorder="1" applyAlignment="1">
      <alignment horizontal="left" indent="1"/>
    </xf>
    <xf numFmtId="0" fontId="33" fillId="9" borderId="76" xfId="1" applyFont="1" applyFill="1" applyBorder="1" applyAlignment="1" applyProtection="1">
      <alignment horizontal="center"/>
      <protection locked="0"/>
    </xf>
    <xf numFmtId="0" fontId="33" fillId="9" borderId="75" xfId="1" applyFont="1" applyFill="1" applyBorder="1" applyAlignment="1" applyProtection="1">
      <alignment horizontal="center"/>
      <protection locked="0"/>
    </xf>
    <xf numFmtId="0" fontId="33" fillId="9" borderId="77" xfId="1" applyFont="1" applyFill="1" applyBorder="1" applyAlignment="1" applyProtection="1">
      <alignment horizontal="center"/>
      <protection locked="0"/>
    </xf>
    <xf numFmtId="191" fontId="33" fillId="9" borderId="76" xfId="1" applyNumberFormat="1" applyFont="1" applyFill="1" applyBorder="1" applyAlignment="1" applyProtection="1">
      <alignment horizontal="center"/>
      <protection locked="0"/>
    </xf>
    <xf numFmtId="0" fontId="33" fillId="13" borderId="76" xfId="1" applyFont="1" applyFill="1" applyBorder="1" applyAlignment="1" applyProtection="1">
      <alignment horizontal="center"/>
      <protection locked="0"/>
    </xf>
    <xf numFmtId="0" fontId="33" fillId="0" borderId="98" xfId="1" applyFont="1" applyBorder="1" applyAlignment="1">
      <alignment horizontal="left" indent="1"/>
    </xf>
    <xf numFmtId="0" fontId="33" fillId="0" borderId="93" xfId="1" applyFont="1" applyBorder="1" applyAlignment="1">
      <alignment horizontal="left" indent="1"/>
    </xf>
    <xf numFmtId="195" fontId="2" fillId="9" borderId="54" xfId="1" applyNumberFormat="1" applyFont="1" applyFill="1" applyBorder="1" applyAlignment="1" applyProtection="1">
      <alignment horizontal="center"/>
      <protection locked="0"/>
    </xf>
    <xf numFmtId="2" fontId="33" fillId="9" borderId="54" xfId="1" applyNumberFormat="1" applyFont="1" applyFill="1" applyBorder="1" applyAlignment="1" applyProtection="1">
      <alignment horizontal="center"/>
      <protection locked="0"/>
    </xf>
    <xf numFmtId="2" fontId="33" fillId="9" borderId="92" xfId="1" applyNumberFormat="1" applyFont="1" applyFill="1" applyBorder="1" applyAlignment="1" applyProtection="1">
      <alignment horizontal="center"/>
      <protection locked="0"/>
    </xf>
    <xf numFmtId="2" fontId="33" fillId="9" borderId="64" xfId="1" applyNumberFormat="1" applyFont="1" applyFill="1" applyBorder="1" applyAlignment="1" applyProtection="1">
      <alignment horizontal="center"/>
      <protection locked="0"/>
    </xf>
    <xf numFmtId="2" fontId="33" fillId="3" borderId="54" xfId="1" applyNumberFormat="1" applyFont="1" applyFill="1" applyBorder="1" applyAlignment="1" applyProtection="1">
      <alignment horizontal="center"/>
      <protection locked="0"/>
    </xf>
    <xf numFmtId="206" fontId="2" fillId="0" borderId="95" xfId="1" applyNumberFormat="1" applyFont="1" applyBorder="1" applyAlignment="1"/>
    <xf numFmtId="0" fontId="2" fillId="0" borderId="95" xfId="1" applyBorder="1" applyAlignment="1"/>
    <xf numFmtId="206" fontId="2" fillId="0" borderId="70" xfId="1" applyNumberFormat="1" applyFont="1" applyBorder="1" applyAlignment="1"/>
    <xf numFmtId="208" fontId="2" fillId="0" borderId="75" xfId="1" applyNumberFormat="1" applyBorder="1" applyAlignment="1"/>
    <xf numFmtId="208" fontId="2" fillId="0" borderId="77" xfId="1" applyNumberFormat="1" applyBorder="1" applyAlignment="1"/>
    <xf numFmtId="0" fontId="2" fillId="0" borderId="85" xfId="1" applyFill="1" applyBorder="1" applyAlignment="1"/>
    <xf numFmtId="0" fontId="2" fillId="0" borderId="40" xfId="1" applyBorder="1" applyAlignment="1"/>
    <xf numFmtId="0" fontId="2" fillId="0" borderId="46" xfId="1" applyFill="1" applyBorder="1" applyAlignment="1"/>
    <xf numFmtId="0" fontId="8" fillId="0" borderId="27" xfId="1" applyFont="1" applyBorder="1" applyAlignment="1"/>
    <xf numFmtId="0" fontId="2" fillId="0" borderId="55" xfId="1" applyBorder="1" applyAlignment="1">
      <alignment horizontal="left" vertical="center"/>
    </xf>
    <xf numFmtId="196" fontId="33" fillId="12" borderId="80" xfId="298" applyNumberFormat="1" applyFont="1" applyFill="1" applyBorder="1" applyAlignment="1" applyProtection="1">
      <alignment horizontal="center"/>
      <protection locked="0"/>
    </xf>
    <xf numFmtId="0" fontId="33" fillId="0" borderId="27" xfId="1" applyFont="1" applyBorder="1"/>
    <xf numFmtId="0" fontId="2" fillId="0" borderId="0" xfId="1" applyNumberFormat="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0" xfId="1" applyNumberFormat="1" applyFont="1" applyBorder="1" applyAlignment="1" applyProtection="1">
      <alignment horizontal="center"/>
      <protection locked="0"/>
    </xf>
    <xf numFmtId="0" fontId="6" fillId="0" borderId="0" xfId="1" quotePrefix="1" applyNumberFormat="1" applyFont="1" applyBorder="1" applyAlignment="1" applyProtection="1">
      <alignment horizontal="center"/>
      <protection locked="0"/>
    </xf>
    <xf numFmtId="0" fontId="2" fillId="0" borderId="0" xfId="1" applyFont="1" applyBorder="1" applyAlignment="1">
      <alignment vertical="center"/>
    </xf>
    <xf numFmtId="0" fontId="2" fillId="0" borderId="41" xfId="1" applyFont="1" applyBorder="1" applyAlignment="1">
      <alignment vertical="center"/>
    </xf>
    <xf numFmtId="195" fontId="2" fillId="0" borderId="57" xfId="1" applyNumberFormat="1" applyFont="1" applyBorder="1" applyAlignment="1" applyProtection="1">
      <alignment horizontal="center" vertical="center"/>
      <protection hidden="1"/>
    </xf>
    <xf numFmtId="2" fontId="2" fillId="0" borderId="57" xfId="1" applyNumberFormat="1" applyFont="1" applyBorder="1" applyAlignment="1">
      <alignment horizontal="center" vertical="center"/>
    </xf>
    <xf numFmtId="0" fontId="31" fillId="0" borderId="40" xfId="1" applyFont="1" applyBorder="1" applyAlignment="1"/>
    <xf numFmtId="0" fontId="31" fillId="0" borderId="58" xfId="1" applyFont="1" applyBorder="1"/>
    <xf numFmtId="2" fontId="60" fillId="0" borderId="22" xfId="297" applyNumberFormat="1" applyFont="1" applyBorder="1" applyAlignment="1" applyProtection="1">
      <alignment horizontal="center" vertical="center"/>
      <protection hidden="1"/>
    </xf>
    <xf numFmtId="2" fontId="60" fillId="0" borderId="55" xfId="297" applyNumberFormat="1" applyFont="1" applyBorder="1" applyAlignment="1" applyProtection="1">
      <alignment horizontal="center" vertical="center"/>
      <protection hidden="1"/>
    </xf>
    <xf numFmtId="2" fontId="2" fillId="0" borderId="57" xfId="1" applyNumberFormat="1" applyFont="1" applyBorder="1" applyAlignment="1" applyProtection="1">
      <alignment horizontal="center" vertical="center"/>
      <protection hidden="1"/>
    </xf>
    <xf numFmtId="193" fontId="2" fillId="0" borderId="95" xfId="1" applyNumberFormat="1" applyBorder="1" applyAlignment="1">
      <alignment horizontal="center"/>
    </xf>
    <xf numFmtId="0" fontId="8" fillId="0" borderId="0" xfId="1" applyFont="1" applyFill="1" applyBorder="1"/>
    <xf numFmtId="0" fontId="2" fillId="0" borderId="0" xfId="1" applyFill="1" applyBorder="1" applyProtection="1">
      <protection locked="0"/>
    </xf>
    <xf numFmtId="0" fontId="2" fillId="0" borderId="0" xfId="1" quotePrefix="1" applyFill="1" applyBorder="1"/>
    <xf numFmtId="190" fontId="2" fillId="0" borderId="0" xfId="1" applyNumberFormat="1" applyFill="1" applyBorder="1" applyProtection="1">
      <protection locked="0"/>
    </xf>
    <xf numFmtId="192" fontId="2" fillId="0" borderId="0" xfId="1" applyNumberFormat="1" applyFill="1" applyBorder="1" applyProtection="1">
      <protection locked="0"/>
    </xf>
    <xf numFmtId="2" fontId="2" fillId="0" borderId="0" xfId="1" applyNumberFormat="1" applyFill="1" applyBorder="1" applyProtection="1">
      <protection locked="0"/>
    </xf>
    <xf numFmtId="193" fontId="2" fillId="0" borderId="0" xfId="1" applyNumberFormat="1" applyFill="1" applyBorder="1" applyProtection="1">
      <protection locked="0"/>
    </xf>
    <xf numFmtId="0" fontId="64" fillId="0" borderId="0" xfId="1" applyFont="1" applyFill="1" applyBorder="1" applyProtection="1">
      <protection locked="0"/>
    </xf>
    <xf numFmtId="0" fontId="8" fillId="0" borderId="0" xfId="1" applyFont="1" applyFill="1" applyBorder="1" applyProtection="1">
      <protection locked="0"/>
    </xf>
    <xf numFmtId="0" fontId="2" fillId="0" borderId="0" xfId="1" quotePrefix="1" applyFill="1" applyBorder="1" applyProtection="1">
      <protection locked="0"/>
    </xf>
    <xf numFmtId="0" fontId="36" fillId="0" borderId="0" xfId="1" applyFont="1" applyFill="1" applyBorder="1" applyAlignment="1">
      <alignment horizontal="left" indent="2"/>
    </xf>
    <xf numFmtId="0" fontId="39" fillId="0" borderId="0" xfId="1" applyFont="1" applyFill="1" applyBorder="1" applyAlignment="1">
      <alignment horizontal="right"/>
    </xf>
    <xf numFmtId="195" fontId="8" fillId="0" borderId="6" xfId="1" applyNumberFormat="1" applyFont="1" applyFill="1" applyBorder="1" applyAlignment="1" applyProtection="1">
      <alignment horizontal="center" vertical="center"/>
    </xf>
    <xf numFmtId="0" fontId="2" fillId="0" borderId="40" xfId="1" applyFont="1" applyFill="1" applyBorder="1" applyAlignment="1">
      <alignment vertical="center"/>
    </xf>
    <xf numFmtId="0" fontId="2" fillId="0" borderId="0" xfId="1" applyFont="1" applyFill="1" applyBorder="1" applyAlignment="1">
      <alignment vertical="center"/>
    </xf>
    <xf numFmtId="0" fontId="8" fillId="0" borderId="25" xfId="1" applyFont="1" applyBorder="1"/>
    <xf numFmtId="0" fontId="2" fillId="0" borderId="86" xfId="1" applyBorder="1"/>
    <xf numFmtId="0" fontId="8" fillId="0" borderId="85" xfId="1" applyFont="1" applyBorder="1"/>
    <xf numFmtId="0" fontId="2" fillId="0" borderId="47" xfId="1" applyFont="1" applyBorder="1" applyAlignment="1">
      <alignment horizontal="left" indent="1"/>
    </xf>
    <xf numFmtId="0" fontId="2" fillId="0" borderId="76" xfId="1" applyFont="1" applyBorder="1"/>
    <xf numFmtId="203" fontId="2" fillId="0" borderId="95" xfId="1" applyNumberFormat="1" applyBorder="1" applyAlignment="1"/>
    <xf numFmtId="190" fontId="8" fillId="0" borderId="56" xfId="1" applyNumberFormat="1" applyFont="1" applyBorder="1" applyAlignment="1">
      <alignment horizontal="center" vertical="center"/>
    </xf>
    <xf numFmtId="0" fontId="33" fillId="0" borderId="0" xfId="1" applyFont="1" applyBorder="1" applyAlignment="1">
      <alignment vertical="center"/>
    </xf>
    <xf numFmtId="196" fontId="2" fillId="0" borderId="95" xfId="1" applyNumberFormat="1" applyBorder="1" applyAlignment="1">
      <alignment horizontal="center"/>
    </xf>
    <xf numFmtId="2" fontId="35" fillId="3" borderId="57" xfId="297" applyNumberFormat="1" applyFont="1" applyFill="1" applyBorder="1" applyAlignment="1" applyProtection="1">
      <alignment horizontal="center" vertical="center"/>
      <protection hidden="1"/>
    </xf>
    <xf numFmtId="4" fontId="2" fillId="0" borderId="57" xfId="1" applyNumberFormat="1" applyFont="1" applyBorder="1" applyAlignment="1" applyProtection="1">
      <alignment horizontal="center" vertical="center"/>
      <protection hidden="1"/>
    </xf>
    <xf numFmtId="2" fontId="2" fillId="3" borderId="57" xfId="1" applyNumberFormat="1" applyFont="1" applyFill="1" applyBorder="1" applyAlignment="1" applyProtection="1">
      <alignment horizontal="center" vertical="center"/>
      <protection hidden="1"/>
    </xf>
    <xf numFmtId="193" fontId="8" fillId="0" borderId="95" xfId="1" applyNumberFormat="1" applyFont="1" applyBorder="1" applyAlignment="1">
      <alignment horizontal="center"/>
    </xf>
    <xf numFmtId="0" fontId="36" fillId="0" borderId="0" xfId="1" applyFont="1" applyFill="1" applyBorder="1" applyAlignment="1">
      <alignment horizontal="right"/>
    </xf>
    <xf numFmtId="0" fontId="2" fillId="0" borderId="0" xfId="1" applyFill="1"/>
    <xf numFmtId="0" fontId="40" fillId="0" borderId="0" xfId="1" applyFont="1" applyFill="1" applyBorder="1" applyAlignment="1"/>
    <xf numFmtId="195" fontId="52" fillId="0" borderId="54" xfId="297" applyNumberFormat="1" applyFont="1" applyBorder="1" applyAlignment="1" applyProtection="1">
      <alignment horizontal="center"/>
    </xf>
    <xf numFmtId="193" fontId="2" fillId="0" borderId="86" xfId="1" applyNumberFormat="1" applyBorder="1"/>
    <xf numFmtId="0" fontId="2" fillId="13" borderId="0" xfId="1" applyFill="1"/>
    <xf numFmtId="194" fontId="69" fillId="9" borderId="48" xfId="1" applyNumberFormat="1" applyFont="1" applyFill="1" applyBorder="1" applyAlignment="1" applyProtection="1">
      <alignment vertical="center"/>
      <protection locked="0"/>
    </xf>
    <xf numFmtId="194" fontId="69" fillId="9" borderId="54" xfId="1" applyNumberFormat="1" applyFont="1" applyFill="1" applyBorder="1" applyAlignment="1" applyProtection="1">
      <alignment vertical="center"/>
      <protection locked="0"/>
    </xf>
    <xf numFmtId="4" fontId="52" fillId="0" borderId="81" xfId="297" applyNumberFormat="1" applyFont="1" applyBorder="1" applyAlignment="1" applyProtection="1">
      <alignment horizontal="center"/>
    </xf>
    <xf numFmtId="0" fontId="2" fillId="17" borderId="53" xfId="1" applyFont="1" applyFill="1" applyBorder="1"/>
    <xf numFmtId="0" fontId="31" fillId="0" borderId="93" xfId="1" applyFont="1" applyBorder="1"/>
    <xf numFmtId="0" fontId="31" fillId="0" borderId="24" xfId="1" applyFont="1" applyBorder="1"/>
    <xf numFmtId="0" fontId="31" fillId="0" borderId="0" xfId="1" applyFont="1" applyBorder="1" applyAlignment="1"/>
    <xf numFmtId="0" fontId="31" fillId="0" borderId="96" xfId="1" applyFont="1" applyBorder="1"/>
    <xf numFmtId="0" fontId="31" fillId="0" borderId="30" xfId="1" applyFont="1" applyBorder="1"/>
    <xf numFmtId="0" fontId="33" fillId="0" borderId="0" xfId="1" applyFont="1" applyBorder="1" applyAlignment="1">
      <alignment horizontal="left" vertical="center"/>
    </xf>
    <xf numFmtId="0" fontId="33" fillId="0" borderId="0" xfId="1" applyFont="1" applyBorder="1" applyAlignment="1" applyProtection="1">
      <alignment horizontal="left" vertical="center"/>
    </xf>
    <xf numFmtId="0" fontId="2" fillId="0" borderId="0" xfId="1" applyFont="1" applyBorder="1" applyAlignment="1">
      <alignment horizontal="left" vertical="center"/>
    </xf>
    <xf numFmtId="0" fontId="2" fillId="0" borderId="0" xfId="1" applyBorder="1" applyAlignment="1">
      <alignment horizontal="left" vertical="center"/>
    </xf>
    <xf numFmtId="0" fontId="2" fillId="0" borderId="93" xfId="1" applyFont="1" applyBorder="1" applyAlignment="1">
      <alignment vertical="center"/>
    </xf>
    <xf numFmtId="0" fontId="31" fillId="0" borderId="30" xfId="1" applyFont="1" applyBorder="1" applyAlignment="1">
      <alignment vertical="center"/>
    </xf>
    <xf numFmtId="0" fontId="2" fillId="0" borderId="0" xfId="1" applyFont="1" applyBorder="1" applyAlignment="1"/>
    <xf numFmtId="0" fontId="53" fillId="0" borderId="40" xfId="1" applyFont="1" applyBorder="1"/>
    <xf numFmtId="0" fontId="53" fillId="0" borderId="0" xfId="1" applyFont="1" applyBorder="1"/>
    <xf numFmtId="0" fontId="2" fillId="0" borderId="94" xfId="1" applyFont="1" applyBorder="1" applyAlignment="1">
      <alignment horizontal="right" vertical="center"/>
    </xf>
    <xf numFmtId="0" fontId="2" fillId="0" borderId="53" xfId="1" applyFont="1" applyBorder="1" applyAlignment="1">
      <alignment horizontal="right" vertical="center"/>
    </xf>
    <xf numFmtId="193" fontId="33" fillId="9" borderId="54" xfId="299" applyNumberFormat="1" applyFont="1" applyFill="1" applyBorder="1" applyProtection="1">
      <protection locked="0"/>
    </xf>
    <xf numFmtId="193" fontId="33" fillId="9" borderId="56" xfId="299" applyNumberFormat="1" applyFont="1" applyFill="1" applyBorder="1" applyProtection="1">
      <protection locked="0"/>
    </xf>
    <xf numFmtId="191" fontId="33" fillId="9" borderId="57" xfId="299" applyNumberFormat="1" applyFont="1" applyFill="1" applyBorder="1" applyProtection="1">
      <protection locked="0"/>
    </xf>
    <xf numFmtId="0" fontId="33" fillId="9" borderId="57" xfId="299" applyFont="1" applyFill="1" applyBorder="1" applyProtection="1">
      <protection locked="0"/>
    </xf>
    <xf numFmtId="193" fontId="33" fillId="9" borderId="57" xfId="299" applyNumberFormat="1" applyFont="1" applyFill="1" applyBorder="1" applyProtection="1">
      <protection locked="0"/>
    </xf>
    <xf numFmtId="0" fontId="33" fillId="10" borderId="57" xfId="1" applyFont="1" applyFill="1" applyBorder="1" applyAlignment="1" applyProtection="1">
      <alignment horizontal="right" vertical="center"/>
      <protection locked="0"/>
    </xf>
    <xf numFmtId="195" fontId="2" fillId="10" borderId="57" xfId="1" applyNumberFormat="1" applyFont="1" applyFill="1" applyBorder="1" applyAlignment="1" applyProtection="1">
      <alignment vertical="center"/>
      <protection locked="0"/>
    </xf>
    <xf numFmtId="195" fontId="2" fillId="0" borderId="57" xfId="1" applyNumberFormat="1" applyFont="1" applyFill="1" applyBorder="1" applyAlignment="1" applyProtection="1">
      <alignment vertical="center"/>
    </xf>
    <xf numFmtId="195" fontId="2" fillId="10" borderId="80" xfId="1" applyNumberFormat="1" applyFont="1" applyFill="1" applyBorder="1" applyAlignment="1" applyProtection="1">
      <alignment vertical="center"/>
      <protection locked="0"/>
    </xf>
    <xf numFmtId="195" fontId="2" fillId="10" borderId="82" xfId="1" applyNumberFormat="1" applyFont="1" applyFill="1" applyBorder="1" applyAlignment="1" applyProtection="1">
      <alignment vertical="center"/>
      <protection locked="0"/>
    </xf>
    <xf numFmtId="0" fontId="36" fillId="0" borderId="0" xfId="1" applyFont="1" applyBorder="1" applyAlignment="1">
      <alignment horizontal="right" vertical="center"/>
    </xf>
    <xf numFmtId="0" fontId="2" fillId="0" borderId="0" xfId="1" applyFont="1" applyBorder="1" applyAlignment="1">
      <alignment horizontal="right" vertical="center"/>
    </xf>
    <xf numFmtId="0" fontId="2" fillId="0" borderId="0" xfId="1" applyFont="1" applyBorder="1" applyAlignment="1">
      <alignment horizontal="right"/>
    </xf>
    <xf numFmtId="0" fontId="2" fillId="0" borderId="0" xfId="1" applyBorder="1" applyAlignment="1">
      <alignment horizontal="right"/>
    </xf>
    <xf numFmtId="193" fontId="33" fillId="10" borderId="54" xfId="1" applyNumberFormat="1" applyFont="1" applyFill="1" applyBorder="1" applyAlignment="1" applyProtection="1">
      <alignment vertical="center"/>
      <protection locked="0"/>
    </xf>
    <xf numFmtId="2" fontId="2" fillId="0" borderId="80" xfId="1" quotePrefix="1" applyNumberFormat="1" applyFont="1" applyBorder="1" applyAlignment="1" applyProtection="1">
      <alignment vertical="center"/>
      <protection hidden="1"/>
    </xf>
    <xf numFmtId="191" fontId="33" fillId="9" borderId="54" xfId="299" applyNumberFormat="1" applyFont="1" applyFill="1" applyBorder="1" applyAlignment="1" applyProtection="1">
      <alignment horizontal="center" vertical="center"/>
      <protection locked="0"/>
    </xf>
    <xf numFmtId="193" fontId="2" fillId="0" borderId="22" xfId="1" applyNumberFormat="1" applyFont="1" applyBorder="1" applyAlignment="1">
      <alignment vertical="center"/>
    </xf>
    <xf numFmtId="4" fontId="2" fillId="0" borderId="55" xfId="1" applyNumberFormat="1" applyFont="1" applyBorder="1" applyAlignment="1" applyProtection="1">
      <alignment horizontal="center" vertical="center"/>
      <protection hidden="1"/>
    </xf>
    <xf numFmtId="4" fontId="2" fillId="0" borderId="22" xfId="1" applyNumberFormat="1" applyFont="1" applyBorder="1" applyAlignment="1" applyProtection="1">
      <alignment horizontal="center" vertical="center"/>
      <protection hidden="1"/>
    </xf>
    <xf numFmtId="4" fontId="2" fillId="16" borderId="55" xfId="1" applyNumberFormat="1" applyFont="1" applyFill="1" applyBorder="1" applyAlignment="1" applyProtection="1">
      <alignment horizontal="center" vertical="center"/>
      <protection hidden="1"/>
    </xf>
    <xf numFmtId="4" fontId="2" fillId="16" borderId="22" xfId="1" applyNumberFormat="1" applyFont="1" applyFill="1" applyBorder="1" applyAlignment="1" applyProtection="1">
      <alignment horizontal="center" vertical="center"/>
      <protection hidden="1"/>
    </xf>
    <xf numFmtId="193" fontId="8" fillId="0" borderId="57" xfId="1" applyNumberFormat="1" applyFont="1" applyBorder="1" applyAlignment="1" applyProtection="1">
      <alignment horizontal="center" vertical="center"/>
      <protection hidden="1"/>
    </xf>
    <xf numFmtId="4" fontId="2" fillId="0" borderId="22" xfId="1" applyNumberFormat="1" applyFont="1" applyBorder="1" applyAlignment="1">
      <alignment horizontal="center"/>
    </xf>
    <xf numFmtId="2" fontId="2" fillId="0" borderId="55" xfId="1" applyNumberFormat="1" applyBorder="1"/>
    <xf numFmtId="190" fontId="2" fillId="0" borderId="55" xfId="1" applyNumberFormat="1" applyBorder="1"/>
    <xf numFmtId="193" fontId="36" fillId="0" borderId="54" xfId="1" applyNumberFormat="1" applyFont="1" applyBorder="1" applyAlignment="1">
      <alignment vertical="center"/>
    </xf>
    <xf numFmtId="193" fontId="36" fillId="0" borderId="76" xfId="1" applyNumberFormat="1" applyFont="1" applyBorder="1" applyAlignment="1">
      <alignment vertical="center"/>
    </xf>
    <xf numFmtId="0" fontId="33" fillId="12" borderId="6" xfId="298" applyNumberFormat="1" applyFont="1" applyFill="1" applyBorder="1" applyAlignment="1" applyProtection="1">
      <alignment horizontal="center"/>
      <protection locked="0"/>
    </xf>
    <xf numFmtId="191" fontId="33" fillId="12" borderId="6" xfId="2" applyNumberFormat="1" applyFont="1" applyFill="1" applyBorder="1" applyAlignment="1" applyProtection="1">
      <alignment horizontal="center"/>
      <protection locked="0"/>
    </xf>
    <xf numFmtId="196" fontId="33" fillId="12" borderId="6" xfId="298" applyNumberFormat="1" applyFont="1" applyFill="1" applyBorder="1" applyAlignment="1" applyProtection="1">
      <alignment horizontal="center"/>
      <protection locked="0"/>
    </xf>
    <xf numFmtId="193" fontId="33" fillId="12" borderId="6" xfId="298" applyNumberFormat="1" applyFont="1" applyFill="1" applyBorder="1" applyAlignment="1" applyProtection="1">
      <alignment horizontal="center"/>
      <protection locked="0"/>
    </xf>
    <xf numFmtId="191" fontId="33" fillId="12" borderId="6" xfId="298" applyNumberFormat="1" applyFont="1" applyFill="1" applyBorder="1" applyAlignment="1" applyProtection="1">
      <alignment horizontal="center"/>
      <protection locked="0"/>
    </xf>
    <xf numFmtId="0" fontId="33" fillId="12" borderId="37" xfId="298" applyNumberFormat="1" applyFont="1" applyFill="1" applyBorder="1" applyAlignment="1" applyProtection="1">
      <alignment horizontal="center"/>
      <protection locked="0"/>
    </xf>
    <xf numFmtId="191" fontId="33" fillId="12" borderId="37" xfId="2" applyNumberFormat="1" applyFont="1" applyFill="1" applyBorder="1" applyAlignment="1" applyProtection="1">
      <alignment horizontal="center"/>
      <protection locked="0"/>
    </xf>
    <xf numFmtId="196" fontId="33" fillId="12" borderId="37" xfId="298" applyNumberFormat="1" applyFont="1" applyFill="1" applyBorder="1" applyAlignment="1" applyProtection="1">
      <alignment horizontal="center"/>
      <protection locked="0"/>
    </xf>
    <xf numFmtId="0" fontId="33" fillId="12" borderId="101" xfId="298" applyNumberFormat="1" applyFont="1" applyFill="1" applyBorder="1" applyAlignment="1" applyProtection="1">
      <alignment horizontal="center"/>
      <protection locked="0"/>
    </xf>
    <xf numFmtId="191" fontId="33" fillId="12" borderId="101" xfId="2" applyNumberFormat="1" applyFont="1" applyFill="1" applyBorder="1" applyAlignment="1" applyProtection="1">
      <alignment horizontal="center"/>
      <protection locked="0"/>
    </xf>
    <xf numFmtId="196" fontId="33" fillId="12" borderId="101" xfId="298" applyNumberFormat="1" applyFont="1" applyFill="1" applyBorder="1" applyAlignment="1" applyProtection="1">
      <alignment horizontal="center"/>
      <protection locked="0"/>
    </xf>
    <xf numFmtId="191" fontId="33" fillId="12" borderId="101" xfId="298" applyNumberFormat="1" applyFont="1" applyFill="1" applyBorder="1" applyAlignment="1" applyProtection="1">
      <alignment horizontal="center"/>
      <protection locked="0"/>
    </xf>
    <xf numFmtId="203" fontId="8" fillId="0" borderId="6" xfId="1" applyNumberFormat="1" applyFont="1" applyBorder="1" applyAlignment="1">
      <alignment horizontal="center"/>
    </xf>
    <xf numFmtId="198" fontId="2" fillId="0" borderId="6" xfId="1" applyNumberFormat="1" applyBorder="1" applyAlignment="1">
      <alignment horizontal="center"/>
    </xf>
    <xf numFmtId="193" fontId="2" fillId="0" borderId="6" xfId="298" applyNumberFormat="1" applyFont="1" applyFill="1" applyBorder="1" applyAlignment="1" applyProtection="1">
      <alignment horizontal="center"/>
      <protection locked="0"/>
    </xf>
    <xf numFmtId="2" fontId="2" fillId="0" borderId="6" xfId="1" applyNumberFormat="1" applyFont="1" applyBorder="1" applyAlignment="1">
      <alignment horizontal="center"/>
    </xf>
    <xf numFmtId="2" fontId="8" fillId="0" borderId="6" xfId="1" applyNumberFormat="1" applyFont="1" applyBorder="1" applyAlignment="1">
      <alignment horizontal="center"/>
    </xf>
    <xf numFmtId="190" fontId="2" fillId="0" borderId="6" xfId="1" applyNumberFormat="1" applyFont="1" applyBorder="1" applyAlignment="1">
      <alignment horizontal="center" vertical="center"/>
    </xf>
    <xf numFmtId="4" fontId="52" fillId="0" borderId="6" xfId="297" applyNumberFormat="1" applyFont="1" applyBorder="1" applyAlignment="1" applyProtection="1">
      <alignment horizontal="center"/>
    </xf>
    <xf numFmtId="190" fontId="35" fillId="0" borderId="56" xfId="2" applyNumberFormat="1" applyFont="1" applyBorder="1" applyAlignment="1">
      <alignment horizontal="center"/>
    </xf>
    <xf numFmtId="0" fontId="33" fillId="12" borderId="65" xfId="298" applyNumberFormat="1" applyFont="1" applyFill="1" applyBorder="1" applyAlignment="1" applyProtection="1">
      <alignment horizontal="center"/>
      <protection locked="0"/>
    </xf>
    <xf numFmtId="191" fontId="33" fillId="12" borderId="65" xfId="2" applyNumberFormat="1" applyFont="1" applyFill="1" applyBorder="1" applyAlignment="1" applyProtection="1">
      <alignment horizontal="center"/>
      <protection locked="0"/>
    </xf>
    <xf numFmtId="196" fontId="33" fillId="12" borderId="65" xfId="298" applyNumberFormat="1" applyFont="1" applyFill="1" applyBorder="1" applyAlignment="1" applyProtection="1">
      <alignment horizontal="center"/>
      <protection locked="0"/>
    </xf>
    <xf numFmtId="198" fontId="2" fillId="0" borderId="65" xfId="1" applyNumberFormat="1" applyBorder="1" applyAlignment="1">
      <alignment horizontal="center"/>
    </xf>
    <xf numFmtId="193" fontId="2" fillId="0" borderId="65" xfId="298" applyNumberFormat="1" applyFont="1" applyFill="1" applyBorder="1" applyAlignment="1" applyProtection="1">
      <alignment horizontal="center"/>
      <protection locked="0"/>
    </xf>
    <xf numFmtId="2" fontId="2" fillId="0" borderId="65" xfId="1" applyNumberFormat="1" applyFont="1" applyBorder="1" applyAlignment="1">
      <alignment horizontal="center"/>
    </xf>
    <xf numFmtId="190" fontId="2" fillId="0" borderId="65" xfId="1" applyNumberFormat="1" applyFont="1" applyBorder="1" applyAlignment="1">
      <alignment horizontal="center" vertical="center"/>
    </xf>
    <xf numFmtId="4" fontId="52" fillId="0" borderId="65" xfId="297" applyNumberFormat="1" applyFont="1" applyBorder="1" applyAlignment="1" applyProtection="1">
      <alignment horizontal="center"/>
    </xf>
    <xf numFmtId="4" fontId="52" fillId="0" borderId="57" xfId="297" applyNumberFormat="1" applyFont="1" applyBorder="1" applyAlignment="1" applyProtection="1">
      <alignment horizontal="center"/>
    </xf>
    <xf numFmtId="201" fontId="52" fillId="0" borderId="56" xfId="297" applyNumberFormat="1" applyFont="1" applyBorder="1" applyAlignment="1" applyProtection="1">
      <alignment horizontal="center"/>
    </xf>
    <xf numFmtId="200" fontId="52" fillId="0" borderId="82" xfId="2" applyNumberFormat="1" applyFont="1" applyBorder="1" applyAlignment="1" applyProtection="1">
      <alignment horizontal="center"/>
    </xf>
    <xf numFmtId="2" fontId="33" fillId="9" borderId="56" xfId="1" applyNumberFormat="1" applyFont="1" applyFill="1" applyBorder="1" applyAlignment="1" applyProtection="1">
      <alignment horizontal="center"/>
      <protection locked="0"/>
    </xf>
    <xf numFmtId="0" fontId="33" fillId="9" borderId="78" xfId="1" applyFont="1" applyFill="1" applyBorder="1" applyAlignment="1" applyProtection="1">
      <alignment horizontal="center"/>
      <protection locked="0"/>
    </xf>
    <xf numFmtId="191" fontId="33" fillId="0" borderId="6" xfId="2" applyNumberFormat="1" applyFont="1" applyFill="1" applyBorder="1" applyAlignment="1" applyProtection="1">
      <alignment horizontal="center" shrinkToFit="1"/>
      <protection locked="0"/>
    </xf>
    <xf numFmtId="191" fontId="33" fillId="0" borderId="37" xfId="2" applyNumberFormat="1" applyFont="1" applyFill="1" applyBorder="1" applyAlignment="1" applyProtection="1">
      <alignment horizontal="center" shrinkToFit="1"/>
      <protection locked="0"/>
    </xf>
    <xf numFmtId="191" fontId="33" fillId="0" borderId="101" xfId="2" applyNumberFormat="1" applyFont="1" applyFill="1" applyBorder="1" applyAlignment="1" applyProtection="1">
      <alignment horizontal="center" shrinkToFit="1"/>
      <protection locked="0"/>
    </xf>
    <xf numFmtId="191" fontId="33" fillId="0" borderId="65" xfId="2" applyNumberFormat="1" applyFont="1" applyFill="1" applyBorder="1" applyAlignment="1" applyProtection="1">
      <alignment horizontal="center" shrinkToFit="1"/>
      <protection locked="0"/>
    </xf>
    <xf numFmtId="191" fontId="33" fillId="0" borderId="6" xfId="2" applyNumberFormat="1" applyFont="1" applyFill="1" applyBorder="1" applyAlignment="1" applyProtection="1">
      <alignment horizontal="center"/>
      <protection locked="0"/>
    </xf>
    <xf numFmtId="191" fontId="33" fillId="0" borderId="37" xfId="2" applyNumberFormat="1" applyFont="1" applyFill="1" applyBorder="1" applyAlignment="1" applyProtection="1">
      <alignment horizontal="center"/>
      <protection locked="0"/>
    </xf>
    <xf numFmtId="191" fontId="33" fillId="0" borderId="101" xfId="2" applyNumberFormat="1" applyFont="1" applyFill="1" applyBorder="1" applyAlignment="1" applyProtection="1">
      <alignment horizontal="center"/>
      <protection locked="0"/>
    </xf>
    <xf numFmtId="191" fontId="33" fillId="0" borderId="65" xfId="2" applyNumberFormat="1" applyFont="1" applyFill="1" applyBorder="1" applyAlignment="1" applyProtection="1">
      <alignment horizontal="center"/>
      <protection locked="0"/>
    </xf>
    <xf numFmtId="195" fontId="2" fillId="0" borderId="6" xfId="1" applyNumberFormat="1" applyFont="1" applyBorder="1" applyAlignment="1" applyProtection="1">
      <alignment horizontal="center"/>
    </xf>
    <xf numFmtId="195" fontId="2" fillId="0" borderId="65" xfId="1" applyNumberFormat="1" applyFont="1" applyBorder="1" applyAlignment="1" applyProtection="1">
      <alignment horizontal="center"/>
    </xf>
    <xf numFmtId="198" fontId="2" fillId="0" borderId="37" xfId="1" applyNumberFormat="1" applyBorder="1" applyAlignment="1">
      <alignment horizontal="center"/>
    </xf>
    <xf numFmtId="2" fontId="2" fillId="0" borderId="37" xfId="1" applyNumberFormat="1" applyFont="1" applyBorder="1" applyAlignment="1">
      <alignment horizontal="center"/>
    </xf>
    <xf numFmtId="190" fontId="2" fillId="0" borderId="37" xfId="1" applyNumberFormat="1" applyFont="1" applyBorder="1" applyAlignment="1">
      <alignment horizontal="center" vertical="center"/>
    </xf>
    <xf numFmtId="4" fontId="52" fillId="0" borderId="37" xfId="297" applyNumberFormat="1" applyFont="1" applyBorder="1" applyAlignment="1" applyProtection="1">
      <alignment horizontal="center"/>
    </xf>
    <xf numFmtId="195" fontId="2" fillId="0" borderId="37" xfId="1" applyNumberFormat="1" applyFont="1" applyBorder="1" applyAlignment="1" applyProtection="1">
      <alignment horizontal="center"/>
    </xf>
    <xf numFmtId="198" fontId="2" fillId="0" borderId="101" xfId="1" applyNumberFormat="1" applyBorder="1" applyAlignment="1">
      <alignment horizontal="center"/>
    </xf>
    <xf numFmtId="193" fontId="2" fillId="0" borderId="101" xfId="298" applyNumberFormat="1" applyFont="1" applyFill="1" applyBorder="1" applyAlignment="1" applyProtection="1">
      <alignment horizontal="center"/>
      <protection locked="0"/>
    </xf>
    <xf numFmtId="2" fontId="2" fillId="0" borderId="101" xfId="1" applyNumberFormat="1" applyFont="1" applyBorder="1" applyAlignment="1">
      <alignment horizontal="center"/>
    </xf>
    <xf numFmtId="190" fontId="2" fillId="0" borderId="101" xfId="1" applyNumberFormat="1" applyFont="1" applyBorder="1" applyAlignment="1">
      <alignment horizontal="center" vertical="center"/>
    </xf>
    <xf numFmtId="4" fontId="52" fillId="0" borderId="101" xfId="297" applyNumberFormat="1" applyFont="1" applyBorder="1" applyAlignment="1" applyProtection="1">
      <alignment horizontal="center"/>
    </xf>
    <xf numFmtId="195" fontId="2" fillId="0" borderId="101" xfId="1" applyNumberFormat="1" applyFont="1" applyBorder="1" applyAlignment="1" applyProtection="1">
      <alignment horizontal="center"/>
    </xf>
    <xf numFmtId="193" fontId="2" fillId="13" borderId="0" xfId="1" applyNumberFormat="1" applyFill="1"/>
    <xf numFmtId="197" fontId="2" fillId="0" borderId="102" xfId="1" applyNumberFormat="1" applyFont="1" applyBorder="1" applyAlignment="1" applyProtection="1">
      <alignment horizontal="left" vertical="center"/>
    </xf>
    <xf numFmtId="197" fontId="2" fillId="0" borderId="93" xfId="1" applyNumberFormat="1" applyFont="1" applyBorder="1" applyAlignment="1" applyProtection="1">
      <alignment horizontal="left" vertical="center"/>
    </xf>
    <xf numFmtId="197" fontId="2" fillId="0" borderId="94" xfId="1" applyNumberFormat="1" applyFont="1" applyBorder="1" applyAlignment="1" applyProtection="1">
      <alignment horizontal="right" vertical="center"/>
    </xf>
    <xf numFmtId="193" fontId="66" fillId="16" borderId="95" xfId="1" applyNumberFormat="1" applyFont="1" applyFill="1" applyBorder="1" applyAlignment="1">
      <alignment horizontal="center" vertical="center"/>
    </xf>
    <xf numFmtId="0" fontId="2" fillId="0" borderId="41" xfId="1" applyFont="1" applyBorder="1" applyAlignment="1">
      <alignment horizontal="left" vertical="center"/>
    </xf>
    <xf numFmtId="0" fontId="2" fillId="0" borderId="93" xfId="1" applyFont="1" applyBorder="1" applyAlignment="1">
      <alignment horizontal="left" vertical="center"/>
    </xf>
    <xf numFmtId="201" fontId="2" fillId="0" borderId="54" xfId="297" applyNumberFormat="1" applyFont="1" applyFill="1" applyBorder="1" applyAlignment="1" applyProtection="1">
      <alignment horizontal="center" vertical="center"/>
      <protection hidden="1"/>
    </xf>
    <xf numFmtId="193" fontId="2" fillId="0" borderId="87" xfId="1" applyNumberFormat="1" applyBorder="1"/>
    <xf numFmtId="193" fontId="2" fillId="0" borderId="88" xfId="1" applyNumberFormat="1" applyBorder="1"/>
    <xf numFmtId="0" fontId="8" fillId="0" borderId="38" xfId="1" applyFont="1" applyBorder="1" applyAlignment="1">
      <alignment horizontal="center" vertical="center"/>
    </xf>
    <xf numFmtId="190" fontId="8" fillId="0" borderId="44" xfId="1" applyNumberFormat="1" applyFont="1" applyBorder="1" applyAlignment="1">
      <alignment horizontal="center" vertical="center"/>
    </xf>
    <xf numFmtId="193" fontId="33" fillId="9" borderId="44" xfId="299" applyNumberFormat="1" applyFont="1" applyFill="1" applyBorder="1" applyProtection="1">
      <protection locked="0"/>
    </xf>
    <xf numFmtId="191" fontId="33" fillId="9" borderId="22" xfId="299" applyNumberFormat="1" applyFont="1" applyFill="1" applyBorder="1" applyProtection="1">
      <protection locked="0"/>
    </xf>
    <xf numFmtId="0" fontId="33" fillId="9" borderId="22" xfId="299" applyFont="1" applyFill="1" applyBorder="1" applyProtection="1">
      <protection locked="0"/>
    </xf>
    <xf numFmtId="193" fontId="33" fillId="9" borderId="22" xfId="299" applyNumberFormat="1" applyFont="1" applyFill="1" applyBorder="1" applyProtection="1">
      <protection locked="0"/>
    </xf>
    <xf numFmtId="0" fontId="33" fillId="10" borderId="22" xfId="1" applyFont="1" applyFill="1" applyBorder="1" applyAlignment="1" applyProtection="1">
      <alignment horizontal="right" vertical="center"/>
      <protection locked="0"/>
    </xf>
    <xf numFmtId="195" fontId="2" fillId="0" borderId="22" xfId="1" applyNumberFormat="1" applyFont="1" applyBorder="1" applyAlignment="1" applyProtection="1">
      <alignment horizontal="center" vertical="center"/>
      <protection hidden="1"/>
    </xf>
    <xf numFmtId="195" fontId="2" fillId="10" borderId="22" xfId="1" applyNumberFormat="1" applyFont="1" applyFill="1" applyBorder="1" applyAlignment="1" applyProtection="1">
      <alignment vertical="center"/>
      <protection locked="0"/>
    </xf>
    <xf numFmtId="195" fontId="2" fillId="0" borderId="22" xfId="1" applyNumberFormat="1" applyFont="1" applyFill="1" applyBorder="1" applyAlignment="1" applyProtection="1">
      <alignment vertical="center"/>
    </xf>
    <xf numFmtId="195" fontId="2" fillId="10" borderId="84" xfId="1" applyNumberFormat="1" applyFont="1" applyFill="1" applyBorder="1" applyAlignment="1" applyProtection="1">
      <alignment vertical="center"/>
      <protection locked="0"/>
    </xf>
    <xf numFmtId="2" fontId="2" fillId="0" borderId="22" xfId="1" applyNumberFormat="1" applyFont="1" applyBorder="1" applyAlignment="1">
      <alignment horizontal="center" vertical="center"/>
    </xf>
    <xf numFmtId="2" fontId="35" fillId="3" borderId="22" xfId="297" applyNumberFormat="1" applyFont="1" applyFill="1" applyBorder="1" applyAlignment="1" applyProtection="1">
      <alignment horizontal="center" vertical="center"/>
      <protection hidden="1"/>
    </xf>
    <xf numFmtId="193" fontId="33" fillId="10" borderId="44" xfId="1" applyNumberFormat="1" applyFont="1" applyFill="1" applyBorder="1" applyAlignment="1" applyProtection="1">
      <alignment vertical="center"/>
      <protection locked="0"/>
    </xf>
    <xf numFmtId="2" fontId="2" fillId="0" borderId="22" xfId="1" applyNumberFormat="1" applyFont="1" applyBorder="1" applyAlignment="1" applyProtection="1">
      <alignment horizontal="center" vertical="center"/>
      <protection hidden="1"/>
    </xf>
    <xf numFmtId="2" fontId="2" fillId="3" borderId="22" xfId="1" applyNumberFormat="1" applyFont="1" applyFill="1" applyBorder="1" applyAlignment="1" applyProtection="1">
      <alignment horizontal="center" vertical="center"/>
      <protection hidden="1"/>
    </xf>
    <xf numFmtId="193" fontId="8" fillId="0" borderId="22" xfId="1" applyNumberFormat="1" applyFont="1" applyBorder="1" applyAlignment="1" applyProtection="1">
      <alignment horizontal="center" vertical="center"/>
      <protection hidden="1"/>
    </xf>
    <xf numFmtId="2" fontId="65" fillId="18" borderId="44" xfId="1" applyNumberFormat="1" applyFont="1" applyFill="1" applyBorder="1" applyAlignment="1">
      <alignment horizontal="center"/>
    </xf>
    <xf numFmtId="2" fontId="60" fillId="0" borderId="22" xfId="297" applyNumberFormat="1" applyFont="1" applyBorder="1" applyAlignment="1" applyProtection="1">
      <alignment vertical="center"/>
      <protection hidden="1"/>
    </xf>
    <xf numFmtId="190" fontId="2" fillId="3" borderId="22" xfId="1" applyNumberFormat="1" applyFont="1" applyFill="1" applyBorder="1" applyAlignment="1" applyProtection="1">
      <alignment vertical="center"/>
      <protection hidden="1"/>
    </xf>
    <xf numFmtId="2" fontId="2" fillId="0" borderId="22" xfId="1" applyNumberFormat="1" applyFont="1" applyBorder="1" applyAlignment="1" applyProtection="1">
      <alignment vertical="center"/>
      <protection hidden="1"/>
    </xf>
    <xf numFmtId="2" fontId="2" fillId="0" borderId="22" xfId="1" quotePrefix="1" applyNumberFormat="1" applyFont="1" applyBorder="1" applyAlignment="1" applyProtection="1">
      <alignment vertical="center"/>
      <protection hidden="1"/>
    </xf>
    <xf numFmtId="2" fontId="2" fillId="0" borderId="84" xfId="1" quotePrefix="1" applyNumberFormat="1" applyFont="1" applyBorder="1" applyAlignment="1" applyProtection="1">
      <alignment vertical="center"/>
      <protection hidden="1"/>
    </xf>
    <xf numFmtId="193" fontId="36" fillId="0" borderId="44" xfId="1" applyNumberFormat="1" applyFont="1" applyBorder="1" applyAlignment="1">
      <alignment vertical="center"/>
    </xf>
    <xf numFmtId="193" fontId="36" fillId="0" borderId="61" xfId="1" applyNumberFormat="1" applyFont="1" applyBorder="1" applyAlignment="1">
      <alignment vertical="center"/>
    </xf>
    <xf numFmtId="0" fontId="8" fillId="0" borderId="103" xfId="1" applyFont="1" applyBorder="1" applyAlignment="1">
      <alignment horizontal="center" vertical="center"/>
    </xf>
    <xf numFmtId="193" fontId="33" fillId="10" borderId="56" xfId="1" applyNumberFormat="1" applyFont="1" applyFill="1" applyBorder="1" applyAlignment="1" applyProtection="1">
      <alignment vertical="center"/>
      <protection locked="0"/>
    </xf>
    <xf numFmtId="196" fontId="2" fillId="13" borderId="57" xfId="1" applyNumberFormat="1" applyFill="1" applyBorder="1" applyAlignment="1">
      <alignment horizontal="center"/>
    </xf>
    <xf numFmtId="201" fontId="65" fillId="18" borderId="44" xfId="1" applyNumberFormat="1" applyFont="1" applyFill="1" applyBorder="1" applyAlignment="1">
      <alignment horizontal="center"/>
    </xf>
    <xf numFmtId="2" fontId="60" fillId="0" borderId="57" xfId="297" applyNumberFormat="1" applyFont="1" applyBorder="1" applyAlignment="1" applyProtection="1">
      <alignment vertical="center"/>
      <protection hidden="1"/>
    </xf>
    <xf numFmtId="190" fontId="2" fillId="3" borderId="57" xfId="1" applyNumberFormat="1" applyFont="1" applyFill="1" applyBorder="1" applyAlignment="1" applyProtection="1">
      <alignment vertical="center"/>
      <protection hidden="1"/>
    </xf>
    <xf numFmtId="2" fontId="2" fillId="0" borderId="57" xfId="1" applyNumberFormat="1" applyFont="1" applyBorder="1" applyAlignment="1" applyProtection="1">
      <alignment vertical="center"/>
      <protection hidden="1"/>
    </xf>
    <xf numFmtId="2" fontId="2" fillId="0" borderId="57" xfId="1" quotePrefix="1" applyNumberFormat="1" applyFont="1" applyBorder="1" applyAlignment="1" applyProtection="1">
      <alignment vertical="center"/>
      <protection hidden="1"/>
    </xf>
    <xf numFmtId="2" fontId="2" fillId="0" borderId="82" xfId="1" quotePrefix="1" applyNumberFormat="1" applyFont="1" applyBorder="1" applyAlignment="1" applyProtection="1">
      <alignment vertical="center"/>
      <protection hidden="1"/>
    </xf>
    <xf numFmtId="193" fontId="36" fillId="0" borderId="56" xfId="1" applyNumberFormat="1" applyFont="1" applyBorder="1" applyAlignment="1">
      <alignment vertical="center"/>
    </xf>
    <xf numFmtId="193" fontId="36" fillId="0" borderId="78" xfId="1" applyNumberFormat="1" applyFont="1" applyBorder="1" applyAlignment="1">
      <alignment vertical="center"/>
    </xf>
    <xf numFmtId="0" fontId="33" fillId="9" borderId="103" xfId="1" applyFont="1" applyFill="1" applyBorder="1" applyAlignment="1" applyProtection="1">
      <alignment horizontal="center" vertical="center"/>
      <protection locked="0"/>
    </xf>
    <xf numFmtId="201" fontId="2" fillId="0" borderId="6" xfId="1" applyNumberFormat="1" applyFont="1" applyBorder="1" applyAlignment="1">
      <alignment horizontal="center" vertical="center"/>
    </xf>
    <xf numFmtId="0" fontId="2" fillId="9" borderId="24" xfId="1" applyFill="1" applyBorder="1" applyProtection="1">
      <protection locked="0"/>
    </xf>
    <xf numFmtId="0" fontId="2" fillId="9" borderId="38" xfId="1" applyFill="1" applyBorder="1" applyProtection="1">
      <protection locked="0"/>
    </xf>
    <xf numFmtId="3" fontId="33" fillId="12" borderId="6" xfId="2" applyNumberFormat="1" applyFont="1" applyFill="1" applyBorder="1" applyAlignment="1" applyProtection="1">
      <alignment horizontal="center"/>
      <protection locked="0"/>
    </xf>
    <xf numFmtId="3" fontId="33" fillId="12" borderId="37" xfId="2" applyNumberFormat="1" applyFont="1" applyFill="1" applyBorder="1" applyAlignment="1" applyProtection="1">
      <alignment horizontal="center"/>
      <protection locked="0"/>
    </xf>
    <xf numFmtId="3" fontId="33" fillId="12" borderId="101" xfId="2" applyNumberFormat="1" applyFont="1" applyFill="1" applyBorder="1" applyAlignment="1" applyProtection="1">
      <alignment horizontal="center"/>
      <protection locked="0"/>
    </xf>
    <xf numFmtId="199" fontId="33" fillId="12" borderId="6" xfId="2" applyNumberFormat="1" applyFont="1" applyFill="1" applyBorder="1" applyAlignment="1" applyProtection="1">
      <alignment horizontal="center"/>
      <protection locked="0"/>
    </xf>
    <xf numFmtId="3" fontId="33" fillId="12" borderId="65" xfId="2" applyNumberFormat="1" applyFont="1" applyFill="1" applyBorder="1" applyAlignment="1" applyProtection="1">
      <alignment horizontal="center"/>
      <protection locked="0"/>
    </xf>
    <xf numFmtId="0" fontId="33" fillId="12" borderId="94" xfId="298" applyNumberFormat="1" applyFont="1" applyFill="1" applyBorder="1" applyAlignment="1" applyProtection="1">
      <alignment horizontal="center"/>
      <protection locked="0"/>
    </xf>
    <xf numFmtId="0" fontId="2" fillId="0" borderId="40" xfId="1" applyFont="1" applyFill="1" applyBorder="1" applyAlignment="1">
      <alignment horizontal="left"/>
    </xf>
    <xf numFmtId="0" fontId="14" fillId="0" borderId="53" xfId="1" applyFont="1" applyFill="1" applyBorder="1" applyAlignment="1">
      <alignment horizontal="center" vertical="center"/>
    </xf>
    <xf numFmtId="191" fontId="33" fillId="12" borderId="37" xfId="298" applyNumberFormat="1" applyFont="1" applyFill="1" applyBorder="1" applyAlignment="1" applyProtection="1">
      <alignment horizontal="center"/>
      <protection locked="0"/>
    </xf>
    <xf numFmtId="193" fontId="33" fillId="12" borderId="101" xfId="298" applyNumberFormat="1" applyFont="1" applyFill="1" applyBorder="1" applyAlignment="1" applyProtection="1">
      <alignment horizontal="center"/>
      <protection locked="0"/>
    </xf>
    <xf numFmtId="196" fontId="2" fillId="0" borderId="6" xfId="298" applyNumberFormat="1" applyFont="1" applyFill="1" applyBorder="1" applyAlignment="1" applyProtection="1">
      <alignment horizontal="center"/>
      <protection locked="0"/>
    </xf>
    <xf numFmtId="196" fontId="2" fillId="0" borderId="37" xfId="298" applyNumberFormat="1" applyFont="1" applyFill="1" applyBorder="1" applyAlignment="1" applyProtection="1">
      <alignment horizontal="center"/>
      <protection locked="0"/>
    </xf>
    <xf numFmtId="196" fontId="2" fillId="0" borderId="101" xfId="298" applyNumberFormat="1" applyFont="1" applyFill="1" applyBorder="1" applyAlignment="1" applyProtection="1">
      <alignment horizontal="center"/>
      <protection locked="0"/>
    </xf>
    <xf numFmtId="196" fontId="2" fillId="0" borderId="65" xfId="298" applyNumberFormat="1" applyFont="1" applyFill="1" applyBorder="1" applyAlignment="1" applyProtection="1">
      <alignment horizontal="center"/>
      <protection locked="0"/>
    </xf>
    <xf numFmtId="199" fontId="52" fillId="0" borderId="55" xfId="2" applyNumberFormat="1" applyFont="1" applyBorder="1" applyAlignment="1">
      <alignment horizontal="center" shrinkToFit="1"/>
    </xf>
    <xf numFmtId="199" fontId="52" fillId="0" borderId="95" xfId="2" applyNumberFormat="1" applyFont="1" applyBorder="1" applyAlignment="1">
      <alignment horizontal="center" shrinkToFit="1"/>
    </xf>
    <xf numFmtId="199" fontId="52" fillId="0" borderId="70" xfId="2" applyNumberFormat="1" applyFont="1" applyBorder="1" applyAlignment="1">
      <alignment horizontal="center" shrinkToFit="1"/>
    </xf>
    <xf numFmtId="199" fontId="52" fillId="0" borderId="57" xfId="2" applyNumberFormat="1" applyFont="1" applyBorder="1" applyAlignment="1">
      <alignment horizontal="center" shrinkToFit="1"/>
    </xf>
    <xf numFmtId="194" fontId="33" fillId="12" borderId="6" xfId="298" applyNumberFormat="1" applyFont="1" applyFill="1" applyBorder="1" applyAlignment="1" applyProtection="1">
      <alignment horizontal="center"/>
      <protection locked="0"/>
    </xf>
    <xf numFmtId="194" fontId="33" fillId="12" borderId="67" xfId="2" applyNumberFormat="1" applyFont="1" applyFill="1" applyBorder="1" applyAlignment="1" applyProtection="1">
      <protection locked="0"/>
    </xf>
    <xf numFmtId="0" fontId="2" fillId="13" borderId="30" xfId="1" quotePrefix="1" applyFont="1" applyFill="1" applyBorder="1" applyAlignment="1">
      <alignment horizontal="center"/>
    </xf>
    <xf numFmtId="0" fontId="2" fillId="13" borderId="30" xfId="1" applyFont="1" applyFill="1" applyBorder="1" applyAlignment="1">
      <alignment horizontal="center"/>
    </xf>
    <xf numFmtId="0" fontId="49" fillId="9" borderId="26" xfId="1" applyFont="1" applyFill="1" applyBorder="1" applyAlignment="1">
      <alignment horizontal="center" vertical="center"/>
    </xf>
    <xf numFmtId="0" fontId="49" fillId="9" borderId="27" xfId="1" applyFont="1" applyFill="1" applyBorder="1" applyAlignment="1">
      <alignment horizontal="center" vertical="center"/>
    </xf>
    <xf numFmtId="0" fontId="49" fillId="9" borderId="32" xfId="1" applyFont="1" applyFill="1" applyBorder="1" applyAlignment="1">
      <alignment horizontal="center" vertical="center"/>
    </xf>
    <xf numFmtId="0" fontId="49" fillId="9" borderId="46" xfId="1" applyFont="1" applyFill="1" applyBorder="1" applyAlignment="1">
      <alignment horizontal="center" vertical="center"/>
    </xf>
    <xf numFmtId="0" fontId="49" fillId="9" borderId="60" xfId="1" applyFont="1" applyFill="1" applyBorder="1" applyAlignment="1">
      <alignment horizontal="center" vertical="center"/>
    </xf>
    <xf numFmtId="0" fontId="49" fillId="9" borderId="61" xfId="1" applyFont="1" applyFill="1" applyBorder="1" applyAlignment="1">
      <alignment horizontal="center" vertical="center"/>
    </xf>
    <xf numFmtId="0" fontId="2" fillId="0" borderId="26" xfId="1" applyBorder="1" applyAlignment="1">
      <alignment horizontal="center"/>
    </xf>
    <xf numFmtId="0" fontId="2" fillId="0" borderId="27" xfId="1" applyBorder="1" applyAlignment="1">
      <alignment horizontal="center"/>
    </xf>
    <xf numFmtId="0" fontId="2" fillId="0" borderId="28" xfId="1" applyBorder="1" applyAlignment="1">
      <alignment horizontal="center"/>
    </xf>
    <xf numFmtId="0" fontId="2" fillId="0" borderId="33" xfId="1" applyBorder="1" applyAlignment="1">
      <alignment horizontal="center"/>
    </xf>
    <xf numFmtId="0" fontId="2" fillId="0" borderId="34" xfId="1" applyBorder="1" applyAlignment="1">
      <alignment horizontal="center"/>
    </xf>
    <xf numFmtId="0" fontId="2" fillId="0" borderId="35" xfId="1" applyBorder="1" applyAlignment="1">
      <alignment horizontal="center"/>
    </xf>
    <xf numFmtId="14" fontId="2" fillId="9" borderId="27" xfId="1" applyNumberFormat="1" applyFill="1" applyBorder="1" applyAlignment="1">
      <alignment horizontal="center"/>
    </xf>
    <xf numFmtId="0" fontId="2" fillId="9" borderId="32" xfId="1" applyNumberFormat="1" applyFont="1" applyFill="1" applyBorder="1" applyAlignment="1">
      <alignment horizontal="center"/>
    </xf>
    <xf numFmtId="0" fontId="8" fillId="0" borderId="39" xfId="1" applyFont="1" applyBorder="1" applyAlignment="1">
      <alignment horizontal="center" vertical="center" wrapText="1"/>
    </xf>
    <xf numFmtId="0" fontId="8" fillId="0" borderId="24" xfId="1" applyFont="1" applyBorder="1" applyAlignment="1">
      <alignment horizontal="center" vertical="center" wrapText="1"/>
    </xf>
    <xf numFmtId="0" fontId="0" fillId="0" borderId="24" xfId="0" applyBorder="1">
      <alignment vertical="center"/>
    </xf>
    <xf numFmtId="0" fontId="0" fillId="0" borderId="38" xfId="0" applyBorder="1">
      <alignment vertical="center"/>
    </xf>
    <xf numFmtId="0" fontId="32" fillId="9" borderId="92" xfId="1" applyFont="1" applyFill="1" applyBorder="1" applyAlignment="1" applyProtection="1">
      <alignment horizontal="center"/>
      <protection locked="0"/>
    </xf>
    <xf numFmtId="0" fontId="32" fillId="9" borderId="44" xfId="1" applyFont="1" applyFill="1" applyBorder="1" applyAlignment="1" applyProtection="1">
      <alignment horizontal="center"/>
      <protection locked="0"/>
    </xf>
    <xf numFmtId="0" fontId="2" fillId="9" borderId="24" xfId="1" applyFill="1" applyBorder="1" applyAlignment="1" applyProtection="1">
      <alignment horizontal="center"/>
      <protection locked="0"/>
    </xf>
    <xf numFmtId="0" fontId="2" fillId="9" borderId="45" xfId="1" applyFill="1" applyBorder="1" applyAlignment="1" applyProtection="1">
      <alignment horizontal="center"/>
      <protection locked="0"/>
    </xf>
    <xf numFmtId="0" fontId="2" fillId="9" borderId="27" xfId="1" quotePrefix="1" applyFont="1" applyFill="1" applyBorder="1" applyAlignment="1" applyProtection="1">
      <alignment horizontal="center"/>
      <protection locked="0"/>
    </xf>
    <xf numFmtId="0" fontId="2" fillId="9" borderId="28" xfId="1" applyFont="1" applyFill="1" applyBorder="1" applyAlignment="1" applyProtection="1">
      <alignment horizontal="center"/>
      <protection locked="0"/>
    </xf>
    <xf numFmtId="0" fontId="2" fillId="9" borderId="30" xfId="1" applyFont="1" applyFill="1" applyBorder="1" applyAlignment="1" applyProtection="1">
      <alignment horizontal="center"/>
      <protection locked="0"/>
    </xf>
    <xf numFmtId="0" fontId="2" fillId="9" borderId="51" xfId="1" applyFont="1" applyFill="1" applyBorder="1" applyAlignment="1" applyProtection="1">
      <alignment horizontal="center"/>
      <protection locked="0"/>
    </xf>
  </cellXfs>
  <cellStyles count="306">
    <cellStyle name="ÅëÈ­ [0]_A" xfId="3"/>
    <cellStyle name="ÅëÈ­_A" xfId="4"/>
    <cellStyle name="ariel 7" xfId="5"/>
    <cellStyle name="ÄÞ¸¶ [0]_A" xfId="6"/>
    <cellStyle name="ÄÞ¸¶_A" xfId="7"/>
    <cellStyle name="Bad 2" xfId="8"/>
    <cellStyle name="Bad 2 10" xfId="9"/>
    <cellStyle name="Bad 2 11" xfId="10"/>
    <cellStyle name="Bad 2 12" xfId="11"/>
    <cellStyle name="Bad 2 13" xfId="12"/>
    <cellStyle name="Bad 2 14" xfId="13"/>
    <cellStyle name="Bad 2 15" xfId="14"/>
    <cellStyle name="Bad 2 16" xfId="15"/>
    <cellStyle name="Bad 2 17" xfId="16"/>
    <cellStyle name="Bad 2 18" xfId="17"/>
    <cellStyle name="Bad 2 19" xfId="18"/>
    <cellStyle name="Bad 2 2" xfId="19"/>
    <cellStyle name="Bad 2 20" xfId="20"/>
    <cellStyle name="Bad 2 21" xfId="300"/>
    <cellStyle name="Bad 2 3" xfId="21"/>
    <cellStyle name="Bad 2 4" xfId="22"/>
    <cellStyle name="Bad 2 5" xfId="23"/>
    <cellStyle name="Bad 2 6" xfId="24"/>
    <cellStyle name="Bad 2 7" xfId="25"/>
    <cellStyle name="Bad 2 8" xfId="26"/>
    <cellStyle name="Bad 2 9" xfId="27"/>
    <cellStyle name="Ç¥ÁØ_A" xfId="2"/>
    <cellStyle name="Comma" xfId="28"/>
    <cellStyle name="Comma [0] 2" xfId="29"/>
    <cellStyle name="Comma [0] 2 10" xfId="30"/>
    <cellStyle name="Comma [0] 2 11" xfId="31"/>
    <cellStyle name="Comma [0] 2 12" xfId="32"/>
    <cellStyle name="Comma [0] 2 13" xfId="33"/>
    <cellStyle name="Comma [0] 2 14" xfId="34"/>
    <cellStyle name="Comma [0] 2 15" xfId="35"/>
    <cellStyle name="Comma [0] 2 16" xfId="36"/>
    <cellStyle name="Comma [0] 2 17" xfId="37"/>
    <cellStyle name="Comma [0] 2 18" xfId="38"/>
    <cellStyle name="Comma [0] 2 19" xfId="39"/>
    <cellStyle name="Comma [0] 2 2" xfId="40"/>
    <cellStyle name="Comma [0] 2 20" xfId="41"/>
    <cellStyle name="Comma [0] 2 21" xfId="42"/>
    <cellStyle name="Comma [0] 2 22" xfId="43"/>
    <cellStyle name="Comma [0] 2 23" xfId="44"/>
    <cellStyle name="Comma [0] 2 24" xfId="45"/>
    <cellStyle name="Comma [0] 2 25" xfId="301"/>
    <cellStyle name="Comma [0] 2 3" xfId="46"/>
    <cellStyle name="Comma [0] 2 4" xfId="47"/>
    <cellStyle name="Comma [0] 2 5" xfId="48"/>
    <cellStyle name="Comma [0] 2 6" xfId="49"/>
    <cellStyle name="Comma [0] 2 7" xfId="50"/>
    <cellStyle name="Comma [0] 2 8" xfId="51"/>
    <cellStyle name="Comma [0] 2 9" xfId="52"/>
    <cellStyle name="Comma [0]_ SG&amp;A Bridge " xfId="53"/>
    <cellStyle name="Comma_ " xfId="54"/>
    <cellStyle name="Comma0" xfId="55"/>
    <cellStyle name="Currency" xfId="56"/>
    <cellStyle name="Currency [0]_ SG&amp;A Bridge " xfId="57"/>
    <cellStyle name="Currency_ " xfId="58"/>
    <cellStyle name="Currency0" xfId="59"/>
    <cellStyle name="Date" xfId="60"/>
    <cellStyle name="Fixed" xfId="61"/>
    <cellStyle name="FORM" xfId="62"/>
    <cellStyle name="Good 2" xfId="63"/>
    <cellStyle name="Good 2 10" xfId="64"/>
    <cellStyle name="Good 2 11" xfId="65"/>
    <cellStyle name="Good 2 12" xfId="66"/>
    <cellStyle name="Good 2 13" xfId="67"/>
    <cellStyle name="Good 2 14" xfId="68"/>
    <cellStyle name="Good 2 15" xfId="69"/>
    <cellStyle name="Good 2 16" xfId="70"/>
    <cellStyle name="Good 2 17" xfId="71"/>
    <cellStyle name="Good 2 18" xfId="72"/>
    <cellStyle name="Good 2 19" xfId="73"/>
    <cellStyle name="Good 2 2" xfId="74"/>
    <cellStyle name="Good 2 20" xfId="75"/>
    <cellStyle name="Good 2 21" xfId="302"/>
    <cellStyle name="Good 2 3" xfId="76"/>
    <cellStyle name="Good 2 4" xfId="77"/>
    <cellStyle name="Good 2 5" xfId="78"/>
    <cellStyle name="Good 2 6" xfId="79"/>
    <cellStyle name="Good 2 7" xfId="80"/>
    <cellStyle name="Good 2 8" xfId="81"/>
    <cellStyle name="Good 2 9" xfId="82"/>
    <cellStyle name="Grey" xfId="83"/>
    <cellStyle name="Header1" xfId="84"/>
    <cellStyle name="Header2" xfId="85"/>
    <cellStyle name="Heading 1" xfId="86"/>
    <cellStyle name="Heading 2" xfId="87"/>
    <cellStyle name="Heading1" xfId="88"/>
    <cellStyle name="Heading2" xfId="89"/>
    <cellStyle name="Input" xfId="90"/>
    <cellStyle name="Input [yellow]" xfId="91"/>
    <cellStyle name="Moeda [0]_PLDT" xfId="92"/>
    <cellStyle name="Moeda_PLDT" xfId="93"/>
    <cellStyle name="Neutral 2" xfId="94"/>
    <cellStyle name="Neutral 2 10" xfId="95"/>
    <cellStyle name="Neutral 2 11" xfId="96"/>
    <cellStyle name="Neutral 2 12" xfId="97"/>
    <cellStyle name="Neutral 2 13" xfId="98"/>
    <cellStyle name="Neutral 2 14" xfId="99"/>
    <cellStyle name="Neutral 2 15" xfId="100"/>
    <cellStyle name="Neutral 2 16" xfId="101"/>
    <cellStyle name="Neutral 2 17" xfId="102"/>
    <cellStyle name="Neutral 2 18" xfId="103"/>
    <cellStyle name="Neutral 2 19" xfId="104"/>
    <cellStyle name="Neutral 2 2" xfId="105"/>
    <cellStyle name="Neutral 2 20" xfId="106"/>
    <cellStyle name="Neutral 2 21" xfId="303"/>
    <cellStyle name="Neutral 2 3" xfId="107"/>
    <cellStyle name="Neutral 2 4" xfId="108"/>
    <cellStyle name="Neutral 2 5" xfId="109"/>
    <cellStyle name="Neutral 2 6" xfId="110"/>
    <cellStyle name="Neutral 2 7" xfId="111"/>
    <cellStyle name="Neutral 2 8" xfId="112"/>
    <cellStyle name="Neutral 2 9" xfId="113"/>
    <cellStyle name="Normal - Style1" xfId="114"/>
    <cellStyle name="Normal - Style1 2" xfId="115"/>
    <cellStyle name="Normal - Style1 3" xfId="116"/>
    <cellStyle name="Normal 2" xfId="117"/>
    <cellStyle name="Normal 2 2" xfId="118"/>
    <cellStyle name="Normal 3" xfId="119"/>
    <cellStyle name="Normal_ " xfId="120"/>
    <cellStyle name="NOTEWRAP" xfId="121"/>
    <cellStyle name="Percent" xfId="122"/>
    <cellStyle name="Percent [2]" xfId="123"/>
    <cellStyle name="Percent 2" xfId="124"/>
    <cellStyle name="Percent 2 2" xfId="125"/>
    <cellStyle name="Percent 2 2 10" xfId="126"/>
    <cellStyle name="Percent 2 2 11" xfId="127"/>
    <cellStyle name="Percent 2 2 12" xfId="128"/>
    <cellStyle name="Percent 2 2 13" xfId="129"/>
    <cellStyle name="Percent 2 2 14" xfId="130"/>
    <cellStyle name="Percent 2 2 15" xfId="131"/>
    <cellStyle name="Percent 2 2 16" xfId="132"/>
    <cellStyle name="Percent 2 2 17" xfId="133"/>
    <cellStyle name="Percent 2 2 18" xfId="134"/>
    <cellStyle name="Percent 2 2 19" xfId="135"/>
    <cellStyle name="Percent 2 2 2" xfId="136"/>
    <cellStyle name="Percent 2 2 20" xfId="137"/>
    <cellStyle name="Percent 2 2 21" xfId="138"/>
    <cellStyle name="Percent 2 2 22" xfId="139"/>
    <cellStyle name="Percent 2 2 23" xfId="140"/>
    <cellStyle name="Percent 2 2 24" xfId="141"/>
    <cellStyle name="Percent 2 2 25" xfId="304"/>
    <cellStyle name="Percent 2 2 3" xfId="142"/>
    <cellStyle name="Percent 2 2 4" xfId="143"/>
    <cellStyle name="Percent 2 2 5" xfId="144"/>
    <cellStyle name="Percent 2 2 6" xfId="145"/>
    <cellStyle name="Percent 2 2 7" xfId="146"/>
    <cellStyle name="Percent 2 2 8" xfId="147"/>
    <cellStyle name="Percent 2 2 9" xfId="148"/>
    <cellStyle name="Percent_EDPRCIVI" xfId="149"/>
    <cellStyle name="Result" xfId="150"/>
    <cellStyle name="Separador de milhares [0]_PLDT" xfId="151"/>
    <cellStyle name="Separador de milhares_PLDT" xfId="152"/>
    <cellStyle name="Total" xfId="153"/>
    <cellStyle name="백분율 2" xfId="154"/>
    <cellStyle name="백분율 2 2" xfId="155"/>
    <cellStyle name="백분율 3" xfId="156"/>
    <cellStyle name="백분율 4" xfId="298"/>
    <cellStyle name="뷭?_BOOKSHIP" xfId="157"/>
    <cellStyle name="쉼표 [0] 2" xfId="158"/>
    <cellStyle name="쉼표 [0] 2 2" xfId="159"/>
    <cellStyle name="쉼표 [0] 3" xfId="160"/>
    <cellStyle name="쉼표 2" xfId="297"/>
    <cellStyle name="콤마 [0]__pump_cent(intermediate)" xfId="161"/>
    <cellStyle name="콤마__pump_cent(intermediate)" xfId="162"/>
    <cellStyle name="통화 [0] 2" xfId="163"/>
    <cellStyle name="표준" xfId="0" builtinId="0"/>
    <cellStyle name="표준 2" xfId="1"/>
    <cellStyle name="標準 2" xfId="164"/>
    <cellStyle name="표준 2 10" xfId="165"/>
    <cellStyle name="표준 2 11" xfId="166"/>
    <cellStyle name="표준 2 12" xfId="167"/>
    <cellStyle name="표준 2 13" xfId="168"/>
    <cellStyle name="표준 2 14" xfId="169"/>
    <cellStyle name="표준 2 15" xfId="170"/>
    <cellStyle name="표준 2 16" xfId="171"/>
    <cellStyle name="표준 2 17" xfId="172"/>
    <cellStyle name="표준 2 18" xfId="173"/>
    <cellStyle name="표준 2 19" xfId="174"/>
    <cellStyle name="표준 2 2" xfId="175"/>
    <cellStyle name="표준 2 2 10" xfId="176"/>
    <cellStyle name="표준 2 2 11" xfId="177"/>
    <cellStyle name="표준 2 2 12" xfId="178"/>
    <cellStyle name="표준 2 2 13" xfId="179"/>
    <cellStyle name="표준 2 2 14" xfId="180"/>
    <cellStyle name="표준 2 2 15" xfId="181"/>
    <cellStyle name="표준 2 2 16" xfId="182"/>
    <cellStyle name="표준 2 2 17" xfId="183"/>
    <cellStyle name="표준 2 2 18" xfId="184"/>
    <cellStyle name="표준 2 2 19" xfId="185"/>
    <cellStyle name="표준 2 2 2" xfId="186"/>
    <cellStyle name="표준 2 2 2 2" xfId="187"/>
    <cellStyle name="표준 2 2 20" xfId="188"/>
    <cellStyle name="표준 2 2 21" xfId="189"/>
    <cellStyle name="표준 2 2 22" xfId="190"/>
    <cellStyle name="표준 2 2 23" xfId="191"/>
    <cellStyle name="표준 2 2 24" xfId="192"/>
    <cellStyle name="표준 2 2 25" xfId="193"/>
    <cellStyle name="표준 2 2 26" xfId="194"/>
    <cellStyle name="표준 2 2 27" xfId="195"/>
    <cellStyle name="표준 2 2 28" xfId="196"/>
    <cellStyle name="표준 2 2 29" xfId="197"/>
    <cellStyle name="표준 2 2 3" xfId="198"/>
    <cellStyle name="표준 2 2 30" xfId="199"/>
    <cellStyle name="표준 2 2 31" xfId="200"/>
    <cellStyle name="표준 2 2 32" xfId="201"/>
    <cellStyle name="표준 2 2 33" xfId="202"/>
    <cellStyle name="표준 2 2 34" xfId="203"/>
    <cellStyle name="표준 2 2 35" xfId="204"/>
    <cellStyle name="표준 2 2 36" xfId="205"/>
    <cellStyle name="표준 2 2 37" xfId="206"/>
    <cellStyle name="표준 2 2 38" xfId="207"/>
    <cellStyle name="표준 2 2 39" xfId="208"/>
    <cellStyle name="표준 2 2 4" xfId="209"/>
    <cellStyle name="표준 2 2 40" xfId="210"/>
    <cellStyle name="표준 2 2 41" xfId="211"/>
    <cellStyle name="표준 2 2 42" xfId="212"/>
    <cellStyle name="표준 2 2 43" xfId="213"/>
    <cellStyle name="표준 2 2 44" xfId="214"/>
    <cellStyle name="표준 2 2 45" xfId="215"/>
    <cellStyle name="표준 2 2 46" xfId="216"/>
    <cellStyle name="표준 2 2 47" xfId="217"/>
    <cellStyle name="표준 2 2 48" xfId="218"/>
    <cellStyle name="표준 2 2 49" xfId="219"/>
    <cellStyle name="표준 2 2 5" xfId="220"/>
    <cellStyle name="표준 2 2 50" xfId="221"/>
    <cellStyle name="표준 2 2 51" xfId="222"/>
    <cellStyle name="표준 2 2 52" xfId="223"/>
    <cellStyle name="표준 2 2 6" xfId="224"/>
    <cellStyle name="표준 2 2 7" xfId="225"/>
    <cellStyle name="표준 2 2 8" xfId="226"/>
    <cellStyle name="표준 2 2 9" xfId="227"/>
    <cellStyle name="표준 2 20" xfId="228"/>
    <cellStyle name="표준 2 21" xfId="229"/>
    <cellStyle name="표준 2 22" xfId="230"/>
    <cellStyle name="표준 2 23" xfId="231"/>
    <cellStyle name="표준 2 24" xfId="232"/>
    <cellStyle name="표준 2 25" xfId="233"/>
    <cellStyle name="표준 2 26" xfId="234"/>
    <cellStyle name="표준 2 27" xfId="235"/>
    <cellStyle name="표준 2 28" xfId="236"/>
    <cellStyle name="표준 2 29" xfId="237"/>
    <cellStyle name="표준 2 3" xfId="238"/>
    <cellStyle name="표준 2 3 2" xfId="239"/>
    <cellStyle name="표준 2 3 3" xfId="240"/>
    <cellStyle name="표준 2 3 4" xfId="241"/>
    <cellStyle name="표준 2 30" xfId="242"/>
    <cellStyle name="표준 2 31" xfId="243"/>
    <cellStyle name="표준 2 32" xfId="244"/>
    <cellStyle name="표준 2 33" xfId="245"/>
    <cellStyle name="표준 2 34" xfId="246"/>
    <cellStyle name="표준 2 35" xfId="247"/>
    <cellStyle name="표준 2 36" xfId="248"/>
    <cellStyle name="표준 2 37" xfId="249"/>
    <cellStyle name="표준 2 38" xfId="250"/>
    <cellStyle name="표준 2 39" xfId="251"/>
    <cellStyle name="표준 2 4" xfId="252"/>
    <cellStyle name="표준 2 4 2" xfId="253"/>
    <cellStyle name="표준 2 4 3" xfId="254"/>
    <cellStyle name="표준 2 40" xfId="255"/>
    <cellStyle name="표준 2 41" xfId="256"/>
    <cellStyle name="표준 2 42" xfId="257"/>
    <cellStyle name="표준 2 43" xfId="258"/>
    <cellStyle name="표준 2 44" xfId="259"/>
    <cellStyle name="표준 2 45" xfId="260"/>
    <cellStyle name="표준 2 46" xfId="261"/>
    <cellStyle name="표준 2 47" xfId="262"/>
    <cellStyle name="표준 2 48" xfId="263"/>
    <cellStyle name="표준 2 49" xfId="264"/>
    <cellStyle name="표준 2 5" xfId="265"/>
    <cellStyle name="표준 2 5 2" xfId="266"/>
    <cellStyle name="표준 2 5 3" xfId="267"/>
    <cellStyle name="표준 2 50" xfId="268"/>
    <cellStyle name="표준 2 51" xfId="269"/>
    <cellStyle name="표준 2 52" xfId="270"/>
    <cellStyle name="표준 2 53" xfId="271"/>
    <cellStyle name="표준 2 54" xfId="272"/>
    <cellStyle name="표준 2 55" xfId="273"/>
    <cellStyle name="표준 2 56" xfId="274"/>
    <cellStyle name="표준 2 57" xfId="275"/>
    <cellStyle name="표준 2 58" xfId="276"/>
    <cellStyle name="표준 2 59" xfId="277"/>
    <cellStyle name="표준 2 6" xfId="278"/>
    <cellStyle name="표준 2 60" xfId="279"/>
    <cellStyle name="표준 2 61" xfId="280"/>
    <cellStyle name="표준 2 62" xfId="305"/>
    <cellStyle name="표준 2 7" xfId="281"/>
    <cellStyle name="표준 2 8" xfId="282"/>
    <cellStyle name="표준 2 9" xfId="283"/>
    <cellStyle name="표준 28" xfId="284"/>
    <cellStyle name="표준 28 2" xfId="285"/>
    <cellStyle name="표준 3" xfId="286"/>
    <cellStyle name="표준 3 2" xfId="287"/>
    <cellStyle name="표준 3 2 2" xfId="288"/>
    <cellStyle name="표준 3 2 3" xfId="289"/>
    <cellStyle name="표준 3 3" xfId="290"/>
    <cellStyle name="표준 4" xfId="299"/>
    <cellStyle name="표준 4 2" xfId="291"/>
    <cellStyle name="표준 4 3" xfId="292"/>
    <cellStyle name="표준 4 4" xfId="293"/>
    <cellStyle name="표준 4 5" xfId="294"/>
    <cellStyle name="표준 4 6" xfId="295"/>
    <cellStyle name="標準_Short Spec_PC_Agitator" xfId="296"/>
  </cellStyles>
  <dxfs count="5">
    <dxf>
      <fill>
        <patternFill>
          <bgColor rgb="FFFFFF99"/>
        </patternFill>
      </fill>
    </dxf>
    <dxf>
      <font>
        <color rgb="FFFF0000"/>
      </font>
    </dxf>
    <dxf>
      <font>
        <color rgb="FF0000FF"/>
      </font>
    </dxf>
    <dxf>
      <fill>
        <patternFill>
          <bgColor rgb="FFCCFFCC"/>
        </patternFill>
      </fill>
    </dxf>
    <dxf>
      <font>
        <color rgb="FF0000FF"/>
      </font>
      <fill>
        <patternFill>
          <bgColor rgb="FFFFFF00"/>
        </patternFill>
      </fill>
    </dxf>
  </dxfs>
  <tableStyles count="0" defaultTableStyle="TableStyleMedium9" defaultPivotStyle="PivotStyleLight16"/>
  <colors>
    <mruColors>
      <color rgb="FFCCFFCC"/>
      <color rgb="FF0000FF"/>
      <color rgb="FF00FFFF"/>
      <color rgb="FF66CCFF"/>
      <color rgb="FF3366FF"/>
      <color rgb="FFFFFF99"/>
      <color rgb="FF66FFCC"/>
      <color rgb="FFFF9900"/>
      <color rgb="FF00FF99"/>
      <color rgb="FFDDDDDD"/>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235325</xdr:colOff>
      <xdr:row>3</xdr:row>
      <xdr:rowOff>100852</xdr:rowOff>
    </xdr:from>
    <xdr:to>
      <xdr:col>2</xdr:col>
      <xdr:colOff>728383</xdr:colOff>
      <xdr:row>6</xdr:row>
      <xdr:rowOff>123264</xdr:rowOff>
    </xdr:to>
    <xdr:sp macro="" textlink="">
      <xdr:nvSpPr>
        <xdr:cNvPr id="2" name="직사각형 1"/>
        <xdr:cNvSpPr/>
      </xdr:nvSpPr>
      <xdr:spPr bwMode="auto">
        <a:xfrm>
          <a:off x="235325" y="582705"/>
          <a:ext cx="2196352" cy="526677"/>
        </a:xfrm>
        <a:prstGeom prst="rect">
          <a:avLst/>
        </a:prstGeom>
        <a:solidFill>
          <a:schemeClr val="bg1"/>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ctr"/>
          <a:r>
            <a:rPr lang="en-US" altLang="ko-KR" sz="1400" b="0"/>
            <a:t>71-105-J A/B/C</a:t>
          </a:r>
          <a:r>
            <a:rPr lang="en-US" altLang="ko-KR" sz="1400" b="0" baseline="0"/>
            <a:t> </a:t>
          </a:r>
          <a:br>
            <a:rPr lang="en-US" altLang="ko-KR" sz="1400" b="0" baseline="0"/>
          </a:br>
          <a:r>
            <a:rPr lang="en-US" altLang="ko-KR" sz="1400" b="0" baseline="0"/>
            <a:t>(CASE1)</a:t>
          </a:r>
        </a:p>
      </xdr:txBody>
    </xdr:sp>
    <xdr:clientData/>
  </xdr:twoCellAnchor>
  <xdr:twoCellAnchor>
    <xdr:from>
      <xdr:col>6</xdr:col>
      <xdr:colOff>589990</xdr:colOff>
      <xdr:row>22</xdr:row>
      <xdr:rowOff>121025</xdr:rowOff>
    </xdr:from>
    <xdr:to>
      <xdr:col>8</xdr:col>
      <xdr:colOff>466165</xdr:colOff>
      <xdr:row>22</xdr:row>
      <xdr:rowOff>121025</xdr:rowOff>
    </xdr:to>
    <xdr:cxnSp macro="">
      <xdr:nvCxnSpPr>
        <xdr:cNvPr id="3" name="직선 화살표 연결선 183"/>
        <xdr:cNvCxnSpPr>
          <a:cxnSpLocks noChangeShapeType="1"/>
        </xdr:cNvCxnSpPr>
      </xdr:nvCxnSpPr>
      <xdr:spPr bwMode="auto">
        <a:xfrm flipV="1">
          <a:off x="5229225" y="3796554"/>
          <a:ext cx="1265705" cy="0"/>
        </a:xfrm>
        <a:prstGeom prst="straightConnector1">
          <a:avLst/>
        </a:prstGeom>
        <a:noFill/>
        <a:ln w="9525" algn="ctr">
          <a:solidFill>
            <a:srgbClr val="000000"/>
          </a:solidFill>
          <a:round/>
          <a:headEnd/>
          <a:tailEnd type="triangle" w="sm" len="med"/>
        </a:ln>
      </xdr:spPr>
    </xdr:cxnSp>
    <xdr:clientData/>
  </xdr:twoCellAnchor>
  <xdr:twoCellAnchor>
    <xdr:from>
      <xdr:col>4</xdr:col>
      <xdr:colOff>38100</xdr:colOff>
      <xdr:row>22</xdr:row>
      <xdr:rowOff>121025</xdr:rowOff>
    </xdr:from>
    <xdr:to>
      <xdr:col>6</xdr:col>
      <xdr:colOff>513790</xdr:colOff>
      <xdr:row>22</xdr:row>
      <xdr:rowOff>121025</xdr:rowOff>
    </xdr:to>
    <xdr:cxnSp macro="">
      <xdr:nvCxnSpPr>
        <xdr:cNvPr id="4" name="직선 화살표 연결선 183"/>
        <xdr:cNvCxnSpPr>
          <a:cxnSpLocks noChangeShapeType="1"/>
        </xdr:cNvCxnSpPr>
      </xdr:nvCxnSpPr>
      <xdr:spPr bwMode="auto">
        <a:xfrm>
          <a:off x="3287806" y="3796554"/>
          <a:ext cx="1865219" cy="0"/>
        </a:xfrm>
        <a:prstGeom prst="straightConnector1">
          <a:avLst/>
        </a:prstGeom>
        <a:noFill/>
        <a:ln w="9525" algn="ctr">
          <a:solidFill>
            <a:srgbClr val="000000"/>
          </a:solidFill>
          <a:round/>
          <a:headEnd/>
          <a:tailEnd type="triangle" w="sm" len="med"/>
        </a:ln>
      </xdr:spPr>
    </xdr:cxnSp>
    <xdr:clientData/>
  </xdr:twoCellAnchor>
  <xdr:twoCellAnchor>
    <xdr:from>
      <xdr:col>1</xdr:col>
      <xdr:colOff>462243</xdr:colOff>
      <xdr:row>19</xdr:row>
      <xdr:rowOff>82924</xdr:rowOff>
    </xdr:from>
    <xdr:to>
      <xdr:col>1</xdr:col>
      <xdr:colOff>462243</xdr:colOff>
      <xdr:row>23</xdr:row>
      <xdr:rowOff>67236</xdr:rowOff>
    </xdr:to>
    <xdr:cxnSp macro="">
      <xdr:nvCxnSpPr>
        <xdr:cNvPr id="5" name="직선 화살표 연결선 182"/>
        <xdr:cNvCxnSpPr>
          <a:cxnSpLocks noChangeShapeType="1"/>
        </xdr:cNvCxnSpPr>
      </xdr:nvCxnSpPr>
      <xdr:spPr bwMode="auto">
        <a:xfrm rot="16200000" flipH="1">
          <a:off x="985557" y="3582522"/>
          <a:ext cx="656665" cy="0"/>
        </a:xfrm>
        <a:prstGeom prst="straightConnector1">
          <a:avLst/>
        </a:prstGeom>
        <a:noFill/>
        <a:ln w="9525" algn="ctr">
          <a:solidFill>
            <a:srgbClr val="000000"/>
          </a:solidFill>
          <a:round/>
          <a:headEnd/>
          <a:tailEnd type="triangle" w="sm" len="med"/>
        </a:ln>
      </xdr:spPr>
    </xdr:cxnSp>
    <xdr:clientData/>
  </xdr:twoCellAnchor>
  <xdr:twoCellAnchor>
    <xdr:from>
      <xdr:col>1</xdr:col>
      <xdr:colOff>847165</xdr:colOff>
      <xdr:row>22</xdr:row>
      <xdr:rowOff>82925</xdr:rowOff>
    </xdr:from>
    <xdr:to>
      <xdr:col>2</xdr:col>
      <xdr:colOff>551890</xdr:colOff>
      <xdr:row>24</xdr:row>
      <xdr:rowOff>111499</xdr:rowOff>
    </xdr:to>
    <xdr:grpSp>
      <xdr:nvGrpSpPr>
        <xdr:cNvPr id="6" name="Group1840"/>
        <xdr:cNvGrpSpPr>
          <a:grpSpLocks/>
        </xdr:cNvGrpSpPr>
      </xdr:nvGrpSpPr>
      <xdr:grpSpPr bwMode="auto">
        <a:xfrm>
          <a:off x="1698812" y="3758454"/>
          <a:ext cx="556372" cy="364751"/>
          <a:chOff x="224" y="294"/>
          <a:chExt cx="28" cy="26"/>
        </a:xfrm>
      </xdr:grpSpPr>
      <xdr:sp macro="" textlink="">
        <xdr:nvSpPr>
          <xdr:cNvPr id="7" name="ori1"/>
          <xdr:cNvSpPr>
            <a:spLocks noChangeArrowheads="1"/>
          </xdr:cNvSpPr>
        </xdr:nvSpPr>
        <xdr:spPr bwMode="auto">
          <a:xfrm>
            <a:off x="225" y="304"/>
            <a:ext cx="1" cy="1"/>
          </a:xfrm>
          <a:prstGeom prst="rect">
            <a:avLst/>
          </a:prstGeom>
          <a:noFill/>
          <a:ln w="9525">
            <a:noFill/>
            <a:miter lim="800000"/>
            <a:headEnd/>
            <a:tailEnd/>
          </a:ln>
        </xdr:spPr>
      </xdr:sp>
      <xdr:sp macro="" textlink="">
        <xdr:nvSpPr>
          <xdr:cNvPr id="8" name="ori2"/>
          <xdr:cNvSpPr>
            <a:spLocks noChangeArrowheads="1"/>
          </xdr:cNvSpPr>
        </xdr:nvSpPr>
        <xdr:spPr bwMode="auto">
          <a:xfrm>
            <a:off x="251" y="297"/>
            <a:ext cx="1" cy="1"/>
          </a:xfrm>
          <a:prstGeom prst="rect">
            <a:avLst/>
          </a:prstGeom>
          <a:noFill/>
          <a:ln w="9525">
            <a:noFill/>
            <a:miter lim="800000"/>
            <a:headEnd/>
            <a:tailEnd/>
          </a:ln>
        </xdr:spPr>
      </xdr:sp>
      <xdr:grpSp>
        <xdr:nvGrpSpPr>
          <xdr:cNvPr id="9" name="symb"/>
          <xdr:cNvGrpSpPr>
            <a:grpSpLocks/>
          </xdr:cNvGrpSpPr>
        </xdr:nvGrpSpPr>
        <xdr:grpSpPr bwMode="auto">
          <a:xfrm>
            <a:off x="219" y="294"/>
            <a:ext cx="27" cy="26"/>
            <a:chOff x="121" y="83"/>
            <a:chExt cx="29" cy="26"/>
          </a:xfrm>
        </xdr:grpSpPr>
        <xdr:sp macro="" textlink="">
          <xdr:nvSpPr>
            <xdr:cNvPr id="10" name="Rectangle 463"/>
            <xdr:cNvSpPr>
              <a:spLocks noChangeArrowheads="1"/>
            </xdr:cNvSpPr>
          </xdr:nvSpPr>
          <xdr:spPr bwMode="auto">
            <a:xfrm>
              <a:off x="133" y="83"/>
              <a:ext cx="17" cy="8"/>
            </a:xfrm>
            <a:prstGeom prst="rect">
              <a:avLst/>
            </a:prstGeom>
            <a:gradFill rotWithShape="0">
              <a:gsLst>
                <a:gs pos="0">
                  <a:srgbClr val="FFFFFF"/>
                </a:gs>
                <a:gs pos="100000">
                  <a:srgbClr val="8A8A8A"/>
                </a:gs>
              </a:gsLst>
              <a:path path="shape">
                <a:fillToRect l="50000" t="50000" r="50000" b="50000"/>
              </a:path>
            </a:gradFill>
            <a:ln w="12700">
              <a:solidFill>
                <a:srgbClr val="000000"/>
              </a:solidFill>
              <a:miter lim="800000"/>
              <a:headEnd/>
              <a:tailEnd/>
            </a:ln>
          </xdr:spPr>
        </xdr:sp>
        <xdr:sp macro="" textlink="">
          <xdr:nvSpPr>
            <xdr:cNvPr id="11" name="AutoShape 464"/>
            <xdr:cNvSpPr>
              <a:spLocks noChangeArrowheads="1"/>
            </xdr:cNvSpPr>
          </xdr:nvSpPr>
          <xdr:spPr bwMode="auto">
            <a:xfrm>
              <a:off x="121" y="90"/>
              <a:ext cx="23" cy="19"/>
            </a:xfrm>
            <a:prstGeom prst="triangle">
              <a:avLst>
                <a:gd name="adj" fmla="val 50000"/>
              </a:avLst>
            </a:prstGeom>
            <a:gradFill rotWithShape="0">
              <a:gsLst>
                <a:gs pos="0">
                  <a:srgbClr val="FFFFFF"/>
                </a:gs>
                <a:gs pos="100000">
                  <a:srgbClr val="8A8A8A"/>
                </a:gs>
              </a:gsLst>
              <a:path path="shape">
                <a:fillToRect l="50000" t="50000" r="50000" b="50000"/>
              </a:path>
            </a:gradFill>
            <a:ln w="12700">
              <a:solidFill>
                <a:srgbClr val="000000"/>
              </a:solidFill>
              <a:miter lim="800000"/>
              <a:headEnd/>
              <a:tailEnd/>
            </a:ln>
          </xdr:spPr>
        </xdr:sp>
        <xdr:sp macro="" textlink="">
          <xdr:nvSpPr>
            <xdr:cNvPr id="12" name="Oval 465"/>
            <xdr:cNvSpPr>
              <a:spLocks noChangeArrowheads="1"/>
            </xdr:cNvSpPr>
          </xdr:nvSpPr>
          <xdr:spPr bwMode="auto">
            <a:xfrm>
              <a:off x="122" y="83"/>
              <a:ext cx="22" cy="21"/>
            </a:xfrm>
            <a:prstGeom prst="ellipse">
              <a:avLst/>
            </a:prstGeom>
            <a:gradFill rotWithShape="0">
              <a:gsLst>
                <a:gs pos="0">
                  <a:srgbClr val="FFFFFF"/>
                </a:gs>
                <a:gs pos="100000">
                  <a:srgbClr val="8A8A8A"/>
                </a:gs>
              </a:gsLst>
              <a:path path="shape">
                <a:fillToRect l="50000" t="50000" r="50000" b="50000"/>
              </a:path>
            </a:gradFill>
            <a:ln w="12700">
              <a:solidFill>
                <a:srgbClr val="000000"/>
              </a:solidFill>
              <a:round/>
              <a:headEnd/>
              <a:tailEnd/>
            </a:ln>
          </xdr:spPr>
        </xdr:sp>
        <xdr:sp macro="" textlink="">
          <xdr:nvSpPr>
            <xdr:cNvPr id="13" name="Oval 466"/>
            <xdr:cNvSpPr>
              <a:spLocks noChangeArrowheads="1"/>
            </xdr:cNvSpPr>
          </xdr:nvSpPr>
          <xdr:spPr bwMode="auto">
            <a:xfrm>
              <a:off x="131" y="92"/>
              <a:ext cx="3" cy="3"/>
            </a:xfrm>
            <a:prstGeom prst="ellipse">
              <a:avLst/>
            </a:prstGeom>
            <a:gradFill rotWithShape="0">
              <a:gsLst>
                <a:gs pos="0">
                  <a:srgbClr val="FFFFFF"/>
                </a:gs>
                <a:gs pos="100000">
                  <a:srgbClr val="8A8A8A"/>
                </a:gs>
              </a:gsLst>
              <a:path path="shape">
                <a:fillToRect l="50000" t="50000" r="50000" b="50000"/>
              </a:path>
            </a:gradFill>
            <a:ln w="12700">
              <a:solidFill>
                <a:srgbClr val="000000"/>
              </a:solidFill>
              <a:round/>
              <a:headEnd/>
              <a:tailEnd/>
            </a:ln>
          </xdr:spPr>
        </xdr:sp>
      </xdr:grpSp>
    </xdr:grpSp>
    <xdr:clientData/>
  </xdr:twoCellAnchor>
  <xdr:twoCellAnchor>
    <xdr:from>
      <xdr:col>1</xdr:col>
      <xdr:colOff>462243</xdr:colOff>
      <xdr:row>23</xdr:row>
      <xdr:rowOff>57711</xdr:rowOff>
    </xdr:from>
    <xdr:to>
      <xdr:col>2</xdr:col>
      <xdr:colOff>62193</xdr:colOff>
      <xdr:row>23</xdr:row>
      <xdr:rowOff>57711</xdr:rowOff>
    </xdr:to>
    <xdr:cxnSp macro="">
      <xdr:nvCxnSpPr>
        <xdr:cNvPr id="14" name="직선 화살표 연결선 183"/>
        <xdr:cNvCxnSpPr>
          <a:cxnSpLocks noChangeShapeType="1"/>
        </xdr:cNvCxnSpPr>
      </xdr:nvCxnSpPr>
      <xdr:spPr bwMode="auto">
        <a:xfrm flipV="1">
          <a:off x="1313890" y="3901329"/>
          <a:ext cx="451597" cy="0"/>
        </a:xfrm>
        <a:prstGeom prst="straightConnector1">
          <a:avLst/>
        </a:prstGeom>
        <a:noFill/>
        <a:ln w="9525" algn="ctr">
          <a:solidFill>
            <a:srgbClr val="000000"/>
          </a:solidFill>
          <a:round/>
          <a:headEnd/>
          <a:tailEnd type="triangle" w="sm" len="med"/>
        </a:ln>
      </xdr:spPr>
    </xdr:cxnSp>
    <xdr:clientData/>
  </xdr:twoCellAnchor>
  <xdr:twoCellAnchor>
    <xdr:from>
      <xdr:col>1</xdr:col>
      <xdr:colOff>799540</xdr:colOff>
      <xdr:row>19</xdr:row>
      <xdr:rowOff>76761</xdr:rowOff>
    </xdr:from>
    <xdr:to>
      <xdr:col>3</xdr:col>
      <xdr:colOff>109818</xdr:colOff>
      <xdr:row>19</xdr:row>
      <xdr:rowOff>76761</xdr:rowOff>
    </xdr:to>
    <xdr:cxnSp macro="">
      <xdr:nvCxnSpPr>
        <xdr:cNvPr id="15" name="직선 연결선 466"/>
        <xdr:cNvCxnSpPr>
          <a:cxnSpLocks noChangeShapeType="1"/>
        </xdr:cNvCxnSpPr>
      </xdr:nvCxnSpPr>
      <xdr:spPr bwMode="auto">
        <a:xfrm>
          <a:off x="1651187" y="3248026"/>
          <a:ext cx="1013572" cy="0"/>
        </a:xfrm>
        <a:prstGeom prst="line">
          <a:avLst/>
        </a:prstGeom>
        <a:noFill/>
        <a:ln w="12700" algn="ctr">
          <a:solidFill>
            <a:srgbClr val="000000"/>
          </a:solidFill>
          <a:round/>
          <a:headEnd/>
          <a:tailEnd/>
        </a:ln>
      </xdr:spPr>
    </xdr:cxnSp>
    <xdr:clientData/>
  </xdr:twoCellAnchor>
  <xdr:twoCellAnchor>
    <xdr:from>
      <xdr:col>1</xdr:col>
      <xdr:colOff>460614</xdr:colOff>
      <xdr:row>24</xdr:row>
      <xdr:rowOff>125195</xdr:rowOff>
    </xdr:from>
    <xdr:to>
      <xdr:col>2</xdr:col>
      <xdr:colOff>685240</xdr:colOff>
      <xdr:row>26</xdr:row>
      <xdr:rowOff>71841</xdr:rowOff>
    </xdr:to>
    <xdr:sp macro="" textlink="">
      <xdr:nvSpPr>
        <xdr:cNvPr id="16" name="TextBox 15"/>
        <xdr:cNvSpPr txBox="1"/>
      </xdr:nvSpPr>
      <xdr:spPr>
        <a:xfrm>
          <a:off x="1312261" y="4136901"/>
          <a:ext cx="1076273" cy="2828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71-105-JA/B</a:t>
          </a:r>
          <a:endParaRPr lang="ko-KR" altLang="en-US" sz="1100" u="sng"/>
        </a:p>
      </xdr:txBody>
    </xdr:sp>
    <xdr:clientData/>
  </xdr:twoCellAnchor>
  <xdr:twoCellAnchor>
    <xdr:from>
      <xdr:col>2</xdr:col>
      <xdr:colOff>13416</xdr:colOff>
      <xdr:row>17</xdr:row>
      <xdr:rowOff>105717</xdr:rowOff>
    </xdr:from>
    <xdr:to>
      <xdr:col>4</xdr:col>
      <xdr:colOff>186417</xdr:colOff>
      <xdr:row>19</xdr:row>
      <xdr:rowOff>49467</xdr:rowOff>
    </xdr:to>
    <xdr:sp macro="" textlink="">
      <xdr:nvSpPr>
        <xdr:cNvPr id="17" name="TextBox 16"/>
        <xdr:cNvSpPr txBox="1"/>
      </xdr:nvSpPr>
      <xdr:spPr>
        <a:xfrm>
          <a:off x="1716710" y="2940805"/>
          <a:ext cx="1719413" cy="27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(EL:</a:t>
          </a:r>
          <a:r>
            <a:rPr lang="en-US" altLang="ko-KR" sz="1100" u="none" baseline="0"/>
            <a:t> 2.67m)</a:t>
          </a:r>
        </a:p>
      </xdr:txBody>
    </xdr:sp>
    <xdr:clientData/>
  </xdr:twoCellAnchor>
  <xdr:twoCellAnchor>
    <xdr:from>
      <xdr:col>1</xdr:col>
      <xdr:colOff>745160</xdr:colOff>
      <xdr:row>10</xdr:row>
      <xdr:rowOff>140074</xdr:rowOff>
    </xdr:from>
    <xdr:to>
      <xdr:col>3</xdr:col>
      <xdr:colOff>620416</xdr:colOff>
      <xdr:row>13</xdr:row>
      <xdr:rowOff>36639</xdr:rowOff>
    </xdr:to>
    <xdr:sp macro="" textlink="">
      <xdr:nvSpPr>
        <xdr:cNvPr id="18" name="TextBox 17"/>
        <xdr:cNvSpPr txBox="1"/>
      </xdr:nvSpPr>
      <xdr:spPr>
        <a:xfrm>
          <a:off x="1596807" y="1798545"/>
          <a:ext cx="1578550" cy="400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200"/>
            <a:t>O.P.</a:t>
          </a:r>
          <a:r>
            <a:rPr lang="en-US" altLang="ko-KR" sz="1200" baseline="0"/>
            <a:t>  </a:t>
          </a:r>
        </a:p>
        <a:p>
          <a:r>
            <a:rPr lang="en-US" altLang="ko-KR" sz="1200" baseline="0"/>
            <a:t>3.16 kg/cm</a:t>
          </a:r>
          <a:r>
            <a:rPr lang="en-US" altLang="ko-KR" sz="1200" baseline="30000"/>
            <a:t>2</a:t>
          </a:r>
          <a:r>
            <a:rPr lang="en-US" altLang="ko-KR" sz="1200" baseline="0"/>
            <a:t>G</a:t>
          </a:r>
        </a:p>
      </xdr:txBody>
    </xdr:sp>
    <xdr:clientData/>
  </xdr:twoCellAnchor>
  <xdr:twoCellAnchor>
    <xdr:from>
      <xdr:col>1</xdr:col>
      <xdr:colOff>466165</xdr:colOff>
      <xdr:row>13</xdr:row>
      <xdr:rowOff>57711</xdr:rowOff>
    </xdr:from>
    <xdr:to>
      <xdr:col>1</xdr:col>
      <xdr:colOff>732865</xdr:colOff>
      <xdr:row>15</xdr:row>
      <xdr:rowOff>76761</xdr:rowOff>
    </xdr:to>
    <xdr:cxnSp macro="">
      <xdr:nvCxnSpPr>
        <xdr:cNvPr id="19" name="직선 화살표 연결선 729"/>
        <xdr:cNvCxnSpPr>
          <a:cxnSpLocks noChangeShapeType="1"/>
        </xdr:cNvCxnSpPr>
      </xdr:nvCxnSpPr>
      <xdr:spPr bwMode="auto">
        <a:xfrm rot="5400000">
          <a:off x="1273548" y="2264710"/>
          <a:ext cx="355227" cy="266700"/>
        </a:xfrm>
        <a:prstGeom prst="straightConnector1">
          <a:avLst/>
        </a:prstGeom>
        <a:noFill/>
        <a:ln w="9525" algn="ctr">
          <a:solidFill>
            <a:srgbClr val="000000"/>
          </a:solidFill>
          <a:round/>
          <a:headEnd/>
          <a:tailEnd type="triangle" w="sm" len="med"/>
        </a:ln>
      </xdr:spPr>
    </xdr:cxnSp>
    <xdr:clientData/>
  </xdr:twoCellAnchor>
  <xdr:twoCellAnchor>
    <xdr:from>
      <xdr:col>1</xdr:col>
      <xdr:colOff>723340</xdr:colOff>
      <xdr:row>13</xdr:row>
      <xdr:rowOff>67236</xdr:rowOff>
    </xdr:from>
    <xdr:to>
      <xdr:col>3</xdr:col>
      <xdr:colOff>523315</xdr:colOff>
      <xdr:row>13</xdr:row>
      <xdr:rowOff>67236</xdr:rowOff>
    </xdr:to>
    <xdr:cxnSp macro="">
      <xdr:nvCxnSpPr>
        <xdr:cNvPr id="20" name="직선 연결선 728"/>
        <xdr:cNvCxnSpPr>
          <a:cxnSpLocks noChangeShapeType="1"/>
        </xdr:cNvCxnSpPr>
      </xdr:nvCxnSpPr>
      <xdr:spPr bwMode="auto">
        <a:xfrm>
          <a:off x="1574987" y="2229971"/>
          <a:ext cx="1503269" cy="0"/>
        </a:xfrm>
        <a:prstGeom prst="line">
          <a:avLst/>
        </a:prstGeom>
        <a:noFill/>
        <a:ln w="9525" algn="ctr">
          <a:solidFill>
            <a:srgbClr val="000000"/>
          </a:solidFill>
          <a:round/>
          <a:headEnd/>
          <a:tailEnd/>
        </a:ln>
      </xdr:spPr>
    </xdr:cxnSp>
    <xdr:clientData/>
  </xdr:twoCellAnchor>
  <xdr:twoCellAnchor>
    <xdr:from>
      <xdr:col>2</xdr:col>
      <xdr:colOff>494740</xdr:colOff>
      <xdr:row>22</xdr:row>
      <xdr:rowOff>121025</xdr:rowOff>
    </xdr:from>
    <xdr:to>
      <xdr:col>4</xdr:col>
      <xdr:colOff>9525</xdr:colOff>
      <xdr:row>22</xdr:row>
      <xdr:rowOff>121025</xdr:rowOff>
    </xdr:to>
    <xdr:cxnSp macro="">
      <xdr:nvCxnSpPr>
        <xdr:cNvPr id="21" name="직선 화살표 연결선 183"/>
        <xdr:cNvCxnSpPr>
          <a:cxnSpLocks noChangeShapeType="1"/>
        </xdr:cNvCxnSpPr>
      </xdr:nvCxnSpPr>
      <xdr:spPr bwMode="auto">
        <a:xfrm flipV="1">
          <a:off x="2198034" y="3796554"/>
          <a:ext cx="1061197" cy="0"/>
        </a:xfrm>
        <a:prstGeom prst="straightConnector1">
          <a:avLst/>
        </a:prstGeom>
        <a:noFill/>
        <a:ln w="9525" algn="ctr">
          <a:solidFill>
            <a:srgbClr val="000000"/>
          </a:solidFill>
          <a:round/>
          <a:headEnd/>
          <a:tailEnd/>
        </a:ln>
      </xdr:spPr>
    </xdr:cxnSp>
    <xdr:clientData/>
  </xdr:twoCellAnchor>
  <xdr:twoCellAnchor>
    <xdr:from>
      <xdr:col>1</xdr:col>
      <xdr:colOff>465684</xdr:colOff>
      <xdr:row>21</xdr:row>
      <xdr:rowOff>154242</xdr:rowOff>
    </xdr:from>
    <xdr:to>
      <xdr:col>1</xdr:col>
      <xdr:colOff>747729</xdr:colOff>
      <xdr:row>23</xdr:row>
      <xdr:rowOff>108635</xdr:rowOff>
    </xdr:to>
    <xdr:sp macro="" textlink="">
      <xdr:nvSpPr>
        <xdr:cNvPr id="22" name="TextBox 21"/>
        <xdr:cNvSpPr txBox="1"/>
      </xdr:nvSpPr>
      <xdr:spPr>
        <a:xfrm>
          <a:off x="1317331" y="3661683"/>
          <a:ext cx="282045" cy="290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6''</a:t>
          </a:r>
          <a:endParaRPr lang="ko-KR" altLang="en-US" sz="1100" u="none"/>
        </a:p>
      </xdr:txBody>
    </xdr:sp>
    <xdr:clientData/>
  </xdr:twoCellAnchor>
  <xdr:twoCellAnchor>
    <xdr:from>
      <xdr:col>2</xdr:col>
      <xdr:colOff>770965</xdr:colOff>
      <xdr:row>22</xdr:row>
      <xdr:rowOff>561</xdr:rowOff>
    </xdr:from>
    <xdr:to>
      <xdr:col>3</xdr:col>
      <xdr:colOff>147918</xdr:colOff>
      <xdr:row>23</xdr:row>
      <xdr:rowOff>67236</xdr:rowOff>
    </xdr:to>
    <xdr:grpSp>
      <xdr:nvGrpSpPr>
        <xdr:cNvPr id="23" name="그룹 268"/>
        <xdr:cNvGrpSpPr>
          <a:grpSpLocks/>
        </xdr:cNvGrpSpPr>
      </xdr:nvGrpSpPr>
      <xdr:grpSpPr bwMode="auto">
        <a:xfrm>
          <a:off x="2474259" y="3676090"/>
          <a:ext cx="228600" cy="234764"/>
          <a:chOff x="7592786" y="4446813"/>
          <a:chExt cx="228600" cy="244930"/>
        </a:xfrm>
      </xdr:grpSpPr>
      <xdr:sp macro="" textlink="">
        <xdr:nvSpPr>
          <xdr:cNvPr id="24" name="AutoShape 369"/>
          <xdr:cNvSpPr>
            <a:spLocks noChangeAspect="1" noChangeArrowheads="1"/>
          </xdr:cNvSpPr>
        </xdr:nvSpPr>
        <xdr:spPr bwMode="auto">
          <a:xfrm>
            <a:off x="7592786" y="4446815"/>
            <a:ext cx="228600" cy="244928"/>
          </a:xfrm>
          <a:prstGeom prst="diamond">
            <a:avLst/>
          </a:prstGeom>
          <a:solidFill>
            <a:srgbClr val="FFFFFF"/>
          </a:solidFill>
          <a:ln w="9525">
            <a:solidFill>
              <a:srgbClr val="000000"/>
            </a:solidFill>
            <a:miter lim="800000"/>
            <a:headEnd/>
            <a:tailEnd/>
          </a:ln>
        </xdr:spPr>
      </xdr:sp>
      <xdr:sp macro="" textlink="">
        <xdr:nvSpPr>
          <xdr:cNvPr id="25" name="TextBox 24"/>
          <xdr:cNvSpPr txBox="1"/>
        </xdr:nvSpPr>
        <xdr:spPr>
          <a:xfrm>
            <a:off x="7592786" y="4446813"/>
            <a:ext cx="161925" cy="19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2</a:t>
            </a:r>
            <a:endParaRPr lang="ko-KR" altLang="en-US" sz="800"/>
          </a:p>
        </xdr:txBody>
      </xdr:sp>
    </xdr:grpSp>
    <xdr:clientData/>
  </xdr:twoCellAnchor>
  <xdr:twoCellAnchor editAs="oneCell">
    <xdr:from>
      <xdr:col>0</xdr:col>
      <xdr:colOff>561975</xdr:colOff>
      <xdr:row>15</xdr:row>
      <xdr:rowOff>29136</xdr:rowOff>
    </xdr:from>
    <xdr:to>
      <xdr:col>2</xdr:col>
      <xdr:colOff>85725</xdr:colOff>
      <xdr:row>19</xdr:row>
      <xdr:rowOff>130549</xdr:rowOff>
    </xdr:to>
    <xdr:pic>
      <xdr:nvPicPr>
        <xdr:cNvPr id="26" name="그림 331" descr="그림2.jpg"/>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561975" y="2581836"/>
          <a:ext cx="1219200" cy="787213"/>
        </a:xfrm>
        <a:prstGeom prst="rect">
          <a:avLst/>
        </a:prstGeom>
        <a:noFill/>
        <a:ln w="9525">
          <a:noFill/>
          <a:miter lim="800000"/>
          <a:headEnd/>
          <a:tailEnd/>
        </a:ln>
      </xdr:spPr>
    </xdr:pic>
    <xdr:clientData/>
  </xdr:twoCellAnchor>
  <xdr:twoCellAnchor>
    <xdr:from>
      <xdr:col>0</xdr:col>
      <xdr:colOff>814751</xdr:colOff>
      <xdr:row>15</xdr:row>
      <xdr:rowOff>169452</xdr:rowOff>
    </xdr:from>
    <xdr:to>
      <xdr:col>1</xdr:col>
      <xdr:colOff>828675</xdr:colOff>
      <xdr:row>18</xdr:row>
      <xdr:rowOff>9526</xdr:rowOff>
    </xdr:to>
    <xdr:sp macro="" textlink="">
      <xdr:nvSpPr>
        <xdr:cNvPr id="27" name="TextBox 26"/>
        <xdr:cNvSpPr txBox="1"/>
      </xdr:nvSpPr>
      <xdr:spPr>
        <a:xfrm>
          <a:off x="814751" y="2722152"/>
          <a:ext cx="861649" cy="354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71-102-F</a:t>
          </a:r>
          <a:endParaRPr lang="ko-KR" altLang="en-US" sz="1100" u="sng"/>
        </a:p>
      </xdr:txBody>
    </xdr:sp>
    <xdr:clientData/>
  </xdr:twoCellAnchor>
  <xdr:twoCellAnchor>
    <xdr:from>
      <xdr:col>3</xdr:col>
      <xdr:colOff>11847</xdr:colOff>
      <xdr:row>21</xdr:row>
      <xdr:rowOff>561</xdr:rowOff>
    </xdr:from>
    <xdr:to>
      <xdr:col>3</xdr:col>
      <xdr:colOff>613659</xdr:colOff>
      <xdr:row>22</xdr:row>
      <xdr:rowOff>113518</xdr:rowOff>
    </xdr:to>
    <xdr:sp macro="" textlink="">
      <xdr:nvSpPr>
        <xdr:cNvPr id="28" name="TextBox 27"/>
        <xdr:cNvSpPr txBox="1"/>
      </xdr:nvSpPr>
      <xdr:spPr>
        <a:xfrm>
          <a:off x="2566788" y="3508002"/>
          <a:ext cx="601812" cy="281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4''</a:t>
          </a:r>
          <a:endParaRPr lang="ko-KR" altLang="en-US" sz="1100" u="none"/>
        </a:p>
      </xdr:txBody>
    </xdr:sp>
    <xdr:clientData/>
  </xdr:twoCellAnchor>
  <xdr:twoCellAnchor>
    <xdr:from>
      <xdr:col>5</xdr:col>
      <xdr:colOff>666190</xdr:colOff>
      <xdr:row>22</xdr:row>
      <xdr:rowOff>561</xdr:rowOff>
    </xdr:from>
    <xdr:to>
      <xdr:col>6</xdr:col>
      <xdr:colOff>200026</xdr:colOff>
      <xdr:row>23</xdr:row>
      <xdr:rowOff>67236</xdr:rowOff>
    </xdr:to>
    <xdr:grpSp>
      <xdr:nvGrpSpPr>
        <xdr:cNvPr id="29" name="그룹 268"/>
        <xdr:cNvGrpSpPr>
          <a:grpSpLocks/>
        </xdr:cNvGrpSpPr>
      </xdr:nvGrpSpPr>
      <xdr:grpSpPr bwMode="auto">
        <a:xfrm>
          <a:off x="4610661" y="3676090"/>
          <a:ext cx="228600" cy="234764"/>
          <a:chOff x="7592786" y="4446813"/>
          <a:chExt cx="228600" cy="244930"/>
        </a:xfrm>
      </xdr:grpSpPr>
      <xdr:sp macro="" textlink="">
        <xdr:nvSpPr>
          <xdr:cNvPr id="30" name="AutoShape 369"/>
          <xdr:cNvSpPr>
            <a:spLocks noChangeAspect="1" noChangeArrowheads="1"/>
          </xdr:cNvSpPr>
        </xdr:nvSpPr>
        <xdr:spPr bwMode="auto">
          <a:xfrm>
            <a:off x="7592786" y="4446815"/>
            <a:ext cx="228600" cy="244928"/>
          </a:xfrm>
          <a:prstGeom prst="diamond">
            <a:avLst/>
          </a:prstGeom>
          <a:solidFill>
            <a:srgbClr val="FFFFFF"/>
          </a:solidFill>
          <a:ln w="9525">
            <a:solidFill>
              <a:srgbClr val="000000"/>
            </a:solidFill>
            <a:miter lim="800000"/>
            <a:headEnd/>
            <a:tailEnd/>
          </a:ln>
        </xdr:spPr>
      </xdr:sp>
      <xdr:sp macro="" textlink="">
        <xdr:nvSpPr>
          <xdr:cNvPr id="31" name="TextBox 30"/>
          <xdr:cNvSpPr txBox="1"/>
        </xdr:nvSpPr>
        <xdr:spPr>
          <a:xfrm>
            <a:off x="7592786" y="4446813"/>
            <a:ext cx="161925" cy="19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4</a:t>
            </a:r>
            <a:endParaRPr lang="ko-KR" altLang="en-US" sz="800"/>
          </a:p>
        </xdr:txBody>
      </xdr:sp>
    </xdr:grpSp>
    <xdr:clientData/>
  </xdr:twoCellAnchor>
  <xdr:twoCellAnchor>
    <xdr:from>
      <xdr:col>12</xdr:col>
      <xdr:colOff>228599</xdr:colOff>
      <xdr:row>26</xdr:row>
      <xdr:rowOff>38661</xdr:rowOff>
    </xdr:from>
    <xdr:to>
      <xdr:col>14</xdr:col>
      <xdr:colOff>104774</xdr:colOff>
      <xdr:row>27</xdr:row>
      <xdr:rowOff>145004</xdr:rowOff>
    </xdr:to>
    <xdr:sp macro="" textlink="">
      <xdr:nvSpPr>
        <xdr:cNvPr id="32" name="TextBox 31"/>
        <xdr:cNvSpPr txBox="1"/>
      </xdr:nvSpPr>
      <xdr:spPr>
        <a:xfrm>
          <a:off x="9036423" y="4386543"/>
          <a:ext cx="1265704" cy="274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71-101-LA/B</a:t>
          </a:r>
          <a:endParaRPr lang="ko-KR" altLang="en-US" sz="1100" u="sng"/>
        </a:p>
      </xdr:txBody>
    </xdr:sp>
    <xdr:clientData/>
  </xdr:twoCellAnchor>
  <xdr:twoCellAnchor>
    <xdr:from>
      <xdr:col>6</xdr:col>
      <xdr:colOff>333376</xdr:colOff>
      <xdr:row>20</xdr:row>
      <xdr:rowOff>121024</xdr:rowOff>
    </xdr:from>
    <xdr:to>
      <xdr:col>6</xdr:col>
      <xdr:colOff>656665</xdr:colOff>
      <xdr:row>22</xdr:row>
      <xdr:rowOff>149600</xdr:rowOff>
    </xdr:to>
    <xdr:grpSp>
      <xdr:nvGrpSpPr>
        <xdr:cNvPr id="33" name="그룹 157"/>
        <xdr:cNvGrpSpPr>
          <a:grpSpLocks/>
        </xdr:cNvGrpSpPr>
      </xdr:nvGrpSpPr>
      <xdr:grpSpPr bwMode="auto">
        <a:xfrm>
          <a:off x="4972611" y="3460377"/>
          <a:ext cx="323289" cy="364752"/>
          <a:chOff x="7231375" y="4302427"/>
          <a:chExt cx="208308" cy="363242"/>
        </a:xfrm>
      </xdr:grpSpPr>
      <xdr:sp macro="" textlink="">
        <xdr:nvSpPr>
          <xdr:cNvPr id="34" name="Line 537"/>
          <xdr:cNvSpPr>
            <a:spLocks noChangeShapeType="1"/>
          </xdr:cNvSpPr>
        </xdr:nvSpPr>
        <xdr:spPr bwMode="auto">
          <a:xfrm>
            <a:off x="7373008" y="4598994"/>
            <a:ext cx="0" cy="66675"/>
          </a:xfrm>
          <a:prstGeom prst="line">
            <a:avLst/>
          </a:prstGeom>
          <a:noFill/>
          <a:ln w="9525">
            <a:solidFill>
              <a:srgbClr val="000000"/>
            </a:solidFill>
            <a:round/>
            <a:headEnd/>
            <a:tailEnd/>
          </a:ln>
        </xdr:spPr>
      </xdr:sp>
      <xdr:sp macro="" textlink="">
        <xdr:nvSpPr>
          <xdr:cNvPr id="35" name="Line 538"/>
          <xdr:cNvSpPr>
            <a:spLocks noChangeShapeType="1"/>
          </xdr:cNvSpPr>
        </xdr:nvSpPr>
        <xdr:spPr bwMode="auto">
          <a:xfrm>
            <a:off x="7298050" y="4598994"/>
            <a:ext cx="0" cy="66675"/>
          </a:xfrm>
          <a:prstGeom prst="line">
            <a:avLst/>
          </a:prstGeom>
          <a:noFill/>
          <a:ln w="9525">
            <a:solidFill>
              <a:srgbClr val="000000"/>
            </a:solidFill>
            <a:round/>
            <a:headEnd/>
            <a:tailEnd/>
          </a:ln>
        </xdr:spPr>
      </xdr:sp>
      <xdr:sp macro="" textlink="">
        <xdr:nvSpPr>
          <xdr:cNvPr id="36" name="Line 539"/>
          <xdr:cNvSpPr>
            <a:spLocks noChangeShapeType="1"/>
          </xdr:cNvSpPr>
        </xdr:nvSpPr>
        <xdr:spPr bwMode="auto">
          <a:xfrm flipV="1">
            <a:off x="7334908" y="4512026"/>
            <a:ext cx="0" cy="153643"/>
          </a:xfrm>
          <a:prstGeom prst="line">
            <a:avLst/>
          </a:prstGeom>
          <a:noFill/>
          <a:ln w="9525">
            <a:solidFill>
              <a:srgbClr val="000000"/>
            </a:solidFill>
            <a:round/>
            <a:headEnd/>
            <a:tailEnd/>
          </a:ln>
        </xdr:spPr>
      </xdr:sp>
      <xdr:sp macro="" textlink="">
        <xdr:nvSpPr>
          <xdr:cNvPr id="37" name="Oval 540"/>
          <xdr:cNvSpPr>
            <a:spLocks noChangeArrowheads="1"/>
          </xdr:cNvSpPr>
        </xdr:nvSpPr>
        <xdr:spPr bwMode="auto">
          <a:xfrm>
            <a:off x="7231375" y="4302427"/>
            <a:ext cx="208308" cy="219124"/>
          </a:xfrm>
          <a:prstGeom prst="ellipse">
            <a:avLst/>
          </a:prstGeom>
          <a:solidFill>
            <a:srgbClr val="FFFFFF"/>
          </a:solidFill>
          <a:ln w="9525">
            <a:solidFill>
              <a:srgbClr val="000000"/>
            </a:solidFill>
            <a:round/>
            <a:headEnd/>
            <a:tailEnd/>
          </a:ln>
        </xdr:spPr>
      </xdr:sp>
      <xdr:sp macro="" textlink="">
        <xdr:nvSpPr>
          <xdr:cNvPr id="38" name="Text Box 541"/>
          <xdr:cNvSpPr txBox="1">
            <a:spLocks noChangeArrowheads="1"/>
          </xdr:cNvSpPr>
        </xdr:nvSpPr>
        <xdr:spPr bwMode="auto">
          <a:xfrm>
            <a:off x="7250312" y="4340663"/>
            <a:ext cx="179902" cy="133826"/>
          </a:xfrm>
          <a:prstGeom prst="rect">
            <a:avLst/>
          </a:prstGeom>
          <a:noFill/>
          <a:ln w="9525">
            <a:noFill/>
            <a:miter lim="800000"/>
            <a:headEnd/>
            <a:tailEnd/>
          </a:ln>
        </xdr:spPr>
        <xdr:txBody>
          <a:bodyPr vertOverflow="clip" wrap="square" lIns="0" tIns="22860" rIns="27432" bIns="0" anchor="t" upright="1"/>
          <a:lstStyle/>
          <a:p>
            <a:pPr algn="r" rtl="0">
              <a:defRPr sz="1000"/>
            </a:pPr>
            <a:r>
              <a:rPr lang="en-US" altLang="ko-KR" sz="800" b="0" i="0" u="none" strike="noStrike" baseline="0">
                <a:solidFill>
                  <a:srgbClr val="000000"/>
                </a:solidFill>
                <a:latin typeface="Arial"/>
                <a:cs typeface="Arial"/>
              </a:rPr>
              <a:t>FE</a:t>
            </a:r>
          </a:p>
        </xdr:txBody>
      </xdr:sp>
    </xdr:grpSp>
    <xdr:clientData/>
  </xdr:twoCellAnchor>
  <xdr:twoCellAnchor>
    <xdr:from>
      <xdr:col>8</xdr:col>
      <xdr:colOff>290633</xdr:colOff>
      <xdr:row>23</xdr:row>
      <xdr:rowOff>10029</xdr:rowOff>
    </xdr:from>
    <xdr:to>
      <xdr:col>9</xdr:col>
      <xdr:colOff>618006</xdr:colOff>
      <xdr:row>24</xdr:row>
      <xdr:rowOff>116372</xdr:rowOff>
    </xdr:to>
    <xdr:sp macro="" textlink="">
      <xdr:nvSpPr>
        <xdr:cNvPr id="39" name="TextBox 38"/>
        <xdr:cNvSpPr txBox="1"/>
      </xdr:nvSpPr>
      <xdr:spPr>
        <a:xfrm>
          <a:off x="6319398" y="3853647"/>
          <a:ext cx="1022137" cy="274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FV-1005</a:t>
          </a:r>
          <a:endParaRPr lang="ko-KR" altLang="en-US" sz="1100" u="sng"/>
        </a:p>
      </xdr:txBody>
    </xdr:sp>
    <xdr:clientData/>
  </xdr:twoCellAnchor>
  <xdr:twoCellAnchor>
    <xdr:from>
      <xdr:col>9</xdr:col>
      <xdr:colOff>1</xdr:colOff>
      <xdr:row>22</xdr:row>
      <xdr:rowOff>121025</xdr:rowOff>
    </xdr:from>
    <xdr:to>
      <xdr:col>10</xdr:col>
      <xdr:colOff>171450</xdr:colOff>
      <xdr:row>22</xdr:row>
      <xdr:rowOff>121025</xdr:rowOff>
    </xdr:to>
    <xdr:cxnSp macro="">
      <xdr:nvCxnSpPr>
        <xdr:cNvPr id="40" name="직선 화살표 연결선 183"/>
        <xdr:cNvCxnSpPr>
          <a:cxnSpLocks noChangeShapeType="1"/>
        </xdr:cNvCxnSpPr>
      </xdr:nvCxnSpPr>
      <xdr:spPr bwMode="auto">
        <a:xfrm>
          <a:off x="6723530" y="3796554"/>
          <a:ext cx="866214" cy="0"/>
        </a:xfrm>
        <a:prstGeom prst="straightConnector1">
          <a:avLst/>
        </a:prstGeom>
        <a:noFill/>
        <a:ln w="9525" algn="ctr">
          <a:solidFill>
            <a:srgbClr val="000000"/>
          </a:solidFill>
          <a:round/>
          <a:headEnd/>
          <a:tailEnd type="triangle" w="sm" len="med"/>
        </a:ln>
      </xdr:spPr>
    </xdr:cxnSp>
    <xdr:clientData/>
  </xdr:twoCellAnchor>
  <xdr:twoCellAnchor>
    <xdr:from>
      <xdr:col>11</xdr:col>
      <xdr:colOff>551890</xdr:colOff>
      <xdr:row>29</xdr:row>
      <xdr:rowOff>29136</xdr:rowOff>
    </xdr:from>
    <xdr:to>
      <xdr:col>11</xdr:col>
      <xdr:colOff>551890</xdr:colOff>
      <xdr:row>31</xdr:row>
      <xdr:rowOff>149599</xdr:rowOff>
    </xdr:to>
    <xdr:cxnSp macro="">
      <xdr:nvCxnSpPr>
        <xdr:cNvPr id="41" name="직선 화살표 연결선 182"/>
        <xdr:cNvCxnSpPr>
          <a:cxnSpLocks noChangeShapeType="1"/>
        </xdr:cNvCxnSpPr>
      </xdr:nvCxnSpPr>
      <xdr:spPr bwMode="auto">
        <a:xfrm rot="5400000">
          <a:off x="8436629" y="5109603"/>
          <a:ext cx="456640" cy="0"/>
        </a:xfrm>
        <a:prstGeom prst="straightConnector1">
          <a:avLst/>
        </a:prstGeom>
        <a:noFill/>
        <a:ln w="9525" algn="ctr">
          <a:solidFill>
            <a:srgbClr val="000000"/>
          </a:solidFill>
          <a:round/>
          <a:headEnd/>
          <a:tailEnd type="triangle" w="sm" len="med"/>
        </a:ln>
      </xdr:spPr>
    </xdr:cxnSp>
    <xdr:clientData/>
  </xdr:twoCellAnchor>
  <xdr:twoCellAnchor>
    <xdr:from>
      <xdr:col>11</xdr:col>
      <xdr:colOff>570940</xdr:colOff>
      <xdr:row>31</xdr:row>
      <xdr:rowOff>140074</xdr:rowOff>
    </xdr:from>
    <xdr:to>
      <xdr:col>13</xdr:col>
      <xdr:colOff>171451</xdr:colOff>
      <xdr:row>31</xdr:row>
      <xdr:rowOff>140074</xdr:rowOff>
    </xdr:to>
    <xdr:cxnSp macro="">
      <xdr:nvCxnSpPr>
        <xdr:cNvPr id="42" name="직선 화살표 연결선 183"/>
        <xdr:cNvCxnSpPr>
          <a:cxnSpLocks noChangeShapeType="1"/>
        </xdr:cNvCxnSpPr>
      </xdr:nvCxnSpPr>
      <xdr:spPr bwMode="auto">
        <a:xfrm>
          <a:off x="8683999" y="5328398"/>
          <a:ext cx="990040" cy="0"/>
        </a:xfrm>
        <a:prstGeom prst="straightConnector1">
          <a:avLst/>
        </a:prstGeom>
        <a:noFill/>
        <a:ln w="9525" algn="ctr">
          <a:solidFill>
            <a:srgbClr val="000000"/>
          </a:solidFill>
          <a:round/>
          <a:headEnd/>
          <a:tailEnd type="triangle" w="sm" len="med"/>
        </a:ln>
      </xdr:spPr>
    </xdr:cxnSp>
    <xdr:clientData/>
  </xdr:twoCellAnchor>
  <xdr:twoCellAnchor>
    <xdr:from>
      <xdr:col>13</xdr:col>
      <xdr:colOff>532840</xdr:colOff>
      <xdr:row>31</xdr:row>
      <xdr:rowOff>140074</xdr:rowOff>
    </xdr:from>
    <xdr:to>
      <xdr:col>15</xdr:col>
      <xdr:colOff>123825</xdr:colOff>
      <xdr:row>31</xdr:row>
      <xdr:rowOff>140074</xdr:rowOff>
    </xdr:to>
    <xdr:cxnSp macro="">
      <xdr:nvCxnSpPr>
        <xdr:cNvPr id="43" name="직선 화살표 연결선 183"/>
        <xdr:cNvCxnSpPr>
          <a:cxnSpLocks noChangeShapeType="1"/>
        </xdr:cNvCxnSpPr>
      </xdr:nvCxnSpPr>
      <xdr:spPr bwMode="auto">
        <a:xfrm flipV="1">
          <a:off x="10035428" y="5328398"/>
          <a:ext cx="980515" cy="0"/>
        </a:xfrm>
        <a:prstGeom prst="straightConnector1">
          <a:avLst/>
        </a:prstGeom>
        <a:noFill/>
        <a:ln w="9525" algn="ctr">
          <a:solidFill>
            <a:srgbClr val="000000"/>
          </a:solidFill>
          <a:round/>
          <a:headEnd/>
          <a:tailEnd type="triangle" w="sm" len="med"/>
        </a:ln>
      </xdr:spPr>
    </xdr:cxnSp>
    <xdr:clientData/>
  </xdr:twoCellAnchor>
  <xdr:twoCellAnchor>
    <xdr:from>
      <xdr:col>13</xdr:col>
      <xdr:colOff>104776</xdr:colOff>
      <xdr:row>30</xdr:row>
      <xdr:rowOff>159125</xdr:rowOff>
    </xdr:from>
    <xdr:to>
      <xdr:col>13</xdr:col>
      <xdr:colOff>599515</xdr:colOff>
      <xdr:row>33</xdr:row>
      <xdr:rowOff>121024</xdr:rowOff>
    </xdr:to>
    <xdr:grpSp>
      <xdr:nvGrpSpPr>
        <xdr:cNvPr id="44" name="Group2028"/>
        <xdr:cNvGrpSpPr>
          <a:grpSpLocks/>
        </xdr:cNvGrpSpPr>
      </xdr:nvGrpSpPr>
      <xdr:grpSpPr bwMode="auto">
        <a:xfrm>
          <a:off x="9607364" y="5179360"/>
          <a:ext cx="494739" cy="466164"/>
          <a:chOff x="229" y="185"/>
          <a:chExt cx="20" cy="20"/>
        </a:xfrm>
      </xdr:grpSpPr>
      <xdr:sp macro="" textlink="">
        <xdr:nvSpPr>
          <xdr:cNvPr id="45" name="ori2"/>
          <xdr:cNvSpPr>
            <a:spLocks noChangeArrowheads="1"/>
          </xdr:cNvSpPr>
        </xdr:nvSpPr>
        <xdr:spPr bwMode="auto">
          <a:xfrm>
            <a:off x="245" y="193"/>
            <a:ext cx="1" cy="2"/>
          </a:xfrm>
          <a:prstGeom prst="rect">
            <a:avLst/>
          </a:prstGeom>
          <a:noFill/>
          <a:ln w="9525">
            <a:noFill/>
            <a:miter lim="800000"/>
            <a:headEnd/>
            <a:tailEnd/>
          </a:ln>
        </xdr:spPr>
      </xdr:sp>
      <xdr:sp macro="" textlink="">
        <xdr:nvSpPr>
          <xdr:cNvPr id="46" name="ori1"/>
          <xdr:cNvSpPr>
            <a:spLocks noChangeArrowheads="1"/>
          </xdr:cNvSpPr>
        </xdr:nvSpPr>
        <xdr:spPr bwMode="auto">
          <a:xfrm>
            <a:off x="232" y="193"/>
            <a:ext cx="1" cy="2"/>
          </a:xfrm>
          <a:prstGeom prst="rect">
            <a:avLst/>
          </a:prstGeom>
          <a:noFill/>
          <a:ln w="9525">
            <a:noFill/>
            <a:miter lim="800000"/>
            <a:headEnd/>
            <a:tailEnd/>
          </a:ln>
        </xdr:spPr>
      </xdr:sp>
      <xdr:grpSp>
        <xdr:nvGrpSpPr>
          <xdr:cNvPr id="47" name="symb"/>
          <xdr:cNvGrpSpPr>
            <a:grpSpLocks/>
          </xdr:cNvGrpSpPr>
        </xdr:nvGrpSpPr>
        <xdr:grpSpPr bwMode="auto">
          <a:xfrm>
            <a:off x="229" y="184"/>
            <a:ext cx="20" cy="18"/>
            <a:chOff x="84" y="34"/>
            <a:chExt cx="56" cy="64"/>
          </a:xfrm>
        </xdr:grpSpPr>
        <xdr:sp macro="" textlink="">
          <xdr:nvSpPr>
            <xdr:cNvPr id="48" name="Rectangle 471"/>
            <xdr:cNvSpPr>
              <a:spLocks noChangeArrowheads="1"/>
            </xdr:cNvSpPr>
          </xdr:nvSpPr>
          <xdr:spPr bwMode="auto">
            <a:xfrm>
              <a:off x="84" y="34"/>
              <a:ext cx="56" cy="7"/>
            </a:xfrm>
            <a:prstGeom prst="rect">
              <a:avLst/>
            </a:prstGeom>
            <a:gradFill rotWithShape="0">
              <a:gsLst>
                <a:gs pos="0">
                  <a:srgbClr val="FFFFC0"/>
                </a:gs>
                <a:gs pos="100000">
                  <a:srgbClr val="757558"/>
                </a:gs>
              </a:gsLst>
              <a:path path="shape">
                <a:fillToRect l="50000" t="50000" r="50000" b="50000"/>
              </a:path>
            </a:gradFill>
            <a:ln w="12700">
              <a:solidFill>
                <a:srgbClr val="000000"/>
              </a:solidFill>
              <a:miter lim="800000"/>
              <a:headEnd/>
              <a:tailEnd/>
            </a:ln>
          </xdr:spPr>
        </xdr:sp>
        <xdr:sp macro="" textlink="">
          <xdr:nvSpPr>
            <xdr:cNvPr id="49" name="Oval 472"/>
            <xdr:cNvSpPr>
              <a:spLocks noChangeArrowheads="1"/>
            </xdr:cNvSpPr>
          </xdr:nvSpPr>
          <xdr:spPr bwMode="auto">
            <a:xfrm>
              <a:off x="92" y="76"/>
              <a:ext cx="40" cy="22"/>
            </a:xfrm>
            <a:prstGeom prst="ellipse">
              <a:avLst/>
            </a:prstGeom>
            <a:gradFill rotWithShape="0">
              <a:gsLst>
                <a:gs pos="0">
                  <a:srgbClr val="FFFFC0"/>
                </a:gs>
                <a:gs pos="100000">
                  <a:srgbClr val="757558"/>
                </a:gs>
              </a:gsLst>
              <a:path path="shape">
                <a:fillToRect l="50000" t="50000" r="50000" b="50000"/>
              </a:path>
            </a:gradFill>
            <a:ln w="12700">
              <a:solidFill>
                <a:srgbClr val="000000"/>
              </a:solidFill>
              <a:round/>
              <a:headEnd/>
              <a:tailEnd/>
            </a:ln>
          </xdr:spPr>
        </xdr:sp>
        <xdr:sp macro="" textlink="">
          <xdr:nvSpPr>
            <xdr:cNvPr id="50" name="Rectangle 473"/>
            <xdr:cNvSpPr>
              <a:spLocks noChangeArrowheads="1"/>
            </xdr:cNvSpPr>
          </xdr:nvSpPr>
          <xdr:spPr bwMode="auto">
            <a:xfrm>
              <a:off x="92" y="41"/>
              <a:ext cx="40" cy="46"/>
            </a:xfrm>
            <a:prstGeom prst="rect">
              <a:avLst/>
            </a:prstGeom>
            <a:gradFill rotWithShape="0">
              <a:gsLst>
                <a:gs pos="0">
                  <a:srgbClr val="757558"/>
                </a:gs>
                <a:gs pos="50000">
                  <a:srgbClr val="FFFFC0"/>
                </a:gs>
                <a:gs pos="100000">
                  <a:srgbClr val="757558"/>
                </a:gs>
              </a:gsLst>
              <a:lin ang="0" scaled="1"/>
            </a:gradFill>
            <a:ln w="12700">
              <a:solidFill>
                <a:srgbClr val="000000"/>
              </a:solidFill>
              <a:miter lim="800000"/>
              <a:headEnd/>
              <a:tailEnd/>
            </a:ln>
          </xdr:spPr>
        </xdr:sp>
      </xdr:grpSp>
    </xdr:grpSp>
    <xdr:clientData/>
  </xdr:twoCellAnchor>
  <xdr:twoCellAnchor>
    <xdr:from>
      <xdr:col>16</xdr:col>
      <xdr:colOff>10121</xdr:colOff>
      <xdr:row>33</xdr:row>
      <xdr:rowOff>48186</xdr:rowOff>
    </xdr:from>
    <xdr:to>
      <xdr:col>18</xdr:col>
      <xdr:colOff>66666</xdr:colOff>
      <xdr:row>36</xdr:row>
      <xdr:rowOff>121024</xdr:rowOff>
    </xdr:to>
    <xdr:grpSp>
      <xdr:nvGrpSpPr>
        <xdr:cNvPr id="51" name="그룹 226"/>
        <xdr:cNvGrpSpPr>
          <a:grpSpLocks/>
        </xdr:cNvGrpSpPr>
      </xdr:nvGrpSpPr>
      <xdr:grpSpPr bwMode="auto">
        <a:xfrm>
          <a:off x="11597003" y="5572686"/>
          <a:ext cx="1446075" cy="577103"/>
          <a:chOff x="1858635" y="2975752"/>
          <a:chExt cx="1128633" cy="505551"/>
        </a:xfrm>
        <a:solidFill>
          <a:schemeClr val="tx2">
            <a:lumMod val="40000"/>
            <a:lumOff val="60000"/>
          </a:schemeClr>
        </a:solidFill>
      </xdr:grpSpPr>
      <xdr:grpSp>
        <xdr:nvGrpSpPr>
          <xdr:cNvPr id="52" name="Group1969"/>
          <xdr:cNvGrpSpPr>
            <a:grpSpLocks/>
          </xdr:cNvGrpSpPr>
        </xdr:nvGrpSpPr>
        <xdr:grpSpPr bwMode="auto">
          <a:xfrm rot="16200000">
            <a:off x="2190108" y="3056484"/>
            <a:ext cx="350621" cy="238200"/>
            <a:chOff x="652" y="205"/>
            <a:chExt cx="35" cy="30"/>
          </a:xfrm>
          <a:grpFill/>
        </xdr:grpSpPr>
        <xdr:sp macro="" textlink="">
          <xdr:nvSpPr>
            <xdr:cNvPr id="63" name="ori1"/>
            <xdr:cNvSpPr>
              <a:spLocks noChangeArrowheads="1"/>
            </xdr:cNvSpPr>
          </xdr:nvSpPr>
          <xdr:spPr bwMode="auto">
            <a:xfrm>
              <a:off x="652" y="205"/>
              <a:ext cx="4" cy="1"/>
            </a:xfrm>
            <a:prstGeom prst="rect">
              <a:avLst/>
            </a:prstGeom>
            <a:grpFill/>
            <a:ln w="9525">
              <a:solidFill>
                <a:schemeClr val="tx1"/>
              </a:solidFill>
              <a:prstDash val="solid"/>
              <a:miter lim="800000"/>
              <a:headEnd/>
              <a:tailEnd/>
            </a:ln>
          </xdr:spPr>
        </xdr:sp>
        <xdr:sp macro="" textlink="">
          <xdr:nvSpPr>
            <xdr:cNvPr id="64" name="ori6"/>
            <xdr:cNvSpPr>
              <a:spLocks noChangeArrowheads="1"/>
            </xdr:cNvSpPr>
          </xdr:nvSpPr>
          <xdr:spPr bwMode="auto">
            <a:xfrm>
              <a:off x="652" y="234"/>
              <a:ext cx="4" cy="1"/>
            </a:xfrm>
            <a:prstGeom prst="rect">
              <a:avLst/>
            </a:prstGeom>
            <a:grpFill/>
            <a:ln w="9525">
              <a:solidFill>
                <a:schemeClr val="tx1"/>
              </a:solidFill>
              <a:prstDash val="solid"/>
              <a:miter lim="800000"/>
              <a:headEnd/>
              <a:tailEnd/>
            </a:ln>
          </xdr:spPr>
        </xdr:sp>
        <xdr:sp macro="" textlink="">
          <xdr:nvSpPr>
            <xdr:cNvPr id="65" name="ori7"/>
            <xdr:cNvSpPr>
              <a:spLocks noChangeArrowheads="1"/>
            </xdr:cNvSpPr>
          </xdr:nvSpPr>
          <xdr:spPr bwMode="auto">
            <a:xfrm>
              <a:off x="652" y="234"/>
              <a:ext cx="4" cy="1"/>
            </a:xfrm>
            <a:prstGeom prst="rect">
              <a:avLst/>
            </a:prstGeom>
            <a:grpFill/>
            <a:ln w="9525">
              <a:solidFill>
                <a:schemeClr val="tx1"/>
              </a:solidFill>
              <a:prstDash val="solid"/>
              <a:miter lim="800000"/>
              <a:headEnd/>
              <a:tailEnd/>
            </a:ln>
          </xdr:spPr>
        </xdr:sp>
        <xdr:sp macro="" textlink="">
          <xdr:nvSpPr>
            <xdr:cNvPr id="66" name="ori8"/>
            <xdr:cNvSpPr>
              <a:spLocks noChangeArrowheads="1"/>
            </xdr:cNvSpPr>
          </xdr:nvSpPr>
          <xdr:spPr bwMode="auto">
            <a:xfrm>
              <a:off x="685" y="228"/>
              <a:ext cx="2" cy="1"/>
            </a:xfrm>
            <a:prstGeom prst="rect">
              <a:avLst/>
            </a:prstGeom>
            <a:grpFill/>
            <a:ln w="9525">
              <a:solidFill>
                <a:schemeClr val="tx1"/>
              </a:solidFill>
              <a:prstDash val="solid"/>
              <a:miter lim="800000"/>
              <a:headEnd/>
              <a:tailEnd/>
            </a:ln>
          </xdr:spPr>
        </xdr:sp>
        <xdr:sp macro="" textlink="">
          <xdr:nvSpPr>
            <xdr:cNvPr id="67" name="ori9"/>
            <xdr:cNvSpPr>
              <a:spLocks noChangeArrowheads="1"/>
            </xdr:cNvSpPr>
          </xdr:nvSpPr>
          <xdr:spPr bwMode="auto">
            <a:xfrm>
              <a:off x="685" y="213"/>
              <a:ext cx="2" cy="0"/>
            </a:xfrm>
            <a:prstGeom prst="rect">
              <a:avLst/>
            </a:prstGeom>
            <a:grpFill/>
            <a:ln w="9525">
              <a:solidFill>
                <a:schemeClr val="tx1"/>
              </a:solidFill>
              <a:prstDash val="solid"/>
              <a:miter lim="800000"/>
              <a:headEnd/>
              <a:tailEnd/>
            </a:ln>
          </xdr:spPr>
        </xdr:sp>
        <xdr:sp macro="" textlink="">
          <xdr:nvSpPr>
            <xdr:cNvPr id="68" name="ori10"/>
            <xdr:cNvSpPr>
              <a:spLocks noChangeArrowheads="1"/>
            </xdr:cNvSpPr>
          </xdr:nvSpPr>
          <xdr:spPr bwMode="auto">
            <a:xfrm>
              <a:off x="652" y="205"/>
              <a:ext cx="4" cy="1"/>
            </a:xfrm>
            <a:prstGeom prst="rect">
              <a:avLst/>
            </a:prstGeom>
            <a:grpFill/>
            <a:ln w="9525">
              <a:solidFill>
                <a:schemeClr val="tx1"/>
              </a:solidFill>
              <a:prstDash val="solid"/>
              <a:miter lim="800000"/>
              <a:headEnd/>
              <a:tailEnd/>
            </a:ln>
          </xdr:spPr>
        </xdr:sp>
      </xdr:grpSp>
      <xdr:grpSp>
        <xdr:nvGrpSpPr>
          <xdr:cNvPr id="53" name="Group1969"/>
          <xdr:cNvGrpSpPr>
            <a:grpSpLocks/>
          </xdr:cNvGrpSpPr>
        </xdr:nvGrpSpPr>
        <xdr:grpSpPr bwMode="auto">
          <a:xfrm rot="10800000">
            <a:off x="1823465" y="2975681"/>
            <a:ext cx="1129180" cy="505560"/>
            <a:chOff x="615" y="206"/>
            <a:chExt cx="65" cy="30"/>
          </a:xfrm>
          <a:grpFill/>
        </xdr:grpSpPr>
        <xdr:sp macro="" textlink="">
          <xdr:nvSpPr>
            <xdr:cNvPr id="54" name="ori5"/>
            <xdr:cNvSpPr>
              <a:spLocks noChangeArrowheads="1"/>
            </xdr:cNvSpPr>
          </xdr:nvSpPr>
          <xdr:spPr bwMode="auto">
            <a:xfrm>
              <a:off x="620" y="233"/>
              <a:ext cx="1" cy="1"/>
            </a:xfrm>
            <a:prstGeom prst="rect">
              <a:avLst/>
            </a:prstGeom>
            <a:grpFill/>
            <a:ln w="9525">
              <a:solidFill>
                <a:schemeClr val="tx1"/>
              </a:solidFill>
              <a:prstDash val="solid"/>
              <a:miter lim="800000"/>
              <a:headEnd/>
              <a:tailEnd/>
            </a:ln>
          </xdr:spPr>
        </xdr:sp>
        <xdr:sp macro="" textlink="">
          <xdr:nvSpPr>
            <xdr:cNvPr id="55" name="ori6"/>
            <xdr:cNvSpPr>
              <a:spLocks noChangeArrowheads="1"/>
            </xdr:cNvSpPr>
          </xdr:nvSpPr>
          <xdr:spPr bwMode="auto">
            <a:xfrm>
              <a:off x="636" y="233"/>
              <a:ext cx="1" cy="1"/>
            </a:xfrm>
            <a:prstGeom prst="rect">
              <a:avLst/>
            </a:prstGeom>
            <a:grpFill/>
            <a:ln w="9525">
              <a:solidFill>
                <a:schemeClr val="tx1"/>
              </a:solidFill>
              <a:prstDash val="solid"/>
              <a:miter lim="800000"/>
              <a:headEnd/>
              <a:tailEnd/>
            </a:ln>
          </xdr:spPr>
        </xdr:sp>
        <xdr:sp macro="" textlink="">
          <xdr:nvSpPr>
            <xdr:cNvPr id="56" name="ori7"/>
            <xdr:cNvSpPr>
              <a:spLocks noChangeArrowheads="1"/>
            </xdr:cNvSpPr>
          </xdr:nvSpPr>
          <xdr:spPr bwMode="auto">
            <a:xfrm>
              <a:off x="654" y="233"/>
              <a:ext cx="2" cy="1"/>
            </a:xfrm>
            <a:prstGeom prst="rect">
              <a:avLst/>
            </a:prstGeom>
            <a:grpFill/>
            <a:ln w="9525">
              <a:solidFill>
                <a:schemeClr val="tx1"/>
              </a:solidFill>
              <a:prstDash val="solid"/>
              <a:miter lim="800000"/>
              <a:headEnd/>
              <a:tailEnd/>
            </a:ln>
          </xdr:spPr>
        </xdr:sp>
        <xdr:sp macro="" textlink="">
          <xdr:nvSpPr>
            <xdr:cNvPr id="57" name="ori8"/>
            <xdr:cNvSpPr>
              <a:spLocks noChangeArrowheads="1"/>
            </xdr:cNvSpPr>
          </xdr:nvSpPr>
          <xdr:spPr bwMode="auto">
            <a:xfrm>
              <a:off x="671" y="224"/>
              <a:ext cx="1" cy="2"/>
            </a:xfrm>
            <a:prstGeom prst="rect">
              <a:avLst/>
            </a:prstGeom>
            <a:grpFill/>
            <a:ln w="9525">
              <a:solidFill>
                <a:schemeClr val="tx1"/>
              </a:solidFill>
              <a:prstDash val="solid"/>
              <a:miter lim="800000"/>
              <a:headEnd/>
              <a:tailEnd/>
            </a:ln>
          </xdr:spPr>
        </xdr:sp>
        <xdr:sp macro="" textlink="">
          <xdr:nvSpPr>
            <xdr:cNvPr id="58" name="ori9"/>
            <xdr:cNvSpPr>
              <a:spLocks noChangeArrowheads="1"/>
            </xdr:cNvSpPr>
          </xdr:nvSpPr>
          <xdr:spPr bwMode="auto">
            <a:xfrm>
              <a:off x="671" y="210"/>
              <a:ext cx="1" cy="1"/>
            </a:xfrm>
            <a:prstGeom prst="rect">
              <a:avLst/>
            </a:prstGeom>
            <a:grpFill/>
            <a:ln w="9525">
              <a:solidFill>
                <a:schemeClr val="tx1"/>
              </a:solidFill>
              <a:prstDash val="solid"/>
              <a:miter lim="800000"/>
              <a:headEnd/>
              <a:tailEnd/>
            </a:ln>
          </xdr:spPr>
        </xdr:sp>
        <xdr:grpSp>
          <xdr:nvGrpSpPr>
            <xdr:cNvPr id="59" name="symb"/>
            <xdr:cNvGrpSpPr>
              <a:grpSpLocks/>
            </xdr:cNvGrpSpPr>
          </xdr:nvGrpSpPr>
          <xdr:grpSpPr bwMode="auto">
            <a:xfrm>
              <a:off x="615" y="206"/>
              <a:ext cx="65" cy="30"/>
              <a:chOff x="159" y="105"/>
              <a:chExt cx="76" cy="30"/>
            </a:xfrm>
            <a:grpFill/>
          </xdr:grpSpPr>
          <xdr:sp macro="" textlink="">
            <xdr:nvSpPr>
              <xdr:cNvPr id="60" name="Oval 419"/>
              <xdr:cNvSpPr>
                <a:spLocks noChangeArrowheads="1"/>
              </xdr:cNvSpPr>
            </xdr:nvSpPr>
            <xdr:spPr bwMode="auto">
              <a:xfrm>
                <a:off x="159" y="105"/>
                <a:ext cx="21" cy="30"/>
              </a:xfrm>
              <a:prstGeom prst="ellipse">
                <a:avLst/>
              </a:prstGeom>
              <a:grpFill/>
              <a:ln w="12700">
                <a:solidFill>
                  <a:srgbClr val="000000"/>
                </a:solidFill>
                <a:prstDash val="solid"/>
                <a:round/>
                <a:headEnd/>
                <a:tailEnd/>
              </a:ln>
            </xdr:spPr>
          </xdr:sp>
          <xdr:sp macro="" textlink="">
            <xdr:nvSpPr>
              <xdr:cNvPr id="61" name="Oval 420"/>
              <xdr:cNvSpPr>
                <a:spLocks noChangeArrowheads="1"/>
              </xdr:cNvSpPr>
            </xdr:nvSpPr>
            <xdr:spPr bwMode="auto">
              <a:xfrm>
                <a:off x="213" y="105"/>
                <a:ext cx="22" cy="30"/>
              </a:xfrm>
              <a:prstGeom prst="ellipse">
                <a:avLst/>
              </a:prstGeom>
              <a:grpFill/>
              <a:ln w="12700">
                <a:solidFill>
                  <a:srgbClr val="000000"/>
                </a:solidFill>
                <a:prstDash val="solid"/>
                <a:round/>
                <a:headEnd/>
                <a:tailEnd/>
              </a:ln>
            </xdr:spPr>
          </xdr:sp>
          <xdr:sp macro="" textlink="">
            <xdr:nvSpPr>
              <xdr:cNvPr id="62" name="Rectangle 421"/>
              <xdr:cNvSpPr>
                <a:spLocks noChangeArrowheads="1"/>
              </xdr:cNvSpPr>
            </xdr:nvSpPr>
            <xdr:spPr bwMode="auto">
              <a:xfrm>
                <a:off x="166" y="105"/>
                <a:ext cx="55" cy="30"/>
              </a:xfrm>
              <a:prstGeom prst="rect">
                <a:avLst/>
              </a:prstGeom>
              <a:grpFill/>
              <a:ln w="12700">
                <a:solidFill>
                  <a:srgbClr val="000000"/>
                </a:solidFill>
                <a:prstDash val="solid"/>
                <a:miter lim="800000"/>
                <a:headEnd/>
                <a:tailEnd/>
              </a:ln>
            </xdr:spPr>
          </xdr:sp>
        </xdr:grpSp>
      </xdr:grpSp>
    </xdr:grpSp>
    <xdr:clientData/>
  </xdr:twoCellAnchor>
  <xdr:twoCellAnchor editAs="oneCell">
    <xdr:from>
      <xdr:col>15</xdr:col>
      <xdr:colOff>123825</xdr:colOff>
      <xdr:row>30</xdr:row>
      <xdr:rowOff>82925</xdr:rowOff>
    </xdr:from>
    <xdr:to>
      <xdr:col>15</xdr:col>
      <xdr:colOff>466165</xdr:colOff>
      <xdr:row>32</xdr:row>
      <xdr:rowOff>57711</xdr:rowOff>
    </xdr:to>
    <xdr:pic>
      <xdr:nvPicPr>
        <xdr:cNvPr id="69" name="그림 180" descr="그림1.png"/>
        <xdr:cNvPicPr>
          <a:picLocks noChangeAspect="1"/>
        </xdr:cNvPicPr>
      </xdr:nvPicPr>
      <xdr:blipFill>
        <a:blip xmlns:r="http://schemas.openxmlformats.org/officeDocument/2006/relationships" r:embed="rId2"/>
        <a:srcRect/>
        <a:stretch>
          <a:fillRect/>
        </a:stretch>
      </xdr:blipFill>
      <xdr:spPr bwMode="auto">
        <a:xfrm>
          <a:off x="11015943" y="5103160"/>
          <a:ext cx="342340" cy="310963"/>
        </a:xfrm>
        <a:prstGeom prst="rect">
          <a:avLst/>
        </a:prstGeom>
        <a:solidFill>
          <a:srgbClr val="FFFFFF"/>
        </a:solidFill>
        <a:ln w="9525">
          <a:noFill/>
          <a:miter lim="800000"/>
          <a:headEnd/>
          <a:tailEnd/>
        </a:ln>
      </xdr:spPr>
    </xdr:pic>
    <xdr:clientData/>
  </xdr:twoCellAnchor>
  <xdr:twoCellAnchor>
    <xdr:from>
      <xdr:col>14</xdr:col>
      <xdr:colOff>570940</xdr:colOff>
      <xdr:row>32</xdr:row>
      <xdr:rowOff>10030</xdr:rowOff>
    </xdr:from>
    <xdr:to>
      <xdr:col>16</xdr:col>
      <xdr:colOff>257176</xdr:colOff>
      <xdr:row>33</xdr:row>
      <xdr:rowOff>135422</xdr:rowOff>
    </xdr:to>
    <xdr:sp macro="" textlink="">
      <xdr:nvSpPr>
        <xdr:cNvPr id="70" name="TextBox 69"/>
        <xdr:cNvSpPr txBox="1"/>
      </xdr:nvSpPr>
      <xdr:spPr>
        <a:xfrm>
          <a:off x="10768293" y="5366442"/>
          <a:ext cx="1075765" cy="29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PCV-1035</a:t>
          </a:r>
          <a:endParaRPr lang="ko-KR" altLang="en-US" sz="1100" u="sng"/>
        </a:p>
      </xdr:txBody>
    </xdr:sp>
    <xdr:clientData/>
  </xdr:twoCellAnchor>
  <xdr:twoCellAnchor>
    <xdr:from>
      <xdr:col>15</xdr:col>
      <xdr:colOff>342900</xdr:colOff>
      <xdr:row>31</xdr:row>
      <xdr:rowOff>140074</xdr:rowOff>
    </xdr:from>
    <xdr:to>
      <xdr:col>16</xdr:col>
      <xdr:colOff>238126</xdr:colOff>
      <xdr:row>31</xdr:row>
      <xdr:rowOff>140074</xdr:rowOff>
    </xdr:to>
    <xdr:cxnSp macro="">
      <xdr:nvCxnSpPr>
        <xdr:cNvPr id="71" name="직선 화살표 연결선 183"/>
        <xdr:cNvCxnSpPr>
          <a:cxnSpLocks noChangeShapeType="1"/>
        </xdr:cNvCxnSpPr>
      </xdr:nvCxnSpPr>
      <xdr:spPr bwMode="auto">
        <a:xfrm>
          <a:off x="11235018" y="5328398"/>
          <a:ext cx="589990" cy="0"/>
        </a:xfrm>
        <a:prstGeom prst="straightConnector1">
          <a:avLst/>
        </a:prstGeom>
        <a:noFill/>
        <a:ln w="9525" algn="ctr">
          <a:solidFill>
            <a:srgbClr val="000000"/>
          </a:solidFill>
          <a:round/>
          <a:headEnd/>
          <a:tailEnd type="triangle" w="sm" len="med"/>
        </a:ln>
      </xdr:spPr>
    </xdr:cxnSp>
    <xdr:clientData/>
  </xdr:twoCellAnchor>
  <xdr:twoCellAnchor>
    <xdr:from>
      <xdr:col>16</xdr:col>
      <xdr:colOff>238126</xdr:colOff>
      <xdr:row>31</xdr:row>
      <xdr:rowOff>140074</xdr:rowOff>
    </xdr:from>
    <xdr:to>
      <xdr:col>16</xdr:col>
      <xdr:colOff>238126</xdr:colOff>
      <xdr:row>33</xdr:row>
      <xdr:rowOff>48186</xdr:rowOff>
    </xdr:to>
    <xdr:cxnSp macro="">
      <xdr:nvCxnSpPr>
        <xdr:cNvPr id="72" name="직선 화살표 연결선 182"/>
        <xdr:cNvCxnSpPr>
          <a:cxnSpLocks noChangeShapeType="1"/>
        </xdr:cNvCxnSpPr>
      </xdr:nvCxnSpPr>
      <xdr:spPr bwMode="auto">
        <a:xfrm rot="5400000">
          <a:off x="11702864" y="5450542"/>
          <a:ext cx="244288" cy="0"/>
        </a:xfrm>
        <a:prstGeom prst="straightConnector1">
          <a:avLst/>
        </a:prstGeom>
        <a:noFill/>
        <a:ln w="9525" algn="ctr">
          <a:solidFill>
            <a:srgbClr val="000000"/>
          </a:solidFill>
          <a:round/>
          <a:headEnd/>
          <a:tailEnd type="triangle" w="sm" len="med"/>
        </a:ln>
      </xdr:spPr>
    </xdr:cxnSp>
    <xdr:clientData/>
  </xdr:twoCellAnchor>
  <xdr:twoCellAnchor>
    <xdr:from>
      <xdr:col>12</xdr:col>
      <xdr:colOff>200025</xdr:colOff>
      <xdr:row>31</xdr:row>
      <xdr:rowOff>561</xdr:rowOff>
    </xdr:from>
    <xdr:to>
      <xdr:col>13</xdr:col>
      <xdr:colOff>38101</xdr:colOff>
      <xdr:row>32</xdr:row>
      <xdr:rowOff>121024</xdr:rowOff>
    </xdr:to>
    <xdr:grpSp>
      <xdr:nvGrpSpPr>
        <xdr:cNvPr id="73" name="그룹 268"/>
        <xdr:cNvGrpSpPr>
          <a:grpSpLocks/>
        </xdr:cNvGrpSpPr>
      </xdr:nvGrpSpPr>
      <xdr:grpSpPr bwMode="auto">
        <a:xfrm>
          <a:off x="9007849" y="5188885"/>
          <a:ext cx="532840" cy="288551"/>
          <a:chOff x="7592784" y="4446815"/>
          <a:chExt cx="479001" cy="282121"/>
        </a:xfrm>
      </xdr:grpSpPr>
      <xdr:sp macro="" textlink="">
        <xdr:nvSpPr>
          <xdr:cNvPr id="74" name="AutoShape 369"/>
          <xdr:cNvSpPr>
            <a:spLocks noChangeAspect="1" noChangeArrowheads="1"/>
          </xdr:cNvSpPr>
        </xdr:nvSpPr>
        <xdr:spPr bwMode="auto">
          <a:xfrm>
            <a:off x="7592784" y="4446815"/>
            <a:ext cx="263315" cy="282121"/>
          </a:xfrm>
          <a:prstGeom prst="diamond">
            <a:avLst/>
          </a:prstGeom>
          <a:solidFill>
            <a:srgbClr val="FFFFFF"/>
          </a:solidFill>
          <a:ln w="9525">
            <a:solidFill>
              <a:srgbClr val="000000"/>
            </a:solidFill>
            <a:miter lim="800000"/>
            <a:headEnd/>
            <a:tailEnd/>
          </a:ln>
        </xdr:spPr>
      </xdr:sp>
      <xdr:sp macro="" textlink="">
        <xdr:nvSpPr>
          <xdr:cNvPr id="75" name="TextBox 74"/>
          <xdr:cNvSpPr txBox="1"/>
        </xdr:nvSpPr>
        <xdr:spPr>
          <a:xfrm>
            <a:off x="7592784" y="4477042"/>
            <a:ext cx="479001" cy="22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7</a:t>
            </a:r>
            <a:endParaRPr lang="ko-KR" altLang="en-US" sz="800"/>
          </a:p>
        </xdr:txBody>
      </xdr:sp>
    </xdr:grpSp>
    <xdr:clientData/>
  </xdr:twoCellAnchor>
  <xdr:twoCellAnchor>
    <xdr:from>
      <xdr:col>14</xdr:col>
      <xdr:colOff>200025</xdr:colOff>
      <xdr:row>31</xdr:row>
      <xdr:rowOff>561</xdr:rowOff>
    </xdr:from>
    <xdr:to>
      <xdr:col>15</xdr:col>
      <xdr:colOff>85725</xdr:colOff>
      <xdr:row>32</xdr:row>
      <xdr:rowOff>121024</xdr:rowOff>
    </xdr:to>
    <xdr:grpSp>
      <xdr:nvGrpSpPr>
        <xdr:cNvPr id="76" name="그룹 268"/>
        <xdr:cNvGrpSpPr>
          <a:grpSpLocks/>
        </xdr:cNvGrpSpPr>
      </xdr:nvGrpSpPr>
      <xdr:grpSpPr bwMode="auto">
        <a:xfrm>
          <a:off x="10397378" y="5188885"/>
          <a:ext cx="580465" cy="288551"/>
          <a:chOff x="7592784" y="4446815"/>
          <a:chExt cx="485352" cy="282121"/>
        </a:xfrm>
      </xdr:grpSpPr>
      <xdr:sp macro="" textlink="">
        <xdr:nvSpPr>
          <xdr:cNvPr id="77" name="AutoShape 369"/>
          <xdr:cNvSpPr>
            <a:spLocks noChangeAspect="1" noChangeArrowheads="1"/>
          </xdr:cNvSpPr>
        </xdr:nvSpPr>
        <xdr:spPr bwMode="auto">
          <a:xfrm>
            <a:off x="7592784" y="4446815"/>
            <a:ext cx="263315" cy="282121"/>
          </a:xfrm>
          <a:prstGeom prst="diamond">
            <a:avLst/>
          </a:prstGeom>
          <a:solidFill>
            <a:srgbClr val="FFFFFF"/>
          </a:solidFill>
          <a:ln w="9525">
            <a:solidFill>
              <a:srgbClr val="000000"/>
            </a:solidFill>
            <a:miter lim="800000"/>
            <a:headEnd/>
            <a:tailEnd/>
          </a:ln>
        </xdr:spPr>
      </xdr:sp>
      <xdr:sp macro="" textlink="">
        <xdr:nvSpPr>
          <xdr:cNvPr id="78" name="TextBox 77"/>
          <xdr:cNvSpPr txBox="1"/>
        </xdr:nvSpPr>
        <xdr:spPr>
          <a:xfrm>
            <a:off x="7602689" y="4477042"/>
            <a:ext cx="475447" cy="22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8</a:t>
            </a:r>
            <a:endParaRPr lang="ko-KR" altLang="en-US" sz="800"/>
          </a:p>
        </xdr:txBody>
      </xdr:sp>
    </xdr:grpSp>
    <xdr:clientData/>
  </xdr:twoCellAnchor>
  <xdr:twoCellAnchor>
    <xdr:from>
      <xdr:col>12</xdr:col>
      <xdr:colOff>580464</xdr:colOff>
      <xdr:row>33</xdr:row>
      <xdr:rowOff>67236</xdr:rowOff>
    </xdr:from>
    <xdr:to>
      <xdr:col>14</xdr:col>
      <xdr:colOff>333374</xdr:colOff>
      <xdr:row>35</xdr:row>
      <xdr:rowOff>5491</xdr:rowOff>
    </xdr:to>
    <xdr:sp macro="" textlink="">
      <xdr:nvSpPr>
        <xdr:cNvPr id="79" name="TextBox 78"/>
        <xdr:cNvSpPr txBox="1"/>
      </xdr:nvSpPr>
      <xdr:spPr>
        <a:xfrm>
          <a:off x="9388288" y="5591736"/>
          <a:ext cx="1142439" cy="274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71-112-LA/B</a:t>
          </a:r>
          <a:endParaRPr lang="ko-KR" altLang="en-US" sz="1100" u="sng"/>
        </a:p>
      </xdr:txBody>
    </xdr:sp>
    <xdr:clientData/>
  </xdr:twoCellAnchor>
  <xdr:twoCellAnchor>
    <xdr:from>
      <xdr:col>16</xdr:col>
      <xdr:colOff>238126</xdr:colOff>
      <xdr:row>33</xdr:row>
      <xdr:rowOff>121024</xdr:rowOff>
    </xdr:from>
    <xdr:to>
      <xdr:col>18</xdr:col>
      <xdr:colOff>209550</xdr:colOff>
      <xdr:row>35</xdr:row>
      <xdr:rowOff>62641</xdr:rowOff>
    </xdr:to>
    <xdr:sp macro="" textlink="">
      <xdr:nvSpPr>
        <xdr:cNvPr id="80" name="TextBox 79"/>
        <xdr:cNvSpPr txBox="1"/>
      </xdr:nvSpPr>
      <xdr:spPr>
        <a:xfrm>
          <a:off x="11825008" y="5645524"/>
          <a:ext cx="1360954" cy="277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71-110-F</a:t>
          </a:r>
          <a:endParaRPr lang="ko-KR" altLang="en-US" sz="1100" u="sng"/>
        </a:p>
      </xdr:txBody>
    </xdr:sp>
    <xdr:clientData/>
  </xdr:twoCellAnchor>
  <xdr:twoCellAnchor>
    <xdr:from>
      <xdr:col>12</xdr:col>
      <xdr:colOff>323850</xdr:colOff>
      <xdr:row>30</xdr:row>
      <xdr:rowOff>561</xdr:rowOff>
    </xdr:from>
    <xdr:to>
      <xdr:col>13</xdr:col>
      <xdr:colOff>171452</xdr:colOff>
      <xdr:row>31</xdr:row>
      <xdr:rowOff>123042</xdr:rowOff>
    </xdr:to>
    <xdr:sp macro="" textlink="">
      <xdr:nvSpPr>
        <xdr:cNvPr id="81" name="TextBox 80"/>
        <xdr:cNvSpPr txBox="1"/>
      </xdr:nvSpPr>
      <xdr:spPr>
        <a:xfrm>
          <a:off x="9131674" y="5020796"/>
          <a:ext cx="542366" cy="290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3''</a:t>
          </a:r>
          <a:endParaRPr lang="ko-KR" altLang="en-US" sz="1100" u="none"/>
        </a:p>
      </xdr:txBody>
    </xdr:sp>
    <xdr:clientData/>
  </xdr:twoCellAnchor>
  <xdr:twoCellAnchor>
    <xdr:from>
      <xdr:col>14</xdr:col>
      <xdr:colOff>323850</xdr:colOff>
      <xdr:row>30</xdr:row>
      <xdr:rowOff>19611</xdr:rowOff>
    </xdr:from>
    <xdr:to>
      <xdr:col>15</xdr:col>
      <xdr:colOff>171451</xdr:colOff>
      <xdr:row>31</xdr:row>
      <xdr:rowOff>142092</xdr:rowOff>
    </xdr:to>
    <xdr:sp macro="" textlink="">
      <xdr:nvSpPr>
        <xdr:cNvPr id="82" name="TextBox 81"/>
        <xdr:cNvSpPr txBox="1"/>
      </xdr:nvSpPr>
      <xdr:spPr>
        <a:xfrm>
          <a:off x="10521203" y="5039846"/>
          <a:ext cx="542366" cy="290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3''</a:t>
          </a:r>
          <a:endParaRPr lang="ko-KR" altLang="en-US" sz="1100" u="none"/>
        </a:p>
      </xdr:txBody>
    </xdr:sp>
    <xdr:clientData/>
  </xdr:twoCellAnchor>
  <xdr:twoCellAnchor>
    <xdr:from>
      <xdr:col>6</xdr:col>
      <xdr:colOff>123826</xdr:colOff>
      <xdr:row>23</xdr:row>
      <xdr:rowOff>10029</xdr:rowOff>
    </xdr:from>
    <xdr:to>
      <xdr:col>7</xdr:col>
      <xdr:colOff>489298</xdr:colOff>
      <xdr:row>24</xdr:row>
      <xdr:rowOff>116372</xdr:rowOff>
    </xdr:to>
    <xdr:sp macro="" textlink="">
      <xdr:nvSpPr>
        <xdr:cNvPr id="83" name="TextBox 82"/>
        <xdr:cNvSpPr txBox="1"/>
      </xdr:nvSpPr>
      <xdr:spPr>
        <a:xfrm>
          <a:off x="4763061" y="3853647"/>
          <a:ext cx="1060237" cy="274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FE-1005</a:t>
          </a:r>
          <a:endParaRPr lang="ko-KR" altLang="en-US" sz="1100" u="sng"/>
        </a:p>
      </xdr:txBody>
    </xdr:sp>
    <xdr:clientData/>
  </xdr:twoCellAnchor>
  <xdr:twoCellAnchor>
    <xdr:from>
      <xdr:col>17</xdr:col>
      <xdr:colOff>288520</xdr:colOff>
      <xdr:row>28</xdr:row>
      <xdr:rowOff>57711</xdr:rowOff>
    </xdr:from>
    <xdr:to>
      <xdr:col>19</xdr:col>
      <xdr:colOff>192352</xdr:colOff>
      <xdr:row>30</xdr:row>
      <xdr:rowOff>147578</xdr:rowOff>
    </xdr:to>
    <xdr:sp macro="" textlink="">
      <xdr:nvSpPr>
        <xdr:cNvPr id="84" name="TextBox 83"/>
        <xdr:cNvSpPr txBox="1"/>
      </xdr:nvSpPr>
      <xdr:spPr>
        <a:xfrm>
          <a:off x="12570167" y="4741770"/>
          <a:ext cx="1293361" cy="426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200"/>
            <a:t>O.P.</a:t>
          </a:r>
          <a:r>
            <a:rPr lang="en-US" altLang="ko-KR" sz="1200" baseline="0"/>
            <a:t>  </a:t>
          </a:r>
        </a:p>
        <a:p>
          <a:r>
            <a:rPr lang="en-US" altLang="ko-KR" sz="1200" baseline="0"/>
            <a:t>3.87 kg/cm</a:t>
          </a:r>
          <a:r>
            <a:rPr lang="en-US" altLang="ko-KR" sz="1200" baseline="30000"/>
            <a:t>2</a:t>
          </a:r>
          <a:r>
            <a:rPr lang="en-US" altLang="ko-KR" sz="1200" baseline="0"/>
            <a:t>G</a:t>
          </a:r>
        </a:p>
      </xdr:txBody>
    </xdr:sp>
    <xdr:clientData/>
  </xdr:twoCellAnchor>
  <xdr:twoCellAnchor>
    <xdr:from>
      <xdr:col>17</xdr:col>
      <xdr:colOff>9525</xdr:colOff>
      <xdr:row>31</xdr:row>
      <xdr:rowOff>561</xdr:rowOff>
    </xdr:from>
    <xdr:to>
      <xdr:col>17</xdr:col>
      <xdr:colOff>276225</xdr:colOff>
      <xdr:row>33</xdr:row>
      <xdr:rowOff>48186</xdr:rowOff>
    </xdr:to>
    <xdr:cxnSp macro="">
      <xdr:nvCxnSpPr>
        <xdr:cNvPr id="85" name="직선 화살표 연결선 729"/>
        <xdr:cNvCxnSpPr>
          <a:cxnSpLocks noChangeShapeType="1"/>
        </xdr:cNvCxnSpPr>
      </xdr:nvCxnSpPr>
      <xdr:spPr bwMode="auto">
        <a:xfrm rot="5400000">
          <a:off x="12232621" y="5247436"/>
          <a:ext cx="383801" cy="266700"/>
        </a:xfrm>
        <a:prstGeom prst="straightConnector1">
          <a:avLst/>
        </a:prstGeom>
        <a:noFill/>
        <a:ln w="9525" algn="ctr">
          <a:solidFill>
            <a:srgbClr val="000000"/>
          </a:solidFill>
          <a:round/>
          <a:headEnd/>
          <a:tailEnd type="triangle" w="sm" len="med"/>
        </a:ln>
      </xdr:spPr>
    </xdr:cxnSp>
    <xdr:clientData/>
  </xdr:twoCellAnchor>
  <xdr:twoCellAnchor>
    <xdr:from>
      <xdr:col>17</xdr:col>
      <xdr:colOff>266700</xdr:colOff>
      <xdr:row>31</xdr:row>
      <xdr:rowOff>10086</xdr:rowOff>
    </xdr:from>
    <xdr:to>
      <xdr:col>19</xdr:col>
      <xdr:colOff>95251</xdr:colOff>
      <xdr:row>31</xdr:row>
      <xdr:rowOff>10086</xdr:rowOff>
    </xdr:to>
    <xdr:cxnSp macro="">
      <xdr:nvCxnSpPr>
        <xdr:cNvPr id="86" name="직선 연결선 728"/>
        <xdr:cNvCxnSpPr>
          <a:cxnSpLocks noChangeShapeType="1"/>
        </xdr:cNvCxnSpPr>
      </xdr:nvCxnSpPr>
      <xdr:spPr bwMode="auto">
        <a:xfrm>
          <a:off x="12548347" y="5198410"/>
          <a:ext cx="1218080" cy="0"/>
        </a:xfrm>
        <a:prstGeom prst="line">
          <a:avLst/>
        </a:prstGeom>
        <a:noFill/>
        <a:ln w="9525" algn="ctr">
          <a:solidFill>
            <a:srgbClr val="000000"/>
          </a:solidFill>
          <a:round/>
          <a:headEnd/>
          <a:tailEnd/>
        </a:ln>
      </xdr:spPr>
    </xdr:cxnSp>
    <xdr:clientData/>
  </xdr:twoCellAnchor>
  <xdr:twoCellAnchor editAs="oneCell">
    <xdr:from>
      <xdr:col>8</xdr:col>
      <xdr:colOff>485215</xdr:colOff>
      <xdr:row>21</xdr:row>
      <xdr:rowOff>67236</xdr:rowOff>
    </xdr:from>
    <xdr:to>
      <xdr:col>9</xdr:col>
      <xdr:colOff>19051</xdr:colOff>
      <xdr:row>23</xdr:row>
      <xdr:rowOff>38661</xdr:rowOff>
    </xdr:to>
    <xdr:pic>
      <xdr:nvPicPr>
        <xdr:cNvPr id="87" name="그림 180" descr="그림1.png"/>
        <xdr:cNvPicPr>
          <a:picLocks noChangeAspect="1"/>
        </xdr:cNvPicPr>
      </xdr:nvPicPr>
      <xdr:blipFill>
        <a:blip xmlns:r="http://schemas.openxmlformats.org/officeDocument/2006/relationships" r:embed="rId2"/>
        <a:srcRect/>
        <a:stretch>
          <a:fillRect/>
        </a:stretch>
      </xdr:blipFill>
      <xdr:spPr bwMode="auto">
        <a:xfrm>
          <a:off x="6513980" y="3574677"/>
          <a:ext cx="228600" cy="307602"/>
        </a:xfrm>
        <a:prstGeom prst="rect">
          <a:avLst/>
        </a:prstGeom>
        <a:solidFill>
          <a:srgbClr val="FFFFFF"/>
        </a:solidFill>
        <a:ln w="9525">
          <a:noFill/>
          <a:miter lim="800000"/>
          <a:headEnd/>
          <a:tailEnd/>
        </a:ln>
      </xdr:spPr>
    </xdr:pic>
    <xdr:clientData/>
  </xdr:twoCellAnchor>
  <xdr:twoCellAnchor>
    <xdr:from>
      <xdr:col>7</xdr:col>
      <xdr:colOff>513790</xdr:colOff>
      <xdr:row>21</xdr:row>
      <xdr:rowOff>10086</xdr:rowOff>
    </xdr:from>
    <xdr:to>
      <xdr:col>8</xdr:col>
      <xdr:colOff>513791</xdr:colOff>
      <xdr:row>22</xdr:row>
      <xdr:rowOff>123043</xdr:rowOff>
    </xdr:to>
    <xdr:sp macro="" textlink="">
      <xdr:nvSpPr>
        <xdr:cNvPr id="88" name="TextBox 87"/>
        <xdr:cNvSpPr txBox="1"/>
      </xdr:nvSpPr>
      <xdr:spPr>
        <a:xfrm>
          <a:off x="5847790" y="3517527"/>
          <a:ext cx="694766" cy="281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1.1/2''</a:t>
          </a:r>
          <a:endParaRPr lang="ko-KR" altLang="en-US" sz="1100" u="none"/>
        </a:p>
      </xdr:txBody>
    </xdr:sp>
    <xdr:clientData/>
  </xdr:twoCellAnchor>
  <xdr:twoCellAnchor>
    <xdr:from>
      <xdr:col>10</xdr:col>
      <xdr:colOff>171450</xdr:colOff>
      <xdr:row>23</xdr:row>
      <xdr:rowOff>82924</xdr:rowOff>
    </xdr:from>
    <xdr:to>
      <xdr:col>10</xdr:col>
      <xdr:colOff>628090</xdr:colOff>
      <xdr:row>25</xdr:row>
      <xdr:rowOff>21629</xdr:rowOff>
    </xdr:to>
    <xdr:sp macro="" textlink="">
      <xdr:nvSpPr>
        <xdr:cNvPr id="89" name="TextBox 88"/>
        <xdr:cNvSpPr txBox="1"/>
      </xdr:nvSpPr>
      <xdr:spPr>
        <a:xfrm>
          <a:off x="7589744" y="3926542"/>
          <a:ext cx="456640" cy="274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none"/>
            <a:t>2''</a:t>
          </a:r>
          <a:endParaRPr lang="ko-KR" altLang="en-US" sz="1100" u="none"/>
        </a:p>
      </xdr:txBody>
    </xdr:sp>
    <xdr:clientData/>
  </xdr:twoCellAnchor>
  <xdr:twoCellAnchor>
    <xdr:from>
      <xdr:col>10</xdr:col>
      <xdr:colOff>171450</xdr:colOff>
      <xdr:row>21</xdr:row>
      <xdr:rowOff>130549</xdr:rowOff>
    </xdr:from>
    <xdr:to>
      <xdr:col>10</xdr:col>
      <xdr:colOff>171450</xdr:colOff>
      <xdr:row>27</xdr:row>
      <xdr:rowOff>10086</xdr:rowOff>
    </xdr:to>
    <xdr:cxnSp macro="">
      <xdr:nvCxnSpPr>
        <xdr:cNvPr id="90" name="직선 화살표 연결선 182"/>
        <xdr:cNvCxnSpPr>
          <a:cxnSpLocks noChangeShapeType="1"/>
        </xdr:cNvCxnSpPr>
      </xdr:nvCxnSpPr>
      <xdr:spPr bwMode="auto">
        <a:xfrm rot="5400000">
          <a:off x="7145710" y="4082024"/>
          <a:ext cx="888067" cy="0"/>
        </a:xfrm>
        <a:prstGeom prst="straightConnector1">
          <a:avLst/>
        </a:prstGeom>
        <a:noFill/>
        <a:ln w="9525" algn="ctr">
          <a:solidFill>
            <a:srgbClr val="000000"/>
          </a:solidFill>
          <a:round/>
          <a:headEnd/>
          <a:tailEnd type="triangle" w="sm" len="med"/>
        </a:ln>
      </xdr:spPr>
    </xdr:cxnSp>
    <xdr:clientData/>
  </xdr:twoCellAnchor>
  <xdr:twoCellAnchor>
    <xdr:from>
      <xdr:col>10</xdr:col>
      <xdr:colOff>104775</xdr:colOff>
      <xdr:row>21</xdr:row>
      <xdr:rowOff>76761</xdr:rowOff>
    </xdr:from>
    <xdr:to>
      <xdr:col>10</xdr:col>
      <xdr:colOff>247650</xdr:colOff>
      <xdr:row>21</xdr:row>
      <xdr:rowOff>76761</xdr:rowOff>
    </xdr:to>
    <xdr:cxnSp macro="">
      <xdr:nvCxnSpPr>
        <xdr:cNvPr id="91" name="직선 화살표 연결선 183"/>
        <xdr:cNvCxnSpPr>
          <a:cxnSpLocks noChangeShapeType="1"/>
        </xdr:cNvCxnSpPr>
      </xdr:nvCxnSpPr>
      <xdr:spPr bwMode="auto">
        <a:xfrm>
          <a:off x="7523069" y="3584202"/>
          <a:ext cx="142875" cy="0"/>
        </a:xfrm>
        <a:prstGeom prst="straightConnector1">
          <a:avLst/>
        </a:prstGeom>
        <a:noFill/>
        <a:ln w="9525" algn="ctr">
          <a:solidFill>
            <a:srgbClr val="000000"/>
          </a:solidFill>
          <a:round/>
          <a:headEnd/>
          <a:tailEnd/>
        </a:ln>
      </xdr:spPr>
    </xdr:cxnSp>
    <xdr:clientData/>
  </xdr:twoCellAnchor>
  <xdr:twoCellAnchor>
    <xdr:from>
      <xdr:col>10</xdr:col>
      <xdr:colOff>104775</xdr:colOff>
      <xdr:row>21</xdr:row>
      <xdr:rowOff>130549</xdr:rowOff>
    </xdr:from>
    <xdr:to>
      <xdr:col>10</xdr:col>
      <xdr:colOff>247650</xdr:colOff>
      <xdr:row>21</xdr:row>
      <xdr:rowOff>130549</xdr:rowOff>
    </xdr:to>
    <xdr:cxnSp macro="">
      <xdr:nvCxnSpPr>
        <xdr:cNvPr id="92" name="직선 화살표 연결선 183"/>
        <xdr:cNvCxnSpPr>
          <a:cxnSpLocks noChangeShapeType="1"/>
        </xdr:cNvCxnSpPr>
      </xdr:nvCxnSpPr>
      <xdr:spPr bwMode="auto">
        <a:xfrm>
          <a:off x="7523069" y="3637990"/>
          <a:ext cx="142875" cy="0"/>
        </a:xfrm>
        <a:prstGeom prst="straightConnector1">
          <a:avLst/>
        </a:prstGeom>
        <a:noFill/>
        <a:ln w="9525" algn="ctr">
          <a:solidFill>
            <a:srgbClr val="000000"/>
          </a:solidFill>
          <a:round/>
          <a:headEnd/>
          <a:tailEnd/>
        </a:ln>
      </xdr:spPr>
    </xdr:cxnSp>
    <xdr:clientData/>
  </xdr:twoCellAnchor>
  <xdr:twoCellAnchor>
    <xdr:from>
      <xdr:col>10</xdr:col>
      <xdr:colOff>180975</xdr:colOff>
      <xdr:row>26</xdr:row>
      <xdr:rowOff>159125</xdr:rowOff>
    </xdr:from>
    <xdr:to>
      <xdr:col>11</xdr:col>
      <xdr:colOff>123825</xdr:colOff>
      <xdr:row>26</xdr:row>
      <xdr:rowOff>159125</xdr:rowOff>
    </xdr:to>
    <xdr:cxnSp macro="">
      <xdr:nvCxnSpPr>
        <xdr:cNvPr id="93" name="직선 화살표 연결선 183"/>
        <xdr:cNvCxnSpPr>
          <a:cxnSpLocks noChangeShapeType="1"/>
        </xdr:cNvCxnSpPr>
      </xdr:nvCxnSpPr>
      <xdr:spPr bwMode="auto">
        <a:xfrm>
          <a:off x="7599269" y="4507007"/>
          <a:ext cx="637615" cy="0"/>
        </a:xfrm>
        <a:prstGeom prst="straightConnector1">
          <a:avLst/>
        </a:prstGeom>
        <a:noFill/>
        <a:ln w="9525" algn="ctr">
          <a:solidFill>
            <a:srgbClr val="000000"/>
          </a:solidFill>
          <a:round/>
          <a:headEnd/>
          <a:tailEnd type="triangle" w="sm" len="med"/>
        </a:ln>
      </xdr:spPr>
    </xdr:cxnSp>
    <xdr:clientData/>
  </xdr:twoCellAnchor>
  <xdr:twoCellAnchor>
    <xdr:from>
      <xdr:col>7</xdr:col>
      <xdr:colOff>304800</xdr:colOff>
      <xdr:row>22</xdr:row>
      <xdr:rowOff>10086</xdr:rowOff>
    </xdr:from>
    <xdr:to>
      <xdr:col>7</xdr:col>
      <xdr:colOff>647140</xdr:colOff>
      <xdr:row>23</xdr:row>
      <xdr:rowOff>76761</xdr:rowOff>
    </xdr:to>
    <xdr:grpSp>
      <xdr:nvGrpSpPr>
        <xdr:cNvPr id="94" name="그룹 268"/>
        <xdr:cNvGrpSpPr>
          <a:grpSpLocks/>
        </xdr:cNvGrpSpPr>
      </xdr:nvGrpSpPr>
      <xdr:grpSpPr bwMode="auto">
        <a:xfrm>
          <a:off x="5638800" y="3685615"/>
          <a:ext cx="342340" cy="234764"/>
          <a:chOff x="7592786" y="4446813"/>
          <a:chExt cx="228600" cy="244930"/>
        </a:xfrm>
      </xdr:grpSpPr>
      <xdr:sp macro="" textlink="">
        <xdr:nvSpPr>
          <xdr:cNvPr id="95" name="AutoShape 369"/>
          <xdr:cNvSpPr>
            <a:spLocks noChangeAspect="1" noChangeArrowheads="1"/>
          </xdr:cNvSpPr>
        </xdr:nvSpPr>
        <xdr:spPr bwMode="auto">
          <a:xfrm>
            <a:off x="7592786" y="4446815"/>
            <a:ext cx="228600" cy="244928"/>
          </a:xfrm>
          <a:prstGeom prst="diamond">
            <a:avLst/>
          </a:prstGeom>
          <a:solidFill>
            <a:srgbClr val="FFFFFF"/>
          </a:solidFill>
          <a:ln w="9525">
            <a:solidFill>
              <a:srgbClr val="000000"/>
            </a:solidFill>
            <a:miter lim="800000"/>
            <a:headEnd/>
            <a:tailEnd/>
          </a:ln>
        </xdr:spPr>
      </xdr:sp>
      <xdr:sp macro="" textlink="">
        <xdr:nvSpPr>
          <xdr:cNvPr id="96" name="TextBox 95"/>
          <xdr:cNvSpPr txBox="1"/>
        </xdr:nvSpPr>
        <xdr:spPr>
          <a:xfrm>
            <a:off x="7592786" y="4446813"/>
            <a:ext cx="161925" cy="19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5</a:t>
            </a:r>
            <a:endParaRPr lang="ko-KR" altLang="en-US" sz="800"/>
          </a:p>
        </xdr:txBody>
      </xdr:sp>
    </xdr:grpSp>
    <xdr:clientData/>
  </xdr:twoCellAnchor>
  <xdr:twoCellAnchor>
    <xdr:from>
      <xdr:col>15</xdr:col>
      <xdr:colOff>504265</xdr:colOff>
      <xdr:row>9</xdr:row>
      <xdr:rowOff>67236</xdr:rowOff>
    </xdr:from>
    <xdr:to>
      <xdr:col>17</xdr:col>
      <xdr:colOff>599515</xdr:colOff>
      <xdr:row>12</xdr:row>
      <xdr:rowOff>19610</xdr:rowOff>
    </xdr:to>
    <xdr:sp macro="" textlink="">
      <xdr:nvSpPr>
        <xdr:cNvPr id="97" name="TextBox 96"/>
        <xdr:cNvSpPr txBox="1"/>
      </xdr:nvSpPr>
      <xdr:spPr>
        <a:xfrm>
          <a:off x="11396383" y="1557618"/>
          <a:ext cx="1484779" cy="456639"/>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a:t>371C/351JF/360D</a:t>
          </a:r>
          <a:r>
            <a:rPr lang="ko-KR" altLang="en-US" sz="1100"/>
            <a:t>로 빠짐</a:t>
          </a:r>
        </a:p>
      </xdr:txBody>
    </xdr:sp>
    <xdr:clientData/>
  </xdr:twoCellAnchor>
  <xdr:twoCellAnchor>
    <xdr:from>
      <xdr:col>4</xdr:col>
      <xdr:colOff>28575</xdr:colOff>
      <xdr:row>14</xdr:row>
      <xdr:rowOff>82924</xdr:rowOff>
    </xdr:from>
    <xdr:to>
      <xdr:col>4</xdr:col>
      <xdr:colOff>28575</xdr:colOff>
      <xdr:row>22</xdr:row>
      <xdr:rowOff>130550</xdr:rowOff>
    </xdr:to>
    <xdr:cxnSp macro="">
      <xdr:nvCxnSpPr>
        <xdr:cNvPr id="98" name="직선 화살표 연결선 183"/>
        <xdr:cNvCxnSpPr>
          <a:cxnSpLocks noChangeShapeType="1"/>
        </xdr:cNvCxnSpPr>
      </xdr:nvCxnSpPr>
      <xdr:spPr bwMode="auto">
        <a:xfrm rot="5400000" flipH="1" flipV="1">
          <a:off x="2582115" y="3109914"/>
          <a:ext cx="1392331" cy="0"/>
        </a:xfrm>
        <a:prstGeom prst="straightConnector1">
          <a:avLst/>
        </a:prstGeom>
        <a:noFill/>
        <a:ln w="9525" algn="ctr">
          <a:solidFill>
            <a:srgbClr val="000000"/>
          </a:solidFill>
          <a:prstDash val="lgDash"/>
          <a:round/>
          <a:headEnd/>
          <a:tailEnd type="triangle" w="sm" len="med"/>
        </a:ln>
      </xdr:spPr>
    </xdr:cxnSp>
    <xdr:clientData/>
  </xdr:twoCellAnchor>
  <xdr:twoCellAnchor>
    <xdr:from>
      <xdr:col>11</xdr:col>
      <xdr:colOff>123929</xdr:colOff>
      <xdr:row>23</xdr:row>
      <xdr:rowOff>142625</xdr:rowOff>
    </xdr:from>
    <xdr:to>
      <xdr:col>12</xdr:col>
      <xdr:colOff>162115</xdr:colOff>
      <xdr:row>28</xdr:row>
      <xdr:rowOff>78509</xdr:rowOff>
    </xdr:to>
    <xdr:grpSp>
      <xdr:nvGrpSpPr>
        <xdr:cNvPr id="99" name="그룹 2008"/>
        <xdr:cNvGrpSpPr>
          <a:grpSpLocks/>
        </xdr:cNvGrpSpPr>
      </xdr:nvGrpSpPr>
      <xdr:grpSpPr bwMode="auto">
        <a:xfrm>
          <a:off x="8236988" y="3986243"/>
          <a:ext cx="732951" cy="776325"/>
          <a:chOff x="9932491" y="4150796"/>
          <a:chExt cx="423970" cy="804188"/>
        </a:xfrm>
        <a:solidFill>
          <a:schemeClr val="bg1"/>
        </a:solidFill>
      </xdr:grpSpPr>
      <xdr:grpSp>
        <xdr:nvGrpSpPr>
          <xdr:cNvPr id="100" name="그룹 226"/>
          <xdr:cNvGrpSpPr>
            <a:grpSpLocks/>
          </xdr:cNvGrpSpPr>
        </xdr:nvGrpSpPr>
        <xdr:grpSpPr bwMode="auto">
          <a:xfrm rot="5400000">
            <a:off x="9742409" y="4340931"/>
            <a:ext cx="804188" cy="423917"/>
            <a:chOff x="1736433" y="2973994"/>
            <a:chExt cx="972664" cy="507300"/>
          </a:xfrm>
          <a:grpFill/>
        </xdr:grpSpPr>
        <xdr:grpSp>
          <xdr:nvGrpSpPr>
            <xdr:cNvPr id="105" name="Group1969"/>
            <xdr:cNvGrpSpPr>
              <a:grpSpLocks/>
            </xdr:cNvGrpSpPr>
          </xdr:nvGrpSpPr>
          <xdr:grpSpPr bwMode="auto">
            <a:xfrm rot="16200000">
              <a:off x="2347877" y="3149623"/>
              <a:ext cx="39023" cy="234105"/>
              <a:chOff x="649" y="205"/>
              <a:chExt cx="4" cy="30"/>
            </a:xfrm>
            <a:grpFill/>
          </xdr:grpSpPr>
          <xdr:sp macro="" textlink="">
            <xdr:nvSpPr>
              <xdr:cNvPr id="113" name="ori1"/>
              <xdr:cNvSpPr>
                <a:spLocks noChangeArrowheads="1"/>
              </xdr:cNvSpPr>
            </xdr:nvSpPr>
            <xdr:spPr bwMode="auto">
              <a:xfrm>
                <a:off x="649" y="205"/>
                <a:ext cx="4" cy="2"/>
              </a:xfrm>
              <a:prstGeom prst="rect">
                <a:avLst/>
              </a:prstGeom>
              <a:grpFill/>
              <a:ln w="9525">
                <a:solidFill>
                  <a:schemeClr val="tx1"/>
                </a:solidFill>
                <a:prstDash val="solid"/>
                <a:miter lim="800000"/>
                <a:headEnd/>
                <a:tailEnd/>
              </a:ln>
            </xdr:spPr>
          </xdr:sp>
          <xdr:sp macro="" textlink="">
            <xdr:nvSpPr>
              <xdr:cNvPr id="114" name="ori6"/>
              <xdr:cNvSpPr>
                <a:spLocks noChangeArrowheads="1"/>
              </xdr:cNvSpPr>
            </xdr:nvSpPr>
            <xdr:spPr bwMode="auto">
              <a:xfrm>
                <a:off x="649" y="233"/>
                <a:ext cx="4" cy="2"/>
              </a:xfrm>
              <a:prstGeom prst="rect">
                <a:avLst/>
              </a:prstGeom>
              <a:grpFill/>
              <a:ln w="9525">
                <a:solidFill>
                  <a:schemeClr val="tx1"/>
                </a:solidFill>
                <a:prstDash val="solid"/>
                <a:miter lim="800000"/>
                <a:headEnd/>
                <a:tailEnd/>
              </a:ln>
            </xdr:spPr>
          </xdr:sp>
          <xdr:sp macro="" textlink="">
            <xdr:nvSpPr>
              <xdr:cNvPr id="115" name="ori7"/>
              <xdr:cNvSpPr>
                <a:spLocks noChangeArrowheads="1"/>
              </xdr:cNvSpPr>
            </xdr:nvSpPr>
            <xdr:spPr bwMode="auto">
              <a:xfrm>
                <a:off x="649" y="233"/>
                <a:ext cx="4" cy="2"/>
              </a:xfrm>
              <a:prstGeom prst="rect">
                <a:avLst/>
              </a:prstGeom>
              <a:grpFill/>
              <a:ln w="9525">
                <a:solidFill>
                  <a:schemeClr val="tx1"/>
                </a:solidFill>
                <a:prstDash val="solid"/>
                <a:miter lim="800000"/>
                <a:headEnd/>
                <a:tailEnd/>
              </a:ln>
            </xdr:spPr>
          </xdr:sp>
          <xdr:sp macro="" textlink="">
            <xdr:nvSpPr>
              <xdr:cNvPr id="116" name="ori10"/>
              <xdr:cNvSpPr>
                <a:spLocks noChangeArrowheads="1"/>
              </xdr:cNvSpPr>
            </xdr:nvSpPr>
            <xdr:spPr bwMode="auto">
              <a:xfrm>
                <a:off x="649" y="205"/>
                <a:ext cx="4" cy="2"/>
              </a:xfrm>
              <a:prstGeom prst="rect">
                <a:avLst/>
              </a:prstGeom>
              <a:grpFill/>
              <a:ln w="9525">
                <a:solidFill>
                  <a:schemeClr val="tx1"/>
                </a:solidFill>
                <a:prstDash val="solid"/>
                <a:miter lim="800000"/>
                <a:headEnd/>
                <a:tailEnd/>
              </a:ln>
            </xdr:spPr>
          </xdr:sp>
        </xdr:grpSp>
        <xdr:grpSp>
          <xdr:nvGrpSpPr>
            <xdr:cNvPr id="106" name="Group1969"/>
            <xdr:cNvGrpSpPr>
              <a:grpSpLocks/>
            </xdr:cNvGrpSpPr>
          </xdr:nvGrpSpPr>
          <xdr:grpSpPr bwMode="auto">
            <a:xfrm rot="10800000">
              <a:off x="1736433" y="2973994"/>
              <a:ext cx="972664" cy="507300"/>
              <a:chOff x="629" y="206"/>
              <a:chExt cx="56" cy="30"/>
            </a:xfrm>
            <a:grpFill/>
          </xdr:grpSpPr>
          <xdr:sp macro="" textlink="">
            <xdr:nvSpPr>
              <xdr:cNvPr id="107" name="ori6"/>
              <xdr:cNvSpPr>
                <a:spLocks noChangeArrowheads="1"/>
              </xdr:cNvSpPr>
            </xdr:nvSpPr>
            <xdr:spPr bwMode="auto">
              <a:xfrm>
                <a:off x="653" y="233"/>
                <a:ext cx="1" cy="1"/>
              </a:xfrm>
              <a:prstGeom prst="rect">
                <a:avLst/>
              </a:prstGeom>
              <a:grpFill/>
              <a:ln w="9525">
                <a:solidFill>
                  <a:schemeClr val="tx1"/>
                </a:solidFill>
                <a:prstDash val="solid"/>
                <a:miter lim="800000"/>
                <a:headEnd/>
                <a:tailEnd/>
              </a:ln>
            </xdr:spPr>
          </xdr:sp>
          <xdr:sp macro="" textlink="">
            <xdr:nvSpPr>
              <xdr:cNvPr id="108" name="ori7"/>
              <xdr:cNvSpPr>
                <a:spLocks noChangeArrowheads="1"/>
              </xdr:cNvSpPr>
            </xdr:nvSpPr>
            <xdr:spPr bwMode="auto">
              <a:xfrm>
                <a:off x="680" y="233"/>
                <a:ext cx="1" cy="1"/>
              </a:xfrm>
              <a:prstGeom prst="rect">
                <a:avLst/>
              </a:prstGeom>
              <a:grpFill/>
              <a:ln w="9525">
                <a:solidFill>
                  <a:schemeClr val="tx1"/>
                </a:solidFill>
                <a:prstDash val="solid"/>
                <a:miter lim="800000"/>
                <a:headEnd/>
                <a:tailEnd/>
              </a:ln>
            </xdr:spPr>
          </xdr:sp>
          <xdr:grpSp>
            <xdr:nvGrpSpPr>
              <xdr:cNvPr id="109" name="symb"/>
              <xdr:cNvGrpSpPr>
                <a:grpSpLocks/>
              </xdr:cNvGrpSpPr>
            </xdr:nvGrpSpPr>
            <xdr:grpSpPr bwMode="auto">
              <a:xfrm>
                <a:off x="629" y="206"/>
                <a:ext cx="56" cy="30"/>
                <a:chOff x="173" y="105"/>
                <a:chExt cx="71" cy="30"/>
              </a:xfrm>
              <a:grpFill/>
            </xdr:grpSpPr>
            <xdr:sp macro="" textlink="">
              <xdr:nvSpPr>
                <xdr:cNvPr id="110" name="Oval 419"/>
                <xdr:cNvSpPr>
                  <a:spLocks noChangeArrowheads="1"/>
                </xdr:cNvSpPr>
              </xdr:nvSpPr>
              <xdr:spPr bwMode="auto">
                <a:xfrm>
                  <a:off x="186" y="105"/>
                  <a:ext cx="21" cy="30"/>
                </a:xfrm>
                <a:prstGeom prst="ellipse">
                  <a:avLst/>
                </a:prstGeom>
                <a:grpFill/>
                <a:ln w="12700">
                  <a:solidFill>
                    <a:srgbClr val="000000"/>
                  </a:solidFill>
                  <a:prstDash val="solid"/>
                  <a:round/>
                  <a:headEnd/>
                  <a:tailEnd/>
                </a:ln>
              </xdr:spPr>
            </xdr:sp>
            <xdr:sp macro="" textlink="">
              <xdr:nvSpPr>
                <xdr:cNvPr id="111" name="Oval 420"/>
                <xdr:cNvSpPr>
                  <a:spLocks noChangeArrowheads="1"/>
                </xdr:cNvSpPr>
              </xdr:nvSpPr>
              <xdr:spPr bwMode="auto">
                <a:xfrm>
                  <a:off x="219" y="105"/>
                  <a:ext cx="25" cy="30"/>
                </a:xfrm>
                <a:prstGeom prst="ellipse">
                  <a:avLst/>
                </a:prstGeom>
                <a:grpFill/>
                <a:ln w="12700">
                  <a:solidFill>
                    <a:srgbClr val="000000"/>
                  </a:solidFill>
                  <a:prstDash val="solid"/>
                  <a:round/>
                  <a:headEnd/>
                  <a:tailEnd/>
                </a:ln>
              </xdr:spPr>
            </xdr:sp>
            <xdr:sp macro="" textlink="">
              <xdr:nvSpPr>
                <xdr:cNvPr id="112" name="Rectangle 421"/>
                <xdr:cNvSpPr>
                  <a:spLocks noChangeArrowheads="1"/>
                </xdr:cNvSpPr>
              </xdr:nvSpPr>
              <xdr:spPr bwMode="auto">
                <a:xfrm>
                  <a:off x="173" y="105"/>
                  <a:ext cx="52" cy="30"/>
                </a:xfrm>
                <a:prstGeom prst="rect">
                  <a:avLst/>
                </a:prstGeom>
                <a:grpFill/>
                <a:ln w="12700">
                  <a:solidFill>
                    <a:srgbClr val="000000"/>
                  </a:solidFill>
                  <a:prstDash val="solid"/>
                  <a:miter lim="800000"/>
                  <a:headEnd/>
                  <a:tailEnd/>
                </a:ln>
              </xdr:spPr>
            </xdr:sp>
          </xdr:grpSp>
        </xdr:grpSp>
      </xdr:grpSp>
      <xdr:cxnSp macro="">
        <xdr:nvCxnSpPr>
          <xdr:cNvPr id="101" name="직선 연결선 209"/>
          <xdr:cNvCxnSpPr>
            <a:cxnSpLocks noChangeShapeType="1"/>
          </xdr:cNvCxnSpPr>
        </xdr:nvCxnSpPr>
        <xdr:spPr bwMode="auto">
          <a:xfrm flipH="1" flipV="1">
            <a:off x="9945535" y="4691833"/>
            <a:ext cx="410877" cy="0"/>
          </a:xfrm>
          <a:prstGeom prst="line">
            <a:avLst/>
          </a:prstGeom>
          <a:grpFill/>
          <a:ln w="9525" algn="ctr">
            <a:solidFill>
              <a:srgbClr val="000000"/>
            </a:solidFill>
            <a:round/>
            <a:headEnd/>
            <a:tailEnd/>
          </a:ln>
        </xdr:spPr>
      </xdr:cxnSp>
      <xdr:cxnSp macro="">
        <xdr:nvCxnSpPr>
          <xdr:cNvPr id="102" name="직선 연결선 209"/>
          <xdr:cNvCxnSpPr>
            <a:cxnSpLocks noChangeShapeType="1"/>
          </xdr:cNvCxnSpPr>
        </xdr:nvCxnSpPr>
        <xdr:spPr bwMode="auto">
          <a:xfrm flipH="1" flipV="1">
            <a:off x="9945535" y="4943457"/>
            <a:ext cx="410877" cy="0"/>
          </a:xfrm>
          <a:prstGeom prst="line">
            <a:avLst/>
          </a:prstGeom>
          <a:grpFill/>
          <a:ln w="9525" algn="ctr">
            <a:solidFill>
              <a:srgbClr val="000000"/>
            </a:solidFill>
            <a:round/>
            <a:headEnd/>
            <a:tailEnd/>
          </a:ln>
        </xdr:spPr>
      </xdr:cxnSp>
      <xdr:cxnSp macro="">
        <xdr:nvCxnSpPr>
          <xdr:cNvPr id="103" name="직선 연결선 209"/>
          <xdr:cNvCxnSpPr>
            <a:cxnSpLocks noChangeShapeType="1"/>
          </xdr:cNvCxnSpPr>
        </xdr:nvCxnSpPr>
        <xdr:spPr bwMode="auto">
          <a:xfrm flipH="1">
            <a:off x="9932491" y="4701511"/>
            <a:ext cx="423921" cy="232268"/>
          </a:xfrm>
          <a:prstGeom prst="line">
            <a:avLst/>
          </a:prstGeom>
          <a:grpFill/>
          <a:ln w="9525" algn="ctr">
            <a:solidFill>
              <a:srgbClr val="000000"/>
            </a:solidFill>
            <a:round/>
            <a:headEnd/>
            <a:tailEnd/>
          </a:ln>
        </xdr:spPr>
      </xdr:cxnSp>
      <xdr:cxnSp macro="">
        <xdr:nvCxnSpPr>
          <xdr:cNvPr id="104" name="직선 연결선 209"/>
          <xdr:cNvCxnSpPr>
            <a:cxnSpLocks noChangeShapeType="1"/>
          </xdr:cNvCxnSpPr>
        </xdr:nvCxnSpPr>
        <xdr:spPr bwMode="auto">
          <a:xfrm rot="10800000">
            <a:off x="9932491" y="4701511"/>
            <a:ext cx="423921" cy="232268"/>
          </a:xfrm>
          <a:prstGeom prst="line">
            <a:avLst/>
          </a:prstGeom>
          <a:grpFill/>
          <a:ln w="9525" algn="ctr">
            <a:solidFill>
              <a:srgbClr val="000000"/>
            </a:solidFill>
            <a:round/>
            <a:headEnd/>
            <a:tailEnd/>
          </a:ln>
        </xdr:spPr>
      </xdr:cxnSp>
    </xdr:grpSp>
    <xdr:clientData/>
  </xdr:twoCellAnchor>
  <xdr:twoCellAnchor>
    <xdr:from>
      <xdr:col>5</xdr:col>
      <xdr:colOff>66675</xdr:colOff>
      <xdr:row>21</xdr:row>
      <xdr:rowOff>121024</xdr:rowOff>
    </xdr:from>
    <xdr:to>
      <xdr:col>5</xdr:col>
      <xdr:colOff>532840</xdr:colOff>
      <xdr:row>23</xdr:row>
      <xdr:rowOff>130549</xdr:rowOff>
    </xdr:to>
    <xdr:grpSp>
      <xdr:nvGrpSpPr>
        <xdr:cNvPr id="117" name="그룹 198"/>
        <xdr:cNvGrpSpPr>
          <a:grpSpLocks/>
        </xdr:cNvGrpSpPr>
      </xdr:nvGrpSpPr>
      <xdr:grpSpPr bwMode="auto">
        <a:xfrm>
          <a:off x="4011146" y="3628465"/>
          <a:ext cx="466165" cy="345702"/>
          <a:chOff x="4638675" y="4552950"/>
          <a:chExt cx="352425" cy="342900"/>
        </a:xfrm>
      </xdr:grpSpPr>
      <xdr:sp macro="" textlink="">
        <xdr:nvSpPr>
          <xdr:cNvPr id="118" name="Oval 398"/>
          <xdr:cNvSpPr>
            <a:spLocks noChangeArrowheads="1"/>
          </xdr:cNvSpPr>
        </xdr:nvSpPr>
        <xdr:spPr bwMode="auto">
          <a:xfrm rot="5400000">
            <a:off x="4643438" y="4548187"/>
            <a:ext cx="342900" cy="352425"/>
          </a:xfrm>
          <a:prstGeom prst="ellipse">
            <a:avLst/>
          </a:prstGeom>
          <a:gradFill rotWithShape="0">
            <a:gsLst>
              <a:gs pos="0">
                <a:srgbClr val="FFFFC0"/>
              </a:gs>
              <a:gs pos="100000">
                <a:srgbClr val="757558"/>
              </a:gs>
            </a:gsLst>
            <a:path path="shape">
              <a:fillToRect l="50000" t="50000" r="50000" b="50000"/>
            </a:path>
          </a:gradFill>
          <a:ln w="12700">
            <a:solidFill>
              <a:srgbClr val="000000"/>
            </a:solidFill>
            <a:round/>
            <a:headEnd/>
            <a:tailEnd/>
          </a:ln>
        </xdr:spPr>
      </xdr:sp>
      <xdr:sp macro="" textlink="">
        <xdr:nvSpPr>
          <xdr:cNvPr id="119" name="Drawing 1921"/>
          <xdr:cNvSpPr>
            <a:spLocks/>
          </xdr:cNvSpPr>
        </xdr:nvSpPr>
        <xdr:spPr bwMode="auto">
          <a:xfrm rot="5400000">
            <a:off x="4738688" y="4538662"/>
            <a:ext cx="152400" cy="352425"/>
          </a:xfrm>
          <a:custGeom>
            <a:avLst/>
            <a:gdLst>
              <a:gd name="T0" fmla="*/ 2147483647 w 11"/>
              <a:gd name="T1" fmla="*/ 0 h 24"/>
              <a:gd name="T2" fmla="*/ 2147483647 w 11"/>
              <a:gd name="T3" fmla="*/ 0 h 24"/>
              <a:gd name="T4" fmla="*/ 2147483647 w 11"/>
              <a:gd name="T5" fmla="*/ 0 h 24"/>
              <a:gd name="T6" fmla="*/ 2147483647 w 11"/>
              <a:gd name="T7" fmla="*/ 2147483647 h 24"/>
              <a:gd name="T8" fmla="*/ 0 w 11"/>
              <a:gd name="T9" fmla="*/ 2147483647 h 24"/>
              <a:gd name="T10" fmla="*/ 2147483647 w 11"/>
              <a:gd name="T11" fmla="*/ 2147483647 h 24"/>
              <a:gd name="T12" fmla="*/ 2147483647 w 11"/>
              <a:gd name="T13" fmla="*/ 2147483647 h 24"/>
              <a:gd name="T14" fmla="*/ 2147483647 w 11"/>
              <a:gd name="T15" fmla="*/ 2147483647 h 24"/>
              <a:gd name="T16" fmla="*/ 0 60000 65536"/>
              <a:gd name="T17" fmla="*/ 0 60000 65536"/>
              <a:gd name="T18" fmla="*/ 0 60000 65536"/>
              <a:gd name="T19" fmla="*/ 0 60000 65536"/>
              <a:gd name="T20" fmla="*/ 0 60000 65536"/>
              <a:gd name="T21" fmla="*/ 0 60000 65536"/>
              <a:gd name="T22" fmla="*/ 0 60000 65536"/>
              <a:gd name="T23" fmla="*/ 0 60000 65536"/>
              <a:gd name="T24" fmla="*/ 0 w 11"/>
              <a:gd name="T25" fmla="*/ 0 h 24"/>
              <a:gd name="T26" fmla="*/ 11 w 11"/>
              <a:gd name="T27" fmla="*/ 24 h 2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1" h="24">
                <a:moveTo>
                  <a:pt x="6" y="0"/>
                </a:moveTo>
                <a:lnTo>
                  <a:pt x="6" y="0"/>
                </a:lnTo>
                <a:lnTo>
                  <a:pt x="6" y="8"/>
                </a:lnTo>
                <a:lnTo>
                  <a:pt x="0" y="8"/>
                </a:lnTo>
                <a:lnTo>
                  <a:pt x="11" y="17"/>
                </a:lnTo>
                <a:lnTo>
                  <a:pt x="6" y="17"/>
                </a:lnTo>
                <a:lnTo>
                  <a:pt x="6" y="24"/>
                </a:lnTo>
              </a:path>
            </a:pathLst>
          </a:custGeom>
          <a:gradFill rotWithShape="0">
            <a:gsLst>
              <a:gs pos="0">
                <a:srgbClr val="FFFFC0"/>
              </a:gs>
              <a:gs pos="100000">
                <a:srgbClr val="757558"/>
              </a:gs>
            </a:gsLst>
            <a:path path="rect">
              <a:fillToRect l="50000" t="50000" r="50000" b="50000"/>
            </a:path>
          </a:gradFill>
          <a:ln w="12700">
            <a:solidFill>
              <a:srgbClr val="000000"/>
            </a:solidFill>
            <a:round/>
            <a:headEnd/>
            <a:tailEnd/>
          </a:ln>
        </xdr:spPr>
      </xdr:sp>
    </xdr:grpSp>
    <xdr:clientData/>
  </xdr:twoCellAnchor>
  <xdr:twoCellAnchor>
    <xdr:from>
      <xdr:col>4</xdr:col>
      <xdr:colOff>209550</xdr:colOff>
      <xdr:row>22</xdr:row>
      <xdr:rowOff>561</xdr:rowOff>
    </xdr:from>
    <xdr:to>
      <xdr:col>4</xdr:col>
      <xdr:colOff>551890</xdr:colOff>
      <xdr:row>23</xdr:row>
      <xdr:rowOff>67236</xdr:rowOff>
    </xdr:to>
    <xdr:grpSp>
      <xdr:nvGrpSpPr>
        <xdr:cNvPr id="120" name="그룹 268"/>
        <xdr:cNvGrpSpPr>
          <a:grpSpLocks/>
        </xdr:cNvGrpSpPr>
      </xdr:nvGrpSpPr>
      <xdr:grpSpPr bwMode="auto">
        <a:xfrm>
          <a:off x="3459256" y="3676090"/>
          <a:ext cx="342340" cy="234764"/>
          <a:chOff x="7592786" y="4446813"/>
          <a:chExt cx="228600" cy="244930"/>
        </a:xfrm>
      </xdr:grpSpPr>
      <xdr:sp macro="" textlink="">
        <xdr:nvSpPr>
          <xdr:cNvPr id="121" name="AutoShape 369"/>
          <xdr:cNvSpPr>
            <a:spLocks noChangeAspect="1" noChangeArrowheads="1"/>
          </xdr:cNvSpPr>
        </xdr:nvSpPr>
        <xdr:spPr bwMode="auto">
          <a:xfrm>
            <a:off x="7592786" y="4446815"/>
            <a:ext cx="228600" cy="244928"/>
          </a:xfrm>
          <a:prstGeom prst="diamond">
            <a:avLst/>
          </a:prstGeom>
          <a:solidFill>
            <a:srgbClr val="FFFFFF"/>
          </a:solidFill>
          <a:ln w="9525">
            <a:solidFill>
              <a:srgbClr val="000000"/>
            </a:solidFill>
            <a:miter lim="800000"/>
            <a:headEnd/>
            <a:tailEnd/>
          </a:ln>
        </xdr:spPr>
      </xdr:sp>
      <xdr:sp macro="" textlink="">
        <xdr:nvSpPr>
          <xdr:cNvPr id="122" name="TextBox 121"/>
          <xdr:cNvSpPr txBox="1"/>
        </xdr:nvSpPr>
        <xdr:spPr>
          <a:xfrm>
            <a:off x="7592786" y="4446813"/>
            <a:ext cx="161925" cy="19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3</a:t>
            </a:r>
            <a:endParaRPr lang="ko-KR" altLang="en-US" sz="800"/>
          </a:p>
        </xdr:txBody>
      </xdr:sp>
    </xdr:grpSp>
    <xdr:clientData/>
  </xdr:twoCellAnchor>
  <xdr:twoCellAnchor>
    <xdr:from>
      <xdr:col>10</xdr:col>
      <xdr:colOff>57150</xdr:colOff>
      <xdr:row>24</xdr:row>
      <xdr:rowOff>57711</xdr:rowOff>
    </xdr:from>
    <xdr:to>
      <xdr:col>10</xdr:col>
      <xdr:colOff>285750</xdr:colOff>
      <xdr:row>25</xdr:row>
      <xdr:rowOff>111499</xdr:rowOff>
    </xdr:to>
    <xdr:grpSp>
      <xdr:nvGrpSpPr>
        <xdr:cNvPr id="123" name="그룹 268"/>
        <xdr:cNvGrpSpPr>
          <a:grpSpLocks/>
        </xdr:cNvGrpSpPr>
      </xdr:nvGrpSpPr>
      <xdr:grpSpPr bwMode="auto">
        <a:xfrm>
          <a:off x="7475444" y="4069417"/>
          <a:ext cx="228600" cy="221876"/>
          <a:chOff x="7592786" y="4446813"/>
          <a:chExt cx="228600" cy="244930"/>
        </a:xfrm>
      </xdr:grpSpPr>
      <xdr:sp macro="" textlink="">
        <xdr:nvSpPr>
          <xdr:cNvPr id="124" name="AutoShape 369"/>
          <xdr:cNvSpPr>
            <a:spLocks noChangeAspect="1" noChangeArrowheads="1"/>
          </xdr:cNvSpPr>
        </xdr:nvSpPr>
        <xdr:spPr bwMode="auto">
          <a:xfrm>
            <a:off x="7592786" y="4446815"/>
            <a:ext cx="228600" cy="244928"/>
          </a:xfrm>
          <a:prstGeom prst="diamond">
            <a:avLst/>
          </a:prstGeom>
          <a:solidFill>
            <a:srgbClr val="FFFFFF"/>
          </a:solidFill>
          <a:ln w="9525">
            <a:solidFill>
              <a:srgbClr val="000000"/>
            </a:solidFill>
            <a:miter lim="800000"/>
            <a:headEnd/>
            <a:tailEnd/>
          </a:ln>
        </xdr:spPr>
      </xdr:sp>
      <xdr:sp macro="" textlink="">
        <xdr:nvSpPr>
          <xdr:cNvPr id="125" name="TextBox 124"/>
          <xdr:cNvSpPr txBox="1"/>
        </xdr:nvSpPr>
        <xdr:spPr>
          <a:xfrm>
            <a:off x="7592786" y="4446813"/>
            <a:ext cx="161925" cy="19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6</a:t>
            </a:r>
            <a:endParaRPr lang="ko-KR" altLang="en-US" sz="800"/>
          </a:p>
        </xdr:txBody>
      </xdr:sp>
    </xdr:grpSp>
    <xdr:clientData/>
  </xdr:twoCellAnchor>
  <xdr:twoCellAnchor>
    <xdr:from>
      <xdr:col>4</xdr:col>
      <xdr:colOff>589990</xdr:colOff>
      <xdr:row>23</xdr:row>
      <xdr:rowOff>140074</xdr:rowOff>
    </xdr:from>
    <xdr:to>
      <xdr:col>6</xdr:col>
      <xdr:colOff>19051</xdr:colOff>
      <xdr:row>25</xdr:row>
      <xdr:rowOff>83358</xdr:rowOff>
    </xdr:to>
    <xdr:sp macro="" textlink="">
      <xdr:nvSpPr>
        <xdr:cNvPr id="126" name="TextBox 125"/>
        <xdr:cNvSpPr txBox="1"/>
      </xdr:nvSpPr>
      <xdr:spPr>
        <a:xfrm>
          <a:off x="3839696" y="3983692"/>
          <a:ext cx="818590" cy="279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71-102-C</a:t>
          </a:r>
          <a:endParaRPr lang="ko-KR" altLang="en-US" sz="1100" u="sng"/>
        </a:p>
      </xdr:txBody>
    </xdr:sp>
    <xdr:clientData/>
  </xdr:twoCellAnchor>
  <xdr:twoCellAnchor>
    <xdr:from>
      <xdr:col>5</xdr:col>
      <xdr:colOff>219075</xdr:colOff>
      <xdr:row>14</xdr:row>
      <xdr:rowOff>92449</xdr:rowOff>
    </xdr:from>
    <xdr:to>
      <xdr:col>7</xdr:col>
      <xdr:colOff>95250</xdr:colOff>
      <xdr:row>14</xdr:row>
      <xdr:rowOff>92449</xdr:rowOff>
    </xdr:to>
    <xdr:cxnSp macro="">
      <xdr:nvCxnSpPr>
        <xdr:cNvPr id="127" name="직선 화살표 연결선 183"/>
        <xdr:cNvCxnSpPr>
          <a:cxnSpLocks noChangeShapeType="1"/>
        </xdr:cNvCxnSpPr>
      </xdr:nvCxnSpPr>
      <xdr:spPr bwMode="auto">
        <a:xfrm flipV="1">
          <a:off x="4163546" y="2423273"/>
          <a:ext cx="1265704" cy="0"/>
        </a:xfrm>
        <a:prstGeom prst="straightConnector1">
          <a:avLst/>
        </a:prstGeom>
        <a:noFill/>
        <a:ln w="9525" algn="ctr">
          <a:solidFill>
            <a:srgbClr val="000000"/>
          </a:solidFill>
          <a:prstDash val="lgDash"/>
          <a:round/>
          <a:headEnd/>
          <a:tailEnd type="triangle" w="sm" len="med"/>
        </a:ln>
      </xdr:spPr>
    </xdr:cxnSp>
    <xdr:clientData/>
  </xdr:twoCellAnchor>
  <xdr:twoCellAnchor>
    <xdr:from>
      <xdr:col>4</xdr:col>
      <xdr:colOff>9525</xdr:colOff>
      <xdr:row>14</xdr:row>
      <xdr:rowOff>92449</xdr:rowOff>
    </xdr:from>
    <xdr:to>
      <xdr:col>5</xdr:col>
      <xdr:colOff>152400</xdr:colOff>
      <xdr:row>14</xdr:row>
      <xdr:rowOff>92449</xdr:rowOff>
    </xdr:to>
    <xdr:cxnSp macro="">
      <xdr:nvCxnSpPr>
        <xdr:cNvPr id="128" name="직선 화살표 연결선 183"/>
        <xdr:cNvCxnSpPr>
          <a:cxnSpLocks noChangeShapeType="1"/>
        </xdr:cNvCxnSpPr>
      </xdr:nvCxnSpPr>
      <xdr:spPr bwMode="auto">
        <a:xfrm>
          <a:off x="3259231" y="2423273"/>
          <a:ext cx="837640" cy="0"/>
        </a:xfrm>
        <a:prstGeom prst="straightConnector1">
          <a:avLst/>
        </a:prstGeom>
        <a:noFill/>
        <a:ln w="9525" algn="ctr">
          <a:solidFill>
            <a:srgbClr val="000000"/>
          </a:solidFill>
          <a:prstDash val="lgDash"/>
          <a:round/>
          <a:headEnd/>
          <a:tailEnd/>
        </a:ln>
      </xdr:spPr>
    </xdr:cxnSp>
    <xdr:clientData/>
  </xdr:twoCellAnchor>
  <xdr:twoCellAnchor>
    <xdr:from>
      <xdr:col>5</xdr:col>
      <xdr:colOff>76200</xdr:colOff>
      <xdr:row>12</xdr:row>
      <xdr:rowOff>101974</xdr:rowOff>
    </xdr:from>
    <xdr:to>
      <xdr:col>5</xdr:col>
      <xdr:colOff>285750</xdr:colOff>
      <xdr:row>14</xdr:row>
      <xdr:rowOff>121024</xdr:rowOff>
    </xdr:to>
    <xdr:grpSp>
      <xdr:nvGrpSpPr>
        <xdr:cNvPr id="129" name="그룹 157"/>
        <xdr:cNvGrpSpPr>
          <a:grpSpLocks/>
        </xdr:cNvGrpSpPr>
      </xdr:nvGrpSpPr>
      <xdr:grpSpPr bwMode="auto">
        <a:xfrm>
          <a:off x="4020671" y="2096621"/>
          <a:ext cx="209550" cy="355227"/>
          <a:chOff x="7231375" y="4302427"/>
          <a:chExt cx="208308" cy="363242"/>
        </a:xfrm>
      </xdr:grpSpPr>
      <xdr:sp macro="" textlink="">
        <xdr:nvSpPr>
          <xdr:cNvPr id="130" name="Line 537"/>
          <xdr:cNvSpPr>
            <a:spLocks noChangeShapeType="1"/>
          </xdr:cNvSpPr>
        </xdr:nvSpPr>
        <xdr:spPr bwMode="auto">
          <a:xfrm>
            <a:off x="7373008" y="4598994"/>
            <a:ext cx="0" cy="66675"/>
          </a:xfrm>
          <a:prstGeom prst="line">
            <a:avLst/>
          </a:prstGeom>
          <a:noFill/>
          <a:ln w="9525">
            <a:solidFill>
              <a:srgbClr val="000000"/>
            </a:solidFill>
            <a:round/>
            <a:headEnd/>
            <a:tailEnd/>
          </a:ln>
        </xdr:spPr>
      </xdr:sp>
      <xdr:sp macro="" textlink="">
        <xdr:nvSpPr>
          <xdr:cNvPr id="131" name="Line 538"/>
          <xdr:cNvSpPr>
            <a:spLocks noChangeShapeType="1"/>
          </xdr:cNvSpPr>
        </xdr:nvSpPr>
        <xdr:spPr bwMode="auto">
          <a:xfrm>
            <a:off x="7298050" y="4598994"/>
            <a:ext cx="0" cy="66675"/>
          </a:xfrm>
          <a:prstGeom prst="line">
            <a:avLst/>
          </a:prstGeom>
          <a:noFill/>
          <a:ln w="9525">
            <a:solidFill>
              <a:srgbClr val="000000"/>
            </a:solidFill>
            <a:round/>
            <a:headEnd/>
            <a:tailEnd/>
          </a:ln>
        </xdr:spPr>
      </xdr:sp>
      <xdr:sp macro="" textlink="">
        <xdr:nvSpPr>
          <xdr:cNvPr id="132" name="Line 539"/>
          <xdr:cNvSpPr>
            <a:spLocks noChangeShapeType="1"/>
          </xdr:cNvSpPr>
        </xdr:nvSpPr>
        <xdr:spPr bwMode="auto">
          <a:xfrm flipV="1">
            <a:off x="7334908" y="4512026"/>
            <a:ext cx="0" cy="153643"/>
          </a:xfrm>
          <a:prstGeom prst="line">
            <a:avLst/>
          </a:prstGeom>
          <a:noFill/>
          <a:ln w="9525">
            <a:solidFill>
              <a:srgbClr val="000000"/>
            </a:solidFill>
            <a:round/>
            <a:headEnd/>
            <a:tailEnd/>
          </a:ln>
        </xdr:spPr>
      </xdr:sp>
      <xdr:sp macro="" textlink="">
        <xdr:nvSpPr>
          <xdr:cNvPr id="133" name="Oval 540"/>
          <xdr:cNvSpPr>
            <a:spLocks noChangeArrowheads="1"/>
          </xdr:cNvSpPr>
        </xdr:nvSpPr>
        <xdr:spPr bwMode="auto">
          <a:xfrm>
            <a:off x="7231375" y="4302427"/>
            <a:ext cx="208308" cy="219124"/>
          </a:xfrm>
          <a:prstGeom prst="ellipse">
            <a:avLst/>
          </a:prstGeom>
          <a:solidFill>
            <a:srgbClr val="FFFFFF"/>
          </a:solidFill>
          <a:ln w="9525">
            <a:solidFill>
              <a:srgbClr val="000000"/>
            </a:solidFill>
            <a:round/>
            <a:headEnd/>
            <a:tailEnd/>
          </a:ln>
        </xdr:spPr>
      </xdr:sp>
      <xdr:sp macro="" textlink="">
        <xdr:nvSpPr>
          <xdr:cNvPr id="134" name="Text Box 541"/>
          <xdr:cNvSpPr txBox="1">
            <a:spLocks noChangeArrowheads="1"/>
          </xdr:cNvSpPr>
        </xdr:nvSpPr>
        <xdr:spPr bwMode="auto">
          <a:xfrm>
            <a:off x="7250312" y="4340663"/>
            <a:ext cx="179902" cy="133826"/>
          </a:xfrm>
          <a:prstGeom prst="rect">
            <a:avLst/>
          </a:prstGeom>
          <a:noFill/>
          <a:ln w="9525">
            <a:noFill/>
            <a:miter lim="800000"/>
            <a:headEnd/>
            <a:tailEnd/>
          </a:ln>
        </xdr:spPr>
        <xdr:txBody>
          <a:bodyPr vertOverflow="clip" wrap="square" lIns="0" tIns="22860" rIns="27432" bIns="0" anchor="t" upright="1"/>
          <a:lstStyle/>
          <a:p>
            <a:pPr algn="r" rtl="0">
              <a:defRPr sz="1000"/>
            </a:pPr>
            <a:r>
              <a:rPr lang="en-US" altLang="ko-KR" sz="800" b="0" i="0" u="none" strike="noStrike" baseline="0">
                <a:solidFill>
                  <a:srgbClr val="000000"/>
                </a:solidFill>
                <a:latin typeface="Arial"/>
                <a:cs typeface="Arial"/>
              </a:rPr>
              <a:t>FE</a:t>
            </a:r>
          </a:p>
        </xdr:txBody>
      </xdr:sp>
    </xdr:grpSp>
    <xdr:clientData/>
  </xdr:twoCellAnchor>
  <xdr:twoCellAnchor>
    <xdr:from>
      <xdr:col>6</xdr:col>
      <xdr:colOff>604957</xdr:colOff>
      <xdr:row>14</xdr:row>
      <xdr:rowOff>149542</xdr:rowOff>
    </xdr:from>
    <xdr:to>
      <xdr:col>8</xdr:col>
      <xdr:colOff>161925</xdr:colOff>
      <xdr:row>16</xdr:row>
      <xdr:rowOff>87797</xdr:rowOff>
    </xdr:to>
    <xdr:sp macro="" textlink="">
      <xdr:nvSpPr>
        <xdr:cNvPr id="135" name="TextBox 134"/>
        <xdr:cNvSpPr txBox="1"/>
      </xdr:nvSpPr>
      <xdr:spPr>
        <a:xfrm>
          <a:off x="5244192" y="2480366"/>
          <a:ext cx="946498" cy="274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FV-1005</a:t>
          </a:r>
          <a:endParaRPr lang="ko-KR" altLang="en-US" sz="1100" u="sng"/>
        </a:p>
      </xdr:txBody>
    </xdr:sp>
    <xdr:clientData/>
  </xdr:twoCellAnchor>
  <xdr:twoCellAnchor>
    <xdr:from>
      <xdr:col>7</xdr:col>
      <xdr:colOff>323850</xdr:colOff>
      <xdr:row>14</xdr:row>
      <xdr:rowOff>92449</xdr:rowOff>
    </xdr:from>
    <xdr:to>
      <xdr:col>10</xdr:col>
      <xdr:colOff>142875</xdr:colOff>
      <xdr:row>14</xdr:row>
      <xdr:rowOff>101974</xdr:rowOff>
    </xdr:to>
    <xdr:cxnSp macro="">
      <xdr:nvCxnSpPr>
        <xdr:cNvPr id="136" name="직선 화살표 연결선 183"/>
        <xdr:cNvCxnSpPr>
          <a:cxnSpLocks noChangeShapeType="1"/>
        </xdr:cNvCxnSpPr>
      </xdr:nvCxnSpPr>
      <xdr:spPr bwMode="auto">
        <a:xfrm>
          <a:off x="5657850" y="2423273"/>
          <a:ext cx="1903319" cy="9525"/>
        </a:xfrm>
        <a:prstGeom prst="straightConnector1">
          <a:avLst/>
        </a:prstGeom>
        <a:noFill/>
        <a:ln w="9525" algn="ctr">
          <a:solidFill>
            <a:srgbClr val="000000"/>
          </a:solidFill>
          <a:prstDash val="lgDash"/>
          <a:round/>
          <a:headEnd/>
          <a:tailEnd type="triangle" w="sm" len="med"/>
        </a:ln>
      </xdr:spPr>
    </xdr:cxnSp>
    <xdr:clientData/>
  </xdr:twoCellAnchor>
  <xdr:twoCellAnchor>
    <xdr:from>
      <xdr:col>4</xdr:col>
      <xdr:colOff>561415</xdr:colOff>
      <xdr:row>14</xdr:row>
      <xdr:rowOff>149542</xdr:rowOff>
    </xdr:from>
    <xdr:to>
      <xdr:col>6</xdr:col>
      <xdr:colOff>118384</xdr:colOff>
      <xdr:row>16</xdr:row>
      <xdr:rowOff>87797</xdr:rowOff>
    </xdr:to>
    <xdr:sp macro="" textlink="">
      <xdr:nvSpPr>
        <xdr:cNvPr id="137" name="TextBox 136"/>
        <xdr:cNvSpPr txBox="1"/>
      </xdr:nvSpPr>
      <xdr:spPr>
        <a:xfrm>
          <a:off x="3811121" y="2480366"/>
          <a:ext cx="946498" cy="274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FE-1005</a:t>
          </a:r>
          <a:endParaRPr lang="ko-KR" altLang="en-US" sz="1100" u="sng"/>
        </a:p>
      </xdr:txBody>
    </xdr:sp>
    <xdr:clientData/>
  </xdr:twoCellAnchor>
  <xdr:twoCellAnchor editAs="oneCell">
    <xdr:from>
      <xdr:col>7</xdr:col>
      <xdr:colOff>114300</xdr:colOff>
      <xdr:row>13</xdr:row>
      <xdr:rowOff>48186</xdr:rowOff>
    </xdr:from>
    <xdr:to>
      <xdr:col>7</xdr:col>
      <xdr:colOff>342900</xdr:colOff>
      <xdr:row>15</xdr:row>
      <xdr:rowOff>10086</xdr:rowOff>
    </xdr:to>
    <xdr:pic>
      <xdr:nvPicPr>
        <xdr:cNvPr id="138" name="그림 180" descr="그림1.png"/>
        <xdr:cNvPicPr>
          <a:picLocks noChangeAspect="1"/>
        </xdr:cNvPicPr>
      </xdr:nvPicPr>
      <xdr:blipFill>
        <a:blip xmlns:r="http://schemas.openxmlformats.org/officeDocument/2006/relationships" r:embed="rId2"/>
        <a:srcRect/>
        <a:stretch>
          <a:fillRect/>
        </a:stretch>
      </xdr:blipFill>
      <xdr:spPr bwMode="auto">
        <a:xfrm>
          <a:off x="5448300" y="2210921"/>
          <a:ext cx="228600" cy="298077"/>
        </a:xfrm>
        <a:prstGeom prst="rect">
          <a:avLst/>
        </a:prstGeom>
        <a:solidFill>
          <a:srgbClr val="FFFFFF"/>
        </a:solidFill>
        <a:ln w="9525">
          <a:noFill/>
          <a:miter lim="800000"/>
          <a:headEnd/>
          <a:tailEnd/>
        </a:ln>
      </xdr:spPr>
    </xdr:pic>
    <xdr:clientData/>
  </xdr:twoCellAnchor>
  <xdr:twoCellAnchor>
    <xdr:from>
      <xdr:col>9</xdr:col>
      <xdr:colOff>637516</xdr:colOff>
      <xdr:row>16</xdr:row>
      <xdr:rowOff>101868</xdr:rowOff>
    </xdr:from>
    <xdr:to>
      <xdr:col>11</xdr:col>
      <xdr:colOff>618476</xdr:colOff>
      <xdr:row>19</xdr:row>
      <xdr:rowOff>144107</xdr:rowOff>
    </xdr:to>
    <xdr:grpSp>
      <xdr:nvGrpSpPr>
        <xdr:cNvPr id="139" name="그룹 109"/>
        <xdr:cNvGrpSpPr/>
      </xdr:nvGrpSpPr>
      <xdr:grpSpPr>
        <a:xfrm>
          <a:off x="7361045" y="2768868"/>
          <a:ext cx="1370490" cy="546504"/>
          <a:chOff x="8579621" y="3613657"/>
          <a:chExt cx="921585" cy="388743"/>
        </a:xfrm>
        <a:solidFill>
          <a:schemeClr val="bg1"/>
        </a:solidFill>
      </xdr:grpSpPr>
      <xdr:grpSp>
        <xdr:nvGrpSpPr>
          <xdr:cNvPr id="140" name="Group1969"/>
          <xdr:cNvGrpSpPr>
            <a:grpSpLocks/>
          </xdr:cNvGrpSpPr>
        </xdr:nvGrpSpPr>
        <xdr:grpSpPr bwMode="auto">
          <a:xfrm rot="16200000">
            <a:off x="8814108" y="3443362"/>
            <a:ext cx="230123" cy="192000"/>
            <a:chOff x="683" y="205"/>
            <a:chExt cx="34" cy="30"/>
          </a:xfrm>
          <a:grpFill/>
        </xdr:grpSpPr>
        <xdr:sp macro="" textlink="">
          <xdr:nvSpPr>
            <xdr:cNvPr id="150" name="ori1"/>
            <xdr:cNvSpPr>
              <a:spLocks noChangeArrowheads="1"/>
            </xdr:cNvSpPr>
          </xdr:nvSpPr>
          <xdr:spPr bwMode="auto">
            <a:xfrm>
              <a:off x="683" y="205"/>
              <a:ext cx="3"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51" name="ori6"/>
            <xdr:cNvSpPr>
              <a:spLocks noChangeArrowheads="1"/>
            </xdr:cNvSpPr>
          </xdr:nvSpPr>
          <xdr:spPr bwMode="auto">
            <a:xfrm>
              <a:off x="683" y="234"/>
              <a:ext cx="3"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52" name="ori7"/>
            <xdr:cNvSpPr>
              <a:spLocks noChangeArrowheads="1"/>
            </xdr:cNvSpPr>
          </xdr:nvSpPr>
          <xdr:spPr bwMode="auto">
            <a:xfrm>
              <a:off x="683" y="234"/>
              <a:ext cx="3"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53" name="ori9"/>
            <xdr:cNvSpPr>
              <a:spLocks noChangeArrowheads="1"/>
            </xdr:cNvSpPr>
          </xdr:nvSpPr>
          <xdr:spPr bwMode="auto">
            <a:xfrm>
              <a:off x="714" y="212"/>
              <a:ext cx="3"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54" name="ori10"/>
            <xdr:cNvSpPr>
              <a:spLocks noChangeArrowheads="1"/>
            </xdr:cNvSpPr>
          </xdr:nvSpPr>
          <xdr:spPr bwMode="auto">
            <a:xfrm>
              <a:off x="683" y="205"/>
              <a:ext cx="3" cy="1"/>
            </a:xfrm>
            <a:prstGeom prst="rect">
              <a:avLst/>
            </a:prstGeom>
            <a:grpFill/>
            <a:ln w="9525">
              <a:solidFill>
                <a:schemeClr val="tx1"/>
              </a:solidFill>
              <a:prstDash val="lgDash"/>
              <a:miter lim="800000"/>
              <a:headEnd/>
              <a:tailEnd/>
            </a:ln>
          </xdr:spPr>
          <xdr:txBody>
            <a:bodyPr/>
            <a:lstStyle/>
            <a:p>
              <a:endParaRPr lang="ko-KR" altLang="en-US"/>
            </a:p>
          </xdr:txBody>
        </xdr:sp>
      </xdr:grpSp>
      <xdr:grpSp>
        <xdr:nvGrpSpPr>
          <xdr:cNvPr id="141" name="Group1969"/>
          <xdr:cNvGrpSpPr>
            <a:grpSpLocks/>
          </xdr:cNvGrpSpPr>
        </xdr:nvGrpSpPr>
        <xdr:grpSpPr bwMode="auto">
          <a:xfrm rot="10800000">
            <a:off x="8579621" y="3620603"/>
            <a:ext cx="921585" cy="379020"/>
            <a:chOff x="607" y="205"/>
            <a:chExt cx="67" cy="30"/>
          </a:xfrm>
          <a:grpFill/>
        </xdr:grpSpPr>
        <xdr:sp macro="" textlink="">
          <xdr:nvSpPr>
            <xdr:cNvPr id="142" name="ori5"/>
            <xdr:cNvSpPr>
              <a:spLocks noChangeArrowheads="1"/>
            </xdr:cNvSpPr>
          </xdr:nvSpPr>
          <xdr:spPr bwMode="auto">
            <a:xfrm>
              <a:off x="615" y="213"/>
              <a:ext cx="1"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43" name="ori6"/>
            <xdr:cNvSpPr>
              <a:spLocks noChangeArrowheads="1"/>
            </xdr:cNvSpPr>
          </xdr:nvSpPr>
          <xdr:spPr bwMode="auto">
            <a:xfrm>
              <a:off x="634" y="213"/>
              <a:ext cx="1"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44" name="ori7"/>
            <xdr:cNvSpPr>
              <a:spLocks noChangeArrowheads="1"/>
            </xdr:cNvSpPr>
          </xdr:nvSpPr>
          <xdr:spPr bwMode="auto">
            <a:xfrm>
              <a:off x="653" y="213"/>
              <a:ext cx="2" cy="1"/>
            </a:xfrm>
            <a:prstGeom prst="rect">
              <a:avLst/>
            </a:prstGeom>
            <a:grpFill/>
            <a:ln w="9525">
              <a:solidFill>
                <a:schemeClr val="tx1"/>
              </a:solidFill>
              <a:prstDash val="lgDash"/>
              <a:miter lim="800000"/>
              <a:headEnd/>
              <a:tailEnd/>
            </a:ln>
          </xdr:spPr>
          <xdr:txBody>
            <a:bodyPr/>
            <a:lstStyle/>
            <a:p>
              <a:endParaRPr lang="ko-KR" altLang="en-US"/>
            </a:p>
          </xdr:txBody>
        </xdr:sp>
        <xdr:sp macro="" textlink="">
          <xdr:nvSpPr>
            <xdr:cNvPr id="145" name="ori8"/>
            <xdr:cNvSpPr>
              <a:spLocks noChangeArrowheads="1"/>
            </xdr:cNvSpPr>
          </xdr:nvSpPr>
          <xdr:spPr bwMode="auto">
            <a:xfrm>
              <a:off x="667" y="213"/>
              <a:ext cx="1" cy="2"/>
            </a:xfrm>
            <a:prstGeom prst="rect">
              <a:avLst/>
            </a:prstGeom>
            <a:grpFill/>
            <a:ln w="9525">
              <a:solidFill>
                <a:schemeClr val="tx1"/>
              </a:solidFill>
              <a:prstDash val="lgDash"/>
              <a:miter lim="800000"/>
              <a:headEnd/>
              <a:tailEnd/>
            </a:ln>
          </xdr:spPr>
          <xdr:txBody>
            <a:bodyPr/>
            <a:lstStyle/>
            <a:p>
              <a:endParaRPr lang="ko-KR" altLang="en-US"/>
            </a:p>
          </xdr:txBody>
        </xdr:sp>
        <xdr:grpSp>
          <xdr:nvGrpSpPr>
            <xdr:cNvPr id="146" name="symb"/>
            <xdr:cNvGrpSpPr>
              <a:grpSpLocks/>
            </xdr:cNvGrpSpPr>
          </xdr:nvGrpSpPr>
          <xdr:grpSpPr bwMode="auto">
            <a:xfrm>
              <a:off x="607" y="205"/>
              <a:ext cx="67" cy="30"/>
              <a:chOff x="152" y="105"/>
              <a:chExt cx="78" cy="30"/>
            </a:xfrm>
            <a:grpFill/>
          </xdr:grpSpPr>
          <xdr:sp macro="" textlink="">
            <xdr:nvSpPr>
              <xdr:cNvPr id="147" name="Oval 419"/>
              <xdr:cNvSpPr>
                <a:spLocks noChangeArrowheads="1"/>
              </xdr:cNvSpPr>
            </xdr:nvSpPr>
            <xdr:spPr bwMode="auto">
              <a:xfrm>
                <a:off x="152" y="105"/>
                <a:ext cx="21" cy="30"/>
              </a:xfrm>
              <a:prstGeom prst="ellipse">
                <a:avLst/>
              </a:prstGeom>
              <a:grpFill/>
              <a:ln w="12700">
                <a:solidFill>
                  <a:srgbClr val="000000"/>
                </a:solidFill>
                <a:prstDash val="lgDash"/>
                <a:round/>
                <a:headEnd/>
                <a:tailEnd/>
              </a:ln>
            </xdr:spPr>
            <xdr:txBody>
              <a:bodyPr/>
              <a:lstStyle/>
              <a:p>
                <a:endParaRPr lang="ko-KR" altLang="en-US"/>
              </a:p>
            </xdr:txBody>
          </xdr:sp>
          <xdr:sp macro="" textlink="">
            <xdr:nvSpPr>
              <xdr:cNvPr id="148" name="Oval 420"/>
              <xdr:cNvSpPr>
                <a:spLocks noChangeArrowheads="1"/>
              </xdr:cNvSpPr>
            </xdr:nvSpPr>
            <xdr:spPr bwMode="auto">
              <a:xfrm>
                <a:off x="208" y="105"/>
                <a:ext cx="22" cy="30"/>
              </a:xfrm>
              <a:prstGeom prst="ellipse">
                <a:avLst/>
              </a:prstGeom>
              <a:grpFill/>
              <a:ln w="12700">
                <a:solidFill>
                  <a:srgbClr val="000000"/>
                </a:solidFill>
                <a:prstDash val="lgDash"/>
                <a:round/>
                <a:headEnd/>
                <a:tailEnd/>
              </a:ln>
            </xdr:spPr>
            <xdr:txBody>
              <a:bodyPr/>
              <a:lstStyle/>
              <a:p>
                <a:endParaRPr lang="ko-KR" altLang="en-US"/>
              </a:p>
            </xdr:txBody>
          </xdr:sp>
          <xdr:sp macro="" textlink="">
            <xdr:nvSpPr>
              <xdr:cNvPr id="149" name="Rectangle 421"/>
              <xdr:cNvSpPr>
                <a:spLocks noChangeArrowheads="1"/>
              </xdr:cNvSpPr>
            </xdr:nvSpPr>
            <xdr:spPr bwMode="auto">
              <a:xfrm>
                <a:off x="164" y="105"/>
                <a:ext cx="55" cy="30"/>
              </a:xfrm>
              <a:prstGeom prst="rect">
                <a:avLst/>
              </a:prstGeom>
              <a:grpFill/>
              <a:ln w="12700">
                <a:solidFill>
                  <a:srgbClr val="000000"/>
                </a:solidFill>
                <a:prstDash val="lgDash"/>
                <a:miter lim="800000"/>
                <a:headEnd/>
                <a:tailEnd/>
              </a:ln>
            </xdr:spPr>
            <xdr:txBody>
              <a:bodyPr/>
              <a:lstStyle/>
              <a:p>
                <a:endParaRPr lang="ko-KR" altLang="en-US"/>
              </a:p>
            </xdr:txBody>
          </xdr:sp>
        </xdr:grpSp>
      </xdr:grpSp>
    </xdr:grpSp>
    <xdr:clientData/>
  </xdr:twoCellAnchor>
  <xdr:twoCellAnchor>
    <xdr:from>
      <xdr:col>10</xdr:col>
      <xdr:colOff>174433</xdr:colOff>
      <xdr:row>16</xdr:row>
      <xdr:rowOff>130549</xdr:rowOff>
    </xdr:from>
    <xdr:to>
      <xdr:col>11</xdr:col>
      <xdr:colOff>325520</xdr:colOff>
      <xdr:row>18</xdr:row>
      <xdr:rowOff>45558</xdr:rowOff>
    </xdr:to>
    <xdr:sp macro="" textlink="">
      <xdr:nvSpPr>
        <xdr:cNvPr id="155" name="TextBox 154"/>
        <xdr:cNvSpPr txBox="1"/>
      </xdr:nvSpPr>
      <xdr:spPr>
        <a:xfrm>
          <a:off x="7592727" y="2797549"/>
          <a:ext cx="845852" cy="251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100" u="sng"/>
            <a:t>77-102-F</a:t>
          </a:r>
          <a:endParaRPr lang="ko-KR" altLang="en-US" sz="1100" u="sng"/>
        </a:p>
      </xdr:txBody>
    </xdr:sp>
    <xdr:clientData/>
  </xdr:twoCellAnchor>
  <xdr:twoCellAnchor>
    <xdr:from>
      <xdr:col>11</xdr:col>
      <xdr:colOff>559428</xdr:colOff>
      <xdr:row>12</xdr:row>
      <xdr:rowOff>561</xdr:rowOff>
    </xdr:from>
    <xdr:to>
      <xdr:col>14</xdr:col>
      <xdr:colOff>304055</xdr:colOff>
      <xdr:row>14</xdr:row>
      <xdr:rowOff>26650</xdr:rowOff>
    </xdr:to>
    <xdr:sp macro="" textlink="">
      <xdr:nvSpPr>
        <xdr:cNvPr id="156" name="TextBox 155"/>
        <xdr:cNvSpPr txBox="1"/>
      </xdr:nvSpPr>
      <xdr:spPr>
        <a:xfrm>
          <a:off x="8672487" y="1995208"/>
          <a:ext cx="1828921" cy="362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1200"/>
            <a:t>O.P.</a:t>
          </a:r>
          <a:r>
            <a:rPr lang="en-US" altLang="ko-KR" sz="1200" baseline="0"/>
            <a:t>  </a:t>
          </a:r>
        </a:p>
        <a:p>
          <a:r>
            <a:rPr lang="en-US" altLang="ko-KR" sz="1200" baseline="0"/>
            <a:t>3.2 kg/cm</a:t>
          </a:r>
          <a:r>
            <a:rPr lang="en-US" altLang="ko-KR" sz="1200" baseline="30000"/>
            <a:t>2</a:t>
          </a:r>
          <a:r>
            <a:rPr lang="en-US" altLang="ko-KR" sz="1200" baseline="0"/>
            <a:t>G</a:t>
          </a:r>
        </a:p>
      </xdr:txBody>
    </xdr:sp>
    <xdr:clientData/>
  </xdr:twoCellAnchor>
  <xdr:twoCellAnchor>
    <xdr:from>
      <xdr:col>11</xdr:col>
      <xdr:colOff>542365</xdr:colOff>
      <xdr:row>14</xdr:row>
      <xdr:rowOff>57711</xdr:rowOff>
    </xdr:from>
    <xdr:to>
      <xdr:col>13</xdr:col>
      <xdr:colOff>285751</xdr:colOff>
      <xdr:row>14</xdr:row>
      <xdr:rowOff>57711</xdr:rowOff>
    </xdr:to>
    <xdr:cxnSp macro="">
      <xdr:nvCxnSpPr>
        <xdr:cNvPr id="157" name="직선 연결선 728"/>
        <xdr:cNvCxnSpPr>
          <a:cxnSpLocks noChangeShapeType="1"/>
        </xdr:cNvCxnSpPr>
      </xdr:nvCxnSpPr>
      <xdr:spPr bwMode="auto">
        <a:xfrm>
          <a:off x="8655424" y="2388535"/>
          <a:ext cx="1132915" cy="0"/>
        </a:xfrm>
        <a:prstGeom prst="line">
          <a:avLst/>
        </a:prstGeom>
        <a:noFill/>
        <a:ln w="9525" algn="ctr">
          <a:solidFill>
            <a:srgbClr val="000000"/>
          </a:solidFill>
          <a:round/>
          <a:headEnd/>
          <a:tailEnd/>
        </a:ln>
      </xdr:spPr>
    </xdr:cxnSp>
    <xdr:clientData/>
  </xdr:twoCellAnchor>
  <xdr:twoCellAnchor>
    <xdr:from>
      <xdr:col>11</xdr:col>
      <xdr:colOff>123825</xdr:colOff>
      <xdr:row>14</xdr:row>
      <xdr:rowOff>57711</xdr:rowOff>
    </xdr:from>
    <xdr:to>
      <xdr:col>11</xdr:col>
      <xdr:colOff>542365</xdr:colOff>
      <xdr:row>16</xdr:row>
      <xdr:rowOff>111499</xdr:rowOff>
    </xdr:to>
    <xdr:cxnSp macro="">
      <xdr:nvCxnSpPr>
        <xdr:cNvPr id="158" name="직선 화살표 연결선 729"/>
        <xdr:cNvCxnSpPr>
          <a:cxnSpLocks noChangeShapeType="1"/>
        </xdr:cNvCxnSpPr>
      </xdr:nvCxnSpPr>
      <xdr:spPr bwMode="auto">
        <a:xfrm rot="5400000">
          <a:off x="8251172" y="2374247"/>
          <a:ext cx="389964" cy="418540"/>
        </a:xfrm>
        <a:prstGeom prst="straightConnector1">
          <a:avLst/>
        </a:prstGeom>
        <a:noFill/>
        <a:ln w="9525" algn="ctr">
          <a:solidFill>
            <a:srgbClr val="000000"/>
          </a:solidFill>
          <a:round/>
          <a:headEnd/>
          <a:tailEnd type="triangle" w="sm" len="med"/>
        </a:ln>
      </xdr:spPr>
    </xdr:cxnSp>
    <xdr:clientData/>
  </xdr:twoCellAnchor>
  <xdr:twoCellAnchor>
    <xdr:from>
      <xdr:col>10</xdr:col>
      <xdr:colOff>142875</xdr:colOff>
      <xdr:row>14</xdr:row>
      <xdr:rowOff>86286</xdr:rowOff>
    </xdr:from>
    <xdr:to>
      <xdr:col>10</xdr:col>
      <xdr:colOff>142875</xdr:colOff>
      <xdr:row>16</xdr:row>
      <xdr:rowOff>111499</xdr:rowOff>
    </xdr:to>
    <xdr:cxnSp macro="">
      <xdr:nvCxnSpPr>
        <xdr:cNvPr id="159" name="직선 화살표 연결선 183"/>
        <xdr:cNvCxnSpPr>
          <a:cxnSpLocks noChangeShapeType="1"/>
        </xdr:cNvCxnSpPr>
      </xdr:nvCxnSpPr>
      <xdr:spPr bwMode="auto">
        <a:xfrm rot="5400000">
          <a:off x="7380474" y="2597805"/>
          <a:ext cx="361389" cy="0"/>
        </a:xfrm>
        <a:prstGeom prst="straightConnector1">
          <a:avLst/>
        </a:prstGeom>
        <a:noFill/>
        <a:ln w="9525" algn="ctr">
          <a:solidFill>
            <a:srgbClr val="000000"/>
          </a:solidFill>
          <a:prstDash val="lgDash"/>
          <a:round/>
          <a:headEnd/>
          <a:tailEnd type="triangle" w="sm" len="med"/>
        </a:ln>
      </xdr:spPr>
    </xdr:cxnSp>
    <xdr:clientData/>
  </xdr:twoCellAnchor>
  <xdr:twoCellAnchor>
    <xdr:from>
      <xdr:col>1</xdr:col>
      <xdr:colOff>462243</xdr:colOff>
      <xdr:row>22</xdr:row>
      <xdr:rowOff>111500</xdr:rowOff>
    </xdr:from>
    <xdr:to>
      <xdr:col>1</xdr:col>
      <xdr:colOff>532840</xdr:colOff>
      <xdr:row>24</xdr:row>
      <xdr:rowOff>561</xdr:rowOff>
    </xdr:to>
    <xdr:grpSp>
      <xdr:nvGrpSpPr>
        <xdr:cNvPr id="160" name="그룹 268"/>
        <xdr:cNvGrpSpPr>
          <a:grpSpLocks/>
        </xdr:cNvGrpSpPr>
      </xdr:nvGrpSpPr>
      <xdr:grpSpPr bwMode="auto">
        <a:xfrm>
          <a:off x="1313890" y="3787029"/>
          <a:ext cx="70597" cy="225238"/>
          <a:chOff x="7592786" y="4446813"/>
          <a:chExt cx="228600" cy="244929"/>
        </a:xfrm>
      </xdr:grpSpPr>
      <xdr:sp macro="" textlink="">
        <xdr:nvSpPr>
          <xdr:cNvPr id="161" name="AutoShape 369"/>
          <xdr:cNvSpPr>
            <a:spLocks noChangeAspect="1" noChangeArrowheads="1"/>
          </xdr:cNvSpPr>
        </xdr:nvSpPr>
        <xdr:spPr bwMode="auto">
          <a:xfrm>
            <a:off x="7592786" y="4446814"/>
            <a:ext cx="228600" cy="244928"/>
          </a:xfrm>
          <a:prstGeom prst="diamond">
            <a:avLst/>
          </a:prstGeom>
          <a:solidFill>
            <a:srgbClr val="FFFFFF"/>
          </a:solidFill>
          <a:ln w="9525">
            <a:solidFill>
              <a:srgbClr val="000000"/>
            </a:solidFill>
            <a:miter lim="800000"/>
            <a:headEnd/>
            <a:tailEnd/>
          </a:ln>
        </xdr:spPr>
      </xdr:sp>
      <xdr:sp macro="" textlink="">
        <xdr:nvSpPr>
          <xdr:cNvPr id="162" name="TextBox 161"/>
          <xdr:cNvSpPr txBox="1"/>
        </xdr:nvSpPr>
        <xdr:spPr>
          <a:xfrm>
            <a:off x="7592786" y="4446813"/>
            <a:ext cx="161925" cy="193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ko-KR" sz="800"/>
              <a:t>1</a:t>
            </a:r>
            <a:endParaRPr lang="ko-KR" altLang="en-US" sz="800"/>
          </a:p>
        </xdr:txBody>
      </xdr:sp>
    </xdr:grpSp>
    <xdr:clientData/>
  </xdr:twoCellAnchor>
  <xdr:twoCellAnchor>
    <xdr:from>
      <xdr:col>0</xdr:col>
      <xdr:colOff>266700</xdr:colOff>
      <xdr:row>1</xdr:row>
      <xdr:rowOff>66675</xdr:rowOff>
    </xdr:from>
    <xdr:to>
      <xdr:col>2</xdr:col>
      <xdr:colOff>828675</xdr:colOff>
      <xdr:row>2</xdr:row>
      <xdr:rowOff>171450</xdr:rowOff>
    </xdr:to>
    <xdr:grpSp>
      <xdr:nvGrpSpPr>
        <xdr:cNvPr id="163" name="그룹 14"/>
        <xdr:cNvGrpSpPr>
          <a:grpSpLocks/>
        </xdr:cNvGrpSpPr>
      </xdr:nvGrpSpPr>
      <xdr:grpSpPr bwMode="auto">
        <a:xfrm>
          <a:off x="266700" y="100293"/>
          <a:ext cx="2265269" cy="328892"/>
          <a:chOff x="8613040" y="2332547"/>
          <a:chExt cx="2152822" cy="413488"/>
        </a:xfrm>
      </xdr:grpSpPr>
      <xdr:pic>
        <xdr:nvPicPr>
          <xdr:cNvPr id="164" name="Picture 7"/>
          <xdr:cNvPicPr>
            <a:picLocks noChangeAspect="1" noChangeArrowheads="1"/>
          </xdr:cNvPicPr>
        </xdr:nvPicPr>
        <xdr:blipFill>
          <a:blip xmlns:r="http://schemas.openxmlformats.org/officeDocument/2006/relationships" r:embed="rId3"/>
          <a:srcRect/>
          <a:stretch>
            <a:fillRect/>
          </a:stretch>
        </xdr:blipFill>
        <xdr:spPr bwMode="auto">
          <a:xfrm>
            <a:off x="8986367" y="2581883"/>
            <a:ext cx="1779495" cy="115586"/>
          </a:xfrm>
          <a:prstGeom prst="rect">
            <a:avLst/>
          </a:prstGeom>
          <a:noFill/>
          <a:ln w="1">
            <a:noFill/>
            <a:miter lim="800000"/>
            <a:headEnd/>
            <a:tailEnd/>
          </a:ln>
        </xdr:spPr>
      </xdr:pic>
      <xdr:pic>
        <xdr:nvPicPr>
          <xdr:cNvPr id="165" name="Picture 1"/>
          <xdr:cNvPicPr>
            <a:picLocks noChangeAspect="1" noChangeArrowheads="1"/>
          </xdr:cNvPicPr>
        </xdr:nvPicPr>
        <xdr:blipFill>
          <a:blip xmlns:r="http://schemas.openxmlformats.org/officeDocument/2006/relationships" r:embed="rId4"/>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transitionEvaluation="1" transitionEntry="1" codeName="Sheet9"/>
  <dimension ref="A1:AS263"/>
  <sheetViews>
    <sheetView tabSelected="1" view="pageBreakPreview" topLeftCell="A112" zoomScale="85" zoomScaleSheetLayoutView="85" workbookViewId="0">
      <selection activeCell="D235" sqref="D235"/>
    </sheetView>
  </sheetViews>
  <sheetFormatPr defaultRowHeight="12.75"/>
  <cols>
    <col min="1" max="3" width="11.125" style="2" customWidth="1"/>
    <col min="4" max="27" width="9.125" style="2" customWidth="1"/>
    <col min="28" max="28" width="5" style="2" customWidth="1"/>
    <col min="29" max="29" width="5.875" style="2" customWidth="1"/>
    <col min="30" max="30" width="7.625" style="2" customWidth="1"/>
    <col min="31" max="31" width="4.625" style="2" customWidth="1"/>
    <col min="32" max="45" width="7.625" style="2" customWidth="1"/>
    <col min="46" max="258" width="9" style="2"/>
    <col min="259" max="261" width="11.125" style="2" customWidth="1"/>
    <col min="262" max="282" width="8.5" style="2" customWidth="1"/>
    <col min="283" max="283" width="3.375" style="2" customWidth="1"/>
    <col min="284" max="284" width="5" style="2" customWidth="1"/>
    <col min="285" max="285" width="5.875" style="2" customWidth="1"/>
    <col min="286" max="301" width="7.625" style="2" customWidth="1"/>
    <col min="302" max="514" width="9" style="2"/>
    <col min="515" max="517" width="11.125" style="2" customWidth="1"/>
    <col min="518" max="538" width="8.5" style="2" customWidth="1"/>
    <col min="539" max="539" width="3.375" style="2" customWidth="1"/>
    <col min="540" max="540" width="5" style="2" customWidth="1"/>
    <col min="541" max="541" width="5.875" style="2" customWidth="1"/>
    <col min="542" max="557" width="7.625" style="2" customWidth="1"/>
    <col min="558" max="770" width="9" style="2"/>
    <col min="771" max="773" width="11.125" style="2" customWidth="1"/>
    <col min="774" max="794" width="8.5" style="2" customWidth="1"/>
    <col min="795" max="795" width="3.375" style="2" customWidth="1"/>
    <col min="796" max="796" width="5" style="2" customWidth="1"/>
    <col min="797" max="797" width="5.875" style="2" customWidth="1"/>
    <col min="798" max="813" width="7.625" style="2" customWidth="1"/>
    <col min="814" max="1026" width="9" style="2"/>
    <col min="1027" max="1029" width="11.125" style="2" customWidth="1"/>
    <col min="1030" max="1050" width="8.5" style="2" customWidth="1"/>
    <col min="1051" max="1051" width="3.375" style="2" customWidth="1"/>
    <col min="1052" max="1052" width="5" style="2" customWidth="1"/>
    <col min="1053" max="1053" width="5.875" style="2" customWidth="1"/>
    <col min="1054" max="1069" width="7.625" style="2" customWidth="1"/>
    <col min="1070" max="1282" width="9" style="2"/>
    <col min="1283" max="1285" width="11.125" style="2" customWidth="1"/>
    <col min="1286" max="1306" width="8.5" style="2" customWidth="1"/>
    <col min="1307" max="1307" width="3.375" style="2" customWidth="1"/>
    <col min="1308" max="1308" width="5" style="2" customWidth="1"/>
    <col min="1309" max="1309" width="5.875" style="2" customWidth="1"/>
    <col min="1310" max="1325" width="7.625" style="2" customWidth="1"/>
    <col min="1326" max="1538" width="9" style="2"/>
    <col min="1539" max="1541" width="11.125" style="2" customWidth="1"/>
    <col min="1542" max="1562" width="8.5" style="2" customWidth="1"/>
    <col min="1563" max="1563" width="3.375" style="2" customWidth="1"/>
    <col min="1564" max="1564" width="5" style="2" customWidth="1"/>
    <col min="1565" max="1565" width="5.875" style="2" customWidth="1"/>
    <col min="1566" max="1581" width="7.625" style="2" customWidth="1"/>
    <col min="1582" max="1794" width="9" style="2"/>
    <col min="1795" max="1797" width="11.125" style="2" customWidth="1"/>
    <col min="1798" max="1818" width="8.5" style="2" customWidth="1"/>
    <col min="1819" max="1819" width="3.375" style="2" customWidth="1"/>
    <col min="1820" max="1820" width="5" style="2" customWidth="1"/>
    <col min="1821" max="1821" width="5.875" style="2" customWidth="1"/>
    <col min="1822" max="1837" width="7.625" style="2" customWidth="1"/>
    <col min="1838" max="2050" width="9" style="2"/>
    <col min="2051" max="2053" width="11.125" style="2" customWidth="1"/>
    <col min="2054" max="2074" width="8.5" style="2" customWidth="1"/>
    <col min="2075" max="2075" width="3.375" style="2" customWidth="1"/>
    <col min="2076" max="2076" width="5" style="2" customWidth="1"/>
    <col min="2077" max="2077" width="5.875" style="2" customWidth="1"/>
    <col min="2078" max="2093" width="7.625" style="2" customWidth="1"/>
    <col min="2094" max="2306" width="9" style="2"/>
    <col min="2307" max="2309" width="11.125" style="2" customWidth="1"/>
    <col min="2310" max="2330" width="8.5" style="2" customWidth="1"/>
    <col min="2331" max="2331" width="3.375" style="2" customWidth="1"/>
    <col min="2332" max="2332" width="5" style="2" customWidth="1"/>
    <col min="2333" max="2333" width="5.875" style="2" customWidth="1"/>
    <col min="2334" max="2349" width="7.625" style="2" customWidth="1"/>
    <col min="2350" max="2562" width="9" style="2"/>
    <col min="2563" max="2565" width="11.125" style="2" customWidth="1"/>
    <col min="2566" max="2586" width="8.5" style="2" customWidth="1"/>
    <col min="2587" max="2587" width="3.375" style="2" customWidth="1"/>
    <col min="2588" max="2588" width="5" style="2" customWidth="1"/>
    <col min="2589" max="2589" width="5.875" style="2" customWidth="1"/>
    <col min="2590" max="2605" width="7.625" style="2" customWidth="1"/>
    <col min="2606" max="2818" width="9" style="2"/>
    <col min="2819" max="2821" width="11.125" style="2" customWidth="1"/>
    <col min="2822" max="2842" width="8.5" style="2" customWidth="1"/>
    <col min="2843" max="2843" width="3.375" style="2" customWidth="1"/>
    <col min="2844" max="2844" width="5" style="2" customWidth="1"/>
    <col min="2845" max="2845" width="5.875" style="2" customWidth="1"/>
    <col min="2846" max="2861" width="7.625" style="2" customWidth="1"/>
    <col min="2862" max="3074" width="9" style="2"/>
    <col min="3075" max="3077" width="11.125" style="2" customWidth="1"/>
    <col min="3078" max="3098" width="8.5" style="2" customWidth="1"/>
    <col min="3099" max="3099" width="3.375" style="2" customWidth="1"/>
    <col min="3100" max="3100" width="5" style="2" customWidth="1"/>
    <col min="3101" max="3101" width="5.875" style="2" customWidth="1"/>
    <col min="3102" max="3117" width="7.625" style="2" customWidth="1"/>
    <col min="3118" max="3330" width="9" style="2"/>
    <col min="3331" max="3333" width="11.125" style="2" customWidth="1"/>
    <col min="3334" max="3354" width="8.5" style="2" customWidth="1"/>
    <col min="3355" max="3355" width="3.375" style="2" customWidth="1"/>
    <col min="3356" max="3356" width="5" style="2" customWidth="1"/>
    <col min="3357" max="3357" width="5.875" style="2" customWidth="1"/>
    <col min="3358" max="3373" width="7.625" style="2" customWidth="1"/>
    <col min="3374" max="3586" width="9" style="2"/>
    <col min="3587" max="3589" width="11.125" style="2" customWidth="1"/>
    <col min="3590" max="3610" width="8.5" style="2" customWidth="1"/>
    <col min="3611" max="3611" width="3.375" style="2" customWidth="1"/>
    <col min="3612" max="3612" width="5" style="2" customWidth="1"/>
    <col min="3613" max="3613" width="5.875" style="2" customWidth="1"/>
    <col min="3614" max="3629" width="7.625" style="2" customWidth="1"/>
    <col min="3630" max="3842" width="9" style="2"/>
    <col min="3843" max="3845" width="11.125" style="2" customWidth="1"/>
    <col min="3846" max="3866" width="8.5" style="2" customWidth="1"/>
    <col min="3867" max="3867" width="3.375" style="2" customWidth="1"/>
    <col min="3868" max="3868" width="5" style="2" customWidth="1"/>
    <col min="3869" max="3869" width="5.875" style="2" customWidth="1"/>
    <col min="3870" max="3885" width="7.625" style="2" customWidth="1"/>
    <col min="3886" max="4098" width="9" style="2"/>
    <col min="4099" max="4101" width="11.125" style="2" customWidth="1"/>
    <col min="4102" max="4122" width="8.5" style="2" customWidth="1"/>
    <col min="4123" max="4123" width="3.375" style="2" customWidth="1"/>
    <col min="4124" max="4124" width="5" style="2" customWidth="1"/>
    <col min="4125" max="4125" width="5.875" style="2" customWidth="1"/>
    <col min="4126" max="4141" width="7.625" style="2" customWidth="1"/>
    <col min="4142" max="4354" width="9" style="2"/>
    <col min="4355" max="4357" width="11.125" style="2" customWidth="1"/>
    <col min="4358" max="4378" width="8.5" style="2" customWidth="1"/>
    <col min="4379" max="4379" width="3.375" style="2" customWidth="1"/>
    <col min="4380" max="4380" width="5" style="2" customWidth="1"/>
    <col min="4381" max="4381" width="5.875" style="2" customWidth="1"/>
    <col min="4382" max="4397" width="7.625" style="2" customWidth="1"/>
    <col min="4398" max="4610" width="9" style="2"/>
    <col min="4611" max="4613" width="11.125" style="2" customWidth="1"/>
    <col min="4614" max="4634" width="8.5" style="2" customWidth="1"/>
    <col min="4635" max="4635" width="3.375" style="2" customWidth="1"/>
    <col min="4636" max="4636" width="5" style="2" customWidth="1"/>
    <col min="4637" max="4637" width="5.875" style="2" customWidth="1"/>
    <col min="4638" max="4653" width="7.625" style="2" customWidth="1"/>
    <col min="4654" max="4866" width="9" style="2"/>
    <col min="4867" max="4869" width="11.125" style="2" customWidth="1"/>
    <col min="4870" max="4890" width="8.5" style="2" customWidth="1"/>
    <col min="4891" max="4891" width="3.375" style="2" customWidth="1"/>
    <col min="4892" max="4892" width="5" style="2" customWidth="1"/>
    <col min="4893" max="4893" width="5.875" style="2" customWidth="1"/>
    <col min="4894" max="4909" width="7.625" style="2" customWidth="1"/>
    <col min="4910" max="5122" width="9" style="2"/>
    <col min="5123" max="5125" width="11.125" style="2" customWidth="1"/>
    <col min="5126" max="5146" width="8.5" style="2" customWidth="1"/>
    <col min="5147" max="5147" width="3.375" style="2" customWidth="1"/>
    <col min="5148" max="5148" width="5" style="2" customWidth="1"/>
    <col min="5149" max="5149" width="5.875" style="2" customWidth="1"/>
    <col min="5150" max="5165" width="7.625" style="2" customWidth="1"/>
    <col min="5166" max="5378" width="9" style="2"/>
    <col min="5379" max="5381" width="11.125" style="2" customWidth="1"/>
    <col min="5382" max="5402" width="8.5" style="2" customWidth="1"/>
    <col min="5403" max="5403" width="3.375" style="2" customWidth="1"/>
    <col min="5404" max="5404" width="5" style="2" customWidth="1"/>
    <col min="5405" max="5405" width="5.875" style="2" customWidth="1"/>
    <col min="5406" max="5421" width="7.625" style="2" customWidth="1"/>
    <col min="5422" max="5634" width="9" style="2"/>
    <col min="5635" max="5637" width="11.125" style="2" customWidth="1"/>
    <col min="5638" max="5658" width="8.5" style="2" customWidth="1"/>
    <col min="5659" max="5659" width="3.375" style="2" customWidth="1"/>
    <col min="5660" max="5660" width="5" style="2" customWidth="1"/>
    <col min="5661" max="5661" width="5.875" style="2" customWidth="1"/>
    <col min="5662" max="5677" width="7.625" style="2" customWidth="1"/>
    <col min="5678" max="5890" width="9" style="2"/>
    <col min="5891" max="5893" width="11.125" style="2" customWidth="1"/>
    <col min="5894" max="5914" width="8.5" style="2" customWidth="1"/>
    <col min="5915" max="5915" width="3.375" style="2" customWidth="1"/>
    <col min="5916" max="5916" width="5" style="2" customWidth="1"/>
    <col min="5917" max="5917" width="5.875" style="2" customWidth="1"/>
    <col min="5918" max="5933" width="7.625" style="2" customWidth="1"/>
    <col min="5934" max="6146" width="9" style="2"/>
    <col min="6147" max="6149" width="11.125" style="2" customWidth="1"/>
    <col min="6150" max="6170" width="8.5" style="2" customWidth="1"/>
    <col min="6171" max="6171" width="3.375" style="2" customWidth="1"/>
    <col min="6172" max="6172" width="5" style="2" customWidth="1"/>
    <col min="6173" max="6173" width="5.875" style="2" customWidth="1"/>
    <col min="6174" max="6189" width="7.625" style="2" customWidth="1"/>
    <col min="6190" max="6402" width="9" style="2"/>
    <col min="6403" max="6405" width="11.125" style="2" customWidth="1"/>
    <col min="6406" max="6426" width="8.5" style="2" customWidth="1"/>
    <col min="6427" max="6427" width="3.375" style="2" customWidth="1"/>
    <col min="6428" max="6428" width="5" style="2" customWidth="1"/>
    <col min="6429" max="6429" width="5.875" style="2" customWidth="1"/>
    <col min="6430" max="6445" width="7.625" style="2" customWidth="1"/>
    <col min="6446" max="6658" width="9" style="2"/>
    <col min="6659" max="6661" width="11.125" style="2" customWidth="1"/>
    <col min="6662" max="6682" width="8.5" style="2" customWidth="1"/>
    <col min="6683" max="6683" width="3.375" style="2" customWidth="1"/>
    <col min="6684" max="6684" width="5" style="2" customWidth="1"/>
    <col min="6685" max="6685" width="5.875" style="2" customWidth="1"/>
    <col min="6686" max="6701" width="7.625" style="2" customWidth="1"/>
    <col min="6702" max="6914" width="9" style="2"/>
    <col min="6915" max="6917" width="11.125" style="2" customWidth="1"/>
    <col min="6918" max="6938" width="8.5" style="2" customWidth="1"/>
    <col min="6939" max="6939" width="3.375" style="2" customWidth="1"/>
    <col min="6940" max="6940" width="5" style="2" customWidth="1"/>
    <col min="6941" max="6941" width="5.875" style="2" customWidth="1"/>
    <col min="6942" max="6957" width="7.625" style="2" customWidth="1"/>
    <col min="6958" max="7170" width="9" style="2"/>
    <col min="7171" max="7173" width="11.125" style="2" customWidth="1"/>
    <col min="7174" max="7194" width="8.5" style="2" customWidth="1"/>
    <col min="7195" max="7195" width="3.375" style="2" customWidth="1"/>
    <col min="7196" max="7196" width="5" style="2" customWidth="1"/>
    <col min="7197" max="7197" width="5.875" style="2" customWidth="1"/>
    <col min="7198" max="7213" width="7.625" style="2" customWidth="1"/>
    <col min="7214" max="7426" width="9" style="2"/>
    <col min="7427" max="7429" width="11.125" style="2" customWidth="1"/>
    <col min="7430" max="7450" width="8.5" style="2" customWidth="1"/>
    <col min="7451" max="7451" width="3.375" style="2" customWidth="1"/>
    <col min="7452" max="7452" width="5" style="2" customWidth="1"/>
    <col min="7453" max="7453" width="5.875" style="2" customWidth="1"/>
    <col min="7454" max="7469" width="7.625" style="2" customWidth="1"/>
    <col min="7470" max="7682" width="9" style="2"/>
    <col min="7683" max="7685" width="11.125" style="2" customWidth="1"/>
    <col min="7686" max="7706" width="8.5" style="2" customWidth="1"/>
    <col min="7707" max="7707" width="3.375" style="2" customWidth="1"/>
    <col min="7708" max="7708" width="5" style="2" customWidth="1"/>
    <col min="7709" max="7709" width="5.875" style="2" customWidth="1"/>
    <col min="7710" max="7725" width="7.625" style="2" customWidth="1"/>
    <col min="7726" max="7938" width="9" style="2"/>
    <col min="7939" max="7941" width="11.125" style="2" customWidth="1"/>
    <col min="7942" max="7962" width="8.5" style="2" customWidth="1"/>
    <col min="7963" max="7963" width="3.375" style="2" customWidth="1"/>
    <col min="7964" max="7964" width="5" style="2" customWidth="1"/>
    <col min="7965" max="7965" width="5.875" style="2" customWidth="1"/>
    <col min="7966" max="7981" width="7.625" style="2" customWidth="1"/>
    <col min="7982" max="8194" width="9" style="2"/>
    <col min="8195" max="8197" width="11.125" style="2" customWidth="1"/>
    <col min="8198" max="8218" width="8.5" style="2" customWidth="1"/>
    <col min="8219" max="8219" width="3.375" style="2" customWidth="1"/>
    <col min="8220" max="8220" width="5" style="2" customWidth="1"/>
    <col min="8221" max="8221" width="5.875" style="2" customWidth="1"/>
    <col min="8222" max="8237" width="7.625" style="2" customWidth="1"/>
    <col min="8238" max="8450" width="9" style="2"/>
    <col min="8451" max="8453" width="11.125" style="2" customWidth="1"/>
    <col min="8454" max="8474" width="8.5" style="2" customWidth="1"/>
    <col min="8475" max="8475" width="3.375" style="2" customWidth="1"/>
    <col min="8476" max="8476" width="5" style="2" customWidth="1"/>
    <col min="8477" max="8477" width="5.875" style="2" customWidth="1"/>
    <col min="8478" max="8493" width="7.625" style="2" customWidth="1"/>
    <col min="8494" max="8706" width="9" style="2"/>
    <col min="8707" max="8709" width="11.125" style="2" customWidth="1"/>
    <col min="8710" max="8730" width="8.5" style="2" customWidth="1"/>
    <col min="8731" max="8731" width="3.375" style="2" customWidth="1"/>
    <col min="8732" max="8732" width="5" style="2" customWidth="1"/>
    <col min="8733" max="8733" width="5.875" style="2" customWidth="1"/>
    <col min="8734" max="8749" width="7.625" style="2" customWidth="1"/>
    <col min="8750" max="8962" width="9" style="2"/>
    <col min="8963" max="8965" width="11.125" style="2" customWidth="1"/>
    <col min="8966" max="8986" width="8.5" style="2" customWidth="1"/>
    <col min="8987" max="8987" width="3.375" style="2" customWidth="1"/>
    <col min="8988" max="8988" width="5" style="2" customWidth="1"/>
    <col min="8989" max="8989" width="5.875" style="2" customWidth="1"/>
    <col min="8990" max="9005" width="7.625" style="2" customWidth="1"/>
    <col min="9006" max="9218" width="9" style="2"/>
    <col min="9219" max="9221" width="11.125" style="2" customWidth="1"/>
    <col min="9222" max="9242" width="8.5" style="2" customWidth="1"/>
    <col min="9243" max="9243" width="3.375" style="2" customWidth="1"/>
    <col min="9244" max="9244" width="5" style="2" customWidth="1"/>
    <col min="9245" max="9245" width="5.875" style="2" customWidth="1"/>
    <col min="9246" max="9261" width="7.625" style="2" customWidth="1"/>
    <col min="9262" max="9474" width="9" style="2"/>
    <col min="9475" max="9477" width="11.125" style="2" customWidth="1"/>
    <col min="9478" max="9498" width="8.5" style="2" customWidth="1"/>
    <col min="9499" max="9499" width="3.375" style="2" customWidth="1"/>
    <col min="9500" max="9500" width="5" style="2" customWidth="1"/>
    <col min="9501" max="9501" width="5.875" style="2" customWidth="1"/>
    <col min="9502" max="9517" width="7.625" style="2" customWidth="1"/>
    <col min="9518" max="9730" width="9" style="2"/>
    <col min="9731" max="9733" width="11.125" style="2" customWidth="1"/>
    <col min="9734" max="9754" width="8.5" style="2" customWidth="1"/>
    <col min="9755" max="9755" width="3.375" style="2" customWidth="1"/>
    <col min="9756" max="9756" width="5" style="2" customWidth="1"/>
    <col min="9757" max="9757" width="5.875" style="2" customWidth="1"/>
    <col min="9758" max="9773" width="7.625" style="2" customWidth="1"/>
    <col min="9774" max="9986" width="9" style="2"/>
    <col min="9987" max="9989" width="11.125" style="2" customWidth="1"/>
    <col min="9990" max="10010" width="8.5" style="2" customWidth="1"/>
    <col min="10011" max="10011" width="3.375" style="2" customWidth="1"/>
    <col min="10012" max="10012" width="5" style="2" customWidth="1"/>
    <col min="10013" max="10013" width="5.875" style="2" customWidth="1"/>
    <col min="10014" max="10029" width="7.625" style="2" customWidth="1"/>
    <col min="10030" max="10242" width="9" style="2"/>
    <col min="10243" max="10245" width="11.125" style="2" customWidth="1"/>
    <col min="10246" max="10266" width="8.5" style="2" customWidth="1"/>
    <col min="10267" max="10267" width="3.375" style="2" customWidth="1"/>
    <col min="10268" max="10268" width="5" style="2" customWidth="1"/>
    <col min="10269" max="10269" width="5.875" style="2" customWidth="1"/>
    <col min="10270" max="10285" width="7.625" style="2" customWidth="1"/>
    <col min="10286" max="10498" width="9" style="2"/>
    <col min="10499" max="10501" width="11.125" style="2" customWidth="1"/>
    <col min="10502" max="10522" width="8.5" style="2" customWidth="1"/>
    <col min="10523" max="10523" width="3.375" style="2" customWidth="1"/>
    <col min="10524" max="10524" width="5" style="2" customWidth="1"/>
    <col min="10525" max="10525" width="5.875" style="2" customWidth="1"/>
    <col min="10526" max="10541" width="7.625" style="2" customWidth="1"/>
    <col min="10542" max="10754" width="9" style="2"/>
    <col min="10755" max="10757" width="11.125" style="2" customWidth="1"/>
    <col min="10758" max="10778" width="8.5" style="2" customWidth="1"/>
    <col min="10779" max="10779" width="3.375" style="2" customWidth="1"/>
    <col min="10780" max="10780" width="5" style="2" customWidth="1"/>
    <col min="10781" max="10781" width="5.875" style="2" customWidth="1"/>
    <col min="10782" max="10797" width="7.625" style="2" customWidth="1"/>
    <col min="10798" max="11010" width="9" style="2"/>
    <col min="11011" max="11013" width="11.125" style="2" customWidth="1"/>
    <col min="11014" max="11034" width="8.5" style="2" customWidth="1"/>
    <col min="11035" max="11035" width="3.375" style="2" customWidth="1"/>
    <col min="11036" max="11036" width="5" style="2" customWidth="1"/>
    <col min="11037" max="11037" width="5.875" style="2" customWidth="1"/>
    <col min="11038" max="11053" width="7.625" style="2" customWidth="1"/>
    <col min="11054" max="11266" width="9" style="2"/>
    <col min="11267" max="11269" width="11.125" style="2" customWidth="1"/>
    <col min="11270" max="11290" width="8.5" style="2" customWidth="1"/>
    <col min="11291" max="11291" width="3.375" style="2" customWidth="1"/>
    <col min="11292" max="11292" width="5" style="2" customWidth="1"/>
    <col min="11293" max="11293" width="5.875" style="2" customWidth="1"/>
    <col min="11294" max="11309" width="7.625" style="2" customWidth="1"/>
    <col min="11310" max="11522" width="9" style="2"/>
    <col min="11523" max="11525" width="11.125" style="2" customWidth="1"/>
    <col min="11526" max="11546" width="8.5" style="2" customWidth="1"/>
    <col min="11547" max="11547" width="3.375" style="2" customWidth="1"/>
    <col min="11548" max="11548" width="5" style="2" customWidth="1"/>
    <col min="11549" max="11549" width="5.875" style="2" customWidth="1"/>
    <col min="11550" max="11565" width="7.625" style="2" customWidth="1"/>
    <col min="11566" max="11778" width="9" style="2"/>
    <col min="11779" max="11781" width="11.125" style="2" customWidth="1"/>
    <col min="11782" max="11802" width="8.5" style="2" customWidth="1"/>
    <col min="11803" max="11803" width="3.375" style="2" customWidth="1"/>
    <col min="11804" max="11804" width="5" style="2" customWidth="1"/>
    <col min="11805" max="11805" width="5.875" style="2" customWidth="1"/>
    <col min="11806" max="11821" width="7.625" style="2" customWidth="1"/>
    <col min="11822" max="12034" width="9" style="2"/>
    <col min="12035" max="12037" width="11.125" style="2" customWidth="1"/>
    <col min="12038" max="12058" width="8.5" style="2" customWidth="1"/>
    <col min="12059" max="12059" width="3.375" style="2" customWidth="1"/>
    <col min="12060" max="12060" width="5" style="2" customWidth="1"/>
    <col min="12061" max="12061" width="5.875" style="2" customWidth="1"/>
    <col min="12062" max="12077" width="7.625" style="2" customWidth="1"/>
    <col min="12078" max="12290" width="9" style="2"/>
    <col min="12291" max="12293" width="11.125" style="2" customWidth="1"/>
    <col min="12294" max="12314" width="8.5" style="2" customWidth="1"/>
    <col min="12315" max="12315" width="3.375" style="2" customWidth="1"/>
    <col min="12316" max="12316" width="5" style="2" customWidth="1"/>
    <col min="12317" max="12317" width="5.875" style="2" customWidth="1"/>
    <col min="12318" max="12333" width="7.625" style="2" customWidth="1"/>
    <col min="12334" max="12546" width="9" style="2"/>
    <col min="12547" max="12549" width="11.125" style="2" customWidth="1"/>
    <col min="12550" max="12570" width="8.5" style="2" customWidth="1"/>
    <col min="12571" max="12571" width="3.375" style="2" customWidth="1"/>
    <col min="12572" max="12572" width="5" style="2" customWidth="1"/>
    <col min="12573" max="12573" width="5.875" style="2" customWidth="1"/>
    <col min="12574" max="12589" width="7.625" style="2" customWidth="1"/>
    <col min="12590" max="12802" width="9" style="2"/>
    <col min="12803" max="12805" width="11.125" style="2" customWidth="1"/>
    <col min="12806" max="12826" width="8.5" style="2" customWidth="1"/>
    <col min="12827" max="12827" width="3.375" style="2" customWidth="1"/>
    <col min="12828" max="12828" width="5" style="2" customWidth="1"/>
    <col min="12829" max="12829" width="5.875" style="2" customWidth="1"/>
    <col min="12830" max="12845" width="7.625" style="2" customWidth="1"/>
    <col min="12846" max="13058" width="9" style="2"/>
    <col min="13059" max="13061" width="11.125" style="2" customWidth="1"/>
    <col min="13062" max="13082" width="8.5" style="2" customWidth="1"/>
    <col min="13083" max="13083" width="3.375" style="2" customWidth="1"/>
    <col min="13084" max="13084" width="5" style="2" customWidth="1"/>
    <col min="13085" max="13085" width="5.875" style="2" customWidth="1"/>
    <col min="13086" max="13101" width="7.625" style="2" customWidth="1"/>
    <col min="13102" max="13314" width="9" style="2"/>
    <col min="13315" max="13317" width="11.125" style="2" customWidth="1"/>
    <col min="13318" max="13338" width="8.5" style="2" customWidth="1"/>
    <col min="13339" max="13339" width="3.375" style="2" customWidth="1"/>
    <col min="13340" max="13340" width="5" style="2" customWidth="1"/>
    <col min="13341" max="13341" width="5.875" style="2" customWidth="1"/>
    <col min="13342" max="13357" width="7.625" style="2" customWidth="1"/>
    <col min="13358" max="13570" width="9" style="2"/>
    <col min="13571" max="13573" width="11.125" style="2" customWidth="1"/>
    <col min="13574" max="13594" width="8.5" style="2" customWidth="1"/>
    <col min="13595" max="13595" width="3.375" style="2" customWidth="1"/>
    <col min="13596" max="13596" width="5" style="2" customWidth="1"/>
    <col min="13597" max="13597" width="5.875" style="2" customWidth="1"/>
    <col min="13598" max="13613" width="7.625" style="2" customWidth="1"/>
    <col min="13614" max="13826" width="9" style="2"/>
    <col min="13827" max="13829" width="11.125" style="2" customWidth="1"/>
    <col min="13830" max="13850" width="8.5" style="2" customWidth="1"/>
    <col min="13851" max="13851" width="3.375" style="2" customWidth="1"/>
    <col min="13852" max="13852" width="5" style="2" customWidth="1"/>
    <col min="13853" max="13853" width="5.875" style="2" customWidth="1"/>
    <col min="13854" max="13869" width="7.625" style="2" customWidth="1"/>
    <col min="13870" max="14082" width="9" style="2"/>
    <col min="14083" max="14085" width="11.125" style="2" customWidth="1"/>
    <col min="14086" max="14106" width="8.5" style="2" customWidth="1"/>
    <col min="14107" max="14107" width="3.375" style="2" customWidth="1"/>
    <col min="14108" max="14108" width="5" style="2" customWidth="1"/>
    <col min="14109" max="14109" width="5.875" style="2" customWidth="1"/>
    <col min="14110" max="14125" width="7.625" style="2" customWidth="1"/>
    <col min="14126" max="14338" width="9" style="2"/>
    <col min="14339" max="14341" width="11.125" style="2" customWidth="1"/>
    <col min="14342" max="14362" width="8.5" style="2" customWidth="1"/>
    <col min="14363" max="14363" width="3.375" style="2" customWidth="1"/>
    <col min="14364" max="14364" width="5" style="2" customWidth="1"/>
    <col min="14365" max="14365" width="5.875" style="2" customWidth="1"/>
    <col min="14366" max="14381" width="7.625" style="2" customWidth="1"/>
    <col min="14382" max="14594" width="9" style="2"/>
    <col min="14595" max="14597" width="11.125" style="2" customWidth="1"/>
    <col min="14598" max="14618" width="8.5" style="2" customWidth="1"/>
    <col min="14619" max="14619" width="3.375" style="2" customWidth="1"/>
    <col min="14620" max="14620" width="5" style="2" customWidth="1"/>
    <col min="14621" max="14621" width="5.875" style="2" customWidth="1"/>
    <col min="14622" max="14637" width="7.625" style="2" customWidth="1"/>
    <col min="14638" max="14850" width="9" style="2"/>
    <col min="14851" max="14853" width="11.125" style="2" customWidth="1"/>
    <col min="14854" max="14874" width="8.5" style="2" customWidth="1"/>
    <col min="14875" max="14875" width="3.375" style="2" customWidth="1"/>
    <col min="14876" max="14876" width="5" style="2" customWidth="1"/>
    <col min="14877" max="14877" width="5.875" style="2" customWidth="1"/>
    <col min="14878" max="14893" width="7.625" style="2" customWidth="1"/>
    <col min="14894" max="15106" width="9" style="2"/>
    <col min="15107" max="15109" width="11.125" style="2" customWidth="1"/>
    <col min="15110" max="15130" width="8.5" style="2" customWidth="1"/>
    <col min="15131" max="15131" width="3.375" style="2" customWidth="1"/>
    <col min="15132" max="15132" width="5" style="2" customWidth="1"/>
    <col min="15133" max="15133" width="5.875" style="2" customWidth="1"/>
    <col min="15134" max="15149" width="7.625" style="2" customWidth="1"/>
    <col min="15150" max="15362" width="9" style="2"/>
    <col min="15363" max="15365" width="11.125" style="2" customWidth="1"/>
    <col min="15366" max="15386" width="8.5" style="2" customWidth="1"/>
    <col min="15387" max="15387" width="3.375" style="2" customWidth="1"/>
    <col min="15388" max="15388" width="5" style="2" customWidth="1"/>
    <col min="15389" max="15389" width="5.875" style="2" customWidth="1"/>
    <col min="15390" max="15405" width="7.625" style="2" customWidth="1"/>
    <col min="15406" max="15618" width="9" style="2"/>
    <col min="15619" max="15621" width="11.125" style="2" customWidth="1"/>
    <col min="15622" max="15642" width="8.5" style="2" customWidth="1"/>
    <col min="15643" max="15643" width="3.375" style="2" customWidth="1"/>
    <col min="15644" max="15644" width="5" style="2" customWidth="1"/>
    <col min="15645" max="15645" width="5.875" style="2" customWidth="1"/>
    <col min="15646" max="15661" width="7.625" style="2" customWidth="1"/>
    <col min="15662" max="15874" width="9" style="2"/>
    <col min="15875" max="15877" width="11.125" style="2" customWidth="1"/>
    <col min="15878" max="15898" width="8.5" style="2" customWidth="1"/>
    <col min="15899" max="15899" width="3.375" style="2" customWidth="1"/>
    <col min="15900" max="15900" width="5" style="2" customWidth="1"/>
    <col min="15901" max="15901" width="5.875" style="2" customWidth="1"/>
    <col min="15902" max="15917" width="7.625" style="2" customWidth="1"/>
    <col min="15918" max="16130" width="9" style="2"/>
    <col min="16131" max="16133" width="11.125" style="2" customWidth="1"/>
    <col min="16134" max="16154" width="8.5" style="2" customWidth="1"/>
    <col min="16155" max="16155" width="3.375" style="2" customWidth="1"/>
    <col min="16156" max="16156" width="5" style="2" customWidth="1"/>
    <col min="16157" max="16157" width="5.875" style="2" customWidth="1"/>
    <col min="16158" max="16173" width="7.625" style="2" customWidth="1"/>
    <col min="16174" max="16384" width="9" style="2"/>
  </cols>
  <sheetData>
    <row r="1" spans="1:45" ht="3" customHeight="1" thickBot="1"/>
    <row r="2" spans="1:45" ht="18" customHeight="1">
      <c r="A2" s="715"/>
      <c r="B2" s="716"/>
      <c r="C2" s="716"/>
      <c r="D2" s="716"/>
      <c r="E2" s="716"/>
      <c r="F2" s="716"/>
      <c r="G2" s="716"/>
      <c r="H2" s="717"/>
      <c r="I2" s="31" t="s">
        <v>23</v>
      </c>
      <c r="J2" s="733"/>
      <c r="K2" s="734"/>
      <c r="L2" s="31" t="s">
        <v>255</v>
      </c>
      <c r="M2" s="731" t="s">
        <v>256</v>
      </c>
      <c r="N2" s="732"/>
      <c r="O2" s="31" t="s">
        <v>24</v>
      </c>
      <c r="P2" s="32"/>
      <c r="Q2" s="32"/>
      <c r="R2" s="31" t="s">
        <v>25</v>
      </c>
      <c r="S2" s="721"/>
      <c r="T2" s="721"/>
      <c r="U2" s="722"/>
      <c r="V2" s="33" t="s">
        <v>26</v>
      </c>
      <c r="W2" s="707"/>
      <c r="X2" s="708"/>
      <c r="Y2" s="34" t="s">
        <v>27</v>
      </c>
      <c r="Z2" s="35"/>
      <c r="AB2" s="36"/>
      <c r="AC2" s="37"/>
      <c r="AD2" s="37"/>
    </row>
    <row r="3" spans="1:45" ht="18" customHeight="1">
      <c r="A3" s="718"/>
      <c r="B3" s="719"/>
      <c r="C3" s="719"/>
      <c r="D3" s="719"/>
      <c r="E3" s="719"/>
      <c r="F3" s="719"/>
      <c r="G3" s="719"/>
      <c r="H3" s="720"/>
      <c r="I3" s="38" t="s">
        <v>28</v>
      </c>
      <c r="J3" s="729"/>
      <c r="K3" s="729"/>
      <c r="L3" s="729"/>
      <c r="M3" s="729"/>
      <c r="N3" s="730"/>
      <c r="O3" s="38" t="s">
        <v>29</v>
      </c>
      <c r="P3" s="685"/>
      <c r="Q3" s="685"/>
      <c r="R3" s="38" t="s">
        <v>30</v>
      </c>
      <c r="S3" s="39"/>
      <c r="T3" s="685"/>
      <c r="U3" s="686"/>
      <c r="V3" s="723" t="s">
        <v>31</v>
      </c>
      <c r="W3" s="724"/>
      <c r="X3" s="725"/>
      <c r="Y3" s="725"/>
      <c r="Z3" s="726"/>
      <c r="AB3" s="36"/>
      <c r="AC3" s="37"/>
      <c r="AD3" s="37"/>
      <c r="AE3" s="411"/>
      <c r="AF3" s="396"/>
      <c r="AG3" s="396"/>
      <c r="AH3" s="396"/>
      <c r="AI3" s="396"/>
      <c r="AJ3" s="396"/>
      <c r="AK3" s="396"/>
      <c r="AL3" s="396"/>
      <c r="AM3" s="396"/>
      <c r="AN3" s="396"/>
      <c r="AO3" s="396"/>
      <c r="AP3" s="396"/>
      <c r="AQ3" s="396"/>
      <c r="AR3" s="396"/>
      <c r="AS3" s="397"/>
    </row>
    <row r="4" spans="1:45" ht="13.5" customHeight="1">
      <c r="A4" s="340"/>
      <c r="B4" s="396"/>
      <c r="C4" s="396"/>
      <c r="D4" s="41"/>
      <c r="E4" s="41"/>
      <c r="F4" s="41"/>
      <c r="G4" s="41"/>
      <c r="H4" s="41"/>
      <c r="K4" s="2" t="s">
        <v>289</v>
      </c>
      <c r="L4" s="534"/>
      <c r="M4" s="534"/>
      <c r="N4" s="534"/>
      <c r="O4" s="534"/>
      <c r="P4" s="534"/>
      <c r="Q4" s="534"/>
      <c r="R4" s="534"/>
      <c r="S4" s="534"/>
      <c r="T4" s="534"/>
      <c r="U4" s="534"/>
      <c r="V4" s="42" t="s">
        <v>32</v>
      </c>
      <c r="W4" s="539"/>
      <c r="X4" s="43"/>
      <c r="Y4" s="727" t="s">
        <v>251</v>
      </c>
      <c r="Z4" s="728"/>
      <c r="AE4" s="403"/>
      <c r="AF4" s="399" t="s">
        <v>249</v>
      </c>
      <c r="AG4" s="399"/>
      <c r="AH4" s="399"/>
      <c r="AI4" s="399"/>
      <c r="AJ4" s="399"/>
      <c r="AK4" s="399"/>
      <c r="AL4" s="399"/>
      <c r="AM4" s="399"/>
      <c r="AN4" s="399"/>
      <c r="AO4" s="399"/>
      <c r="AP4" s="399"/>
      <c r="AQ4" s="41"/>
      <c r="AR4" s="41"/>
      <c r="AS4" s="400"/>
    </row>
    <row r="5" spans="1:45" ht="13.5" customHeight="1">
      <c r="A5" s="40"/>
      <c r="B5" s="41"/>
      <c r="C5" s="41"/>
      <c r="D5" s="41"/>
      <c r="E5" s="41"/>
      <c r="F5" s="44"/>
      <c r="G5" s="41"/>
      <c r="H5" s="41"/>
      <c r="L5" s="534"/>
      <c r="M5" s="534"/>
      <c r="N5" s="534"/>
      <c r="O5" s="534"/>
      <c r="P5" s="534"/>
      <c r="Q5" s="534"/>
      <c r="R5" s="534"/>
      <c r="S5" s="534"/>
      <c r="T5" s="534"/>
      <c r="U5" s="534"/>
      <c r="V5" s="45" t="s">
        <v>35</v>
      </c>
      <c r="W5" s="540"/>
      <c r="X5" s="46"/>
      <c r="Y5" s="727" t="s">
        <v>36</v>
      </c>
      <c r="Z5" s="728"/>
      <c r="AE5" s="403"/>
      <c r="AF5" s="399" t="s">
        <v>228</v>
      </c>
      <c r="AG5" s="398" t="s">
        <v>229</v>
      </c>
      <c r="AH5" s="399"/>
      <c r="AI5" s="399"/>
      <c r="AJ5" s="399"/>
      <c r="AK5" s="399"/>
      <c r="AL5" s="399"/>
      <c r="AM5" s="399"/>
      <c r="AN5" s="399"/>
      <c r="AO5" s="399"/>
      <c r="AP5" s="399"/>
      <c r="AQ5" s="41"/>
      <c r="AR5" s="41"/>
      <c r="AS5" s="400"/>
    </row>
    <row r="6" spans="1:45" ht="13.5" customHeight="1" thickBot="1">
      <c r="A6" s="40"/>
      <c r="B6" s="41"/>
      <c r="C6" s="41"/>
      <c r="D6" s="41"/>
      <c r="E6" s="41"/>
      <c r="F6" s="44"/>
      <c r="G6" s="41"/>
      <c r="H6" s="41"/>
      <c r="L6" s="534"/>
      <c r="M6" s="534"/>
      <c r="N6" s="534"/>
      <c r="O6" s="534"/>
      <c r="P6" s="534"/>
      <c r="Q6" s="534"/>
      <c r="R6" s="534"/>
      <c r="S6" s="534"/>
      <c r="T6" s="534"/>
      <c r="U6" s="534"/>
      <c r="V6" s="495" t="s">
        <v>281</v>
      </c>
      <c r="W6" s="541"/>
      <c r="X6" s="444"/>
      <c r="Y6" s="536">
        <v>1</v>
      </c>
      <c r="Z6" s="48" t="s">
        <v>293</v>
      </c>
      <c r="AE6" s="403"/>
      <c r="AF6" s="399" t="s">
        <v>230</v>
      </c>
      <c r="AG6" s="402" t="s">
        <v>258</v>
      </c>
      <c r="AH6" s="399"/>
      <c r="AI6" s="399"/>
      <c r="AJ6" s="399"/>
      <c r="AK6" s="399"/>
      <c r="AL6" s="399"/>
      <c r="AM6" s="399"/>
      <c r="AN6" s="399"/>
      <c r="AO6" s="399"/>
      <c r="AP6" s="399"/>
      <c r="AQ6" s="41"/>
      <c r="AR6" s="41"/>
      <c r="AS6" s="400"/>
    </row>
    <row r="7" spans="1:45" ht="13.5" customHeight="1" thickBot="1">
      <c r="A7" s="40"/>
      <c r="B7" s="41"/>
      <c r="C7" s="41"/>
      <c r="D7" s="41"/>
      <c r="E7" s="41"/>
      <c r="F7" s="44"/>
      <c r="G7" s="41"/>
      <c r="H7" s="41"/>
      <c r="L7" s="534"/>
      <c r="M7" s="534"/>
      <c r="N7" s="534"/>
      <c r="O7" s="534"/>
      <c r="P7" s="534"/>
      <c r="Q7" s="534"/>
      <c r="R7" s="534"/>
      <c r="S7" s="534"/>
      <c r="T7" s="534"/>
      <c r="U7" s="534"/>
      <c r="V7" s="496" t="s">
        <v>37</v>
      </c>
      <c r="W7" s="542"/>
      <c r="X7" s="428"/>
      <c r="Y7" s="535"/>
      <c r="Z7" s="48" t="s">
        <v>38</v>
      </c>
      <c r="AE7" s="403"/>
      <c r="AF7" s="399" t="s">
        <v>231</v>
      </c>
      <c r="AG7" s="401" t="str">
        <f>AG5&amp;"\"&amp;AG6</f>
        <v>C:\Users\wcjung\Desktop\업무 Support\엑셀파일\업무자동화 2\71-105-JAB_Centri_Rev.1.xls</v>
      </c>
      <c r="AH7" s="399"/>
      <c r="AI7" s="399"/>
      <c r="AJ7" s="399"/>
      <c r="AK7" s="399"/>
      <c r="AL7" s="399"/>
      <c r="AM7" s="399"/>
      <c r="AN7" s="399"/>
      <c r="AO7" s="399"/>
      <c r="AP7" s="399"/>
      <c r="AQ7" s="41"/>
      <c r="AR7" s="41"/>
      <c r="AS7" s="400"/>
    </row>
    <row r="8" spans="1:45" ht="13.5" customHeight="1">
      <c r="A8" s="40"/>
      <c r="B8" s="41"/>
      <c r="C8" s="41"/>
      <c r="D8" s="41"/>
      <c r="E8" s="41"/>
      <c r="F8" s="44"/>
      <c r="G8" s="41"/>
      <c r="H8" s="41"/>
      <c r="L8" s="534"/>
      <c r="M8" s="534"/>
      <c r="N8" s="534"/>
      <c r="O8" s="534"/>
      <c r="P8" s="534"/>
      <c r="Q8" s="534"/>
      <c r="R8" s="534"/>
      <c r="S8" s="534"/>
      <c r="T8" s="534"/>
      <c r="U8" s="534"/>
      <c r="V8" s="49" t="s">
        <v>282</v>
      </c>
      <c r="W8" s="543"/>
      <c r="X8" s="50"/>
      <c r="Y8" s="513" t="s">
        <v>279</v>
      </c>
      <c r="Z8" s="672" t="s">
        <v>280</v>
      </c>
      <c r="AA8" s="647" t="s">
        <v>301</v>
      </c>
      <c r="AB8" s="51"/>
      <c r="AE8" s="403"/>
      <c r="AF8" s="399"/>
      <c r="AG8" s="399"/>
      <c r="AH8" s="399"/>
      <c r="AI8" s="399"/>
      <c r="AJ8" s="399"/>
      <c r="AK8" s="399"/>
      <c r="AL8" s="399"/>
      <c r="AM8" s="399"/>
      <c r="AN8" s="399"/>
      <c r="AO8" s="399"/>
      <c r="AP8" s="399"/>
      <c r="AQ8" s="41"/>
      <c r="AR8" s="41"/>
      <c r="AS8" s="400"/>
    </row>
    <row r="9" spans="1:45" ht="13.5" customHeight="1">
      <c r="A9" s="40"/>
      <c r="B9" s="41"/>
      <c r="C9" s="41"/>
      <c r="D9" s="41"/>
      <c r="E9" s="41"/>
      <c r="F9" s="44"/>
      <c r="G9" s="41"/>
      <c r="H9" s="41"/>
      <c r="V9" s="492" t="s">
        <v>295</v>
      </c>
      <c r="W9" s="548"/>
      <c r="X9" s="553" t="s">
        <v>33</v>
      </c>
      <c r="Y9" s="571">
        <v>41</v>
      </c>
      <c r="Z9" s="522">
        <f>Y9*(100+D49)/100</f>
        <v>45.1</v>
      </c>
      <c r="AA9" s="648">
        <f>Z9*(100+E49)/100</f>
        <v>45.1</v>
      </c>
      <c r="AB9" s="53"/>
      <c r="AC9" s="54"/>
      <c r="AD9" s="54"/>
      <c r="AE9" s="403"/>
      <c r="AF9" s="399" t="s">
        <v>248</v>
      </c>
      <c r="AG9" s="399"/>
      <c r="AH9" s="399"/>
      <c r="AI9" s="399" t="s">
        <v>257</v>
      </c>
      <c r="AJ9" s="399"/>
      <c r="AK9" s="399"/>
      <c r="AL9" s="399"/>
      <c r="AM9" s="399"/>
      <c r="AN9" s="399"/>
      <c r="AO9" s="399"/>
      <c r="AP9" s="399"/>
      <c r="AQ9" s="41"/>
      <c r="AR9" s="41"/>
      <c r="AS9" s="400"/>
    </row>
    <row r="10" spans="1:45" ht="13.5" customHeight="1">
      <c r="A10" s="40"/>
      <c r="B10" s="41"/>
      <c r="C10" s="501"/>
      <c r="D10" s="96"/>
      <c r="E10" s="502"/>
      <c r="F10" s="502"/>
      <c r="G10" s="502"/>
      <c r="H10" s="58"/>
      <c r="I10" s="502"/>
      <c r="J10" s="58"/>
      <c r="K10" s="58"/>
      <c r="L10" s="58"/>
      <c r="M10" s="58"/>
      <c r="N10" s="59"/>
      <c r="O10" s="58"/>
      <c r="P10" s="58"/>
      <c r="Q10" s="58"/>
      <c r="R10" s="58"/>
      <c r="S10" s="58"/>
      <c r="T10" s="58"/>
      <c r="U10" s="59"/>
      <c r="V10" s="342" t="s">
        <v>274</v>
      </c>
      <c r="W10" s="544"/>
      <c r="X10" s="565" t="s">
        <v>41</v>
      </c>
      <c r="Y10" s="555">
        <v>3.16</v>
      </c>
      <c r="Z10" s="556">
        <v>3.16</v>
      </c>
      <c r="AA10" s="649">
        <v>3.16</v>
      </c>
      <c r="AB10" s="53"/>
      <c r="AC10" s="54"/>
      <c r="AD10" s="54"/>
      <c r="AE10" s="403"/>
      <c r="AF10" s="399" t="s">
        <v>228</v>
      </c>
      <c r="AG10" s="398" t="s">
        <v>229</v>
      </c>
      <c r="AH10" s="41"/>
      <c r="AI10" s="41"/>
      <c r="AJ10" s="41"/>
      <c r="AK10" s="41"/>
      <c r="AL10" s="41"/>
      <c r="AM10" s="41"/>
      <c r="AN10" s="41"/>
      <c r="AO10" s="41"/>
      <c r="AP10" s="41"/>
      <c r="AQ10" s="41"/>
      <c r="AR10" s="41"/>
      <c r="AS10" s="400"/>
    </row>
    <row r="11" spans="1:45" ht="13.5" customHeight="1">
      <c r="A11" s="40"/>
      <c r="B11" s="41"/>
      <c r="C11" s="503"/>
      <c r="D11" s="56"/>
      <c r="E11" s="504"/>
      <c r="F11" s="107"/>
      <c r="G11" s="58"/>
      <c r="H11" s="505"/>
      <c r="I11" s="503"/>
      <c r="J11" s="56"/>
      <c r="K11" s="506"/>
      <c r="L11" s="507"/>
      <c r="M11" s="507"/>
      <c r="N11" s="502"/>
      <c r="O11" s="96"/>
      <c r="P11" s="41"/>
      <c r="Q11" s="41"/>
      <c r="R11" s="41"/>
      <c r="S11" s="41"/>
      <c r="T11" s="41"/>
      <c r="U11" s="41"/>
      <c r="V11" s="343" t="s">
        <v>275</v>
      </c>
      <c r="W11" s="523"/>
      <c r="X11" s="565" t="s">
        <v>41</v>
      </c>
      <c r="Y11" s="380">
        <v>11</v>
      </c>
      <c r="Z11" s="557">
        <v>11</v>
      </c>
      <c r="AA11" s="650">
        <v>11</v>
      </c>
      <c r="AB11" s="61"/>
      <c r="AC11" s="54"/>
      <c r="AD11" s="54"/>
      <c r="AE11" s="403"/>
      <c r="AF11" s="399" t="s">
        <v>230</v>
      </c>
      <c r="AG11" s="402" t="s">
        <v>260</v>
      </c>
      <c r="AH11" s="41"/>
      <c r="AI11" s="41"/>
      <c r="AJ11" s="41"/>
      <c r="AK11" s="41"/>
      <c r="AL11" s="41"/>
      <c r="AM11" s="41"/>
      <c r="AN11" s="41"/>
      <c r="AO11" s="41"/>
      <c r="AP11" s="41"/>
      <c r="AQ11" s="41"/>
      <c r="AR11" s="41"/>
      <c r="AS11" s="400"/>
    </row>
    <row r="12" spans="1:45" ht="13.5" customHeight="1">
      <c r="A12" s="62"/>
      <c r="B12" s="63"/>
      <c r="C12" s="503"/>
      <c r="D12" s="56"/>
      <c r="E12" s="506"/>
      <c r="F12" s="507"/>
      <c r="G12" s="507"/>
      <c r="H12" s="502"/>
      <c r="I12" s="503"/>
      <c r="J12" s="56"/>
      <c r="K12" s="502"/>
      <c r="L12" s="507"/>
      <c r="M12" s="507"/>
      <c r="N12" s="502"/>
      <c r="O12" s="529"/>
      <c r="P12" s="65"/>
      <c r="Q12" s="66"/>
      <c r="R12" s="63"/>
      <c r="S12" s="63"/>
      <c r="T12" s="63"/>
      <c r="U12" s="52"/>
      <c r="V12" s="342" t="s">
        <v>276</v>
      </c>
      <c r="W12" s="544"/>
      <c r="X12" s="566" t="s">
        <v>42</v>
      </c>
      <c r="Y12" s="378">
        <v>2.2000000000000002</v>
      </c>
      <c r="Z12" s="558">
        <v>2.2000000000000002</v>
      </c>
      <c r="AA12" s="651">
        <v>2.2000000000000002</v>
      </c>
      <c r="AE12" s="403"/>
      <c r="AF12" s="399" t="s">
        <v>231</v>
      </c>
      <c r="AG12" s="401" t="str">
        <f>AG10&amp;"\"&amp;AG11</f>
        <v>C:\Users\wcjung\Desktop\업무 Support\엑셀파일\업무자동화 2\71-105-JAB_Centri_Rev.2.xls</v>
      </c>
      <c r="AH12" s="41"/>
      <c r="AI12" s="41"/>
      <c r="AJ12" s="41"/>
      <c r="AK12" s="41"/>
      <c r="AL12" s="41"/>
      <c r="AM12" s="41"/>
      <c r="AN12" s="41"/>
      <c r="AO12" s="41"/>
      <c r="AP12" s="41"/>
      <c r="AQ12" s="41"/>
      <c r="AR12" s="41"/>
      <c r="AS12" s="400"/>
    </row>
    <row r="13" spans="1:45" ht="13.5" customHeight="1">
      <c r="A13" s="62"/>
      <c r="B13" s="63"/>
      <c r="C13" s="57"/>
      <c r="D13" s="58"/>
      <c r="E13" s="508"/>
      <c r="F13" s="502"/>
      <c r="G13" s="58"/>
      <c r="H13" s="58"/>
      <c r="I13" s="502"/>
      <c r="J13" s="58"/>
      <c r="K13" s="58"/>
      <c r="L13" s="58"/>
      <c r="V13" s="343" t="s">
        <v>277</v>
      </c>
      <c r="W13" s="523"/>
      <c r="X13" s="566" t="s">
        <v>42</v>
      </c>
      <c r="Y13" s="378">
        <v>4.29</v>
      </c>
      <c r="Z13" s="558">
        <v>4.29</v>
      </c>
      <c r="AA13" s="651">
        <v>4.29</v>
      </c>
      <c r="AB13" s="68"/>
      <c r="AC13" s="69"/>
      <c r="AD13" s="69"/>
      <c r="AE13" s="403"/>
      <c r="AG13" s="399"/>
      <c r="AH13" s="399"/>
      <c r="AI13" s="399"/>
      <c r="AJ13" s="399"/>
      <c r="AK13" s="399"/>
      <c r="AL13" s="399"/>
      <c r="AM13" s="399"/>
      <c r="AN13" s="399"/>
      <c r="AO13" s="399"/>
      <c r="AP13" s="399"/>
      <c r="AQ13" s="41"/>
      <c r="AR13" s="41"/>
      <c r="AS13" s="400"/>
    </row>
    <row r="14" spans="1:45" ht="13.5" customHeight="1">
      <c r="A14" s="70"/>
      <c r="B14" s="71"/>
      <c r="C14" s="509"/>
      <c r="D14" s="510"/>
      <c r="E14" s="58"/>
      <c r="F14" s="502"/>
      <c r="G14" s="510"/>
      <c r="H14" s="58"/>
      <c r="I14" s="502"/>
      <c r="J14" s="510"/>
      <c r="K14" s="58"/>
      <c r="L14" s="509"/>
      <c r="V14" s="342" t="s">
        <v>278</v>
      </c>
      <c r="W14" s="544"/>
      <c r="X14" s="566" t="s">
        <v>42</v>
      </c>
      <c r="Y14" s="379">
        <v>0.75</v>
      </c>
      <c r="Z14" s="559">
        <v>0.75</v>
      </c>
      <c r="AA14" s="652">
        <v>0.75</v>
      </c>
      <c r="AE14" s="403"/>
      <c r="AF14" s="399" t="s">
        <v>232</v>
      </c>
      <c r="AH14" s="399"/>
      <c r="AI14" s="399"/>
      <c r="AJ14" s="399"/>
      <c r="AK14" s="399"/>
      <c r="AL14" s="399"/>
      <c r="AM14" s="399"/>
      <c r="AN14" s="399"/>
      <c r="AO14" s="399"/>
      <c r="AP14" s="399"/>
      <c r="AQ14" s="41"/>
      <c r="AR14" s="41"/>
      <c r="AS14" s="400"/>
    </row>
    <row r="15" spans="1:45" ht="13.5" customHeight="1">
      <c r="A15" s="62"/>
      <c r="B15" s="63"/>
      <c r="C15" s="55"/>
      <c r="D15" s="56"/>
      <c r="E15" s="57"/>
      <c r="F15" s="58"/>
      <c r="G15" s="58"/>
      <c r="H15" s="58"/>
      <c r="I15" s="58"/>
      <c r="J15" s="58"/>
      <c r="K15" s="58"/>
      <c r="L15" s="58"/>
      <c r="V15" s="342" t="s">
        <v>43</v>
      </c>
      <c r="W15" s="544"/>
      <c r="X15" s="565" t="s">
        <v>44</v>
      </c>
      <c r="Y15" s="379">
        <v>0.41094554800000005</v>
      </c>
      <c r="Z15" s="559">
        <v>0.41094554800000005</v>
      </c>
      <c r="AA15" s="652">
        <v>0.41094554800000005</v>
      </c>
      <c r="AB15" s="74"/>
      <c r="AD15" s="77"/>
      <c r="AE15" s="403"/>
      <c r="AF15" s="399" t="s">
        <v>228</v>
      </c>
      <c r="AG15" s="398" t="s">
        <v>238</v>
      </c>
      <c r="AH15" s="405"/>
      <c r="AI15" s="399"/>
      <c r="AJ15" s="399"/>
      <c r="AK15" s="399"/>
      <c r="AL15" s="399"/>
      <c r="AM15" s="399"/>
      <c r="AN15" s="399"/>
      <c r="AO15" s="399"/>
      <c r="AP15" s="399"/>
      <c r="AQ15" s="41"/>
      <c r="AR15" s="41"/>
      <c r="AS15" s="400"/>
    </row>
    <row r="16" spans="1:45" ht="13.5" customHeight="1">
      <c r="A16" s="70"/>
      <c r="B16" s="71"/>
      <c r="C16" s="92"/>
      <c r="D16" s="92"/>
      <c r="E16" s="92"/>
      <c r="F16" s="92"/>
      <c r="G16" s="92"/>
      <c r="H16" s="92"/>
      <c r="I16" s="92"/>
      <c r="J16" s="92"/>
      <c r="K16" s="531"/>
      <c r="L16" s="531"/>
      <c r="V16" s="344" t="s">
        <v>45</v>
      </c>
      <c r="W16" s="545"/>
      <c r="X16" s="566" t="s">
        <v>42</v>
      </c>
      <c r="Y16" s="345">
        <v>0.6</v>
      </c>
      <c r="Z16" s="560">
        <v>0.6</v>
      </c>
      <c r="AA16" s="653">
        <v>0.6</v>
      </c>
      <c r="AB16" s="76"/>
      <c r="AE16" s="403"/>
      <c r="AF16" s="399" t="s">
        <v>230</v>
      </c>
      <c r="AG16" s="404" t="s">
        <v>259</v>
      </c>
      <c r="AH16" s="399"/>
      <c r="AI16" s="399"/>
      <c r="AJ16" s="399"/>
      <c r="AK16" s="399"/>
      <c r="AL16" s="399"/>
      <c r="AM16" s="399"/>
      <c r="AN16" s="399"/>
      <c r="AO16" s="399"/>
      <c r="AP16" s="399"/>
      <c r="AQ16" s="41"/>
      <c r="AR16" s="41"/>
      <c r="AS16" s="400"/>
    </row>
    <row r="17" spans="1:45" ht="13.5" customHeight="1">
      <c r="A17" s="62"/>
      <c r="B17" s="63"/>
      <c r="C17" s="92"/>
      <c r="D17" s="92"/>
      <c r="E17" s="92"/>
      <c r="F17" s="92"/>
      <c r="G17" s="92"/>
      <c r="H17" s="92"/>
      <c r="I17" s="530"/>
      <c r="J17" s="530"/>
      <c r="K17" s="530"/>
      <c r="L17" s="530"/>
      <c r="V17" s="346" t="s">
        <v>294</v>
      </c>
      <c r="W17" s="546"/>
      <c r="X17" s="554" t="s">
        <v>297</v>
      </c>
      <c r="Y17" s="524">
        <f>Z17*(100/(100+D49))^2</f>
        <v>3.1433681652309675E-3</v>
      </c>
      <c r="Z17" s="493">
        <f>IF(Y5="","",SUM(D75:F75))</f>
        <v>3.8034754799294709E-3</v>
      </c>
      <c r="AA17" s="654" t="str">
        <f>IF(Z5="","",SUM(E75:G75))</f>
        <v/>
      </c>
      <c r="AB17" s="79"/>
      <c r="AC17" s="80"/>
      <c r="AE17" s="403"/>
      <c r="AF17" s="399" t="s">
        <v>231</v>
      </c>
      <c r="AG17" s="401" t="str">
        <f>AG15&amp;"\"&amp;AG16</f>
        <v>C:\Users\wcjung\Desktop\프로젝트\0.프로그래밍\18.07.17_Hydraulic Upgrade\HYDRAULIC 파일_NEW_2.5.xlsm</v>
      </c>
      <c r="AH17" s="41"/>
      <c r="AI17" s="41"/>
      <c r="AJ17" s="41"/>
      <c r="AK17" s="41"/>
      <c r="AL17" s="41"/>
      <c r="AM17" s="41"/>
      <c r="AN17" s="41"/>
      <c r="AO17" s="41"/>
      <c r="AP17" s="41"/>
      <c r="AQ17" s="41"/>
      <c r="AR17" s="41"/>
      <c r="AS17" s="400"/>
    </row>
    <row r="18" spans="1:45" ht="13.5" customHeight="1">
      <c r="A18" s="81"/>
      <c r="B18" s="73"/>
      <c r="C18" s="92"/>
      <c r="D18" s="92"/>
      <c r="E18" s="92"/>
      <c r="F18" s="92"/>
      <c r="G18" s="93"/>
      <c r="H18" s="92"/>
      <c r="V18" s="346" t="s">
        <v>47</v>
      </c>
      <c r="W18" s="546"/>
      <c r="X18" s="565" t="s">
        <v>46</v>
      </c>
      <c r="Y18" s="347">
        <v>7.0000000000000007E-2</v>
      </c>
      <c r="Z18" s="561">
        <v>7.0000000000000007E-2</v>
      </c>
      <c r="AA18" s="655">
        <v>7.0000000000000007E-2</v>
      </c>
      <c r="AB18" s="82"/>
      <c r="AC18" s="392"/>
      <c r="AE18" s="403"/>
      <c r="AF18" s="41"/>
      <c r="AG18" s="41"/>
      <c r="AH18" s="41"/>
      <c r="AI18" s="41"/>
      <c r="AJ18" s="41"/>
      <c r="AK18" s="41"/>
      <c r="AL18" s="41"/>
      <c r="AM18" s="41"/>
      <c r="AN18" s="41"/>
      <c r="AO18" s="41"/>
      <c r="AP18" s="41"/>
      <c r="AQ18" s="41"/>
      <c r="AR18" s="41"/>
      <c r="AS18" s="400"/>
    </row>
    <row r="19" spans="1:45" ht="13.5" customHeight="1">
      <c r="A19" s="62"/>
      <c r="B19" s="63"/>
      <c r="C19" s="92"/>
      <c r="D19" s="93"/>
      <c r="E19" s="92"/>
      <c r="F19" s="92"/>
      <c r="G19" s="92"/>
      <c r="H19" s="511"/>
      <c r="V19" s="348" t="s">
        <v>48</v>
      </c>
      <c r="W19" s="547"/>
      <c r="X19" s="565" t="s">
        <v>46</v>
      </c>
      <c r="Y19" s="349" t="str">
        <f>IF(Y4="RECIPROCATING",(D72*D52/1000*0.2*Y7*D73)/(10*9.8*1.4)," ")</f>
        <v xml:space="preserve"> </v>
      </c>
      <c r="Z19" s="562">
        <f>IF(Z4="RECIPROCATING",(E72*E52/1000*0.2*Z7*E73)/(10*9.8*1.4)," ")</f>
        <v>0</v>
      </c>
      <c r="AA19" s="656">
        <f>IF(AA4="RECIPROCATING",(F72*F52/1000*0.2*AA7*F73)/(10*9.8*1.4)," ")</f>
        <v>0</v>
      </c>
      <c r="AB19" s="76"/>
      <c r="AE19" s="403"/>
      <c r="AF19" s="41" t="s">
        <v>235</v>
      </c>
      <c r="AG19" s="41"/>
      <c r="AI19" s="41"/>
      <c r="AJ19" s="406" t="s">
        <v>242</v>
      </c>
      <c r="AK19" s="41"/>
      <c r="AM19" s="41" t="s">
        <v>253</v>
      </c>
      <c r="AN19" s="41"/>
      <c r="AO19" s="41"/>
      <c r="AP19" s="41"/>
      <c r="AQ19" s="41"/>
      <c r="AR19" s="41"/>
      <c r="AS19" s="400"/>
    </row>
    <row r="20" spans="1:45" ht="13.5" customHeight="1">
      <c r="A20" s="62"/>
      <c r="B20" s="63"/>
      <c r="C20" s="92"/>
      <c r="D20" s="92"/>
      <c r="E20" s="92"/>
      <c r="F20" s="92"/>
      <c r="G20" s="92"/>
      <c r="H20" s="511"/>
      <c r="I20" s="63"/>
      <c r="J20" s="63"/>
      <c r="K20" s="63"/>
      <c r="L20" s="63"/>
      <c r="T20" s="83"/>
      <c r="U20" s="75"/>
      <c r="V20" s="346" t="s">
        <v>49</v>
      </c>
      <c r="W20" s="546"/>
      <c r="X20" s="565" t="s">
        <v>46</v>
      </c>
      <c r="Y20" s="563">
        <v>0</v>
      </c>
      <c r="Z20" s="564">
        <v>0</v>
      </c>
      <c r="AA20" s="657">
        <v>0</v>
      </c>
      <c r="AB20" s="76"/>
      <c r="AC20" s="84"/>
      <c r="AD20" s="78"/>
      <c r="AE20" s="403"/>
      <c r="AF20" s="407">
        <f>F11</f>
        <v>0</v>
      </c>
      <c r="AG20" s="41" t="s">
        <v>236</v>
      </c>
      <c r="AI20" s="41"/>
      <c r="AJ20" s="407">
        <f>D51</f>
        <v>5</v>
      </c>
      <c r="AK20" s="41" t="s">
        <v>246</v>
      </c>
      <c r="AL20" s="399"/>
      <c r="AM20" s="41" t="str">
        <f>M2</f>
        <v>71-105-JA/B</v>
      </c>
      <c r="AN20" s="41"/>
      <c r="AO20" s="41"/>
      <c r="AP20" s="41"/>
      <c r="AQ20" s="41"/>
      <c r="AR20" s="41"/>
      <c r="AS20" s="400"/>
    </row>
    <row r="21" spans="1:45" ht="13.5" customHeight="1">
      <c r="A21" s="85"/>
      <c r="B21" s="64"/>
      <c r="C21" s="512"/>
      <c r="D21" s="92"/>
      <c r="E21" s="92"/>
      <c r="F21" s="92"/>
      <c r="G21" s="92"/>
      <c r="H21" s="92"/>
      <c r="I21" s="63"/>
      <c r="J21" s="63"/>
      <c r="K21" s="63"/>
      <c r="L21" s="63"/>
      <c r="M21" s="63"/>
      <c r="N21" s="63"/>
      <c r="T21" s="44"/>
      <c r="U21" s="63"/>
      <c r="V21" s="638" t="s">
        <v>50</v>
      </c>
      <c r="W21" s="639"/>
      <c r="X21" s="640" t="s">
        <v>297</v>
      </c>
      <c r="Y21" s="498">
        <f>IF(Y10=" "," ",Y10-Y17-Y18-Y19-Y20+(Y12-Y14)*(D52/1000)/10)</f>
        <v>3.1848186318347693</v>
      </c>
      <c r="Z21" s="497">
        <f>IF(Y10=" "," ",Y10-Z17-Y18-Y19-Y20+(Y12-Y14)*(D52/1000)/10)</f>
        <v>3.1841585245200705</v>
      </c>
      <c r="AA21" s="497">
        <f>IF(AA10=" "," ",AA10-AA17-AA18-AA19-AA20+(AA12-AA14)*(D52/1000)/10)</f>
        <v>3.1879620000000002</v>
      </c>
      <c r="AB21" s="76"/>
      <c r="AD21" s="78"/>
      <c r="AE21" s="403"/>
      <c r="AF21" s="407">
        <f>E11</f>
        <v>0</v>
      </c>
      <c r="AG21" s="41" t="s">
        <v>236</v>
      </c>
      <c r="AI21" s="41"/>
      <c r="AJ21" s="41"/>
      <c r="AK21" s="41"/>
      <c r="AM21" s="41"/>
      <c r="AN21" s="41"/>
      <c r="AO21" s="41"/>
      <c r="AP21" s="41"/>
      <c r="AQ21" s="41"/>
      <c r="AR21" s="41"/>
      <c r="AS21" s="400"/>
    </row>
    <row r="22" spans="1:45" ht="13.5" customHeight="1">
      <c r="A22" s="62"/>
      <c r="B22" s="63"/>
      <c r="C22" s="63"/>
      <c r="D22" s="63"/>
      <c r="E22" s="63"/>
      <c r="F22" s="63"/>
      <c r="G22" s="63"/>
      <c r="H22" s="63"/>
      <c r="I22" s="63"/>
      <c r="J22" s="63"/>
      <c r="K22" s="63"/>
      <c r="L22" s="63"/>
      <c r="T22" s="86"/>
      <c r="U22" s="87"/>
      <c r="V22" s="341" t="s">
        <v>51</v>
      </c>
      <c r="W22" s="491"/>
      <c r="X22" s="554" t="s">
        <v>297</v>
      </c>
      <c r="Y22" s="500">
        <f>Y11+(Y13-Y14)*(D52/1000)/10</f>
        <v>11.2391624</v>
      </c>
      <c r="Z22" s="494">
        <f>Y11+(Y13-Y14)*(D52/1000)/10</f>
        <v>11.2391624</v>
      </c>
      <c r="AA22" s="658">
        <f>AA11+(AA13-AA14)*(D52/1000)/10</f>
        <v>11.2391624</v>
      </c>
      <c r="AB22" s="74"/>
      <c r="AC22" s="84"/>
      <c r="AE22" s="403"/>
      <c r="AF22" s="41" t="s">
        <v>233</v>
      </c>
      <c r="AG22" s="41"/>
      <c r="AI22" s="41"/>
      <c r="AJ22" s="406" t="s">
        <v>243</v>
      </c>
      <c r="AK22" s="41"/>
      <c r="AM22" s="41" t="s">
        <v>254</v>
      </c>
      <c r="AN22" s="41"/>
      <c r="AO22" s="41"/>
      <c r="AP22" s="41"/>
      <c r="AQ22" s="41"/>
      <c r="AR22" s="41"/>
      <c r="AS22" s="400"/>
    </row>
    <row r="23" spans="1:45" ht="13.5" customHeight="1" thickBot="1">
      <c r="A23" s="62"/>
      <c r="B23" s="63"/>
      <c r="C23" s="63"/>
      <c r="D23" s="63"/>
      <c r="E23" s="63"/>
      <c r="F23" s="63"/>
      <c r="G23" s="63"/>
      <c r="H23" s="63"/>
      <c r="I23" s="63"/>
      <c r="J23" s="63"/>
      <c r="K23" s="63"/>
      <c r="L23" s="63"/>
      <c r="T23" s="67"/>
      <c r="U23" s="63"/>
      <c r="V23" s="346" t="s">
        <v>52</v>
      </c>
      <c r="W23" s="546"/>
      <c r="X23" s="554" t="s">
        <v>77</v>
      </c>
      <c r="Y23" s="641">
        <f>IF(Y10=" "," ",(Y21+1.033-Y15)*10/(D52/1000)-Y16)</f>
        <v>55.748032620408068</v>
      </c>
      <c r="Z23" s="525">
        <f>IF(Y10=" "," ",(Z21+1.033-Y15)*10/(D52/1000)-Y16)</f>
        <v>55.738261937834089</v>
      </c>
      <c r="AA23" s="659">
        <f>IF(AA10=" "," ",(AA21+1.033-AA15)*10/(D52/1000)-AA16)</f>
        <v>55.794559680284195</v>
      </c>
      <c r="AB23" s="76"/>
      <c r="AC23" s="84"/>
      <c r="AE23" s="403"/>
      <c r="AF23" s="412">
        <f>IF(AG23="barG",Z21*0.980665,Z21)</f>
        <v>3.1225928194484749</v>
      </c>
      <c r="AG23" s="41" t="s">
        <v>247</v>
      </c>
      <c r="AI23" s="41"/>
      <c r="AJ23" s="412">
        <f>IF(AK23="barG",Y15*0.980665,Y15)</f>
        <v>0.40299991582942007</v>
      </c>
      <c r="AK23" s="41" t="str">
        <f>AG23</f>
        <v>barG</v>
      </c>
      <c r="AL23" s="399"/>
      <c r="AM23" s="41">
        <f>J3</f>
        <v>0</v>
      </c>
      <c r="AN23" s="41"/>
      <c r="AO23" s="41"/>
      <c r="AP23" s="41"/>
      <c r="AQ23" s="41"/>
      <c r="AR23" s="41"/>
      <c r="AS23" s="400"/>
    </row>
    <row r="24" spans="1:45" ht="13.5" customHeight="1">
      <c r="A24" s="62"/>
      <c r="B24" s="63"/>
      <c r="C24" s="63"/>
      <c r="D24" s="63"/>
      <c r="E24" s="63"/>
      <c r="F24" s="63"/>
      <c r="G24" s="63"/>
      <c r="H24" s="63"/>
      <c r="I24" s="63"/>
      <c r="J24" s="88"/>
      <c r="K24" s="63"/>
      <c r="L24" s="63"/>
      <c r="T24" s="63"/>
      <c r="U24" s="63"/>
      <c r="V24" s="350" t="s">
        <v>53</v>
      </c>
      <c r="W24" s="549"/>
      <c r="X24" s="351"/>
      <c r="Y24" s="352"/>
      <c r="Z24" s="353"/>
      <c r="AA24" s="353"/>
      <c r="AE24" s="403"/>
      <c r="AF24" s="412">
        <f>IF(AG24="barG",Z22*0.980665,Z22)</f>
        <v>11.021853194996</v>
      </c>
      <c r="AG24" s="41" t="str">
        <f>AG23</f>
        <v>barG</v>
      </c>
      <c r="AI24" s="41"/>
      <c r="AJ24" s="41"/>
      <c r="AK24" s="41"/>
      <c r="AL24" s="41"/>
      <c r="AM24" s="41"/>
      <c r="AN24" s="41"/>
      <c r="AO24" s="41"/>
      <c r="AP24" s="41"/>
      <c r="AQ24" s="41"/>
      <c r="AR24" s="41"/>
      <c r="AS24" s="400"/>
    </row>
    <row r="25" spans="1:45" ht="13.5" customHeight="1">
      <c r="A25" s="62"/>
      <c r="B25" s="63"/>
      <c r="C25" s="63"/>
      <c r="D25" s="63"/>
      <c r="E25" s="63"/>
      <c r="F25" s="63"/>
      <c r="G25" s="73"/>
      <c r="H25" s="63"/>
      <c r="I25" s="67"/>
      <c r="J25" s="63"/>
      <c r="K25" s="67"/>
      <c r="L25" s="63"/>
      <c r="U25" s="63"/>
      <c r="V25" s="342" t="s">
        <v>40</v>
      </c>
      <c r="W25" s="544"/>
      <c r="X25" s="566" t="s">
        <v>285</v>
      </c>
      <c r="Y25" s="569">
        <v>3.87</v>
      </c>
      <c r="Z25" s="673">
        <v>3.87</v>
      </c>
      <c r="AA25" s="660">
        <v>3.87</v>
      </c>
      <c r="AE25" s="403"/>
      <c r="AF25" s="41"/>
      <c r="AG25" s="41"/>
      <c r="AI25" s="41"/>
      <c r="AJ25" s="41"/>
      <c r="AK25" s="41"/>
      <c r="AL25" s="41"/>
      <c r="AM25" s="41"/>
      <c r="AN25" s="41"/>
      <c r="AO25" s="41"/>
      <c r="AP25" s="41"/>
      <c r="AQ25" s="41"/>
      <c r="AR25" s="41"/>
      <c r="AS25" s="400"/>
    </row>
    <row r="26" spans="1:45" ht="13.5" customHeight="1">
      <c r="A26" s="62"/>
      <c r="B26" s="63"/>
      <c r="C26" s="63"/>
      <c r="D26" s="64"/>
      <c r="E26" s="72"/>
      <c r="F26" s="63"/>
      <c r="G26" s="63"/>
      <c r="H26" s="63"/>
      <c r="I26" s="63"/>
      <c r="J26" s="63"/>
      <c r="K26" s="63"/>
      <c r="L26" s="63"/>
      <c r="T26" s="63"/>
      <c r="U26" s="63"/>
      <c r="V26" s="346" t="s">
        <v>290</v>
      </c>
      <c r="W26" s="546"/>
      <c r="X26" s="566" t="s">
        <v>42</v>
      </c>
      <c r="Y26" s="354">
        <f>SUM(G65:Z65)+Y14</f>
        <v>5.18</v>
      </c>
      <c r="Z26" s="572">
        <f>Y26</f>
        <v>5.18</v>
      </c>
      <c r="AA26" s="572">
        <f>Z26</f>
        <v>5.18</v>
      </c>
      <c r="AE26" s="403"/>
      <c r="AF26" s="41" t="s">
        <v>234</v>
      </c>
      <c r="AG26" s="41"/>
      <c r="AI26" s="41"/>
      <c r="AJ26" s="406" t="s">
        <v>244</v>
      </c>
      <c r="AK26" s="41"/>
      <c r="AL26" s="41"/>
      <c r="AM26" s="41" t="s">
        <v>261</v>
      </c>
      <c r="AN26" s="41"/>
      <c r="AO26" s="41"/>
      <c r="AP26" s="41"/>
      <c r="AQ26" s="41"/>
      <c r="AR26" s="41"/>
      <c r="AS26" s="400"/>
    </row>
    <row r="27" spans="1:45" ht="13.5" customHeight="1">
      <c r="A27" s="62"/>
      <c r="B27" s="63"/>
      <c r="C27" s="63"/>
      <c r="D27" s="64"/>
      <c r="E27" s="72"/>
      <c r="F27" s="63"/>
      <c r="G27" s="63"/>
      <c r="H27" s="63"/>
      <c r="I27" s="63"/>
      <c r="J27" s="63"/>
      <c r="K27" s="63"/>
      <c r="L27" s="63"/>
      <c r="T27" s="63"/>
      <c r="U27" s="63"/>
      <c r="V27" s="346" t="s">
        <v>56</v>
      </c>
      <c r="W27" s="546"/>
      <c r="X27" s="567" t="s">
        <v>46</v>
      </c>
      <c r="Y27" s="573">
        <f>SUM(G76:Z76)</f>
        <v>0.28803860000000003</v>
      </c>
      <c r="Z27" s="578">
        <f>Y27</f>
        <v>0.28803860000000003</v>
      </c>
      <c r="AA27" s="578">
        <f>Z27</f>
        <v>0.28803860000000003</v>
      </c>
      <c r="AE27" s="403"/>
      <c r="AF27" s="412">
        <f>IF(AG27="barG",Y35*0.980665,Y35)</f>
        <v>7.2256377865000001</v>
      </c>
      <c r="AG27" s="41" t="str">
        <f>AG24</f>
        <v>barG</v>
      </c>
      <c r="AI27" s="41"/>
      <c r="AJ27" s="408">
        <f>D52/1000</f>
        <v>0.67559999999999998</v>
      </c>
      <c r="AK27" s="41"/>
      <c r="AL27" s="399"/>
      <c r="AM27" s="424">
        <f>IF(AG27="barG",Y19*0.980665,Y19)</f>
        <v>0</v>
      </c>
      <c r="AN27" s="41"/>
      <c r="AO27" s="41"/>
      <c r="AP27" s="41"/>
      <c r="AQ27" s="41"/>
      <c r="AR27" s="41"/>
      <c r="AS27" s="400"/>
    </row>
    <row r="28" spans="1:45" ht="13.5" customHeight="1">
      <c r="A28" s="62"/>
      <c r="B28" s="63"/>
      <c r="C28" s="63"/>
      <c r="D28" s="63"/>
      <c r="E28" s="63"/>
      <c r="F28" s="63"/>
      <c r="G28" s="63"/>
      <c r="H28" s="63"/>
      <c r="I28" s="63"/>
      <c r="V28" s="346" t="s">
        <v>55</v>
      </c>
      <c r="W28" s="546"/>
      <c r="X28" s="554" t="s">
        <v>298</v>
      </c>
      <c r="Y28" s="524">
        <f>Z28*(100/(100+$D$49))^2</f>
        <v>0.42976756638706698</v>
      </c>
      <c r="Z28" s="526">
        <f>SUM(G75:Z75)</f>
        <v>0.52001875532835107</v>
      </c>
      <c r="AA28" s="574">
        <f>SUM(H75:AA75)</f>
        <v>0.50677419703434889</v>
      </c>
      <c r="AC28" s="89"/>
      <c r="AD28" s="89"/>
      <c r="AE28" s="403"/>
      <c r="AF28" s="41"/>
      <c r="AG28" s="41"/>
      <c r="AI28" s="41"/>
      <c r="AJ28" s="41"/>
      <c r="AK28" s="41"/>
      <c r="AL28" s="41"/>
      <c r="AM28" s="41"/>
      <c r="AN28" s="41"/>
      <c r="AO28" s="41"/>
      <c r="AP28" s="41"/>
      <c r="AQ28" s="41"/>
      <c r="AR28" s="41"/>
      <c r="AS28" s="400"/>
    </row>
    <row r="29" spans="1:45" ht="13.5" customHeight="1">
      <c r="A29" s="90"/>
      <c r="B29" s="91"/>
      <c r="C29" s="92"/>
      <c r="D29" s="92"/>
      <c r="E29" s="93"/>
      <c r="F29" s="93"/>
      <c r="G29" s="92"/>
      <c r="H29" s="92"/>
      <c r="I29" s="63"/>
      <c r="J29" s="63"/>
      <c r="K29" s="63"/>
      <c r="L29" s="64"/>
      <c r="Q29" s="63"/>
      <c r="R29" s="63" t="s">
        <v>54</v>
      </c>
      <c r="S29" s="63"/>
      <c r="T29" s="63"/>
      <c r="U29" s="63"/>
      <c r="V29" s="346" t="s">
        <v>57</v>
      </c>
      <c r="W29" s="546"/>
      <c r="X29" s="554" t="s">
        <v>34</v>
      </c>
      <c r="Y29" s="524">
        <f>Z29*(100/(100+$D$49))^2</f>
        <v>0.81818181818181801</v>
      </c>
      <c r="Z29" s="499">
        <f>SUM(G78:Z78)</f>
        <v>0.98999999999999988</v>
      </c>
      <c r="AA29" s="661">
        <f>SUM(H78:AA78)</f>
        <v>0.98999999999999988</v>
      </c>
      <c r="AB29" s="79"/>
      <c r="AC29" s="80"/>
      <c r="AE29" s="403"/>
      <c r="AF29" s="41" t="s">
        <v>237</v>
      </c>
      <c r="AG29" s="41"/>
      <c r="AI29" s="41"/>
      <c r="AJ29" s="41" t="s">
        <v>245</v>
      </c>
      <c r="AK29" s="41"/>
      <c r="AL29" s="41"/>
      <c r="AM29" s="41"/>
      <c r="AN29" s="41"/>
      <c r="AO29" s="41"/>
      <c r="AP29" s="41"/>
      <c r="AQ29" s="41"/>
      <c r="AR29" s="41"/>
      <c r="AS29" s="400"/>
    </row>
    <row r="30" spans="1:45" ht="13.5" customHeight="1">
      <c r="A30" s="94"/>
      <c r="B30" s="95"/>
      <c r="C30" s="92"/>
      <c r="D30" s="93"/>
      <c r="E30" s="95"/>
      <c r="F30" s="96"/>
      <c r="G30" s="96"/>
      <c r="H30" s="93"/>
      <c r="I30" s="97"/>
      <c r="J30" s="73"/>
      <c r="K30" s="73"/>
      <c r="L30" s="73"/>
      <c r="Q30" s="63"/>
      <c r="R30" s="63"/>
      <c r="S30" s="63"/>
      <c r="T30" s="63"/>
      <c r="U30" s="63"/>
      <c r="V30" s="346" t="s">
        <v>49</v>
      </c>
      <c r="W30" s="546"/>
      <c r="X30" s="554" t="s">
        <v>34</v>
      </c>
      <c r="Y30" s="524">
        <f>Z30*(100/(100+D61))^2</f>
        <v>0.31149875400498395</v>
      </c>
      <c r="Z30" s="527">
        <v>0.35</v>
      </c>
      <c r="AA30" s="662">
        <v>0.35</v>
      </c>
      <c r="AB30" s="82"/>
      <c r="AC30" s="80"/>
      <c r="AE30" s="403"/>
      <c r="AF30" s="412">
        <f>Z23</f>
        <v>55.738261937834089</v>
      </c>
      <c r="AG30" s="41" t="s">
        <v>239</v>
      </c>
      <c r="AI30" s="41"/>
      <c r="AJ30" s="408">
        <f>D53</f>
        <v>0.35799999999999998</v>
      </c>
      <c r="AK30" s="41"/>
      <c r="AL30" s="399"/>
      <c r="AM30" s="41"/>
      <c r="AN30" s="41"/>
      <c r="AO30" s="41"/>
      <c r="AP30" s="41"/>
      <c r="AQ30" s="41"/>
      <c r="AR30" s="41"/>
      <c r="AS30" s="400"/>
    </row>
    <row r="31" spans="1:45" ht="13.5" customHeight="1">
      <c r="A31" s="40"/>
      <c r="B31" s="41"/>
      <c r="C31" s="41"/>
      <c r="D31" s="92"/>
      <c r="E31" s="99"/>
      <c r="F31" s="96"/>
      <c r="G31" s="101"/>
      <c r="H31" s="41"/>
      <c r="L31" s="63"/>
      <c r="V31" s="344" t="s">
        <v>45</v>
      </c>
      <c r="W31" s="545"/>
      <c r="X31" s="565" t="s">
        <v>46</v>
      </c>
      <c r="Y31" s="575"/>
      <c r="Z31" s="576"/>
      <c r="AA31" s="576"/>
      <c r="AB31" s="102"/>
      <c r="AC31" s="103"/>
      <c r="AD31" s="89"/>
      <c r="AE31" s="403"/>
      <c r="AF31" s="41"/>
      <c r="AG31" s="41"/>
      <c r="AI31" s="41"/>
      <c r="AJ31" s="41"/>
      <c r="AK31" s="41"/>
      <c r="AL31" s="41"/>
      <c r="AM31" s="41"/>
      <c r="AN31" s="41"/>
      <c r="AO31" s="41"/>
      <c r="AP31" s="41"/>
      <c r="AQ31" s="41"/>
      <c r="AR31" s="41"/>
      <c r="AS31" s="400"/>
    </row>
    <row r="32" spans="1:45" ht="13.5" customHeight="1">
      <c r="A32" s="40"/>
      <c r="B32" s="41"/>
      <c r="C32" s="41"/>
      <c r="D32" s="92"/>
      <c r="E32" s="99"/>
      <c r="F32" s="96"/>
      <c r="G32" s="101"/>
      <c r="H32" s="88"/>
      <c r="R32" s="63"/>
      <c r="S32" s="63"/>
      <c r="T32" s="63"/>
      <c r="U32" s="63"/>
      <c r="V32" s="346" t="s">
        <v>302</v>
      </c>
      <c r="W32" s="546"/>
      <c r="X32" s="554" t="s">
        <v>34</v>
      </c>
      <c r="Y32" s="637">
        <v>0.61099999999999999</v>
      </c>
      <c r="Z32" s="674">
        <v>0.6092592446716486</v>
      </c>
      <c r="AA32" s="440"/>
      <c r="AB32" s="41"/>
      <c r="AC32" s="104"/>
      <c r="AD32" s="41"/>
      <c r="AE32" s="403"/>
      <c r="AF32" s="41" t="s">
        <v>240</v>
      </c>
      <c r="AG32" s="41"/>
      <c r="AI32" s="41"/>
      <c r="AJ32" s="41" t="s">
        <v>250</v>
      </c>
      <c r="AK32" s="41"/>
      <c r="AL32" s="41"/>
      <c r="AM32" s="41"/>
      <c r="AN32" s="41"/>
      <c r="AO32" s="41"/>
      <c r="AP32" s="41"/>
      <c r="AQ32" s="41"/>
      <c r="AR32" s="41"/>
      <c r="AS32" s="400"/>
    </row>
    <row r="33" spans="1:45" ht="13.5" customHeight="1">
      <c r="A33" s="40"/>
      <c r="B33" s="41"/>
      <c r="C33" s="41"/>
      <c r="D33" s="96"/>
      <c r="E33" s="99"/>
      <c r="F33" s="92"/>
      <c r="G33" s="105"/>
      <c r="H33" s="63"/>
      <c r="I33" s="67"/>
      <c r="J33" s="63"/>
      <c r="R33" s="63"/>
      <c r="S33" s="106"/>
      <c r="T33" s="106"/>
      <c r="U33" s="63"/>
      <c r="V33" s="346" t="s">
        <v>286</v>
      </c>
      <c r="W33" s="546"/>
      <c r="X33" s="554" t="s">
        <v>296</v>
      </c>
      <c r="Y33" s="573">
        <f>SUM(Y28:Y32)</f>
        <v>2.1704481385738692</v>
      </c>
      <c r="Z33" s="526">
        <f>SUM(Z28:Z32)</f>
        <v>2.4692779999999996</v>
      </c>
      <c r="AA33" s="574">
        <f>SUM(AA28:AA31)</f>
        <v>1.8467741970343488</v>
      </c>
      <c r="AB33" s="41"/>
      <c r="AC33" s="107"/>
      <c r="AD33" s="41"/>
      <c r="AE33" s="403"/>
      <c r="AF33" s="407">
        <f>Z38</f>
        <v>5.1387734352980621</v>
      </c>
      <c r="AG33" s="41" t="s">
        <v>241</v>
      </c>
      <c r="AI33" s="41"/>
      <c r="AJ33" s="412">
        <f>IF(AK33="barG",Z41*0.980665,Z41)</f>
        <v>15.124898162047526</v>
      </c>
      <c r="AK33" s="41" t="str">
        <f>AK23</f>
        <v>barG</v>
      </c>
      <c r="AL33" s="399"/>
      <c r="AM33" s="41"/>
      <c r="AN33" s="41"/>
      <c r="AO33" s="41"/>
      <c r="AP33" s="41"/>
      <c r="AQ33" s="41"/>
      <c r="AR33" s="41"/>
      <c r="AS33" s="400"/>
    </row>
    <row r="34" spans="1:45" ht="13.5" customHeight="1">
      <c r="A34" s="40"/>
      <c r="B34" s="41"/>
      <c r="C34" s="41"/>
      <c r="D34" s="96"/>
      <c r="E34" s="99"/>
      <c r="F34" s="96"/>
      <c r="G34" s="96"/>
      <c r="H34" s="63"/>
      <c r="I34" s="63"/>
      <c r="J34" s="63"/>
      <c r="R34" s="63"/>
      <c r="S34" s="108"/>
      <c r="T34" s="108"/>
      <c r="U34" s="63"/>
      <c r="V34" s="346" t="s">
        <v>303</v>
      </c>
      <c r="W34" s="546"/>
      <c r="X34" s="554" t="s">
        <v>34</v>
      </c>
      <c r="Y34" s="528">
        <f>Y35-Y25-Y33-Y27</f>
        <v>1.0396132614261306</v>
      </c>
      <c r="Z34" s="577">
        <f>Z33*0.3</f>
        <v>0.74078339999999987</v>
      </c>
      <c r="AA34" s="663">
        <f>AA33*0.3</f>
        <v>0.55403225911030463</v>
      </c>
      <c r="AB34" s="96"/>
      <c r="AC34" s="109"/>
      <c r="AE34" s="413"/>
      <c r="AF34" s="409"/>
      <c r="AG34" s="409"/>
      <c r="AH34" s="409"/>
      <c r="AI34" s="409"/>
      <c r="AJ34" s="409"/>
      <c r="AK34" s="409"/>
      <c r="AL34" s="409"/>
      <c r="AM34" s="409"/>
      <c r="AN34" s="409"/>
      <c r="AO34" s="409"/>
      <c r="AP34" s="409"/>
      <c r="AQ34" s="409"/>
      <c r="AR34" s="409"/>
      <c r="AS34" s="410"/>
    </row>
    <row r="35" spans="1:45" ht="13.5" customHeight="1">
      <c r="A35" s="98"/>
      <c r="B35" s="99"/>
      <c r="C35" s="100"/>
      <c r="D35" s="96"/>
      <c r="E35" s="372"/>
      <c r="F35" s="92"/>
      <c r="G35" s="92"/>
      <c r="H35" s="41"/>
      <c r="L35" s="41"/>
      <c r="R35" s="41"/>
      <c r="S35" s="41"/>
      <c r="T35" s="41"/>
      <c r="U35" s="41"/>
      <c r="V35" s="642" t="s">
        <v>59</v>
      </c>
      <c r="W35" s="643"/>
      <c r="X35" s="553" t="s">
        <v>34</v>
      </c>
      <c r="Y35" s="644">
        <f>Z35</f>
        <v>7.3681000000000001</v>
      </c>
      <c r="Z35" s="675">
        <f>Z25+Z27+Z33+Z34</f>
        <v>7.3681000000000001</v>
      </c>
      <c r="AA35" s="664">
        <f>AA25+AA27+AA33+AA34</f>
        <v>6.5588450561446532</v>
      </c>
    </row>
    <row r="36" spans="1:45" ht="13.5" customHeight="1">
      <c r="A36" s="98"/>
      <c r="B36" s="99"/>
      <c r="C36" s="100"/>
      <c r="D36" s="92"/>
      <c r="E36" s="373"/>
      <c r="F36" s="112"/>
      <c r="G36" s="112"/>
      <c r="H36" s="41"/>
      <c r="L36" s="41"/>
      <c r="S36" s="41"/>
      <c r="T36" s="41"/>
      <c r="U36" s="41"/>
      <c r="V36" s="346" t="s">
        <v>58</v>
      </c>
      <c r="W36" s="546"/>
      <c r="X36" s="567" t="s">
        <v>46</v>
      </c>
      <c r="Y36" s="579">
        <f>Z36</f>
        <v>4.18394147547993</v>
      </c>
      <c r="Z36" s="676">
        <f>Z35-Z21</f>
        <v>4.18394147547993</v>
      </c>
      <c r="AA36" s="665">
        <f>AA35-AA21</f>
        <v>3.370883056144653</v>
      </c>
    </row>
    <row r="37" spans="1:45" ht="13.5" customHeight="1">
      <c r="A37" s="98"/>
      <c r="B37" s="99"/>
      <c r="C37" s="96"/>
      <c r="D37" s="371"/>
      <c r="E37" s="371"/>
      <c r="F37" s="96"/>
      <c r="G37" s="96"/>
      <c r="H37" s="41"/>
      <c r="L37" s="41"/>
      <c r="Q37" s="41"/>
      <c r="R37" s="41"/>
      <c r="S37" s="41"/>
      <c r="T37" s="41"/>
      <c r="U37" s="41"/>
      <c r="V37" s="346" t="s">
        <v>60</v>
      </c>
      <c r="W37" s="546"/>
      <c r="X37" s="568" t="s">
        <v>287</v>
      </c>
      <c r="Y37" s="580">
        <f>Z37</f>
        <v>61.929269915333485</v>
      </c>
      <c r="Z37" s="677">
        <f>Z36*10/(D52/1000)</f>
        <v>61.929269915333485</v>
      </c>
      <c r="AA37" s="666">
        <f>AA36*10/(D52/1000)</f>
        <v>49.894657432573318</v>
      </c>
      <c r="AB37" s="114"/>
      <c r="AC37" s="89"/>
      <c r="AD37" s="89"/>
      <c r="AE37" s="2" t="s">
        <v>262</v>
      </c>
    </row>
    <row r="38" spans="1:45" ht="13.5" customHeight="1">
      <c r="A38" s="40"/>
      <c r="B38" s="41"/>
      <c r="C38" s="41"/>
      <c r="D38" s="41"/>
      <c r="E38" s="358"/>
      <c r="F38" s="358"/>
      <c r="G38" s="41"/>
      <c r="H38" s="41"/>
      <c r="I38" s="41"/>
      <c r="J38" s="41"/>
      <c r="K38" s="41"/>
      <c r="L38" s="41"/>
      <c r="M38" s="41"/>
      <c r="N38" s="41"/>
      <c r="O38" s="41"/>
      <c r="P38" s="41"/>
      <c r="Q38" s="41"/>
      <c r="R38" s="41"/>
      <c r="S38" s="41"/>
      <c r="T38" s="41"/>
      <c r="U38" s="96"/>
      <c r="V38" s="346" t="s">
        <v>61</v>
      </c>
      <c r="W38" s="546"/>
      <c r="X38" s="568" t="s">
        <v>288</v>
      </c>
      <c r="Y38" s="355">
        <f>Y37*Y9*D52/367200</f>
        <v>4.6716122139073297</v>
      </c>
      <c r="Z38" s="678">
        <f>Z37*Z9*D52/367200</f>
        <v>5.1387734352980621</v>
      </c>
      <c r="AA38" s="667">
        <f>AA37*AA9*D52/367200</f>
        <v>4.1401641021820232</v>
      </c>
      <c r="AB38" s="102"/>
      <c r="AC38" s="103"/>
      <c r="AD38" s="89"/>
    </row>
    <row r="39" spans="1:45" ht="13.5" customHeight="1">
      <c r="A39" s="40"/>
      <c r="B39" s="41"/>
      <c r="C39" s="41"/>
      <c r="D39" s="41"/>
      <c r="E39" s="41"/>
      <c r="F39" s="41"/>
      <c r="G39" s="41"/>
      <c r="H39" s="41"/>
      <c r="I39" s="41"/>
      <c r="J39" s="41"/>
      <c r="K39" s="41"/>
      <c r="L39" s="41"/>
      <c r="M39" s="41"/>
      <c r="N39" s="41"/>
      <c r="O39" s="41"/>
      <c r="P39" s="41"/>
      <c r="Q39" s="41"/>
      <c r="R39" s="41"/>
      <c r="S39" s="41"/>
      <c r="T39" s="41"/>
      <c r="U39" s="96"/>
      <c r="V39" s="391" t="s">
        <v>292</v>
      </c>
      <c r="W39" s="550"/>
      <c r="X39" s="567" t="s">
        <v>285</v>
      </c>
      <c r="Y39" s="356">
        <f>IF($Y$4="CENTRIFUGAL",IF($Y$5="Turbine",Y10+((Y13-Y14)*($D$52/10000)+(1.25*(1.05)^2*Y36)),Y10+(1.25*Y36)+((Y13-Y14)*($D$52/10000))),Y35*1.1)</f>
        <v>8.6290892443499114</v>
      </c>
      <c r="Z39" s="679">
        <f>IF($Y$4="CENTRIFUGAL",IF($Y$5="Turbine",Z10+((Z13-Z14)*($D$52/10000)+(1.25*(1.05)^2*Z36)),Z10+(1.25*Z36)+((Z13-Z14)*($D$52/10000))),Z35*1.1)</f>
        <v>8.6290892443499114</v>
      </c>
      <c r="AA39" s="668">
        <f>IF($Y$4="CENTRIFUGAL",IF($Y$5="Turbine",AA10+((AA13-AA14)*($D$52/10000)+(1.25*(1.05)^2*AA36)),AA10+(1.25*AA36)+((AA13-AA14)*($D$52/10000))),AA35*1.1)</f>
        <v>7.6127662201808164</v>
      </c>
      <c r="AB39" s="41"/>
      <c r="AC39" s="104"/>
      <c r="AD39" s="41"/>
      <c r="AE39" s="115"/>
    </row>
    <row r="40" spans="1:45" ht="13.5" customHeight="1">
      <c r="A40" s="40"/>
      <c r="B40" s="41"/>
      <c r="C40" s="41"/>
      <c r="D40" s="41"/>
      <c r="E40" s="41"/>
      <c r="F40" s="41"/>
      <c r="G40" s="41"/>
      <c r="H40" s="41"/>
      <c r="I40" s="41"/>
      <c r="J40" s="41"/>
      <c r="K40" s="41"/>
      <c r="L40" s="41"/>
      <c r="M40" s="41"/>
      <c r="N40" s="41"/>
      <c r="O40" s="41"/>
      <c r="P40" s="41"/>
      <c r="Q40" s="41"/>
      <c r="R40" s="41"/>
      <c r="S40" s="41"/>
      <c r="T40" s="41"/>
      <c r="U40" s="96"/>
      <c r="V40" s="341" t="s">
        <v>291</v>
      </c>
      <c r="W40" s="491"/>
      <c r="X40" s="567" t="s">
        <v>285</v>
      </c>
      <c r="Y40" s="356">
        <f>IF($Y$4="CENTRIFUGAL",IF($Y$5="Turbine",Y11+((Y13-Y14)*($D$52/10000)+(Y36*1.05^2)),Y11+((Y13-Y14)*($D$52/10000)+Y36)),Y35+1.8)</f>
        <v>15.42310387547993</v>
      </c>
      <c r="Z40" s="679">
        <f>IF($Y$4="CENTRIFUGAL",IF($Y$5="Turbine",Z11+((Z13-Z14)*($D$52/10000)+(Z36*1.05^2)),Z11+((Z13-Z14)*($D$52/10000)+Z36)),Z35+1.8)</f>
        <v>15.42310387547993</v>
      </c>
      <c r="AA40" s="668">
        <f>IF($Y$4="CENTRIFUGAL",IF($Y$5="Turbine",AA11+((AA13-AA14)*($D$52/10000)+(AA36*1.05^2)),AA11+((AA13-AA14)*($D$52/10000)+AA36)),AA35+1.8)</f>
        <v>14.610045456144654</v>
      </c>
      <c r="AB40" s="41"/>
      <c r="AC40" s="104"/>
      <c r="AD40" s="41"/>
      <c r="AE40" s="115"/>
    </row>
    <row r="41" spans="1:45" ht="13.5" customHeight="1" thickBot="1">
      <c r="A41" s="40"/>
      <c r="B41" s="41"/>
      <c r="C41" s="41"/>
      <c r="D41" s="41"/>
      <c r="E41" s="41"/>
      <c r="F41" s="41"/>
      <c r="G41" s="41"/>
      <c r="H41" s="41"/>
      <c r="I41" s="41"/>
      <c r="J41" s="41"/>
      <c r="K41" s="41"/>
      <c r="L41" s="41"/>
      <c r="M41" s="41"/>
      <c r="N41" s="41"/>
      <c r="O41" s="41"/>
      <c r="P41" s="41"/>
      <c r="Q41" s="41"/>
      <c r="R41" s="41"/>
      <c r="S41" s="41"/>
      <c r="T41" s="41"/>
      <c r="U41" s="96"/>
      <c r="V41" s="341" t="s">
        <v>62</v>
      </c>
      <c r="W41" s="491"/>
      <c r="X41" s="567" t="s">
        <v>285</v>
      </c>
      <c r="Y41" s="570">
        <f>MAX(Y39,Y40)</f>
        <v>15.42310387547993</v>
      </c>
      <c r="Z41" s="680">
        <f>MAX(Z39,Z40)</f>
        <v>15.42310387547993</v>
      </c>
      <c r="AA41" s="669">
        <f>MAX(AA39,AA40)</f>
        <v>14.610045456144654</v>
      </c>
      <c r="AB41" s="41"/>
      <c r="AC41" s="104"/>
      <c r="AD41" s="41"/>
      <c r="AE41" s="115"/>
    </row>
    <row r="42" spans="1:45" ht="13.5" customHeight="1">
      <c r="A42" s="709" t="s">
        <v>227</v>
      </c>
      <c r="B42" s="710"/>
      <c r="C42" s="711"/>
      <c r="D42" s="41"/>
      <c r="E42" s="41"/>
      <c r="F42" s="41"/>
      <c r="G42" s="41"/>
      <c r="H42" s="41"/>
      <c r="I42" s="41"/>
      <c r="J42" s="41"/>
      <c r="K42" s="41"/>
      <c r="L42" s="41"/>
      <c r="M42" s="41"/>
      <c r="N42" s="41"/>
      <c r="O42" s="41"/>
      <c r="P42" s="41"/>
      <c r="Q42" s="41"/>
      <c r="R42" s="41"/>
      <c r="S42" s="41"/>
      <c r="T42" s="41"/>
      <c r="U42" s="96"/>
      <c r="V42" s="492" t="s">
        <v>63</v>
      </c>
      <c r="W42" s="548"/>
      <c r="X42" s="553" t="s">
        <v>299</v>
      </c>
      <c r="Y42" s="581">
        <f>Y34/Y33*100</f>
        <v>47.898553434648136</v>
      </c>
      <c r="Z42" s="681">
        <f>Z34/Z33*100</f>
        <v>30</v>
      </c>
      <c r="AA42" s="670">
        <f>AA34/AA33*100</f>
        <v>30</v>
      </c>
      <c r="AB42" s="41"/>
      <c r="AC42" s="104"/>
      <c r="AD42" s="41"/>
      <c r="AE42" s="115"/>
    </row>
    <row r="43" spans="1:45" ht="13.5" customHeight="1" thickBot="1">
      <c r="A43" s="712"/>
      <c r="B43" s="713"/>
      <c r="C43" s="714"/>
      <c r="D43" s="116" t="s">
        <v>39</v>
      </c>
      <c r="E43" s="117"/>
      <c r="F43" s="117"/>
      <c r="G43" s="116" t="s">
        <v>53</v>
      </c>
      <c r="H43" s="117"/>
      <c r="I43" s="117"/>
      <c r="J43" s="117"/>
      <c r="K43" s="117"/>
      <c r="L43" s="117"/>
      <c r="M43" s="117"/>
      <c r="N43" s="117"/>
      <c r="O43" s="117"/>
      <c r="P43" s="117"/>
      <c r="Q43" s="117"/>
      <c r="R43" s="117"/>
      <c r="S43" s="117"/>
      <c r="T43" s="117"/>
      <c r="U43" s="118"/>
      <c r="V43" s="321" t="s">
        <v>300</v>
      </c>
      <c r="W43" s="117"/>
      <c r="X43" s="117"/>
      <c r="Y43" s="582"/>
      <c r="Z43" s="682"/>
      <c r="AA43" s="671"/>
      <c r="AB43" s="41"/>
      <c r="AC43" s="107"/>
      <c r="AD43" s="41"/>
      <c r="AE43" s="115"/>
    </row>
    <row r="44" spans="1:45" ht="13.5" customHeight="1">
      <c r="A44" s="357" t="s">
        <v>65</v>
      </c>
      <c r="B44" s="426"/>
      <c r="C44" s="427"/>
      <c r="D44" s="119">
        <v>1</v>
      </c>
      <c r="E44" s="119"/>
      <c r="F44" s="123"/>
      <c r="G44" s="120">
        <v>2</v>
      </c>
      <c r="H44" s="121">
        <v>3</v>
      </c>
      <c r="I44" s="119">
        <v>4</v>
      </c>
      <c r="J44" s="121" t="s">
        <v>225</v>
      </c>
      <c r="K44" s="121">
        <v>5</v>
      </c>
      <c r="L44" s="121" t="s">
        <v>226</v>
      </c>
      <c r="M44" s="119">
        <v>6</v>
      </c>
      <c r="N44" s="119"/>
      <c r="O44" s="119"/>
      <c r="P44" s="122"/>
      <c r="Q44" s="119"/>
      <c r="R44" s="119"/>
      <c r="S44" s="119"/>
      <c r="T44" s="119"/>
      <c r="U44" s="119"/>
      <c r="V44" s="119"/>
      <c r="W44" s="119"/>
      <c r="X44" s="119"/>
      <c r="Y44" s="119"/>
      <c r="Z44" s="683"/>
    </row>
    <row r="45" spans="1:45" ht="13.5" customHeight="1">
      <c r="A45" s="445" t="s">
        <v>209</v>
      </c>
      <c r="B45" s="434"/>
      <c r="C45" s="435"/>
      <c r="D45" s="446" t="str">
        <f t="shared" ref="D45:M45" si="0">IF(D48=OR(0," ")," ",IF(D50=OR(0," "),"LIQUID",IF(D50=1,"VAPOR","2PH")))</f>
        <v>LIQUID</v>
      </c>
      <c r="E45" s="446" t="str">
        <f t="shared" si="0"/>
        <v xml:space="preserve"> </v>
      </c>
      <c r="F45" s="447" t="str">
        <f t="shared" si="0"/>
        <v xml:space="preserve"> </v>
      </c>
      <c r="G45" s="448" t="str">
        <f t="shared" si="0"/>
        <v>LIQUID</v>
      </c>
      <c r="H45" s="446" t="str">
        <f t="shared" si="0"/>
        <v>LIQUID</v>
      </c>
      <c r="I45" s="446" t="str">
        <f t="shared" si="0"/>
        <v>LIQUID</v>
      </c>
      <c r="J45" s="446" t="str">
        <f t="shared" si="0"/>
        <v xml:space="preserve"> </v>
      </c>
      <c r="K45" s="446" t="str">
        <f t="shared" si="0"/>
        <v>LIQUID</v>
      </c>
      <c r="L45" s="446" t="str">
        <f t="shared" si="0"/>
        <v xml:space="preserve"> </v>
      </c>
      <c r="M45" s="446" t="str">
        <f t="shared" si="0"/>
        <v>LIQUID</v>
      </c>
      <c r="N45" s="446" t="str">
        <f t="shared" ref="N45:Z45" si="1">IF(N48=OR(0," ")," ",IF(N50=OR(0," "),"LIQUID",IF(N50=1,"VAPOR","2PH")))</f>
        <v xml:space="preserve"> </v>
      </c>
      <c r="O45" s="446" t="str">
        <f t="shared" si="1"/>
        <v xml:space="preserve"> </v>
      </c>
      <c r="P45" s="446" t="str">
        <f t="shared" si="1"/>
        <v xml:space="preserve"> </v>
      </c>
      <c r="Q45" s="446" t="str">
        <f t="shared" si="1"/>
        <v xml:space="preserve"> </v>
      </c>
      <c r="R45" s="446" t="str">
        <f t="shared" si="1"/>
        <v xml:space="preserve"> </v>
      </c>
      <c r="S45" s="446" t="str">
        <f t="shared" si="1"/>
        <v xml:space="preserve"> </v>
      </c>
      <c r="T45" s="446" t="str">
        <f t="shared" si="1"/>
        <v xml:space="preserve"> </v>
      </c>
      <c r="U45" s="446" t="str">
        <f t="shared" si="1"/>
        <v xml:space="preserve"> </v>
      </c>
      <c r="V45" s="446" t="str">
        <f t="shared" si="1"/>
        <v xml:space="preserve"> </v>
      </c>
      <c r="W45" s="446" t="str">
        <f t="shared" si="1"/>
        <v xml:space="preserve"> </v>
      </c>
      <c r="X45" s="446" t="str">
        <f t="shared" si="1"/>
        <v xml:space="preserve"> </v>
      </c>
      <c r="Y45" s="446" t="str">
        <f t="shared" si="1"/>
        <v xml:space="preserve"> </v>
      </c>
      <c r="Z45" s="602" t="str">
        <f t="shared" si="1"/>
        <v xml:space="preserve"> </v>
      </c>
    </row>
    <row r="46" spans="1:45" ht="13.5" hidden="1" customHeight="1">
      <c r="A46" s="451" t="s">
        <v>263</v>
      </c>
      <c r="B46" s="443"/>
      <c r="C46" s="444"/>
      <c r="D46" s="616"/>
      <c r="E46" s="616"/>
      <c r="F46" s="617"/>
      <c r="G46" s="618"/>
      <c r="H46" s="616"/>
      <c r="I46" s="616"/>
      <c r="J46" s="616"/>
      <c r="K46" s="616"/>
      <c r="L46" s="616"/>
      <c r="M46" s="616"/>
      <c r="N46" s="616"/>
      <c r="O46" s="616"/>
      <c r="P46" s="616"/>
      <c r="Q46" s="616"/>
      <c r="R46" s="616"/>
      <c r="S46" s="616"/>
      <c r="T46" s="616"/>
      <c r="U46" s="616"/>
      <c r="V46" s="616"/>
      <c r="W46" s="616"/>
      <c r="X46" s="616"/>
      <c r="Y46" s="616"/>
      <c r="Z46" s="619"/>
    </row>
    <row r="47" spans="1:45" ht="13.5" hidden="1" customHeight="1">
      <c r="A47" s="449" t="s">
        <v>270</v>
      </c>
      <c r="B47" s="450"/>
      <c r="C47" s="410" t="s">
        <v>172</v>
      </c>
      <c r="D47" s="620"/>
      <c r="E47" s="620"/>
      <c r="F47" s="621"/>
      <c r="G47" s="622"/>
      <c r="H47" s="620"/>
      <c r="I47" s="620"/>
      <c r="J47" s="620"/>
      <c r="K47" s="620"/>
      <c r="L47" s="620"/>
      <c r="M47" s="620"/>
      <c r="N47" s="620"/>
      <c r="O47" s="620"/>
      <c r="P47" s="620"/>
      <c r="Q47" s="620"/>
      <c r="R47" s="620"/>
      <c r="S47" s="620"/>
      <c r="T47" s="620"/>
      <c r="U47" s="620"/>
      <c r="V47" s="620"/>
      <c r="W47" s="620"/>
      <c r="X47" s="620"/>
      <c r="Y47" s="620"/>
      <c r="Z47" s="623"/>
    </row>
    <row r="48" spans="1:45" ht="13.5" customHeight="1">
      <c r="A48" s="290" t="s">
        <v>211</v>
      </c>
      <c r="B48" s="443"/>
      <c r="C48" s="538" t="s">
        <v>284</v>
      </c>
      <c r="D48" s="687">
        <f>IF(E44="",Y9/Y6,Y9)</f>
        <v>41</v>
      </c>
      <c r="E48" s="687" t="str">
        <f>IF(E44=" "," ",IF(E61=D61,D48,D48/Y6))</f>
        <v xml:space="preserve"> </v>
      </c>
      <c r="F48" s="688" t="str">
        <f>IF(AND(E44=" ",F44=" ")," ",D48/Y6)</f>
        <v xml:space="preserve"> </v>
      </c>
      <c r="G48" s="689">
        <v>41</v>
      </c>
      <c r="H48" s="687">
        <f>3933/675.5</f>
        <v>5.8223538119911176</v>
      </c>
      <c r="I48" s="690">
        <f>9876.6/650.2</f>
        <v>15.1900953552753</v>
      </c>
      <c r="J48" s="690"/>
      <c r="K48" s="690">
        <f>9876.6/650.2</f>
        <v>15.1900953552753</v>
      </c>
      <c r="L48" s="690"/>
      <c r="M48" s="690">
        <f>9876.6/650.2</f>
        <v>15.1900953552753</v>
      </c>
      <c r="N48" s="687"/>
      <c r="O48" s="687"/>
      <c r="P48" s="687"/>
      <c r="Q48" s="687"/>
      <c r="R48" s="687"/>
      <c r="S48" s="687"/>
      <c r="T48" s="687"/>
      <c r="U48" s="687"/>
      <c r="V48" s="687"/>
      <c r="W48" s="687"/>
      <c r="X48" s="687"/>
      <c r="Y48" s="687"/>
      <c r="Z48" s="691"/>
    </row>
    <row r="49" spans="1:26" ht="13.5" customHeight="1">
      <c r="A49" s="290" t="s">
        <v>212</v>
      </c>
      <c r="B49" s="443"/>
      <c r="C49" s="444" t="s">
        <v>64</v>
      </c>
      <c r="D49" s="583">
        <v>10</v>
      </c>
      <c r="E49" s="583"/>
      <c r="F49" s="588"/>
      <c r="G49" s="591">
        <v>10</v>
      </c>
      <c r="H49" s="583">
        <v>10</v>
      </c>
      <c r="I49" s="583">
        <v>10</v>
      </c>
      <c r="J49" s="583"/>
      <c r="K49" s="583">
        <v>10</v>
      </c>
      <c r="L49" s="583"/>
      <c r="M49" s="583">
        <v>10</v>
      </c>
      <c r="N49" s="583"/>
      <c r="O49" s="583"/>
      <c r="P49" s="583"/>
      <c r="Q49" s="583"/>
      <c r="R49" s="583"/>
      <c r="S49" s="583"/>
      <c r="T49" s="583"/>
      <c r="U49" s="583"/>
      <c r="V49" s="583"/>
      <c r="W49" s="583"/>
      <c r="X49" s="583"/>
      <c r="Y49" s="583"/>
      <c r="Z49" s="603"/>
    </row>
    <row r="50" spans="1:26" ht="13.5" hidden="1" customHeight="1">
      <c r="A50" s="425" t="s">
        <v>210</v>
      </c>
      <c r="B50" s="436"/>
      <c r="C50" s="437"/>
      <c r="D50" s="584"/>
      <c r="E50" s="584"/>
      <c r="F50" s="589"/>
      <c r="G50" s="592"/>
      <c r="H50" s="584"/>
      <c r="I50" s="584"/>
      <c r="J50" s="584"/>
      <c r="K50" s="584"/>
      <c r="L50" s="584"/>
      <c r="M50" s="584"/>
      <c r="N50" s="584"/>
      <c r="O50" s="584"/>
      <c r="P50" s="584"/>
      <c r="Q50" s="584"/>
      <c r="R50" s="584"/>
      <c r="S50" s="584"/>
      <c r="T50" s="584"/>
      <c r="U50" s="584"/>
      <c r="V50" s="584"/>
      <c r="W50" s="584"/>
      <c r="X50" s="584"/>
      <c r="Y50" s="584"/>
      <c r="Z50" s="604"/>
    </row>
    <row r="51" spans="1:26" ht="13.5" customHeight="1">
      <c r="A51" s="445" t="s">
        <v>213</v>
      </c>
      <c r="B51" s="434"/>
      <c r="C51" s="435" t="s">
        <v>66</v>
      </c>
      <c r="D51" s="583">
        <v>5</v>
      </c>
      <c r="E51" s="583"/>
      <c r="F51" s="588"/>
      <c r="G51" s="591">
        <v>5</v>
      </c>
      <c r="H51" s="583">
        <v>5</v>
      </c>
      <c r="I51" s="583">
        <v>7</v>
      </c>
      <c r="J51" s="583"/>
      <c r="K51" s="583">
        <v>7</v>
      </c>
      <c r="L51" s="583"/>
      <c r="M51" s="583">
        <v>7</v>
      </c>
      <c r="N51" s="583"/>
      <c r="O51" s="583"/>
      <c r="P51" s="583"/>
      <c r="Q51" s="583"/>
      <c r="R51" s="583"/>
      <c r="S51" s="583"/>
      <c r="T51" s="583"/>
      <c r="U51" s="583"/>
      <c r="V51" s="583"/>
      <c r="W51" s="583"/>
      <c r="X51" s="583"/>
      <c r="Y51" s="583"/>
      <c r="Z51" s="603"/>
    </row>
    <row r="52" spans="1:26" ht="13.5" customHeight="1">
      <c r="A52" s="442" t="s">
        <v>264</v>
      </c>
      <c r="B52" s="443"/>
      <c r="C52" s="444" t="s">
        <v>70</v>
      </c>
      <c r="D52" s="583">
        <v>675.6</v>
      </c>
      <c r="E52" s="583"/>
      <c r="F52" s="588"/>
      <c r="G52" s="591">
        <v>675.5</v>
      </c>
      <c r="H52" s="583">
        <v>675.5</v>
      </c>
      <c r="I52" s="583">
        <v>650.20000000000005</v>
      </c>
      <c r="J52" s="583"/>
      <c r="K52" s="583">
        <v>650.20000000000005</v>
      </c>
      <c r="L52" s="583"/>
      <c r="M52" s="583">
        <v>650.20000000000005</v>
      </c>
      <c r="N52" s="583"/>
      <c r="O52" s="583"/>
      <c r="P52" s="583"/>
      <c r="Q52" s="583"/>
      <c r="R52" s="583"/>
      <c r="S52" s="583"/>
      <c r="T52" s="583"/>
      <c r="U52" s="583"/>
      <c r="V52" s="583"/>
      <c r="W52" s="583"/>
      <c r="X52" s="583"/>
      <c r="Y52" s="583"/>
      <c r="Z52" s="603"/>
    </row>
    <row r="53" spans="1:26" ht="13.5" customHeight="1">
      <c r="A53" s="442" t="s">
        <v>266</v>
      </c>
      <c r="B53" s="443"/>
      <c r="C53" s="400" t="s">
        <v>71</v>
      </c>
      <c r="D53" s="585">
        <v>0.35799999999999998</v>
      </c>
      <c r="E53" s="585"/>
      <c r="F53" s="590"/>
      <c r="G53" s="593">
        <v>0.35699999999999998</v>
      </c>
      <c r="H53" s="585">
        <v>0.35699999999999998</v>
      </c>
      <c r="I53" s="585">
        <v>0.214</v>
      </c>
      <c r="J53" s="585"/>
      <c r="K53" s="585">
        <v>0.214</v>
      </c>
      <c r="L53" s="585"/>
      <c r="M53" s="585">
        <v>0.214</v>
      </c>
      <c r="N53" s="583"/>
      <c r="O53" s="583"/>
      <c r="P53" s="583"/>
      <c r="Q53" s="583"/>
      <c r="R53" s="583"/>
      <c r="S53" s="583"/>
      <c r="T53" s="583"/>
      <c r="U53" s="583"/>
      <c r="V53" s="583"/>
      <c r="W53" s="583"/>
      <c r="X53" s="583"/>
      <c r="Y53" s="583"/>
      <c r="Z53" s="603"/>
    </row>
    <row r="54" spans="1:26" ht="13.5" customHeight="1">
      <c r="A54" s="295" t="s">
        <v>272</v>
      </c>
      <c r="B54" s="296"/>
      <c r="C54" s="400"/>
      <c r="D54" s="586"/>
      <c r="E54" s="583"/>
      <c r="F54" s="588"/>
      <c r="G54" s="591"/>
      <c r="H54" s="583"/>
      <c r="I54" s="583"/>
      <c r="J54" s="583"/>
      <c r="K54" s="583"/>
      <c r="L54" s="583"/>
      <c r="M54" s="583"/>
      <c r="N54" s="583"/>
      <c r="O54" s="583"/>
      <c r="P54" s="583"/>
      <c r="Q54" s="583"/>
      <c r="R54" s="583"/>
      <c r="S54" s="583"/>
      <c r="T54" s="583"/>
      <c r="U54" s="583"/>
      <c r="V54" s="583"/>
      <c r="W54" s="583"/>
      <c r="X54" s="583"/>
      <c r="Y54" s="583"/>
      <c r="Z54" s="603"/>
    </row>
    <row r="55" spans="1:26" ht="13.5" customHeight="1">
      <c r="A55" s="295" t="s">
        <v>273</v>
      </c>
      <c r="B55" s="296"/>
      <c r="C55" s="400"/>
      <c r="D55" s="586"/>
      <c r="E55" s="583"/>
      <c r="F55" s="588"/>
      <c r="G55" s="594"/>
      <c r="H55" s="587"/>
      <c r="I55" s="587"/>
      <c r="J55" s="585"/>
      <c r="K55" s="587"/>
      <c r="L55" s="585"/>
      <c r="M55" s="587"/>
      <c r="N55" s="585"/>
      <c r="O55" s="585"/>
      <c r="P55" s="585"/>
      <c r="Q55" s="585"/>
      <c r="R55" s="585"/>
      <c r="S55" s="585"/>
      <c r="T55" s="585"/>
      <c r="U55" s="585"/>
      <c r="V55" s="585"/>
      <c r="W55" s="585"/>
      <c r="X55" s="585"/>
      <c r="Y55" s="585"/>
      <c r="Z55" s="605"/>
    </row>
    <row r="56" spans="1:26" ht="13.5" hidden="1" customHeight="1">
      <c r="A56" s="295" t="s">
        <v>304</v>
      </c>
      <c r="B56" s="296"/>
      <c r="C56" s="410" t="s">
        <v>147</v>
      </c>
      <c r="D56" s="586"/>
      <c r="E56" s="583"/>
      <c r="F56" s="588"/>
      <c r="G56" s="594"/>
      <c r="H56" s="587"/>
      <c r="I56" s="587"/>
      <c r="J56" s="585"/>
      <c r="K56" s="587"/>
      <c r="L56" s="585"/>
      <c r="M56" s="587"/>
      <c r="N56" s="585"/>
      <c r="O56" s="585"/>
      <c r="P56" s="585"/>
      <c r="Q56" s="585"/>
      <c r="R56" s="585"/>
      <c r="S56" s="585"/>
      <c r="T56" s="585"/>
      <c r="U56" s="585"/>
      <c r="V56" s="585"/>
      <c r="W56" s="585"/>
      <c r="X56" s="585"/>
      <c r="Y56" s="585"/>
      <c r="Z56" s="605"/>
    </row>
    <row r="57" spans="1:26" ht="13.5" hidden="1" customHeight="1">
      <c r="A57" s="441" t="s">
        <v>265</v>
      </c>
      <c r="B57" s="434"/>
      <c r="C57" s="435" t="s">
        <v>70</v>
      </c>
      <c r="D57" s="586"/>
      <c r="E57" s="583"/>
      <c r="F57" s="588"/>
      <c r="G57" s="594"/>
      <c r="H57" s="587"/>
      <c r="I57" s="587"/>
      <c r="J57" s="585"/>
      <c r="K57" s="587"/>
      <c r="L57" s="585"/>
      <c r="M57" s="583">
        <v>10</v>
      </c>
      <c r="N57" s="585"/>
      <c r="O57" s="585"/>
      <c r="P57" s="585"/>
      <c r="Q57" s="585"/>
      <c r="R57" s="585"/>
      <c r="S57" s="585"/>
      <c r="T57" s="585"/>
      <c r="U57" s="585"/>
      <c r="V57" s="585"/>
      <c r="W57" s="585"/>
      <c r="X57" s="585"/>
      <c r="Y57" s="585"/>
      <c r="Z57" s="605"/>
    </row>
    <row r="58" spans="1:26" ht="13.5" hidden="1" customHeight="1">
      <c r="A58" s="290" t="s">
        <v>268</v>
      </c>
      <c r="B58" s="41"/>
      <c r="C58" s="41"/>
      <c r="D58" s="586"/>
      <c r="E58" s="583"/>
      <c r="F58" s="588"/>
      <c r="G58" s="591"/>
      <c r="H58" s="583"/>
      <c r="I58" s="583"/>
      <c r="J58" s="583"/>
      <c r="K58" s="583"/>
      <c r="L58" s="583"/>
      <c r="M58" s="585"/>
      <c r="N58" s="583"/>
      <c r="O58" s="583"/>
      <c r="P58" s="583"/>
      <c r="Q58" s="583"/>
      <c r="R58" s="583"/>
      <c r="S58" s="583"/>
      <c r="T58" s="583"/>
      <c r="U58" s="583"/>
      <c r="V58" s="583"/>
      <c r="W58" s="583"/>
      <c r="X58" s="583"/>
      <c r="Y58" s="583"/>
      <c r="Z58" s="603"/>
    </row>
    <row r="59" spans="1:26" ht="13.5" hidden="1" customHeight="1">
      <c r="A59" s="290" t="s">
        <v>269</v>
      </c>
      <c r="B59" s="41"/>
      <c r="C59" s="400"/>
      <c r="D59" s="586"/>
      <c r="E59" s="583"/>
      <c r="F59" s="588"/>
      <c r="G59" s="591"/>
      <c r="H59" s="583"/>
      <c r="I59" s="583"/>
      <c r="J59" s="583"/>
      <c r="K59" s="583"/>
      <c r="L59" s="583"/>
      <c r="M59" s="585"/>
      <c r="N59" s="583"/>
      <c r="O59" s="583"/>
      <c r="P59" s="583"/>
      <c r="Q59" s="583"/>
      <c r="R59" s="583"/>
      <c r="S59" s="583"/>
      <c r="T59" s="583"/>
      <c r="U59" s="583"/>
      <c r="V59" s="583"/>
      <c r="W59" s="583"/>
      <c r="X59" s="583"/>
      <c r="Y59" s="583"/>
      <c r="Z59" s="603"/>
    </row>
    <row r="60" spans="1:26" ht="13.5" hidden="1" customHeight="1">
      <c r="A60" s="452" t="s">
        <v>267</v>
      </c>
      <c r="B60" s="409"/>
      <c r="C60" s="410" t="s">
        <v>71</v>
      </c>
      <c r="D60" s="285"/>
      <c r="E60" s="135"/>
      <c r="F60" s="439"/>
      <c r="G60" s="438"/>
      <c r="H60" s="135"/>
      <c r="I60" s="135"/>
      <c r="J60" s="135"/>
      <c r="K60" s="135"/>
      <c r="L60" s="135"/>
      <c r="M60" s="485">
        <v>1E-3</v>
      </c>
      <c r="N60" s="135"/>
      <c r="O60" s="135"/>
      <c r="P60" s="135"/>
      <c r="Q60" s="135"/>
      <c r="R60" s="135"/>
      <c r="S60" s="135"/>
      <c r="T60" s="135"/>
      <c r="U60" s="135"/>
      <c r="V60" s="135"/>
      <c r="W60" s="135"/>
      <c r="X60" s="135"/>
      <c r="Y60" s="135"/>
      <c r="Z60" s="136"/>
    </row>
    <row r="61" spans="1:26" ht="13.5" customHeight="1">
      <c r="A61" s="445" t="s">
        <v>214</v>
      </c>
      <c r="B61" s="434"/>
      <c r="C61" s="435" t="s">
        <v>67</v>
      </c>
      <c r="D61" s="164">
        <v>6</v>
      </c>
      <c r="E61" s="164"/>
      <c r="F61" s="429"/>
      <c r="G61" s="430">
        <v>4</v>
      </c>
      <c r="H61" s="164">
        <v>1.5</v>
      </c>
      <c r="I61" s="164">
        <v>3</v>
      </c>
      <c r="J61" s="164"/>
      <c r="K61" s="164">
        <v>3</v>
      </c>
      <c r="L61" s="164"/>
      <c r="M61" s="164">
        <v>3</v>
      </c>
      <c r="N61" s="164"/>
      <c r="O61" s="164"/>
      <c r="P61" s="164"/>
      <c r="Q61" s="164"/>
      <c r="R61" s="164"/>
      <c r="S61" s="164"/>
      <c r="T61" s="164"/>
      <c r="U61" s="164"/>
      <c r="V61" s="164"/>
      <c r="W61" s="164"/>
      <c r="X61" s="164"/>
      <c r="Y61" s="164"/>
      <c r="Z61" s="165"/>
    </row>
    <row r="62" spans="1:26" ht="13.5" customHeight="1">
      <c r="A62" s="693" t="s">
        <v>305</v>
      </c>
      <c r="B62" s="133"/>
      <c r="C62" s="694" t="s">
        <v>76</v>
      </c>
      <c r="D62" s="164" t="s">
        <v>5</v>
      </c>
      <c r="E62" s="164"/>
      <c r="F62" s="429"/>
      <c r="G62" s="430" t="s">
        <v>5</v>
      </c>
      <c r="H62" s="164" t="s">
        <v>224</v>
      </c>
      <c r="I62" s="164" t="s">
        <v>5</v>
      </c>
      <c r="J62" s="164"/>
      <c r="K62" s="164" t="s">
        <v>5</v>
      </c>
      <c r="L62" s="164"/>
      <c r="M62" s="692" t="s">
        <v>5</v>
      </c>
      <c r="N62" s="164"/>
      <c r="O62" s="164"/>
      <c r="P62" s="164"/>
      <c r="Q62" s="164"/>
      <c r="R62" s="164"/>
      <c r="S62" s="164"/>
      <c r="T62" s="164"/>
      <c r="U62" s="164"/>
      <c r="V62" s="164"/>
      <c r="W62" s="164"/>
      <c r="X62" s="164"/>
      <c r="Y62" s="164"/>
      <c r="Z62" s="165"/>
    </row>
    <row r="63" spans="1:26" ht="13.5" customHeight="1">
      <c r="A63" s="290" t="s">
        <v>310</v>
      </c>
      <c r="B63" s="443"/>
      <c r="C63" s="444" t="s">
        <v>77</v>
      </c>
      <c r="D63" s="697">
        <f t="shared" ref="D63:S63" si="2">IF(D48=" "," ",INDEX(PIPE,MATCH(D61,PIPE1,0),MATCH(D62,SCH,0)))</f>
        <v>0.15404999999999999</v>
      </c>
      <c r="E63" s="697" t="str">
        <f t="shared" si="2"/>
        <v xml:space="preserve"> </v>
      </c>
      <c r="F63" s="698" t="str">
        <f t="shared" si="2"/>
        <v xml:space="preserve"> </v>
      </c>
      <c r="G63" s="699">
        <f t="shared" si="2"/>
        <v>0.10226</v>
      </c>
      <c r="H63" s="697">
        <f t="shared" si="2"/>
        <v>4.0890000000000003E-2</v>
      </c>
      <c r="I63" s="697">
        <f t="shared" si="2"/>
        <v>7.7929999999999999E-2</v>
      </c>
      <c r="J63" s="697" t="str">
        <f t="shared" si="2"/>
        <v xml:space="preserve"> </v>
      </c>
      <c r="K63" s="697">
        <f t="shared" si="2"/>
        <v>7.7929999999999999E-2</v>
      </c>
      <c r="L63" s="697" t="str">
        <f t="shared" si="2"/>
        <v xml:space="preserve"> </v>
      </c>
      <c r="M63" s="697">
        <f t="shared" si="2"/>
        <v>7.7929999999999999E-2</v>
      </c>
      <c r="N63" s="697" t="str">
        <f t="shared" si="2"/>
        <v xml:space="preserve"> </v>
      </c>
      <c r="O63" s="697" t="str">
        <f t="shared" si="2"/>
        <v xml:space="preserve"> </v>
      </c>
      <c r="P63" s="697" t="str">
        <f t="shared" si="2"/>
        <v xml:space="preserve"> </v>
      </c>
      <c r="Q63" s="697" t="str">
        <f t="shared" si="2"/>
        <v xml:space="preserve"> </v>
      </c>
      <c r="R63" s="697" t="str">
        <f t="shared" si="2"/>
        <v xml:space="preserve"> </v>
      </c>
      <c r="S63" s="697" t="str">
        <f t="shared" si="2"/>
        <v xml:space="preserve"> </v>
      </c>
      <c r="T63" s="697"/>
      <c r="U63" s="697" t="str">
        <f t="shared" ref="U63:Z63" si="3">IF(U48=" "," ",INDEX(PIPE,MATCH(U61,PIPE1,0),MATCH(U62,SCH,0)))</f>
        <v xml:space="preserve"> </v>
      </c>
      <c r="V63" s="697" t="str">
        <f t="shared" si="3"/>
        <v xml:space="preserve"> </v>
      </c>
      <c r="W63" s="697" t="str">
        <f t="shared" si="3"/>
        <v xml:space="preserve"> </v>
      </c>
      <c r="X63" s="697" t="str">
        <f t="shared" si="3"/>
        <v xml:space="preserve"> </v>
      </c>
      <c r="Y63" s="697" t="str">
        <f t="shared" si="3"/>
        <v xml:space="preserve"> </v>
      </c>
      <c r="Z63" s="700" t="str">
        <f t="shared" si="3"/>
        <v xml:space="preserve"> </v>
      </c>
    </row>
    <row r="64" spans="1:26" ht="13.5" customHeight="1">
      <c r="A64" s="290" t="s">
        <v>306</v>
      </c>
      <c r="B64" s="443"/>
      <c r="C64" s="444" t="s">
        <v>77</v>
      </c>
      <c r="D64" s="587">
        <v>9.5</v>
      </c>
      <c r="E64" s="587"/>
      <c r="F64" s="695"/>
      <c r="G64" s="696">
        <v>3.34</v>
      </c>
      <c r="H64" s="587">
        <v>56.9</v>
      </c>
      <c r="I64" s="587">
        <v>16.8</v>
      </c>
      <c r="J64" s="587"/>
      <c r="K64" s="586">
        <v>5.25</v>
      </c>
      <c r="L64" s="587"/>
      <c r="M64" s="587">
        <v>80.5</v>
      </c>
      <c r="N64" s="583"/>
      <c r="O64" s="583"/>
      <c r="P64" s="583"/>
      <c r="Q64" s="583"/>
      <c r="R64" s="583"/>
      <c r="S64" s="583"/>
      <c r="T64" s="583"/>
      <c r="U64" s="583"/>
      <c r="V64" s="583"/>
      <c r="W64" s="583"/>
      <c r="X64" s="583"/>
      <c r="Y64" s="583"/>
      <c r="Z64" s="603"/>
    </row>
    <row r="65" spans="1:30" ht="13.5" customHeight="1">
      <c r="A65" s="442" t="s">
        <v>207</v>
      </c>
      <c r="B65" s="443"/>
      <c r="C65" s="444" t="s">
        <v>77</v>
      </c>
      <c r="D65" s="586">
        <f>Y14-Y12</f>
        <v>-1.4500000000000002</v>
      </c>
      <c r="E65" s="583"/>
      <c r="F65" s="588"/>
      <c r="G65" s="591"/>
      <c r="H65" s="583"/>
      <c r="I65" s="583"/>
      <c r="J65" s="583"/>
      <c r="K65" s="583">
        <v>0.18</v>
      </c>
      <c r="L65" s="583"/>
      <c r="M65" s="583">
        <v>4.25</v>
      </c>
      <c r="N65" s="583"/>
      <c r="O65" s="583"/>
      <c r="P65" s="583"/>
      <c r="Q65" s="583"/>
      <c r="R65" s="583"/>
      <c r="S65" s="583"/>
      <c r="T65" s="583"/>
      <c r="U65" s="583"/>
      <c r="V65" s="583"/>
      <c r="W65" s="583"/>
      <c r="X65" s="583"/>
      <c r="Y65" s="583"/>
      <c r="Z65" s="603"/>
    </row>
    <row r="66" spans="1:30" ht="13.5" customHeight="1">
      <c r="A66" s="290" t="s">
        <v>308</v>
      </c>
      <c r="B66" s="443"/>
      <c r="C66" s="444" t="s">
        <v>76</v>
      </c>
      <c r="D66" s="583" t="s">
        <v>78</v>
      </c>
      <c r="E66" s="583"/>
      <c r="F66" s="588"/>
      <c r="G66" s="591">
        <v>2</v>
      </c>
      <c r="H66" s="583">
        <v>1</v>
      </c>
      <c r="I66" s="583">
        <v>2</v>
      </c>
      <c r="J66" s="583"/>
      <c r="K66" s="705">
        <v>2</v>
      </c>
      <c r="L66" s="583"/>
      <c r="M66" s="583">
        <v>1.5</v>
      </c>
      <c r="N66" s="583"/>
      <c r="O66" s="583"/>
      <c r="P66" s="583"/>
      <c r="Q66" s="583"/>
      <c r="R66" s="583"/>
      <c r="S66" s="583"/>
      <c r="T66" s="583"/>
      <c r="U66" s="583"/>
      <c r="V66" s="583"/>
      <c r="W66" s="583"/>
      <c r="X66" s="583"/>
      <c r="Y66" s="583"/>
      <c r="Z66" s="603"/>
    </row>
    <row r="67" spans="1:30" ht="13.5" customHeight="1">
      <c r="A67" s="452" t="s">
        <v>309</v>
      </c>
      <c r="B67" s="436"/>
      <c r="C67" s="437" t="s">
        <v>307</v>
      </c>
      <c r="D67" s="583">
        <v>4.5719999999999997E-2</v>
      </c>
      <c r="E67" s="583"/>
      <c r="F67" s="588"/>
      <c r="G67" s="593">
        <v>4.5999999999999999E-2</v>
      </c>
      <c r="H67" s="585">
        <v>4.5999999999999999E-2</v>
      </c>
      <c r="I67" s="585">
        <v>4.5999999999999999E-2</v>
      </c>
      <c r="J67" s="585"/>
      <c r="K67" s="585">
        <v>4.5999999999999999E-2</v>
      </c>
      <c r="L67" s="585"/>
      <c r="M67" s="585">
        <v>4.5999999999999999E-2</v>
      </c>
      <c r="N67" s="583"/>
      <c r="O67" s="583"/>
      <c r="P67" s="583"/>
      <c r="Q67" s="583"/>
      <c r="R67" s="583"/>
      <c r="S67" s="583"/>
      <c r="T67" s="583"/>
      <c r="U67" s="583"/>
      <c r="V67" s="583"/>
      <c r="W67" s="583"/>
      <c r="X67" s="583"/>
      <c r="Y67" s="583"/>
      <c r="Z67" s="603"/>
    </row>
    <row r="68" spans="1:30" ht="13.5" customHeight="1">
      <c r="A68" s="441" t="s">
        <v>215</v>
      </c>
      <c r="B68" s="434"/>
      <c r="C68" s="444" t="str">
        <f>C48</f>
        <v>m3/hr</v>
      </c>
      <c r="D68" s="701">
        <f>IF(D48=" "," ",D48*(1+D49/100))/$Y$6</f>
        <v>45.1</v>
      </c>
      <c r="E68" s="701" t="str">
        <f>IF(E48=" "," ",E48*(1+E49/100)/$Y$6)</f>
        <v xml:space="preserve"> </v>
      </c>
      <c r="F68" s="702" t="str">
        <f>IF(F48=" "," ",F48*(1+F49/100)/$Y$6)</f>
        <v xml:space="preserve"> </v>
      </c>
      <c r="G68" s="703">
        <f t="shared" ref="G68:Q68" si="4">IF(G48=" "," ",G48*(1+G49/100))</f>
        <v>45.1</v>
      </c>
      <c r="H68" s="701">
        <f t="shared" si="4"/>
        <v>6.4045891931902297</v>
      </c>
      <c r="I68" s="701">
        <f t="shared" si="4"/>
        <v>16.709104890802831</v>
      </c>
      <c r="J68" s="701" t="str">
        <f t="shared" si="4"/>
        <v xml:space="preserve"> </v>
      </c>
      <c r="K68" s="701">
        <f t="shared" si="4"/>
        <v>16.709104890802831</v>
      </c>
      <c r="L68" s="701" t="str">
        <f t="shared" si="4"/>
        <v xml:space="preserve"> </v>
      </c>
      <c r="M68" s="701">
        <f t="shared" si="4"/>
        <v>16.709104890802831</v>
      </c>
      <c r="N68" s="701" t="str">
        <f t="shared" si="4"/>
        <v xml:space="preserve"> </v>
      </c>
      <c r="O68" s="701" t="str">
        <f t="shared" si="4"/>
        <v xml:space="preserve"> </v>
      </c>
      <c r="P68" s="701" t="str">
        <f t="shared" si="4"/>
        <v xml:space="preserve"> </v>
      </c>
      <c r="Q68" s="701" t="str">
        <f t="shared" si="4"/>
        <v xml:space="preserve"> </v>
      </c>
      <c r="R68" s="701" t="str">
        <f t="shared" ref="R68:Z68" si="5">IF(R48=" "," ",R48*(1+R49/100))</f>
        <v xml:space="preserve"> </v>
      </c>
      <c r="S68" s="701" t="str">
        <f t="shared" si="5"/>
        <v xml:space="preserve"> </v>
      </c>
      <c r="T68" s="701" t="str">
        <f t="shared" si="5"/>
        <v xml:space="preserve"> </v>
      </c>
      <c r="U68" s="701" t="str">
        <f t="shared" si="5"/>
        <v xml:space="preserve"> </v>
      </c>
      <c r="V68" s="701" t="str">
        <f t="shared" si="5"/>
        <v xml:space="preserve"> </v>
      </c>
      <c r="W68" s="701" t="str">
        <f t="shared" ref="W68" si="6">IF(W48=" "," ",W48*(1+W49/100))</f>
        <v xml:space="preserve"> </v>
      </c>
      <c r="X68" s="701" t="str">
        <f t="shared" si="5"/>
        <v xml:space="preserve"> </v>
      </c>
      <c r="Y68" s="701" t="str">
        <f t="shared" si="5"/>
        <v xml:space="preserve"> </v>
      </c>
      <c r="Z68" s="704" t="str">
        <f t="shared" si="5"/>
        <v xml:space="preserve"> </v>
      </c>
    </row>
    <row r="69" spans="1:30" ht="13.5" customHeight="1">
      <c r="A69" s="290" t="s">
        <v>216</v>
      </c>
      <c r="B69" s="443"/>
      <c r="C69" s="400"/>
      <c r="D69" s="596">
        <f t="shared" ref="D69:Q69" si="7">IF(D44=" "," ",IF(D45="LIQUID",D208,IF(D45="VAPOR",D217,D233)))</f>
        <v>195402.03005646999</v>
      </c>
      <c r="E69" s="596" t="str">
        <f t="shared" si="7"/>
        <v xml:space="preserve"> </v>
      </c>
      <c r="F69" s="626" t="str">
        <f t="shared" si="7"/>
        <v xml:space="preserve"> </v>
      </c>
      <c r="G69" s="631">
        <f t="shared" si="7"/>
        <v>295145.05320386379</v>
      </c>
      <c r="H69" s="596">
        <f t="shared" si="7"/>
        <v>104818.73708346995</v>
      </c>
      <c r="I69" s="596">
        <f t="shared" si="7"/>
        <v>230403.63086924466</v>
      </c>
      <c r="J69" s="596" t="str">
        <f t="shared" si="7"/>
        <v xml:space="preserve"> </v>
      </c>
      <c r="K69" s="596">
        <f t="shared" si="7"/>
        <v>230403.63086924466</v>
      </c>
      <c r="L69" s="596" t="str">
        <f t="shared" si="7"/>
        <v xml:space="preserve"> </v>
      </c>
      <c r="M69" s="596">
        <f t="shared" si="7"/>
        <v>230403.63086924466</v>
      </c>
      <c r="N69" s="596" t="str">
        <f t="shared" si="7"/>
        <v xml:space="preserve"> </v>
      </c>
      <c r="O69" s="596" t="str">
        <f t="shared" si="7"/>
        <v xml:space="preserve"> </v>
      </c>
      <c r="P69" s="596" t="str">
        <f t="shared" si="7"/>
        <v xml:space="preserve"> </v>
      </c>
      <c r="Q69" s="596" t="str">
        <f t="shared" si="7"/>
        <v xml:space="preserve"> </v>
      </c>
      <c r="R69" s="596" t="str">
        <f t="shared" ref="R69:Z69" si="8">IF(R44=" "," ",IF(R45="LIQUID",R208,IF(R45="VAPOR",R217,R233)))</f>
        <v xml:space="preserve"> </v>
      </c>
      <c r="S69" s="596" t="str">
        <f t="shared" si="8"/>
        <v xml:space="preserve"> </v>
      </c>
      <c r="T69" s="596" t="str">
        <f t="shared" si="8"/>
        <v xml:space="preserve"> </v>
      </c>
      <c r="U69" s="596" t="str">
        <f t="shared" si="8"/>
        <v xml:space="preserve"> </v>
      </c>
      <c r="V69" s="596" t="str">
        <f t="shared" si="8"/>
        <v xml:space="preserve"> </v>
      </c>
      <c r="W69" s="596" t="str">
        <f t="shared" ref="W69" si="9">IF(W44=" "," ",IF(W45="LIQUID",W208,IF(W45="VAPOR",W217,W233)))</f>
        <v xml:space="preserve"> </v>
      </c>
      <c r="X69" s="596" t="str">
        <f t="shared" si="8"/>
        <v xml:space="preserve"> </v>
      </c>
      <c r="Y69" s="596" t="str">
        <f t="shared" si="8"/>
        <v xml:space="preserve"> </v>
      </c>
      <c r="Z69" s="606" t="str">
        <f t="shared" si="8"/>
        <v xml:space="preserve"> </v>
      </c>
    </row>
    <row r="70" spans="1:30" ht="13.5" customHeight="1">
      <c r="A70" s="442" t="s">
        <v>217</v>
      </c>
      <c r="B70" s="443"/>
      <c r="C70" s="444" t="s">
        <v>68</v>
      </c>
      <c r="D70" s="595">
        <f>Y10</f>
        <v>3.16</v>
      </c>
      <c r="E70" s="596" t="str">
        <f>IF(E45=" ","",D71)</f>
        <v/>
      </c>
      <c r="F70" s="626" t="str">
        <f>IF(F45=" ","",E70-E75-E78-E79)</f>
        <v/>
      </c>
      <c r="G70" s="632">
        <f t="shared" ref="G70:Y70" si="10">IF(G44&lt;&gt;"",G71+G75+G76+G78+G79,"")</f>
        <v>7.108840755328349</v>
      </c>
      <c r="H70" s="597">
        <f t="shared" si="10"/>
        <v>7.0955961970343466</v>
      </c>
      <c r="I70" s="597">
        <f t="shared" si="10"/>
        <v>5.7400956806272054</v>
      </c>
      <c r="J70" s="597">
        <f t="shared" si="10"/>
        <v>5.7061363487118122</v>
      </c>
      <c r="K70" s="597">
        <f t="shared" si="10"/>
        <v>5.3561363487118125</v>
      </c>
      <c r="L70" s="597">
        <f t="shared" si="10"/>
        <v>5.3338204574882528</v>
      </c>
      <c r="M70" s="597">
        <f t="shared" si="10"/>
        <v>4.9838204574882532</v>
      </c>
      <c r="N70" s="597" t="str">
        <f t="shared" si="10"/>
        <v/>
      </c>
      <c r="O70" s="597" t="str">
        <f t="shared" si="10"/>
        <v/>
      </c>
      <c r="P70" s="597" t="str">
        <f t="shared" si="10"/>
        <v/>
      </c>
      <c r="Q70" s="597" t="str">
        <f t="shared" si="10"/>
        <v/>
      </c>
      <c r="R70" s="597" t="str">
        <f t="shared" si="10"/>
        <v/>
      </c>
      <c r="S70" s="597" t="str">
        <f t="shared" si="10"/>
        <v/>
      </c>
      <c r="T70" s="597" t="str">
        <f t="shared" si="10"/>
        <v/>
      </c>
      <c r="U70" s="597" t="str">
        <f t="shared" si="10"/>
        <v/>
      </c>
      <c r="V70" s="597" t="str">
        <f t="shared" si="10"/>
        <v/>
      </c>
      <c r="W70" s="597" t="str">
        <f t="shared" si="10"/>
        <v/>
      </c>
      <c r="X70" s="597" t="str">
        <f t="shared" si="10"/>
        <v/>
      </c>
      <c r="Y70" s="597" t="str">
        <f t="shared" si="10"/>
        <v/>
      </c>
      <c r="Z70" s="607" t="str">
        <f>IF(Z44&lt;&gt;"",Z71+Z75+Z76+Z78+Z79,"")</f>
        <v/>
      </c>
      <c r="AD70" s="390"/>
    </row>
    <row r="71" spans="1:30" ht="13.5" customHeight="1">
      <c r="A71" s="442" t="s">
        <v>218</v>
      </c>
      <c r="B71" s="443"/>
      <c r="C71" s="444" t="s">
        <v>68</v>
      </c>
      <c r="D71" s="598">
        <f>IF(D44&lt;&gt;"",D70-SUM(D75,D76,D78,D79),"")</f>
        <v>3.1841585245200705</v>
      </c>
      <c r="E71" s="598" t="str">
        <f>IF(E44&lt;&gt;"",E70-SUM(E75,E76,E78,E79),"")</f>
        <v/>
      </c>
      <c r="F71" s="627" t="str">
        <f>IF(F44&lt;&gt;"",F70-SUM(F75,F76,F78,F79),"")</f>
        <v/>
      </c>
      <c r="G71" s="633">
        <f t="shared" ref="G71:Y71" si="11">IF(G44&lt;&gt;"",IF(H44="",$Y$25+$Z$30,H70),"")</f>
        <v>7.0955961970343466</v>
      </c>
      <c r="H71" s="598">
        <f t="shared" si="11"/>
        <v>5.7400956806272054</v>
      </c>
      <c r="I71" s="598">
        <f t="shared" si="11"/>
        <v>5.7061363487118122</v>
      </c>
      <c r="J71" s="598">
        <f t="shared" si="11"/>
        <v>5.3561363487118125</v>
      </c>
      <c r="K71" s="598">
        <f t="shared" si="11"/>
        <v>5.3338204574882528</v>
      </c>
      <c r="L71" s="598">
        <f t="shared" si="11"/>
        <v>4.9838204574882532</v>
      </c>
      <c r="M71" s="599">
        <f t="shared" si="11"/>
        <v>4.22</v>
      </c>
      <c r="N71" s="598" t="str">
        <f t="shared" si="11"/>
        <v/>
      </c>
      <c r="O71" s="598" t="str">
        <f t="shared" si="11"/>
        <v/>
      </c>
      <c r="P71" s="598" t="str">
        <f t="shared" si="11"/>
        <v/>
      </c>
      <c r="Q71" s="598" t="str">
        <f t="shared" si="11"/>
        <v/>
      </c>
      <c r="R71" s="598" t="str">
        <f t="shared" si="11"/>
        <v/>
      </c>
      <c r="S71" s="598" t="str">
        <f t="shared" si="11"/>
        <v/>
      </c>
      <c r="T71" s="598" t="str">
        <f t="shared" si="11"/>
        <v/>
      </c>
      <c r="U71" s="598" t="str">
        <f t="shared" si="11"/>
        <v/>
      </c>
      <c r="V71" s="598" t="str">
        <f t="shared" si="11"/>
        <v/>
      </c>
      <c r="W71" s="598" t="str">
        <f t="shared" si="11"/>
        <v/>
      </c>
      <c r="X71" s="598" t="str">
        <f t="shared" si="11"/>
        <v/>
      </c>
      <c r="Y71" s="598" t="str">
        <f t="shared" si="11"/>
        <v/>
      </c>
      <c r="Z71" s="608" t="str">
        <f>IF(Z44&lt;&gt;"",$Y$25+$Z$30,"")</f>
        <v/>
      </c>
    </row>
    <row r="72" spans="1:30" ht="13.5" customHeight="1">
      <c r="A72" s="442" t="s">
        <v>219</v>
      </c>
      <c r="B72" s="443"/>
      <c r="C72" s="444" t="s">
        <v>69</v>
      </c>
      <c r="D72" s="684">
        <f>IF(OR(D44=" ",ISTEXT(D44))," ",IF(ISTEXT(D66),D201*D63/(ffactor(D67,D63,D69))+D64,D64*(1+(0.347*D61^0.5+0.216)*D66)))</f>
        <v>21.210779324013458</v>
      </c>
      <c r="E72" s="600" t="str">
        <f>IF(OR(E44=" ",ISTEXT(E44))," ",IF(ISTEXT(E66),E201*E63/(ffactor(E67,E63,E69))+E64,E64*(1+(0.347*E61^0.5+0.216)*E66)))</f>
        <v xml:space="preserve"> </v>
      </c>
      <c r="F72" s="628" t="str">
        <f>IF(OR(F44=" ",ISTEXT(F44))," ",IF(ISTEXT(F66),F201*F63/(ffactor(F67,F63,F69))+F64,F64*(1+(0.347*F61^0.5+0.216)*F66)))</f>
        <v xml:space="preserve"> </v>
      </c>
      <c r="G72" s="634">
        <f>IF(OR(G44=" ",ISTEXT(G44))," ",IF(ISTEXT(G66),G201*G63/(ffactor(G67,G63,G69))+G64,G64*(1+(0.347*G61^0.5+0.216)*G66)))</f>
        <v>9.4187999999999992</v>
      </c>
      <c r="H72" s="600">
        <f>IF(OR(H44=" ",ISTEXT(H44))," ",IF(ISTEXT(H66),H201*H63/(ffactor(H67,H63,H69))+H64,H64*(1+(0.347*H61^0.5+0.216)*H66)))</f>
        <v>93.372130164216941</v>
      </c>
      <c r="I72" s="600">
        <f>IF(OR(I44=" ",ISTEXT(I44))," ",IF(ISTEXT(I66),I201*I63/(ffactor(I67,I63,I69))+I64,I64*(1+(0.347*I61^0.5+0.216)*I66)))</f>
        <v>44.251926775607053</v>
      </c>
      <c r="J72" s="600" t="str">
        <f>IF(OR(J44=" ",ISTEXT(J44))," ",IF(ISTEXT(J66),J201*J63/(ffactor(J67,J63,J69))+J64,J64*(1+(0.347*J61^0.5+0.216)*J66)))</f>
        <v xml:space="preserve"> </v>
      </c>
      <c r="K72" s="600">
        <f>IF(OR(K44=" ",ISTEXT(K44))," ",IF(ISTEXT(K66),K201*K63/(ffactor(K67,K63,K69))+K64,K64*(1+(0.347*K61^0.5+0.216)*K66)))</f>
        <v>13.828727117377204</v>
      </c>
      <c r="L72" s="600" t="str">
        <f>IF(OR(L44=" ",ISTEXT(L44))," ",IF(ISTEXT(L66),L201*L63/(ffactor(L67,L63,L69))+L64,L64*(1+(0.347*L61^0.5+0.216)*L66)))</f>
        <v xml:space="preserve"> </v>
      </c>
      <c r="M72" s="600">
        <f>IF(OR(M44=" ",ISTEXT(M44))," ",IF(ISTEXT(M66),M201*M63/(ffactor(M67,M63,M69))+M64,M64*(1+(0.347*M61^0.5+0.216)*M66)))</f>
        <v>179.15536184983782</v>
      </c>
      <c r="N72" s="600" t="str">
        <f>IF(OR(N44=" ",ISTEXT(N44))," ",IF(ISTEXT(N66),N201*N63/(ffactor(N67,N63,N69))+N64,N64*(1+(0.347*N61^0.5+0.216)*N66)))</f>
        <v xml:space="preserve"> </v>
      </c>
      <c r="O72" s="600" t="str">
        <f>IF(OR(O44=" ",ISTEXT(O44))," ",IF(ISTEXT(O66),O201*O63/(ffactor(O67,O63,O69))+O64,O64*(1+(0.347*O61^0.5+0.216)*O66)))</f>
        <v xml:space="preserve"> </v>
      </c>
      <c r="P72" s="600" t="str">
        <f>IF(OR(P44=" ",ISTEXT(P44))," ",IF(ISTEXT(P66),P201*P63/(ffactor(P67,P63,P69))+P64,P64*(1+(0.347*P61^0.5+0.216)*P66)))</f>
        <v xml:space="preserve"> </v>
      </c>
      <c r="Q72" s="600" t="str">
        <f>IF(OR(Q44=" ",ISTEXT(Q44))," ",IF(ISTEXT(Q66),Q201*Q63/(ffactor(Q67,Q63,Q69))+Q64,Q64*(1+(0.347*Q61^0.5+0.216)*Q66)))</f>
        <v xml:space="preserve"> </v>
      </c>
      <c r="R72" s="600" t="str">
        <f>IF(OR(R44=" ",ISTEXT(R44))," ",IF(ISTEXT(R66),R201*R63/(ffactor(R67,R63,R69))+R64,R64*(1+(0.347*R61^0.5+0.216)*R66)))</f>
        <v xml:space="preserve"> </v>
      </c>
      <c r="S72" s="600" t="str">
        <f>IF(OR(S44=" ",ISTEXT(S44))," ",IF(ISTEXT(S66),S201*S63/(ffactor(S67,S63,S69))+S64,S64*(1+(0.347*S61^0.5+0.216)*S66)))</f>
        <v xml:space="preserve"> </v>
      </c>
      <c r="T72" s="600" t="str">
        <f>IF(OR(T44=" ",ISTEXT(T44))," ",IF(ISTEXT(T66),T201*T63/(ffactor(T67,T63,T69))+T64,T64*(1+(0.347*T61^0.5+0.216)*T66)))</f>
        <v xml:space="preserve"> </v>
      </c>
      <c r="U72" s="600" t="str">
        <f>IF(OR(U44=" ",ISTEXT(U44))," ",IF(ISTEXT(U66),U201*U63/(ffactor(U67,U63,U69))+U64,U64*(1+(0.347*U61^0.5+0.216)*U66)))</f>
        <v xml:space="preserve"> </v>
      </c>
      <c r="V72" s="600" t="str">
        <f>IF(OR(V44=" ",ISTEXT(V44))," ",IF(ISTEXT(V66),V201*V63/(ffactor(V67,V63,V69))+V64,V64*(1+(0.347*V61^0.5+0.216)*V66)))</f>
        <v xml:space="preserve"> </v>
      </c>
      <c r="W72" s="600" t="str">
        <f>IF(OR(W44=" ",ISTEXT(W44))," ",IF(ISTEXT(W66),W201*W63/(ffactor(W67,W63,W69))+W64,W64*(1+(0.347*W61^0.5+0.216)*W66)))</f>
        <v xml:space="preserve"> </v>
      </c>
      <c r="X72" s="600" t="str">
        <f>IF(OR(X44=" ",ISTEXT(X44))," ",IF(ISTEXT(X66),X201*X63/(ffactor(X67,X63,X69))+X64,X64*(1+(0.347*X61^0.5+0.216)*X66)))</f>
        <v xml:space="preserve"> </v>
      </c>
      <c r="Y72" s="600" t="str">
        <f>IF(OR(Y44=" ",ISTEXT(Y44))," ",IF(ISTEXT(Y66),Y201*Y63/(ffactor(Y67,Y63,Y69))+Y64,Y64*(1+(0.347*Y61^0.5+0.216)*Y66)))</f>
        <v xml:space="preserve"> </v>
      </c>
      <c r="Z72" s="609" t="str">
        <f>IF(OR(Z44=" ",ISTEXT(Z44))," ",IF(ISTEXT(Z66),Z201*Z63/(ffactor(Z67,Z63,Z69))+Z64,Z64*(1+(0.347*Z61^0.5+0.216)*Z66)))</f>
        <v xml:space="preserve"> </v>
      </c>
    </row>
    <row r="73" spans="1:30" ht="13.5" customHeight="1">
      <c r="A73" s="290" t="s">
        <v>220</v>
      </c>
      <c r="B73" s="443"/>
      <c r="C73" s="444" t="s">
        <v>72</v>
      </c>
      <c r="D73" s="601">
        <f t="shared" ref="D73:L73" si="12">IF(OR(D44=" ",ISTEXT(D44)),"",IF(D45="LIQUID",D207,IF(D45="VAPOR",D216," ")))</f>
        <v>0.67214156745776266</v>
      </c>
      <c r="E73" s="601" t="str">
        <f t="shared" si="12"/>
        <v/>
      </c>
      <c r="F73" s="629" t="str">
        <f t="shared" si="12"/>
        <v/>
      </c>
      <c r="G73" s="635">
        <f t="shared" si="12"/>
        <v>1.5253608057280641</v>
      </c>
      <c r="H73" s="601">
        <f t="shared" si="12"/>
        <v>1.354767204633933</v>
      </c>
      <c r="I73" s="601">
        <f t="shared" si="12"/>
        <v>0.97308650721489509</v>
      </c>
      <c r="J73" s="601" t="str">
        <f t="shared" si="12"/>
        <v/>
      </c>
      <c r="K73" s="601">
        <f t="shared" si="12"/>
        <v>0.97308650721489509</v>
      </c>
      <c r="L73" s="601" t="str">
        <f t="shared" si="12"/>
        <v/>
      </c>
      <c r="M73" s="601">
        <f>IF(OR(M44=" ",ISTEXT(M44)),"",IF(M45="LIQUID",M207,IF(M45="VAPOR",M216,M232)))</f>
        <v>0.97308650721489509</v>
      </c>
      <c r="N73" s="601" t="str">
        <f>IF(OR(N44=" ",ISTEXT(N44)),"",IF(N45="LIQUID",N207,IF(N45="VAPOR",N216," ")))</f>
        <v/>
      </c>
      <c r="O73" s="601" t="str">
        <f>IF(OR(O44=" ",ISTEXT(O44)),"",IF(O45="LIQUID",O207,IF(O45="VAPOR",O216," ")))</f>
        <v/>
      </c>
      <c r="P73" s="601" t="str">
        <f>IF(OR(P44=" ",ISTEXT(P44)),"",IF(P45="LIQUID",P207,IF(P45="VAPOR",P216," ")))</f>
        <v/>
      </c>
      <c r="Q73" s="601" t="str">
        <f>IF(OR(Q44=" ",ISTEXT(Q44)),"",IF(Q45="LIQUID",Q207,IF(Q45="VAPOR",Q216," ")))</f>
        <v/>
      </c>
      <c r="R73" s="601" t="str">
        <f t="shared" ref="R73:Z73" si="13">IF(OR(R44=" ",ISTEXT(R44)),"",IF(R45="LIQUID",R207,IF(R45="VAPOR",R216," ")))</f>
        <v/>
      </c>
      <c r="S73" s="601" t="str">
        <f t="shared" si="13"/>
        <v/>
      </c>
      <c r="T73" s="601" t="str">
        <f t="shared" si="13"/>
        <v/>
      </c>
      <c r="U73" s="601" t="str">
        <f t="shared" si="13"/>
        <v/>
      </c>
      <c r="V73" s="601" t="str">
        <f t="shared" si="13"/>
        <v/>
      </c>
      <c r="W73" s="601" t="str">
        <f t="shared" ref="W73" si="14">IF(OR(W44=" ",ISTEXT(W44)),"",IF(W45="LIQUID",W207,IF(W45="VAPOR",W216," ")))</f>
        <v/>
      </c>
      <c r="X73" s="601" t="str">
        <f t="shared" si="13"/>
        <v/>
      </c>
      <c r="Y73" s="601" t="str">
        <f t="shared" si="13"/>
        <v/>
      </c>
      <c r="Z73" s="610" t="str">
        <f t="shared" si="13"/>
        <v/>
      </c>
    </row>
    <row r="74" spans="1:30" ht="13.5" customHeight="1">
      <c r="A74" s="290" t="s">
        <v>252</v>
      </c>
      <c r="B74" s="443"/>
      <c r="C74" s="444"/>
      <c r="D74" s="456" t="str">
        <f>IF(D73="","",IF(D73&gt;700*0.3048/60,"WARNING","OK"))</f>
        <v>OK</v>
      </c>
      <c r="E74" s="456" t="str">
        <f t="shared" ref="E74:Q74" si="15">IF(E73="","",IF(E73&gt;700*0.3048/60,"WARNING","OK"))</f>
        <v/>
      </c>
      <c r="F74" s="457" t="str">
        <f t="shared" si="15"/>
        <v/>
      </c>
      <c r="G74" s="537" t="str">
        <f t="shared" si="15"/>
        <v>OK</v>
      </c>
      <c r="H74" s="456" t="str">
        <f t="shared" si="15"/>
        <v>OK</v>
      </c>
      <c r="I74" s="456" t="str">
        <f t="shared" si="15"/>
        <v>OK</v>
      </c>
      <c r="J74" s="456" t="str">
        <f t="shared" si="15"/>
        <v/>
      </c>
      <c r="K74" s="456" t="str">
        <f t="shared" si="15"/>
        <v>OK</v>
      </c>
      <c r="L74" s="456" t="str">
        <f t="shared" si="15"/>
        <v/>
      </c>
      <c r="M74" s="456" t="str">
        <f t="shared" si="15"/>
        <v>OK</v>
      </c>
      <c r="N74" s="456" t="str">
        <f t="shared" si="15"/>
        <v/>
      </c>
      <c r="O74" s="456" t="str">
        <f t="shared" si="15"/>
        <v/>
      </c>
      <c r="P74" s="456" t="str">
        <f t="shared" si="15"/>
        <v/>
      </c>
      <c r="Q74" s="456" t="str">
        <f t="shared" si="15"/>
        <v/>
      </c>
      <c r="R74" s="456" t="str">
        <f t="shared" ref="R74:Z74" si="16">IF(R73="","",IF(R73&gt;700*0.3048/60,"WARNING","OK"))</f>
        <v/>
      </c>
      <c r="S74" s="456" t="str">
        <f t="shared" si="16"/>
        <v/>
      </c>
      <c r="T74" s="456" t="str">
        <f t="shared" si="16"/>
        <v/>
      </c>
      <c r="U74" s="456" t="str">
        <f t="shared" si="16"/>
        <v/>
      </c>
      <c r="V74" s="456" t="str">
        <f t="shared" si="16"/>
        <v/>
      </c>
      <c r="W74" s="456" t="str">
        <f t="shared" ref="W74" si="17">IF(W73="","",IF(W73&gt;700*0.3048/60,"WARNING","OK"))</f>
        <v/>
      </c>
      <c r="X74" s="456" t="str">
        <f t="shared" si="16"/>
        <v/>
      </c>
      <c r="Y74" s="456" t="str">
        <f t="shared" si="16"/>
        <v/>
      </c>
      <c r="Z74" s="611" t="str">
        <f t="shared" si="16"/>
        <v/>
      </c>
    </row>
    <row r="75" spans="1:30" ht="13.5" customHeight="1">
      <c r="A75" s="441" t="s">
        <v>221</v>
      </c>
      <c r="B75" s="434"/>
      <c r="C75" s="435" t="s">
        <v>46</v>
      </c>
      <c r="D75" s="532">
        <f t="shared" ref="D75:Q75" si="18">IF(D48=" ","",IF(D45="LIQUID",D210,IF(D45="VAPOR",D219,IF(D46="HTFS",(D234+D236)/(1-D237^2),D234))))</f>
        <v>3.8034754799294709E-3</v>
      </c>
      <c r="E75" s="458" t="str">
        <f t="shared" si="18"/>
        <v/>
      </c>
      <c r="F75" s="459" t="str">
        <f t="shared" si="18"/>
        <v/>
      </c>
      <c r="G75" s="460">
        <f t="shared" si="18"/>
        <v>1.3244558294002302E-2</v>
      </c>
      <c r="H75" s="458">
        <f t="shared" si="18"/>
        <v>0.32471711640714157</v>
      </c>
      <c r="I75" s="458">
        <f t="shared" si="18"/>
        <v>3.3959331915393305E-2</v>
      </c>
      <c r="J75" s="458" t="str">
        <f t="shared" si="18"/>
        <v/>
      </c>
      <c r="K75" s="458">
        <f t="shared" si="18"/>
        <v>1.0612291223560407E-2</v>
      </c>
      <c r="L75" s="458" t="str">
        <f t="shared" si="18"/>
        <v/>
      </c>
      <c r="M75" s="458">
        <f t="shared" si="18"/>
        <v>0.13748545748825358</v>
      </c>
      <c r="N75" s="458" t="str">
        <f t="shared" si="18"/>
        <v/>
      </c>
      <c r="O75" s="458" t="str">
        <f t="shared" si="18"/>
        <v/>
      </c>
      <c r="P75" s="458" t="str">
        <f t="shared" si="18"/>
        <v/>
      </c>
      <c r="Q75" s="458" t="str">
        <f t="shared" si="18"/>
        <v/>
      </c>
      <c r="R75" s="458" t="str">
        <f t="shared" ref="R75:Z75" si="19">IF(R48=" ","",IF(R45="LIQUID",R210,IF(R45="VAPOR",R219,IF(R46="HTFS",(R234+R236)/(1-R237^2),R234))))</f>
        <v/>
      </c>
      <c r="S75" s="458" t="str">
        <f t="shared" si="19"/>
        <v/>
      </c>
      <c r="T75" s="458" t="str">
        <f t="shared" si="19"/>
        <v/>
      </c>
      <c r="U75" s="458" t="str">
        <f t="shared" si="19"/>
        <v/>
      </c>
      <c r="V75" s="458" t="str">
        <f t="shared" si="19"/>
        <v/>
      </c>
      <c r="W75" s="458" t="str">
        <f t="shared" ref="W75" si="20">IF(W48=" ","",IF(W45="LIQUID",W210,IF(W45="VAPOR",W219,IF(W46="HTFS",(W234+W236)/(1-W237^2),W234))))</f>
        <v/>
      </c>
      <c r="X75" s="458" t="str">
        <f t="shared" si="19"/>
        <v/>
      </c>
      <c r="Y75" s="458" t="str">
        <f t="shared" si="19"/>
        <v/>
      </c>
      <c r="Z75" s="612" t="str">
        <f t="shared" si="19"/>
        <v/>
      </c>
    </row>
    <row r="76" spans="1:30" ht="13.5" customHeight="1">
      <c r="A76" s="442" t="s">
        <v>222</v>
      </c>
      <c r="B76" s="443"/>
      <c r="C76" s="444" t="s">
        <v>73</v>
      </c>
      <c r="D76" s="624">
        <f t="shared" ref="D76:Q76" si="21">IF(D48=" "," ",IF(D45="liquid",(D65*D52/1000)/10,IF(D45="VAPOR",(D65*D214/1000)/10,IF(D46="HTFS",D235/(1-D237^2),D235))))</f>
        <v>-9.7962000000000021E-2</v>
      </c>
      <c r="E76" s="624" t="str">
        <f t="shared" si="21"/>
        <v xml:space="preserve"> </v>
      </c>
      <c r="F76" s="630" t="str">
        <f t="shared" si="21"/>
        <v xml:space="preserve"> </v>
      </c>
      <c r="G76" s="636">
        <f t="shared" si="21"/>
        <v>0</v>
      </c>
      <c r="H76" s="624">
        <f t="shared" si="21"/>
        <v>0</v>
      </c>
      <c r="I76" s="624">
        <f t="shared" si="21"/>
        <v>0</v>
      </c>
      <c r="J76" s="624" t="str">
        <f t="shared" si="21"/>
        <v xml:space="preserve"> </v>
      </c>
      <c r="K76" s="624">
        <f t="shared" si="21"/>
        <v>1.17036E-2</v>
      </c>
      <c r="L76" s="624" t="str">
        <f t="shared" si="21"/>
        <v xml:space="preserve"> </v>
      </c>
      <c r="M76" s="624">
        <f t="shared" si="21"/>
        <v>0.27633500000000005</v>
      </c>
      <c r="N76" s="624" t="str">
        <f t="shared" si="21"/>
        <v xml:space="preserve"> </v>
      </c>
      <c r="O76" s="624" t="str">
        <f t="shared" si="21"/>
        <v xml:space="preserve"> </v>
      </c>
      <c r="P76" s="624" t="str">
        <f t="shared" si="21"/>
        <v xml:space="preserve"> </v>
      </c>
      <c r="Q76" s="624" t="str">
        <f t="shared" si="21"/>
        <v xml:space="preserve"> </v>
      </c>
      <c r="R76" s="624" t="str">
        <f t="shared" ref="R76:Z76" si="22">IF(R48=" "," ",IF(R45="liquid",(R65*R52/1000)/10,IF(R45="VAPOR",(R65*R214/1000)/10,IF(R46="HTFS",R235/(1-R237^2),R235))))</f>
        <v xml:space="preserve"> </v>
      </c>
      <c r="S76" s="624" t="str">
        <f t="shared" si="22"/>
        <v xml:space="preserve"> </v>
      </c>
      <c r="T76" s="624" t="str">
        <f t="shared" si="22"/>
        <v xml:space="preserve"> </v>
      </c>
      <c r="U76" s="624" t="str">
        <f t="shared" si="22"/>
        <v xml:space="preserve"> </v>
      </c>
      <c r="V76" s="624" t="str">
        <f t="shared" si="22"/>
        <v xml:space="preserve"> </v>
      </c>
      <c r="W76" s="624" t="str">
        <f t="shared" ref="W76" si="23">IF(W48=" "," ",IF(W45="liquid",(W65*W52/1000)/10,IF(W45="VAPOR",(W65*W214/1000)/10,IF(W46="HTFS",W235/(1-W237^2),W235))))</f>
        <v xml:space="preserve"> </v>
      </c>
      <c r="X76" s="624" t="str">
        <f t="shared" si="22"/>
        <v xml:space="preserve"> </v>
      </c>
      <c r="Y76" s="624" t="str">
        <f t="shared" si="22"/>
        <v xml:space="preserve"> </v>
      </c>
      <c r="Z76" s="625" t="str">
        <f t="shared" si="22"/>
        <v xml:space="preserve"> </v>
      </c>
    </row>
    <row r="77" spans="1:30" ht="13.5" customHeight="1">
      <c r="A77" s="452" t="s">
        <v>223</v>
      </c>
      <c r="B77" s="436"/>
      <c r="C77" s="437" t="s">
        <v>46</v>
      </c>
      <c r="D77" s="453">
        <f t="shared" ref="D77:Q77" si="24">IF(D45=" ","",IF(D75&lt;&gt;0,D75/D72*100,""))</f>
        <v>1.793180449349838E-2</v>
      </c>
      <c r="E77" s="453" t="str">
        <f t="shared" si="24"/>
        <v/>
      </c>
      <c r="F77" s="454" t="str">
        <f t="shared" si="24"/>
        <v/>
      </c>
      <c r="G77" s="455">
        <f t="shared" si="24"/>
        <v>0.14061831967981381</v>
      </c>
      <c r="H77" s="453">
        <f t="shared" si="24"/>
        <v>0.34776663640001554</v>
      </c>
      <c r="I77" s="453">
        <f t="shared" si="24"/>
        <v>7.6740911390354813E-2</v>
      </c>
      <c r="J77" s="453" t="str">
        <f t="shared" si="24"/>
        <v/>
      </c>
      <c r="K77" s="453">
        <f t="shared" si="24"/>
        <v>7.6740911390354813E-2</v>
      </c>
      <c r="L77" s="453" t="str">
        <f t="shared" si="24"/>
        <v/>
      </c>
      <c r="M77" s="453">
        <f t="shared" si="24"/>
        <v>7.6740911390354827E-2</v>
      </c>
      <c r="N77" s="453" t="str">
        <f t="shared" si="24"/>
        <v/>
      </c>
      <c r="O77" s="453" t="str">
        <f t="shared" si="24"/>
        <v/>
      </c>
      <c r="P77" s="453" t="str">
        <f t="shared" si="24"/>
        <v/>
      </c>
      <c r="Q77" s="453" t="str">
        <f t="shared" si="24"/>
        <v/>
      </c>
      <c r="R77" s="453" t="str">
        <f t="shared" ref="R77:Z77" si="25">IF(R45=" ","",IF(R75&lt;&gt;0,R75/R72*100,""))</f>
        <v/>
      </c>
      <c r="S77" s="453" t="str">
        <f t="shared" si="25"/>
        <v/>
      </c>
      <c r="T77" s="453" t="str">
        <f t="shared" si="25"/>
        <v/>
      </c>
      <c r="U77" s="453" t="str">
        <f t="shared" si="25"/>
        <v/>
      </c>
      <c r="V77" s="453" t="str">
        <f t="shared" si="25"/>
        <v/>
      </c>
      <c r="W77" s="453" t="str">
        <f t="shared" ref="W77" si="26">IF(W45=" ","",IF(W75&lt;&gt;0,W75/W72*100,""))</f>
        <v/>
      </c>
      <c r="X77" s="453" t="str">
        <f t="shared" si="25"/>
        <v/>
      </c>
      <c r="Y77" s="453" t="str">
        <f t="shared" si="25"/>
        <v/>
      </c>
      <c r="Z77" s="613" t="str">
        <f t="shared" si="25"/>
        <v/>
      </c>
    </row>
    <row r="78" spans="1:30" ht="13.5" customHeight="1">
      <c r="A78" s="468" t="s">
        <v>208</v>
      </c>
      <c r="B78" s="469"/>
      <c r="C78" s="435" t="s">
        <v>46</v>
      </c>
      <c r="D78" s="470">
        <f>Y18</f>
        <v>7.0000000000000007E-2</v>
      </c>
      <c r="E78" s="471"/>
      <c r="F78" s="472"/>
      <c r="G78" s="473"/>
      <c r="H78" s="474">
        <v>0.28999999999999998</v>
      </c>
      <c r="I78" s="471"/>
      <c r="J78" s="474">
        <v>0.35</v>
      </c>
      <c r="K78" s="471"/>
      <c r="L78" s="471">
        <v>0.35</v>
      </c>
      <c r="M78" s="471"/>
      <c r="N78" s="471"/>
      <c r="O78" s="471"/>
      <c r="P78" s="471"/>
      <c r="Q78" s="471"/>
      <c r="R78" s="471"/>
      <c r="S78" s="471"/>
      <c r="T78" s="471"/>
      <c r="U78" s="471"/>
      <c r="V78" s="471"/>
      <c r="W78" s="471"/>
      <c r="X78" s="471"/>
      <c r="Y78" s="471"/>
      <c r="Z78" s="614"/>
    </row>
    <row r="79" spans="1:30" ht="13.5" customHeight="1" thickBot="1">
      <c r="A79" s="461" t="s">
        <v>74</v>
      </c>
      <c r="B79" s="462"/>
      <c r="C79" s="47" t="s">
        <v>46</v>
      </c>
      <c r="D79" s="463"/>
      <c r="E79" s="463"/>
      <c r="F79" s="464"/>
      <c r="G79" s="465"/>
      <c r="H79" s="466">
        <f>Z34</f>
        <v>0.74078339999999987</v>
      </c>
      <c r="I79" s="463"/>
      <c r="J79" s="463"/>
      <c r="K79" s="463"/>
      <c r="L79" s="463"/>
      <c r="M79" s="467">
        <v>0.35</v>
      </c>
      <c r="N79" s="463"/>
      <c r="O79" s="463"/>
      <c r="P79" s="463"/>
      <c r="Q79" s="463"/>
      <c r="R79" s="463"/>
      <c r="S79" s="463"/>
      <c r="T79" s="463"/>
      <c r="U79" s="463"/>
      <c r="V79" s="463"/>
      <c r="W79" s="463"/>
      <c r="X79" s="463"/>
      <c r="Y79" s="463"/>
      <c r="Z79" s="615"/>
    </row>
    <row r="80" spans="1:30" ht="13.5" customHeight="1">
      <c r="A80" s="551" t="s">
        <v>75</v>
      </c>
      <c r="B80" s="552"/>
      <c r="C80" s="41"/>
      <c r="D80" s="41"/>
      <c r="E80" s="41"/>
      <c r="F80" s="41"/>
      <c r="G80" s="41"/>
      <c r="H80" s="41"/>
      <c r="Z80" s="283"/>
    </row>
    <row r="81" spans="1:29" ht="13.5" customHeight="1">
      <c r="A81" s="127"/>
      <c r="B81" s="127"/>
    </row>
    <row r="82" spans="1:29" s="131" customFormat="1" ht="13.5" customHeight="1">
      <c r="A82" s="128"/>
      <c r="B82" s="128"/>
      <c r="C82" s="129"/>
      <c r="D82" s="128"/>
      <c r="E82" s="130"/>
      <c r="F82" s="130"/>
      <c r="G82" s="128"/>
      <c r="H82" s="130"/>
      <c r="I82" s="130"/>
      <c r="J82" s="130"/>
      <c r="K82" s="130"/>
      <c r="L82" s="130"/>
      <c r="M82" s="130"/>
      <c r="N82" s="130"/>
      <c r="O82" s="130"/>
      <c r="P82" s="130"/>
      <c r="Q82" s="130"/>
      <c r="R82" s="130"/>
      <c r="S82" s="130"/>
      <c r="T82" s="130"/>
      <c r="U82" s="130"/>
      <c r="V82" s="130"/>
      <c r="W82" s="130"/>
      <c r="X82" s="130"/>
      <c r="Y82" s="130"/>
      <c r="Z82" s="130"/>
    </row>
    <row r="83" spans="1:29" s="131" customFormat="1" ht="13.5" customHeight="1"/>
    <row r="84" spans="1:29" ht="13.5" customHeight="1"/>
    <row r="85" spans="1:29" ht="13.5" customHeight="1"/>
    <row r="86" spans="1:29" ht="13.5" customHeight="1"/>
    <row r="87" spans="1:29" ht="13.5" customHeight="1" thickBot="1"/>
    <row r="88" spans="1:29" ht="13.5" customHeight="1">
      <c r="A88" s="132"/>
      <c r="B88" s="132"/>
      <c r="C88" s="141"/>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9" ht="13.5" customHeight="1">
      <c r="A89" s="128" t="s">
        <v>79</v>
      </c>
      <c r="B89" s="128"/>
      <c r="C89" s="110"/>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9" ht="13.5" customHeight="1" thickBot="1">
      <c r="A90" s="144" t="s">
        <v>80</v>
      </c>
      <c r="B90" s="144"/>
      <c r="C90" s="14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B90" s="113" t="s">
        <v>81</v>
      </c>
      <c r="AC90" s="113" t="s">
        <v>82</v>
      </c>
    </row>
    <row r="91" spans="1:29" ht="13.5" customHeight="1">
      <c r="A91" s="414" t="s">
        <v>83</v>
      </c>
      <c r="B91" s="147" t="s">
        <v>84</v>
      </c>
      <c r="C91" s="148"/>
      <c r="D91" s="138"/>
      <c r="E91" s="149"/>
      <c r="F91" s="150"/>
      <c r="G91" s="151"/>
      <c r="H91" s="149"/>
      <c r="I91" s="149"/>
      <c r="J91" s="149"/>
      <c r="K91" s="149"/>
      <c r="L91" s="149"/>
      <c r="M91" s="149"/>
      <c r="N91" s="149"/>
      <c r="O91" s="149"/>
      <c r="P91" s="149"/>
      <c r="Q91" s="149"/>
      <c r="R91" s="149"/>
      <c r="S91" s="149"/>
      <c r="T91" s="149"/>
      <c r="U91" s="149"/>
      <c r="V91" s="149"/>
      <c r="W91" s="149"/>
      <c r="X91" s="149"/>
      <c r="Y91" s="149"/>
      <c r="Z91" s="152"/>
      <c r="AB91" s="153">
        <v>800</v>
      </c>
      <c r="AC91" s="154">
        <v>0.4</v>
      </c>
    </row>
    <row r="92" spans="1:29" ht="13.5" customHeight="1">
      <c r="A92" s="60" t="s">
        <v>85</v>
      </c>
      <c r="B92" s="155" t="s">
        <v>86</v>
      </c>
      <c r="C92" s="110"/>
      <c r="D92" s="138">
        <v>1</v>
      </c>
      <c r="E92" s="138"/>
      <c r="F92" s="139"/>
      <c r="G92" s="140"/>
      <c r="H92" s="138"/>
      <c r="I92" s="138"/>
      <c r="J92" s="138"/>
      <c r="K92" s="138"/>
      <c r="L92" s="138"/>
      <c r="M92" s="138"/>
      <c r="N92" s="135"/>
      <c r="O92" s="135"/>
      <c r="P92" s="135"/>
      <c r="Q92" s="135"/>
      <c r="R92" s="135"/>
      <c r="S92" s="135"/>
      <c r="T92" s="135"/>
      <c r="U92" s="135"/>
      <c r="V92" s="135"/>
      <c r="W92" s="135"/>
      <c r="X92" s="135"/>
      <c r="Y92" s="135"/>
      <c r="Z92" s="136"/>
      <c r="AB92" s="156">
        <v>800</v>
      </c>
      <c r="AC92" s="157">
        <v>0.25</v>
      </c>
    </row>
    <row r="93" spans="1:29" ht="13.5" customHeight="1">
      <c r="A93" s="60" t="s">
        <v>85</v>
      </c>
      <c r="B93" s="155" t="s">
        <v>87</v>
      </c>
      <c r="C93" s="110"/>
      <c r="D93" s="138"/>
      <c r="E93" s="138"/>
      <c r="F93" s="139"/>
      <c r="G93" s="140"/>
      <c r="H93" s="138"/>
      <c r="I93" s="138"/>
      <c r="J93" s="138"/>
      <c r="K93" s="138"/>
      <c r="L93" s="138"/>
      <c r="M93" s="138"/>
      <c r="N93" s="135"/>
      <c r="O93" s="135"/>
      <c r="P93" s="135"/>
      <c r="Q93" s="135"/>
      <c r="R93" s="135"/>
      <c r="S93" s="135"/>
      <c r="T93" s="135"/>
      <c r="U93" s="135"/>
      <c r="V93" s="135"/>
      <c r="W93" s="135"/>
      <c r="X93" s="135"/>
      <c r="Y93" s="135"/>
      <c r="Z93" s="136"/>
      <c r="AB93" s="156">
        <v>800</v>
      </c>
      <c r="AC93" s="157">
        <v>0.4</v>
      </c>
    </row>
    <row r="94" spans="1:29" ht="13.5" customHeight="1">
      <c r="A94" s="60" t="s">
        <v>88</v>
      </c>
      <c r="B94" s="155" t="s">
        <v>89</v>
      </c>
      <c r="C94" s="110"/>
      <c r="D94" s="138"/>
      <c r="E94" s="138"/>
      <c r="F94" s="139"/>
      <c r="G94" s="140"/>
      <c r="H94" s="138"/>
      <c r="I94" s="138"/>
      <c r="J94" s="138"/>
      <c r="K94" s="138"/>
      <c r="L94" s="138"/>
      <c r="M94" s="138"/>
      <c r="N94" s="135"/>
      <c r="O94" s="135"/>
      <c r="P94" s="135"/>
      <c r="Q94" s="135"/>
      <c r="R94" s="135"/>
      <c r="S94" s="135"/>
      <c r="T94" s="135"/>
      <c r="U94" s="135"/>
      <c r="V94" s="135"/>
      <c r="W94" s="135"/>
      <c r="X94" s="135"/>
      <c r="Y94" s="135"/>
      <c r="Z94" s="136"/>
      <c r="AB94" s="156">
        <v>800</v>
      </c>
      <c r="AC94" s="157">
        <v>0.2</v>
      </c>
    </row>
    <row r="95" spans="1:29" ht="13.5" customHeight="1">
      <c r="A95" s="415" t="s">
        <v>90</v>
      </c>
      <c r="B95" s="159" t="s">
        <v>91</v>
      </c>
      <c r="C95" s="160"/>
      <c r="D95" s="161"/>
      <c r="E95" s="161"/>
      <c r="F95" s="162"/>
      <c r="G95" s="163"/>
      <c r="H95" s="161"/>
      <c r="I95" s="161"/>
      <c r="J95" s="161"/>
      <c r="K95" s="161"/>
      <c r="L95" s="161"/>
      <c r="M95" s="161"/>
      <c r="N95" s="164"/>
      <c r="O95" s="164"/>
      <c r="P95" s="164"/>
      <c r="Q95" s="164"/>
      <c r="R95" s="164"/>
      <c r="S95" s="164"/>
      <c r="T95" s="164"/>
      <c r="U95" s="164"/>
      <c r="V95" s="164"/>
      <c r="W95" s="164"/>
      <c r="X95" s="164"/>
      <c r="Y95" s="164"/>
      <c r="Z95" s="165"/>
      <c r="AB95" s="153">
        <v>500</v>
      </c>
      <c r="AC95" s="166">
        <v>0.4</v>
      </c>
    </row>
    <row r="96" spans="1:29" ht="13.5" customHeight="1">
      <c r="A96" s="60" t="s">
        <v>92</v>
      </c>
      <c r="B96" s="155" t="s">
        <v>86</v>
      </c>
      <c r="C96" s="110"/>
      <c r="D96" s="138"/>
      <c r="E96" s="138"/>
      <c r="F96" s="139"/>
      <c r="G96" s="140"/>
      <c r="H96" s="138"/>
      <c r="I96" s="138"/>
      <c r="J96" s="138"/>
      <c r="K96" s="138"/>
      <c r="L96" s="138"/>
      <c r="M96" s="138"/>
      <c r="N96" s="135"/>
      <c r="O96" s="135"/>
      <c r="P96" s="135"/>
      <c r="Q96" s="135"/>
      <c r="R96" s="135"/>
      <c r="S96" s="135"/>
      <c r="T96" s="135"/>
      <c r="U96" s="135"/>
      <c r="V96" s="135"/>
      <c r="W96" s="135"/>
      <c r="X96" s="135"/>
      <c r="Y96" s="135"/>
      <c r="Z96" s="136"/>
      <c r="AB96" s="156">
        <v>500</v>
      </c>
      <c r="AC96" s="157">
        <v>0.25</v>
      </c>
    </row>
    <row r="97" spans="1:29" ht="13.5" customHeight="1">
      <c r="A97" s="60" t="s">
        <v>85</v>
      </c>
      <c r="B97" s="155" t="s">
        <v>87</v>
      </c>
      <c r="C97" s="110"/>
      <c r="D97" s="138"/>
      <c r="E97" s="138"/>
      <c r="F97" s="139"/>
      <c r="G97" s="140"/>
      <c r="H97" s="138"/>
      <c r="I97" s="138"/>
      <c r="J97" s="138"/>
      <c r="K97" s="138"/>
      <c r="L97" s="138"/>
      <c r="M97" s="138"/>
      <c r="N97" s="135"/>
      <c r="O97" s="135"/>
      <c r="P97" s="135"/>
      <c r="Q97" s="135"/>
      <c r="R97" s="135"/>
      <c r="S97" s="135"/>
      <c r="T97" s="135"/>
      <c r="U97" s="135"/>
      <c r="V97" s="135"/>
      <c r="W97" s="135"/>
      <c r="X97" s="135"/>
      <c r="Y97" s="135"/>
      <c r="Z97" s="136"/>
      <c r="AB97" s="156">
        <v>500</v>
      </c>
      <c r="AC97" s="157">
        <v>0.2</v>
      </c>
    </row>
    <row r="98" spans="1:29" ht="13.5" customHeight="1">
      <c r="A98" s="167" t="s">
        <v>92</v>
      </c>
      <c r="B98" s="168" t="s">
        <v>89</v>
      </c>
      <c r="C98" s="169"/>
      <c r="D98" s="138"/>
      <c r="E98" s="138"/>
      <c r="F98" s="139"/>
      <c r="G98" s="140"/>
      <c r="H98" s="138"/>
      <c r="I98" s="138"/>
      <c r="J98" s="138"/>
      <c r="K98" s="138"/>
      <c r="L98" s="138"/>
      <c r="M98" s="138"/>
      <c r="N98" s="135"/>
      <c r="O98" s="135"/>
      <c r="P98" s="135"/>
      <c r="Q98" s="135"/>
      <c r="R98" s="135"/>
      <c r="S98" s="135"/>
      <c r="T98" s="135"/>
      <c r="U98" s="135"/>
      <c r="V98" s="135"/>
      <c r="W98" s="135"/>
      <c r="X98" s="135"/>
      <c r="Y98" s="135"/>
      <c r="Z98" s="136"/>
      <c r="AB98" s="156">
        <v>500</v>
      </c>
      <c r="AC98" s="157">
        <v>0.15</v>
      </c>
    </row>
    <row r="99" spans="1:29" ht="13.5" customHeight="1">
      <c r="A99" s="60" t="s">
        <v>93</v>
      </c>
      <c r="B99" s="155" t="s">
        <v>91</v>
      </c>
      <c r="C99" s="110"/>
      <c r="D99" s="161"/>
      <c r="E99" s="161"/>
      <c r="F99" s="162"/>
      <c r="G99" s="163"/>
      <c r="H99" s="161"/>
      <c r="I99" s="161"/>
      <c r="J99" s="161"/>
      <c r="K99" s="161"/>
      <c r="L99" s="161"/>
      <c r="M99" s="161"/>
      <c r="N99" s="164"/>
      <c r="O99" s="164"/>
      <c r="P99" s="164"/>
      <c r="Q99" s="164"/>
      <c r="R99" s="164"/>
      <c r="S99" s="164"/>
      <c r="T99" s="164"/>
      <c r="U99" s="164"/>
      <c r="V99" s="164"/>
      <c r="W99" s="164"/>
      <c r="X99" s="164"/>
      <c r="Y99" s="164"/>
      <c r="Z99" s="165"/>
      <c r="AB99" s="153">
        <v>1000</v>
      </c>
      <c r="AC99" s="166">
        <v>0.6</v>
      </c>
    </row>
    <row r="100" spans="1:29" ht="13.5" customHeight="1">
      <c r="A100" s="60" t="s">
        <v>92</v>
      </c>
      <c r="B100" s="155" t="s">
        <v>86</v>
      </c>
      <c r="C100" s="110"/>
      <c r="D100" s="138"/>
      <c r="E100" s="138"/>
      <c r="F100" s="139"/>
      <c r="G100" s="140"/>
      <c r="H100" s="138"/>
      <c r="I100" s="138"/>
      <c r="J100" s="138"/>
      <c r="K100" s="138"/>
      <c r="L100" s="138"/>
      <c r="M100" s="138"/>
      <c r="N100" s="135"/>
      <c r="O100" s="135"/>
      <c r="P100" s="135"/>
      <c r="Q100" s="135"/>
      <c r="R100" s="135"/>
      <c r="S100" s="135"/>
      <c r="T100" s="135"/>
      <c r="U100" s="135"/>
      <c r="V100" s="135"/>
      <c r="W100" s="135"/>
      <c r="X100" s="135"/>
      <c r="Y100" s="135"/>
      <c r="Z100" s="136"/>
      <c r="AB100" s="156">
        <v>1000</v>
      </c>
      <c r="AC100" s="157">
        <v>0.35</v>
      </c>
    </row>
    <row r="101" spans="1:29" ht="13.5" customHeight="1">
      <c r="A101" s="60" t="s">
        <v>92</v>
      </c>
      <c r="B101" s="155" t="s">
        <v>87</v>
      </c>
      <c r="C101" s="110"/>
      <c r="D101" s="138"/>
      <c r="E101" s="138"/>
      <c r="F101" s="139"/>
      <c r="G101" s="140"/>
      <c r="H101" s="138"/>
      <c r="I101" s="138"/>
      <c r="J101" s="138"/>
      <c r="K101" s="138"/>
      <c r="L101" s="138"/>
      <c r="M101" s="138"/>
      <c r="N101" s="135"/>
      <c r="O101" s="135"/>
      <c r="P101" s="135"/>
      <c r="Q101" s="135"/>
      <c r="R101" s="135"/>
      <c r="S101" s="135"/>
      <c r="T101" s="135"/>
      <c r="U101" s="135"/>
      <c r="V101" s="135"/>
      <c r="W101" s="135"/>
      <c r="X101" s="135"/>
      <c r="Y101" s="135"/>
      <c r="Z101" s="136"/>
      <c r="AB101" s="156">
        <v>1000</v>
      </c>
      <c r="AC101" s="157">
        <v>0.5</v>
      </c>
    </row>
    <row r="102" spans="1:29" ht="13.5" customHeight="1" thickBot="1">
      <c r="A102" s="170" t="s">
        <v>85</v>
      </c>
      <c r="B102" s="171" t="s">
        <v>89</v>
      </c>
      <c r="C102" s="145"/>
      <c r="D102" s="172"/>
      <c r="E102" s="172"/>
      <c r="F102" s="173"/>
      <c r="G102" s="174"/>
      <c r="H102" s="172"/>
      <c r="I102" s="172"/>
      <c r="J102" s="172"/>
      <c r="K102" s="172"/>
      <c r="L102" s="172"/>
      <c r="M102" s="172"/>
      <c r="N102" s="175"/>
      <c r="O102" s="175"/>
      <c r="P102" s="175"/>
      <c r="Q102" s="175"/>
      <c r="R102" s="175"/>
      <c r="S102" s="175"/>
      <c r="T102" s="175"/>
      <c r="U102" s="175"/>
      <c r="V102" s="175"/>
      <c r="W102" s="175"/>
      <c r="X102" s="175"/>
      <c r="Y102" s="175"/>
      <c r="Z102" s="176"/>
      <c r="AB102" s="177">
        <v>1000</v>
      </c>
      <c r="AC102" s="178">
        <v>0.3</v>
      </c>
    </row>
    <row r="103" spans="1:29" ht="13.5" customHeight="1">
      <c r="A103" s="132"/>
      <c r="B103" s="132"/>
      <c r="C103" s="141"/>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9" ht="13.5" customHeight="1" thickBot="1">
      <c r="A104" s="117" t="s">
        <v>94</v>
      </c>
      <c r="B104" s="117"/>
      <c r="C104" s="14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9" ht="13.5" customHeight="1">
      <c r="A105" s="416" t="s">
        <v>95</v>
      </c>
      <c r="B105" s="179" t="s">
        <v>96</v>
      </c>
      <c r="C105" s="180"/>
      <c r="D105" s="706">
        <v>1</v>
      </c>
      <c r="E105" s="149"/>
      <c r="F105" s="150"/>
      <c r="G105" s="151"/>
      <c r="H105" s="149"/>
      <c r="I105" s="149"/>
      <c r="J105" s="149"/>
      <c r="K105" s="149"/>
      <c r="L105" s="149"/>
      <c r="M105" s="149"/>
      <c r="N105" s="149"/>
      <c r="O105" s="149"/>
      <c r="P105" s="149"/>
      <c r="Q105" s="149"/>
      <c r="R105" s="149"/>
      <c r="S105" s="149"/>
      <c r="T105" s="149"/>
      <c r="U105" s="149"/>
      <c r="V105" s="149"/>
      <c r="W105" s="149"/>
      <c r="X105" s="149"/>
      <c r="Y105" s="149"/>
      <c r="Z105" s="152"/>
      <c r="AB105" s="153">
        <v>500</v>
      </c>
      <c r="AC105" s="166">
        <v>0.7</v>
      </c>
    </row>
    <row r="106" spans="1:29" ht="13.5" customHeight="1">
      <c r="A106" s="60" t="s">
        <v>97</v>
      </c>
      <c r="B106" s="155" t="s">
        <v>98</v>
      </c>
      <c r="C106" s="110"/>
      <c r="D106" s="138"/>
      <c r="E106" s="138"/>
      <c r="F106" s="139"/>
      <c r="G106" s="140"/>
      <c r="H106" s="138"/>
      <c r="I106" s="138"/>
      <c r="J106" s="138"/>
      <c r="K106" s="138"/>
      <c r="L106" s="138"/>
      <c r="M106" s="138"/>
      <c r="N106" s="135"/>
      <c r="O106" s="135"/>
      <c r="P106" s="135"/>
      <c r="Q106" s="135"/>
      <c r="R106" s="135"/>
      <c r="S106" s="135"/>
      <c r="T106" s="135"/>
      <c r="U106" s="135"/>
      <c r="V106" s="135"/>
      <c r="W106" s="135"/>
      <c r="X106" s="135"/>
      <c r="Y106" s="135"/>
      <c r="Z106" s="136"/>
      <c r="AB106" s="156">
        <v>800</v>
      </c>
      <c r="AC106" s="157">
        <v>0.4</v>
      </c>
    </row>
    <row r="107" spans="1:29" ht="13.5" customHeight="1">
      <c r="A107" s="60" t="s">
        <v>97</v>
      </c>
      <c r="B107" s="155" t="s">
        <v>99</v>
      </c>
      <c r="C107" s="110"/>
      <c r="D107" s="138"/>
      <c r="E107" s="138"/>
      <c r="F107" s="139"/>
      <c r="G107" s="140"/>
      <c r="H107" s="138"/>
      <c r="I107" s="138"/>
      <c r="J107" s="138"/>
      <c r="K107" s="138"/>
      <c r="L107" s="138"/>
      <c r="M107" s="138"/>
      <c r="N107" s="135"/>
      <c r="O107" s="135"/>
      <c r="P107" s="135"/>
      <c r="Q107" s="135"/>
      <c r="R107" s="135"/>
      <c r="S107" s="135"/>
      <c r="T107" s="135"/>
      <c r="U107" s="135"/>
      <c r="V107" s="135"/>
      <c r="W107" s="135"/>
      <c r="X107" s="135"/>
      <c r="Y107" s="135"/>
      <c r="Z107" s="136"/>
      <c r="AB107" s="156">
        <v>800</v>
      </c>
      <c r="AC107" s="157">
        <v>0.8</v>
      </c>
    </row>
    <row r="108" spans="1:29" ht="13.5" customHeight="1">
      <c r="A108" s="60" t="s">
        <v>97</v>
      </c>
      <c r="B108" s="155" t="s">
        <v>100</v>
      </c>
      <c r="C108" s="110"/>
      <c r="D108" s="138"/>
      <c r="E108" s="138"/>
      <c r="F108" s="139"/>
      <c r="G108" s="140"/>
      <c r="H108" s="138"/>
      <c r="I108" s="138"/>
      <c r="J108" s="138"/>
      <c r="K108" s="138"/>
      <c r="L108" s="138"/>
      <c r="M108" s="138"/>
      <c r="N108" s="135"/>
      <c r="O108" s="135"/>
      <c r="P108" s="135"/>
      <c r="Q108" s="135"/>
      <c r="R108" s="135"/>
      <c r="S108" s="135"/>
      <c r="T108" s="135"/>
      <c r="U108" s="135"/>
      <c r="V108" s="135"/>
      <c r="W108" s="135"/>
      <c r="X108" s="135"/>
      <c r="Y108" s="135"/>
      <c r="Z108" s="136"/>
      <c r="AB108" s="156">
        <v>1000</v>
      </c>
      <c r="AC108" s="157">
        <v>1</v>
      </c>
    </row>
    <row r="109" spans="1:29" ht="13.5" customHeight="1">
      <c r="A109" s="415" t="s">
        <v>101</v>
      </c>
      <c r="B109" s="159" t="s">
        <v>102</v>
      </c>
      <c r="C109" s="160"/>
      <c r="D109" s="161"/>
      <c r="E109" s="161"/>
      <c r="F109" s="162"/>
      <c r="G109" s="163"/>
      <c r="H109" s="161"/>
      <c r="I109" s="161"/>
      <c r="J109" s="161"/>
      <c r="K109" s="161"/>
      <c r="L109" s="161"/>
      <c r="M109" s="161"/>
      <c r="N109" s="164"/>
      <c r="O109" s="164"/>
      <c r="P109" s="164"/>
      <c r="Q109" s="164"/>
      <c r="R109" s="164"/>
      <c r="S109" s="164"/>
      <c r="T109" s="164"/>
      <c r="U109" s="164"/>
      <c r="V109" s="164"/>
      <c r="W109" s="164"/>
      <c r="X109" s="164"/>
      <c r="Y109" s="164"/>
      <c r="Z109" s="165"/>
      <c r="AB109" s="153">
        <v>200</v>
      </c>
      <c r="AC109" s="166">
        <v>0.1</v>
      </c>
    </row>
    <row r="110" spans="1:29" ht="13.5" customHeight="1">
      <c r="A110" s="60"/>
      <c r="B110" s="155" t="s">
        <v>103</v>
      </c>
      <c r="C110" s="110"/>
      <c r="D110" s="138"/>
      <c r="E110" s="138"/>
      <c r="F110" s="139"/>
      <c r="G110" s="140"/>
      <c r="H110" s="138"/>
      <c r="I110" s="138"/>
      <c r="J110" s="138"/>
      <c r="K110" s="138"/>
      <c r="L110" s="138"/>
      <c r="M110" s="138"/>
      <c r="N110" s="135"/>
      <c r="O110" s="135"/>
      <c r="P110" s="135"/>
      <c r="Q110" s="135"/>
      <c r="R110" s="135"/>
      <c r="S110" s="135"/>
      <c r="T110" s="135"/>
      <c r="U110" s="135"/>
      <c r="V110" s="135"/>
      <c r="W110" s="135"/>
      <c r="X110" s="135"/>
      <c r="Y110" s="135"/>
      <c r="Z110" s="136"/>
      <c r="AB110" s="156">
        <v>150</v>
      </c>
      <c r="AC110" s="156">
        <v>0.05</v>
      </c>
    </row>
    <row r="111" spans="1:29" ht="13.5" customHeight="1" thickBot="1">
      <c r="A111" s="60" t="s">
        <v>97</v>
      </c>
      <c r="B111" s="171" t="s">
        <v>100</v>
      </c>
      <c r="C111" s="110"/>
      <c r="D111" s="172"/>
      <c r="E111" s="172"/>
      <c r="F111" s="173"/>
      <c r="G111" s="174"/>
      <c r="H111" s="172"/>
      <c r="I111" s="172"/>
      <c r="J111" s="172"/>
      <c r="K111" s="172"/>
      <c r="L111" s="172"/>
      <c r="M111" s="172"/>
      <c r="N111" s="175"/>
      <c r="O111" s="175"/>
      <c r="P111" s="175"/>
      <c r="Q111" s="175"/>
      <c r="R111" s="175"/>
      <c r="S111" s="175"/>
      <c r="T111" s="175"/>
      <c r="U111" s="175"/>
      <c r="V111" s="175"/>
      <c r="W111" s="175"/>
      <c r="X111" s="175"/>
      <c r="Y111" s="175"/>
      <c r="Z111" s="176"/>
      <c r="AB111" s="177">
        <v>100</v>
      </c>
      <c r="AC111" s="178">
        <v>0</v>
      </c>
    </row>
    <row r="112" spans="1:29" ht="13.5" customHeight="1">
      <c r="A112" s="132"/>
      <c r="B112" s="132"/>
      <c r="C112" s="141"/>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9" ht="13.5" customHeight="1" thickBot="1">
      <c r="A113" s="117" t="s">
        <v>104</v>
      </c>
      <c r="B113" s="117"/>
      <c r="C113" s="14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9" ht="13.5" customHeight="1">
      <c r="A114" s="416" t="s">
        <v>105</v>
      </c>
      <c r="B114" s="179" t="s">
        <v>106</v>
      </c>
      <c r="C114" s="180"/>
      <c r="D114" s="181">
        <v>2</v>
      </c>
      <c r="E114" s="181"/>
      <c r="F114" s="182"/>
      <c r="G114" s="183"/>
      <c r="H114" s="181"/>
      <c r="I114" s="181"/>
      <c r="J114" s="181"/>
      <c r="K114" s="181"/>
      <c r="L114" s="181"/>
      <c r="M114" s="181"/>
      <c r="N114" s="149"/>
      <c r="O114" s="149"/>
      <c r="P114" s="149"/>
      <c r="Q114" s="149"/>
      <c r="R114" s="149"/>
      <c r="S114" s="149"/>
      <c r="T114" s="149"/>
      <c r="U114" s="149"/>
      <c r="V114" s="149"/>
      <c r="W114" s="149"/>
      <c r="X114" s="149"/>
      <c r="Y114" s="149"/>
      <c r="Z114" s="152"/>
      <c r="AB114" s="153">
        <v>300</v>
      </c>
      <c r="AC114" s="166">
        <v>0.1</v>
      </c>
    </row>
    <row r="115" spans="1:29" ht="13.5" customHeight="1">
      <c r="A115" s="416" t="s">
        <v>107</v>
      </c>
      <c r="B115" s="155" t="s">
        <v>108</v>
      </c>
      <c r="C115" s="110"/>
      <c r="D115" s="138"/>
      <c r="E115" s="138"/>
      <c r="F115" s="139"/>
      <c r="G115" s="140"/>
      <c r="H115" s="138"/>
      <c r="I115" s="138"/>
      <c r="J115" s="138"/>
      <c r="K115" s="138"/>
      <c r="L115" s="138"/>
      <c r="M115" s="138"/>
      <c r="N115" s="135"/>
      <c r="O115" s="135"/>
      <c r="P115" s="135"/>
      <c r="Q115" s="135"/>
      <c r="R115" s="135"/>
      <c r="S115" s="135"/>
      <c r="T115" s="135"/>
      <c r="U115" s="135"/>
      <c r="V115" s="135"/>
      <c r="W115" s="135"/>
      <c r="X115" s="135"/>
      <c r="Y115" s="135"/>
      <c r="Z115" s="136"/>
      <c r="AB115" s="156">
        <v>500</v>
      </c>
      <c r="AC115" s="157">
        <v>0.15</v>
      </c>
    </row>
    <row r="116" spans="1:29" ht="13.5" customHeight="1">
      <c r="A116" s="417" t="s">
        <v>109</v>
      </c>
      <c r="B116" s="168" t="s">
        <v>110</v>
      </c>
      <c r="C116" s="169"/>
      <c r="D116" s="184"/>
      <c r="E116" s="184"/>
      <c r="F116" s="185"/>
      <c r="G116" s="186"/>
      <c r="H116" s="184"/>
      <c r="I116" s="184"/>
      <c r="J116" s="184"/>
      <c r="K116" s="184"/>
      <c r="L116" s="184"/>
      <c r="M116" s="184"/>
      <c r="N116" s="187"/>
      <c r="O116" s="187"/>
      <c r="P116" s="187"/>
      <c r="Q116" s="187"/>
      <c r="R116" s="187"/>
      <c r="S116" s="187"/>
      <c r="T116" s="187"/>
      <c r="U116" s="187"/>
      <c r="V116" s="187"/>
      <c r="W116" s="187"/>
      <c r="X116" s="187"/>
      <c r="Y116" s="187"/>
      <c r="Z116" s="188"/>
      <c r="AB116" s="156">
        <v>1000</v>
      </c>
      <c r="AC116" s="157">
        <v>0.25</v>
      </c>
    </row>
    <row r="117" spans="1:29" ht="13.5" customHeight="1">
      <c r="A117" s="158" t="s">
        <v>111</v>
      </c>
      <c r="B117" s="159" t="s">
        <v>112</v>
      </c>
      <c r="C117" s="160"/>
      <c r="D117" s="161"/>
      <c r="E117" s="161"/>
      <c r="F117" s="162"/>
      <c r="G117" s="163"/>
      <c r="H117" s="161"/>
      <c r="I117" s="161"/>
      <c r="J117" s="161"/>
      <c r="K117" s="161"/>
      <c r="L117" s="161"/>
      <c r="M117" s="161"/>
      <c r="N117" s="164"/>
      <c r="O117" s="164"/>
      <c r="P117" s="164"/>
      <c r="Q117" s="164"/>
      <c r="R117" s="164"/>
      <c r="S117" s="164"/>
      <c r="T117" s="164"/>
      <c r="U117" s="164"/>
      <c r="V117" s="164"/>
      <c r="W117" s="164"/>
      <c r="X117" s="164"/>
      <c r="Y117" s="164"/>
      <c r="Z117" s="165"/>
      <c r="AB117" s="153">
        <v>1500</v>
      </c>
      <c r="AC117" s="166">
        <v>4</v>
      </c>
    </row>
    <row r="118" spans="1:29" ht="13.5" customHeight="1">
      <c r="A118" s="60" t="s">
        <v>92</v>
      </c>
      <c r="B118" s="155" t="s">
        <v>113</v>
      </c>
      <c r="C118" s="110"/>
      <c r="D118" s="138"/>
      <c r="E118" s="138"/>
      <c r="F118" s="139"/>
      <c r="G118" s="140"/>
      <c r="H118" s="138"/>
      <c r="I118" s="138"/>
      <c r="J118" s="138"/>
      <c r="K118" s="138"/>
      <c r="L118" s="138"/>
      <c r="M118" s="138"/>
      <c r="N118" s="135"/>
      <c r="O118" s="135"/>
      <c r="P118" s="135"/>
      <c r="Q118" s="135"/>
      <c r="R118" s="135"/>
      <c r="S118" s="135"/>
      <c r="T118" s="135"/>
      <c r="U118" s="135"/>
      <c r="V118" s="135"/>
      <c r="W118" s="135"/>
      <c r="X118" s="135"/>
      <c r="Y118" s="135"/>
      <c r="Z118" s="136"/>
      <c r="AB118" s="156">
        <v>1000</v>
      </c>
      <c r="AC118" s="157">
        <v>2</v>
      </c>
    </row>
    <row r="119" spans="1:29" ht="13.5" customHeight="1">
      <c r="A119" s="60" t="s">
        <v>85</v>
      </c>
      <c r="B119" s="155" t="s">
        <v>114</v>
      </c>
      <c r="C119" s="110"/>
      <c r="D119" s="138"/>
      <c r="E119" s="138"/>
      <c r="F119" s="139"/>
      <c r="G119" s="140"/>
      <c r="H119" s="138"/>
      <c r="I119" s="138"/>
      <c r="J119" s="138"/>
      <c r="K119" s="138"/>
      <c r="L119" s="138"/>
      <c r="M119" s="138"/>
      <c r="N119" s="135"/>
      <c r="O119" s="135"/>
      <c r="P119" s="135"/>
      <c r="Q119" s="135"/>
      <c r="R119" s="135"/>
      <c r="S119" s="135"/>
      <c r="T119" s="135"/>
      <c r="U119" s="135"/>
      <c r="V119" s="135"/>
      <c r="W119" s="135"/>
      <c r="X119" s="135"/>
      <c r="Y119" s="135"/>
      <c r="Z119" s="136"/>
      <c r="AB119" s="156">
        <v>1000</v>
      </c>
      <c r="AC119" s="157">
        <v>2</v>
      </c>
    </row>
    <row r="120" spans="1:29" ht="13.5" customHeight="1">
      <c r="A120" s="167" t="s">
        <v>92</v>
      </c>
      <c r="B120" s="168" t="s">
        <v>115</v>
      </c>
      <c r="C120" s="169"/>
      <c r="D120" s="138"/>
      <c r="E120" s="138"/>
      <c r="F120" s="139"/>
      <c r="G120" s="140"/>
      <c r="H120" s="138"/>
      <c r="I120" s="138"/>
      <c r="J120" s="138"/>
      <c r="K120" s="138"/>
      <c r="L120" s="138"/>
      <c r="M120" s="138"/>
      <c r="N120" s="135"/>
      <c r="O120" s="135"/>
      <c r="P120" s="135"/>
      <c r="Q120" s="135"/>
      <c r="R120" s="135"/>
      <c r="S120" s="135"/>
      <c r="T120" s="135"/>
      <c r="U120" s="135"/>
      <c r="V120" s="135"/>
      <c r="W120" s="135"/>
      <c r="X120" s="135"/>
      <c r="Y120" s="135"/>
      <c r="Z120" s="136"/>
      <c r="AB120" s="156">
        <v>800</v>
      </c>
      <c r="AC120" s="157">
        <v>0.25</v>
      </c>
    </row>
    <row r="121" spans="1:29" ht="13.5" customHeight="1">
      <c r="A121" s="415" t="s">
        <v>116</v>
      </c>
      <c r="B121" s="159" t="s">
        <v>117</v>
      </c>
      <c r="C121" s="160"/>
      <c r="D121" s="161"/>
      <c r="E121" s="161"/>
      <c r="F121" s="162"/>
      <c r="G121" s="163"/>
      <c r="H121" s="161"/>
      <c r="I121" s="161"/>
      <c r="J121" s="161"/>
      <c r="K121" s="161"/>
      <c r="L121" s="161"/>
      <c r="M121" s="161"/>
      <c r="N121" s="164"/>
      <c r="O121" s="164"/>
      <c r="P121" s="164"/>
      <c r="Q121" s="164"/>
      <c r="R121" s="164"/>
      <c r="S121" s="164"/>
      <c r="T121" s="164"/>
      <c r="U121" s="164"/>
      <c r="V121" s="164"/>
      <c r="W121" s="164"/>
      <c r="X121" s="164"/>
      <c r="Y121" s="164"/>
      <c r="Z121" s="165"/>
      <c r="AB121" s="153">
        <v>2000</v>
      </c>
      <c r="AC121" s="166">
        <v>10</v>
      </c>
    </row>
    <row r="122" spans="1:29" ht="13.5" customHeight="1">
      <c r="A122" s="60"/>
      <c r="B122" s="155" t="s">
        <v>118</v>
      </c>
      <c r="C122" s="110"/>
      <c r="D122" s="138"/>
      <c r="E122" s="138"/>
      <c r="F122" s="139"/>
      <c r="G122" s="140"/>
      <c r="H122" s="138"/>
      <c r="I122" s="138"/>
      <c r="J122" s="138"/>
      <c r="K122" s="138"/>
      <c r="L122" s="138"/>
      <c r="M122" s="138"/>
      <c r="N122" s="135"/>
      <c r="O122" s="135"/>
      <c r="P122" s="135"/>
      <c r="Q122" s="135"/>
      <c r="R122" s="135"/>
      <c r="S122" s="135"/>
      <c r="T122" s="135"/>
      <c r="U122" s="135"/>
      <c r="V122" s="135"/>
      <c r="W122" s="135"/>
      <c r="X122" s="135"/>
      <c r="Y122" s="135"/>
      <c r="Z122" s="136"/>
      <c r="AB122" s="156">
        <v>1500</v>
      </c>
      <c r="AC122" s="157">
        <v>1.5</v>
      </c>
    </row>
    <row r="123" spans="1:29" ht="13.5" customHeight="1" thickBot="1">
      <c r="A123" s="170" t="s">
        <v>97</v>
      </c>
      <c r="B123" s="171" t="s">
        <v>119</v>
      </c>
      <c r="C123" s="189"/>
      <c r="D123" s="172"/>
      <c r="E123" s="172"/>
      <c r="F123" s="173"/>
      <c r="G123" s="174"/>
      <c r="H123" s="172"/>
      <c r="I123" s="172"/>
      <c r="J123" s="172"/>
      <c r="K123" s="172"/>
      <c r="L123" s="172"/>
      <c r="M123" s="172"/>
      <c r="N123" s="175"/>
      <c r="O123" s="175"/>
      <c r="P123" s="175"/>
      <c r="Q123" s="175"/>
      <c r="R123" s="175"/>
      <c r="S123" s="175"/>
      <c r="T123" s="175"/>
      <c r="U123" s="175"/>
      <c r="V123" s="175"/>
      <c r="W123" s="175"/>
      <c r="X123" s="175"/>
      <c r="Y123" s="175"/>
      <c r="Z123" s="176"/>
      <c r="AB123" s="177">
        <v>1000</v>
      </c>
      <c r="AC123" s="178">
        <v>0.5</v>
      </c>
    </row>
    <row r="124" spans="1:29" ht="13.5" customHeight="1">
      <c r="A124" s="132"/>
      <c r="B124" s="132"/>
      <c r="C124" s="141"/>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9" ht="13.5" customHeight="1" thickBot="1">
      <c r="A125" s="117" t="s">
        <v>120</v>
      </c>
      <c r="B125" s="190"/>
      <c r="C125" s="14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9" ht="13.5" customHeight="1">
      <c r="A126" s="191" t="s">
        <v>121</v>
      </c>
      <c r="B126" s="192" t="s">
        <v>122</v>
      </c>
      <c r="C126" s="193"/>
      <c r="D126" s="149"/>
      <c r="E126" s="149"/>
      <c r="F126" s="150"/>
      <c r="G126" s="151"/>
      <c r="H126" s="149"/>
      <c r="I126" s="149"/>
      <c r="J126" s="149"/>
      <c r="K126" s="149"/>
      <c r="L126" s="149"/>
      <c r="M126" s="149"/>
      <c r="N126" s="149"/>
      <c r="O126" s="149"/>
      <c r="P126" s="149"/>
      <c r="Q126" s="149"/>
      <c r="R126" s="149"/>
      <c r="S126" s="149"/>
      <c r="T126" s="149"/>
      <c r="U126" s="149"/>
      <c r="V126" s="149"/>
      <c r="W126" s="149"/>
      <c r="X126" s="149"/>
      <c r="Y126" s="149"/>
      <c r="Z126" s="152"/>
      <c r="AB126" s="153">
        <v>160</v>
      </c>
      <c r="AC126" s="166">
        <v>1.5</v>
      </c>
    </row>
    <row r="127" spans="1:29" ht="13.5" customHeight="1">
      <c r="A127" s="194"/>
      <c r="B127" s="195" t="s">
        <v>123</v>
      </c>
      <c r="C127" s="196"/>
      <c r="D127" s="138"/>
      <c r="E127" s="138"/>
      <c r="F127" s="139"/>
      <c r="G127" s="140"/>
      <c r="H127" s="138"/>
      <c r="I127" s="138"/>
      <c r="J127" s="138"/>
      <c r="K127" s="138"/>
      <c r="L127" s="138"/>
      <c r="M127" s="138"/>
      <c r="N127" s="135"/>
      <c r="O127" s="135"/>
      <c r="P127" s="135"/>
      <c r="Q127" s="135"/>
      <c r="R127" s="135"/>
      <c r="S127" s="135"/>
      <c r="T127" s="135"/>
      <c r="U127" s="135"/>
      <c r="V127" s="135"/>
      <c r="W127" s="135"/>
      <c r="X127" s="135"/>
      <c r="Y127" s="135"/>
      <c r="Z127" s="136"/>
      <c r="AB127" s="156">
        <v>160</v>
      </c>
      <c r="AC127" s="157">
        <v>2</v>
      </c>
    </row>
    <row r="128" spans="1:29" ht="13.5" customHeight="1">
      <c r="A128" s="197"/>
      <c r="B128" s="198" t="s">
        <v>124</v>
      </c>
      <c r="C128" s="199"/>
      <c r="D128" s="184"/>
      <c r="E128" s="184"/>
      <c r="F128" s="185"/>
      <c r="G128" s="186"/>
      <c r="H128" s="184"/>
      <c r="I128" s="184"/>
      <c r="J128" s="184"/>
      <c r="K128" s="184"/>
      <c r="L128" s="184"/>
      <c r="M128" s="184"/>
      <c r="N128" s="187"/>
      <c r="O128" s="187"/>
      <c r="P128" s="187"/>
      <c r="Q128" s="187"/>
      <c r="R128" s="187"/>
      <c r="S128" s="187"/>
      <c r="T128" s="187"/>
      <c r="U128" s="187"/>
      <c r="V128" s="187"/>
      <c r="W128" s="187"/>
      <c r="X128" s="187"/>
      <c r="Y128" s="187"/>
      <c r="Z128" s="188"/>
      <c r="AB128" s="156">
        <v>160</v>
      </c>
      <c r="AC128" s="157">
        <v>1.23</v>
      </c>
    </row>
    <row r="129" spans="1:29" ht="13.5" customHeight="1">
      <c r="A129" s="194" t="s">
        <v>125</v>
      </c>
      <c r="B129" s="195" t="s">
        <v>126</v>
      </c>
      <c r="C129" s="196"/>
      <c r="D129" s="138"/>
      <c r="E129" s="138"/>
      <c r="F129" s="139"/>
      <c r="G129" s="140"/>
      <c r="H129" s="138"/>
      <c r="I129" s="138"/>
      <c r="J129" s="138"/>
      <c r="K129" s="138"/>
      <c r="L129" s="138"/>
      <c r="M129" s="138"/>
      <c r="N129" s="135"/>
      <c r="O129" s="135"/>
      <c r="P129" s="135"/>
      <c r="Q129" s="135"/>
      <c r="R129" s="135"/>
      <c r="S129" s="135"/>
      <c r="T129" s="135"/>
      <c r="U129" s="135"/>
      <c r="V129" s="135"/>
      <c r="W129" s="135"/>
      <c r="X129" s="135"/>
      <c r="Y129" s="135"/>
      <c r="Z129" s="136"/>
      <c r="AB129" s="200"/>
      <c r="AC129" s="201">
        <v>0</v>
      </c>
    </row>
    <row r="130" spans="1:29" ht="13.5" customHeight="1">
      <c r="A130" s="418" t="s">
        <v>127</v>
      </c>
      <c r="B130" s="202" t="s">
        <v>128</v>
      </c>
      <c r="C130" s="203"/>
      <c r="D130" s="204"/>
      <c r="E130" s="205"/>
      <c r="F130" s="206"/>
      <c r="G130" s="124"/>
      <c r="H130" s="205"/>
      <c r="I130" s="205"/>
      <c r="J130" s="205"/>
      <c r="K130" s="205"/>
      <c r="L130" s="205"/>
      <c r="M130" s="205"/>
      <c r="N130" s="205"/>
      <c r="O130" s="205"/>
      <c r="P130" s="205"/>
      <c r="Q130" s="205"/>
      <c r="R130" s="205"/>
      <c r="S130" s="205"/>
      <c r="T130" s="205"/>
      <c r="U130" s="205"/>
      <c r="V130" s="205"/>
      <c r="W130" s="205"/>
      <c r="X130" s="205"/>
      <c r="Y130" s="205"/>
      <c r="Z130" s="125"/>
    </row>
    <row r="131" spans="1:29" ht="13.5" customHeight="1">
      <c r="A131" s="194"/>
      <c r="B131" s="195" t="s">
        <v>129</v>
      </c>
      <c r="C131" s="196"/>
      <c r="D131" s="207"/>
      <c r="E131" s="138"/>
      <c r="F131" s="139"/>
      <c r="G131" s="140"/>
      <c r="H131" s="138"/>
      <c r="I131" s="138"/>
      <c r="J131" s="138"/>
      <c r="K131" s="138"/>
      <c r="L131" s="138"/>
      <c r="M131" s="138"/>
      <c r="N131" s="135"/>
      <c r="O131" s="135"/>
      <c r="P131" s="135"/>
      <c r="Q131" s="135"/>
      <c r="R131" s="135"/>
      <c r="S131" s="135"/>
      <c r="T131" s="135"/>
      <c r="U131" s="135"/>
      <c r="V131" s="135"/>
      <c r="W131" s="135"/>
      <c r="X131" s="135"/>
      <c r="Y131" s="135"/>
      <c r="Z131" s="136"/>
    </row>
    <row r="132" spans="1:29" ht="13.5" customHeight="1">
      <c r="A132" s="197"/>
      <c r="B132" s="198" t="s">
        <v>130</v>
      </c>
      <c r="C132" s="199"/>
      <c r="D132" s="208"/>
      <c r="E132" s="184"/>
      <c r="F132" s="185"/>
      <c r="G132" s="186"/>
      <c r="H132" s="184"/>
      <c r="I132" s="184"/>
      <c r="J132" s="184"/>
      <c r="K132" s="184"/>
      <c r="L132" s="184"/>
      <c r="M132" s="184"/>
      <c r="N132" s="187"/>
      <c r="O132" s="187"/>
      <c r="P132" s="187"/>
      <c r="Q132" s="187"/>
      <c r="R132" s="187"/>
      <c r="S132" s="187"/>
      <c r="T132" s="187"/>
      <c r="U132" s="187"/>
      <c r="V132" s="187"/>
      <c r="W132" s="187"/>
      <c r="X132" s="187"/>
      <c r="Y132" s="187"/>
      <c r="Z132" s="188"/>
    </row>
    <row r="133" spans="1:29" ht="13.5" customHeight="1">
      <c r="A133" s="415" t="s">
        <v>131</v>
      </c>
      <c r="B133" s="202" t="s">
        <v>128</v>
      </c>
      <c r="C133" s="160"/>
      <c r="D133" s="161"/>
      <c r="E133" s="161"/>
      <c r="F133" s="162"/>
      <c r="G133" s="163"/>
      <c r="H133" s="161"/>
      <c r="I133" s="161"/>
      <c r="J133" s="161"/>
      <c r="K133" s="161"/>
      <c r="L133" s="161"/>
      <c r="M133" s="161"/>
      <c r="N133" s="164"/>
      <c r="O133" s="164"/>
      <c r="P133" s="164"/>
      <c r="Q133" s="164"/>
      <c r="R133" s="164"/>
      <c r="S133" s="164"/>
      <c r="T133" s="164"/>
      <c r="U133" s="164"/>
      <c r="V133" s="164"/>
      <c r="W133" s="164"/>
      <c r="X133" s="164"/>
      <c r="Y133" s="164"/>
      <c r="Z133" s="165"/>
    </row>
    <row r="134" spans="1:29" ht="13.5" customHeight="1">
      <c r="A134" s="60"/>
      <c r="B134" s="195" t="s">
        <v>129</v>
      </c>
      <c r="C134" s="110"/>
      <c r="D134" s="138"/>
      <c r="E134" s="138"/>
      <c r="F134" s="139"/>
      <c r="G134" s="140"/>
      <c r="H134" s="138"/>
      <c r="I134" s="138"/>
      <c r="J134" s="138"/>
      <c r="K134" s="138"/>
      <c r="L134" s="138"/>
      <c r="M134" s="138"/>
      <c r="N134" s="135"/>
      <c r="O134" s="135"/>
      <c r="P134" s="135"/>
      <c r="Q134" s="135"/>
      <c r="R134" s="135"/>
      <c r="S134" s="135"/>
      <c r="T134" s="135"/>
      <c r="U134" s="135"/>
      <c r="V134" s="135"/>
      <c r="W134" s="135"/>
      <c r="X134" s="135"/>
      <c r="Y134" s="135"/>
      <c r="Z134" s="136"/>
    </row>
    <row r="135" spans="1:29" ht="13.5" customHeight="1" thickBot="1">
      <c r="A135" s="170" t="s">
        <v>97</v>
      </c>
      <c r="B135" s="209" t="s">
        <v>132</v>
      </c>
      <c r="C135" s="189"/>
      <c r="D135" s="172"/>
      <c r="E135" s="172"/>
      <c r="F135" s="173"/>
      <c r="G135" s="174"/>
      <c r="H135" s="172"/>
      <c r="I135" s="172"/>
      <c r="J135" s="172"/>
      <c r="K135" s="172"/>
      <c r="L135" s="172"/>
      <c r="M135" s="172"/>
      <c r="N135" s="175"/>
      <c r="O135" s="175"/>
      <c r="P135" s="175"/>
      <c r="Q135" s="175"/>
      <c r="R135" s="175"/>
      <c r="S135" s="175"/>
      <c r="T135" s="175"/>
      <c r="U135" s="175"/>
      <c r="V135" s="175"/>
      <c r="W135" s="175"/>
      <c r="X135" s="175"/>
      <c r="Y135" s="175"/>
      <c r="Z135" s="176"/>
    </row>
    <row r="136" spans="1:29" ht="13.5" customHeight="1">
      <c r="A136" s="486"/>
      <c r="B136" s="210"/>
      <c r="C136" s="110"/>
      <c r="D136" s="211"/>
      <c r="E136" s="211"/>
      <c r="F136" s="211"/>
      <c r="G136" s="211"/>
      <c r="H136" s="211"/>
      <c r="I136" s="211"/>
      <c r="J136" s="211"/>
      <c r="K136" s="211"/>
      <c r="L136" s="211"/>
      <c r="M136" s="211"/>
      <c r="N136" s="212"/>
      <c r="O136" s="212"/>
      <c r="P136" s="212"/>
      <c r="Q136" s="212"/>
      <c r="R136" s="212"/>
      <c r="S136" s="212"/>
      <c r="T136" s="212"/>
      <c r="U136" s="212"/>
      <c r="V136" s="212"/>
      <c r="W136" s="212"/>
      <c r="X136" s="212"/>
      <c r="Y136" s="212"/>
      <c r="Z136" s="212"/>
    </row>
    <row r="137" spans="1:29" ht="13.5" customHeight="1">
      <c r="A137" s="137"/>
      <c r="B137" s="210"/>
      <c r="C137" s="110"/>
      <c r="D137" s="211"/>
      <c r="E137" s="211"/>
      <c r="F137" s="211"/>
      <c r="G137" s="211"/>
      <c r="H137" s="211"/>
      <c r="I137" s="211"/>
      <c r="J137" s="211"/>
      <c r="K137" s="211"/>
      <c r="L137" s="211"/>
      <c r="M137" s="211"/>
      <c r="N137" s="212"/>
      <c r="O137" s="212"/>
      <c r="P137" s="212"/>
      <c r="Q137" s="212"/>
      <c r="R137" s="212"/>
      <c r="S137" s="212"/>
      <c r="T137" s="212"/>
      <c r="U137" s="212"/>
      <c r="V137" s="212"/>
      <c r="W137" s="212"/>
      <c r="X137" s="212"/>
      <c r="Y137" s="212"/>
      <c r="Z137" s="212"/>
    </row>
    <row r="138" spans="1:29" ht="13.5" customHeight="1">
      <c r="A138" s="137"/>
      <c r="B138" s="210"/>
      <c r="C138" s="110"/>
      <c r="D138" s="211"/>
      <c r="E138" s="211"/>
      <c r="F138" s="211"/>
      <c r="G138" s="211"/>
      <c r="H138" s="211"/>
      <c r="I138" s="211"/>
      <c r="J138" s="211"/>
      <c r="K138" s="211"/>
      <c r="L138" s="211"/>
      <c r="M138" s="211"/>
      <c r="N138" s="212"/>
      <c r="O138" s="212"/>
      <c r="P138" s="212"/>
      <c r="Q138" s="212"/>
      <c r="R138" s="212"/>
      <c r="S138" s="212"/>
      <c r="T138" s="212"/>
      <c r="U138" s="212"/>
      <c r="V138" s="212"/>
      <c r="W138" s="212"/>
      <c r="X138" s="212"/>
      <c r="Y138" s="212"/>
      <c r="Z138" s="212"/>
    </row>
    <row r="139" spans="1:29" ht="13.5" customHeight="1">
      <c r="A139" s="137"/>
      <c r="B139" s="210"/>
      <c r="C139" s="110"/>
      <c r="D139" s="211"/>
      <c r="E139" s="211"/>
      <c r="F139" s="211"/>
      <c r="G139" s="211"/>
      <c r="H139" s="211"/>
      <c r="I139" s="211"/>
      <c r="J139" s="211"/>
      <c r="K139" s="211"/>
      <c r="L139" s="211"/>
      <c r="M139" s="211"/>
      <c r="N139" s="212"/>
      <c r="O139" s="212"/>
      <c r="P139" s="212"/>
      <c r="Q139" s="212"/>
      <c r="R139" s="212"/>
      <c r="S139" s="212"/>
      <c r="T139" s="212"/>
      <c r="U139" s="212"/>
      <c r="V139" s="212"/>
      <c r="W139" s="212"/>
      <c r="X139" s="212"/>
      <c r="Y139" s="212"/>
      <c r="Z139" s="212"/>
    </row>
    <row r="140" spans="1:29" ht="13.5" customHeight="1">
      <c r="A140" s="137"/>
      <c r="B140" s="210"/>
      <c r="C140" s="110"/>
      <c r="D140" s="211"/>
      <c r="E140" s="211"/>
      <c r="F140" s="211"/>
      <c r="G140" s="211"/>
      <c r="H140" s="211"/>
      <c r="I140" s="211"/>
      <c r="J140" s="211"/>
      <c r="K140" s="211"/>
      <c r="L140" s="211"/>
      <c r="M140" s="211"/>
      <c r="N140" s="212"/>
      <c r="O140" s="212"/>
      <c r="P140" s="212"/>
      <c r="Q140" s="212"/>
      <c r="R140" s="212"/>
      <c r="S140" s="212"/>
      <c r="T140" s="212"/>
      <c r="U140" s="212"/>
      <c r="V140" s="212"/>
      <c r="W140" s="212"/>
      <c r="X140" s="212"/>
      <c r="Y140" s="212"/>
      <c r="Z140" s="212"/>
    </row>
    <row r="141" spans="1:29" ht="13.5" customHeight="1">
      <c r="A141" s="137"/>
      <c r="B141" s="210"/>
      <c r="C141" s="110"/>
      <c r="D141" s="211"/>
      <c r="E141" s="211"/>
      <c r="F141" s="211"/>
      <c r="G141" s="211"/>
      <c r="H141" s="211"/>
      <c r="I141" s="211"/>
      <c r="J141" s="211"/>
      <c r="K141" s="211"/>
      <c r="L141" s="211"/>
      <c r="M141" s="211"/>
      <c r="N141" s="212"/>
      <c r="O141" s="212"/>
      <c r="P141" s="212"/>
      <c r="Q141" s="212"/>
      <c r="R141" s="212"/>
      <c r="S141" s="212"/>
      <c r="T141" s="212"/>
      <c r="U141" s="212"/>
      <c r="V141" s="212"/>
      <c r="W141" s="212"/>
      <c r="X141" s="212"/>
      <c r="Y141" s="212"/>
      <c r="Z141" s="212"/>
    </row>
    <row r="142" spans="1:29" ht="13.5" customHeight="1">
      <c r="A142" s="137"/>
      <c r="B142" s="210"/>
      <c r="C142" s="110"/>
      <c r="D142" s="211"/>
      <c r="E142" s="211"/>
      <c r="F142" s="211"/>
      <c r="G142" s="211"/>
      <c r="H142" s="211"/>
      <c r="I142" s="211"/>
      <c r="J142" s="211"/>
      <c r="K142" s="211"/>
      <c r="L142" s="211"/>
      <c r="M142" s="211"/>
      <c r="N142" s="212"/>
      <c r="O142" s="212"/>
      <c r="P142" s="212"/>
      <c r="Q142" s="212"/>
      <c r="R142" s="212"/>
      <c r="S142" s="212"/>
      <c r="T142" s="212"/>
      <c r="U142" s="212"/>
      <c r="V142" s="212"/>
      <c r="W142" s="212"/>
      <c r="X142" s="212"/>
      <c r="Y142" s="212"/>
      <c r="Z142" s="212"/>
    </row>
    <row r="143" spans="1:29" ht="13.5" customHeight="1">
      <c r="A143" s="137"/>
      <c r="B143" s="210"/>
      <c r="C143" s="110"/>
      <c r="D143" s="211"/>
      <c r="E143" s="211"/>
      <c r="F143" s="211"/>
      <c r="G143" s="211"/>
      <c r="H143" s="211"/>
      <c r="I143" s="211"/>
      <c r="J143" s="211"/>
      <c r="K143" s="211"/>
      <c r="L143" s="211"/>
      <c r="M143" s="211"/>
      <c r="N143" s="212"/>
      <c r="O143" s="212"/>
      <c r="P143" s="212"/>
      <c r="Q143" s="212"/>
      <c r="R143" s="212"/>
      <c r="S143" s="212"/>
      <c r="T143" s="212"/>
      <c r="U143" s="212"/>
      <c r="V143" s="212"/>
      <c r="W143" s="212"/>
      <c r="X143" s="212"/>
      <c r="Y143" s="212"/>
      <c r="Z143" s="212"/>
    </row>
    <row r="144" spans="1:29" ht="13.5" customHeight="1">
      <c r="A144" s="137"/>
      <c r="B144" s="210"/>
      <c r="C144" s="110"/>
      <c r="D144" s="211"/>
      <c r="E144" s="211"/>
      <c r="F144" s="211"/>
      <c r="G144" s="211"/>
      <c r="H144" s="211"/>
      <c r="I144" s="211"/>
      <c r="J144" s="211"/>
      <c r="K144" s="211"/>
      <c r="L144" s="211"/>
      <c r="M144" s="211"/>
      <c r="N144" s="212"/>
      <c r="O144" s="212"/>
      <c r="P144" s="212"/>
      <c r="Q144" s="212"/>
      <c r="R144" s="212"/>
      <c r="S144" s="212"/>
      <c r="T144" s="212"/>
      <c r="U144" s="212"/>
      <c r="V144" s="212"/>
      <c r="W144" s="212"/>
      <c r="X144" s="212"/>
      <c r="Y144" s="212"/>
      <c r="Z144" s="212"/>
    </row>
    <row r="145" spans="1:26" ht="13.5" customHeight="1">
      <c r="A145" s="137"/>
      <c r="B145" s="210"/>
      <c r="C145" s="110"/>
      <c r="D145" s="211"/>
      <c r="E145" s="211"/>
      <c r="F145" s="211"/>
      <c r="G145" s="211"/>
      <c r="H145" s="211"/>
      <c r="I145" s="211"/>
      <c r="J145" s="211"/>
      <c r="K145" s="211"/>
      <c r="L145" s="211"/>
      <c r="M145" s="211"/>
      <c r="N145" s="212"/>
      <c r="O145" s="212"/>
      <c r="P145" s="212"/>
      <c r="Q145" s="212"/>
      <c r="R145" s="212"/>
      <c r="S145" s="212"/>
      <c r="T145" s="212"/>
      <c r="U145" s="212"/>
      <c r="V145" s="212"/>
      <c r="W145" s="212"/>
      <c r="X145" s="212"/>
      <c r="Y145" s="212"/>
      <c r="Z145" s="212"/>
    </row>
    <row r="146" spans="1:26" ht="13.5" customHeight="1">
      <c r="A146" s="137"/>
      <c r="B146" s="210"/>
      <c r="C146" s="110"/>
      <c r="D146" s="211"/>
      <c r="E146" s="211"/>
      <c r="F146" s="211"/>
      <c r="G146" s="211"/>
      <c r="H146" s="211"/>
      <c r="I146" s="211"/>
      <c r="J146" s="211"/>
      <c r="K146" s="211"/>
      <c r="L146" s="211"/>
      <c r="M146" s="211"/>
      <c r="N146" s="212"/>
      <c r="O146" s="212"/>
      <c r="P146" s="212"/>
      <c r="Q146" s="212"/>
      <c r="R146" s="212"/>
      <c r="S146" s="212"/>
      <c r="T146" s="212"/>
      <c r="U146" s="212"/>
      <c r="V146" s="212"/>
      <c r="W146" s="212"/>
      <c r="X146" s="212"/>
      <c r="Y146" s="212"/>
      <c r="Z146" s="212"/>
    </row>
    <row r="147" spans="1:26" ht="13.5" customHeight="1">
      <c r="A147" s="137"/>
      <c r="B147" s="210"/>
      <c r="C147" s="110"/>
      <c r="D147" s="211"/>
      <c r="E147" s="211"/>
      <c r="F147" s="211"/>
      <c r="G147" s="211"/>
      <c r="H147" s="211"/>
      <c r="I147" s="211"/>
      <c r="J147" s="211"/>
      <c r="K147" s="211"/>
      <c r="L147" s="211"/>
      <c r="M147" s="211"/>
      <c r="N147" s="212"/>
      <c r="O147" s="212"/>
      <c r="P147" s="212"/>
      <c r="Q147" s="212"/>
      <c r="R147" s="212"/>
      <c r="S147" s="212"/>
      <c r="T147" s="212"/>
      <c r="U147" s="212"/>
      <c r="V147" s="212"/>
      <c r="W147" s="212"/>
      <c r="X147" s="212"/>
      <c r="Y147" s="212"/>
      <c r="Z147" s="212"/>
    </row>
    <row r="148" spans="1:26" ht="13.5" customHeight="1">
      <c r="A148" s="137"/>
      <c r="B148" s="210"/>
      <c r="C148" s="110"/>
      <c r="D148" s="211"/>
      <c r="E148" s="211"/>
      <c r="F148" s="211"/>
      <c r="G148" s="211"/>
      <c r="H148" s="211"/>
      <c r="I148" s="211"/>
      <c r="J148" s="211"/>
      <c r="K148" s="211"/>
      <c r="L148" s="211"/>
      <c r="M148" s="211"/>
      <c r="N148" s="212"/>
      <c r="O148" s="212"/>
      <c r="P148" s="212"/>
      <c r="Q148" s="212"/>
      <c r="R148" s="212"/>
      <c r="S148" s="212"/>
      <c r="T148" s="212"/>
      <c r="U148" s="212"/>
      <c r="V148" s="212"/>
      <c r="W148" s="212"/>
      <c r="X148" s="212"/>
      <c r="Y148" s="212"/>
      <c r="Z148" s="212"/>
    </row>
    <row r="149" spans="1:26" ht="13.5" customHeight="1">
      <c r="A149" s="137"/>
      <c r="B149" s="210"/>
      <c r="C149" s="110"/>
      <c r="D149" s="211"/>
      <c r="E149" s="211"/>
      <c r="F149" s="211"/>
      <c r="G149" s="211"/>
      <c r="H149" s="211"/>
      <c r="I149" s="211"/>
      <c r="J149" s="211"/>
      <c r="K149" s="211"/>
      <c r="L149" s="211"/>
      <c r="M149" s="211"/>
      <c r="N149" s="212"/>
      <c r="O149" s="212"/>
      <c r="P149" s="212"/>
      <c r="Q149" s="212"/>
      <c r="R149" s="212"/>
      <c r="S149" s="212"/>
      <c r="T149" s="212"/>
      <c r="U149" s="212"/>
      <c r="V149" s="212"/>
      <c r="W149" s="212"/>
      <c r="X149" s="212"/>
      <c r="Y149" s="212"/>
      <c r="Z149" s="212"/>
    </row>
    <row r="150" spans="1:26" ht="13.5" customHeight="1">
      <c r="A150" s="137"/>
      <c r="B150" s="210"/>
      <c r="C150" s="110"/>
      <c r="D150" s="211"/>
      <c r="E150" s="211"/>
      <c r="F150" s="211"/>
      <c r="G150" s="211"/>
      <c r="H150" s="211"/>
      <c r="I150" s="211"/>
      <c r="J150" s="211"/>
      <c r="K150" s="211"/>
      <c r="L150" s="211"/>
      <c r="M150" s="211"/>
      <c r="N150" s="212"/>
      <c r="O150" s="212"/>
      <c r="P150" s="212"/>
      <c r="Q150" s="212"/>
      <c r="R150" s="212"/>
      <c r="S150" s="212"/>
      <c r="T150" s="212"/>
      <c r="U150" s="212"/>
      <c r="V150" s="212"/>
      <c r="W150" s="212"/>
      <c r="X150" s="212"/>
      <c r="Y150" s="212"/>
      <c r="Z150" s="212"/>
    </row>
    <row r="151" spans="1:26" ht="13.5" customHeight="1">
      <c r="A151" s="137"/>
      <c r="B151" s="210"/>
      <c r="C151" s="110"/>
      <c r="D151" s="211"/>
      <c r="E151" s="211"/>
      <c r="F151" s="211"/>
      <c r="G151" s="211"/>
      <c r="H151" s="211"/>
      <c r="I151" s="211"/>
      <c r="J151" s="211"/>
      <c r="K151" s="211"/>
      <c r="L151" s="211"/>
      <c r="M151" s="211"/>
      <c r="N151" s="212"/>
      <c r="O151" s="212"/>
      <c r="P151" s="212"/>
      <c r="Q151" s="212"/>
      <c r="R151" s="212"/>
      <c r="S151" s="212"/>
      <c r="T151" s="212"/>
      <c r="U151" s="212"/>
      <c r="V151" s="212"/>
      <c r="W151" s="212"/>
      <c r="X151" s="212"/>
      <c r="Y151" s="212"/>
      <c r="Z151" s="212"/>
    </row>
    <row r="152" spans="1:26" ht="13.5" customHeight="1">
      <c r="A152" s="137"/>
      <c r="B152" s="210"/>
      <c r="C152" s="110"/>
      <c r="D152" s="211"/>
      <c r="E152" s="211"/>
      <c r="F152" s="211"/>
      <c r="G152" s="211"/>
      <c r="H152" s="211"/>
      <c r="I152" s="211"/>
      <c r="J152" s="211"/>
      <c r="K152" s="211"/>
      <c r="L152" s="211"/>
      <c r="M152" s="211"/>
      <c r="N152" s="212"/>
      <c r="O152" s="212"/>
      <c r="P152" s="212"/>
      <c r="Q152" s="212"/>
      <c r="R152" s="212"/>
      <c r="S152" s="212"/>
      <c r="T152" s="212"/>
      <c r="U152" s="212"/>
      <c r="V152" s="212"/>
      <c r="W152" s="212"/>
      <c r="X152" s="212"/>
      <c r="Y152" s="212"/>
      <c r="Z152" s="212"/>
    </row>
    <row r="153" spans="1:26" ht="13.5" customHeight="1">
      <c r="A153" s="213" t="s">
        <v>133</v>
      </c>
      <c r="B153" s="214"/>
      <c r="C153" s="196"/>
      <c r="D153" s="211"/>
      <c r="E153" s="211"/>
      <c r="F153" s="211"/>
      <c r="G153" s="211"/>
      <c r="H153" s="211"/>
      <c r="I153" s="211"/>
      <c r="J153" s="211"/>
      <c r="K153" s="211"/>
      <c r="L153" s="211"/>
      <c r="M153" s="211"/>
      <c r="N153" s="212"/>
      <c r="O153" s="212"/>
      <c r="P153" s="212"/>
      <c r="Q153" s="212"/>
      <c r="R153" s="212"/>
      <c r="S153" s="212"/>
      <c r="T153" s="212"/>
      <c r="U153" s="212"/>
      <c r="V153" s="212"/>
      <c r="W153" s="212"/>
      <c r="X153" s="212"/>
      <c r="Y153" s="212"/>
      <c r="Z153" s="212"/>
    </row>
    <row r="154" spans="1:26" ht="13.5" customHeight="1" thickBot="1">
      <c r="A154" s="215" t="s">
        <v>134</v>
      </c>
      <c r="B154" s="216"/>
      <c r="C154" s="217"/>
      <c r="D154" s="211"/>
      <c r="E154" s="211"/>
      <c r="F154" s="211"/>
      <c r="G154" s="211"/>
      <c r="H154" s="211"/>
      <c r="I154" s="211"/>
      <c r="J154" s="211"/>
      <c r="K154" s="211"/>
      <c r="L154" s="211"/>
      <c r="M154" s="211"/>
      <c r="N154" s="212"/>
      <c r="O154" s="212"/>
      <c r="P154" s="212"/>
      <c r="Q154" s="212"/>
      <c r="R154" s="212"/>
      <c r="S154" s="212"/>
      <c r="T154" s="212"/>
      <c r="U154" s="212"/>
      <c r="V154" s="212"/>
      <c r="W154" s="212"/>
      <c r="X154" s="212"/>
      <c r="Y154" s="212"/>
      <c r="Z154" s="212"/>
    </row>
    <row r="155" spans="1:26" ht="13.5" customHeight="1">
      <c r="A155" s="218" t="s">
        <v>83</v>
      </c>
      <c r="B155" s="219" t="s">
        <v>84</v>
      </c>
      <c r="C155" s="220"/>
      <c r="D155" s="221">
        <f t="shared" ref="D155:Z155" si="27">(+$AB91/D$69+$AC91*(1+1/(D$63/0.0254)))*D91</f>
        <v>0</v>
      </c>
      <c r="E155" s="221" t="e">
        <f t="shared" si="27"/>
        <v>#DIV/0!</v>
      </c>
      <c r="F155" s="222" t="e">
        <f t="shared" si="27"/>
        <v>#DIV/0!</v>
      </c>
      <c r="G155" s="222">
        <f t="shared" si="27"/>
        <v>0</v>
      </c>
      <c r="H155" s="222">
        <f t="shared" si="27"/>
        <v>0</v>
      </c>
      <c r="I155" s="222">
        <f t="shared" si="27"/>
        <v>0</v>
      </c>
      <c r="J155" s="222" t="e">
        <f t="shared" si="27"/>
        <v>#DIV/0!</v>
      </c>
      <c r="K155" s="222">
        <f t="shared" si="27"/>
        <v>0</v>
      </c>
      <c r="L155" s="222" t="e">
        <f t="shared" si="27"/>
        <v>#DIV/0!</v>
      </c>
      <c r="M155" s="222">
        <f t="shared" si="27"/>
        <v>0</v>
      </c>
      <c r="N155" s="222" t="e">
        <f t="shared" si="27"/>
        <v>#DIV/0!</v>
      </c>
      <c r="O155" s="222" t="e">
        <f t="shared" si="27"/>
        <v>#DIV/0!</v>
      </c>
      <c r="P155" s="222" t="e">
        <f t="shared" si="27"/>
        <v>#DIV/0!</v>
      </c>
      <c r="Q155" s="222" t="e">
        <f t="shared" si="27"/>
        <v>#DIV/0!</v>
      </c>
      <c r="R155" s="222" t="e">
        <f t="shared" si="27"/>
        <v>#DIV/0!</v>
      </c>
      <c r="S155" s="222" t="e">
        <f t="shared" si="27"/>
        <v>#DIV/0!</v>
      </c>
      <c r="T155" s="222" t="e">
        <f t="shared" si="27"/>
        <v>#DIV/0!</v>
      </c>
      <c r="U155" s="222" t="e">
        <f t="shared" si="27"/>
        <v>#DIV/0!</v>
      </c>
      <c r="V155" s="222" t="e">
        <f t="shared" si="27"/>
        <v>#DIV/0!</v>
      </c>
      <c r="W155" s="222" t="e">
        <f t="shared" si="27"/>
        <v>#DIV/0!</v>
      </c>
      <c r="X155" s="222" t="e">
        <f t="shared" si="27"/>
        <v>#DIV/0!</v>
      </c>
      <c r="Y155" s="222" t="e">
        <f t="shared" si="27"/>
        <v>#DIV/0!</v>
      </c>
      <c r="Z155" s="223" t="e">
        <f t="shared" si="27"/>
        <v>#DIV/0!</v>
      </c>
    </row>
    <row r="156" spans="1:26" ht="13.5" customHeight="1">
      <c r="A156" s="224" t="s">
        <v>85</v>
      </c>
      <c r="B156" s="225" t="s">
        <v>86</v>
      </c>
      <c r="C156" s="226"/>
      <c r="D156" s="227">
        <f t="shared" ref="D156:Z156" si="28">(+$AB92/D$69+$AC92*(1+1/(D$63/0.0254)))*D92</f>
        <v>0.29531450627144251</v>
      </c>
      <c r="E156" s="227" t="e">
        <f t="shared" si="28"/>
        <v>#DIV/0!</v>
      </c>
      <c r="F156" s="227" t="e">
        <f t="shared" si="28"/>
        <v>#DIV/0!</v>
      </c>
      <c r="G156" s="227">
        <f t="shared" si="28"/>
        <v>0</v>
      </c>
      <c r="H156" s="227">
        <f t="shared" si="28"/>
        <v>0</v>
      </c>
      <c r="I156" s="227">
        <f t="shared" si="28"/>
        <v>0</v>
      </c>
      <c r="J156" s="227" t="e">
        <f t="shared" si="28"/>
        <v>#DIV/0!</v>
      </c>
      <c r="K156" s="227">
        <f t="shared" si="28"/>
        <v>0</v>
      </c>
      <c r="L156" s="227" t="e">
        <f t="shared" si="28"/>
        <v>#DIV/0!</v>
      </c>
      <c r="M156" s="227">
        <f t="shared" si="28"/>
        <v>0</v>
      </c>
      <c r="N156" s="227" t="e">
        <f t="shared" si="28"/>
        <v>#DIV/0!</v>
      </c>
      <c r="O156" s="227" t="e">
        <f t="shared" si="28"/>
        <v>#DIV/0!</v>
      </c>
      <c r="P156" s="227" t="e">
        <f t="shared" si="28"/>
        <v>#DIV/0!</v>
      </c>
      <c r="Q156" s="227" t="e">
        <f t="shared" si="28"/>
        <v>#DIV/0!</v>
      </c>
      <c r="R156" s="227" t="e">
        <f t="shared" si="28"/>
        <v>#DIV/0!</v>
      </c>
      <c r="S156" s="227" t="e">
        <f t="shared" si="28"/>
        <v>#DIV/0!</v>
      </c>
      <c r="T156" s="227" t="e">
        <f t="shared" si="28"/>
        <v>#DIV/0!</v>
      </c>
      <c r="U156" s="227" t="e">
        <f t="shared" si="28"/>
        <v>#DIV/0!</v>
      </c>
      <c r="V156" s="227" t="e">
        <f t="shared" si="28"/>
        <v>#DIV/0!</v>
      </c>
      <c r="W156" s="227" t="e">
        <f t="shared" si="28"/>
        <v>#DIV/0!</v>
      </c>
      <c r="X156" s="227" t="e">
        <f t="shared" si="28"/>
        <v>#DIV/0!</v>
      </c>
      <c r="Y156" s="227" t="e">
        <f t="shared" si="28"/>
        <v>#DIV/0!</v>
      </c>
      <c r="Z156" s="228" t="e">
        <f t="shared" si="28"/>
        <v>#DIV/0!</v>
      </c>
    </row>
    <row r="157" spans="1:26" ht="13.5" customHeight="1">
      <c r="A157" s="224" t="s">
        <v>85</v>
      </c>
      <c r="B157" s="225" t="s">
        <v>87</v>
      </c>
      <c r="C157" s="226"/>
      <c r="D157" s="227">
        <f t="shared" ref="D157:Z157" si="29">(+$AB93/D$69+$AC93*(1+1/(D$63/0.0254)))*D93</f>
        <v>0</v>
      </c>
      <c r="E157" s="227" t="e">
        <f t="shared" si="29"/>
        <v>#DIV/0!</v>
      </c>
      <c r="F157" s="227" t="e">
        <f t="shared" si="29"/>
        <v>#DIV/0!</v>
      </c>
      <c r="G157" s="227">
        <f t="shared" si="29"/>
        <v>0</v>
      </c>
      <c r="H157" s="227">
        <f t="shared" si="29"/>
        <v>0</v>
      </c>
      <c r="I157" s="227">
        <f t="shared" si="29"/>
        <v>0</v>
      </c>
      <c r="J157" s="227" t="e">
        <f t="shared" si="29"/>
        <v>#DIV/0!</v>
      </c>
      <c r="K157" s="227">
        <f t="shared" si="29"/>
        <v>0</v>
      </c>
      <c r="L157" s="227" t="e">
        <f t="shared" si="29"/>
        <v>#DIV/0!</v>
      </c>
      <c r="M157" s="227">
        <f t="shared" si="29"/>
        <v>0</v>
      </c>
      <c r="N157" s="227" t="e">
        <f t="shared" si="29"/>
        <v>#DIV/0!</v>
      </c>
      <c r="O157" s="227" t="e">
        <f t="shared" si="29"/>
        <v>#DIV/0!</v>
      </c>
      <c r="P157" s="227" t="e">
        <f t="shared" si="29"/>
        <v>#DIV/0!</v>
      </c>
      <c r="Q157" s="227" t="e">
        <f t="shared" si="29"/>
        <v>#DIV/0!</v>
      </c>
      <c r="R157" s="227" t="e">
        <f t="shared" si="29"/>
        <v>#DIV/0!</v>
      </c>
      <c r="S157" s="227" t="e">
        <f t="shared" si="29"/>
        <v>#DIV/0!</v>
      </c>
      <c r="T157" s="227" t="e">
        <f t="shared" si="29"/>
        <v>#DIV/0!</v>
      </c>
      <c r="U157" s="227" t="e">
        <f t="shared" si="29"/>
        <v>#DIV/0!</v>
      </c>
      <c r="V157" s="227" t="e">
        <f t="shared" si="29"/>
        <v>#DIV/0!</v>
      </c>
      <c r="W157" s="227" t="e">
        <f t="shared" si="29"/>
        <v>#DIV/0!</v>
      </c>
      <c r="X157" s="227" t="e">
        <f t="shared" si="29"/>
        <v>#DIV/0!</v>
      </c>
      <c r="Y157" s="227" t="e">
        <f t="shared" si="29"/>
        <v>#DIV/0!</v>
      </c>
      <c r="Z157" s="228" t="e">
        <f t="shared" si="29"/>
        <v>#DIV/0!</v>
      </c>
    </row>
    <row r="158" spans="1:26" ht="13.5" customHeight="1">
      <c r="A158" s="224" t="s">
        <v>88</v>
      </c>
      <c r="B158" s="225" t="s">
        <v>89</v>
      </c>
      <c r="C158" s="226"/>
      <c r="D158" s="227">
        <f t="shared" ref="D158:Z158" si="30">(+$AB94/D$69+$AC94*(1+1/(D$63/0.0254)))*D94</f>
        <v>0</v>
      </c>
      <c r="E158" s="227" t="e">
        <f t="shared" si="30"/>
        <v>#DIV/0!</v>
      </c>
      <c r="F158" s="227" t="e">
        <f t="shared" si="30"/>
        <v>#DIV/0!</v>
      </c>
      <c r="G158" s="227">
        <f t="shared" si="30"/>
        <v>0</v>
      </c>
      <c r="H158" s="227">
        <f t="shared" si="30"/>
        <v>0</v>
      </c>
      <c r="I158" s="227">
        <f t="shared" si="30"/>
        <v>0</v>
      </c>
      <c r="J158" s="227" t="e">
        <f t="shared" si="30"/>
        <v>#DIV/0!</v>
      </c>
      <c r="K158" s="227">
        <f t="shared" si="30"/>
        <v>0</v>
      </c>
      <c r="L158" s="227" t="e">
        <f t="shared" si="30"/>
        <v>#DIV/0!</v>
      </c>
      <c r="M158" s="227">
        <f t="shared" si="30"/>
        <v>0</v>
      </c>
      <c r="N158" s="227" t="e">
        <f t="shared" si="30"/>
        <v>#DIV/0!</v>
      </c>
      <c r="O158" s="227" t="e">
        <f t="shared" si="30"/>
        <v>#DIV/0!</v>
      </c>
      <c r="P158" s="227" t="e">
        <f t="shared" si="30"/>
        <v>#DIV/0!</v>
      </c>
      <c r="Q158" s="227" t="e">
        <f t="shared" si="30"/>
        <v>#DIV/0!</v>
      </c>
      <c r="R158" s="227" t="e">
        <f t="shared" si="30"/>
        <v>#DIV/0!</v>
      </c>
      <c r="S158" s="227" t="e">
        <f t="shared" si="30"/>
        <v>#DIV/0!</v>
      </c>
      <c r="T158" s="227" t="e">
        <f t="shared" si="30"/>
        <v>#DIV/0!</v>
      </c>
      <c r="U158" s="227" t="e">
        <f t="shared" si="30"/>
        <v>#DIV/0!</v>
      </c>
      <c r="V158" s="227" t="e">
        <f t="shared" si="30"/>
        <v>#DIV/0!</v>
      </c>
      <c r="W158" s="227" t="e">
        <f t="shared" si="30"/>
        <v>#DIV/0!</v>
      </c>
      <c r="X158" s="227" t="e">
        <f t="shared" si="30"/>
        <v>#DIV/0!</v>
      </c>
      <c r="Y158" s="227" t="e">
        <f t="shared" si="30"/>
        <v>#DIV/0!</v>
      </c>
      <c r="Z158" s="228" t="e">
        <f t="shared" si="30"/>
        <v>#DIV/0!</v>
      </c>
    </row>
    <row r="159" spans="1:26" ht="13.5" customHeight="1">
      <c r="A159" s="229" t="s">
        <v>90</v>
      </c>
      <c r="B159" s="230" t="s">
        <v>91</v>
      </c>
      <c r="C159" s="231"/>
      <c r="D159" s="232">
        <f t="shared" ref="D159:Z159" si="31">(+$AB95/D$69+$AC95*(1+1/(D$63/0.0254)))*D95</f>
        <v>0</v>
      </c>
      <c r="E159" s="232" t="e">
        <f t="shared" si="31"/>
        <v>#DIV/0!</v>
      </c>
      <c r="F159" s="232" t="e">
        <f t="shared" si="31"/>
        <v>#DIV/0!</v>
      </c>
      <c r="G159" s="232">
        <f t="shared" si="31"/>
        <v>0</v>
      </c>
      <c r="H159" s="232">
        <f t="shared" si="31"/>
        <v>0</v>
      </c>
      <c r="I159" s="232">
        <f t="shared" si="31"/>
        <v>0</v>
      </c>
      <c r="J159" s="232" t="e">
        <f t="shared" si="31"/>
        <v>#DIV/0!</v>
      </c>
      <c r="K159" s="232">
        <f t="shared" si="31"/>
        <v>0</v>
      </c>
      <c r="L159" s="232" t="e">
        <f t="shared" si="31"/>
        <v>#DIV/0!</v>
      </c>
      <c r="M159" s="232">
        <f t="shared" si="31"/>
        <v>0</v>
      </c>
      <c r="N159" s="232" t="e">
        <f t="shared" si="31"/>
        <v>#DIV/0!</v>
      </c>
      <c r="O159" s="232" t="e">
        <f t="shared" si="31"/>
        <v>#DIV/0!</v>
      </c>
      <c r="P159" s="232" t="e">
        <f t="shared" si="31"/>
        <v>#DIV/0!</v>
      </c>
      <c r="Q159" s="232" t="e">
        <f t="shared" si="31"/>
        <v>#DIV/0!</v>
      </c>
      <c r="R159" s="232" t="e">
        <f t="shared" si="31"/>
        <v>#DIV/0!</v>
      </c>
      <c r="S159" s="232" t="e">
        <f t="shared" si="31"/>
        <v>#DIV/0!</v>
      </c>
      <c r="T159" s="232" t="e">
        <f t="shared" si="31"/>
        <v>#DIV/0!</v>
      </c>
      <c r="U159" s="232" t="e">
        <f t="shared" si="31"/>
        <v>#DIV/0!</v>
      </c>
      <c r="V159" s="232" t="e">
        <f t="shared" si="31"/>
        <v>#DIV/0!</v>
      </c>
      <c r="W159" s="232" t="e">
        <f t="shared" si="31"/>
        <v>#DIV/0!</v>
      </c>
      <c r="X159" s="232" t="e">
        <f t="shared" si="31"/>
        <v>#DIV/0!</v>
      </c>
      <c r="Y159" s="232" t="e">
        <f t="shared" si="31"/>
        <v>#DIV/0!</v>
      </c>
      <c r="Z159" s="233" t="e">
        <f t="shared" si="31"/>
        <v>#DIV/0!</v>
      </c>
    </row>
    <row r="160" spans="1:26" ht="13.5" customHeight="1">
      <c r="A160" s="224" t="s">
        <v>92</v>
      </c>
      <c r="B160" s="225" t="s">
        <v>86</v>
      </c>
      <c r="C160" s="226"/>
      <c r="D160" s="227">
        <f t="shared" ref="D160:Z160" si="32">(+$AB96/D$69+$AC96*(1+1/(D$63/0.0254)))*D96</f>
        <v>0</v>
      </c>
      <c r="E160" s="227" t="e">
        <f t="shared" si="32"/>
        <v>#DIV/0!</v>
      </c>
      <c r="F160" s="227" t="e">
        <f t="shared" si="32"/>
        <v>#DIV/0!</v>
      </c>
      <c r="G160" s="227">
        <f t="shared" si="32"/>
        <v>0</v>
      </c>
      <c r="H160" s="227">
        <f t="shared" si="32"/>
        <v>0</v>
      </c>
      <c r="I160" s="227">
        <f t="shared" si="32"/>
        <v>0</v>
      </c>
      <c r="J160" s="227" t="e">
        <f t="shared" si="32"/>
        <v>#DIV/0!</v>
      </c>
      <c r="K160" s="227">
        <f t="shared" si="32"/>
        <v>0</v>
      </c>
      <c r="L160" s="227" t="e">
        <f t="shared" si="32"/>
        <v>#DIV/0!</v>
      </c>
      <c r="M160" s="227">
        <f t="shared" si="32"/>
        <v>0</v>
      </c>
      <c r="N160" s="227" t="e">
        <f t="shared" si="32"/>
        <v>#DIV/0!</v>
      </c>
      <c r="O160" s="227" t="e">
        <f t="shared" si="32"/>
        <v>#DIV/0!</v>
      </c>
      <c r="P160" s="227" t="e">
        <f t="shared" si="32"/>
        <v>#DIV/0!</v>
      </c>
      <c r="Q160" s="227" t="e">
        <f t="shared" si="32"/>
        <v>#DIV/0!</v>
      </c>
      <c r="R160" s="227" t="e">
        <f t="shared" si="32"/>
        <v>#DIV/0!</v>
      </c>
      <c r="S160" s="227" t="e">
        <f t="shared" si="32"/>
        <v>#DIV/0!</v>
      </c>
      <c r="T160" s="227" t="e">
        <f t="shared" si="32"/>
        <v>#DIV/0!</v>
      </c>
      <c r="U160" s="227" t="e">
        <f t="shared" si="32"/>
        <v>#DIV/0!</v>
      </c>
      <c r="V160" s="227" t="e">
        <f t="shared" si="32"/>
        <v>#DIV/0!</v>
      </c>
      <c r="W160" s="227" t="e">
        <f t="shared" si="32"/>
        <v>#DIV/0!</v>
      </c>
      <c r="X160" s="227" t="e">
        <f t="shared" si="32"/>
        <v>#DIV/0!</v>
      </c>
      <c r="Y160" s="227" t="e">
        <f t="shared" si="32"/>
        <v>#DIV/0!</v>
      </c>
      <c r="Z160" s="228" t="e">
        <f t="shared" si="32"/>
        <v>#DIV/0!</v>
      </c>
    </row>
    <row r="161" spans="1:26" ht="13.5" customHeight="1">
      <c r="A161" s="224" t="s">
        <v>85</v>
      </c>
      <c r="B161" s="225" t="s">
        <v>87</v>
      </c>
      <c r="C161" s="226"/>
      <c r="D161" s="227">
        <f t="shared" ref="D161:Z161" si="33">(+$AB97/D$69+$AC97*(1+1/(D$63/0.0254)))*D97</f>
        <v>0</v>
      </c>
      <c r="E161" s="227" t="e">
        <f t="shared" si="33"/>
        <v>#DIV/0!</v>
      </c>
      <c r="F161" s="227" t="e">
        <f t="shared" si="33"/>
        <v>#DIV/0!</v>
      </c>
      <c r="G161" s="227">
        <f t="shared" si="33"/>
        <v>0</v>
      </c>
      <c r="H161" s="227">
        <f t="shared" si="33"/>
        <v>0</v>
      </c>
      <c r="I161" s="227">
        <f t="shared" si="33"/>
        <v>0</v>
      </c>
      <c r="J161" s="227" t="e">
        <f t="shared" si="33"/>
        <v>#DIV/0!</v>
      </c>
      <c r="K161" s="227">
        <f t="shared" si="33"/>
        <v>0</v>
      </c>
      <c r="L161" s="227" t="e">
        <f t="shared" si="33"/>
        <v>#DIV/0!</v>
      </c>
      <c r="M161" s="227">
        <f t="shared" si="33"/>
        <v>0</v>
      </c>
      <c r="N161" s="227" t="e">
        <f t="shared" si="33"/>
        <v>#DIV/0!</v>
      </c>
      <c r="O161" s="227" t="e">
        <f t="shared" si="33"/>
        <v>#DIV/0!</v>
      </c>
      <c r="P161" s="227" t="e">
        <f t="shared" si="33"/>
        <v>#DIV/0!</v>
      </c>
      <c r="Q161" s="227" t="e">
        <f t="shared" si="33"/>
        <v>#DIV/0!</v>
      </c>
      <c r="R161" s="227" t="e">
        <f t="shared" si="33"/>
        <v>#DIV/0!</v>
      </c>
      <c r="S161" s="227" t="e">
        <f t="shared" si="33"/>
        <v>#DIV/0!</v>
      </c>
      <c r="T161" s="227" t="e">
        <f t="shared" si="33"/>
        <v>#DIV/0!</v>
      </c>
      <c r="U161" s="227" t="e">
        <f t="shared" si="33"/>
        <v>#DIV/0!</v>
      </c>
      <c r="V161" s="227" t="e">
        <f t="shared" si="33"/>
        <v>#DIV/0!</v>
      </c>
      <c r="W161" s="227" t="e">
        <f t="shared" si="33"/>
        <v>#DIV/0!</v>
      </c>
      <c r="X161" s="227" t="e">
        <f t="shared" si="33"/>
        <v>#DIV/0!</v>
      </c>
      <c r="Y161" s="227" t="e">
        <f t="shared" si="33"/>
        <v>#DIV/0!</v>
      </c>
      <c r="Z161" s="228" t="e">
        <f t="shared" si="33"/>
        <v>#DIV/0!</v>
      </c>
    </row>
    <row r="162" spans="1:26" ht="13.5" customHeight="1">
      <c r="A162" s="234" t="s">
        <v>92</v>
      </c>
      <c r="B162" s="235" t="s">
        <v>89</v>
      </c>
      <c r="C162" s="236"/>
      <c r="D162" s="237">
        <f t="shared" ref="D162:Z162" si="34">(+$AB98/D$69+$AC98*(1+1/(D$63/0.0254)))*D98</f>
        <v>0</v>
      </c>
      <c r="E162" s="237" t="e">
        <f t="shared" si="34"/>
        <v>#DIV/0!</v>
      </c>
      <c r="F162" s="237" t="e">
        <f t="shared" si="34"/>
        <v>#DIV/0!</v>
      </c>
      <c r="G162" s="237">
        <f t="shared" si="34"/>
        <v>0</v>
      </c>
      <c r="H162" s="237">
        <f t="shared" si="34"/>
        <v>0</v>
      </c>
      <c r="I162" s="237">
        <f t="shared" si="34"/>
        <v>0</v>
      </c>
      <c r="J162" s="237" t="e">
        <f t="shared" si="34"/>
        <v>#DIV/0!</v>
      </c>
      <c r="K162" s="237">
        <f t="shared" si="34"/>
        <v>0</v>
      </c>
      <c r="L162" s="237" t="e">
        <f t="shared" si="34"/>
        <v>#DIV/0!</v>
      </c>
      <c r="M162" s="237">
        <f t="shared" si="34"/>
        <v>0</v>
      </c>
      <c r="N162" s="237" t="e">
        <f t="shared" si="34"/>
        <v>#DIV/0!</v>
      </c>
      <c r="O162" s="237" t="e">
        <f t="shared" si="34"/>
        <v>#DIV/0!</v>
      </c>
      <c r="P162" s="237" t="e">
        <f t="shared" si="34"/>
        <v>#DIV/0!</v>
      </c>
      <c r="Q162" s="237" t="e">
        <f t="shared" si="34"/>
        <v>#DIV/0!</v>
      </c>
      <c r="R162" s="237" t="e">
        <f t="shared" si="34"/>
        <v>#DIV/0!</v>
      </c>
      <c r="S162" s="237" t="e">
        <f t="shared" si="34"/>
        <v>#DIV/0!</v>
      </c>
      <c r="T162" s="237" t="e">
        <f t="shared" si="34"/>
        <v>#DIV/0!</v>
      </c>
      <c r="U162" s="237" t="e">
        <f t="shared" si="34"/>
        <v>#DIV/0!</v>
      </c>
      <c r="V162" s="237" t="e">
        <f t="shared" si="34"/>
        <v>#DIV/0!</v>
      </c>
      <c r="W162" s="237" t="e">
        <f t="shared" si="34"/>
        <v>#DIV/0!</v>
      </c>
      <c r="X162" s="237" t="e">
        <f t="shared" si="34"/>
        <v>#DIV/0!</v>
      </c>
      <c r="Y162" s="237" t="e">
        <f t="shared" si="34"/>
        <v>#DIV/0!</v>
      </c>
      <c r="Z162" s="238" t="e">
        <f t="shared" si="34"/>
        <v>#DIV/0!</v>
      </c>
    </row>
    <row r="163" spans="1:26" ht="13.5" customHeight="1">
      <c r="A163" s="224" t="s">
        <v>93</v>
      </c>
      <c r="B163" s="225" t="s">
        <v>91</v>
      </c>
      <c r="C163" s="226"/>
      <c r="D163" s="227">
        <f t="shared" ref="D163:Z163" si="35">(+$AB99/D$69+$AC99*(1+1/(D$63/0.0254)))*D99</f>
        <v>0</v>
      </c>
      <c r="E163" s="227" t="e">
        <f t="shared" si="35"/>
        <v>#DIV/0!</v>
      </c>
      <c r="F163" s="227" t="e">
        <f t="shared" si="35"/>
        <v>#DIV/0!</v>
      </c>
      <c r="G163" s="227">
        <f t="shared" si="35"/>
        <v>0</v>
      </c>
      <c r="H163" s="227">
        <f t="shared" si="35"/>
        <v>0</v>
      </c>
      <c r="I163" s="227">
        <f t="shared" si="35"/>
        <v>0</v>
      </c>
      <c r="J163" s="227" t="e">
        <f t="shared" si="35"/>
        <v>#DIV/0!</v>
      </c>
      <c r="K163" s="227">
        <f t="shared" si="35"/>
        <v>0</v>
      </c>
      <c r="L163" s="227" t="e">
        <f t="shared" si="35"/>
        <v>#DIV/0!</v>
      </c>
      <c r="M163" s="227">
        <f t="shared" si="35"/>
        <v>0</v>
      </c>
      <c r="N163" s="227" t="e">
        <f t="shared" si="35"/>
        <v>#DIV/0!</v>
      </c>
      <c r="O163" s="227" t="e">
        <f t="shared" si="35"/>
        <v>#DIV/0!</v>
      </c>
      <c r="P163" s="227" t="e">
        <f t="shared" si="35"/>
        <v>#DIV/0!</v>
      </c>
      <c r="Q163" s="227" t="e">
        <f t="shared" si="35"/>
        <v>#DIV/0!</v>
      </c>
      <c r="R163" s="227" t="e">
        <f t="shared" si="35"/>
        <v>#DIV/0!</v>
      </c>
      <c r="S163" s="227" t="e">
        <f t="shared" si="35"/>
        <v>#DIV/0!</v>
      </c>
      <c r="T163" s="227" t="e">
        <f t="shared" si="35"/>
        <v>#DIV/0!</v>
      </c>
      <c r="U163" s="227" t="e">
        <f t="shared" si="35"/>
        <v>#DIV/0!</v>
      </c>
      <c r="V163" s="227" t="e">
        <f t="shared" si="35"/>
        <v>#DIV/0!</v>
      </c>
      <c r="W163" s="227" t="e">
        <f t="shared" si="35"/>
        <v>#DIV/0!</v>
      </c>
      <c r="X163" s="227" t="e">
        <f t="shared" si="35"/>
        <v>#DIV/0!</v>
      </c>
      <c r="Y163" s="227" t="e">
        <f t="shared" si="35"/>
        <v>#DIV/0!</v>
      </c>
      <c r="Z163" s="228" t="e">
        <f t="shared" si="35"/>
        <v>#DIV/0!</v>
      </c>
    </row>
    <row r="164" spans="1:26" ht="13.5" customHeight="1">
      <c r="A164" s="224" t="s">
        <v>92</v>
      </c>
      <c r="B164" s="225" t="s">
        <v>86</v>
      </c>
      <c r="C164" s="226"/>
      <c r="D164" s="227">
        <f t="shared" ref="D164:Z164" si="36">(+$AB100/D$69+$AC100*(1+1/(D$63/0.0254)))*D100</f>
        <v>0</v>
      </c>
      <c r="E164" s="227" t="e">
        <f t="shared" si="36"/>
        <v>#DIV/0!</v>
      </c>
      <c r="F164" s="227" t="e">
        <f t="shared" si="36"/>
        <v>#DIV/0!</v>
      </c>
      <c r="G164" s="227">
        <f t="shared" si="36"/>
        <v>0</v>
      </c>
      <c r="H164" s="227">
        <f t="shared" si="36"/>
        <v>0</v>
      </c>
      <c r="I164" s="227">
        <f t="shared" si="36"/>
        <v>0</v>
      </c>
      <c r="J164" s="227" t="e">
        <f t="shared" si="36"/>
        <v>#DIV/0!</v>
      </c>
      <c r="K164" s="227">
        <f t="shared" si="36"/>
        <v>0</v>
      </c>
      <c r="L164" s="227" t="e">
        <f t="shared" si="36"/>
        <v>#DIV/0!</v>
      </c>
      <c r="M164" s="227">
        <f t="shared" si="36"/>
        <v>0</v>
      </c>
      <c r="N164" s="227" t="e">
        <f t="shared" si="36"/>
        <v>#DIV/0!</v>
      </c>
      <c r="O164" s="227" t="e">
        <f t="shared" si="36"/>
        <v>#DIV/0!</v>
      </c>
      <c r="P164" s="227" t="e">
        <f t="shared" si="36"/>
        <v>#DIV/0!</v>
      </c>
      <c r="Q164" s="227" t="e">
        <f t="shared" si="36"/>
        <v>#DIV/0!</v>
      </c>
      <c r="R164" s="227" t="e">
        <f t="shared" si="36"/>
        <v>#DIV/0!</v>
      </c>
      <c r="S164" s="227" t="e">
        <f t="shared" si="36"/>
        <v>#DIV/0!</v>
      </c>
      <c r="T164" s="227" t="e">
        <f t="shared" si="36"/>
        <v>#DIV/0!</v>
      </c>
      <c r="U164" s="227" t="e">
        <f t="shared" si="36"/>
        <v>#DIV/0!</v>
      </c>
      <c r="V164" s="227" t="e">
        <f t="shared" si="36"/>
        <v>#DIV/0!</v>
      </c>
      <c r="W164" s="227" t="e">
        <f t="shared" si="36"/>
        <v>#DIV/0!</v>
      </c>
      <c r="X164" s="227" t="e">
        <f t="shared" si="36"/>
        <v>#DIV/0!</v>
      </c>
      <c r="Y164" s="227" t="e">
        <f t="shared" si="36"/>
        <v>#DIV/0!</v>
      </c>
      <c r="Z164" s="228" t="e">
        <f t="shared" si="36"/>
        <v>#DIV/0!</v>
      </c>
    </row>
    <row r="165" spans="1:26" ht="13.5" customHeight="1">
      <c r="A165" s="224" t="s">
        <v>92</v>
      </c>
      <c r="B165" s="225" t="s">
        <v>87</v>
      </c>
      <c r="C165" s="226"/>
      <c r="D165" s="227">
        <f t="shared" ref="D165:Z165" si="37">(+$AB101/D$69+$AC101*(1+1/(D$63/0.0254)))*D101</f>
        <v>0</v>
      </c>
      <c r="E165" s="227" t="e">
        <f t="shared" si="37"/>
        <v>#DIV/0!</v>
      </c>
      <c r="F165" s="227" t="e">
        <f t="shared" si="37"/>
        <v>#DIV/0!</v>
      </c>
      <c r="G165" s="227">
        <f t="shared" si="37"/>
        <v>0</v>
      </c>
      <c r="H165" s="227">
        <f t="shared" si="37"/>
        <v>0</v>
      </c>
      <c r="I165" s="227">
        <f t="shared" si="37"/>
        <v>0</v>
      </c>
      <c r="J165" s="227" t="e">
        <f t="shared" si="37"/>
        <v>#DIV/0!</v>
      </c>
      <c r="K165" s="227">
        <f t="shared" si="37"/>
        <v>0</v>
      </c>
      <c r="L165" s="227" t="e">
        <f t="shared" si="37"/>
        <v>#DIV/0!</v>
      </c>
      <c r="M165" s="227">
        <f t="shared" si="37"/>
        <v>0</v>
      </c>
      <c r="N165" s="227" t="e">
        <f t="shared" si="37"/>
        <v>#DIV/0!</v>
      </c>
      <c r="O165" s="227" t="e">
        <f t="shared" si="37"/>
        <v>#DIV/0!</v>
      </c>
      <c r="P165" s="227" t="e">
        <f t="shared" si="37"/>
        <v>#DIV/0!</v>
      </c>
      <c r="Q165" s="227" t="e">
        <f t="shared" si="37"/>
        <v>#DIV/0!</v>
      </c>
      <c r="R165" s="227" t="e">
        <f t="shared" si="37"/>
        <v>#DIV/0!</v>
      </c>
      <c r="S165" s="227" t="e">
        <f t="shared" si="37"/>
        <v>#DIV/0!</v>
      </c>
      <c r="T165" s="227" t="e">
        <f t="shared" si="37"/>
        <v>#DIV/0!</v>
      </c>
      <c r="U165" s="227" t="e">
        <f t="shared" si="37"/>
        <v>#DIV/0!</v>
      </c>
      <c r="V165" s="227" t="e">
        <f t="shared" si="37"/>
        <v>#DIV/0!</v>
      </c>
      <c r="W165" s="227" t="e">
        <f t="shared" si="37"/>
        <v>#DIV/0!</v>
      </c>
      <c r="X165" s="227" t="e">
        <f t="shared" si="37"/>
        <v>#DIV/0!</v>
      </c>
      <c r="Y165" s="227" t="e">
        <f t="shared" si="37"/>
        <v>#DIV/0!</v>
      </c>
      <c r="Z165" s="228" t="e">
        <f t="shared" si="37"/>
        <v>#DIV/0!</v>
      </c>
    </row>
    <row r="166" spans="1:26" ht="13.5" customHeight="1" thickBot="1">
      <c r="A166" s="239" t="s">
        <v>85</v>
      </c>
      <c r="B166" s="240" t="s">
        <v>89</v>
      </c>
      <c r="C166" s="241"/>
      <c r="D166" s="242">
        <f t="shared" ref="D166:Z166" si="38">(+$AB102/D$69+$AC102*(1+1/(D$63/0.0254)))*D102</f>
        <v>0</v>
      </c>
      <c r="E166" s="242" t="e">
        <f t="shared" si="38"/>
        <v>#DIV/0!</v>
      </c>
      <c r="F166" s="242" t="e">
        <f t="shared" si="38"/>
        <v>#DIV/0!</v>
      </c>
      <c r="G166" s="242">
        <f t="shared" si="38"/>
        <v>0</v>
      </c>
      <c r="H166" s="242">
        <f t="shared" si="38"/>
        <v>0</v>
      </c>
      <c r="I166" s="242">
        <f t="shared" si="38"/>
        <v>0</v>
      </c>
      <c r="J166" s="242" t="e">
        <f t="shared" si="38"/>
        <v>#DIV/0!</v>
      </c>
      <c r="K166" s="242">
        <f t="shared" si="38"/>
        <v>0</v>
      </c>
      <c r="L166" s="242" t="e">
        <f t="shared" si="38"/>
        <v>#DIV/0!</v>
      </c>
      <c r="M166" s="242">
        <f t="shared" si="38"/>
        <v>0</v>
      </c>
      <c r="N166" s="242" t="e">
        <f t="shared" si="38"/>
        <v>#DIV/0!</v>
      </c>
      <c r="O166" s="242" t="e">
        <f t="shared" si="38"/>
        <v>#DIV/0!</v>
      </c>
      <c r="P166" s="242" t="e">
        <f t="shared" si="38"/>
        <v>#DIV/0!</v>
      </c>
      <c r="Q166" s="242" t="e">
        <f t="shared" si="38"/>
        <v>#DIV/0!</v>
      </c>
      <c r="R166" s="242" t="e">
        <f t="shared" si="38"/>
        <v>#DIV/0!</v>
      </c>
      <c r="S166" s="242" t="e">
        <f t="shared" si="38"/>
        <v>#DIV/0!</v>
      </c>
      <c r="T166" s="242" t="e">
        <f t="shared" si="38"/>
        <v>#DIV/0!</v>
      </c>
      <c r="U166" s="242" t="e">
        <f t="shared" si="38"/>
        <v>#DIV/0!</v>
      </c>
      <c r="V166" s="242" t="e">
        <f t="shared" si="38"/>
        <v>#DIV/0!</v>
      </c>
      <c r="W166" s="242" t="e">
        <f t="shared" si="38"/>
        <v>#DIV/0!</v>
      </c>
      <c r="X166" s="242" t="e">
        <f t="shared" si="38"/>
        <v>#DIV/0!</v>
      </c>
      <c r="Y166" s="242" t="e">
        <f t="shared" si="38"/>
        <v>#DIV/0!</v>
      </c>
      <c r="Z166" s="243" t="e">
        <f t="shared" si="38"/>
        <v>#DIV/0!</v>
      </c>
    </row>
    <row r="167" spans="1:26" ht="13.5" customHeight="1" thickBot="1">
      <c r="A167" s="215" t="s">
        <v>135</v>
      </c>
      <c r="B167" s="213"/>
      <c r="C167" s="226"/>
      <c r="D167" s="244"/>
      <c r="E167" s="244"/>
      <c r="F167" s="244"/>
      <c r="G167" s="244"/>
      <c r="H167" s="244"/>
      <c r="I167" s="244"/>
      <c r="J167" s="244"/>
      <c r="K167" s="244"/>
      <c r="L167" s="244"/>
      <c r="M167" s="244"/>
      <c r="N167" s="244"/>
      <c r="O167" s="244"/>
      <c r="P167" s="244"/>
      <c r="Q167" s="244"/>
      <c r="R167" s="244"/>
      <c r="S167" s="244"/>
      <c r="T167" s="244"/>
      <c r="U167" s="244"/>
      <c r="V167" s="244"/>
      <c r="W167" s="244"/>
      <c r="X167" s="244"/>
      <c r="Y167" s="244"/>
      <c r="Z167" s="244"/>
    </row>
    <row r="168" spans="1:26" ht="13.5" customHeight="1">
      <c r="A168" s="218" t="s">
        <v>95</v>
      </c>
      <c r="B168" s="245" t="s">
        <v>96</v>
      </c>
      <c r="C168" s="246"/>
      <c r="D168" s="222">
        <f t="shared" ref="D168:Z168" si="39">(+$AB105/D$69+$AC105*(1+1/(D$63/0.0254)))*D105</f>
        <v>0.81797589942841498</v>
      </c>
      <c r="E168" s="222" t="e">
        <f t="shared" si="39"/>
        <v>#DIV/0!</v>
      </c>
      <c r="F168" s="222" t="e">
        <f t="shared" si="39"/>
        <v>#DIV/0!</v>
      </c>
      <c r="G168" s="222">
        <f t="shared" si="39"/>
        <v>0</v>
      </c>
      <c r="H168" s="222">
        <f t="shared" si="39"/>
        <v>0</v>
      </c>
      <c r="I168" s="222">
        <f t="shared" si="39"/>
        <v>0</v>
      </c>
      <c r="J168" s="222" t="e">
        <f t="shared" si="39"/>
        <v>#DIV/0!</v>
      </c>
      <c r="K168" s="222">
        <f t="shared" si="39"/>
        <v>0</v>
      </c>
      <c r="L168" s="222" t="e">
        <f t="shared" si="39"/>
        <v>#DIV/0!</v>
      </c>
      <c r="M168" s="222">
        <f t="shared" si="39"/>
        <v>0</v>
      </c>
      <c r="N168" s="222" t="e">
        <f t="shared" si="39"/>
        <v>#DIV/0!</v>
      </c>
      <c r="O168" s="222" t="e">
        <f t="shared" si="39"/>
        <v>#DIV/0!</v>
      </c>
      <c r="P168" s="222" t="e">
        <f t="shared" si="39"/>
        <v>#DIV/0!</v>
      </c>
      <c r="Q168" s="222" t="e">
        <f t="shared" si="39"/>
        <v>#DIV/0!</v>
      </c>
      <c r="R168" s="222" t="e">
        <f t="shared" si="39"/>
        <v>#DIV/0!</v>
      </c>
      <c r="S168" s="222" t="e">
        <f t="shared" si="39"/>
        <v>#DIV/0!</v>
      </c>
      <c r="T168" s="222" t="e">
        <f t="shared" si="39"/>
        <v>#DIV/0!</v>
      </c>
      <c r="U168" s="222" t="e">
        <f t="shared" si="39"/>
        <v>#DIV/0!</v>
      </c>
      <c r="V168" s="222" t="e">
        <f t="shared" si="39"/>
        <v>#DIV/0!</v>
      </c>
      <c r="W168" s="222" t="e">
        <f t="shared" si="39"/>
        <v>#DIV/0!</v>
      </c>
      <c r="X168" s="222" t="e">
        <f t="shared" si="39"/>
        <v>#DIV/0!</v>
      </c>
      <c r="Y168" s="222" t="e">
        <f t="shared" si="39"/>
        <v>#DIV/0!</v>
      </c>
      <c r="Z168" s="222" t="e">
        <f t="shared" si="39"/>
        <v>#DIV/0!</v>
      </c>
    </row>
    <row r="169" spans="1:26" ht="13.5" customHeight="1">
      <c r="A169" s="224" t="s">
        <v>97</v>
      </c>
      <c r="B169" s="225" t="s">
        <v>98</v>
      </c>
      <c r="C169" s="226"/>
      <c r="D169" s="227">
        <f t="shared" ref="D169:Z169" si="40">(+$AB106/D$69+$AC106*(1+1/(D$63/0.0254)))*D106</f>
        <v>0</v>
      </c>
      <c r="E169" s="227" t="e">
        <f t="shared" si="40"/>
        <v>#DIV/0!</v>
      </c>
      <c r="F169" s="227" t="e">
        <f t="shared" si="40"/>
        <v>#DIV/0!</v>
      </c>
      <c r="G169" s="227">
        <f t="shared" si="40"/>
        <v>0</v>
      </c>
      <c r="H169" s="227">
        <f t="shared" si="40"/>
        <v>0</v>
      </c>
      <c r="I169" s="227">
        <f t="shared" si="40"/>
        <v>0</v>
      </c>
      <c r="J169" s="227" t="e">
        <f t="shared" si="40"/>
        <v>#DIV/0!</v>
      </c>
      <c r="K169" s="227">
        <f t="shared" si="40"/>
        <v>0</v>
      </c>
      <c r="L169" s="227" t="e">
        <f t="shared" si="40"/>
        <v>#DIV/0!</v>
      </c>
      <c r="M169" s="227">
        <f t="shared" si="40"/>
        <v>0</v>
      </c>
      <c r="N169" s="227" t="e">
        <f t="shared" si="40"/>
        <v>#DIV/0!</v>
      </c>
      <c r="O169" s="227" t="e">
        <f t="shared" si="40"/>
        <v>#DIV/0!</v>
      </c>
      <c r="P169" s="227" t="e">
        <f t="shared" si="40"/>
        <v>#DIV/0!</v>
      </c>
      <c r="Q169" s="227" t="e">
        <f t="shared" si="40"/>
        <v>#DIV/0!</v>
      </c>
      <c r="R169" s="227" t="e">
        <f t="shared" si="40"/>
        <v>#DIV/0!</v>
      </c>
      <c r="S169" s="227" t="e">
        <f t="shared" si="40"/>
        <v>#DIV/0!</v>
      </c>
      <c r="T169" s="227" t="e">
        <f t="shared" si="40"/>
        <v>#DIV/0!</v>
      </c>
      <c r="U169" s="227" t="e">
        <f t="shared" si="40"/>
        <v>#DIV/0!</v>
      </c>
      <c r="V169" s="227" t="e">
        <f t="shared" si="40"/>
        <v>#DIV/0!</v>
      </c>
      <c r="W169" s="227" t="e">
        <f t="shared" si="40"/>
        <v>#DIV/0!</v>
      </c>
      <c r="X169" s="227" t="e">
        <f t="shared" si="40"/>
        <v>#DIV/0!</v>
      </c>
      <c r="Y169" s="227" t="e">
        <f t="shared" si="40"/>
        <v>#DIV/0!</v>
      </c>
      <c r="Z169" s="227" t="e">
        <f t="shared" si="40"/>
        <v>#DIV/0!</v>
      </c>
    </row>
    <row r="170" spans="1:26" ht="13.5" customHeight="1">
      <c r="A170" s="224" t="s">
        <v>97</v>
      </c>
      <c r="B170" s="225" t="s">
        <v>99</v>
      </c>
      <c r="C170" s="226"/>
      <c r="D170" s="227">
        <f t="shared" ref="D170:Z170" si="41">(+$AB107/D$69+$AC107*(1+1/(D$63/0.0254)))*D107</f>
        <v>0</v>
      </c>
      <c r="E170" s="227" t="e">
        <f t="shared" si="41"/>
        <v>#DIV/0!</v>
      </c>
      <c r="F170" s="227" t="e">
        <f t="shared" si="41"/>
        <v>#DIV/0!</v>
      </c>
      <c r="G170" s="227">
        <f t="shared" si="41"/>
        <v>0</v>
      </c>
      <c r="H170" s="227">
        <f t="shared" si="41"/>
        <v>0</v>
      </c>
      <c r="I170" s="227">
        <f t="shared" si="41"/>
        <v>0</v>
      </c>
      <c r="J170" s="227" t="e">
        <f t="shared" si="41"/>
        <v>#DIV/0!</v>
      </c>
      <c r="K170" s="227">
        <f t="shared" si="41"/>
        <v>0</v>
      </c>
      <c r="L170" s="227" t="e">
        <f t="shared" si="41"/>
        <v>#DIV/0!</v>
      </c>
      <c r="M170" s="227">
        <f t="shared" si="41"/>
        <v>0</v>
      </c>
      <c r="N170" s="227" t="e">
        <f t="shared" si="41"/>
        <v>#DIV/0!</v>
      </c>
      <c r="O170" s="227" t="e">
        <f t="shared" si="41"/>
        <v>#DIV/0!</v>
      </c>
      <c r="P170" s="227" t="e">
        <f t="shared" si="41"/>
        <v>#DIV/0!</v>
      </c>
      <c r="Q170" s="227" t="e">
        <f t="shared" si="41"/>
        <v>#DIV/0!</v>
      </c>
      <c r="R170" s="227" t="e">
        <f t="shared" si="41"/>
        <v>#DIV/0!</v>
      </c>
      <c r="S170" s="227" t="e">
        <f t="shared" si="41"/>
        <v>#DIV/0!</v>
      </c>
      <c r="T170" s="227" t="e">
        <f t="shared" si="41"/>
        <v>#DIV/0!</v>
      </c>
      <c r="U170" s="227" t="e">
        <f t="shared" si="41"/>
        <v>#DIV/0!</v>
      </c>
      <c r="V170" s="227" t="e">
        <f t="shared" si="41"/>
        <v>#DIV/0!</v>
      </c>
      <c r="W170" s="227" t="e">
        <f t="shared" si="41"/>
        <v>#DIV/0!</v>
      </c>
      <c r="X170" s="227" t="e">
        <f t="shared" si="41"/>
        <v>#DIV/0!</v>
      </c>
      <c r="Y170" s="227" t="e">
        <f t="shared" si="41"/>
        <v>#DIV/0!</v>
      </c>
      <c r="Z170" s="227" t="e">
        <f t="shared" si="41"/>
        <v>#DIV/0!</v>
      </c>
    </row>
    <row r="171" spans="1:26" ht="13.5" customHeight="1">
      <c r="A171" s="224" t="s">
        <v>97</v>
      </c>
      <c r="B171" s="225" t="s">
        <v>100</v>
      </c>
      <c r="C171" s="226"/>
      <c r="D171" s="227">
        <f t="shared" ref="D171:Z171" si="42">(+$AB108/D$69+$AC108*(1+1/(D$63/0.0254)))*D108</f>
        <v>0</v>
      </c>
      <c r="E171" s="227" t="e">
        <f t="shared" si="42"/>
        <v>#DIV/0!</v>
      </c>
      <c r="F171" s="227" t="e">
        <f t="shared" si="42"/>
        <v>#DIV/0!</v>
      </c>
      <c r="G171" s="227">
        <f t="shared" si="42"/>
        <v>0</v>
      </c>
      <c r="H171" s="227">
        <f t="shared" si="42"/>
        <v>0</v>
      </c>
      <c r="I171" s="227">
        <f t="shared" si="42"/>
        <v>0</v>
      </c>
      <c r="J171" s="227" t="e">
        <f t="shared" si="42"/>
        <v>#DIV/0!</v>
      </c>
      <c r="K171" s="227">
        <f t="shared" si="42"/>
        <v>0</v>
      </c>
      <c r="L171" s="227" t="e">
        <f t="shared" si="42"/>
        <v>#DIV/0!</v>
      </c>
      <c r="M171" s="227">
        <f t="shared" si="42"/>
        <v>0</v>
      </c>
      <c r="N171" s="227" t="e">
        <f t="shared" si="42"/>
        <v>#DIV/0!</v>
      </c>
      <c r="O171" s="227" t="e">
        <f t="shared" si="42"/>
        <v>#DIV/0!</v>
      </c>
      <c r="P171" s="227" t="e">
        <f t="shared" si="42"/>
        <v>#DIV/0!</v>
      </c>
      <c r="Q171" s="227" t="e">
        <f t="shared" si="42"/>
        <v>#DIV/0!</v>
      </c>
      <c r="R171" s="227" t="e">
        <f t="shared" si="42"/>
        <v>#DIV/0!</v>
      </c>
      <c r="S171" s="227" t="e">
        <f t="shared" si="42"/>
        <v>#DIV/0!</v>
      </c>
      <c r="T171" s="227" t="e">
        <f t="shared" si="42"/>
        <v>#DIV/0!</v>
      </c>
      <c r="U171" s="227" t="e">
        <f t="shared" si="42"/>
        <v>#DIV/0!</v>
      </c>
      <c r="V171" s="227" t="e">
        <f t="shared" si="42"/>
        <v>#DIV/0!</v>
      </c>
      <c r="W171" s="227" t="e">
        <f t="shared" si="42"/>
        <v>#DIV/0!</v>
      </c>
      <c r="X171" s="227" t="e">
        <f t="shared" si="42"/>
        <v>#DIV/0!</v>
      </c>
      <c r="Y171" s="227" t="e">
        <f t="shared" si="42"/>
        <v>#DIV/0!</v>
      </c>
      <c r="Z171" s="227" t="e">
        <f t="shared" si="42"/>
        <v>#DIV/0!</v>
      </c>
    </row>
    <row r="172" spans="1:26" ht="13.5" customHeight="1">
      <c r="A172" s="229" t="s">
        <v>101</v>
      </c>
      <c r="B172" s="230" t="s">
        <v>102</v>
      </c>
      <c r="C172" s="231"/>
      <c r="D172" s="232">
        <f t="shared" ref="D172:Z172" si="43">(+$AB109/D$69+$AC109*(1+1/(D$63/0.0254)))*D109</f>
        <v>0</v>
      </c>
      <c r="E172" s="232" t="e">
        <f t="shared" si="43"/>
        <v>#DIV/0!</v>
      </c>
      <c r="F172" s="232" t="e">
        <f t="shared" si="43"/>
        <v>#DIV/0!</v>
      </c>
      <c r="G172" s="232">
        <f t="shared" si="43"/>
        <v>0</v>
      </c>
      <c r="H172" s="232">
        <f t="shared" si="43"/>
        <v>0</v>
      </c>
      <c r="I172" s="232">
        <f t="shared" si="43"/>
        <v>0</v>
      </c>
      <c r="J172" s="232" t="e">
        <f t="shared" si="43"/>
        <v>#DIV/0!</v>
      </c>
      <c r="K172" s="232">
        <f t="shared" si="43"/>
        <v>0</v>
      </c>
      <c r="L172" s="232" t="e">
        <f t="shared" si="43"/>
        <v>#DIV/0!</v>
      </c>
      <c r="M172" s="232">
        <f t="shared" si="43"/>
        <v>0</v>
      </c>
      <c r="N172" s="232" t="e">
        <f t="shared" si="43"/>
        <v>#DIV/0!</v>
      </c>
      <c r="O172" s="232" t="e">
        <f t="shared" si="43"/>
        <v>#DIV/0!</v>
      </c>
      <c r="P172" s="232" t="e">
        <f t="shared" si="43"/>
        <v>#DIV/0!</v>
      </c>
      <c r="Q172" s="232" t="e">
        <f t="shared" si="43"/>
        <v>#DIV/0!</v>
      </c>
      <c r="R172" s="232" t="e">
        <f t="shared" si="43"/>
        <v>#DIV/0!</v>
      </c>
      <c r="S172" s="232" t="e">
        <f t="shared" si="43"/>
        <v>#DIV/0!</v>
      </c>
      <c r="T172" s="232" t="e">
        <f t="shared" si="43"/>
        <v>#DIV/0!</v>
      </c>
      <c r="U172" s="232" t="e">
        <f t="shared" si="43"/>
        <v>#DIV/0!</v>
      </c>
      <c r="V172" s="232" t="e">
        <f t="shared" si="43"/>
        <v>#DIV/0!</v>
      </c>
      <c r="W172" s="232" t="e">
        <f t="shared" si="43"/>
        <v>#DIV/0!</v>
      </c>
      <c r="X172" s="232" t="e">
        <f t="shared" si="43"/>
        <v>#DIV/0!</v>
      </c>
      <c r="Y172" s="232" t="e">
        <f t="shared" si="43"/>
        <v>#DIV/0!</v>
      </c>
      <c r="Z172" s="232" t="e">
        <f t="shared" si="43"/>
        <v>#DIV/0!</v>
      </c>
    </row>
    <row r="173" spans="1:26" ht="13.5" customHeight="1">
      <c r="A173" s="224"/>
      <c r="B173" s="225" t="s">
        <v>103</v>
      </c>
      <c r="C173" s="226"/>
      <c r="D173" s="227">
        <f t="shared" ref="D173:Z173" si="44">(+$AB110/D$69+$AC110*(1+1/(D$63/0.0254)))*D110</f>
        <v>0</v>
      </c>
      <c r="E173" s="227" t="e">
        <f t="shared" si="44"/>
        <v>#DIV/0!</v>
      </c>
      <c r="F173" s="227" t="e">
        <f t="shared" si="44"/>
        <v>#DIV/0!</v>
      </c>
      <c r="G173" s="227">
        <f t="shared" si="44"/>
        <v>0</v>
      </c>
      <c r="H173" s="227">
        <f t="shared" si="44"/>
        <v>0</v>
      </c>
      <c r="I173" s="227">
        <f t="shared" si="44"/>
        <v>0</v>
      </c>
      <c r="J173" s="227" t="e">
        <f t="shared" si="44"/>
        <v>#DIV/0!</v>
      </c>
      <c r="K173" s="227">
        <f t="shared" si="44"/>
        <v>0</v>
      </c>
      <c r="L173" s="227" t="e">
        <f t="shared" si="44"/>
        <v>#DIV/0!</v>
      </c>
      <c r="M173" s="227">
        <f t="shared" si="44"/>
        <v>0</v>
      </c>
      <c r="N173" s="227" t="e">
        <f t="shared" si="44"/>
        <v>#DIV/0!</v>
      </c>
      <c r="O173" s="227" t="e">
        <f t="shared" si="44"/>
        <v>#DIV/0!</v>
      </c>
      <c r="P173" s="227" t="e">
        <f t="shared" si="44"/>
        <v>#DIV/0!</v>
      </c>
      <c r="Q173" s="227" t="e">
        <f t="shared" si="44"/>
        <v>#DIV/0!</v>
      </c>
      <c r="R173" s="227" t="e">
        <f t="shared" si="44"/>
        <v>#DIV/0!</v>
      </c>
      <c r="S173" s="227" t="e">
        <f t="shared" si="44"/>
        <v>#DIV/0!</v>
      </c>
      <c r="T173" s="227" t="e">
        <f t="shared" si="44"/>
        <v>#DIV/0!</v>
      </c>
      <c r="U173" s="227" t="e">
        <f t="shared" si="44"/>
        <v>#DIV/0!</v>
      </c>
      <c r="V173" s="227" t="e">
        <f t="shared" si="44"/>
        <v>#DIV/0!</v>
      </c>
      <c r="W173" s="227" t="e">
        <f t="shared" si="44"/>
        <v>#DIV/0!</v>
      </c>
      <c r="X173" s="227" t="e">
        <f t="shared" si="44"/>
        <v>#DIV/0!</v>
      </c>
      <c r="Y173" s="227" t="e">
        <f t="shared" si="44"/>
        <v>#DIV/0!</v>
      </c>
      <c r="Z173" s="227" t="e">
        <f t="shared" si="44"/>
        <v>#DIV/0!</v>
      </c>
    </row>
    <row r="174" spans="1:26" ht="13.5" customHeight="1" thickBot="1">
      <c r="A174" s="239" t="s">
        <v>97</v>
      </c>
      <c r="B174" s="240" t="s">
        <v>100</v>
      </c>
      <c r="C174" s="241"/>
      <c r="D174" s="242">
        <f t="shared" ref="D174:Z174" si="45">(+$AB111/D$69+$AC111*(1+1/(D$63/0.0254)))*D111</f>
        <v>0</v>
      </c>
      <c r="E174" s="242" t="e">
        <f t="shared" si="45"/>
        <v>#DIV/0!</v>
      </c>
      <c r="F174" s="242" t="e">
        <f t="shared" si="45"/>
        <v>#DIV/0!</v>
      </c>
      <c r="G174" s="242">
        <f t="shared" si="45"/>
        <v>0</v>
      </c>
      <c r="H174" s="242">
        <f t="shared" si="45"/>
        <v>0</v>
      </c>
      <c r="I174" s="242">
        <f t="shared" si="45"/>
        <v>0</v>
      </c>
      <c r="J174" s="242" t="e">
        <f t="shared" si="45"/>
        <v>#DIV/0!</v>
      </c>
      <c r="K174" s="242">
        <f t="shared" si="45"/>
        <v>0</v>
      </c>
      <c r="L174" s="242" t="e">
        <f t="shared" si="45"/>
        <v>#DIV/0!</v>
      </c>
      <c r="M174" s="242">
        <f t="shared" si="45"/>
        <v>0</v>
      </c>
      <c r="N174" s="242" t="e">
        <f t="shared" si="45"/>
        <v>#DIV/0!</v>
      </c>
      <c r="O174" s="242" t="e">
        <f t="shared" si="45"/>
        <v>#DIV/0!</v>
      </c>
      <c r="P174" s="242" t="e">
        <f t="shared" si="45"/>
        <v>#DIV/0!</v>
      </c>
      <c r="Q174" s="242" t="e">
        <f t="shared" si="45"/>
        <v>#DIV/0!</v>
      </c>
      <c r="R174" s="242" t="e">
        <f t="shared" si="45"/>
        <v>#DIV/0!</v>
      </c>
      <c r="S174" s="242" t="e">
        <f t="shared" si="45"/>
        <v>#DIV/0!</v>
      </c>
      <c r="T174" s="242" t="e">
        <f t="shared" si="45"/>
        <v>#DIV/0!</v>
      </c>
      <c r="U174" s="242" t="e">
        <f t="shared" si="45"/>
        <v>#DIV/0!</v>
      </c>
      <c r="V174" s="242" t="e">
        <f t="shared" si="45"/>
        <v>#DIV/0!</v>
      </c>
      <c r="W174" s="242" t="e">
        <f t="shared" si="45"/>
        <v>#DIV/0!</v>
      </c>
      <c r="X174" s="242" t="e">
        <f t="shared" si="45"/>
        <v>#DIV/0!</v>
      </c>
      <c r="Y174" s="242" t="e">
        <f t="shared" si="45"/>
        <v>#DIV/0!</v>
      </c>
      <c r="Z174" s="242" t="e">
        <f t="shared" si="45"/>
        <v>#DIV/0!</v>
      </c>
    </row>
    <row r="175" spans="1:26" ht="13.5" customHeight="1" thickBot="1">
      <c r="A175" s="215" t="s">
        <v>104</v>
      </c>
      <c r="B175" s="215"/>
      <c r="C175" s="247"/>
      <c r="D175" s="248"/>
      <c r="E175" s="248"/>
      <c r="F175" s="248"/>
      <c r="G175" s="248"/>
      <c r="H175" s="248"/>
      <c r="I175" s="248"/>
      <c r="J175" s="248"/>
      <c r="K175" s="248"/>
      <c r="L175" s="248"/>
      <c r="M175" s="248"/>
      <c r="N175" s="248"/>
      <c r="O175" s="248"/>
      <c r="P175" s="248"/>
      <c r="Q175" s="248"/>
      <c r="R175" s="248"/>
      <c r="S175" s="248"/>
      <c r="T175" s="248"/>
      <c r="U175" s="248"/>
      <c r="V175" s="248"/>
      <c r="W175" s="248"/>
      <c r="X175" s="248"/>
      <c r="Y175" s="248"/>
      <c r="Z175" s="248"/>
    </row>
    <row r="176" spans="1:26" ht="13.5" customHeight="1">
      <c r="A176" s="249" t="s">
        <v>105</v>
      </c>
      <c r="B176" s="250" t="s">
        <v>106</v>
      </c>
      <c r="C176" s="251"/>
      <c r="D176" s="222">
        <f>(+$AB114/D$69+$AC114*(1+1/(D$63/0.0254)))*D114</f>
        <v>0.23604689885320862</v>
      </c>
      <c r="E176" s="222" t="e">
        <f t="shared" ref="E176:Z176" si="46">(+$AB114/E$69+$AC114*(1+1/(E$63/0.0254)))*E114</f>
        <v>#DIV/0!</v>
      </c>
      <c r="F176" s="222" t="e">
        <f t="shared" si="46"/>
        <v>#DIV/0!</v>
      </c>
      <c r="G176" s="222">
        <f t="shared" si="46"/>
        <v>0</v>
      </c>
      <c r="H176" s="222">
        <f t="shared" si="46"/>
        <v>0</v>
      </c>
      <c r="I176" s="222">
        <f t="shared" si="46"/>
        <v>0</v>
      </c>
      <c r="J176" s="222" t="e">
        <f t="shared" si="46"/>
        <v>#DIV/0!</v>
      </c>
      <c r="K176" s="222">
        <f t="shared" si="46"/>
        <v>0</v>
      </c>
      <c r="L176" s="222" t="e">
        <f t="shared" si="46"/>
        <v>#DIV/0!</v>
      </c>
      <c r="M176" s="222">
        <f t="shared" si="46"/>
        <v>0</v>
      </c>
      <c r="N176" s="222" t="e">
        <f t="shared" si="46"/>
        <v>#DIV/0!</v>
      </c>
      <c r="O176" s="222" t="e">
        <f t="shared" si="46"/>
        <v>#DIV/0!</v>
      </c>
      <c r="P176" s="222" t="e">
        <f t="shared" si="46"/>
        <v>#DIV/0!</v>
      </c>
      <c r="Q176" s="222" t="e">
        <f t="shared" si="46"/>
        <v>#DIV/0!</v>
      </c>
      <c r="R176" s="222" t="e">
        <f t="shared" si="46"/>
        <v>#DIV/0!</v>
      </c>
      <c r="S176" s="222" t="e">
        <f t="shared" si="46"/>
        <v>#DIV/0!</v>
      </c>
      <c r="T176" s="222" t="e">
        <f t="shared" si="46"/>
        <v>#DIV/0!</v>
      </c>
      <c r="U176" s="222" t="e">
        <f t="shared" si="46"/>
        <v>#DIV/0!</v>
      </c>
      <c r="V176" s="222" t="e">
        <f t="shared" si="46"/>
        <v>#DIV/0!</v>
      </c>
      <c r="W176" s="222" t="e">
        <f t="shared" si="46"/>
        <v>#DIV/0!</v>
      </c>
      <c r="X176" s="222" t="e">
        <f t="shared" si="46"/>
        <v>#DIV/0!</v>
      </c>
      <c r="Y176" s="222" t="e">
        <f t="shared" si="46"/>
        <v>#DIV/0!</v>
      </c>
      <c r="Z176" s="252" t="e">
        <f t="shared" si="46"/>
        <v>#DIV/0!</v>
      </c>
    </row>
    <row r="177" spans="1:26" ht="13.5" customHeight="1">
      <c r="A177" s="249" t="s">
        <v>107</v>
      </c>
      <c r="B177" s="253" t="s">
        <v>108</v>
      </c>
      <c r="C177" s="254"/>
      <c r="D177" s="227">
        <f t="shared" ref="D177:Z177" si="47">(+$AB115/D$69+$AC115*(1+1/(D$63/0.0254)))*D115</f>
        <v>0</v>
      </c>
      <c r="E177" s="227" t="e">
        <f t="shared" si="47"/>
        <v>#DIV/0!</v>
      </c>
      <c r="F177" s="227" t="e">
        <f t="shared" si="47"/>
        <v>#DIV/0!</v>
      </c>
      <c r="G177" s="227">
        <f t="shared" si="47"/>
        <v>0</v>
      </c>
      <c r="H177" s="227">
        <f t="shared" si="47"/>
        <v>0</v>
      </c>
      <c r="I177" s="227">
        <f t="shared" si="47"/>
        <v>0</v>
      </c>
      <c r="J177" s="227" t="e">
        <f t="shared" si="47"/>
        <v>#DIV/0!</v>
      </c>
      <c r="K177" s="227">
        <f t="shared" si="47"/>
        <v>0</v>
      </c>
      <c r="L177" s="227" t="e">
        <f t="shared" si="47"/>
        <v>#DIV/0!</v>
      </c>
      <c r="M177" s="227">
        <f t="shared" si="47"/>
        <v>0</v>
      </c>
      <c r="N177" s="227" t="e">
        <f t="shared" si="47"/>
        <v>#DIV/0!</v>
      </c>
      <c r="O177" s="227" t="e">
        <f t="shared" si="47"/>
        <v>#DIV/0!</v>
      </c>
      <c r="P177" s="227" t="e">
        <f t="shared" si="47"/>
        <v>#DIV/0!</v>
      </c>
      <c r="Q177" s="227" t="e">
        <f t="shared" si="47"/>
        <v>#DIV/0!</v>
      </c>
      <c r="R177" s="227" t="e">
        <f t="shared" si="47"/>
        <v>#DIV/0!</v>
      </c>
      <c r="S177" s="227" t="e">
        <f t="shared" si="47"/>
        <v>#DIV/0!</v>
      </c>
      <c r="T177" s="227" t="e">
        <f t="shared" si="47"/>
        <v>#DIV/0!</v>
      </c>
      <c r="U177" s="227" t="e">
        <f t="shared" si="47"/>
        <v>#DIV/0!</v>
      </c>
      <c r="V177" s="227" t="e">
        <f t="shared" si="47"/>
        <v>#DIV/0!</v>
      </c>
      <c r="W177" s="227" t="e">
        <f t="shared" si="47"/>
        <v>#DIV/0!</v>
      </c>
      <c r="X177" s="227" t="e">
        <f t="shared" si="47"/>
        <v>#DIV/0!</v>
      </c>
      <c r="Y177" s="227" t="e">
        <f t="shared" si="47"/>
        <v>#DIV/0!</v>
      </c>
      <c r="Z177" s="255" t="e">
        <f t="shared" si="47"/>
        <v>#DIV/0!</v>
      </c>
    </row>
    <row r="178" spans="1:26" ht="13.5" customHeight="1">
      <c r="A178" s="256" t="s">
        <v>109</v>
      </c>
      <c r="B178" s="257" t="s">
        <v>110</v>
      </c>
      <c r="C178" s="258"/>
      <c r="D178" s="227">
        <f t="shared" ref="D178:Z178" si="48">(+$AB116/D$69+$AC116*(1+1/(D$63/0.0254)))*D116</f>
        <v>0</v>
      </c>
      <c r="E178" s="227" t="e">
        <f t="shared" si="48"/>
        <v>#DIV/0!</v>
      </c>
      <c r="F178" s="227" t="e">
        <f t="shared" si="48"/>
        <v>#DIV/0!</v>
      </c>
      <c r="G178" s="227">
        <f t="shared" si="48"/>
        <v>0</v>
      </c>
      <c r="H178" s="227">
        <f t="shared" si="48"/>
        <v>0</v>
      </c>
      <c r="I178" s="227">
        <f t="shared" si="48"/>
        <v>0</v>
      </c>
      <c r="J178" s="227" t="e">
        <f t="shared" si="48"/>
        <v>#DIV/0!</v>
      </c>
      <c r="K178" s="227">
        <f t="shared" si="48"/>
        <v>0</v>
      </c>
      <c r="L178" s="227" t="e">
        <f t="shared" si="48"/>
        <v>#DIV/0!</v>
      </c>
      <c r="M178" s="227">
        <f t="shared" si="48"/>
        <v>0</v>
      </c>
      <c r="N178" s="227" t="e">
        <f t="shared" si="48"/>
        <v>#DIV/0!</v>
      </c>
      <c r="O178" s="227" t="e">
        <f t="shared" si="48"/>
        <v>#DIV/0!</v>
      </c>
      <c r="P178" s="227" t="e">
        <f t="shared" si="48"/>
        <v>#DIV/0!</v>
      </c>
      <c r="Q178" s="227" t="e">
        <f t="shared" si="48"/>
        <v>#DIV/0!</v>
      </c>
      <c r="R178" s="227" t="e">
        <f t="shared" si="48"/>
        <v>#DIV/0!</v>
      </c>
      <c r="S178" s="227" t="e">
        <f t="shared" si="48"/>
        <v>#DIV/0!</v>
      </c>
      <c r="T178" s="227" t="e">
        <f t="shared" si="48"/>
        <v>#DIV/0!</v>
      </c>
      <c r="U178" s="227" t="e">
        <f t="shared" si="48"/>
        <v>#DIV/0!</v>
      </c>
      <c r="V178" s="227" t="e">
        <f t="shared" si="48"/>
        <v>#DIV/0!</v>
      </c>
      <c r="W178" s="227" t="e">
        <f t="shared" si="48"/>
        <v>#DIV/0!</v>
      </c>
      <c r="X178" s="227" t="e">
        <f t="shared" si="48"/>
        <v>#DIV/0!</v>
      </c>
      <c r="Y178" s="227" t="e">
        <f t="shared" si="48"/>
        <v>#DIV/0!</v>
      </c>
      <c r="Z178" s="255" t="e">
        <f t="shared" si="48"/>
        <v>#DIV/0!</v>
      </c>
    </row>
    <row r="179" spans="1:26" ht="13.5" customHeight="1">
      <c r="A179" s="259" t="s">
        <v>111</v>
      </c>
      <c r="B179" s="260" t="s">
        <v>112</v>
      </c>
      <c r="C179" s="261"/>
      <c r="D179" s="232">
        <f t="shared" ref="D179:Z179" si="49">(+$AB117/D$69+$AC117*(1+1/(D$63/0.0254)))*D117</f>
        <v>0</v>
      </c>
      <c r="E179" s="232" t="e">
        <f t="shared" si="49"/>
        <v>#DIV/0!</v>
      </c>
      <c r="F179" s="232" t="e">
        <f t="shared" si="49"/>
        <v>#DIV/0!</v>
      </c>
      <c r="G179" s="232">
        <f t="shared" si="49"/>
        <v>0</v>
      </c>
      <c r="H179" s="232">
        <f t="shared" si="49"/>
        <v>0</v>
      </c>
      <c r="I179" s="232">
        <f t="shared" si="49"/>
        <v>0</v>
      </c>
      <c r="J179" s="232" t="e">
        <f t="shared" si="49"/>
        <v>#DIV/0!</v>
      </c>
      <c r="K179" s="232">
        <f t="shared" si="49"/>
        <v>0</v>
      </c>
      <c r="L179" s="232" t="e">
        <f t="shared" si="49"/>
        <v>#DIV/0!</v>
      </c>
      <c r="M179" s="232">
        <f t="shared" si="49"/>
        <v>0</v>
      </c>
      <c r="N179" s="232" t="e">
        <f t="shared" si="49"/>
        <v>#DIV/0!</v>
      </c>
      <c r="O179" s="232" t="e">
        <f t="shared" si="49"/>
        <v>#DIV/0!</v>
      </c>
      <c r="P179" s="232" t="e">
        <f t="shared" si="49"/>
        <v>#DIV/0!</v>
      </c>
      <c r="Q179" s="232" t="e">
        <f t="shared" si="49"/>
        <v>#DIV/0!</v>
      </c>
      <c r="R179" s="232" t="e">
        <f t="shared" si="49"/>
        <v>#DIV/0!</v>
      </c>
      <c r="S179" s="232" t="e">
        <f t="shared" si="49"/>
        <v>#DIV/0!</v>
      </c>
      <c r="T179" s="232" t="e">
        <f t="shared" si="49"/>
        <v>#DIV/0!</v>
      </c>
      <c r="U179" s="232" t="e">
        <f t="shared" si="49"/>
        <v>#DIV/0!</v>
      </c>
      <c r="V179" s="232" t="e">
        <f t="shared" si="49"/>
        <v>#DIV/0!</v>
      </c>
      <c r="W179" s="232" t="e">
        <f t="shared" si="49"/>
        <v>#DIV/0!</v>
      </c>
      <c r="X179" s="232" t="e">
        <f t="shared" si="49"/>
        <v>#DIV/0!</v>
      </c>
      <c r="Y179" s="232" t="e">
        <f t="shared" si="49"/>
        <v>#DIV/0!</v>
      </c>
      <c r="Z179" s="262" t="e">
        <f t="shared" si="49"/>
        <v>#DIV/0!</v>
      </c>
    </row>
    <row r="180" spans="1:26" ht="13.5" customHeight="1">
      <c r="A180" s="249" t="s">
        <v>92</v>
      </c>
      <c r="B180" s="253" t="s">
        <v>113</v>
      </c>
      <c r="C180" s="254"/>
      <c r="D180" s="227">
        <f t="shared" ref="D180:Z180" si="50">(+$AB118/D$69+$AC118*(1+1/(D$63/0.0254)))*D118</f>
        <v>0</v>
      </c>
      <c r="E180" s="227" t="e">
        <f t="shared" si="50"/>
        <v>#DIV/0!</v>
      </c>
      <c r="F180" s="227" t="e">
        <f t="shared" si="50"/>
        <v>#DIV/0!</v>
      </c>
      <c r="G180" s="227">
        <f t="shared" si="50"/>
        <v>0</v>
      </c>
      <c r="H180" s="227">
        <f t="shared" si="50"/>
        <v>0</v>
      </c>
      <c r="I180" s="227">
        <f t="shared" si="50"/>
        <v>0</v>
      </c>
      <c r="J180" s="227" t="e">
        <f t="shared" si="50"/>
        <v>#DIV/0!</v>
      </c>
      <c r="K180" s="227">
        <f t="shared" si="50"/>
        <v>0</v>
      </c>
      <c r="L180" s="227" t="e">
        <f t="shared" si="50"/>
        <v>#DIV/0!</v>
      </c>
      <c r="M180" s="227">
        <f t="shared" si="50"/>
        <v>0</v>
      </c>
      <c r="N180" s="227" t="e">
        <f t="shared" si="50"/>
        <v>#DIV/0!</v>
      </c>
      <c r="O180" s="227" t="e">
        <f t="shared" si="50"/>
        <v>#DIV/0!</v>
      </c>
      <c r="P180" s="227" t="e">
        <f t="shared" si="50"/>
        <v>#DIV/0!</v>
      </c>
      <c r="Q180" s="227" t="e">
        <f t="shared" si="50"/>
        <v>#DIV/0!</v>
      </c>
      <c r="R180" s="227" t="e">
        <f t="shared" si="50"/>
        <v>#DIV/0!</v>
      </c>
      <c r="S180" s="227" t="e">
        <f t="shared" si="50"/>
        <v>#DIV/0!</v>
      </c>
      <c r="T180" s="227" t="e">
        <f t="shared" si="50"/>
        <v>#DIV/0!</v>
      </c>
      <c r="U180" s="227" t="e">
        <f t="shared" si="50"/>
        <v>#DIV/0!</v>
      </c>
      <c r="V180" s="227" t="e">
        <f t="shared" si="50"/>
        <v>#DIV/0!</v>
      </c>
      <c r="W180" s="227" t="e">
        <f t="shared" si="50"/>
        <v>#DIV/0!</v>
      </c>
      <c r="X180" s="227" t="e">
        <f t="shared" si="50"/>
        <v>#DIV/0!</v>
      </c>
      <c r="Y180" s="227" t="e">
        <f t="shared" si="50"/>
        <v>#DIV/0!</v>
      </c>
      <c r="Z180" s="255" t="e">
        <f t="shared" si="50"/>
        <v>#DIV/0!</v>
      </c>
    </row>
    <row r="181" spans="1:26" ht="13.5" customHeight="1">
      <c r="A181" s="249" t="s">
        <v>85</v>
      </c>
      <c r="B181" s="253" t="s">
        <v>114</v>
      </c>
      <c r="C181" s="254"/>
      <c r="D181" s="227">
        <f t="shared" ref="D181:Z181" si="51">(+$AB119/D$69+$AC119*(1+1/(D$63/0.0254)))*D119</f>
        <v>0</v>
      </c>
      <c r="E181" s="227" t="e">
        <f t="shared" si="51"/>
        <v>#DIV/0!</v>
      </c>
      <c r="F181" s="227" t="e">
        <f t="shared" si="51"/>
        <v>#DIV/0!</v>
      </c>
      <c r="G181" s="227">
        <f t="shared" si="51"/>
        <v>0</v>
      </c>
      <c r="H181" s="227">
        <f t="shared" si="51"/>
        <v>0</v>
      </c>
      <c r="I181" s="227">
        <f t="shared" si="51"/>
        <v>0</v>
      </c>
      <c r="J181" s="227" t="e">
        <f t="shared" si="51"/>
        <v>#DIV/0!</v>
      </c>
      <c r="K181" s="227">
        <f t="shared" si="51"/>
        <v>0</v>
      </c>
      <c r="L181" s="227" t="e">
        <f t="shared" si="51"/>
        <v>#DIV/0!</v>
      </c>
      <c r="M181" s="227">
        <f t="shared" si="51"/>
        <v>0</v>
      </c>
      <c r="N181" s="227" t="e">
        <f t="shared" si="51"/>
        <v>#DIV/0!</v>
      </c>
      <c r="O181" s="227" t="e">
        <f t="shared" si="51"/>
        <v>#DIV/0!</v>
      </c>
      <c r="P181" s="227" t="e">
        <f t="shared" si="51"/>
        <v>#DIV/0!</v>
      </c>
      <c r="Q181" s="227" t="e">
        <f t="shared" si="51"/>
        <v>#DIV/0!</v>
      </c>
      <c r="R181" s="227" t="e">
        <f t="shared" si="51"/>
        <v>#DIV/0!</v>
      </c>
      <c r="S181" s="227" t="e">
        <f t="shared" si="51"/>
        <v>#DIV/0!</v>
      </c>
      <c r="T181" s="227" t="e">
        <f t="shared" si="51"/>
        <v>#DIV/0!</v>
      </c>
      <c r="U181" s="227" t="e">
        <f t="shared" si="51"/>
        <v>#DIV/0!</v>
      </c>
      <c r="V181" s="227" t="e">
        <f t="shared" si="51"/>
        <v>#DIV/0!</v>
      </c>
      <c r="W181" s="227" t="e">
        <f t="shared" si="51"/>
        <v>#DIV/0!</v>
      </c>
      <c r="X181" s="227" t="e">
        <f t="shared" si="51"/>
        <v>#DIV/0!</v>
      </c>
      <c r="Y181" s="227" t="e">
        <f t="shared" si="51"/>
        <v>#DIV/0!</v>
      </c>
      <c r="Z181" s="255" t="e">
        <f t="shared" si="51"/>
        <v>#DIV/0!</v>
      </c>
    </row>
    <row r="182" spans="1:26" ht="13.5" customHeight="1">
      <c r="A182" s="256" t="s">
        <v>92</v>
      </c>
      <c r="B182" s="257" t="s">
        <v>115</v>
      </c>
      <c r="C182" s="258"/>
      <c r="D182" s="237">
        <f t="shared" ref="D182:Z182" si="52">(+$AB120/D$69+$AC120*(1+1/(D$63/0.0254)))*D120</f>
        <v>0</v>
      </c>
      <c r="E182" s="237" t="e">
        <f t="shared" si="52"/>
        <v>#DIV/0!</v>
      </c>
      <c r="F182" s="237" t="e">
        <f t="shared" si="52"/>
        <v>#DIV/0!</v>
      </c>
      <c r="G182" s="237">
        <f t="shared" si="52"/>
        <v>0</v>
      </c>
      <c r="H182" s="237">
        <f t="shared" si="52"/>
        <v>0</v>
      </c>
      <c r="I182" s="237">
        <f t="shared" si="52"/>
        <v>0</v>
      </c>
      <c r="J182" s="237" t="e">
        <f t="shared" si="52"/>
        <v>#DIV/0!</v>
      </c>
      <c r="K182" s="237">
        <f t="shared" si="52"/>
        <v>0</v>
      </c>
      <c r="L182" s="237" t="e">
        <f t="shared" si="52"/>
        <v>#DIV/0!</v>
      </c>
      <c r="M182" s="237">
        <f t="shared" si="52"/>
        <v>0</v>
      </c>
      <c r="N182" s="237" t="e">
        <f t="shared" si="52"/>
        <v>#DIV/0!</v>
      </c>
      <c r="O182" s="237" t="e">
        <f t="shared" si="52"/>
        <v>#DIV/0!</v>
      </c>
      <c r="P182" s="237" t="e">
        <f t="shared" si="52"/>
        <v>#DIV/0!</v>
      </c>
      <c r="Q182" s="237" t="e">
        <f t="shared" si="52"/>
        <v>#DIV/0!</v>
      </c>
      <c r="R182" s="237" t="e">
        <f t="shared" si="52"/>
        <v>#DIV/0!</v>
      </c>
      <c r="S182" s="237" t="e">
        <f t="shared" si="52"/>
        <v>#DIV/0!</v>
      </c>
      <c r="T182" s="237" t="e">
        <f t="shared" si="52"/>
        <v>#DIV/0!</v>
      </c>
      <c r="U182" s="237" t="e">
        <f t="shared" si="52"/>
        <v>#DIV/0!</v>
      </c>
      <c r="V182" s="237" t="e">
        <f t="shared" si="52"/>
        <v>#DIV/0!</v>
      </c>
      <c r="W182" s="237" t="e">
        <f t="shared" si="52"/>
        <v>#DIV/0!</v>
      </c>
      <c r="X182" s="237" t="e">
        <f t="shared" si="52"/>
        <v>#DIV/0!</v>
      </c>
      <c r="Y182" s="237" t="e">
        <f t="shared" si="52"/>
        <v>#DIV/0!</v>
      </c>
      <c r="Z182" s="263" t="e">
        <f t="shared" si="52"/>
        <v>#DIV/0!</v>
      </c>
    </row>
    <row r="183" spans="1:26" ht="13.5" customHeight="1">
      <c r="A183" s="259" t="s">
        <v>116</v>
      </c>
      <c r="B183" s="260" t="s">
        <v>117</v>
      </c>
      <c r="C183" s="261"/>
      <c r="D183" s="227">
        <f t="shared" ref="D183:Z183" si="53">(+$AB121/D$69+$AC121*(1+1/(D$63/0.0254)))*D121</f>
        <v>0</v>
      </c>
      <c r="E183" s="227" t="e">
        <f t="shared" si="53"/>
        <v>#DIV/0!</v>
      </c>
      <c r="F183" s="227" t="e">
        <f t="shared" si="53"/>
        <v>#DIV/0!</v>
      </c>
      <c r="G183" s="227">
        <f t="shared" si="53"/>
        <v>0</v>
      </c>
      <c r="H183" s="227">
        <f t="shared" si="53"/>
        <v>0</v>
      </c>
      <c r="I183" s="227">
        <f t="shared" si="53"/>
        <v>0</v>
      </c>
      <c r="J183" s="227" t="e">
        <f t="shared" si="53"/>
        <v>#DIV/0!</v>
      </c>
      <c r="K183" s="227">
        <f t="shared" si="53"/>
        <v>0</v>
      </c>
      <c r="L183" s="227" t="e">
        <f t="shared" si="53"/>
        <v>#DIV/0!</v>
      </c>
      <c r="M183" s="227">
        <f t="shared" si="53"/>
        <v>0</v>
      </c>
      <c r="N183" s="227" t="e">
        <f t="shared" si="53"/>
        <v>#DIV/0!</v>
      </c>
      <c r="O183" s="227" t="e">
        <f t="shared" si="53"/>
        <v>#DIV/0!</v>
      </c>
      <c r="P183" s="227" t="e">
        <f t="shared" si="53"/>
        <v>#DIV/0!</v>
      </c>
      <c r="Q183" s="227" t="e">
        <f t="shared" si="53"/>
        <v>#DIV/0!</v>
      </c>
      <c r="R183" s="227" t="e">
        <f t="shared" si="53"/>
        <v>#DIV/0!</v>
      </c>
      <c r="S183" s="227" t="e">
        <f t="shared" si="53"/>
        <v>#DIV/0!</v>
      </c>
      <c r="T183" s="227" t="e">
        <f t="shared" si="53"/>
        <v>#DIV/0!</v>
      </c>
      <c r="U183" s="227" t="e">
        <f t="shared" si="53"/>
        <v>#DIV/0!</v>
      </c>
      <c r="V183" s="227" t="e">
        <f t="shared" si="53"/>
        <v>#DIV/0!</v>
      </c>
      <c r="W183" s="227" t="e">
        <f t="shared" si="53"/>
        <v>#DIV/0!</v>
      </c>
      <c r="X183" s="227" t="e">
        <f t="shared" si="53"/>
        <v>#DIV/0!</v>
      </c>
      <c r="Y183" s="227" t="e">
        <f t="shared" si="53"/>
        <v>#DIV/0!</v>
      </c>
      <c r="Z183" s="255" t="e">
        <f t="shared" si="53"/>
        <v>#DIV/0!</v>
      </c>
    </row>
    <row r="184" spans="1:26" ht="13.5" customHeight="1">
      <c r="A184" s="249"/>
      <c r="B184" s="253" t="s">
        <v>118</v>
      </c>
      <c r="C184" s="254"/>
      <c r="D184" s="227">
        <f t="shared" ref="D184:Z184" si="54">(+$AB122/D$69+$AC122*(1+1/(D$63/0.0254)))*D122</f>
        <v>0</v>
      </c>
      <c r="E184" s="227" t="e">
        <f t="shared" si="54"/>
        <v>#DIV/0!</v>
      </c>
      <c r="F184" s="227" t="e">
        <f t="shared" si="54"/>
        <v>#DIV/0!</v>
      </c>
      <c r="G184" s="227">
        <f t="shared" si="54"/>
        <v>0</v>
      </c>
      <c r="H184" s="227">
        <f t="shared" si="54"/>
        <v>0</v>
      </c>
      <c r="I184" s="227">
        <f t="shared" si="54"/>
        <v>0</v>
      </c>
      <c r="J184" s="227" t="e">
        <f t="shared" si="54"/>
        <v>#DIV/0!</v>
      </c>
      <c r="K184" s="227">
        <f t="shared" si="54"/>
        <v>0</v>
      </c>
      <c r="L184" s="227" t="e">
        <f t="shared" si="54"/>
        <v>#DIV/0!</v>
      </c>
      <c r="M184" s="227">
        <f t="shared" si="54"/>
        <v>0</v>
      </c>
      <c r="N184" s="227" t="e">
        <f t="shared" si="54"/>
        <v>#DIV/0!</v>
      </c>
      <c r="O184" s="227" t="e">
        <f t="shared" si="54"/>
        <v>#DIV/0!</v>
      </c>
      <c r="P184" s="227" t="e">
        <f t="shared" si="54"/>
        <v>#DIV/0!</v>
      </c>
      <c r="Q184" s="227" t="e">
        <f t="shared" si="54"/>
        <v>#DIV/0!</v>
      </c>
      <c r="R184" s="227" t="e">
        <f t="shared" si="54"/>
        <v>#DIV/0!</v>
      </c>
      <c r="S184" s="227" t="e">
        <f t="shared" si="54"/>
        <v>#DIV/0!</v>
      </c>
      <c r="T184" s="227" t="e">
        <f t="shared" si="54"/>
        <v>#DIV/0!</v>
      </c>
      <c r="U184" s="227" t="e">
        <f t="shared" si="54"/>
        <v>#DIV/0!</v>
      </c>
      <c r="V184" s="227" t="e">
        <f t="shared" si="54"/>
        <v>#DIV/0!</v>
      </c>
      <c r="W184" s="227" t="e">
        <f t="shared" si="54"/>
        <v>#DIV/0!</v>
      </c>
      <c r="X184" s="227" t="e">
        <f t="shared" si="54"/>
        <v>#DIV/0!</v>
      </c>
      <c r="Y184" s="227" t="e">
        <f t="shared" si="54"/>
        <v>#DIV/0!</v>
      </c>
      <c r="Z184" s="255" t="e">
        <f t="shared" si="54"/>
        <v>#DIV/0!</v>
      </c>
    </row>
    <row r="185" spans="1:26" ht="13.5" customHeight="1" thickBot="1">
      <c r="A185" s="264" t="s">
        <v>97</v>
      </c>
      <c r="B185" s="265" t="s">
        <v>119</v>
      </c>
      <c r="C185" s="266"/>
      <c r="D185" s="242">
        <f t="shared" ref="D185:Z185" si="55">(+$AB123/D$69+$AC123*(1+1/(D$63/0.0254)))*D123</f>
        <v>0</v>
      </c>
      <c r="E185" s="242" t="e">
        <f t="shared" si="55"/>
        <v>#DIV/0!</v>
      </c>
      <c r="F185" s="242" t="e">
        <f t="shared" si="55"/>
        <v>#DIV/0!</v>
      </c>
      <c r="G185" s="242">
        <f t="shared" si="55"/>
        <v>0</v>
      </c>
      <c r="H185" s="242">
        <f t="shared" si="55"/>
        <v>0</v>
      </c>
      <c r="I185" s="242">
        <f t="shared" si="55"/>
        <v>0</v>
      </c>
      <c r="J185" s="242" t="e">
        <f t="shared" si="55"/>
        <v>#DIV/0!</v>
      </c>
      <c r="K185" s="242">
        <f t="shared" si="55"/>
        <v>0</v>
      </c>
      <c r="L185" s="242" t="e">
        <f t="shared" si="55"/>
        <v>#DIV/0!</v>
      </c>
      <c r="M185" s="242">
        <f t="shared" si="55"/>
        <v>0</v>
      </c>
      <c r="N185" s="242" t="e">
        <f t="shared" si="55"/>
        <v>#DIV/0!</v>
      </c>
      <c r="O185" s="242" t="e">
        <f t="shared" si="55"/>
        <v>#DIV/0!</v>
      </c>
      <c r="P185" s="242" t="e">
        <f t="shared" si="55"/>
        <v>#DIV/0!</v>
      </c>
      <c r="Q185" s="242" t="e">
        <f t="shared" si="55"/>
        <v>#DIV/0!</v>
      </c>
      <c r="R185" s="242" t="e">
        <f t="shared" si="55"/>
        <v>#DIV/0!</v>
      </c>
      <c r="S185" s="242" t="e">
        <f t="shared" si="55"/>
        <v>#DIV/0!</v>
      </c>
      <c r="T185" s="242" t="e">
        <f t="shared" si="55"/>
        <v>#DIV/0!</v>
      </c>
      <c r="U185" s="242" t="e">
        <f t="shared" si="55"/>
        <v>#DIV/0!</v>
      </c>
      <c r="V185" s="242" t="e">
        <f t="shared" si="55"/>
        <v>#DIV/0!</v>
      </c>
      <c r="W185" s="242" t="e">
        <f t="shared" si="55"/>
        <v>#DIV/0!</v>
      </c>
      <c r="X185" s="242" t="e">
        <f t="shared" si="55"/>
        <v>#DIV/0!</v>
      </c>
      <c r="Y185" s="242" t="e">
        <f t="shared" si="55"/>
        <v>#DIV/0!</v>
      </c>
      <c r="Z185" s="267" t="e">
        <f t="shared" si="55"/>
        <v>#DIV/0!</v>
      </c>
    </row>
    <row r="186" spans="1:26" ht="13.5" customHeight="1" thickBot="1">
      <c r="A186" s="215" t="s">
        <v>120</v>
      </c>
      <c r="B186" s="268"/>
      <c r="C186" s="269"/>
      <c r="D186" s="248"/>
      <c r="E186" s="248"/>
      <c r="F186" s="248"/>
      <c r="G186" s="248"/>
      <c r="H186" s="248"/>
      <c r="I186" s="248"/>
      <c r="J186" s="248"/>
      <c r="K186" s="248"/>
      <c r="L186" s="248"/>
      <c r="M186" s="248"/>
      <c r="N186" s="248"/>
      <c r="O186" s="248"/>
      <c r="P186" s="248"/>
      <c r="Q186" s="248"/>
      <c r="R186" s="248"/>
      <c r="S186" s="248"/>
      <c r="T186" s="248"/>
      <c r="U186" s="248"/>
      <c r="V186" s="248"/>
      <c r="W186" s="248"/>
      <c r="X186" s="248"/>
      <c r="Y186" s="248"/>
      <c r="Z186" s="248"/>
    </row>
    <row r="187" spans="1:26" ht="13.5" customHeight="1">
      <c r="A187" s="270" t="s">
        <v>121</v>
      </c>
      <c r="B187" s="250" t="s">
        <v>122</v>
      </c>
      <c r="C187" s="251"/>
      <c r="D187" s="222">
        <f t="shared" ref="D187:Z187" si="56">($AB126/D$69+$AC126)*D126</f>
        <v>0</v>
      </c>
      <c r="E187" s="222" t="e">
        <f t="shared" si="56"/>
        <v>#DIV/0!</v>
      </c>
      <c r="F187" s="222" t="e">
        <f t="shared" si="56"/>
        <v>#DIV/0!</v>
      </c>
      <c r="G187" s="222">
        <f t="shared" si="56"/>
        <v>0</v>
      </c>
      <c r="H187" s="222">
        <f t="shared" si="56"/>
        <v>0</v>
      </c>
      <c r="I187" s="222">
        <f t="shared" si="56"/>
        <v>0</v>
      </c>
      <c r="J187" s="222" t="e">
        <f t="shared" si="56"/>
        <v>#DIV/0!</v>
      </c>
      <c r="K187" s="222">
        <f t="shared" si="56"/>
        <v>0</v>
      </c>
      <c r="L187" s="222" t="e">
        <f t="shared" si="56"/>
        <v>#DIV/0!</v>
      </c>
      <c r="M187" s="222">
        <f t="shared" si="56"/>
        <v>0</v>
      </c>
      <c r="N187" s="222" t="e">
        <f t="shared" si="56"/>
        <v>#DIV/0!</v>
      </c>
      <c r="O187" s="222" t="e">
        <f t="shared" si="56"/>
        <v>#DIV/0!</v>
      </c>
      <c r="P187" s="222" t="e">
        <f t="shared" si="56"/>
        <v>#DIV/0!</v>
      </c>
      <c r="Q187" s="222" t="e">
        <f t="shared" si="56"/>
        <v>#DIV/0!</v>
      </c>
      <c r="R187" s="222" t="e">
        <f t="shared" si="56"/>
        <v>#DIV/0!</v>
      </c>
      <c r="S187" s="222" t="e">
        <f t="shared" si="56"/>
        <v>#DIV/0!</v>
      </c>
      <c r="T187" s="222" t="e">
        <f t="shared" si="56"/>
        <v>#DIV/0!</v>
      </c>
      <c r="U187" s="222" t="e">
        <f t="shared" si="56"/>
        <v>#DIV/0!</v>
      </c>
      <c r="V187" s="222" t="e">
        <f t="shared" si="56"/>
        <v>#DIV/0!</v>
      </c>
      <c r="W187" s="222" t="e">
        <f t="shared" si="56"/>
        <v>#DIV/0!</v>
      </c>
      <c r="X187" s="222" t="e">
        <f t="shared" si="56"/>
        <v>#DIV/0!</v>
      </c>
      <c r="Y187" s="222" t="e">
        <f t="shared" si="56"/>
        <v>#DIV/0!</v>
      </c>
      <c r="Z187" s="252" t="e">
        <f t="shared" si="56"/>
        <v>#DIV/0!</v>
      </c>
    </row>
    <row r="188" spans="1:26" ht="13.5" customHeight="1">
      <c r="A188" s="249"/>
      <c r="B188" s="253" t="s">
        <v>123</v>
      </c>
      <c r="C188" s="254"/>
      <c r="D188" s="227">
        <f t="shared" ref="D188:Z188" si="57">($AB127/D$69+$AC127)*D127</f>
        <v>0</v>
      </c>
      <c r="E188" s="227" t="e">
        <f t="shared" si="57"/>
        <v>#DIV/0!</v>
      </c>
      <c r="F188" s="227" t="e">
        <f t="shared" si="57"/>
        <v>#DIV/0!</v>
      </c>
      <c r="G188" s="227">
        <f t="shared" si="57"/>
        <v>0</v>
      </c>
      <c r="H188" s="227">
        <f t="shared" si="57"/>
        <v>0</v>
      </c>
      <c r="I188" s="227">
        <f t="shared" si="57"/>
        <v>0</v>
      </c>
      <c r="J188" s="227" t="e">
        <f t="shared" si="57"/>
        <v>#DIV/0!</v>
      </c>
      <c r="K188" s="227">
        <f t="shared" si="57"/>
        <v>0</v>
      </c>
      <c r="L188" s="227" t="e">
        <f t="shared" si="57"/>
        <v>#DIV/0!</v>
      </c>
      <c r="M188" s="227">
        <f t="shared" si="57"/>
        <v>0</v>
      </c>
      <c r="N188" s="227" t="e">
        <f t="shared" si="57"/>
        <v>#DIV/0!</v>
      </c>
      <c r="O188" s="227" t="e">
        <f t="shared" si="57"/>
        <v>#DIV/0!</v>
      </c>
      <c r="P188" s="227" t="e">
        <f t="shared" si="57"/>
        <v>#DIV/0!</v>
      </c>
      <c r="Q188" s="227" t="e">
        <f t="shared" si="57"/>
        <v>#DIV/0!</v>
      </c>
      <c r="R188" s="227" t="e">
        <f t="shared" si="57"/>
        <v>#DIV/0!</v>
      </c>
      <c r="S188" s="227" t="e">
        <f t="shared" si="57"/>
        <v>#DIV/0!</v>
      </c>
      <c r="T188" s="227" t="e">
        <f t="shared" si="57"/>
        <v>#DIV/0!</v>
      </c>
      <c r="U188" s="227" t="e">
        <f t="shared" si="57"/>
        <v>#DIV/0!</v>
      </c>
      <c r="V188" s="227" t="e">
        <f t="shared" si="57"/>
        <v>#DIV/0!</v>
      </c>
      <c r="W188" s="227" t="e">
        <f t="shared" si="57"/>
        <v>#DIV/0!</v>
      </c>
      <c r="X188" s="227" t="e">
        <f t="shared" si="57"/>
        <v>#DIV/0!</v>
      </c>
      <c r="Y188" s="227" t="e">
        <f t="shared" si="57"/>
        <v>#DIV/0!</v>
      </c>
      <c r="Z188" s="255" t="e">
        <f t="shared" si="57"/>
        <v>#DIV/0!</v>
      </c>
    </row>
    <row r="189" spans="1:26" ht="13.5" customHeight="1">
      <c r="A189" s="256"/>
      <c r="B189" s="257" t="s">
        <v>124</v>
      </c>
      <c r="C189" s="258"/>
      <c r="D189" s="227">
        <f t="shared" ref="D189:Z189" si="58">($AB128/D$69+$AC128)*D128</f>
        <v>0</v>
      </c>
      <c r="E189" s="227" t="e">
        <f t="shared" si="58"/>
        <v>#DIV/0!</v>
      </c>
      <c r="F189" s="227" t="e">
        <f t="shared" si="58"/>
        <v>#DIV/0!</v>
      </c>
      <c r="G189" s="227">
        <f t="shared" si="58"/>
        <v>0</v>
      </c>
      <c r="H189" s="227">
        <f t="shared" si="58"/>
        <v>0</v>
      </c>
      <c r="I189" s="227">
        <f t="shared" si="58"/>
        <v>0</v>
      </c>
      <c r="J189" s="227" t="e">
        <f t="shared" si="58"/>
        <v>#DIV/0!</v>
      </c>
      <c r="K189" s="227">
        <f t="shared" si="58"/>
        <v>0</v>
      </c>
      <c r="L189" s="227" t="e">
        <f t="shared" si="58"/>
        <v>#DIV/0!</v>
      </c>
      <c r="M189" s="227">
        <f t="shared" si="58"/>
        <v>0</v>
      </c>
      <c r="N189" s="227" t="e">
        <f t="shared" si="58"/>
        <v>#DIV/0!</v>
      </c>
      <c r="O189" s="227" t="e">
        <f t="shared" si="58"/>
        <v>#DIV/0!</v>
      </c>
      <c r="P189" s="227" t="e">
        <f t="shared" si="58"/>
        <v>#DIV/0!</v>
      </c>
      <c r="Q189" s="227" t="e">
        <f t="shared" si="58"/>
        <v>#DIV/0!</v>
      </c>
      <c r="R189" s="227" t="e">
        <f t="shared" si="58"/>
        <v>#DIV/0!</v>
      </c>
      <c r="S189" s="227" t="e">
        <f t="shared" si="58"/>
        <v>#DIV/0!</v>
      </c>
      <c r="T189" s="227" t="e">
        <f t="shared" si="58"/>
        <v>#DIV/0!</v>
      </c>
      <c r="U189" s="227" t="e">
        <f t="shared" si="58"/>
        <v>#DIV/0!</v>
      </c>
      <c r="V189" s="227" t="e">
        <f t="shared" si="58"/>
        <v>#DIV/0!</v>
      </c>
      <c r="W189" s="227" t="e">
        <f t="shared" si="58"/>
        <v>#DIV/0!</v>
      </c>
      <c r="X189" s="227" t="e">
        <f t="shared" si="58"/>
        <v>#DIV/0!</v>
      </c>
      <c r="Y189" s="227" t="e">
        <f t="shared" si="58"/>
        <v>#DIV/0!</v>
      </c>
      <c r="Z189" s="255" t="e">
        <f t="shared" si="58"/>
        <v>#DIV/0!</v>
      </c>
    </row>
    <row r="190" spans="1:26" ht="13.5" customHeight="1">
      <c r="A190" s="249" t="s">
        <v>125</v>
      </c>
      <c r="B190" s="253" t="s">
        <v>126</v>
      </c>
      <c r="C190" s="254"/>
      <c r="D190" s="271">
        <f t="shared" ref="D190:Z190" si="59">($AB129/D$69+$AC129)*D129</f>
        <v>0</v>
      </c>
      <c r="E190" s="271" t="e">
        <f t="shared" si="59"/>
        <v>#DIV/0!</v>
      </c>
      <c r="F190" s="271" t="e">
        <f t="shared" si="59"/>
        <v>#DIV/0!</v>
      </c>
      <c r="G190" s="271">
        <f t="shared" si="59"/>
        <v>0</v>
      </c>
      <c r="H190" s="271">
        <f t="shared" si="59"/>
        <v>0</v>
      </c>
      <c r="I190" s="271">
        <f t="shared" si="59"/>
        <v>0</v>
      </c>
      <c r="J190" s="271" t="e">
        <f t="shared" si="59"/>
        <v>#DIV/0!</v>
      </c>
      <c r="K190" s="271">
        <f t="shared" si="59"/>
        <v>0</v>
      </c>
      <c r="L190" s="271" t="e">
        <f t="shared" si="59"/>
        <v>#DIV/0!</v>
      </c>
      <c r="M190" s="271">
        <f t="shared" si="59"/>
        <v>0</v>
      </c>
      <c r="N190" s="271" t="e">
        <f t="shared" si="59"/>
        <v>#DIV/0!</v>
      </c>
      <c r="O190" s="271" t="e">
        <f t="shared" si="59"/>
        <v>#DIV/0!</v>
      </c>
      <c r="P190" s="271" t="e">
        <f t="shared" si="59"/>
        <v>#DIV/0!</v>
      </c>
      <c r="Q190" s="271" t="e">
        <f t="shared" si="59"/>
        <v>#DIV/0!</v>
      </c>
      <c r="R190" s="271" t="e">
        <f t="shared" si="59"/>
        <v>#DIV/0!</v>
      </c>
      <c r="S190" s="271" t="e">
        <f t="shared" si="59"/>
        <v>#DIV/0!</v>
      </c>
      <c r="T190" s="271" t="e">
        <f t="shared" si="59"/>
        <v>#DIV/0!</v>
      </c>
      <c r="U190" s="271" t="e">
        <f t="shared" si="59"/>
        <v>#DIV/0!</v>
      </c>
      <c r="V190" s="271" t="e">
        <f t="shared" si="59"/>
        <v>#DIV/0!</v>
      </c>
      <c r="W190" s="271" t="e">
        <f t="shared" si="59"/>
        <v>#DIV/0!</v>
      </c>
      <c r="X190" s="271" t="e">
        <f t="shared" si="59"/>
        <v>#DIV/0!</v>
      </c>
      <c r="Y190" s="271" t="e">
        <f t="shared" si="59"/>
        <v>#DIV/0!</v>
      </c>
      <c r="Z190" s="272" t="e">
        <f t="shared" si="59"/>
        <v>#DIV/0!</v>
      </c>
    </row>
    <row r="191" spans="1:26" ht="13.5" customHeight="1">
      <c r="A191" s="273" t="s">
        <v>136</v>
      </c>
      <c r="B191" s="274" t="s">
        <v>128</v>
      </c>
      <c r="C191" s="275"/>
      <c r="D191" s="362">
        <f>D130</f>
        <v>0</v>
      </c>
      <c r="E191" s="363">
        <f t="shared" ref="E191:Z192" si="60">E130</f>
        <v>0</v>
      </c>
      <c r="F191" s="363">
        <f t="shared" si="60"/>
        <v>0</v>
      </c>
      <c r="G191" s="363">
        <f t="shared" si="60"/>
        <v>0</v>
      </c>
      <c r="H191" s="363">
        <f t="shared" si="60"/>
        <v>0</v>
      </c>
      <c r="I191" s="363">
        <f t="shared" si="60"/>
        <v>0</v>
      </c>
      <c r="J191" s="363">
        <f t="shared" si="60"/>
        <v>0</v>
      </c>
      <c r="K191" s="363">
        <f t="shared" si="60"/>
        <v>0</v>
      </c>
      <c r="L191" s="363">
        <f t="shared" si="60"/>
        <v>0</v>
      </c>
      <c r="M191" s="363">
        <f t="shared" si="60"/>
        <v>0</v>
      </c>
      <c r="N191" s="363">
        <f t="shared" si="60"/>
        <v>0</v>
      </c>
      <c r="O191" s="363">
        <f t="shared" si="60"/>
        <v>0</v>
      </c>
      <c r="P191" s="363">
        <f t="shared" si="60"/>
        <v>0</v>
      </c>
      <c r="Q191" s="363">
        <f t="shared" si="60"/>
        <v>0</v>
      </c>
      <c r="R191" s="363">
        <f t="shared" si="60"/>
        <v>0</v>
      </c>
      <c r="S191" s="363">
        <f t="shared" si="60"/>
        <v>0</v>
      </c>
      <c r="T191" s="363">
        <f t="shared" ref="T191" si="61">T130</f>
        <v>0</v>
      </c>
      <c r="U191" s="363">
        <f t="shared" si="60"/>
        <v>0</v>
      </c>
      <c r="V191" s="363">
        <f t="shared" si="60"/>
        <v>0</v>
      </c>
      <c r="W191" s="363">
        <f t="shared" ref="W191" si="62">W130</f>
        <v>0</v>
      </c>
      <c r="X191" s="363">
        <f t="shared" si="60"/>
        <v>0</v>
      </c>
      <c r="Y191" s="363">
        <f t="shared" si="60"/>
        <v>0</v>
      </c>
      <c r="Z191" s="364">
        <f t="shared" si="60"/>
        <v>0</v>
      </c>
    </row>
    <row r="192" spans="1:26" ht="13.5" customHeight="1">
      <c r="A192" s="224"/>
      <c r="B192" s="276" t="s">
        <v>137</v>
      </c>
      <c r="C192" s="277"/>
      <c r="D192" s="365">
        <f>D131</f>
        <v>0</v>
      </c>
      <c r="E192" s="366">
        <f t="shared" si="60"/>
        <v>0</v>
      </c>
      <c r="F192" s="366">
        <f t="shared" si="60"/>
        <v>0</v>
      </c>
      <c r="G192" s="366">
        <f t="shared" si="60"/>
        <v>0</v>
      </c>
      <c r="H192" s="366">
        <f t="shared" si="60"/>
        <v>0</v>
      </c>
      <c r="I192" s="366">
        <f t="shared" si="60"/>
        <v>0</v>
      </c>
      <c r="J192" s="366">
        <f t="shared" si="60"/>
        <v>0</v>
      </c>
      <c r="K192" s="366">
        <f t="shared" si="60"/>
        <v>0</v>
      </c>
      <c r="L192" s="366">
        <f t="shared" si="60"/>
        <v>0</v>
      </c>
      <c r="M192" s="366">
        <f t="shared" si="60"/>
        <v>0</v>
      </c>
      <c r="N192" s="366">
        <f t="shared" si="60"/>
        <v>0</v>
      </c>
      <c r="O192" s="366">
        <f t="shared" si="60"/>
        <v>0</v>
      </c>
      <c r="P192" s="366">
        <f t="shared" si="60"/>
        <v>0</v>
      </c>
      <c r="Q192" s="366">
        <f t="shared" si="60"/>
        <v>0</v>
      </c>
      <c r="R192" s="366">
        <f t="shared" si="60"/>
        <v>0</v>
      </c>
      <c r="S192" s="366">
        <f t="shared" si="60"/>
        <v>0</v>
      </c>
      <c r="T192" s="366">
        <f t="shared" ref="T192" si="63">T131</f>
        <v>0</v>
      </c>
      <c r="U192" s="366">
        <f t="shared" si="60"/>
        <v>0</v>
      </c>
      <c r="V192" s="366">
        <f t="shared" si="60"/>
        <v>0</v>
      </c>
      <c r="W192" s="366">
        <f t="shared" ref="W192" si="64">W131</f>
        <v>0</v>
      </c>
      <c r="X192" s="366">
        <f t="shared" si="60"/>
        <v>0</v>
      </c>
      <c r="Y192" s="366">
        <f t="shared" si="60"/>
        <v>0</v>
      </c>
      <c r="Z192" s="367">
        <f t="shared" si="60"/>
        <v>0</v>
      </c>
    </row>
    <row r="193" spans="1:26" ht="13.5" customHeight="1">
      <c r="A193" s="224"/>
      <c r="B193" s="276" t="s">
        <v>138</v>
      </c>
      <c r="C193" s="277"/>
      <c r="D193" s="365">
        <f>IF(D132="",0,ReducerK(D$63/0.0254,D191,D192)*D132)</f>
        <v>0</v>
      </c>
      <c r="E193" s="366">
        <f>IF(E132="",0,ReducerK(E$63/0.0254,E191,E192)*E132)</f>
        <v>0</v>
      </c>
      <c r="F193" s="366">
        <f>IF(F132="",0,ReducerK(F$63/0.0254,F191,F192)*F132)</f>
        <v>0</v>
      </c>
      <c r="G193" s="366">
        <f>IF(G132="",0,ReducerK(G$63/0.0254,G191,G192)*G132)</f>
        <v>0</v>
      </c>
      <c r="H193" s="366">
        <f>IF(H132="",0,ReducerK(H$63/0.0254,H191,H192)*H132)</f>
        <v>0</v>
      </c>
      <c r="I193" s="366">
        <f>IF(I132="",0,ReducerK(I$63/0.0254,I191,I192)*I132)</f>
        <v>0</v>
      </c>
      <c r="J193" s="366">
        <f>IF(J132="",0,ReducerK(J$63/0.0254,J191,J192)*J132)</f>
        <v>0</v>
      </c>
      <c r="K193" s="366">
        <f>IF(K132="",0,ReducerK(K$63/0.0254,K191,K192)*K132)</f>
        <v>0</v>
      </c>
      <c r="L193" s="366">
        <f>IF(L132="",0,ReducerK(L$63/0.0254,L191,L192)*L132)</f>
        <v>0</v>
      </c>
      <c r="M193" s="366">
        <f>IF(M132="",0,ReducerK(M$63/0.0254,M191,M192)*M132)</f>
        <v>0</v>
      </c>
      <c r="N193" s="366">
        <f>IF(N132="",0,ReducerK(N$63/0.0254,N191,N192)*N132)</f>
        <v>0</v>
      </c>
      <c r="O193" s="366">
        <f>IF(O132="",0,ReducerK(O$63/0.0254,O191,O192)*O132)</f>
        <v>0</v>
      </c>
      <c r="P193" s="366">
        <f>IF(P132="",0,ReducerK(P$63/0.0254,P191,P192)*P132)</f>
        <v>0</v>
      </c>
      <c r="Q193" s="366">
        <f>IF(Q132="",0,ReducerK(Q$63/0.0254,Q191,Q192)*Q132)</f>
        <v>0</v>
      </c>
      <c r="R193" s="366">
        <f>IF(R132="",0,ReducerK(R$63/0.0254,R191,R192)*R132)</f>
        <v>0</v>
      </c>
      <c r="S193" s="366">
        <f>IF(S132="",0,ReducerK(S$63/0.0254,S191,S192)*S132)</f>
        <v>0</v>
      </c>
      <c r="T193" s="366">
        <f>IF(T132="",0,ReducerK(T$63/0.0254,T191,T192)*T132)</f>
        <v>0</v>
      </c>
      <c r="U193" s="366">
        <f>IF(U132="",0,ReducerK(U$63/0.0254,U191,U192)*U132)</f>
        <v>0</v>
      </c>
      <c r="V193" s="366">
        <f>IF(V132="",0,ReducerK(V$63/0.0254,V191,V192)*V132)</f>
        <v>0</v>
      </c>
      <c r="W193" s="366">
        <f>IF(W132="",0,ReducerK(W$63/0.0254,W191,W192)*W132)</f>
        <v>0</v>
      </c>
      <c r="X193" s="366">
        <f>IF(X132="",0,ReducerK(X$63/0.0254,X191,X192)*X132)</f>
        <v>0</v>
      </c>
      <c r="Y193" s="366">
        <f>IF(Y132="",0,ReducerK(Y$63/0.0254,Y191,Y192)*Y132)</f>
        <v>0</v>
      </c>
      <c r="Z193" s="367">
        <f>IF(Z132="",0,ReducerK(Z$63/0.0254,Z191,Z192)*Z132)</f>
        <v>0</v>
      </c>
    </row>
    <row r="194" spans="1:26" ht="13.5" customHeight="1">
      <c r="A194" s="224"/>
      <c r="B194" s="276" t="s">
        <v>139</v>
      </c>
      <c r="C194" s="277"/>
      <c r="D194" s="365">
        <f t="shared" ref="D194:Z194" si="65">IF(D132="",0,((1-(D191/(D$63/0.0254))^4)/(D191/(D$63/0.0254))^4)*D132)</f>
        <v>0</v>
      </c>
      <c r="E194" s="366">
        <f t="shared" si="65"/>
        <v>0</v>
      </c>
      <c r="F194" s="366">
        <f t="shared" si="65"/>
        <v>0</v>
      </c>
      <c r="G194" s="366">
        <f t="shared" si="65"/>
        <v>0</v>
      </c>
      <c r="H194" s="366">
        <f t="shared" si="65"/>
        <v>0</v>
      </c>
      <c r="I194" s="366">
        <f t="shared" si="65"/>
        <v>0</v>
      </c>
      <c r="J194" s="366">
        <f t="shared" si="65"/>
        <v>0</v>
      </c>
      <c r="K194" s="366">
        <f t="shared" si="65"/>
        <v>0</v>
      </c>
      <c r="L194" s="366">
        <f t="shared" si="65"/>
        <v>0</v>
      </c>
      <c r="M194" s="366">
        <f t="shared" si="65"/>
        <v>0</v>
      </c>
      <c r="N194" s="366">
        <f t="shared" si="65"/>
        <v>0</v>
      </c>
      <c r="O194" s="366">
        <f t="shared" si="65"/>
        <v>0</v>
      </c>
      <c r="P194" s="366">
        <f t="shared" si="65"/>
        <v>0</v>
      </c>
      <c r="Q194" s="366">
        <f t="shared" si="65"/>
        <v>0</v>
      </c>
      <c r="R194" s="366">
        <f t="shared" si="65"/>
        <v>0</v>
      </c>
      <c r="S194" s="366">
        <f t="shared" si="65"/>
        <v>0</v>
      </c>
      <c r="T194" s="366">
        <f t="shared" si="65"/>
        <v>0</v>
      </c>
      <c r="U194" s="366">
        <f t="shared" si="65"/>
        <v>0</v>
      </c>
      <c r="V194" s="366">
        <f t="shared" si="65"/>
        <v>0</v>
      </c>
      <c r="W194" s="366">
        <f t="shared" si="65"/>
        <v>0</v>
      </c>
      <c r="X194" s="366">
        <f t="shared" si="65"/>
        <v>0</v>
      </c>
      <c r="Y194" s="366">
        <f t="shared" si="65"/>
        <v>0</v>
      </c>
      <c r="Z194" s="367">
        <f t="shared" si="65"/>
        <v>0</v>
      </c>
    </row>
    <row r="195" spans="1:26" ht="13.5" customHeight="1">
      <c r="A195" s="224"/>
      <c r="B195" s="276" t="s">
        <v>140</v>
      </c>
      <c r="C195" s="277"/>
      <c r="D195" s="365">
        <f>IF(D132=" ",0,D193+D194)</f>
        <v>0</v>
      </c>
      <c r="E195" s="366">
        <f t="shared" ref="E195:Z195" si="66">IF(E132=" ",0,E193+E194)</f>
        <v>0</v>
      </c>
      <c r="F195" s="366">
        <f t="shared" si="66"/>
        <v>0</v>
      </c>
      <c r="G195" s="366">
        <f t="shared" si="66"/>
        <v>0</v>
      </c>
      <c r="H195" s="366">
        <f t="shared" si="66"/>
        <v>0</v>
      </c>
      <c r="I195" s="366">
        <f t="shared" si="66"/>
        <v>0</v>
      </c>
      <c r="J195" s="366">
        <f t="shared" si="66"/>
        <v>0</v>
      </c>
      <c r="K195" s="366">
        <f t="shared" si="66"/>
        <v>0</v>
      </c>
      <c r="L195" s="366">
        <f t="shared" si="66"/>
        <v>0</v>
      </c>
      <c r="M195" s="366">
        <f t="shared" si="66"/>
        <v>0</v>
      </c>
      <c r="N195" s="366">
        <f t="shared" si="66"/>
        <v>0</v>
      </c>
      <c r="O195" s="366">
        <f t="shared" si="66"/>
        <v>0</v>
      </c>
      <c r="P195" s="366">
        <f t="shared" si="66"/>
        <v>0</v>
      </c>
      <c r="Q195" s="366">
        <f t="shared" si="66"/>
        <v>0</v>
      </c>
      <c r="R195" s="366">
        <f t="shared" si="66"/>
        <v>0</v>
      </c>
      <c r="S195" s="366">
        <f t="shared" si="66"/>
        <v>0</v>
      </c>
      <c r="T195" s="366">
        <f t="shared" ref="T195" si="67">IF(T132=" ",0,T193+T194)</f>
        <v>0</v>
      </c>
      <c r="U195" s="366">
        <f t="shared" si="66"/>
        <v>0</v>
      </c>
      <c r="V195" s="366">
        <f t="shared" si="66"/>
        <v>0</v>
      </c>
      <c r="W195" s="366">
        <f t="shared" ref="W195" si="68">IF(W132=" ",0,W193+W194)</f>
        <v>0</v>
      </c>
      <c r="X195" s="366">
        <f t="shared" si="66"/>
        <v>0</v>
      </c>
      <c r="Y195" s="366">
        <f t="shared" si="66"/>
        <v>0</v>
      </c>
      <c r="Z195" s="367">
        <f t="shared" si="66"/>
        <v>0</v>
      </c>
    </row>
    <row r="196" spans="1:26" ht="13.5" customHeight="1">
      <c r="A196" s="273" t="s">
        <v>141</v>
      </c>
      <c r="B196" s="274" t="s">
        <v>128</v>
      </c>
      <c r="C196" s="275"/>
      <c r="D196" s="362">
        <f>D133</f>
        <v>0</v>
      </c>
      <c r="E196" s="363">
        <f t="shared" ref="E196:Z197" si="69">E133</f>
        <v>0</v>
      </c>
      <c r="F196" s="363">
        <f t="shared" si="69"/>
        <v>0</v>
      </c>
      <c r="G196" s="363">
        <f t="shared" si="69"/>
        <v>0</v>
      </c>
      <c r="H196" s="363">
        <f t="shared" si="69"/>
        <v>0</v>
      </c>
      <c r="I196" s="363">
        <f t="shared" si="69"/>
        <v>0</v>
      </c>
      <c r="J196" s="363">
        <f t="shared" si="69"/>
        <v>0</v>
      </c>
      <c r="K196" s="363">
        <f t="shared" si="69"/>
        <v>0</v>
      </c>
      <c r="L196" s="363">
        <f t="shared" si="69"/>
        <v>0</v>
      </c>
      <c r="M196" s="363">
        <f t="shared" si="69"/>
        <v>0</v>
      </c>
      <c r="N196" s="363">
        <f t="shared" si="69"/>
        <v>0</v>
      </c>
      <c r="O196" s="363">
        <f t="shared" si="69"/>
        <v>0</v>
      </c>
      <c r="P196" s="363">
        <f t="shared" si="69"/>
        <v>0</v>
      </c>
      <c r="Q196" s="363">
        <f t="shared" si="69"/>
        <v>0</v>
      </c>
      <c r="R196" s="363">
        <f t="shared" si="69"/>
        <v>0</v>
      </c>
      <c r="S196" s="363">
        <f t="shared" si="69"/>
        <v>0</v>
      </c>
      <c r="T196" s="363">
        <f t="shared" ref="T196" si="70">T133</f>
        <v>0</v>
      </c>
      <c r="U196" s="363">
        <f t="shared" si="69"/>
        <v>0</v>
      </c>
      <c r="V196" s="363">
        <f t="shared" si="69"/>
        <v>0</v>
      </c>
      <c r="W196" s="363">
        <f t="shared" ref="W196" si="71">W133</f>
        <v>0</v>
      </c>
      <c r="X196" s="363">
        <f t="shared" si="69"/>
        <v>0</v>
      </c>
      <c r="Y196" s="363">
        <f t="shared" si="69"/>
        <v>0</v>
      </c>
      <c r="Z196" s="364">
        <f t="shared" si="69"/>
        <v>0</v>
      </c>
    </row>
    <row r="197" spans="1:26" ht="13.5" customHeight="1">
      <c r="A197" s="224"/>
      <c r="B197" s="276" t="s">
        <v>137</v>
      </c>
      <c r="C197" s="277"/>
      <c r="D197" s="365">
        <f>D134</f>
        <v>0</v>
      </c>
      <c r="E197" s="366">
        <f t="shared" si="69"/>
        <v>0</v>
      </c>
      <c r="F197" s="366">
        <f t="shared" si="69"/>
        <v>0</v>
      </c>
      <c r="G197" s="366">
        <f t="shared" si="69"/>
        <v>0</v>
      </c>
      <c r="H197" s="366">
        <f t="shared" si="69"/>
        <v>0</v>
      </c>
      <c r="I197" s="366">
        <f t="shared" si="69"/>
        <v>0</v>
      </c>
      <c r="J197" s="366">
        <f t="shared" si="69"/>
        <v>0</v>
      </c>
      <c r="K197" s="366">
        <f t="shared" si="69"/>
        <v>0</v>
      </c>
      <c r="L197" s="366">
        <f t="shared" si="69"/>
        <v>0</v>
      </c>
      <c r="M197" s="366">
        <f t="shared" si="69"/>
        <v>0</v>
      </c>
      <c r="N197" s="366">
        <f t="shared" si="69"/>
        <v>0</v>
      </c>
      <c r="O197" s="366">
        <f t="shared" si="69"/>
        <v>0</v>
      </c>
      <c r="P197" s="366">
        <f t="shared" si="69"/>
        <v>0</v>
      </c>
      <c r="Q197" s="366">
        <f t="shared" si="69"/>
        <v>0</v>
      </c>
      <c r="R197" s="366">
        <f t="shared" si="69"/>
        <v>0</v>
      </c>
      <c r="S197" s="366">
        <f t="shared" si="69"/>
        <v>0</v>
      </c>
      <c r="T197" s="366">
        <f t="shared" ref="T197" si="72">T134</f>
        <v>0</v>
      </c>
      <c r="U197" s="366">
        <f t="shared" si="69"/>
        <v>0</v>
      </c>
      <c r="V197" s="366">
        <f t="shared" si="69"/>
        <v>0</v>
      </c>
      <c r="W197" s="366">
        <f t="shared" ref="W197" si="73">W134</f>
        <v>0</v>
      </c>
      <c r="X197" s="366">
        <f t="shared" si="69"/>
        <v>0</v>
      </c>
      <c r="Y197" s="366">
        <f t="shared" si="69"/>
        <v>0</v>
      </c>
      <c r="Z197" s="367">
        <f t="shared" si="69"/>
        <v>0</v>
      </c>
    </row>
    <row r="198" spans="1:26" ht="13.5" customHeight="1">
      <c r="A198" s="224"/>
      <c r="B198" s="276" t="s">
        <v>138</v>
      </c>
      <c r="C198" s="277"/>
      <c r="D198" s="365">
        <f>IF(D135="",0,EnlargerK(D$63/0.0254,D196,D197)*D135)</f>
        <v>0</v>
      </c>
      <c r="E198" s="366">
        <f>IF(E135="",0,EnlargerK(E$63/0.0254,E196,E197)*E135)</f>
        <v>0</v>
      </c>
      <c r="F198" s="366">
        <f>IF(F135="",0,EnlargerK(F$63/0.0254,F196,F197)*F135)</f>
        <v>0</v>
      </c>
      <c r="G198" s="366">
        <f>IF(G135="",0,EnlargerK(G$63/0.0254,G196,G197)*G135)</f>
        <v>0</v>
      </c>
      <c r="H198" s="366">
        <f>IF(H135="",0,EnlargerK(H$63/0.0254,H196,H197)*H135)</f>
        <v>0</v>
      </c>
      <c r="I198" s="366">
        <f>IF(I135="",0,EnlargerK(I$63/0.0254,I196,I197)*I135)</f>
        <v>0</v>
      </c>
      <c r="J198" s="366">
        <f>IF(J135="",0,EnlargerK(J$63/0.0254,J196,J197)*J135)</f>
        <v>0</v>
      </c>
      <c r="K198" s="366">
        <f>IF(K135="",0,EnlargerK(K$63/0.0254,K196,K197)*K135)</f>
        <v>0</v>
      </c>
      <c r="L198" s="366">
        <f>IF(L135="",0,EnlargerK(L$63/0.0254,L196,L197)*L135)</f>
        <v>0</v>
      </c>
      <c r="M198" s="366">
        <f>IF(M135="",0,EnlargerK(M$63/0.0254,M196,M197)*M135)</f>
        <v>0</v>
      </c>
      <c r="N198" s="366">
        <f>IF(N135="",0,EnlargerK(N$63/0.0254,N196,N197)*N135)</f>
        <v>0</v>
      </c>
      <c r="O198" s="366">
        <f>IF(O135="",0,EnlargerK(O$63/0.0254,O196,O197)*O135)</f>
        <v>0</v>
      </c>
      <c r="P198" s="366">
        <f>IF(P135="",0,EnlargerK(P$63/0.0254,P196,P197)*P135)</f>
        <v>0</v>
      </c>
      <c r="Q198" s="366">
        <f>IF(Q135="",0,EnlargerK(Q$63/0.0254,Q196,Q197)*Q135)</f>
        <v>0</v>
      </c>
      <c r="R198" s="366">
        <f>IF(R135="",0,EnlargerK(R$63/0.0254,R196,R197)*R135)</f>
        <v>0</v>
      </c>
      <c r="S198" s="366">
        <f>IF(S135="",0,EnlargerK(S$63/0.0254,S196,S197)*S135)</f>
        <v>0</v>
      </c>
      <c r="T198" s="366">
        <f>IF(T135="",0,EnlargerK(T$63/0.0254,T196,T197)*T135)</f>
        <v>0</v>
      </c>
      <c r="U198" s="366">
        <f>IF(U135="",0,EnlargerK(U$63/0.0254,U196,U197)*U135)</f>
        <v>0</v>
      </c>
      <c r="V198" s="366">
        <f>IF(V135="",0,EnlargerK(V$63/0.0254,V196,V197)*V135)</f>
        <v>0</v>
      </c>
      <c r="W198" s="366">
        <f>IF(W135="",0,EnlargerK(W$63/0.0254,W196,W197)*W135)</f>
        <v>0</v>
      </c>
      <c r="X198" s="366">
        <f>IF(X135="",0,EnlargerK(X$63/0.0254,X196,X197)*X135)</f>
        <v>0</v>
      </c>
      <c r="Y198" s="366">
        <f>IF(Y135="",0,EnlargerK(Y$63/0.0254,Y196,Y197)*Y135)</f>
        <v>0</v>
      </c>
      <c r="Z198" s="367">
        <f>IF(Z135="",0,EnlargerK(Z$63/0.0254,Z196,Z197)*Z135)</f>
        <v>0</v>
      </c>
    </row>
    <row r="199" spans="1:26" ht="13.5" customHeight="1">
      <c r="A199" s="224"/>
      <c r="B199" s="276" t="s">
        <v>139</v>
      </c>
      <c r="C199" s="277"/>
      <c r="D199" s="365">
        <f t="shared" ref="D199:Z199" si="74">IF(D135="",0,-(1-((D$63/0.0254)/D196)^4)*D135)</f>
        <v>0</v>
      </c>
      <c r="E199" s="366">
        <f t="shared" si="74"/>
        <v>0</v>
      </c>
      <c r="F199" s="366">
        <f t="shared" si="74"/>
        <v>0</v>
      </c>
      <c r="G199" s="366">
        <f t="shared" si="74"/>
        <v>0</v>
      </c>
      <c r="H199" s="366">
        <f t="shared" si="74"/>
        <v>0</v>
      </c>
      <c r="I199" s="366">
        <f t="shared" si="74"/>
        <v>0</v>
      </c>
      <c r="J199" s="366">
        <f t="shared" si="74"/>
        <v>0</v>
      </c>
      <c r="K199" s="366">
        <f t="shared" si="74"/>
        <v>0</v>
      </c>
      <c r="L199" s="366">
        <f t="shared" si="74"/>
        <v>0</v>
      </c>
      <c r="M199" s="366">
        <f t="shared" si="74"/>
        <v>0</v>
      </c>
      <c r="N199" s="366">
        <f t="shared" si="74"/>
        <v>0</v>
      </c>
      <c r="O199" s="366">
        <f t="shared" si="74"/>
        <v>0</v>
      </c>
      <c r="P199" s="366">
        <f t="shared" si="74"/>
        <v>0</v>
      </c>
      <c r="Q199" s="366">
        <f t="shared" si="74"/>
        <v>0</v>
      </c>
      <c r="R199" s="366">
        <f t="shared" si="74"/>
        <v>0</v>
      </c>
      <c r="S199" s="366">
        <f t="shared" si="74"/>
        <v>0</v>
      </c>
      <c r="T199" s="366">
        <f t="shared" si="74"/>
        <v>0</v>
      </c>
      <c r="U199" s="366">
        <f t="shared" si="74"/>
        <v>0</v>
      </c>
      <c r="V199" s="366">
        <f t="shared" si="74"/>
        <v>0</v>
      </c>
      <c r="W199" s="366">
        <f t="shared" si="74"/>
        <v>0</v>
      </c>
      <c r="X199" s="366">
        <f t="shared" si="74"/>
        <v>0</v>
      </c>
      <c r="Y199" s="366">
        <f t="shared" si="74"/>
        <v>0</v>
      </c>
      <c r="Z199" s="367">
        <f t="shared" si="74"/>
        <v>0</v>
      </c>
    </row>
    <row r="200" spans="1:26" ht="13.5" customHeight="1">
      <c r="A200" s="234"/>
      <c r="B200" s="278" t="s">
        <v>140</v>
      </c>
      <c r="C200" s="279"/>
      <c r="D200" s="359">
        <f>IF(D135=" ",0,D198+D199)</f>
        <v>0</v>
      </c>
      <c r="E200" s="360">
        <f t="shared" ref="E200:Z200" si="75">IF(E135=" ",0,E198+E199)</f>
        <v>0</v>
      </c>
      <c r="F200" s="360">
        <f t="shared" si="75"/>
        <v>0</v>
      </c>
      <c r="G200" s="360">
        <f t="shared" si="75"/>
        <v>0</v>
      </c>
      <c r="H200" s="360">
        <f t="shared" si="75"/>
        <v>0</v>
      </c>
      <c r="I200" s="360">
        <f t="shared" si="75"/>
        <v>0</v>
      </c>
      <c r="J200" s="360">
        <f t="shared" si="75"/>
        <v>0</v>
      </c>
      <c r="K200" s="360">
        <f t="shared" si="75"/>
        <v>0</v>
      </c>
      <c r="L200" s="360">
        <f t="shared" si="75"/>
        <v>0</v>
      </c>
      <c r="M200" s="360">
        <f t="shared" si="75"/>
        <v>0</v>
      </c>
      <c r="N200" s="360">
        <f t="shared" si="75"/>
        <v>0</v>
      </c>
      <c r="O200" s="360">
        <f t="shared" si="75"/>
        <v>0</v>
      </c>
      <c r="P200" s="360">
        <f t="shared" si="75"/>
        <v>0</v>
      </c>
      <c r="Q200" s="360">
        <f t="shared" si="75"/>
        <v>0</v>
      </c>
      <c r="R200" s="360">
        <f t="shared" si="75"/>
        <v>0</v>
      </c>
      <c r="S200" s="360">
        <f t="shared" si="75"/>
        <v>0</v>
      </c>
      <c r="T200" s="360">
        <f t="shared" ref="T200" si="76">IF(T135=" ",0,T198+T199)</f>
        <v>0</v>
      </c>
      <c r="U200" s="360">
        <f t="shared" si="75"/>
        <v>0</v>
      </c>
      <c r="V200" s="360">
        <f t="shared" si="75"/>
        <v>0</v>
      </c>
      <c r="W200" s="360">
        <f t="shared" ref="W200" si="77">IF(W135=" ",0,W198+W199)</f>
        <v>0</v>
      </c>
      <c r="X200" s="360">
        <f t="shared" si="75"/>
        <v>0</v>
      </c>
      <c r="Y200" s="360">
        <f t="shared" si="75"/>
        <v>0</v>
      </c>
      <c r="Z200" s="361">
        <f t="shared" si="75"/>
        <v>0</v>
      </c>
    </row>
    <row r="201" spans="1:26" ht="13.5" customHeight="1" thickBot="1">
      <c r="A201" s="280" t="s">
        <v>142</v>
      </c>
      <c r="B201" s="281" t="s">
        <v>143</v>
      </c>
      <c r="C201" s="282"/>
      <c r="D201" s="368">
        <f>SUM(D155:D190)+D195+D200</f>
        <v>1.3493373045530661</v>
      </c>
      <c r="E201" s="369" t="e">
        <f t="shared" ref="E201:Z201" si="78">SUM(E155:E190)+E195+E200</f>
        <v>#DIV/0!</v>
      </c>
      <c r="F201" s="369" t="e">
        <f t="shared" si="78"/>
        <v>#DIV/0!</v>
      </c>
      <c r="G201" s="369">
        <f t="shared" si="78"/>
        <v>0</v>
      </c>
      <c r="H201" s="369">
        <f t="shared" si="78"/>
        <v>0</v>
      </c>
      <c r="I201" s="369">
        <f t="shared" si="78"/>
        <v>0</v>
      </c>
      <c r="J201" s="369" t="e">
        <f t="shared" si="78"/>
        <v>#DIV/0!</v>
      </c>
      <c r="K201" s="369">
        <f t="shared" si="78"/>
        <v>0</v>
      </c>
      <c r="L201" s="369" t="e">
        <f t="shared" si="78"/>
        <v>#DIV/0!</v>
      </c>
      <c r="M201" s="369">
        <f t="shared" si="78"/>
        <v>0</v>
      </c>
      <c r="N201" s="369" t="e">
        <f t="shared" si="78"/>
        <v>#DIV/0!</v>
      </c>
      <c r="O201" s="369" t="e">
        <f t="shared" si="78"/>
        <v>#DIV/0!</v>
      </c>
      <c r="P201" s="369" t="e">
        <f t="shared" si="78"/>
        <v>#DIV/0!</v>
      </c>
      <c r="Q201" s="369" t="e">
        <f t="shared" si="78"/>
        <v>#DIV/0!</v>
      </c>
      <c r="R201" s="369" t="e">
        <f t="shared" si="78"/>
        <v>#DIV/0!</v>
      </c>
      <c r="S201" s="369" t="e">
        <f t="shared" si="78"/>
        <v>#DIV/0!</v>
      </c>
      <c r="T201" s="369" t="e">
        <f t="shared" ref="T201" si="79">SUM(T155:T190)+T195+T200</f>
        <v>#DIV/0!</v>
      </c>
      <c r="U201" s="369" t="e">
        <f t="shared" si="78"/>
        <v>#DIV/0!</v>
      </c>
      <c r="V201" s="369" t="e">
        <f t="shared" si="78"/>
        <v>#DIV/0!</v>
      </c>
      <c r="W201" s="369" t="e">
        <f t="shared" ref="W201" si="80">SUM(W155:W190)+W195+W200</f>
        <v>#DIV/0!</v>
      </c>
      <c r="X201" s="369" t="e">
        <f t="shared" si="78"/>
        <v>#DIV/0!</v>
      </c>
      <c r="Y201" s="369" t="e">
        <f t="shared" si="78"/>
        <v>#DIV/0!</v>
      </c>
      <c r="Z201" s="370" t="e">
        <f t="shared" si="78"/>
        <v>#DIV/0!</v>
      </c>
    </row>
    <row r="202" spans="1:26" ht="13.5" customHeight="1">
      <c r="A202" s="283"/>
      <c r="B202" s="283"/>
      <c r="C202" s="141"/>
      <c r="D202" s="283"/>
      <c r="E202" s="283"/>
      <c r="F202" s="283"/>
      <c r="G202" s="283"/>
      <c r="H202" s="283"/>
      <c r="I202" s="283"/>
      <c r="J202" s="283"/>
      <c r="K202" s="283"/>
      <c r="L202" s="283"/>
      <c r="M202" s="283"/>
      <c r="N202" s="283"/>
      <c r="O202" s="283"/>
      <c r="P202" s="283"/>
      <c r="Q202" s="283"/>
      <c r="R202" s="283"/>
      <c r="S202" s="283"/>
      <c r="T202" s="283"/>
      <c r="U202" s="283"/>
      <c r="V202" s="283"/>
      <c r="W202" s="283"/>
      <c r="X202" s="283"/>
      <c r="Y202" s="283"/>
      <c r="Z202" s="283"/>
    </row>
    <row r="203" spans="1:26" ht="13.5" customHeight="1">
      <c r="A203" s="41"/>
      <c r="B203" s="41"/>
      <c r="C203" s="110"/>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thickBot="1">
      <c r="A204" s="128" t="s">
        <v>144</v>
      </c>
      <c r="B204" s="128"/>
    </row>
    <row r="205" spans="1:26" ht="13.5" customHeight="1" thickTop="1">
      <c r="A205" s="518" t="s">
        <v>283</v>
      </c>
      <c r="B205" s="516"/>
      <c r="C205" s="517" t="s">
        <v>149</v>
      </c>
      <c r="D205" s="533">
        <f>IF(D48=" "," ",IF($C$48="m3/hr",D52*D68,D68))</f>
        <v>30469.56</v>
      </c>
      <c r="E205" s="533" t="str">
        <f t="shared" ref="E205:M205" si="81">IF(E48=" "," ",IF($C$48="m3/hr",E52*E68,E68))</f>
        <v xml:space="preserve"> </v>
      </c>
      <c r="F205" s="645" t="str">
        <f t="shared" si="81"/>
        <v xml:space="preserve"> </v>
      </c>
      <c r="G205" s="646">
        <f t="shared" si="81"/>
        <v>30465.05</v>
      </c>
      <c r="H205" s="533">
        <f t="shared" si="81"/>
        <v>4326.3</v>
      </c>
      <c r="I205" s="533">
        <f t="shared" si="81"/>
        <v>10864.260000000002</v>
      </c>
      <c r="J205" s="533" t="str">
        <f t="shared" si="81"/>
        <v xml:space="preserve"> </v>
      </c>
      <c r="K205" s="533">
        <f t="shared" si="81"/>
        <v>10864.260000000002</v>
      </c>
      <c r="L205" s="533" t="str">
        <f t="shared" si="81"/>
        <v xml:space="preserve"> </v>
      </c>
      <c r="M205" s="533">
        <f t="shared" si="81"/>
        <v>10864.260000000002</v>
      </c>
      <c r="N205" s="533" t="str">
        <f t="shared" ref="N205:Z205" si="82">IF(N48=" "," ",IF($C$48="m3/hr",N52*N68,N68))</f>
        <v xml:space="preserve"> </v>
      </c>
      <c r="O205" s="533" t="str">
        <f t="shared" si="82"/>
        <v xml:space="preserve"> </v>
      </c>
      <c r="P205" s="533" t="str">
        <f t="shared" si="82"/>
        <v xml:space="preserve"> </v>
      </c>
      <c r="Q205" s="533" t="str">
        <f t="shared" si="82"/>
        <v xml:space="preserve"> </v>
      </c>
      <c r="R205" s="533" t="str">
        <f t="shared" si="82"/>
        <v xml:space="preserve"> </v>
      </c>
      <c r="S205" s="533" t="str">
        <f t="shared" si="82"/>
        <v xml:space="preserve"> </v>
      </c>
      <c r="T205" s="533" t="str">
        <f t="shared" si="82"/>
        <v xml:space="preserve"> </v>
      </c>
      <c r="U205" s="533" t="str">
        <f t="shared" si="82"/>
        <v xml:space="preserve"> </v>
      </c>
      <c r="V205" s="533" t="str">
        <f t="shared" si="82"/>
        <v xml:space="preserve"> </v>
      </c>
      <c r="W205" s="533" t="str">
        <f t="shared" si="82"/>
        <v xml:space="preserve"> </v>
      </c>
      <c r="X205" s="533" t="str">
        <f t="shared" si="82"/>
        <v xml:space="preserve"> </v>
      </c>
      <c r="Y205" s="533" t="str">
        <f t="shared" si="82"/>
        <v xml:space="preserve"> </v>
      </c>
      <c r="Z205" s="533" t="str">
        <f t="shared" si="82"/>
        <v xml:space="preserve"> </v>
      </c>
    </row>
    <row r="206" spans="1:26" ht="13.5" customHeight="1">
      <c r="A206" s="514" t="s">
        <v>148</v>
      </c>
      <c r="B206" s="515"/>
      <c r="C206" s="308" t="s">
        <v>149</v>
      </c>
      <c r="D206" s="293">
        <f>IF(D48=" "," ",D205*(1-D50))</f>
        <v>30469.56</v>
      </c>
      <c r="E206" s="293" t="str">
        <f t="shared" ref="E206:M206" si="83">IF(E48=" "," ",E205*(1-E50))</f>
        <v xml:space="preserve"> </v>
      </c>
      <c r="F206" s="521" t="str">
        <f t="shared" si="83"/>
        <v xml:space="preserve"> </v>
      </c>
      <c r="G206" s="294">
        <f t="shared" si="83"/>
        <v>30465.05</v>
      </c>
      <c r="H206" s="293">
        <f t="shared" si="83"/>
        <v>4326.3</v>
      </c>
      <c r="I206" s="293">
        <f t="shared" si="83"/>
        <v>10864.260000000002</v>
      </c>
      <c r="J206" s="293" t="str">
        <f t="shared" si="83"/>
        <v xml:space="preserve"> </v>
      </c>
      <c r="K206" s="293">
        <f t="shared" si="83"/>
        <v>10864.260000000002</v>
      </c>
      <c r="L206" s="293" t="str">
        <f t="shared" si="83"/>
        <v xml:space="preserve"> </v>
      </c>
      <c r="M206" s="293">
        <f t="shared" si="83"/>
        <v>10864.260000000002</v>
      </c>
      <c r="N206" s="293" t="str">
        <f t="shared" ref="N206" si="84">IF(N48=" "," ",N205*(1-N50))</f>
        <v xml:space="preserve"> </v>
      </c>
      <c r="O206" s="293" t="str">
        <f t="shared" ref="O206" si="85">IF(O48=" "," ",O205*(1-O50))</f>
        <v xml:space="preserve"> </v>
      </c>
      <c r="P206" s="293" t="str">
        <f t="shared" ref="P206" si="86">IF(P48=" "," ",P205*(1-P50))</f>
        <v xml:space="preserve"> </v>
      </c>
      <c r="Q206" s="293" t="str">
        <f t="shared" ref="Q206" si="87">IF(Q48=" "," ",Q205*(1-Q50))</f>
        <v xml:space="preserve"> </v>
      </c>
      <c r="R206" s="293" t="str">
        <f t="shared" ref="R206" si="88">IF(R48=" "," ",R205*(1-R50))</f>
        <v xml:space="preserve"> </v>
      </c>
      <c r="S206" s="293" t="str">
        <f t="shared" ref="S206" si="89">IF(S48=" "," ",S205*(1-S50))</f>
        <v xml:space="preserve"> </v>
      </c>
      <c r="T206" s="293" t="str">
        <f t="shared" ref="T206" si="90">IF(T48=" "," ",T205*(1-T50))</f>
        <v xml:space="preserve"> </v>
      </c>
      <c r="U206" s="293" t="str">
        <f t="shared" ref="U206" si="91">IF(U48=" "," ",U205*(1-U50))</f>
        <v xml:space="preserve"> </v>
      </c>
      <c r="V206" s="293" t="str">
        <f t="shared" ref="V206" si="92">IF(V48=" "," ",V205*(1-V50))</f>
        <v xml:space="preserve"> </v>
      </c>
      <c r="W206" s="293" t="str">
        <f t="shared" ref="W206" si="93">IF(W48=" "," ",W205*(1-W50))</f>
        <v xml:space="preserve"> </v>
      </c>
      <c r="X206" s="293" t="str">
        <f t="shared" ref="X206" si="94">IF(X48=" "," ",X205*(1-X50))</f>
        <v xml:space="preserve"> </v>
      </c>
      <c r="Y206" s="293" t="str">
        <f t="shared" ref="Y206" si="95">IF(Y48=" "," ",Y205*(1-Y50))</f>
        <v xml:space="preserve"> </v>
      </c>
      <c r="Z206" s="293" t="str">
        <f t="shared" ref="Z206" si="96">IF(Z48=" "," ",Z205*(1-Z50))</f>
        <v xml:space="preserve"> </v>
      </c>
    </row>
    <row r="207" spans="1:26" ht="13.5" customHeight="1">
      <c r="A207" s="290" t="s">
        <v>150</v>
      </c>
      <c r="B207" s="291"/>
      <c r="C207" s="292" t="s">
        <v>72</v>
      </c>
      <c r="D207" s="433">
        <f t="shared" ref="D207:Z207" si="97">IF(OR(D44=" ",ISTEXT(D44)),"",D206/D52/3600/(PI()*D63^2/4))</f>
        <v>0.67214156745776266</v>
      </c>
      <c r="E207" s="393" t="str">
        <f t="shared" si="97"/>
        <v/>
      </c>
      <c r="F207" s="431" t="str">
        <f t="shared" si="97"/>
        <v/>
      </c>
      <c r="G207" s="432">
        <f t="shared" si="97"/>
        <v>1.5253608057280641</v>
      </c>
      <c r="H207" s="393">
        <f t="shared" si="97"/>
        <v>1.354767204633933</v>
      </c>
      <c r="I207" s="393">
        <f t="shared" si="97"/>
        <v>0.97308650721489509</v>
      </c>
      <c r="J207" s="393" t="str">
        <f t="shared" si="97"/>
        <v/>
      </c>
      <c r="K207" s="393">
        <f t="shared" si="97"/>
        <v>0.97308650721489509</v>
      </c>
      <c r="L207" s="393" t="str">
        <f t="shared" si="97"/>
        <v/>
      </c>
      <c r="M207" s="393">
        <f t="shared" si="97"/>
        <v>0.97308650721489509</v>
      </c>
      <c r="N207" s="393" t="str">
        <f t="shared" si="97"/>
        <v/>
      </c>
      <c r="O207" s="393" t="str">
        <f t="shared" si="97"/>
        <v/>
      </c>
      <c r="P207" s="393" t="str">
        <f t="shared" si="97"/>
        <v/>
      </c>
      <c r="Q207" s="393" t="str">
        <f t="shared" si="97"/>
        <v/>
      </c>
      <c r="R207" s="393" t="str">
        <f t="shared" si="97"/>
        <v/>
      </c>
      <c r="S207" s="393" t="str">
        <f t="shared" si="97"/>
        <v/>
      </c>
      <c r="T207" s="393" t="str">
        <f t="shared" si="97"/>
        <v/>
      </c>
      <c r="U207" s="393" t="str">
        <f t="shared" si="97"/>
        <v/>
      </c>
      <c r="V207" s="393" t="str">
        <f t="shared" si="97"/>
        <v/>
      </c>
      <c r="W207" s="393" t="str">
        <f t="shared" si="97"/>
        <v/>
      </c>
      <c r="X207" s="393" t="str">
        <f t="shared" si="97"/>
        <v/>
      </c>
      <c r="Y207" s="393" t="str">
        <f t="shared" si="97"/>
        <v/>
      </c>
      <c r="Z207" s="393" t="str">
        <f t="shared" si="97"/>
        <v/>
      </c>
    </row>
    <row r="208" spans="1:26" ht="13.5" customHeight="1">
      <c r="A208" s="298" t="s">
        <v>152</v>
      </c>
      <c r="B208" s="299"/>
      <c r="C208" s="297" t="s">
        <v>151</v>
      </c>
      <c r="D208" s="394">
        <f>IF(D206=" "," ",Reynold($A$42,D63,D207,D52,D53,D55,D54))</f>
        <v>195402.03005646999</v>
      </c>
      <c r="E208" s="394" t="str">
        <f>IF(E206=" "," ",Reynold($A$42,E63,E207,E52,E53,E55,E54))</f>
        <v xml:space="preserve"> </v>
      </c>
      <c r="F208" s="475" t="str">
        <f>IF(F206=" "," ",Reynold($A$42,F63,F207,F52,F53,F55,F54))</f>
        <v xml:space="preserve"> </v>
      </c>
      <c r="G208" s="477">
        <f>IF(G206=" "," ",Reynold($A$42,G63,G207,G52,G53,G55,G54))</f>
        <v>295145.05320386379</v>
      </c>
      <c r="H208" s="394">
        <f>IF(H206=" "," ",Reynold($A$42,H63,H207,H52,H53,H55,H54))</f>
        <v>104818.73708346995</v>
      </c>
      <c r="I208" s="394">
        <f>IF(I206=" "," ",Reynold($A$42,I63,I207,I52,I53,I55,I54))</f>
        <v>230403.63086924466</v>
      </c>
      <c r="J208" s="394" t="str">
        <f>IF(J206=" "," ",Reynold($A$42,J63,J207,J52,J53,J55,J54))</f>
        <v xml:space="preserve"> </v>
      </c>
      <c r="K208" s="394">
        <f>IF(K206=" "," ",Reynold($A$42,K63,K207,K52,K53,K55,K54))</f>
        <v>230403.63086924466</v>
      </c>
      <c r="L208" s="394" t="str">
        <f>IF(L206=" "," ",Reynold($A$42,L63,L207,L52,L53,L55,L54))</f>
        <v xml:space="preserve"> </v>
      </c>
      <c r="M208" s="394">
        <f>IF(M206=" "," ",Reynold($A$42,M63,M207,M52,M53,M55,M54))</f>
        <v>230403.63086924466</v>
      </c>
      <c r="N208" s="394" t="str">
        <f>IF(N206=" "," ",Reynold($A$42,N63,N207,N52,N53,N55,N54))</f>
        <v xml:space="preserve"> </v>
      </c>
      <c r="O208" s="394" t="str">
        <f>IF(O206=" "," ",Reynold($A$42,O63,O207,O52,O53,O55,O54))</f>
        <v xml:space="preserve"> </v>
      </c>
      <c r="P208" s="394" t="str">
        <f>IF(P206=" "," ",Reynold($A$42,P63,P207,P52,P53,P55,P54))</f>
        <v xml:space="preserve"> </v>
      </c>
      <c r="Q208" s="394" t="str">
        <f>IF(Q206=" "," ",Reynold($A$42,Q63,Q207,Q52,Q53,Q55,Q54))</f>
        <v xml:space="preserve"> </v>
      </c>
      <c r="R208" s="394" t="str">
        <f>IF(R206=" "," ",Reynold($A$42,R63,R207,R52,R53,R55,R54))</f>
        <v xml:space="preserve"> </v>
      </c>
      <c r="S208" s="394" t="str">
        <f>IF(S206=" "," ",Reynold($A$42,S63,S207,S52,S53,S55,S54))</f>
        <v xml:space="preserve"> </v>
      </c>
      <c r="T208" s="394" t="str">
        <f>IF(T206=" "," ",Reynold($A$42,T63,T207,T52,T53,T55,T54))</f>
        <v xml:space="preserve"> </v>
      </c>
      <c r="U208" s="394" t="str">
        <f>IF(U206=" "," ",Reynold($A$42,U63,U207,U52,U53,U55,U54))</f>
        <v xml:space="preserve"> </v>
      </c>
      <c r="V208" s="394" t="str">
        <f>IF(V206=" "," ",Reynold($A$42,V63,V207,V52,V53,V55,V54))</f>
        <v xml:space="preserve"> </v>
      </c>
      <c r="W208" s="394" t="str">
        <f>IF(W206=" "," ",Reynold($A$42,W63,W207,W52,W53,W55,W54))</f>
        <v xml:space="preserve"> </v>
      </c>
      <c r="X208" s="394" t="str">
        <f>IF(X206=" "," ",Reynold($A$42,X63,X207,X52,X53,X55,X54))</f>
        <v xml:space="preserve"> </v>
      </c>
      <c r="Y208" s="394" t="str">
        <f>IF(Y206=" "," ",Reynold($A$42,Y63,Y207,Y52,Y53,Y55,Y54))</f>
        <v xml:space="preserve"> </v>
      </c>
      <c r="Z208" s="394" t="str">
        <f>IF(Z206=" "," ",Reynold($A$42,Z63,Z207,Z52,Z53,Z55,Z54))</f>
        <v xml:space="preserve"> </v>
      </c>
    </row>
    <row r="209" spans="1:26" ht="13.5" customHeight="1">
      <c r="A209" s="298" t="s">
        <v>153</v>
      </c>
      <c r="B209" s="299"/>
      <c r="C209" s="297" t="s">
        <v>151</v>
      </c>
      <c r="D209" s="300">
        <f>IF(OR(D45="VAPOR",D45=" ")," ",ffactor(D67,D63,D208))</f>
        <v>1.77499213344549E-2</v>
      </c>
      <c r="E209" s="300" t="str">
        <f>IF(OR(E45="VAPOR",E45=" ")," ",ffactor(E67,E63,E208))</f>
        <v xml:space="preserve"> </v>
      </c>
      <c r="F209" s="476" t="str">
        <f>IF(OR(F45="VAPOR",F45=" ")," ",ffactor(F67,F63,F208))</f>
        <v xml:space="preserve"> </v>
      </c>
      <c r="G209" s="301">
        <f>IF(OR(G45="VAPOR",G45=" ")," ",ffactor(G67,G63,G208))</f>
        <v>1.7943165285509204E-2</v>
      </c>
      <c r="H209" s="300">
        <f>IF(OR(H45="VAPOR",H45=" ")," ",ffactor(H67,H63,H208))</f>
        <v>2.2494285693992876E-2</v>
      </c>
      <c r="I209" s="300">
        <f>IF(OR(I45="VAPOR",I45=" ")," ",ffactor(I67,I63,I208))</f>
        <v>1.9050380172184807E-2</v>
      </c>
      <c r="J209" s="300" t="str">
        <f>IF(OR(J45="VAPOR",J45=" ")," ",ffactor(J67,J63,J208))</f>
        <v xml:space="preserve"> </v>
      </c>
      <c r="K209" s="300">
        <f>IF(OR(K45="VAPOR",K45=" ")," ",ffactor(K67,K63,K208))</f>
        <v>1.9050380172184807E-2</v>
      </c>
      <c r="L209" s="300" t="str">
        <f>IF(OR(L45="VAPOR",L45=" ")," ",ffactor(L67,L63,L208))</f>
        <v xml:space="preserve"> </v>
      </c>
      <c r="M209" s="300">
        <f>IF(OR(M45="VAPOR",M45=" ")," ",ffactor(M67,M63,M208))</f>
        <v>1.9050380172184807E-2</v>
      </c>
      <c r="N209" s="300" t="str">
        <f>IF(OR(N45="VAPOR",N45=" ")," ",ffactor(N67,N63,N208))</f>
        <v xml:space="preserve"> </v>
      </c>
      <c r="O209" s="300" t="str">
        <f>IF(OR(O45="VAPOR",O45=" ")," ",ffactor(O67,O63,O208))</f>
        <v xml:space="preserve"> </v>
      </c>
      <c r="P209" s="300" t="str">
        <f>IF(OR(P45="VAPOR",P45=" ")," ",ffactor(P67,P63,P208))</f>
        <v xml:space="preserve"> </v>
      </c>
      <c r="Q209" s="300" t="str">
        <f>IF(OR(Q45="VAPOR",Q45=" ")," ",ffactor(Q67,Q63,Q208))</f>
        <v xml:space="preserve"> </v>
      </c>
      <c r="R209" s="300" t="str">
        <f>IF(OR(R45="VAPOR",R45=" ")," ",ffactor(R67,R63,R208))</f>
        <v xml:space="preserve"> </v>
      </c>
      <c r="S209" s="300" t="str">
        <f>IF(OR(S45="VAPOR",S45=" ")," ",ffactor(S67,S63,S208))</f>
        <v xml:space="preserve"> </v>
      </c>
      <c r="T209" s="300" t="str">
        <f>IF(OR(T45="VAPOR",T45=" ")," ",ffactor(T67,T63,T208))</f>
        <v xml:space="preserve"> </v>
      </c>
      <c r="U209" s="300" t="str">
        <f>IF(OR(U45="VAPOR",U45=" ")," ",ffactor(U67,U63,U208))</f>
        <v xml:space="preserve"> </v>
      </c>
      <c r="V209" s="300" t="str">
        <f>IF(OR(V45="VAPOR",V45=" ")," ",ffactor(V67,V63,V208))</f>
        <v xml:space="preserve"> </v>
      </c>
      <c r="W209" s="300" t="str">
        <f>IF(OR(W45="VAPOR",W45=" ")," ",ffactor(W67,W63,W208))</f>
        <v xml:space="preserve"> </v>
      </c>
      <c r="X209" s="300" t="str">
        <f>IF(OR(X45="VAPOR",X45=" ")," ",ffactor(X67,X63,X208))</f>
        <v xml:space="preserve"> </v>
      </c>
      <c r="Y209" s="300" t="str">
        <f>IF(OR(Y45="VAPOR",Y45=" ")," ",ffactor(Y67,Y63,Y208))</f>
        <v xml:space="preserve"> </v>
      </c>
      <c r="Z209" s="300" t="str">
        <f>IF(OR(Z45="VAPOR",Z45=" ")," ",ffactor(Z67,Z63,Z208))</f>
        <v xml:space="preserve"> </v>
      </c>
    </row>
    <row r="210" spans="1:26" ht="13.5" customHeight="1" thickBot="1">
      <c r="A210" s="336" t="s">
        <v>206</v>
      </c>
      <c r="B210" s="519"/>
      <c r="C210" s="520" t="s">
        <v>154</v>
      </c>
      <c r="D210" s="419">
        <f t="shared" ref="D210:Z210" si="98">IF(D45="LIQUID",(D52*D209*D72/D63*D207^2/2/100000)/0.9806," ")</f>
        <v>3.8034754799294709E-3</v>
      </c>
      <c r="E210" s="419" t="str">
        <f t="shared" si="98"/>
        <v xml:space="preserve"> </v>
      </c>
      <c r="F210" s="478" t="str">
        <f t="shared" si="98"/>
        <v xml:space="preserve"> </v>
      </c>
      <c r="G210" s="479">
        <f t="shared" si="98"/>
        <v>1.3244558294002302E-2</v>
      </c>
      <c r="H210" s="419">
        <f t="shared" si="98"/>
        <v>0.32471711640714157</v>
      </c>
      <c r="I210" s="419">
        <f t="shared" si="98"/>
        <v>3.3959331915393305E-2</v>
      </c>
      <c r="J210" s="419" t="str">
        <f t="shared" si="98"/>
        <v xml:space="preserve"> </v>
      </c>
      <c r="K210" s="419">
        <f t="shared" si="98"/>
        <v>1.0612291223560407E-2</v>
      </c>
      <c r="L210" s="419" t="str">
        <f t="shared" si="98"/>
        <v xml:space="preserve"> </v>
      </c>
      <c r="M210" s="419">
        <f t="shared" si="98"/>
        <v>0.13748545748825358</v>
      </c>
      <c r="N210" s="419" t="str">
        <f t="shared" si="98"/>
        <v xml:space="preserve"> </v>
      </c>
      <c r="O210" s="419" t="str">
        <f t="shared" si="98"/>
        <v xml:space="preserve"> </v>
      </c>
      <c r="P210" s="419" t="str">
        <f t="shared" si="98"/>
        <v xml:space="preserve"> </v>
      </c>
      <c r="Q210" s="419" t="str">
        <f t="shared" si="98"/>
        <v xml:space="preserve"> </v>
      </c>
      <c r="R210" s="419" t="str">
        <f t="shared" si="98"/>
        <v xml:space="preserve"> </v>
      </c>
      <c r="S210" s="419" t="str">
        <f t="shared" si="98"/>
        <v xml:space="preserve"> </v>
      </c>
      <c r="T210" s="419" t="str">
        <f t="shared" si="98"/>
        <v xml:space="preserve"> </v>
      </c>
      <c r="U210" s="419" t="str">
        <f t="shared" si="98"/>
        <v xml:space="preserve"> </v>
      </c>
      <c r="V210" s="419" t="str">
        <f t="shared" si="98"/>
        <v xml:space="preserve"> </v>
      </c>
      <c r="W210" s="419" t="str">
        <f t="shared" si="98"/>
        <v xml:space="preserve"> </v>
      </c>
      <c r="X210" s="419" t="str">
        <f t="shared" si="98"/>
        <v xml:space="preserve"> </v>
      </c>
      <c r="Y210" s="419" t="str">
        <f t="shared" si="98"/>
        <v xml:space="preserve"> </v>
      </c>
      <c r="Z210" s="419" t="str">
        <f t="shared" si="98"/>
        <v xml:space="preserve"> </v>
      </c>
    </row>
    <row r="211" spans="1:26" ht="13.5" customHeight="1">
      <c r="A211" s="302"/>
      <c r="B211" s="283"/>
      <c r="C211" s="141"/>
      <c r="D211" s="395"/>
      <c r="E211" s="283"/>
      <c r="F211" s="283"/>
      <c r="G211" s="283"/>
      <c r="H211" s="283"/>
      <c r="I211" s="283"/>
      <c r="J211" s="283"/>
      <c r="K211" s="283"/>
      <c r="L211" s="283"/>
      <c r="M211" s="283"/>
      <c r="N211" s="283"/>
      <c r="O211" s="283"/>
      <c r="P211" s="283"/>
      <c r="Q211" s="283"/>
      <c r="R211" s="283"/>
      <c r="S211" s="283"/>
      <c r="T211" s="283"/>
      <c r="U211" s="283"/>
      <c r="V211" s="283"/>
      <c r="W211" s="283"/>
      <c r="X211" s="283"/>
      <c r="Y211" s="283"/>
      <c r="Z211" s="283"/>
    </row>
    <row r="212" spans="1:26" ht="13.5" customHeight="1" thickBot="1">
      <c r="A212" s="116" t="s">
        <v>155</v>
      </c>
      <c r="B212" s="116"/>
      <c r="C212" s="145"/>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row>
    <row r="213" spans="1:26" ht="13.5" customHeight="1" thickTop="1">
      <c r="A213" s="480" t="s">
        <v>156</v>
      </c>
      <c r="B213" s="304"/>
      <c r="C213" s="286" t="s">
        <v>149</v>
      </c>
      <c r="D213" s="288">
        <f>IF(D48=" "," ",D205*D50)</f>
        <v>0</v>
      </c>
      <c r="E213" s="288" t="str">
        <f t="shared" ref="E213:Z213" si="99">IF(E48=" "," ",E205*E50)</f>
        <v xml:space="preserve"> </v>
      </c>
      <c r="F213" s="288" t="str">
        <f t="shared" si="99"/>
        <v xml:space="preserve"> </v>
      </c>
      <c r="G213" s="289">
        <f t="shared" si="99"/>
        <v>0</v>
      </c>
      <c r="H213" s="288">
        <f t="shared" si="99"/>
        <v>0</v>
      </c>
      <c r="I213" s="288">
        <f t="shared" si="99"/>
        <v>0</v>
      </c>
      <c r="J213" s="288" t="str">
        <f t="shared" si="99"/>
        <v xml:space="preserve"> </v>
      </c>
      <c r="K213" s="288">
        <f t="shared" si="99"/>
        <v>0</v>
      </c>
      <c r="L213" s="288" t="str">
        <f t="shared" si="99"/>
        <v xml:space="preserve"> </v>
      </c>
      <c r="M213" s="288">
        <f t="shared" si="99"/>
        <v>0</v>
      </c>
      <c r="N213" s="288" t="str">
        <f t="shared" si="99"/>
        <v xml:space="preserve"> </v>
      </c>
      <c r="O213" s="288" t="str">
        <f t="shared" si="99"/>
        <v xml:space="preserve"> </v>
      </c>
      <c r="P213" s="288" t="str">
        <f t="shared" si="99"/>
        <v xml:space="preserve"> </v>
      </c>
      <c r="Q213" s="288" t="str">
        <f t="shared" si="99"/>
        <v xml:space="preserve"> </v>
      </c>
      <c r="R213" s="288" t="str">
        <f t="shared" si="99"/>
        <v xml:space="preserve"> </v>
      </c>
      <c r="S213" s="288" t="str">
        <f t="shared" si="99"/>
        <v xml:space="preserve"> </v>
      </c>
      <c r="T213" s="288" t="str">
        <f t="shared" si="99"/>
        <v xml:space="preserve"> </v>
      </c>
      <c r="U213" s="288" t="str">
        <f t="shared" si="99"/>
        <v xml:space="preserve"> </v>
      </c>
      <c r="V213" s="288" t="str">
        <f t="shared" si="99"/>
        <v xml:space="preserve"> </v>
      </c>
      <c r="W213" s="288" t="str">
        <f t="shared" si="99"/>
        <v xml:space="preserve"> </v>
      </c>
      <c r="X213" s="288" t="str">
        <f t="shared" si="99"/>
        <v xml:space="preserve"> </v>
      </c>
      <c r="Y213" s="288" t="str">
        <f t="shared" si="99"/>
        <v xml:space="preserve"> </v>
      </c>
      <c r="Z213" s="288" t="str">
        <f t="shared" si="99"/>
        <v xml:space="preserve"> </v>
      </c>
    </row>
    <row r="214" spans="1:26" ht="13.5" customHeight="1">
      <c r="A214" s="481" t="s">
        <v>157</v>
      </c>
      <c r="B214" s="41"/>
      <c r="C214" s="284" t="s">
        <v>145</v>
      </c>
      <c r="D214" s="305" t="str">
        <f t="shared" ref="D214:M214" si="100">IF(D50&lt;&gt;0,IF(D57=0,0.9806*(D70+1.033)*100000*D58/D59/(D51+273.06)/8314.41,D57)," ")</f>
        <v xml:space="preserve"> </v>
      </c>
      <c r="E214" s="305" t="str">
        <f t="shared" si="100"/>
        <v xml:space="preserve"> </v>
      </c>
      <c r="F214" s="305" t="str">
        <f t="shared" si="100"/>
        <v xml:space="preserve"> </v>
      </c>
      <c r="G214" s="318" t="str">
        <f t="shared" si="100"/>
        <v xml:space="preserve"> </v>
      </c>
      <c r="H214" s="305" t="str">
        <f t="shared" si="100"/>
        <v xml:space="preserve"> </v>
      </c>
      <c r="I214" s="305" t="str">
        <f t="shared" si="100"/>
        <v xml:space="preserve"> </v>
      </c>
      <c r="J214" s="305" t="str">
        <f t="shared" si="100"/>
        <v xml:space="preserve"> </v>
      </c>
      <c r="K214" s="305" t="str">
        <f t="shared" si="100"/>
        <v xml:space="preserve"> </v>
      </c>
      <c r="L214" s="305" t="str">
        <f t="shared" si="100"/>
        <v xml:space="preserve"> </v>
      </c>
      <c r="M214" s="305" t="str">
        <f t="shared" si="100"/>
        <v xml:space="preserve"> </v>
      </c>
      <c r="N214" s="305" t="str">
        <f t="shared" ref="N214:Z214" si="101">IF(N50&lt;&gt;0,IF(N57=0,0.9806*(N70+1.033)*100000*N58/N59/(N51+273.06)/8314.41,N57)," ")</f>
        <v xml:space="preserve"> </v>
      </c>
      <c r="O214" s="305" t="str">
        <f t="shared" si="101"/>
        <v xml:space="preserve"> </v>
      </c>
      <c r="P214" s="305" t="str">
        <f t="shared" si="101"/>
        <v xml:space="preserve"> </v>
      </c>
      <c r="Q214" s="305" t="str">
        <f t="shared" si="101"/>
        <v xml:space="preserve"> </v>
      </c>
      <c r="R214" s="305" t="str">
        <f t="shared" si="101"/>
        <v xml:space="preserve"> </v>
      </c>
      <c r="S214" s="305" t="str">
        <f t="shared" si="101"/>
        <v xml:space="preserve"> </v>
      </c>
      <c r="T214" s="305" t="str">
        <f t="shared" si="101"/>
        <v xml:space="preserve"> </v>
      </c>
      <c r="U214" s="305" t="str">
        <f t="shared" si="101"/>
        <v xml:space="preserve"> </v>
      </c>
      <c r="V214" s="305" t="str">
        <f t="shared" si="101"/>
        <v xml:space="preserve"> </v>
      </c>
      <c r="W214" s="305" t="str">
        <f t="shared" si="101"/>
        <v xml:space="preserve"> </v>
      </c>
      <c r="X214" s="305" t="str">
        <f t="shared" si="101"/>
        <v xml:space="preserve"> </v>
      </c>
      <c r="Y214" s="305" t="str">
        <f t="shared" si="101"/>
        <v xml:space="preserve"> </v>
      </c>
      <c r="Z214" s="305" t="str">
        <f t="shared" si="101"/>
        <v xml:space="preserve"> </v>
      </c>
    </row>
    <row r="215" spans="1:26" ht="13.5" customHeight="1">
      <c r="A215" s="481" t="s">
        <v>158</v>
      </c>
      <c r="B215" s="41"/>
      <c r="C215" s="284" t="s">
        <v>159</v>
      </c>
      <c r="D215" s="306" t="str">
        <f t="shared" ref="D215:M215" si="102">IF(D50&lt;&gt;0,D213/D214/3600," ")</f>
        <v xml:space="preserve"> </v>
      </c>
      <c r="E215" s="307" t="str">
        <f t="shared" si="102"/>
        <v xml:space="preserve"> </v>
      </c>
      <c r="F215" s="306" t="str">
        <f t="shared" si="102"/>
        <v xml:space="preserve"> </v>
      </c>
      <c r="G215" s="319" t="str">
        <f t="shared" si="102"/>
        <v xml:space="preserve"> </v>
      </c>
      <c r="H215" s="307" t="str">
        <f t="shared" si="102"/>
        <v xml:space="preserve"> </v>
      </c>
      <c r="I215" s="307" t="str">
        <f t="shared" si="102"/>
        <v xml:space="preserve"> </v>
      </c>
      <c r="J215" s="307" t="str">
        <f t="shared" si="102"/>
        <v xml:space="preserve"> </v>
      </c>
      <c r="K215" s="307" t="str">
        <f t="shared" si="102"/>
        <v xml:space="preserve"> </v>
      </c>
      <c r="L215" s="307" t="str">
        <f t="shared" si="102"/>
        <v xml:space="preserve"> </v>
      </c>
      <c r="M215" s="307" t="str">
        <f t="shared" si="102"/>
        <v xml:space="preserve"> </v>
      </c>
      <c r="N215" s="307" t="str">
        <f t="shared" ref="N215:Z215" si="103">IF(N50&lt;&gt;0,N213/N214/3600," ")</f>
        <v xml:space="preserve"> </v>
      </c>
      <c r="O215" s="307" t="str">
        <f t="shared" si="103"/>
        <v xml:space="preserve"> </v>
      </c>
      <c r="P215" s="307" t="str">
        <f t="shared" si="103"/>
        <v xml:space="preserve"> </v>
      </c>
      <c r="Q215" s="307" t="str">
        <f t="shared" si="103"/>
        <v xml:space="preserve"> </v>
      </c>
      <c r="R215" s="307" t="str">
        <f t="shared" si="103"/>
        <v xml:space="preserve"> </v>
      </c>
      <c r="S215" s="307" t="str">
        <f t="shared" si="103"/>
        <v xml:space="preserve"> </v>
      </c>
      <c r="T215" s="307" t="str">
        <f t="shared" si="103"/>
        <v xml:space="preserve"> </v>
      </c>
      <c r="U215" s="307" t="str">
        <f t="shared" si="103"/>
        <v xml:space="preserve"> </v>
      </c>
      <c r="V215" s="307" t="str">
        <f t="shared" si="103"/>
        <v xml:space="preserve"> </v>
      </c>
      <c r="W215" s="307" t="str">
        <f t="shared" si="103"/>
        <v xml:space="preserve"> </v>
      </c>
      <c r="X215" s="307" t="str">
        <f t="shared" si="103"/>
        <v xml:space="preserve"> </v>
      </c>
      <c r="Y215" s="307" t="str">
        <f t="shared" si="103"/>
        <v xml:space="preserve"> </v>
      </c>
      <c r="Z215" s="307" t="str">
        <f t="shared" si="103"/>
        <v xml:space="preserve"> </v>
      </c>
    </row>
    <row r="216" spans="1:26" ht="13.5" customHeight="1">
      <c r="A216" s="481" t="s">
        <v>160</v>
      </c>
      <c r="B216" s="41"/>
      <c r="C216" s="284" t="s">
        <v>161</v>
      </c>
      <c r="D216" s="306" t="str">
        <f t="shared" ref="D216:Z216" si="104">IF(D50&lt;&gt;0,D215/(PI()*D63^2/4)," ")</f>
        <v xml:space="preserve"> </v>
      </c>
      <c r="E216" s="307" t="str">
        <f t="shared" si="104"/>
        <v xml:space="preserve"> </v>
      </c>
      <c r="F216" s="306" t="str">
        <f t="shared" si="104"/>
        <v xml:space="preserve"> </v>
      </c>
      <c r="G216" s="319" t="str">
        <f t="shared" si="104"/>
        <v xml:space="preserve"> </v>
      </c>
      <c r="H216" s="307" t="str">
        <f t="shared" si="104"/>
        <v xml:space="preserve"> </v>
      </c>
      <c r="I216" s="307" t="str">
        <f t="shared" si="104"/>
        <v xml:space="preserve"> </v>
      </c>
      <c r="J216" s="307" t="str">
        <f t="shared" si="104"/>
        <v xml:space="preserve"> </v>
      </c>
      <c r="K216" s="307" t="str">
        <f t="shared" si="104"/>
        <v xml:space="preserve"> </v>
      </c>
      <c r="L216" s="307" t="str">
        <f t="shared" si="104"/>
        <v xml:space="preserve"> </v>
      </c>
      <c r="M216" s="307" t="str">
        <f t="shared" si="104"/>
        <v xml:space="preserve"> </v>
      </c>
      <c r="N216" s="307" t="str">
        <f t="shared" si="104"/>
        <v xml:space="preserve"> </v>
      </c>
      <c r="O216" s="307" t="str">
        <f t="shared" si="104"/>
        <v xml:space="preserve"> </v>
      </c>
      <c r="P216" s="307" t="str">
        <f t="shared" si="104"/>
        <v xml:space="preserve"> </v>
      </c>
      <c r="Q216" s="307" t="str">
        <f t="shared" si="104"/>
        <v xml:space="preserve"> </v>
      </c>
      <c r="R216" s="307" t="str">
        <f t="shared" si="104"/>
        <v xml:space="preserve"> </v>
      </c>
      <c r="S216" s="307" t="str">
        <f t="shared" si="104"/>
        <v xml:space="preserve"> </v>
      </c>
      <c r="T216" s="307" t="str">
        <f t="shared" si="104"/>
        <v xml:space="preserve"> </v>
      </c>
      <c r="U216" s="307" t="str">
        <f t="shared" si="104"/>
        <v xml:space="preserve"> </v>
      </c>
      <c r="V216" s="307" t="str">
        <f t="shared" si="104"/>
        <v xml:space="preserve"> </v>
      </c>
      <c r="W216" s="307" t="str">
        <f t="shared" si="104"/>
        <v xml:space="preserve"> </v>
      </c>
      <c r="X216" s="307" t="str">
        <f t="shared" si="104"/>
        <v xml:space="preserve"> </v>
      </c>
      <c r="Y216" s="307" t="str">
        <f t="shared" si="104"/>
        <v xml:space="preserve"> </v>
      </c>
      <c r="Z216" s="307" t="str">
        <f t="shared" si="104"/>
        <v xml:space="preserve"> </v>
      </c>
    </row>
    <row r="217" spans="1:26" ht="13.5" customHeight="1">
      <c r="A217" s="481" t="s">
        <v>162</v>
      </c>
      <c r="B217" s="41"/>
      <c r="C217" s="134" t="s">
        <v>151</v>
      </c>
      <c r="D217" s="305" t="str">
        <f>IF(D50&lt;&gt;0,Reynold($A$42,D63,D216,D214,D60,D55,D54)," ")</f>
        <v xml:space="preserve"> </v>
      </c>
      <c r="E217" s="305" t="str">
        <f>IF(E50&lt;&gt;0,Reynold($A$42,E63,E216,E214,E60,E55,E54)," ")</f>
        <v xml:space="preserve"> </v>
      </c>
      <c r="F217" s="305" t="str">
        <f>IF(F50&lt;&gt;0,Reynold($A$42,F63,F216,F214,F60,F55,F54)," ")</f>
        <v xml:space="preserve"> </v>
      </c>
      <c r="G217" s="318" t="str">
        <f>IF(G50&lt;&gt;0,Reynold($A$42,G63,G216,G214,G60,G55,G54)," ")</f>
        <v xml:space="preserve"> </v>
      </c>
      <c r="H217" s="305" t="str">
        <f>IF(H50&lt;&gt;0,Reynold($A$42,H63,H216,H214,H60,H55,H54)," ")</f>
        <v xml:space="preserve"> </v>
      </c>
      <c r="I217" s="305" t="str">
        <f>IF(I50&lt;&gt;0,Reynold($A$42,I63,I216,I214,I60,I55,I54)," ")</f>
        <v xml:space="preserve"> </v>
      </c>
      <c r="J217" s="305" t="str">
        <f>IF(J50&lt;&gt;0,Reynold($A$42,J63,J216,J214,J60,J55,J54)," ")</f>
        <v xml:space="preserve"> </v>
      </c>
      <c r="K217" s="305" t="str">
        <f>IF(K50&lt;&gt;0,Reynold($A$42,K63,K216,K214,K60,K55,K54)," ")</f>
        <v xml:space="preserve"> </v>
      </c>
      <c r="L217" s="305" t="str">
        <f>IF(L50&lt;&gt;0,Reynold($A$42,L63,L216,L214,L60,L55,L54)," ")</f>
        <v xml:space="preserve"> </v>
      </c>
      <c r="M217" s="305" t="str">
        <f>IF(M50&lt;&gt;0,Reynold($A$42,M63,M216,M214,M60,M55,M54)," ")</f>
        <v xml:space="preserve"> </v>
      </c>
      <c r="N217" s="305" t="str">
        <f>IF(N50&lt;&gt;0,Reynold($A$42,N63,N216,N214,N60,N55,N54)," ")</f>
        <v xml:space="preserve"> </v>
      </c>
      <c r="O217" s="305" t="str">
        <f>IF(O50&lt;&gt;0,Reynold($A$42,O63,O216,O214,O60,O55,O54)," ")</f>
        <v xml:space="preserve"> </v>
      </c>
      <c r="P217" s="305" t="str">
        <f>IF(P50&lt;&gt;0,Reynold($A$42,P63,P216,P214,P60,P55,P54)," ")</f>
        <v xml:space="preserve"> </v>
      </c>
      <c r="Q217" s="305" t="str">
        <f>IF(Q50&lt;&gt;0,Reynold($A$42,Q63,Q216,Q214,Q60,Q55,Q54)," ")</f>
        <v xml:space="preserve"> </v>
      </c>
      <c r="R217" s="305" t="str">
        <f>IF(R50&lt;&gt;0,Reynold($A$42,R63,R216,R214,R60,R55,R54)," ")</f>
        <v xml:space="preserve"> </v>
      </c>
      <c r="S217" s="305" t="str">
        <f>IF(S50&lt;&gt;0,Reynold($A$42,S63,S216,S214,S60,S55,S54)," ")</f>
        <v xml:space="preserve"> </v>
      </c>
      <c r="T217" s="305" t="str">
        <f>IF(T50&lt;&gt;0,Reynold($A$42,T63,T216,T214,T60,T55,T54)," ")</f>
        <v xml:space="preserve"> </v>
      </c>
      <c r="U217" s="305" t="str">
        <f>IF(U50&lt;&gt;0,Reynold($A$42,U63,U216,U214,U60,U55,U54)," ")</f>
        <v xml:space="preserve"> </v>
      </c>
      <c r="V217" s="305" t="str">
        <f>IF(V50&lt;&gt;0,Reynold($A$42,V63,V216,V214,V60,V55,V54)," ")</f>
        <v xml:space="preserve"> </v>
      </c>
      <c r="W217" s="305" t="str">
        <f>IF(W50&lt;&gt;0,Reynold($A$42,W63,W216,W214,W60,W55,W54)," ")</f>
        <v xml:space="preserve"> </v>
      </c>
      <c r="X217" s="305" t="str">
        <f>IF(X50&lt;&gt;0,Reynold($A$42,X63,X216,X214,X60,X55,X54)," ")</f>
        <v xml:space="preserve"> </v>
      </c>
      <c r="Y217" s="305" t="str">
        <f>IF(Y50&lt;&gt;0,Reynold($A$42,Y63,Y216,Y214,Y60,Y55,Y54)," ")</f>
        <v xml:space="preserve"> </v>
      </c>
      <c r="Z217" s="305" t="str">
        <f>IF(Z50&lt;&gt;0,Reynold($A$42,Z63,Z216,Z214,Z60,Z55,Z54)," ")</f>
        <v xml:space="preserve"> </v>
      </c>
    </row>
    <row r="218" spans="1:26" ht="13.5" customHeight="1">
      <c r="A218" s="481" t="s">
        <v>153</v>
      </c>
      <c r="B218" s="41"/>
      <c r="C218" s="134" t="s">
        <v>151</v>
      </c>
      <c r="D218" s="305" t="str">
        <f>IF(OR(D45="LIQUID",D45=" ")," ",ffactor(D67,D63,D217))</f>
        <v xml:space="preserve"> </v>
      </c>
      <c r="E218" s="305" t="str">
        <f>IF(OR(E45="LIQUID",E45=" ")," ",ffactor(E67,E63,E217))</f>
        <v xml:space="preserve"> </v>
      </c>
      <c r="F218" s="305" t="str">
        <f>IF(OR(F45="LIQUID",F45=" ")," ",ffactor(F67,F63,F217))</f>
        <v xml:space="preserve"> </v>
      </c>
      <c r="G218" s="318" t="str">
        <f>IF(OR(G45="LIQUID",G45=" ")," ",ffactor(G67,G63,G217))</f>
        <v xml:space="preserve"> </v>
      </c>
      <c r="H218" s="305" t="str">
        <f>IF(OR(H45="LIQUID",H45=" ")," ",ffactor(H67,H63,H217))</f>
        <v xml:space="preserve"> </v>
      </c>
      <c r="I218" s="305" t="str">
        <f>IF(OR(I45="LIQUID",I45=" ")," ",ffactor(I67,I63,I217))</f>
        <v xml:space="preserve"> </v>
      </c>
      <c r="J218" s="305" t="str">
        <f>IF(OR(J45="LIQUID",J45=" ")," ",ffactor(J67,J63,J217))</f>
        <v xml:space="preserve"> </v>
      </c>
      <c r="K218" s="305" t="str">
        <f>IF(OR(K45="LIQUID",K45=" ")," ",ffactor(K67,K63,K217))</f>
        <v xml:space="preserve"> </v>
      </c>
      <c r="L218" s="305" t="str">
        <f>IF(OR(L45="LIQUID",L45=" ")," ",ffactor(L67,L63,L217))</f>
        <v xml:space="preserve"> </v>
      </c>
      <c r="M218" s="305" t="str">
        <f>IF(OR(M45="LIQUID",M45=" ")," ",ffactor(M67,M63,M217))</f>
        <v xml:space="preserve"> </v>
      </c>
      <c r="N218" s="305" t="str">
        <f>IF(OR(N45="LIQUID",N45=" ")," ",ffactor(N67,N63,N217))</f>
        <v xml:space="preserve"> </v>
      </c>
      <c r="O218" s="305" t="str">
        <f>IF(OR(O45="LIQUID",O45=" ")," ",ffactor(O67,O63,O217))</f>
        <v xml:space="preserve"> </v>
      </c>
      <c r="P218" s="305" t="str">
        <f>IF(OR(P45="LIQUID",P45=" ")," ",ffactor(P67,P63,P217))</f>
        <v xml:space="preserve"> </v>
      </c>
      <c r="Q218" s="305" t="str">
        <f>IF(OR(Q45="LIQUID",Q45=" ")," ",ffactor(Q67,Q63,Q217))</f>
        <v xml:space="preserve"> </v>
      </c>
      <c r="R218" s="305" t="str">
        <f>IF(OR(R45="LIQUID",R45=" ")," ",ffactor(R67,R63,R217))</f>
        <v xml:space="preserve"> </v>
      </c>
      <c r="S218" s="305" t="str">
        <f>IF(OR(S45="LIQUID",S45=" ")," ",ffactor(S67,S63,S217))</f>
        <v xml:space="preserve"> </v>
      </c>
      <c r="T218" s="305" t="str">
        <f>IF(OR(T45="LIQUID",T45=" ")," ",ffactor(T67,T63,T217))</f>
        <v xml:space="preserve"> </v>
      </c>
      <c r="U218" s="305" t="str">
        <f>IF(OR(U45="LIQUID",U45=" ")," ",ffactor(U67,U63,U217))</f>
        <v xml:space="preserve"> </v>
      </c>
      <c r="V218" s="305" t="str">
        <f>IF(OR(V45="LIQUID",V45=" ")," ",ffactor(V67,V63,V217))</f>
        <v xml:space="preserve"> </v>
      </c>
      <c r="W218" s="305" t="str">
        <f>IF(OR(W45="LIQUID",W45=" ")," ",ffactor(W67,W63,W217))</f>
        <v xml:space="preserve"> </v>
      </c>
      <c r="X218" s="305" t="str">
        <f>IF(OR(X45="LIQUID",X45=" ")," ",ffactor(X67,X63,X217))</f>
        <v xml:space="preserve"> </v>
      </c>
      <c r="Y218" s="305" t="str">
        <f>IF(OR(Y45="LIQUID",Y45=" ")," ",ffactor(Y67,Y63,Y217))</f>
        <v xml:space="preserve"> </v>
      </c>
      <c r="Z218" s="305" t="str">
        <f>IF(OR(Z45="LIQUID",Z45=" ")," ",ffactor(Z67,Z63,Z217))</f>
        <v xml:space="preserve"> </v>
      </c>
    </row>
    <row r="219" spans="1:26" ht="13.5" customHeight="1">
      <c r="A219" s="481" t="s">
        <v>163</v>
      </c>
      <c r="B219" s="41"/>
      <c r="C219" s="308" t="s">
        <v>164</v>
      </c>
      <c r="D219" s="309" t="str">
        <f>IF(D50&lt;&gt;0,D70-Voutpres(D70,D214,D216,D72,D63,D218),"")</f>
        <v/>
      </c>
      <c r="E219" s="310" t="str">
        <f>IF(E50&lt;&gt;0,E70-Voutpres(E70,E214,E216,E72,E63,E218),"")</f>
        <v/>
      </c>
      <c r="F219" s="374" t="str">
        <f>IF(F50&lt;&gt;0,F70-Voutpres(F70,F214,F216,F72,F63,F218),"")</f>
        <v/>
      </c>
      <c r="G219" s="375" t="str">
        <f>IF(G50&lt;&gt;0,G70-Voutpres(G70,G214,G216,G72,G63,G218),"")</f>
        <v/>
      </c>
      <c r="H219" s="310" t="str">
        <f>IF(H50&lt;&gt;0,H70-Voutpres(H70,H214,H216,H72,H63,H218),"")</f>
        <v/>
      </c>
      <c r="I219" s="310" t="str">
        <f>IF(I50&lt;&gt;0,I70-Voutpres(I70,I214,I216,I72,I63,I218),"")</f>
        <v/>
      </c>
      <c r="J219" s="310" t="str">
        <f>IF(J50&lt;&gt;0,J70-Voutpres(J70,J214,J216,J72,J63,J218),"")</f>
        <v/>
      </c>
      <c r="K219" s="310" t="str">
        <f>IF(K50&lt;&gt;0,K70-Voutpres(K70,K214,K216,K72,K63,K218),"")</f>
        <v/>
      </c>
      <c r="L219" s="310" t="str">
        <f>IF(L50&lt;&gt;0,L70-Voutpres(L70,L214,L216,L72,L63,L218),"")</f>
        <v/>
      </c>
      <c r="M219" s="307" t="str">
        <f>IF(M50&lt;&gt;0,M70-Voutpres(M70,M214,M216,M72,M63,M218),"")</f>
        <v/>
      </c>
      <c r="N219" s="307" t="str">
        <f>IF(N50&lt;&gt;0,N70-Voutpres(N70,N214,N216,N72,N63,N218),"")</f>
        <v/>
      </c>
      <c r="O219" s="307" t="str">
        <f>IF(O50&lt;&gt;0,O70-Voutpres(O70,O214,O216,O72,O63,O218),"")</f>
        <v/>
      </c>
      <c r="P219" s="307" t="str">
        <f>IF(P50&lt;&gt;0,P70-Voutpres(P70,P214,P216,P72,P63,P218),"")</f>
        <v/>
      </c>
      <c r="Q219" s="307" t="str">
        <f>IF(Q50&lt;&gt;0,Q70-Voutpres(Q70,Q214,Q216,Q72,Q63,Q218),"")</f>
        <v/>
      </c>
      <c r="R219" s="307" t="str">
        <f>IF(R50&lt;&gt;0,R70-Voutpres(R70,R214,R216,R72,R63,R218),"")</f>
        <v/>
      </c>
      <c r="S219" s="307" t="str">
        <f>IF(S50&lt;&gt;0,S70-Voutpres(S70,S214,S216,S72,S63,S218),"")</f>
        <v/>
      </c>
      <c r="T219" s="307" t="str">
        <f>IF(T50&lt;&gt;0,T70-Voutpres(T70,T214,T216,T72,T63,T218),"")</f>
        <v/>
      </c>
      <c r="U219" s="307" t="str">
        <f>IF(U50&lt;&gt;0,U70-Voutpres(U70,U214,U216,U72,U63,U218),"")</f>
        <v/>
      </c>
      <c r="V219" s="307" t="str">
        <f>IF(V50&lt;&gt;0,V70-Voutpres(V70,V214,V216,V72,V63,V218),"")</f>
        <v/>
      </c>
      <c r="W219" s="307" t="str">
        <f>IF(W50&lt;&gt;0,W70-Voutpres(W70,W214,W216,W72,W63,W218),"")</f>
        <v/>
      </c>
      <c r="X219" s="307" t="str">
        <f>IF(X50&lt;&gt;0,X70-Voutpres(X70,X214,X216,X72,X63,X218),"")</f>
        <v/>
      </c>
      <c r="Y219" s="307" t="str">
        <f>IF(Y50&lt;&gt;0,Y70-Voutpres(Y70,Y214,Y216,Y72,Y63,Y218),"")</f>
        <v/>
      </c>
      <c r="Z219" s="307" t="str">
        <f>IF(Z50&lt;&gt;0,Z70-Voutpres(Z70,Z214,Z216,Z72,Z63,Z218),"")</f>
        <v/>
      </c>
    </row>
    <row r="220" spans="1:26" ht="13.5" customHeight="1">
      <c r="A220" s="481" t="s">
        <v>165</v>
      </c>
      <c r="B220" s="111"/>
      <c r="C220" s="484" t="s">
        <v>166</v>
      </c>
      <c r="D220" s="80" t="str">
        <f t="shared" ref="D220:M220" si="105">IF(D50&lt;&gt;0,(D70-D219-(D65*D214/1000)/10)," ")</f>
        <v xml:space="preserve"> </v>
      </c>
      <c r="E220" s="307" t="str">
        <f t="shared" si="105"/>
        <v xml:space="preserve"> </v>
      </c>
      <c r="F220" s="306" t="str">
        <f t="shared" si="105"/>
        <v xml:space="preserve"> </v>
      </c>
      <c r="G220" s="319" t="str">
        <f t="shared" si="105"/>
        <v xml:space="preserve"> </v>
      </c>
      <c r="H220" s="307" t="str">
        <f t="shared" si="105"/>
        <v xml:space="preserve"> </v>
      </c>
      <c r="I220" s="307" t="str">
        <f t="shared" si="105"/>
        <v xml:space="preserve"> </v>
      </c>
      <c r="J220" s="307" t="str">
        <f t="shared" si="105"/>
        <v xml:space="preserve"> </v>
      </c>
      <c r="K220" s="307" t="str">
        <f t="shared" si="105"/>
        <v xml:space="preserve"> </v>
      </c>
      <c r="L220" s="307" t="str">
        <f t="shared" si="105"/>
        <v xml:space="preserve"> </v>
      </c>
      <c r="M220" s="381" t="str">
        <f t="shared" si="105"/>
        <v xml:space="preserve"> </v>
      </c>
      <c r="N220" s="381" t="str">
        <f t="shared" ref="N220:Z220" si="106">IF(N50&lt;&gt;0,(N70-N219-(N65*N214/1000)/10)," ")</f>
        <v xml:space="preserve"> </v>
      </c>
      <c r="O220" s="381" t="str">
        <f t="shared" si="106"/>
        <v xml:space="preserve"> </v>
      </c>
      <c r="P220" s="381" t="str">
        <f t="shared" si="106"/>
        <v xml:space="preserve"> </v>
      </c>
      <c r="Q220" s="381" t="str">
        <f t="shared" si="106"/>
        <v xml:space="preserve"> </v>
      </c>
      <c r="R220" s="381" t="str">
        <f t="shared" si="106"/>
        <v xml:space="preserve"> </v>
      </c>
      <c r="S220" s="381" t="str">
        <f t="shared" si="106"/>
        <v xml:space="preserve"> </v>
      </c>
      <c r="T220" s="381" t="str">
        <f t="shared" si="106"/>
        <v xml:space="preserve"> </v>
      </c>
      <c r="U220" s="381" t="str">
        <f t="shared" si="106"/>
        <v xml:space="preserve"> </v>
      </c>
      <c r="V220" s="381" t="str">
        <f t="shared" si="106"/>
        <v xml:space="preserve"> </v>
      </c>
      <c r="W220" s="381" t="str">
        <f t="shared" si="106"/>
        <v xml:space="preserve"> </v>
      </c>
      <c r="X220" s="381" t="str">
        <f t="shared" si="106"/>
        <v xml:space="preserve"> </v>
      </c>
      <c r="Y220" s="381" t="str">
        <f t="shared" si="106"/>
        <v xml:space="preserve"> </v>
      </c>
      <c r="Z220" s="381" t="str">
        <f t="shared" si="106"/>
        <v xml:space="preserve"> </v>
      </c>
    </row>
    <row r="221" spans="1:26" s="389" customFormat="1" ht="13.5" customHeight="1">
      <c r="A221" s="382" t="s">
        <v>167</v>
      </c>
      <c r="B221" s="383"/>
      <c r="C221" s="384" t="s">
        <v>145</v>
      </c>
      <c r="D221" s="385" t="str">
        <f t="shared" ref="D221:M221" si="107">IF(D50&lt;&gt;0,D214/(D70+1.033)*(D220+1.033)," ")</f>
        <v xml:space="preserve"> </v>
      </c>
      <c r="E221" s="386" t="str">
        <f t="shared" si="107"/>
        <v xml:space="preserve"> </v>
      </c>
      <c r="F221" s="387" t="str">
        <f t="shared" si="107"/>
        <v xml:space="preserve"> </v>
      </c>
      <c r="G221" s="388" t="str">
        <f t="shared" si="107"/>
        <v xml:space="preserve"> </v>
      </c>
      <c r="H221" s="386" t="str">
        <f t="shared" si="107"/>
        <v xml:space="preserve"> </v>
      </c>
      <c r="I221" s="386" t="str">
        <f t="shared" si="107"/>
        <v xml:space="preserve"> </v>
      </c>
      <c r="J221" s="386" t="str">
        <f t="shared" si="107"/>
        <v xml:space="preserve"> </v>
      </c>
      <c r="K221" s="386" t="str">
        <f t="shared" si="107"/>
        <v xml:space="preserve"> </v>
      </c>
      <c r="L221" s="386" t="str">
        <f t="shared" si="107"/>
        <v xml:space="preserve"> </v>
      </c>
      <c r="M221" s="386" t="str">
        <f t="shared" si="107"/>
        <v xml:space="preserve"> </v>
      </c>
      <c r="N221" s="386" t="str">
        <f t="shared" ref="N221:Z221" si="108">IF(N50&lt;&gt;0,N214/(N70+1.033)*(N220+1.033)," ")</f>
        <v xml:space="preserve"> </v>
      </c>
      <c r="O221" s="386" t="str">
        <f t="shared" si="108"/>
        <v xml:space="preserve"> </v>
      </c>
      <c r="P221" s="386" t="str">
        <f t="shared" si="108"/>
        <v xml:space="preserve"> </v>
      </c>
      <c r="Q221" s="386" t="str">
        <f t="shared" si="108"/>
        <v xml:space="preserve"> </v>
      </c>
      <c r="R221" s="386" t="str">
        <f t="shared" si="108"/>
        <v xml:space="preserve"> </v>
      </c>
      <c r="S221" s="386" t="str">
        <f t="shared" si="108"/>
        <v xml:space="preserve"> </v>
      </c>
      <c r="T221" s="386" t="str">
        <f t="shared" si="108"/>
        <v xml:space="preserve"> </v>
      </c>
      <c r="U221" s="386" t="str">
        <f t="shared" si="108"/>
        <v xml:space="preserve"> </v>
      </c>
      <c r="V221" s="386" t="str">
        <f t="shared" si="108"/>
        <v xml:space="preserve"> </v>
      </c>
      <c r="W221" s="386" t="str">
        <f t="shared" si="108"/>
        <v xml:space="preserve"> </v>
      </c>
      <c r="X221" s="386" t="str">
        <f t="shared" si="108"/>
        <v xml:space="preserve"> </v>
      </c>
      <c r="Y221" s="386" t="str">
        <f t="shared" si="108"/>
        <v xml:space="preserve"> </v>
      </c>
      <c r="Z221" s="386" t="str">
        <f t="shared" si="108"/>
        <v xml:space="preserve"> </v>
      </c>
    </row>
    <row r="222" spans="1:26" ht="13.5" customHeight="1">
      <c r="A222" s="382" t="s">
        <v>168</v>
      </c>
      <c r="B222" s="41"/>
      <c r="C222" s="284" t="s">
        <v>161</v>
      </c>
      <c r="D222" s="2" t="str">
        <f t="shared" ref="D222:M222" si="109">IF(D50&lt;&gt;0,D216/(D70+1.033)*(D220+1.033)," ")</f>
        <v xml:space="preserve"> </v>
      </c>
      <c r="E222" s="284" t="str">
        <f t="shared" si="109"/>
        <v xml:space="preserve"> </v>
      </c>
      <c r="F222" s="305" t="str">
        <f t="shared" si="109"/>
        <v xml:space="preserve"> </v>
      </c>
      <c r="G222" s="318" t="str">
        <f t="shared" si="109"/>
        <v xml:space="preserve"> </v>
      </c>
      <c r="H222" s="284" t="str">
        <f t="shared" si="109"/>
        <v xml:space="preserve"> </v>
      </c>
      <c r="I222" s="284" t="str">
        <f t="shared" si="109"/>
        <v xml:space="preserve"> </v>
      </c>
      <c r="J222" s="284" t="str">
        <f t="shared" si="109"/>
        <v xml:space="preserve"> </v>
      </c>
      <c r="K222" s="284" t="str">
        <f t="shared" si="109"/>
        <v xml:space="preserve"> </v>
      </c>
      <c r="L222" s="284" t="str">
        <f t="shared" si="109"/>
        <v xml:space="preserve"> </v>
      </c>
      <c r="M222" s="284" t="str">
        <f t="shared" si="109"/>
        <v xml:space="preserve"> </v>
      </c>
      <c r="N222" s="284" t="str">
        <f t="shared" ref="N222:Z222" si="110">IF(N50&lt;&gt;0,N216/(N70+1.033)*(N220+1.033)," ")</f>
        <v xml:space="preserve"> </v>
      </c>
      <c r="O222" s="284" t="str">
        <f t="shared" si="110"/>
        <v xml:space="preserve"> </v>
      </c>
      <c r="P222" s="284" t="str">
        <f t="shared" si="110"/>
        <v xml:space="preserve"> </v>
      </c>
      <c r="Q222" s="284" t="str">
        <f t="shared" si="110"/>
        <v xml:space="preserve"> </v>
      </c>
      <c r="R222" s="284" t="str">
        <f t="shared" si="110"/>
        <v xml:space="preserve"> </v>
      </c>
      <c r="S222" s="284" t="str">
        <f t="shared" si="110"/>
        <v xml:space="preserve"> </v>
      </c>
      <c r="T222" s="284" t="str">
        <f t="shared" si="110"/>
        <v xml:space="preserve"> </v>
      </c>
      <c r="U222" s="284" t="str">
        <f t="shared" si="110"/>
        <v xml:space="preserve"> </v>
      </c>
      <c r="V222" s="284" t="str">
        <f t="shared" si="110"/>
        <v xml:space="preserve"> </v>
      </c>
      <c r="W222" s="284" t="str">
        <f t="shared" si="110"/>
        <v xml:space="preserve"> </v>
      </c>
      <c r="X222" s="284" t="str">
        <f t="shared" si="110"/>
        <v xml:space="preserve"> </v>
      </c>
      <c r="Y222" s="284" t="str">
        <f t="shared" si="110"/>
        <v xml:space="preserve"> </v>
      </c>
      <c r="Z222" s="284" t="str">
        <f t="shared" si="110"/>
        <v xml:space="preserve"> </v>
      </c>
    </row>
    <row r="223" spans="1:26" ht="13.5" customHeight="1" thickBot="1">
      <c r="A223" s="482" t="s">
        <v>169</v>
      </c>
      <c r="B223" s="118"/>
      <c r="C223" s="312" t="s">
        <v>151</v>
      </c>
      <c r="D223" s="117" t="str">
        <f t="shared" ref="D223:M223" si="111">IF(D50&lt;&gt;0,MAXA(D216,D222)/SQRT(1.4*0.9806*(D220+1.033)*100000/D221)," ")</f>
        <v xml:space="preserve"> </v>
      </c>
      <c r="E223" s="313" t="str">
        <f t="shared" si="111"/>
        <v xml:space="preserve"> </v>
      </c>
      <c r="F223" s="337" t="str">
        <f t="shared" si="111"/>
        <v xml:space="preserve"> </v>
      </c>
      <c r="G223" s="338" t="str">
        <f t="shared" si="111"/>
        <v xml:space="preserve"> </v>
      </c>
      <c r="H223" s="313" t="str">
        <f t="shared" si="111"/>
        <v xml:space="preserve"> </v>
      </c>
      <c r="I223" s="313" t="str">
        <f t="shared" si="111"/>
        <v xml:space="preserve"> </v>
      </c>
      <c r="J223" s="313" t="str">
        <f t="shared" si="111"/>
        <v xml:space="preserve"> </v>
      </c>
      <c r="K223" s="313" t="str">
        <f t="shared" si="111"/>
        <v xml:space="preserve"> </v>
      </c>
      <c r="L223" s="313" t="str">
        <f t="shared" si="111"/>
        <v xml:space="preserve"> </v>
      </c>
      <c r="M223" s="313" t="str">
        <f t="shared" si="111"/>
        <v xml:space="preserve"> </v>
      </c>
      <c r="N223" s="313" t="str">
        <f t="shared" ref="N223:Z223" si="112">IF(N50&lt;&gt;0,MAXA(N216,N222)/SQRT(1.4*0.9806*(N220+1.033)*100000/N221)," ")</f>
        <v xml:space="preserve"> </v>
      </c>
      <c r="O223" s="313" t="str">
        <f t="shared" si="112"/>
        <v xml:space="preserve"> </v>
      </c>
      <c r="P223" s="313" t="str">
        <f t="shared" si="112"/>
        <v xml:space="preserve"> </v>
      </c>
      <c r="Q223" s="313" t="str">
        <f t="shared" si="112"/>
        <v xml:space="preserve"> </v>
      </c>
      <c r="R223" s="313" t="str">
        <f t="shared" si="112"/>
        <v xml:space="preserve"> </v>
      </c>
      <c r="S223" s="313" t="str">
        <f t="shared" si="112"/>
        <v xml:space="preserve"> </v>
      </c>
      <c r="T223" s="313" t="str">
        <f t="shared" si="112"/>
        <v xml:space="preserve"> </v>
      </c>
      <c r="U223" s="313" t="str">
        <f t="shared" si="112"/>
        <v xml:space="preserve"> </v>
      </c>
      <c r="V223" s="313" t="str">
        <f t="shared" si="112"/>
        <v xml:space="preserve"> </v>
      </c>
      <c r="W223" s="313" t="str">
        <f t="shared" si="112"/>
        <v xml:space="preserve"> </v>
      </c>
      <c r="X223" s="313" t="str">
        <f t="shared" si="112"/>
        <v xml:space="preserve"> </v>
      </c>
      <c r="Y223" s="313" t="str">
        <f t="shared" si="112"/>
        <v xml:space="preserve"> </v>
      </c>
      <c r="Z223" s="313" t="str">
        <f t="shared" si="112"/>
        <v xml:space="preserve"> </v>
      </c>
    </row>
    <row r="224" spans="1:26" ht="13.5" customHeight="1">
      <c r="A224" s="483"/>
      <c r="B224" s="314"/>
      <c r="C224" s="141"/>
      <c r="D224" s="283"/>
      <c r="E224" s="283"/>
      <c r="F224" s="283"/>
      <c r="G224" s="283"/>
      <c r="H224" s="283"/>
      <c r="I224" s="283"/>
      <c r="J224" s="283"/>
      <c r="K224" s="283"/>
      <c r="L224" s="283"/>
      <c r="M224" s="283"/>
      <c r="N224" s="283"/>
      <c r="O224" s="283"/>
      <c r="P224" s="283"/>
      <c r="Q224" s="283"/>
      <c r="R224" s="283"/>
      <c r="S224" s="283"/>
      <c r="T224" s="283"/>
      <c r="U224" s="283"/>
      <c r="V224" s="283"/>
      <c r="W224" s="283"/>
      <c r="X224" s="283"/>
      <c r="Y224" s="283"/>
      <c r="Z224" s="283"/>
    </row>
    <row r="225" spans="1:26" ht="13.5" customHeight="1" thickBot="1">
      <c r="A225" s="128" t="s">
        <v>170</v>
      </c>
      <c r="B225" s="128"/>
      <c r="C225" s="110"/>
      <c r="D225" s="41"/>
      <c r="E225" s="41"/>
      <c r="F225" s="41"/>
      <c r="G225" s="41"/>
      <c r="H225" s="41"/>
      <c r="I225" s="41"/>
      <c r="J225" s="41"/>
      <c r="K225" s="41"/>
      <c r="L225" s="41"/>
      <c r="M225" s="392"/>
      <c r="N225" s="41"/>
      <c r="O225" s="41"/>
      <c r="P225" s="41"/>
      <c r="Q225" s="41"/>
      <c r="R225" s="41"/>
      <c r="S225" s="41"/>
      <c r="T225" s="41"/>
      <c r="U225" s="41"/>
      <c r="V225" s="41"/>
      <c r="W225" s="41"/>
      <c r="X225" s="41"/>
      <c r="Y225" s="41"/>
      <c r="Z225" s="41"/>
    </row>
    <row r="226" spans="1:26" ht="15" customHeight="1" thickBot="1">
      <c r="A226" s="315" t="s">
        <v>171</v>
      </c>
      <c r="B226" s="316"/>
      <c r="C226" s="317"/>
      <c r="D226" s="298"/>
      <c r="E226" s="299"/>
      <c r="F226" s="299"/>
      <c r="G226" s="117"/>
      <c r="H226" s="117"/>
      <c r="I226" s="117"/>
      <c r="J226" s="117"/>
      <c r="K226" s="117"/>
      <c r="L226" s="117"/>
      <c r="M226" s="117"/>
      <c r="N226" s="117"/>
      <c r="O226" s="117"/>
      <c r="P226" s="117"/>
      <c r="Q226" s="117"/>
      <c r="R226" s="117"/>
      <c r="S226" s="117"/>
      <c r="T226" s="117"/>
      <c r="U226" s="117"/>
      <c r="V226" s="117"/>
      <c r="W226" s="117"/>
      <c r="X226" s="117"/>
      <c r="Y226" s="117"/>
      <c r="Z226" s="117"/>
    </row>
    <row r="227" spans="1:26" ht="13.5" thickTop="1">
      <c r="A227" s="303" t="s">
        <v>173</v>
      </c>
      <c r="B227" s="304"/>
      <c r="C227" s="286" t="s">
        <v>149</v>
      </c>
      <c r="D227" s="287" t="str">
        <f>IF(D45="2PH",D213," ")</f>
        <v xml:space="preserve"> </v>
      </c>
      <c r="E227" s="287" t="str">
        <f t="shared" ref="E227:Z227" si="113">IF(E45="2PH",E213," ")</f>
        <v xml:space="preserve"> </v>
      </c>
      <c r="F227" s="287" t="str">
        <f t="shared" si="113"/>
        <v xml:space="preserve"> </v>
      </c>
      <c r="G227" s="287" t="str">
        <f t="shared" si="113"/>
        <v xml:space="preserve"> </v>
      </c>
      <c r="H227" s="287" t="str">
        <f t="shared" si="113"/>
        <v xml:space="preserve"> </v>
      </c>
      <c r="I227" s="287" t="str">
        <f t="shared" si="113"/>
        <v xml:space="preserve"> </v>
      </c>
      <c r="J227" s="287" t="str">
        <f t="shared" si="113"/>
        <v xml:space="preserve"> </v>
      </c>
      <c r="K227" s="287" t="str">
        <f t="shared" si="113"/>
        <v xml:space="preserve"> </v>
      </c>
      <c r="L227" s="287" t="str">
        <f t="shared" si="113"/>
        <v xml:space="preserve"> </v>
      </c>
      <c r="M227" s="287" t="str">
        <f t="shared" si="113"/>
        <v xml:space="preserve"> </v>
      </c>
      <c r="N227" s="287" t="str">
        <f t="shared" si="113"/>
        <v xml:space="preserve"> </v>
      </c>
      <c r="O227" s="287" t="str">
        <f t="shared" si="113"/>
        <v xml:space="preserve"> </v>
      </c>
      <c r="P227" s="287" t="str">
        <f t="shared" si="113"/>
        <v xml:space="preserve"> </v>
      </c>
      <c r="Q227" s="287" t="str">
        <f t="shared" si="113"/>
        <v xml:space="preserve"> </v>
      </c>
      <c r="R227" s="287" t="str">
        <f t="shared" si="113"/>
        <v xml:space="preserve"> </v>
      </c>
      <c r="S227" s="287" t="str">
        <f t="shared" si="113"/>
        <v xml:space="preserve"> </v>
      </c>
      <c r="T227" s="287" t="str">
        <f t="shared" si="113"/>
        <v xml:space="preserve"> </v>
      </c>
      <c r="U227" s="287" t="str">
        <f t="shared" si="113"/>
        <v xml:space="preserve"> </v>
      </c>
      <c r="V227" s="287" t="str">
        <f t="shared" si="113"/>
        <v xml:space="preserve"> </v>
      </c>
      <c r="W227" s="287" t="str">
        <f t="shared" si="113"/>
        <v xml:space="preserve"> </v>
      </c>
      <c r="X227" s="287" t="str">
        <f t="shared" si="113"/>
        <v xml:space="preserve"> </v>
      </c>
      <c r="Y227" s="287" t="str">
        <f t="shared" si="113"/>
        <v xml:space="preserve"> </v>
      </c>
      <c r="Z227" s="287" t="str">
        <f t="shared" si="113"/>
        <v xml:space="preserve"> </v>
      </c>
    </row>
    <row r="228" spans="1:26">
      <c r="A228" s="40" t="s">
        <v>174</v>
      </c>
      <c r="B228" s="41"/>
      <c r="C228" s="134" t="s">
        <v>151</v>
      </c>
      <c r="D228" s="311" t="str">
        <f>IF(D45="2PH",Cfactor(D52,D207,D214,D216,D53,D60,D67,D63)," ")</f>
        <v xml:space="preserve"> </v>
      </c>
      <c r="E228" s="311" t="str">
        <f>IF(E45="2PH",Cfactor(E52,E207,E214,E216,E53,E60,E67,E63)," ")</f>
        <v xml:space="preserve"> </v>
      </c>
      <c r="F228" s="311" t="str">
        <f>IF(F45="2PH",Cfactor(F52,F207,F214,F216,F53,F60,F67,F63)," ")</f>
        <v xml:space="preserve"> </v>
      </c>
      <c r="G228" s="311" t="str">
        <f>IF(G45="2PH",Cfactor(G52,G207,G214,G216,G53,G60,G67,G63)," ")</f>
        <v xml:space="preserve"> </v>
      </c>
      <c r="H228" s="311" t="str">
        <f>IF(H45="2PH",Cfactor(H52,H207,H214,H216,H53,H60,H67,H63)," ")</f>
        <v xml:space="preserve"> </v>
      </c>
      <c r="I228" s="311" t="str">
        <f>IF(I45="2PH",Cfactor(I52,I207,I214,I216,I53,I60,I67,I63)," ")</f>
        <v xml:space="preserve"> </v>
      </c>
      <c r="J228" s="311" t="str">
        <f>IF(J45="2PH",Cfactor(J52,J207,J214,J216,J53,J60,J67,J63)," ")</f>
        <v xml:space="preserve"> </v>
      </c>
      <c r="K228" s="311" t="str">
        <f>IF(K45="2PH",Cfactor(K52,K207,K214,K216,K53,K60,K67,K63)," ")</f>
        <v xml:space="preserve"> </v>
      </c>
      <c r="L228" s="311" t="str">
        <f>IF(L45="2PH",Cfactor(L52,L207,L214,L216,L53,L60,L67,L63)," ")</f>
        <v xml:space="preserve"> </v>
      </c>
      <c r="M228" s="311" t="str">
        <f>IF(M45="2PH",Cfactor(M52,M207,M214,M216,M53,M60,M67,M63)," ")</f>
        <v xml:space="preserve"> </v>
      </c>
      <c r="N228" s="311" t="str">
        <f>IF(N45="2PH",Cfactor(N52,N207,N214,N216,N53,N60,N67,N63)," ")</f>
        <v xml:space="preserve"> </v>
      </c>
      <c r="O228" s="311" t="str">
        <f>IF(O45="2PH",Cfactor(O52,O207,O214,O216,O53,O60,O67,O63)," ")</f>
        <v xml:space="preserve"> </v>
      </c>
      <c r="P228" s="311" t="str">
        <f>IF(P45="2PH",Cfactor(P52,P207,P214,P216,P53,P60,P67,P63)," ")</f>
        <v xml:space="preserve"> </v>
      </c>
      <c r="Q228" s="311" t="str">
        <f>IF(Q45="2PH",Cfactor(Q52,Q207,Q214,Q216,Q53,Q60,Q67,Q63)," ")</f>
        <v xml:space="preserve"> </v>
      </c>
      <c r="R228" s="311" t="str">
        <f>IF(R45="2PH",Cfactor(R52,R207,R214,R216,R53,R60,R67,R63)," ")</f>
        <v xml:space="preserve"> </v>
      </c>
      <c r="S228" s="311" t="str">
        <f>IF(S45="2PH",Cfactor(S52,S207,S214,S216,S53,S60,S67,S63)," ")</f>
        <v xml:space="preserve"> </v>
      </c>
      <c r="T228" s="311" t="str">
        <f>IF(T45="2PH",Cfactor(T52,T207,T214,T216,T53,T60,T67,T63)," ")</f>
        <v xml:space="preserve"> </v>
      </c>
      <c r="U228" s="311" t="str">
        <f>IF(U45="2PH",Cfactor(U52,U207,U214,U216,U53,U60,U67,U63)," ")</f>
        <v xml:space="preserve"> </v>
      </c>
      <c r="V228" s="311" t="str">
        <f>IF(V45="2PH",Cfactor(V52,V207,V214,V216,V53,V60,V67,V63)," ")</f>
        <v xml:space="preserve"> </v>
      </c>
      <c r="W228" s="311" t="str">
        <f>IF(W45="2PH",Cfactor(W52,W207,W214,W216,W53,W60,W67,W63)," ")</f>
        <v xml:space="preserve"> </v>
      </c>
      <c r="X228" s="311" t="str">
        <f>IF(X45="2PH",Cfactor(X52,X207,X214,X216,X53,X60,X67,X63)," ")</f>
        <v xml:space="preserve"> </v>
      </c>
      <c r="Y228" s="311" t="str">
        <f>IF(Y45="2PH",Cfactor(Y52,Y207,Y214,Y216,Y53,Y60,Y67,Y63)," ")</f>
        <v xml:space="preserve"> </v>
      </c>
      <c r="Z228" s="311" t="str">
        <f>IF(Z45="2PH",Cfactor(Z52,Z207,Z214,Z216,Z53,Z60,Z67,Z63)," ")</f>
        <v xml:space="preserve"> </v>
      </c>
    </row>
    <row r="229" spans="1:26">
      <c r="A229" s="40" t="s">
        <v>175</v>
      </c>
      <c r="B229" s="41"/>
      <c r="C229" s="284" t="s">
        <v>145</v>
      </c>
      <c r="D229" s="284" t="str">
        <f>IF(D45="2PH",TPHDen(D46,D52,D207,D214,D216,D53,D60,D47,D206,D213,D63)," ")</f>
        <v xml:space="preserve"> </v>
      </c>
      <c r="E229" s="284" t="str">
        <f>IF(E45="2PH",TPHDen(E46,E52,E207,E214,E216,E53,E60,E47,E206,E213,E63)," ")</f>
        <v xml:space="preserve"> </v>
      </c>
      <c r="F229" s="284" t="str">
        <f>IF(F45="2PH",TPHDen(F46,F52,F207,F214,F216,F53,F60,F47,F206,F213,F63)," ")</f>
        <v xml:space="preserve"> </v>
      </c>
      <c r="G229" s="284" t="str">
        <f>IF(G45="2PH",TPHDen(G46,G52,G207,G214,G216,G53,G60,G47,G206,G213,G63)," ")</f>
        <v xml:space="preserve"> </v>
      </c>
      <c r="H229" s="284" t="str">
        <f>IF(H45="2PH",TPHDen(H46,H52,H207,H214,H216,H53,H60,H47,H206,H213,H63)," ")</f>
        <v xml:space="preserve"> </v>
      </c>
      <c r="I229" s="284" t="str">
        <f>IF(I45="2PH",TPHDen(I46,I52,I207,I214,I216,I53,I60,I47,I206,I213,I63)," ")</f>
        <v xml:space="preserve"> </v>
      </c>
      <c r="J229" s="284" t="str">
        <f>IF(J45="2PH",TPHDen(J46,J52,J207,J214,J216,J53,J60,J47,J206,J213,J63)," ")</f>
        <v xml:space="preserve"> </v>
      </c>
      <c r="K229" s="284" t="str">
        <f>IF(K45="2PH",TPHDen(K46,K52,K207,K214,K216,K53,K60,K47,K206,K213,K63)," ")</f>
        <v xml:space="preserve"> </v>
      </c>
      <c r="L229" s="284" t="str">
        <f>IF(L45="2PH",TPHDen(L46,L52,L207,L214,L216,L53,L60,L47,L206,L213,L63)," ")</f>
        <v xml:space="preserve"> </v>
      </c>
      <c r="M229" s="284" t="str">
        <f>IF(M45="2PH",TPHDen(M46,M52,M207,M214,M216,M53,M60,M47,M206,M213,M63)," ")</f>
        <v xml:space="preserve"> </v>
      </c>
      <c r="N229" s="284" t="str">
        <f>IF(N45="2PH",TPHDen(N46,N52,N207,N214,N216,N53,N60,N47,N206,N213,N63)," ")</f>
        <v xml:space="preserve"> </v>
      </c>
      <c r="O229" s="284" t="str">
        <f>IF(O45="2PH",TPHDen(O46,O52,O207,O214,O216,O53,O60,O47,O206,O213,O63)," ")</f>
        <v xml:space="preserve"> </v>
      </c>
      <c r="P229" s="284" t="str">
        <f>IF(P45="2PH",TPHDen(P46,P52,P207,P214,P216,P53,P60,P47,P206,P213,P63)," ")</f>
        <v xml:space="preserve"> </v>
      </c>
      <c r="Q229" s="284" t="str">
        <f>IF(Q45="2PH",TPHDen(Q46,Q52,Q207,Q214,Q216,Q53,Q60,Q47,Q206,Q213,Q63)," ")</f>
        <v xml:space="preserve"> </v>
      </c>
      <c r="R229" s="284" t="str">
        <f>IF(R45="2PH",TPHDen(R46,R52,R207,R214,R216,R53,R60,R47,R206,R213,R63)," ")</f>
        <v xml:space="preserve"> </v>
      </c>
      <c r="S229" s="284" t="str">
        <f>IF(S45="2PH",TPHDen(S46,S52,S207,S214,S216,S53,S60,S47,S206,S213,S63)," ")</f>
        <v xml:space="preserve"> </v>
      </c>
      <c r="T229" s="284" t="str">
        <f>IF(T45="2PH",TPHDen(T46,T52,T207,T214,T216,T53,T60,T47,T206,T213,T63)," ")</f>
        <v xml:space="preserve"> </v>
      </c>
      <c r="U229" s="284" t="str">
        <f>IF(U45="2PH",TPHDen(U46,U52,U207,U214,U216,U53,U60,U47,U206,U213,U63)," ")</f>
        <v xml:space="preserve"> </v>
      </c>
      <c r="V229" s="284" t="str">
        <f>IF(V45="2PH",TPHDen(V46,V52,V207,V214,V216,V53,V60,V47,V206,V213,V63)," ")</f>
        <v xml:space="preserve"> </v>
      </c>
      <c r="W229" s="284" t="str">
        <f>IF(W45="2PH",TPHDen(W46,W52,W207,W214,W216,W53,W60,W47,W206,W213,W63)," ")</f>
        <v xml:space="preserve"> </v>
      </c>
      <c r="X229" s="284" t="str">
        <f>IF(X45="2PH",TPHDen(X46,X52,X207,X214,X216,X53,X60,X47,X206,X213,X63)," ")</f>
        <v xml:space="preserve"> </v>
      </c>
      <c r="Y229" s="284" t="str">
        <f>IF(Y45="2PH",TPHDen(Y46,Y52,Y207,Y214,Y216,Y53,Y60,Y47,Y206,Y213,Y63)," ")</f>
        <v xml:space="preserve"> </v>
      </c>
      <c r="Z229" s="284" t="str">
        <f>IF(Z45="2PH",TPHDen(Z46,Z52,Z207,Z214,Z216,Z53,Z60,Z47,Z206,Z213,Z63)," ")</f>
        <v xml:space="preserve"> </v>
      </c>
    </row>
    <row r="230" spans="1:26">
      <c r="A230" s="40" t="s">
        <v>176</v>
      </c>
      <c r="B230" s="41"/>
      <c r="C230" s="284" t="s">
        <v>145</v>
      </c>
      <c r="D230" s="284" t="str">
        <f>IF(D45="2PH",D68/(D206/D52+D227/D214)," ")</f>
        <v xml:space="preserve"> </v>
      </c>
      <c r="E230" s="284" t="str">
        <f t="shared" ref="E230:Z230" si="114">IF(E45="2PH",E68/(E206/E52+E227/E214)," ")</f>
        <v xml:space="preserve"> </v>
      </c>
      <c r="F230" s="284" t="str">
        <f t="shared" si="114"/>
        <v xml:space="preserve"> </v>
      </c>
      <c r="G230" s="284" t="str">
        <f t="shared" si="114"/>
        <v xml:space="preserve"> </v>
      </c>
      <c r="H230" s="284" t="str">
        <f t="shared" si="114"/>
        <v xml:space="preserve"> </v>
      </c>
      <c r="I230" s="284" t="str">
        <f t="shared" si="114"/>
        <v xml:space="preserve"> </v>
      </c>
      <c r="J230" s="284" t="str">
        <f t="shared" si="114"/>
        <v xml:space="preserve"> </v>
      </c>
      <c r="K230" s="284" t="str">
        <f t="shared" si="114"/>
        <v xml:space="preserve"> </v>
      </c>
      <c r="L230" s="284" t="str">
        <f t="shared" si="114"/>
        <v xml:space="preserve"> </v>
      </c>
      <c r="M230" s="284" t="str">
        <f t="shared" si="114"/>
        <v xml:space="preserve"> </v>
      </c>
      <c r="N230" s="284" t="str">
        <f t="shared" si="114"/>
        <v xml:space="preserve"> </v>
      </c>
      <c r="O230" s="284" t="str">
        <f t="shared" si="114"/>
        <v xml:space="preserve"> </v>
      </c>
      <c r="P230" s="284" t="str">
        <f t="shared" si="114"/>
        <v xml:space="preserve"> </v>
      </c>
      <c r="Q230" s="284" t="str">
        <f t="shared" si="114"/>
        <v xml:space="preserve"> </v>
      </c>
      <c r="R230" s="284" t="str">
        <f t="shared" si="114"/>
        <v xml:space="preserve"> </v>
      </c>
      <c r="S230" s="284" t="str">
        <f t="shared" si="114"/>
        <v xml:space="preserve"> </v>
      </c>
      <c r="T230" s="284" t="str">
        <f t="shared" si="114"/>
        <v xml:space="preserve"> </v>
      </c>
      <c r="U230" s="284" t="str">
        <f t="shared" si="114"/>
        <v xml:space="preserve"> </v>
      </c>
      <c r="V230" s="284" t="str">
        <f t="shared" si="114"/>
        <v xml:space="preserve"> </v>
      </c>
      <c r="W230" s="284" t="str">
        <f t="shared" si="114"/>
        <v xml:space="preserve"> </v>
      </c>
      <c r="X230" s="284" t="str">
        <f t="shared" si="114"/>
        <v xml:space="preserve"> </v>
      </c>
      <c r="Y230" s="284" t="str">
        <f t="shared" si="114"/>
        <v xml:space="preserve"> </v>
      </c>
      <c r="Z230" s="284" t="str">
        <f t="shared" si="114"/>
        <v xml:space="preserve"> </v>
      </c>
    </row>
    <row r="231" spans="1:26">
      <c r="A231" s="40" t="s">
        <v>177</v>
      </c>
      <c r="B231" s="41"/>
      <c r="C231" s="284" t="s">
        <v>146</v>
      </c>
      <c r="D231" s="284" t="str">
        <f>IF(D45="2PH",D53*(D206/D52)/(D206/D52+D227/D214)+D60*(D227/D214)/(D206/D52+D227/D214),"")</f>
        <v/>
      </c>
      <c r="E231" s="284" t="str">
        <f t="shared" ref="E231:Z231" si="115">IF(E45="2PH",E53*(E206/E52)/(E206/E52+E227/E214)+E60*(E227/E214)/(E206/E52+E227/E214),"")</f>
        <v/>
      </c>
      <c r="F231" s="284" t="str">
        <f t="shared" si="115"/>
        <v/>
      </c>
      <c r="G231" s="284" t="str">
        <f t="shared" si="115"/>
        <v/>
      </c>
      <c r="H231" s="284" t="str">
        <f t="shared" si="115"/>
        <v/>
      </c>
      <c r="I231" s="284" t="str">
        <f t="shared" si="115"/>
        <v/>
      </c>
      <c r="J231" s="284" t="str">
        <f t="shared" si="115"/>
        <v/>
      </c>
      <c r="K231" s="284" t="str">
        <f t="shared" si="115"/>
        <v/>
      </c>
      <c r="L231" s="284" t="str">
        <f t="shared" si="115"/>
        <v/>
      </c>
      <c r="M231" s="284" t="str">
        <f t="shared" si="115"/>
        <v/>
      </c>
      <c r="N231" s="284" t="str">
        <f t="shared" si="115"/>
        <v/>
      </c>
      <c r="O231" s="284" t="str">
        <f t="shared" si="115"/>
        <v/>
      </c>
      <c r="P231" s="284" t="str">
        <f t="shared" si="115"/>
        <v/>
      </c>
      <c r="Q231" s="284" t="str">
        <f t="shared" si="115"/>
        <v/>
      </c>
      <c r="R231" s="284" t="str">
        <f t="shared" si="115"/>
        <v/>
      </c>
      <c r="S231" s="284" t="str">
        <f t="shared" si="115"/>
        <v/>
      </c>
      <c r="T231" s="284" t="str">
        <f t="shared" si="115"/>
        <v/>
      </c>
      <c r="U231" s="284" t="str">
        <f t="shared" si="115"/>
        <v/>
      </c>
      <c r="V231" s="284" t="str">
        <f t="shared" si="115"/>
        <v/>
      </c>
      <c r="W231" s="284" t="str">
        <f t="shared" si="115"/>
        <v/>
      </c>
      <c r="X231" s="284" t="str">
        <f t="shared" si="115"/>
        <v/>
      </c>
      <c r="Y231" s="284" t="str">
        <f t="shared" si="115"/>
        <v/>
      </c>
      <c r="Z231" s="284" t="str">
        <f t="shared" si="115"/>
        <v/>
      </c>
    </row>
    <row r="232" spans="1:26">
      <c r="A232" s="40" t="s">
        <v>178</v>
      </c>
      <c r="B232" s="41"/>
      <c r="C232" s="284" t="s">
        <v>161</v>
      </c>
      <c r="D232" s="307" t="str">
        <f t="shared" ref="D232:Z232" si="116">IF(D45="2PH",D68/D230/3600/(PI()*D63^2/4)," ")</f>
        <v xml:space="preserve"> </v>
      </c>
      <c r="E232" s="307" t="str">
        <f t="shared" si="116"/>
        <v xml:space="preserve"> </v>
      </c>
      <c r="F232" s="307" t="str">
        <f t="shared" si="116"/>
        <v xml:space="preserve"> </v>
      </c>
      <c r="G232" s="307" t="str">
        <f t="shared" si="116"/>
        <v xml:space="preserve"> </v>
      </c>
      <c r="H232" s="307" t="str">
        <f t="shared" si="116"/>
        <v xml:space="preserve"> </v>
      </c>
      <c r="I232" s="307" t="str">
        <f t="shared" si="116"/>
        <v xml:space="preserve"> </v>
      </c>
      <c r="J232" s="307" t="str">
        <f t="shared" si="116"/>
        <v xml:space="preserve"> </v>
      </c>
      <c r="K232" s="307" t="str">
        <f t="shared" si="116"/>
        <v xml:space="preserve"> </v>
      </c>
      <c r="L232" s="307" t="str">
        <f t="shared" si="116"/>
        <v xml:space="preserve"> </v>
      </c>
      <c r="M232" s="307" t="str">
        <f t="shared" si="116"/>
        <v xml:space="preserve"> </v>
      </c>
      <c r="N232" s="307" t="str">
        <f t="shared" si="116"/>
        <v xml:space="preserve"> </v>
      </c>
      <c r="O232" s="307" t="str">
        <f t="shared" si="116"/>
        <v xml:space="preserve"> </v>
      </c>
      <c r="P232" s="307" t="str">
        <f t="shared" si="116"/>
        <v xml:space="preserve"> </v>
      </c>
      <c r="Q232" s="307" t="str">
        <f t="shared" si="116"/>
        <v xml:space="preserve"> </v>
      </c>
      <c r="R232" s="307" t="str">
        <f t="shared" si="116"/>
        <v xml:space="preserve"> </v>
      </c>
      <c r="S232" s="307" t="str">
        <f t="shared" si="116"/>
        <v xml:space="preserve"> </v>
      </c>
      <c r="T232" s="307" t="str">
        <f t="shared" si="116"/>
        <v xml:space="preserve"> </v>
      </c>
      <c r="U232" s="307" t="str">
        <f t="shared" si="116"/>
        <v xml:space="preserve"> </v>
      </c>
      <c r="V232" s="307" t="str">
        <f t="shared" si="116"/>
        <v xml:space="preserve"> </v>
      </c>
      <c r="W232" s="307" t="str">
        <f t="shared" si="116"/>
        <v xml:space="preserve"> </v>
      </c>
      <c r="X232" s="307" t="str">
        <f t="shared" si="116"/>
        <v xml:space="preserve"> </v>
      </c>
      <c r="Y232" s="307" t="str">
        <f t="shared" si="116"/>
        <v xml:space="preserve"> </v>
      </c>
      <c r="Z232" s="307" t="str">
        <f t="shared" si="116"/>
        <v xml:space="preserve"> </v>
      </c>
    </row>
    <row r="233" spans="1:26">
      <c r="A233" s="40" t="s">
        <v>179</v>
      </c>
      <c r="B233" s="41"/>
      <c r="C233" s="134" t="s">
        <v>151</v>
      </c>
      <c r="D233" s="284" t="str">
        <f>IF(D45="2PH",IF(D46="DuklerII",N_re_tp(D206,D227,D52,D214,D53,D60,D63),Reynold($A$42,D63,D232,D230,D231,D55,D54))," ")</f>
        <v xml:space="preserve"> </v>
      </c>
      <c r="E233" s="284" t="str">
        <f>IF(E45="2PH",IF(E46="DuklerII",N_re_tp(E206,E227,E52,E214,E53,E60,E63),Reynold($A$42,E63,E232,E230,E231,E55,E54))," ")</f>
        <v xml:space="preserve"> </v>
      </c>
      <c r="F233" s="284" t="str">
        <f>IF(F45="2PH",IF(F46="DuklerII",N_re_tp(F206,F227,F52,F214,F53,F60,F63),Reynold($A$42,F63,F232,F230,F231,F55,F54))," ")</f>
        <v xml:space="preserve"> </v>
      </c>
      <c r="G233" s="284" t="str">
        <f>IF(G45="2PH",IF(G46="DuklerII",N_re_tp(G206,G227,G52,G214,G53,G60,G63),Reynold($A$42,G63,G232,G230,G231,G55,G54))," ")</f>
        <v xml:space="preserve"> </v>
      </c>
      <c r="H233" s="284" t="str">
        <f>IF(H45="2PH",IF(H46="DuklerII",N_re_tp(H206,H227,H52,H214,H53,H60,H63),Reynold($A$42,H63,H232,H230,H231,H55,H54))," ")</f>
        <v xml:space="preserve"> </v>
      </c>
      <c r="I233" s="284" t="str">
        <f>IF(I45="2PH",IF(I46="DuklerII",N_re_tp(I206,I227,I52,I214,I53,I60,I63),Reynold($A$42,I63,I232,I230,I231,I55,I54))," ")</f>
        <v xml:space="preserve"> </v>
      </c>
      <c r="J233" s="284" t="str">
        <f>IF(J45="2PH",IF(J46="DuklerII",N_re_tp(J206,J227,J52,J214,J53,J60,J63),Reynold($A$42,J63,J232,J230,J231,J55,J54))," ")</f>
        <v xml:space="preserve"> </v>
      </c>
      <c r="K233" s="284" t="str">
        <f>IF(K45="2PH",IF(K46="DuklerII",N_re_tp(K206,K227,K52,K214,K53,K60,K63),Reynold($A$42,K63,K232,K230,K231,K55,K54))," ")</f>
        <v xml:space="preserve"> </v>
      </c>
      <c r="L233" s="284" t="str">
        <f>IF(L45="2PH",IF(L46="DuklerII",N_re_tp(L206,L227,L52,L214,L53,L60,L63),Reynold($A$42,L63,L232,L230,L231,L55,L54))," ")</f>
        <v xml:space="preserve"> </v>
      </c>
      <c r="M233" s="284" t="str">
        <f>IF(M45="2PH",IF(M46="DuklerII",N_re_tp(M206,M227,M52,M214,M53,M60,M63),Reynold($A$42,M63,M232,M230,M231,M55,M54))," ")</f>
        <v xml:space="preserve"> </v>
      </c>
      <c r="N233" s="284" t="str">
        <f>IF(N45="2PH",IF(N46="DuklerII",N_re_tp(N206,N227,N52,N214,N53,N60,N63),Reynold($A$42,N63,N232,N230,N231,N55,N54))," ")</f>
        <v xml:space="preserve"> </v>
      </c>
      <c r="O233" s="284" t="str">
        <f>IF(O45="2PH",IF(O46="DuklerII",N_re_tp(O206,O227,O52,O214,O53,O60,O63),Reynold($A$42,O63,O232,O230,O231,O55,O54))," ")</f>
        <v xml:space="preserve"> </v>
      </c>
      <c r="P233" s="284" t="str">
        <f>IF(P45="2PH",IF(P46="DuklerII",N_re_tp(P206,P227,P52,P214,P53,P60,P63),Reynold($A$42,P63,P232,P230,P231,P55,P54))," ")</f>
        <v xml:space="preserve"> </v>
      </c>
      <c r="Q233" s="284" t="str">
        <f>IF(Q45="2PH",IF(Q46="DuklerII",N_re_tp(Q206,Q227,Q52,Q214,Q53,Q60,Q63),Reynold($A$42,Q63,Q232,Q230,Q231,Q55,Q54))," ")</f>
        <v xml:space="preserve"> </v>
      </c>
      <c r="R233" s="284" t="str">
        <f>IF(R45="2PH",IF(R46="DuklerII",N_re_tp(R206,R227,R52,R214,R53,R60,R63),Reynold($A$42,R63,R232,R230,R231,R55,R54))," ")</f>
        <v xml:space="preserve"> </v>
      </c>
      <c r="S233" s="284" t="str">
        <f>IF(S45="2PH",IF(S46="DuklerII",N_re_tp(S206,S227,S52,S214,S53,S60,S63),Reynold($A$42,S63,S232,S230,S231,S55,S54))," ")</f>
        <v xml:space="preserve"> </v>
      </c>
      <c r="T233" s="284" t="str">
        <f>IF(T45="2PH",IF(T46="DuklerII",N_re_tp(T206,T227,T52,T214,T53,T60,T63),Reynold($A$42,T63,T232,T230,T231,T55,T54))," ")</f>
        <v xml:space="preserve"> </v>
      </c>
      <c r="U233" s="284" t="str">
        <f>IF(U45="2PH",IF(U46="DuklerII",N_re_tp(U206,U227,U52,U214,U53,U60,U63),Reynold($A$42,U63,U232,U230,U231,U55,U54))," ")</f>
        <v xml:space="preserve"> </v>
      </c>
      <c r="V233" s="284" t="str">
        <f>IF(V45="2PH",IF(V46="DuklerII",N_re_tp(V206,V227,V52,V214,V53,V60,V63),Reynold($A$42,V63,V232,V230,V231,V55,V54))," ")</f>
        <v xml:space="preserve"> </v>
      </c>
      <c r="W233" s="284" t="str">
        <f>IF(W45="2PH",IF(W46="DuklerII",N_re_tp(W206,W227,W52,W214,W53,W60,W63),Reynold($A$42,W63,W232,W230,W231,W55,W54))," ")</f>
        <v xml:space="preserve"> </v>
      </c>
      <c r="X233" s="284" t="str">
        <f>IF(X45="2PH",IF(X46="DuklerII",N_re_tp(X206,X227,X52,X214,X53,X60,X63),Reynold($A$42,X63,X232,X230,X231,X55,X54))," ")</f>
        <v xml:space="preserve"> </v>
      </c>
      <c r="Y233" s="284" t="str">
        <f>IF(Y45="2PH",IF(Y46="DuklerII",N_re_tp(Y206,Y227,Y52,Y214,Y53,Y60,Y63),Reynold($A$42,Y63,Y232,Y230,Y231,Y55,Y54))," ")</f>
        <v xml:space="preserve"> </v>
      </c>
      <c r="Z233" s="284" t="str">
        <f>IF(Z45="2PH",IF(Z46="DuklerII",N_re_tp(Z206,Z227,Z52,Z214,Z53,Z60,Z63),Reynold($A$42,Z63,Z232,Z230,Z231,Z55,Z54))," ")</f>
        <v xml:space="preserve"> </v>
      </c>
    </row>
    <row r="234" spans="1:26">
      <c r="A234" s="40" t="s">
        <v>180</v>
      </c>
      <c r="B234" s="41"/>
      <c r="C234" s="308" t="s">
        <v>164</v>
      </c>
      <c r="D234" s="284" t="str">
        <f>IF(D45="2PH",TPHfr(D46,D210,D219,D228,D53,D60,D233,D232,D230,D52,D214,D206,D213,D67,D63,D72)," ")</f>
        <v xml:space="preserve"> </v>
      </c>
      <c r="E234" s="284" t="str">
        <f>IF(E45="2PH",TPHfr(E46,E210,E219,E228,E53,E60,E233,E232,E230,E52,E214,E206,E213,E67,E63,E72)," ")</f>
        <v xml:space="preserve"> </v>
      </c>
      <c r="F234" s="284" t="str">
        <f>IF(F45="2PH",TPHfr(F46,F210,F219,F228,F53,F60,F233,F232,F230,F52,F214,F206,F213,F67,F63,F72)," ")</f>
        <v xml:space="preserve"> </v>
      </c>
      <c r="G234" s="284" t="str">
        <f>IF(G45="2PH",TPHfr(G46,G210,G219,G228,G53,G60,G233,G232,G230,G52,G214,G206,G213,G67,G63,G72)," ")</f>
        <v xml:space="preserve"> </v>
      </c>
      <c r="H234" s="284" t="str">
        <f>IF(H45="2PH",TPHfr(H46,H210,H219,H228,H53,H60,H233,H232,H230,H52,H214,H206,H213,H67,H63,H72)," ")</f>
        <v xml:space="preserve"> </v>
      </c>
      <c r="I234" s="284" t="str">
        <f>IF(I45="2PH",TPHfr(I46,I210,I219,I228,I53,I60,I233,I232,I230,I52,I214,I206,I213,I67,I63,I72)," ")</f>
        <v xml:space="preserve"> </v>
      </c>
      <c r="J234" s="284" t="str">
        <f>IF(J45="2PH",TPHfr(J46,J210,J219,J228,J53,J60,J233,J232,J230,J52,J214,J206,J213,J67,J63,J72)," ")</f>
        <v xml:space="preserve"> </v>
      </c>
      <c r="K234" s="284" t="str">
        <f>IF(K45="2PH",TPHfr(K46,K210,K219,K228,K53,K60,K233,K232,K230,K52,K214,K206,K213,K67,K63,K72)," ")</f>
        <v xml:space="preserve"> </v>
      </c>
      <c r="L234" s="284" t="str">
        <f>IF(L45="2PH",TPHfr(L46,L210,L219,L228,L53,L60,L233,L232,L230,L52,L214,L206,L213,L67,L63,L72)," ")</f>
        <v xml:space="preserve"> </v>
      </c>
      <c r="M234" s="284" t="str">
        <f>IF(M45="2PH",TPHfr(M46,M210,M219,M228,M53,M60,M233,M232,M230,M52,M214,M206,M213,M67,M63,M72)," ")</f>
        <v xml:space="preserve"> </v>
      </c>
      <c r="N234" s="284" t="str">
        <f>IF(N45="2PH",TPHfr(N46,N210,N219,N228,N53,N60,N233,N232,N230,N52,N214,N206,N213,N67,N63,N72)," ")</f>
        <v xml:space="preserve"> </v>
      </c>
      <c r="O234" s="284" t="str">
        <f>IF(O45="2PH",TPHfr(O46,O210,O219,O228,O53,O60,O233,O232,O230,O52,O214,O206,O213,O67,O63,O72)," ")</f>
        <v xml:space="preserve"> </v>
      </c>
      <c r="P234" s="284" t="str">
        <f>IF(P45="2PH",TPHfr(P46,P210,P219,P228,P53,P60,P233,P232,P230,P52,P214,P206,P213,P67,P63,P72)," ")</f>
        <v xml:space="preserve"> </v>
      </c>
      <c r="Q234" s="284" t="str">
        <f>IF(Q45="2PH",TPHfr(Q46,Q210,Q219,Q228,Q53,Q60,Q233,Q232,Q230,Q52,Q214,Q206,Q213,Q67,Q63,Q72)," ")</f>
        <v xml:space="preserve"> </v>
      </c>
      <c r="R234" s="284" t="str">
        <f>IF(R45="2PH",TPHfr(R46,R210,R219,R228,R53,R60,R233,R232,R230,R52,R214,R206,R213,R67,R63,R72)," ")</f>
        <v xml:space="preserve"> </v>
      </c>
      <c r="S234" s="284" t="str">
        <f>IF(S45="2PH",TPHfr(S46,S210,S219,S228,S53,S60,S233,S232,S230,S52,S214,S206,S213,S67,S63,S72)," ")</f>
        <v xml:space="preserve"> </v>
      </c>
      <c r="T234" s="284" t="str">
        <f>IF(T45="2PH",TPHfr(T46,T210,T219,T228,T53,T60,T233,T232,T230,T52,T214,T206,T213,T67,T63,T72)," ")</f>
        <v xml:space="preserve"> </v>
      </c>
      <c r="U234" s="284" t="str">
        <f>IF(U45="2PH",TPHfr(U46,U210,U219,U228,U53,U60,U233,U232,U230,U52,U214,U206,U213,U67,U63,U72)," ")</f>
        <v xml:space="preserve"> </v>
      </c>
      <c r="V234" s="284" t="str">
        <f>IF(V45="2PH",TPHfr(V46,V210,V219,V228,V53,V60,V233,V232,V230,V52,V214,V206,V213,V67,V63,V72)," ")</f>
        <v xml:space="preserve"> </v>
      </c>
      <c r="W234" s="284" t="str">
        <f>IF(W45="2PH",TPHfr(W46,W210,W219,W228,W53,W60,W233,W232,W230,W52,W214,W206,W213,W67,W63,W72)," ")</f>
        <v xml:space="preserve"> </v>
      </c>
      <c r="X234" s="284" t="str">
        <f>IF(X45="2PH",TPHfr(X46,X210,X219,X228,X53,X60,X233,X232,X230,X52,X214,X206,X213,X67,X63,X72)," ")</f>
        <v xml:space="preserve"> </v>
      </c>
      <c r="Y234" s="284" t="str">
        <f>IF(Y45="2PH",TPHfr(Y46,Y210,Y219,Y228,Y53,Y60,Y233,Y232,Y230,Y52,Y214,Y206,Y213,Y67,Y63,Y72)," ")</f>
        <v xml:space="preserve"> </v>
      </c>
      <c r="Z234" s="284" t="str">
        <f>IF(Z45="2PH",TPHfr(Z46,Z210,Z219,Z228,Z53,Z60,Z233,Z232,Z230,Z52,Z214,Z206,Z213,Z67,Z63,Z72)," ")</f>
        <v xml:space="preserve"> </v>
      </c>
    </row>
    <row r="235" spans="1:26">
      <c r="A235" s="40" t="s">
        <v>181</v>
      </c>
      <c r="B235" s="41"/>
      <c r="C235" s="308" t="s">
        <v>164</v>
      </c>
      <c r="D235" s="320" t="str">
        <f>IF(D45="2PH",IF(D46="HTFS",D65*D229/1000/10,IF(D46="Homo",(D65*D230/1000)/10,(D65*D229/1000)/10))," ")</f>
        <v xml:space="preserve"> </v>
      </c>
      <c r="E235" s="320" t="str">
        <f t="shared" ref="E235:Z235" si="117">IF(E45="2PH",IF(E46="HTFS",E65*E229/1000/10,IF(E46="Homo",(E65*E230/1000)/10,(E65*E229/1000)/10))," ")</f>
        <v xml:space="preserve"> </v>
      </c>
      <c r="F235" s="320" t="str">
        <f t="shared" si="117"/>
        <v xml:space="preserve"> </v>
      </c>
      <c r="G235" s="320" t="str">
        <f t="shared" si="117"/>
        <v xml:space="preserve"> </v>
      </c>
      <c r="H235" s="320" t="str">
        <f t="shared" si="117"/>
        <v xml:space="preserve"> </v>
      </c>
      <c r="I235" s="320" t="str">
        <f t="shared" si="117"/>
        <v xml:space="preserve"> </v>
      </c>
      <c r="J235" s="320" t="str">
        <f t="shared" si="117"/>
        <v xml:space="preserve"> </v>
      </c>
      <c r="K235" s="320" t="str">
        <f t="shared" si="117"/>
        <v xml:space="preserve"> </v>
      </c>
      <c r="L235" s="320" t="str">
        <f t="shared" si="117"/>
        <v xml:space="preserve"> </v>
      </c>
      <c r="M235" s="320" t="str">
        <f t="shared" si="117"/>
        <v xml:space="preserve"> </v>
      </c>
      <c r="N235" s="320" t="str">
        <f t="shared" si="117"/>
        <v xml:space="preserve"> </v>
      </c>
      <c r="O235" s="320" t="str">
        <f t="shared" si="117"/>
        <v xml:space="preserve"> </v>
      </c>
      <c r="P235" s="320" t="str">
        <f t="shared" si="117"/>
        <v xml:space="preserve"> </v>
      </c>
      <c r="Q235" s="320" t="str">
        <f t="shared" si="117"/>
        <v xml:space="preserve"> </v>
      </c>
      <c r="R235" s="320" t="str">
        <f t="shared" si="117"/>
        <v xml:space="preserve"> </v>
      </c>
      <c r="S235" s="320" t="str">
        <f t="shared" si="117"/>
        <v xml:space="preserve"> </v>
      </c>
      <c r="T235" s="320" t="str">
        <f t="shared" si="117"/>
        <v xml:space="preserve"> </v>
      </c>
      <c r="U235" s="320" t="str">
        <f t="shared" si="117"/>
        <v xml:space="preserve"> </v>
      </c>
      <c r="V235" s="320" t="str">
        <f t="shared" si="117"/>
        <v xml:space="preserve"> </v>
      </c>
      <c r="W235" s="320" t="str">
        <f t="shared" si="117"/>
        <v xml:space="preserve"> </v>
      </c>
      <c r="X235" s="320" t="str">
        <f t="shared" si="117"/>
        <v xml:space="preserve"> </v>
      </c>
      <c r="Y235" s="320" t="str">
        <f t="shared" si="117"/>
        <v xml:space="preserve"> </v>
      </c>
      <c r="Z235" s="320" t="str">
        <f t="shared" si="117"/>
        <v xml:space="preserve"> </v>
      </c>
    </row>
    <row r="236" spans="1:26">
      <c r="A236" s="40" t="s">
        <v>182</v>
      </c>
      <c r="B236" s="41"/>
      <c r="C236" s="308" t="s">
        <v>164</v>
      </c>
      <c r="D236" s="284" t="str">
        <f>IF(AND(D45="2PH",D46="HTFS"),dp_acc(D52,D207,D214,D216,D63,D234,D235,D70,D213)," ")</f>
        <v xml:space="preserve"> </v>
      </c>
      <c r="E236" s="284" t="str">
        <f>IF(AND(E45="2PH",E46="HTFS"),dp_acc(E52,E207,E214,E216,E63,E234,E235,E70,E213)," ")</f>
        <v xml:space="preserve"> </v>
      </c>
      <c r="F236" s="284" t="str">
        <f>IF(AND(F45="2PH",F46="HTFS"),dp_acc(F52,F207,F214,F216,F63,F234,F235,F70,F213)," ")</f>
        <v xml:space="preserve"> </v>
      </c>
      <c r="G236" s="284" t="str">
        <f>IF(AND(G45="2PH",G46="HTFS"),dp_acc(G52,G207,G214,G216,G63,G234,G235,G70,G213)," ")</f>
        <v xml:space="preserve"> </v>
      </c>
      <c r="H236" s="284" t="str">
        <f>IF(AND(H45="2PH",H46="HTFS"),dp_acc(H52,H207,H214,H216,H63,H234,H235,H70,H213)," ")</f>
        <v xml:space="preserve"> </v>
      </c>
      <c r="I236" s="284" t="str">
        <f>IF(AND(I45="2PH",I46="HTFS"),dp_acc(I52,I207,I214,I216,I63,I234,I235,I70,I213)," ")</f>
        <v xml:space="preserve"> </v>
      </c>
      <c r="J236" s="284" t="str">
        <f>IF(AND(J45="2PH",J46="HTFS"),dp_acc(J52,J207,J214,J216,J63,J234,J235,J70,J213)," ")</f>
        <v xml:space="preserve"> </v>
      </c>
      <c r="K236" s="284" t="str">
        <f>IF(AND(K45="2PH",K46="HTFS"),dp_acc(K52,K207,K214,K216,K63,K234,K235,K70,K213)," ")</f>
        <v xml:space="preserve"> </v>
      </c>
      <c r="L236" s="284" t="str">
        <f>IF(AND(L45="2PH",L46="HTFS"),dp_acc(L52,L207,L214,L216,L63,L234,L235,L70,L213)," ")</f>
        <v xml:space="preserve"> </v>
      </c>
      <c r="M236" s="284" t="str">
        <f>IF(AND(M45="2PH",M46="HTFS"),dp_acc(M52,M207,M214,M216,M63,M234,M235,M70,M213)," ")</f>
        <v xml:space="preserve"> </v>
      </c>
      <c r="N236" s="284" t="str">
        <f>IF(AND(N45="2PH",N46="HTFS"),dp_acc(N52,N207,N214,N216,N63,N234,N235,N70,N213)," ")</f>
        <v xml:space="preserve"> </v>
      </c>
      <c r="O236" s="284" t="str">
        <f>IF(AND(O45="2PH",O46="HTFS"),dp_acc(O52,O207,O214,O216,O63,O234,O235,O70,O213)," ")</f>
        <v xml:space="preserve"> </v>
      </c>
      <c r="P236" s="284" t="str">
        <f>IF(AND(P45="2PH",P46="HTFS"),dp_acc(P52,P207,P214,P216,P63,P234,P235,P70,P213)," ")</f>
        <v xml:space="preserve"> </v>
      </c>
      <c r="Q236" s="284" t="str">
        <f>IF(AND(Q45="2PH",Q46="HTFS"),dp_acc(Q52,Q207,Q214,Q216,Q63,Q234,Q235,Q70,Q213)," ")</f>
        <v xml:space="preserve"> </v>
      </c>
      <c r="R236" s="284" t="str">
        <f>IF(AND(R45="2PH",R46="HTFS"),dp_acc(R52,R207,R214,R216,R63,R234,R235,R70,R213)," ")</f>
        <v xml:space="preserve"> </v>
      </c>
      <c r="S236" s="284" t="str">
        <f>IF(AND(S45="2PH",S46="HTFS"),dp_acc(S52,S207,S214,S216,S63,S234,S235,S70,S213)," ")</f>
        <v xml:space="preserve"> </v>
      </c>
      <c r="T236" s="284" t="str">
        <f>IF(AND(T45="2PH",T46="HTFS"),dp_acc(T52,T207,T214,T216,T63,T234,T235,T70,T213)," ")</f>
        <v xml:space="preserve"> </v>
      </c>
      <c r="U236" s="284" t="str">
        <f>IF(AND(U45="2PH",U46="HTFS"),dp_acc(U52,U207,U214,U216,U63,U234,U235,U70,U213)," ")</f>
        <v xml:space="preserve"> </v>
      </c>
      <c r="V236" s="284" t="str">
        <f>IF(AND(V45="2PH",V46="HTFS"),dp_acc(V52,V207,V214,V216,V63,V234,V235,V70,V213)," ")</f>
        <v xml:space="preserve"> </v>
      </c>
      <c r="W236" s="284" t="str">
        <f>IF(AND(W45="2PH",W46="HTFS"),dp_acc(W52,W207,W214,W216,W63,W234,W235,W70,W213)," ")</f>
        <v xml:space="preserve"> </v>
      </c>
      <c r="X236" s="284" t="str">
        <f>IF(AND(X45="2PH",X46="HTFS"),dp_acc(X52,X207,X214,X216,X63,X234,X235,X70,X213)," ")</f>
        <v xml:space="preserve"> </v>
      </c>
      <c r="Y236" s="284" t="str">
        <f>IF(AND(Y45="2PH",Y46="HTFS"),dp_acc(Y52,Y207,Y214,Y216,Y63,Y234,Y235,Y70,Y213)," ")</f>
        <v xml:space="preserve"> </v>
      </c>
      <c r="Z236" s="284" t="str">
        <f>IF(AND(Z45="2PH",Z46="HTFS"),dp_acc(Z52,Z207,Z214,Z216,Z63,Z234,Z235,Z70,Z213)," ")</f>
        <v xml:space="preserve"> </v>
      </c>
    </row>
    <row r="237" spans="1:26" ht="13.5" thickBot="1">
      <c r="A237" s="321" t="s">
        <v>183</v>
      </c>
      <c r="B237" s="117"/>
      <c r="C237" s="312" t="s">
        <v>151</v>
      </c>
      <c r="D237" s="322" t="str">
        <f>IF(AND(D45="2PH",D46="HTFS"),MachNo(D52,D207,D214,D216,D70)," ")</f>
        <v xml:space="preserve"> </v>
      </c>
      <c r="E237" s="322" t="str">
        <f>IF(AND(E45="2PH",E46="HTFS"),MachNo(E52,E207,E214,E216,E70)," ")</f>
        <v xml:space="preserve"> </v>
      </c>
      <c r="F237" s="322" t="str">
        <f>IF(AND(F45="2PH",F46="HTFS"),MachNo(F52,F207,F214,F216,F70)," ")</f>
        <v xml:space="preserve"> </v>
      </c>
      <c r="G237" s="322" t="str">
        <f>IF(AND(G45="2PH",G46="HTFS"),MachNo(G52,G207,G214,G216,G70)," ")</f>
        <v xml:space="preserve"> </v>
      </c>
      <c r="H237" s="322" t="str">
        <f>IF(AND(H45="2PH",H46="HTFS"),MachNo(H52,H207,H214,H216,H70)," ")</f>
        <v xml:space="preserve"> </v>
      </c>
      <c r="I237" s="322" t="str">
        <f>IF(AND(I45="2PH",I46="HTFS"),MachNo(I52,I207,I214,I216,I70)," ")</f>
        <v xml:space="preserve"> </v>
      </c>
      <c r="J237" s="322" t="str">
        <f>IF(AND(J45="2PH",J46="HTFS"),MachNo(J52,J207,J214,J216,J70)," ")</f>
        <v xml:space="preserve"> </v>
      </c>
      <c r="K237" s="322" t="str">
        <f>IF(AND(K45="2PH",K46="HTFS"),MachNo(K52,K207,K214,K216,K70)," ")</f>
        <v xml:space="preserve"> </v>
      </c>
      <c r="L237" s="322" t="str">
        <f>IF(AND(L45="2PH",L46="HTFS"),MachNo(L52,L207,L214,L216,L70)," ")</f>
        <v xml:space="preserve"> </v>
      </c>
      <c r="M237" s="322" t="str">
        <f>IF(AND(M45="2PH",M46="HTFS"),MachNo(M52,M207,M214,M216,M70)," ")</f>
        <v xml:space="preserve"> </v>
      </c>
      <c r="N237" s="322" t="str">
        <f>IF(AND(N45="2PH",N46="HTFS"),MachNo(N52,N207,N214,N216,N70)," ")</f>
        <v xml:space="preserve"> </v>
      </c>
      <c r="O237" s="322" t="str">
        <f>IF(AND(O45="2PH",O46="HTFS"),MachNo(O52,O207,O214,O216,O70)," ")</f>
        <v xml:space="preserve"> </v>
      </c>
      <c r="P237" s="322" t="str">
        <f>IF(AND(P45="2PH",P46="HTFS"),MachNo(P52,P207,P214,P216,P70)," ")</f>
        <v xml:space="preserve"> </v>
      </c>
      <c r="Q237" s="322" t="str">
        <f>IF(AND(Q45="2PH",Q46="HTFS"),MachNo(Q52,Q207,Q214,Q216,Q70)," ")</f>
        <v xml:space="preserve"> </v>
      </c>
      <c r="R237" s="322" t="str">
        <f>IF(AND(R45="2PH",R46="HTFS"),MachNo(R52,R207,R214,R216,R70)," ")</f>
        <v xml:space="preserve"> </v>
      </c>
      <c r="S237" s="322" t="str">
        <f>IF(AND(S45="2PH",S46="HTFS"),MachNo(S52,S207,S214,S216,S70)," ")</f>
        <v xml:space="preserve"> </v>
      </c>
      <c r="T237" s="322" t="str">
        <f>IF(AND(T45="2PH",T46="HTFS"),MachNo(T52,T207,T214,T216,T70)," ")</f>
        <v xml:space="preserve"> </v>
      </c>
      <c r="U237" s="322" t="str">
        <f>IF(AND(U45="2PH",U46="HTFS"),MachNo(U52,U207,U214,U216,U70)," ")</f>
        <v xml:space="preserve"> </v>
      </c>
      <c r="V237" s="322" t="str">
        <f>IF(AND(V45="2PH",V46="HTFS"),MachNo(V52,V207,V214,V216,V70)," ")</f>
        <v xml:space="preserve"> </v>
      </c>
      <c r="W237" s="322" t="str">
        <f>IF(AND(W45="2PH",W46="HTFS"),MachNo(W52,W207,W214,W216,W70)," ")</f>
        <v xml:space="preserve"> </v>
      </c>
      <c r="X237" s="322" t="str">
        <f>IF(AND(X45="2PH",X46="HTFS"),MachNo(X52,X207,X214,X216,X70)," ")</f>
        <v xml:space="preserve"> </v>
      </c>
      <c r="Y237" s="322" t="str">
        <f>IF(AND(Y45="2PH",Y46="HTFS"),MachNo(Y52,Y207,Y214,Y216,Y70)," ")</f>
        <v xml:space="preserve"> </v>
      </c>
      <c r="Z237" s="322" t="str">
        <f>IF(AND(Z45="2PH",Z46="HTFS"),MachNo(Z52,Z207,Z214,Z216,Z70)," ")</f>
        <v xml:space="preserve"> </v>
      </c>
    </row>
    <row r="239" spans="1:26" ht="13.5" thickBot="1">
      <c r="A239" s="37" t="s">
        <v>184</v>
      </c>
    </row>
    <row r="240" spans="1:26">
      <c r="A240" s="323" t="s">
        <v>185</v>
      </c>
      <c r="B240" s="324"/>
      <c r="C240" s="325" t="s">
        <v>186</v>
      </c>
      <c r="D240" s="283" t="str">
        <f t="shared" ref="D240:Z240" si="118">IF(D45="2PH",IF(D208&gt;=1800,D207*(D53*0.001/(D63^5*9.806^4*D52))^(1/7)*(D214/(D52-D214))^(4/7),D216*D53*0.001/(D63^2*9.806*(D52-D214)))," ")</f>
        <v xml:space="preserve"> </v>
      </c>
      <c r="E240" s="283" t="str">
        <f t="shared" si="118"/>
        <v xml:space="preserve"> </v>
      </c>
      <c r="F240" s="283" t="str">
        <f t="shared" si="118"/>
        <v xml:space="preserve"> </v>
      </c>
      <c r="G240" s="283" t="str">
        <f t="shared" si="118"/>
        <v xml:space="preserve"> </v>
      </c>
      <c r="H240" s="283" t="str">
        <f t="shared" si="118"/>
        <v xml:space="preserve"> </v>
      </c>
      <c r="I240" s="283" t="str">
        <f t="shared" si="118"/>
        <v xml:space="preserve"> </v>
      </c>
      <c r="J240" s="283" t="str">
        <f t="shared" si="118"/>
        <v xml:space="preserve"> </v>
      </c>
      <c r="K240" s="283" t="str">
        <f t="shared" si="118"/>
        <v xml:space="preserve"> </v>
      </c>
      <c r="L240" s="283" t="str">
        <f t="shared" si="118"/>
        <v xml:space="preserve"> </v>
      </c>
      <c r="M240" s="283" t="str">
        <f t="shared" si="118"/>
        <v xml:space="preserve"> </v>
      </c>
      <c r="N240" s="283" t="str">
        <f t="shared" si="118"/>
        <v xml:space="preserve"> </v>
      </c>
      <c r="O240" s="283" t="str">
        <f t="shared" si="118"/>
        <v xml:space="preserve"> </v>
      </c>
      <c r="P240" s="283" t="str">
        <f t="shared" si="118"/>
        <v xml:space="preserve"> </v>
      </c>
      <c r="Q240" s="283" t="str">
        <f t="shared" si="118"/>
        <v xml:space="preserve"> </v>
      </c>
      <c r="R240" s="283" t="str">
        <f t="shared" si="118"/>
        <v xml:space="preserve"> </v>
      </c>
      <c r="S240" s="283" t="str">
        <f t="shared" si="118"/>
        <v xml:space="preserve"> </v>
      </c>
      <c r="T240" s="283" t="str">
        <f t="shared" si="118"/>
        <v xml:space="preserve"> </v>
      </c>
      <c r="U240" s="283" t="str">
        <f t="shared" si="118"/>
        <v xml:space="preserve"> </v>
      </c>
      <c r="V240" s="283" t="str">
        <f t="shared" si="118"/>
        <v xml:space="preserve"> </v>
      </c>
      <c r="W240" s="283" t="str">
        <f t="shared" si="118"/>
        <v xml:space="preserve"> </v>
      </c>
      <c r="X240" s="283" t="str">
        <f t="shared" si="118"/>
        <v xml:space="preserve"> </v>
      </c>
      <c r="Y240" s="283" t="str">
        <f t="shared" si="118"/>
        <v xml:space="preserve"> </v>
      </c>
      <c r="Z240" s="283" t="str">
        <f t="shared" si="118"/>
        <v xml:space="preserve"> </v>
      </c>
    </row>
    <row r="241" spans="1:26">
      <c r="A241" s="40"/>
      <c r="B241" s="41"/>
      <c r="C241" s="134" t="s">
        <v>187</v>
      </c>
      <c r="D241" s="284" t="str">
        <f>IF(D45="2PH",D216*SQRT(D214/(9.806*D63*(#REF!-D214)))," ")</f>
        <v xml:space="preserve"> </v>
      </c>
      <c r="E241" s="284" t="str">
        <f>IF(E45="2PH",E216*SQRT(E214/(9.806*E63*(#REF!-E214)))," ")</f>
        <v xml:space="preserve"> </v>
      </c>
      <c r="F241" s="284" t="str">
        <f>IF(F45="2PH",F216*SQRT(F214/(9.806*F63*(#REF!-F214)))," ")</f>
        <v xml:space="preserve"> </v>
      </c>
      <c r="G241" s="284" t="str">
        <f>IF(G45="2PH",G216*SQRT(G214/(9.806*G63*(#REF!-G214)))," ")</f>
        <v xml:space="preserve"> </v>
      </c>
      <c r="H241" s="284" t="str">
        <f>IF(H45="2PH",H216*SQRT(H214/(9.806*H63*(#REF!-H214)))," ")</f>
        <v xml:space="preserve"> </v>
      </c>
      <c r="I241" s="284" t="str">
        <f>IF(I45="2PH",I216*SQRT(I214/(9.806*I63*(#REF!-I214)))," ")</f>
        <v xml:space="preserve"> </v>
      </c>
      <c r="J241" s="284" t="str">
        <f>IF(J45="2PH",J216*SQRT(J214/(9.806*J63*(#REF!-J214)))," ")</f>
        <v xml:space="preserve"> </v>
      </c>
      <c r="K241" s="284" t="str">
        <f>IF(K45="2PH",K216*SQRT(K214/(9.806*K63*(#REF!-K214)))," ")</f>
        <v xml:space="preserve"> </v>
      </c>
      <c r="L241" s="284" t="str">
        <f>IF(L45="2PH",L216*SQRT(L214/(9.806*L63*(#REF!-L214)))," ")</f>
        <v xml:space="preserve"> </v>
      </c>
      <c r="M241" s="284" t="str">
        <f>IF(M45="2PH",M216*SQRT(M214/(9.806*M63*(#REF!-M214)))," ")</f>
        <v xml:space="preserve"> </v>
      </c>
      <c r="N241" s="284" t="str">
        <f>IF(N45="2PH",N216*SQRT(N214/(9.806*N63*(#REF!-N214)))," ")</f>
        <v xml:space="preserve"> </v>
      </c>
      <c r="O241" s="284" t="str">
        <f>IF(O45="2PH",O216*SQRT(O214/(9.806*O63*(#REF!-O214)))," ")</f>
        <v xml:space="preserve"> </v>
      </c>
      <c r="P241" s="284" t="str">
        <f>IF(P45="2PH",P216*SQRT(P214/(9.806*P63*(#REF!-P214)))," ")</f>
        <v xml:space="preserve"> </v>
      </c>
      <c r="Q241" s="284" t="str">
        <f>IF(Q45="2PH",Q216*SQRT(Q214/(9.806*Q63*(#REF!-Q214)))," ")</f>
        <v xml:space="preserve"> </v>
      </c>
      <c r="R241" s="284" t="str">
        <f>IF(R45="2PH",R216*SQRT(R214/(9.806*R63*(#REF!-R214)))," ")</f>
        <v xml:space="preserve"> </v>
      </c>
      <c r="S241" s="284" t="str">
        <f>IF(S45="2PH",S216*SQRT(S214/(9.806*S63*(#REF!-S214)))," ")</f>
        <v xml:space="preserve"> </v>
      </c>
      <c r="T241" s="284" t="str">
        <f>IF(T45="2PH",T216*SQRT(T214/(9.806*T63*(#REF!-T214)))," ")</f>
        <v xml:space="preserve"> </v>
      </c>
      <c r="U241" s="284" t="str">
        <f>IF(U45="2PH",U216*SQRT(U214/(9.806*U63*(#REF!-U214)))," ")</f>
        <v xml:space="preserve"> </v>
      </c>
      <c r="V241" s="284" t="str">
        <f>IF(V45="2PH",V216*SQRT(V214/(9.806*V63*(#REF!-V214)))," ")</f>
        <v xml:space="preserve"> </v>
      </c>
      <c r="W241" s="284" t="str">
        <f>IF(W45="2PH",W216*SQRT(W214/(9.806*W63*(#REF!-W214)))," ")</f>
        <v xml:space="preserve"> </v>
      </c>
      <c r="X241" s="284" t="str">
        <f>IF(X45="2PH",X216*SQRT(X214/(9.806*X63*(#REF!-X214)))," ")</f>
        <v xml:space="preserve"> </v>
      </c>
      <c r="Y241" s="284" t="str">
        <f>IF(Y45="2PH",Y216*SQRT(Y214/(9.806*Y63*(#REF!-Y214)))," ")</f>
        <v xml:space="preserve"> </v>
      </c>
      <c r="Z241" s="284" t="str">
        <f>IF(Z45="2PH",Z216*SQRT(Z214/(9.806*Z63*(#REF!-Z214)))," ")</f>
        <v xml:space="preserve"> </v>
      </c>
    </row>
    <row r="242" spans="1:26">
      <c r="A242" s="40"/>
      <c r="B242" s="41"/>
      <c r="C242" s="134" t="s">
        <v>188</v>
      </c>
      <c r="D242" s="326" t="str">
        <f>IF(D45="2PH",Simpson(D240,D241,D208)," ")</f>
        <v xml:space="preserve"> </v>
      </c>
      <c r="E242" s="326" t="str">
        <f>IF(E45="2PH",Simpson(E240,E241,E208)," ")</f>
        <v xml:space="preserve"> </v>
      </c>
      <c r="F242" s="326" t="str">
        <f>IF(F45="2PH",Simpson(F240,F241,F208)," ")</f>
        <v xml:space="preserve"> </v>
      </c>
      <c r="G242" s="326" t="str">
        <f>IF(G45="2PH",Simpson(G240,G241,G208)," ")</f>
        <v xml:space="preserve"> </v>
      </c>
      <c r="H242" s="326" t="str">
        <f>IF(H45="2PH",Simpson(H240,H241,H208)," ")</f>
        <v xml:space="preserve"> </v>
      </c>
      <c r="I242" s="326" t="str">
        <f>IF(I45="2PH",Simpson(I240,I241,I208)," ")</f>
        <v xml:space="preserve"> </v>
      </c>
      <c r="J242" s="326" t="str">
        <f>IF(J45="2PH",Simpson(J240,J241,J208)," ")</f>
        <v xml:space="preserve"> </v>
      </c>
      <c r="K242" s="326" t="str">
        <f>IF(K45="2PH",Simpson(K240,K241,K208)," ")</f>
        <v xml:space="preserve"> </v>
      </c>
      <c r="L242" s="326" t="str">
        <f>IF(L45="2PH",Simpson(L240,L241,L208)," ")</f>
        <v xml:space="preserve"> </v>
      </c>
      <c r="M242" s="326" t="str">
        <f>IF(M45="2PH",Simpson(M240,M241,M208)," ")</f>
        <v xml:space="preserve"> </v>
      </c>
      <c r="N242" s="326" t="str">
        <f>IF(N45="2PH",Simpson(N240,N241,N208)," ")</f>
        <v xml:space="preserve"> </v>
      </c>
      <c r="O242" s="326" t="str">
        <f>IF(O45="2PH",Simpson(O240,O241,O208)," ")</f>
        <v xml:space="preserve"> </v>
      </c>
      <c r="P242" s="326" t="str">
        <f>IF(P45="2PH",Simpson(P240,P241,P208)," ")</f>
        <v xml:space="preserve"> </v>
      </c>
      <c r="Q242" s="326" t="str">
        <f>IF(Q45="2PH",Simpson(Q240,Q241,Q208)," ")</f>
        <v xml:space="preserve"> </v>
      </c>
      <c r="R242" s="326" t="str">
        <f>IF(R45="2PH",Simpson(R240,R241,R208)," ")</f>
        <v xml:space="preserve"> </v>
      </c>
      <c r="S242" s="326" t="str">
        <f>IF(S45="2PH",Simpson(S240,S241,S208)," ")</f>
        <v xml:space="preserve"> </v>
      </c>
      <c r="T242" s="326" t="str">
        <f>IF(T45="2PH",Simpson(T240,T241,T208)," ")</f>
        <v xml:space="preserve"> </v>
      </c>
      <c r="U242" s="326" t="str">
        <f>IF(U45="2PH",Simpson(U240,U241,U208)," ")</f>
        <v xml:space="preserve"> </v>
      </c>
      <c r="V242" s="326" t="str">
        <f>IF(V45="2PH",Simpson(V240,V241,V208)," ")</f>
        <v xml:space="preserve"> </v>
      </c>
      <c r="W242" s="326" t="str">
        <f>IF(W45="2PH",Simpson(W240,W241,W208)," ")</f>
        <v xml:space="preserve"> </v>
      </c>
      <c r="X242" s="326" t="str">
        <f>IF(X45="2PH",Simpson(X240,X241,X208)," ")</f>
        <v xml:space="preserve"> </v>
      </c>
      <c r="Y242" s="326" t="str">
        <f>IF(Y45="2PH",Simpson(Y240,Y241,Y208)," ")</f>
        <v xml:space="preserve"> </v>
      </c>
      <c r="Z242" s="326" t="str">
        <f>IF(Z45="2PH",Simpson(Z240,Z241,Z208)," ")</f>
        <v xml:space="preserve"> </v>
      </c>
    </row>
    <row r="243" spans="1:26">
      <c r="A243" s="327" t="s">
        <v>189</v>
      </c>
      <c r="B243" s="328"/>
      <c r="C243" s="329" t="s">
        <v>186</v>
      </c>
      <c r="D243" s="330" t="str">
        <f t="shared" ref="D243:Z243" si="119">IF(D45="2PH",(D216+D207)^2/(9.806*D63)," ")</f>
        <v xml:space="preserve"> </v>
      </c>
      <c r="E243" s="330" t="str">
        <f t="shared" si="119"/>
        <v xml:space="preserve"> </v>
      </c>
      <c r="F243" s="330" t="str">
        <f t="shared" si="119"/>
        <v xml:space="preserve"> </v>
      </c>
      <c r="G243" s="330" t="str">
        <f t="shared" si="119"/>
        <v xml:space="preserve"> </v>
      </c>
      <c r="H243" s="330" t="str">
        <f t="shared" si="119"/>
        <v xml:space="preserve"> </v>
      </c>
      <c r="I243" s="330" t="str">
        <f t="shared" si="119"/>
        <v xml:space="preserve"> </v>
      </c>
      <c r="J243" s="330" t="str">
        <f t="shared" si="119"/>
        <v xml:space="preserve"> </v>
      </c>
      <c r="K243" s="330" t="str">
        <f t="shared" si="119"/>
        <v xml:space="preserve"> </v>
      </c>
      <c r="L243" s="330" t="str">
        <f t="shared" si="119"/>
        <v xml:space="preserve"> </v>
      </c>
      <c r="M243" s="330" t="str">
        <f t="shared" si="119"/>
        <v xml:space="preserve"> </v>
      </c>
      <c r="N243" s="330" t="str">
        <f t="shared" si="119"/>
        <v xml:space="preserve"> </v>
      </c>
      <c r="O243" s="330" t="str">
        <f t="shared" si="119"/>
        <v xml:space="preserve"> </v>
      </c>
      <c r="P243" s="330" t="str">
        <f t="shared" si="119"/>
        <v xml:space="preserve"> </v>
      </c>
      <c r="Q243" s="330" t="str">
        <f t="shared" si="119"/>
        <v xml:space="preserve"> </v>
      </c>
      <c r="R243" s="330" t="str">
        <f t="shared" si="119"/>
        <v xml:space="preserve"> </v>
      </c>
      <c r="S243" s="330" t="str">
        <f t="shared" si="119"/>
        <v xml:space="preserve"> </v>
      </c>
      <c r="T243" s="330" t="str">
        <f t="shared" si="119"/>
        <v xml:space="preserve"> </v>
      </c>
      <c r="U243" s="330" t="str">
        <f t="shared" si="119"/>
        <v xml:space="preserve"> </v>
      </c>
      <c r="V243" s="330" t="str">
        <f t="shared" si="119"/>
        <v xml:space="preserve"> </v>
      </c>
      <c r="W243" s="330" t="str">
        <f t="shared" si="119"/>
        <v xml:space="preserve"> </v>
      </c>
      <c r="X243" s="330" t="str">
        <f t="shared" si="119"/>
        <v xml:space="preserve"> </v>
      </c>
      <c r="Y243" s="330" t="str">
        <f t="shared" si="119"/>
        <v xml:space="preserve"> </v>
      </c>
      <c r="Z243" s="330" t="str">
        <f t="shared" si="119"/>
        <v xml:space="preserve"> </v>
      </c>
    </row>
    <row r="244" spans="1:26">
      <c r="A244" s="40"/>
      <c r="B244" s="41"/>
      <c r="C244" s="134" t="s">
        <v>187</v>
      </c>
      <c r="D244" s="284" t="str">
        <f>IF(D45="2PH",D216/(D216+D207)," ")</f>
        <v xml:space="preserve"> </v>
      </c>
      <c r="E244" s="284" t="str">
        <f t="shared" ref="E244:Z244" si="120">IF(E45="2PH",E216/(E216+E207)," ")</f>
        <v xml:space="preserve"> </v>
      </c>
      <c r="F244" s="284" t="str">
        <f t="shared" si="120"/>
        <v xml:space="preserve"> </v>
      </c>
      <c r="G244" s="284" t="str">
        <f t="shared" si="120"/>
        <v xml:space="preserve"> </v>
      </c>
      <c r="H244" s="284" t="str">
        <f t="shared" si="120"/>
        <v xml:space="preserve"> </v>
      </c>
      <c r="I244" s="284" t="str">
        <f t="shared" si="120"/>
        <v xml:space="preserve"> </v>
      </c>
      <c r="J244" s="284" t="str">
        <f t="shared" si="120"/>
        <v xml:space="preserve"> </v>
      </c>
      <c r="K244" s="284" t="str">
        <f t="shared" si="120"/>
        <v xml:space="preserve"> </v>
      </c>
      <c r="L244" s="284" t="str">
        <f t="shared" si="120"/>
        <v xml:space="preserve"> </v>
      </c>
      <c r="M244" s="284" t="str">
        <f t="shared" si="120"/>
        <v xml:space="preserve"> </v>
      </c>
      <c r="N244" s="284" t="str">
        <f t="shared" si="120"/>
        <v xml:space="preserve"> </v>
      </c>
      <c r="O244" s="284" t="str">
        <f t="shared" si="120"/>
        <v xml:space="preserve"> </v>
      </c>
      <c r="P244" s="284" t="str">
        <f t="shared" si="120"/>
        <v xml:space="preserve"> </v>
      </c>
      <c r="Q244" s="284" t="str">
        <f t="shared" si="120"/>
        <v xml:space="preserve"> </v>
      </c>
      <c r="R244" s="284" t="str">
        <f t="shared" si="120"/>
        <v xml:space="preserve"> </v>
      </c>
      <c r="S244" s="284" t="str">
        <f t="shared" si="120"/>
        <v xml:space="preserve"> </v>
      </c>
      <c r="T244" s="284" t="str">
        <f t="shared" si="120"/>
        <v xml:space="preserve"> </v>
      </c>
      <c r="U244" s="284" t="str">
        <f t="shared" si="120"/>
        <v xml:space="preserve"> </v>
      </c>
      <c r="V244" s="284" t="str">
        <f t="shared" si="120"/>
        <v xml:space="preserve"> </v>
      </c>
      <c r="W244" s="284" t="str">
        <f t="shared" si="120"/>
        <v xml:space="preserve"> </v>
      </c>
      <c r="X244" s="284" t="str">
        <f t="shared" si="120"/>
        <v xml:space="preserve"> </v>
      </c>
      <c r="Y244" s="284" t="str">
        <f t="shared" si="120"/>
        <v xml:space="preserve"> </v>
      </c>
      <c r="Z244" s="284" t="str">
        <f t="shared" si="120"/>
        <v xml:space="preserve"> </v>
      </c>
    </row>
    <row r="245" spans="1:26">
      <c r="A245" s="40"/>
      <c r="B245" s="41"/>
      <c r="C245" s="134" t="s">
        <v>188</v>
      </c>
      <c r="D245" s="333" t="str">
        <f>IF(D45="2PH",Griffith(D243,D244)," ")</f>
        <v xml:space="preserve"> </v>
      </c>
      <c r="E245" s="333" t="str">
        <f>IF(E45="2PH",Griffith(E243,E244)," ")</f>
        <v xml:space="preserve"> </v>
      </c>
      <c r="F245" s="333" t="str">
        <f>IF(F45="2PH",Griffith(F243,F244)," ")</f>
        <v xml:space="preserve"> </v>
      </c>
      <c r="G245" s="333" t="str">
        <f>IF(G45="2PH",Griffith(G243,G244)," ")</f>
        <v xml:space="preserve"> </v>
      </c>
      <c r="H245" s="333" t="str">
        <f>IF(H45="2PH",Griffith(H243,H244)," ")</f>
        <v xml:space="preserve"> </v>
      </c>
      <c r="I245" s="333" t="str">
        <f>IF(I45="2PH",Griffith(I243,I244)," ")</f>
        <v xml:space="preserve"> </v>
      </c>
      <c r="J245" s="333" t="str">
        <f>IF(J45="2PH",Griffith(J243,J244)," ")</f>
        <v xml:space="preserve"> </v>
      </c>
      <c r="K245" s="333" t="str">
        <f>IF(K45="2PH",Griffith(K243,K244)," ")</f>
        <v xml:space="preserve"> </v>
      </c>
      <c r="L245" s="333" t="str">
        <f>IF(L45="2PH",Griffith(L243,L244)," ")</f>
        <v xml:space="preserve"> </v>
      </c>
      <c r="M245" s="333" t="str">
        <f>IF(M45="2PH",Griffith(M243,M244)," ")</f>
        <v xml:space="preserve"> </v>
      </c>
      <c r="N245" s="333" t="str">
        <f>IF(N45="2PH",Griffith(N243,N244)," ")</f>
        <v xml:space="preserve"> </v>
      </c>
      <c r="O245" s="333" t="str">
        <f>IF(O45="2PH",Griffith(O243,O244)," ")</f>
        <v xml:space="preserve"> </v>
      </c>
      <c r="P245" s="333" t="str">
        <f>IF(P45="2PH",Griffith(P243,P244)," ")</f>
        <v xml:space="preserve"> </v>
      </c>
      <c r="Q245" s="333" t="str">
        <f>IF(Q45="2PH",Griffith(Q243,Q244)," ")</f>
        <v xml:space="preserve"> </v>
      </c>
      <c r="R245" s="333" t="str">
        <f>IF(R45="2PH",Griffith(R243,R244)," ")</f>
        <v xml:space="preserve"> </v>
      </c>
      <c r="S245" s="333" t="str">
        <f>IF(S45="2PH",Griffith(S243,S244)," ")</f>
        <v xml:space="preserve"> </v>
      </c>
      <c r="T245" s="333" t="str">
        <f>IF(T45="2PH",Griffith(T243,T244)," ")</f>
        <v xml:space="preserve"> </v>
      </c>
      <c r="U245" s="333" t="str">
        <f>IF(U45="2PH",Griffith(U243,U244)," ")</f>
        <v xml:space="preserve"> </v>
      </c>
      <c r="V245" s="333" t="str">
        <f>IF(V45="2PH",Griffith(V243,V244)," ")</f>
        <v xml:space="preserve"> </v>
      </c>
      <c r="W245" s="333" t="str">
        <f>IF(W45="2PH",Griffith(W243,W244)," ")</f>
        <v xml:space="preserve"> </v>
      </c>
      <c r="X245" s="333" t="str">
        <f>IF(X45="2PH",Griffith(X243,X244)," ")</f>
        <v xml:space="preserve"> </v>
      </c>
      <c r="Y245" s="333" t="str">
        <f>IF(Y45="2PH",Griffith(Y243,Y244)," ")</f>
        <v xml:space="preserve"> </v>
      </c>
      <c r="Z245" s="333" t="str">
        <f>IF(Z45="2PH",Griffith(Z243,Z244)," ")</f>
        <v xml:space="preserve"> </v>
      </c>
    </row>
    <row r="246" spans="1:26">
      <c r="A246" s="327" t="s">
        <v>190</v>
      </c>
      <c r="B246" s="328"/>
      <c r="C246" s="329" t="s">
        <v>188</v>
      </c>
      <c r="D246" s="126" t="str">
        <f>IF(D45="2PH",DuklerV(D247,D248,D249,D250,D251,D252,D253),"")</f>
        <v/>
      </c>
      <c r="E246" s="126" t="str">
        <f>IF(E45="2PH",DuklerV(E247,E248,E249,E250,E251,E252,E253),"")</f>
        <v/>
      </c>
      <c r="F246" s="126" t="str">
        <f>IF(F45="2PH",DuklerV(F247,F248,F249,F250,F251,F252,F253),"")</f>
        <v/>
      </c>
      <c r="G246" s="126" t="str">
        <f>IF(G45="2PH",DuklerV(G247,G248,G249,G250,G251,G252,G253),"")</f>
        <v/>
      </c>
      <c r="H246" s="126" t="str">
        <f>IF(H45="2PH",DuklerV(H247,H248,H249,H250,H251,H252,H253),"")</f>
        <v/>
      </c>
      <c r="I246" s="126" t="str">
        <f>IF(I45="2PH",DuklerV(I247,I248,I249,I250,I251,I252,I253),"")</f>
        <v/>
      </c>
      <c r="J246" s="126" t="str">
        <f>IF(J45="2PH",DuklerV(J247,J248,J249,J250,J251,J252,J253),"")</f>
        <v/>
      </c>
      <c r="K246" s="126" t="str">
        <f>IF(K45="2PH",DuklerV(K247,K248,K249,K250,K251,K252,K253),"")</f>
        <v/>
      </c>
      <c r="L246" s="126" t="str">
        <f>IF(L45="2PH",DuklerV(L247,L248,L249,L250,L251,L252,L253),"")</f>
        <v/>
      </c>
      <c r="M246" s="126" t="str">
        <f>IF(M45="2PH",DuklerV(M247,M248,M249,M250,M251,M252,M253),"")</f>
        <v/>
      </c>
      <c r="N246" s="126" t="str">
        <f>IF(N45="2PH",DuklerV(N247,N248,N249,N250,N251,N252,N253),"")</f>
        <v/>
      </c>
      <c r="O246" s="126" t="str">
        <f>IF(O45="2PH",DuklerV(O247,O248,O249,O250,O251,O252,O253),"")</f>
        <v/>
      </c>
      <c r="P246" s="126" t="str">
        <f>IF(P45="2PH",DuklerV(P247,P248,P249,P250,P251,P252,P253),"")</f>
        <v/>
      </c>
      <c r="Q246" s="126" t="str">
        <f>IF(Q45="2PH",DuklerV(Q247,Q248,Q249,Q250,Q251,Q252,Q253),"")</f>
        <v/>
      </c>
      <c r="R246" s="126" t="str">
        <f>IF(R45="2PH",DuklerV(R247,R248,R249,R250,R251,R252,R253),"")</f>
        <v/>
      </c>
      <c r="S246" s="126" t="str">
        <f>IF(S45="2PH",DuklerV(S247,S248,S249,S250,S251,S252,S253),"")</f>
        <v/>
      </c>
      <c r="T246" s="126" t="str">
        <f>IF(T45="2PH",DuklerV(T247,T248,T249,T250,T251,T252,T253),"")</f>
        <v/>
      </c>
      <c r="U246" s="126" t="str">
        <f>IF(U45="2PH",DuklerV(U247,U248,U249,U250,U251,U252,U253),"")</f>
        <v/>
      </c>
      <c r="V246" s="126" t="str">
        <f>IF(V45="2PH",DuklerV(V247,V248,V249,V250,V251,V252,V253),"")</f>
        <v/>
      </c>
      <c r="W246" s="126" t="str">
        <f>IF(W45="2PH",DuklerV(W247,W248,W249,W250,W251,W252,W253),"")</f>
        <v/>
      </c>
      <c r="X246" s="126" t="str">
        <f>IF(X45="2PH",DuklerV(X247,X248,X249,X250,X251,X252,X253),"")</f>
        <v/>
      </c>
      <c r="Y246" s="126" t="str">
        <f>IF(Y45="2PH",DuklerV(Y247,Y248,Y249,Y250,Y251,Y252,Y253),"")</f>
        <v/>
      </c>
      <c r="Z246" s="126" t="str">
        <f>IF(Z45="2PH",DuklerV(Z247,Z248,Z249,Z250,Z251,Z252,Z253),"")</f>
        <v/>
      </c>
    </row>
    <row r="247" spans="1:26">
      <c r="A247" s="327" t="s">
        <v>191</v>
      </c>
      <c r="B247" s="328"/>
      <c r="C247" s="329" t="s">
        <v>192</v>
      </c>
      <c r="D247" s="330" t="str">
        <f>IF(D45="2PH",D216*SQRT(#REF!)/(9.806*(#REF!-D214)*(#REF!*0.001))^0.25,"")</f>
        <v/>
      </c>
      <c r="E247" s="330" t="str">
        <f>IF(E45="2PH",E216*SQRT(#REF!)/(9.806*(#REF!-E214)*(#REF!*0.001))^0.25,"")</f>
        <v/>
      </c>
      <c r="F247" s="330" t="str">
        <f>IF(F45="2PH",F216*SQRT(#REF!)/(9.806*(#REF!-F214)*(#REF!*0.001))^0.25,"")</f>
        <v/>
      </c>
      <c r="G247" s="330" t="str">
        <f>IF(G45="2PH",G216*SQRT(#REF!)/(9.806*(#REF!-G214)*(#REF!*0.001))^0.25,"")</f>
        <v/>
      </c>
      <c r="H247" s="330" t="str">
        <f>IF(H45="2PH",H216*SQRT(#REF!)/(9.806*(#REF!-H214)*(#REF!*0.001))^0.25,"")</f>
        <v/>
      </c>
      <c r="I247" s="330" t="str">
        <f>IF(I45="2PH",I216*SQRT(#REF!)/(9.806*(#REF!-I214)*(#REF!*0.001))^0.25,"")</f>
        <v/>
      </c>
      <c r="J247" s="330" t="str">
        <f>IF(J45="2PH",J216*SQRT(#REF!)/(9.806*(#REF!-J214)*(#REF!*0.001))^0.25,"")</f>
        <v/>
      </c>
      <c r="K247" s="330" t="str">
        <f>IF(K45="2PH",K216*SQRT(#REF!)/(9.806*(#REF!-K214)*(#REF!*0.001))^0.25,"")</f>
        <v/>
      </c>
      <c r="L247" s="330" t="str">
        <f>IF(L45="2PH",L216*SQRT(#REF!)/(9.806*(#REF!-L214)*(#REF!*0.001))^0.25,"")</f>
        <v/>
      </c>
      <c r="M247" s="330" t="str">
        <f>IF(M45="2PH",M216*SQRT(#REF!)/(9.806*(#REF!-M214)*(#REF!*0.001))^0.25,"")</f>
        <v/>
      </c>
      <c r="N247" s="330" t="str">
        <f>IF(N45="2PH",N216*SQRT(#REF!)/(9.806*(#REF!-N214)*(#REF!*0.001))^0.25,"")</f>
        <v/>
      </c>
      <c r="O247" s="330" t="str">
        <f>IF(O45="2PH",O216*SQRT(#REF!)/(9.806*(#REF!-O214)*(#REF!*0.001))^0.25,"")</f>
        <v/>
      </c>
      <c r="P247" s="330" t="str">
        <f>IF(P45="2PH",P216*SQRT(#REF!)/(9.806*(#REF!-P214)*(#REF!*0.001))^0.25,"")</f>
        <v/>
      </c>
      <c r="Q247" s="330" t="str">
        <f>IF(Q45="2PH",Q216*SQRT(#REF!)/(9.806*(#REF!-Q214)*(#REF!*0.001))^0.25,"")</f>
        <v/>
      </c>
      <c r="R247" s="330" t="str">
        <f>IF(R45="2PH",R216*SQRT(#REF!)/(9.806*(#REF!-R214)*(#REF!*0.001))^0.25,"")</f>
        <v/>
      </c>
      <c r="S247" s="330" t="str">
        <f>IF(S45="2PH",S216*SQRT(#REF!)/(9.806*(#REF!-S214)*(#REF!*0.001))^0.25,"")</f>
        <v/>
      </c>
      <c r="T247" s="330" t="str">
        <f>IF(T45="2PH",T216*SQRT(#REF!)/(9.806*(#REF!-T214)*(#REF!*0.001))^0.25,"")</f>
        <v/>
      </c>
      <c r="U247" s="330" t="str">
        <f>IF(U45="2PH",U216*SQRT(#REF!)/(9.806*(#REF!-U214)*(#REF!*0.001))^0.25,"")</f>
        <v/>
      </c>
      <c r="V247" s="330" t="str">
        <f>IF(V45="2PH",V216*SQRT(#REF!)/(9.806*(#REF!-V214)*(#REF!*0.001))^0.25,"")</f>
        <v/>
      </c>
      <c r="W247" s="330" t="str">
        <f>IF(W45="2PH",W216*SQRT(#REF!)/(9.806*(#REF!-W214)*(#REF!*0.001))^0.25,"")</f>
        <v/>
      </c>
      <c r="X247" s="330" t="str">
        <f>IF(X45="2PH",X216*SQRT(#REF!)/(9.806*(#REF!-X214)*(#REF!*0.001))^0.25,"")</f>
        <v/>
      </c>
      <c r="Y247" s="330" t="str">
        <f>IF(Y45="2PH",Y216*SQRT(#REF!)/(9.806*(#REF!-Y214)*(#REF!*0.001))^0.25,"")</f>
        <v/>
      </c>
      <c r="Z247" s="330" t="str">
        <f>IF(Z45="2PH",Z216*SQRT(#REF!)/(9.806*(#REF!-Z214)*(#REF!*0.001))^0.25,"")</f>
        <v/>
      </c>
    </row>
    <row r="248" spans="1:26">
      <c r="A248" s="298" t="s">
        <v>193</v>
      </c>
      <c r="B248" s="41"/>
      <c r="C248" s="134" t="s">
        <v>194</v>
      </c>
      <c r="D248" s="284" t="str">
        <f>IF(D$45="2PH",D207/D216,"")</f>
        <v/>
      </c>
      <c r="E248" s="284" t="str">
        <f t="shared" ref="E248:Z248" si="121">IF(E$45="2PH",E207/E216,"")</f>
        <v/>
      </c>
      <c r="F248" s="284" t="str">
        <f t="shared" si="121"/>
        <v/>
      </c>
      <c r="G248" s="284" t="str">
        <f t="shared" si="121"/>
        <v/>
      </c>
      <c r="H248" s="284" t="str">
        <f t="shared" si="121"/>
        <v/>
      </c>
      <c r="I248" s="284" t="str">
        <f t="shared" si="121"/>
        <v/>
      </c>
      <c r="J248" s="284" t="str">
        <f t="shared" si="121"/>
        <v/>
      </c>
      <c r="K248" s="284" t="str">
        <f t="shared" si="121"/>
        <v/>
      </c>
      <c r="L248" s="284" t="str">
        <f t="shared" si="121"/>
        <v/>
      </c>
      <c r="M248" s="284" t="str">
        <f t="shared" si="121"/>
        <v/>
      </c>
      <c r="N248" s="284" t="str">
        <f t="shared" si="121"/>
        <v/>
      </c>
      <c r="O248" s="284" t="str">
        <f t="shared" si="121"/>
        <v/>
      </c>
      <c r="P248" s="284" t="str">
        <f t="shared" si="121"/>
        <v/>
      </c>
      <c r="Q248" s="284" t="str">
        <f t="shared" si="121"/>
        <v/>
      </c>
      <c r="R248" s="284" t="str">
        <f t="shared" si="121"/>
        <v/>
      </c>
      <c r="S248" s="284" t="str">
        <f t="shared" si="121"/>
        <v/>
      </c>
      <c r="T248" s="284" t="str">
        <f t="shared" si="121"/>
        <v/>
      </c>
      <c r="U248" s="284" t="str">
        <f t="shared" si="121"/>
        <v/>
      </c>
      <c r="V248" s="284" t="str">
        <f t="shared" si="121"/>
        <v/>
      </c>
      <c r="W248" s="284" t="str">
        <f t="shared" si="121"/>
        <v/>
      </c>
      <c r="X248" s="284" t="str">
        <f t="shared" si="121"/>
        <v/>
      </c>
      <c r="Y248" s="284" t="str">
        <f t="shared" si="121"/>
        <v/>
      </c>
      <c r="Z248" s="284" t="str">
        <f t="shared" si="121"/>
        <v/>
      </c>
    </row>
    <row r="249" spans="1:26">
      <c r="A249" s="327" t="s">
        <v>195</v>
      </c>
      <c r="B249" s="328"/>
      <c r="C249" s="329" t="s">
        <v>192</v>
      </c>
      <c r="D249" s="330" t="str">
        <f t="shared" ref="D249:Z249" si="122">IF(D$45="2PH",(D216+D207)/SQRT(9.806*D63),"")</f>
        <v/>
      </c>
      <c r="E249" s="330" t="str">
        <f t="shared" si="122"/>
        <v/>
      </c>
      <c r="F249" s="330" t="str">
        <f t="shared" si="122"/>
        <v/>
      </c>
      <c r="G249" s="330" t="str">
        <f t="shared" si="122"/>
        <v/>
      </c>
      <c r="H249" s="330" t="str">
        <f t="shared" si="122"/>
        <v/>
      </c>
      <c r="I249" s="330" t="str">
        <f t="shared" si="122"/>
        <v/>
      </c>
      <c r="J249" s="330" t="str">
        <f t="shared" si="122"/>
        <v/>
      </c>
      <c r="K249" s="330" t="str">
        <f t="shared" si="122"/>
        <v/>
      </c>
      <c r="L249" s="330" t="str">
        <f t="shared" si="122"/>
        <v/>
      </c>
      <c r="M249" s="330" t="str">
        <f t="shared" si="122"/>
        <v/>
      </c>
      <c r="N249" s="330" t="str">
        <f t="shared" si="122"/>
        <v/>
      </c>
      <c r="O249" s="330" t="str">
        <f t="shared" si="122"/>
        <v/>
      </c>
      <c r="P249" s="330" t="str">
        <f t="shared" si="122"/>
        <v/>
      </c>
      <c r="Q249" s="330" t="str">
        <f t="shared" si="122"/>
        <v/>
      </c>
      <c r="R249" s="330" t="str">
        <f t="shared" si="122"/>
        <v/>
      </c>
      <c r="S249" s="330" t="str">
        <f t="shared" si="122"/>
        <v/>
      </c>
      <c r="T249" s="330" t="str">
        <f t="shared" si="122"/>
        <v/>
      </c>
      <c r="U249" s="330" t="str">
        <f t="shared" si="122"/>
        <v/>
      </c>
      <c r="V249" s="330" t="str">
        <f t="shared" si="122"/>
        <v/>
      </c>
      <c r="W249" s="330" t="str">
        <f t="shared" si="122"/>
        <v/>
      </c>
      <c r="X249" s="330" t="str">
        <f t="shared" si="122"/>
        <v/>
      </c>
      <c r="Y249" s="330" t="str">
        <f t="shared" si="122"/>
        <v/>
      </c>
      <c r="Z249" s="330" t="str">
        <f t="shared" si="122"/>
        <v/>
      </c>
    </row>
    <row r="250" spans="1:26">
      <c r="A250" s="40" t="s">
        <v>196</v>
      </c>
      <c r="B250" s="41"/>
      <c r="C250" s="134" t="s">
        <v>194</v>
      </c>
      <c r="D250" s="284" t="str">
        <f>IF(D$45="2PH",D216/(D216+D207),"")</f>
        <v/>
      </c>
      <c r="E250" s="284" t="str">
        <f t="shared" ref="E250:Z250" si="123">IF(E$45="2PH",E216/(E216+E207),"")</f>
        <v/>
      </c>
      <c r="F250" s="284" t="str">
        <f t="shared" si="123"/>
        <v/>
      </c>
      <c r="G250" s="284" t="str">
        <f t="shared" si="123"/>
        <v/>
      </c>
      <c r="H250" s="284" t="str">
        <f t="shared" si="123"/>
        <v/>
      </c>
      <c r="I250" s="284" t="str">
        <f t="shared" si="123"/>
        <v/>
      </c>
      <c r="J250" s="284" t="str">
        <f t="shared" si="123"/>
        <v/>
      </c>
      <c r="K250" s="284" t="str">
        <f t="shared" si="123"/>
        <v/>
      </c>
      <c r="L250" s="284" t="str">
        <f t="shared" si="123"/>
        <v/>
      </c>
      <c r="M250" s="284" t="str">
        <f t="shared" si="123"/>
        <v/>
      </c>
      <c r="N250" s="284" t="str">
        <f t="shared" si="123"/>
        <v/>
      </c>
      <c r="O250" s="284" t="str">
        <f t="shared" si="123"/>
        <v/>
      </c>
      <c r="P250" s="284" t="str">
        <f t="shared" si="123"/>
        <v/>
      </c>
      <c r="Q250" s="284" t="str">
        <f t="shared" si="123"/>
        <v/>
      </c>
      <c r="R250" s="284" t="str">
        <f t="shared" si="123"/>
        <v/>
      </c>
      <c r="S250" s="284" t="str">
        <f t="shared" si="123"/>
        <v/>
      </c>
      <c r="T250" s="284" t="str">
        <f t="shared" si="123"/>
        <v/>
      </c>
      <c r="U250" s="284" t="str">
        <f t="shared" si="123"/>
        <v/>
      </c>
      <c r="V250" s="284" t="str">
        <f t="shared" si="123"/>
        <v/>
      </c>
      <c r="W250" s="284" t="str">
        <f t="shared" si="123"/>
        <v/>
      </c>
      <c r="X250" s="284" t="str">
        <f t="shared" si="123"/>
        <v/>
      </c>
      <c r="Y250" s="284" t="str">
        <f t="shared" si="123"/>
        <v/>
      </c>
      <c r="Z250" s="284" t="str">
        <f t="shared" si="123"/>
        <v/>
      </c>
    </row>
    <row r="251" spans="1:26">
      <c r="A251" s="298"/>
      <c r="B251" s="299"/>
      <c r="C251" s="334" t="s">
        <v>197</v>
      </c>
      <c r="D251" s="284" t="str">
        <f t="shared" ref="D251:Z251" si="124">IF(D$45="2PH",D52*(D207+D216)*D63/(D53*0.001),"")</f>
        <v/>
      </c>
      <c r="E251" s="284" t="str">
        <f t="shared" si="124"/>
        <v/>
      </c>
      <c r="F251" s="284" t="str">
        <f t="shared" si="124"/>
        <v/>
      </c>
      <c r="G251" s="284" t="str">
        <f t="shared" si="124"/>
        <v/>
      </c>
      <c r="H251" s="284" t="str">
        <f t="shared" si="124"/>
        <v/>
      </c>
      <c r="I251" s="284" t="str">
        <f t="shared" si="124"/>
        <v/>
      </c>
      <c r="J251" s="284" t="str">
        <f t="shared" si="124"/>
        <v/>
      </c>
      <c r="K251" s="284" t="str">
        <f t="shared" si="124"/>
        <v/>
      </c>
      <c r="L251" s="284" t="str">
        <f t="shared" si="124"/>
        <v/>
      </c>
      <c r="M251" s="284" t="str">
        <f t="shared" si="124"/>
        <v/>
      </c>
      <c r="N251" s="284" t="str">
        <f t="shared" si="124"/>
        <v/>
      </c>
      <c r="O251" s="284" t="str">
        <f t="shared" si="124"/>
        <v/>
      </c>
      <c r="P251" s="284" t="str">
        <f t="shared" si="124"/>
        <v/>
      </c>
      <c r="Q251" s="284" t="str">
        <f t="shared" si="124"/>
        <v/>
      </c>
      <c r="R251" s="284" t="str">
        <f t="shared" si="124"/>
        <v/>
      </c>
      <c r="S251" s="284" t="str">
        <f t="shared" si="124"/>
        <v/>
      </c>
      <c r="T251" s="284" t="str">
        <f t="shared" si="124"/>
        <v/>
      </c>
      <c r="U251" s="284" t="str">
        <f t="shared" si="124"/>
        <v/>
      </c>
      <c r="V251" s="284" t="str">
        <f t="shared" si="124"/>
        <v/>
      </c>
      <c r="W251" s="284" t="str">
        <f t="shared" si="124"/>
        <v/>
      </c>
      <c r="X251" s="284" t="str">
        <f t="shared" si="124"/>
        <v/>
      </c>
      <c r="Y251" s="284" t="str">
        <f t="shared" si="124"/>
        <v/>
      </c>
      <c r="Z251" s="284" t="str">
        <f t="shared" si="124"/>
        <v/>
      </c>
    </row>
    <row r="252" spans="1:26">
      <c r="A252" s="327" t="s">
        <v>198</v>
      </c>
      <c r="B252" s="328"/>
      <c r="C252" s="329" t="s">
        <v>192</v>
      </c>
      <c r="D252" s="335" t="str">
        <f>IF(D$45="2PH",SQRT(D210/D219),"")</f>
        <v/>
      </c>
      <c r="E252" s="335" t="str">
        <f t="shared" ref="E252:Z252" si="125">IF(E$45="2PH",SQRT(E210/E219),"")</f>
        <v/>
      </c>
      <c r="F252" s="335" t="str">
        <f t="shared" si="125"/>
        <v/>
      </c>
      <c r="G252" s="335" t="str">
        <f t="shared" si="125"/>
        <v/>
      </c>
      <c r="H252" s="335" t="str">
        <f t="shared" si="125"/>
        <v/>
      </c>
      <c r="I252" s="335" t="str">
        <f t="shared" si="125"/>
        <v/>
      </c>
      <c r="J252" s="335" t="str">
        <f t="shared" si="125"/>
        <v/>
      </c>
      <c r="K252" s="335" t="str">
        <f t="shared" si="125"/>
        <v/>
      </c>
      <c r="L252" s="335" t="str">
        <f t="shared" si="125"/>
        <v/>
      </c>
      <c r="M252" s="335" t="str">
        <f t="shared" si="125"/>
        <v/>
      </c>
      <c r="N252" s="335" t="str">
        <f t="shared" si="125"/>
        <v/>
      </c>
      <c r="O252" s="335" t="str">
        <f t="shared" si="125"/>
        <v/>
      </c>
      <c r="P252" s="335" t="str">
        <f t="shared" si="125"/>
        <v/>
      </c>
      <c r="Q252" s="335" t="str">
        <f t="shared" si="125"/>
        <v/>
      </c>
      <c r="R252" s="335" t="str">
        <f t="shared" si="125"/>
        <v/>
      </c>
      <c r="S252" s="335" t="str">
        <f t="shared" si="125"/>
        <v/>
      </c>
      <c r="T252" s="335" t="str">
        <f t="shared" si="125"/>
        <v/>
      </c>
      <c r="U252" s="335" t="str">
        <f t="shared" si="125"/>
        <v/>
      </c>
      <c r="V252" s="335" t="str">
        <f t="shared" si="125"/>
        <v/>
      </c>
      <c r="W252" s="335" t="str">
        <f t="shared" si="125"/>
        <v/>
      </c>
      <c r="X252" s="335" t="str">
        <f t="shared" si="125"/>
        <v/>
      </c>
      <c r="Y252" s="335" t="str">
        <f t="shared" si="125"/>
        <v/>
      </c>
      <c r="Z252" s="335" t="str">
        <f t="shared" si="125"/>
        <v/>
      </c>
    </row>
    <row r="253" spans="1:26" ht="13.5" thickBot="1">
      <c r="A253" s="336" t="s">
        <v>199</v>
      </c>
      <c r="B253" s="117"/>
      <c r="C253" s="312" t="s">
        <v>194</v>
      </c>
      <c r="D253" s="313" t="str">
        <f>IF(D$45="2PH",D216*SQRT(D214)/(9.806*(D52-D214)*(D56*0.001))^0.25,"")</f>
        <v/>
      </c>
      <c r="E253" s="313" t="str">
        <f t="shared" ref="E253:Z253" si="126">IF(E$45="2PH",E216*SQRT(E214)/(9.806*(E52-E214)*(E56*0.001))^0.25,"")</f>
        <v/>
      </c>
      <c r="F253" s="313" t="str">
        <f t="shared" si="126"/>
        <v/>
      </c>
      <c r="G253" s="313" t="str">
        <f t="shared" si="126"/>
        <v/>
      </c>
      <c r="H253" s="313" t="str">
        <f t="shared" si="126"/>
        <v/>
      </c>
      <c r="I253" s="313" t="str">
        <f t="shared" si="126"/>
        <v/>
      </c>
      <c r="J253" s="313" t="str">
        <f t="shared" si="126"/>
        <v/>
      </c>
      <c r="K253" s="313" t="str">
        <f t="shared" si="126"/>
        <v/>
      </c>
      <c r="L253" s="313" t="str">
        <f t="shared" si="126"/>
        <v/>
      </c>
      <c r="M253" s="313" t="str">
        <f t="shared" si="126"/>
        <v/>
      </c>
      <c r="N253" s="313" t="str">
        <f t="shared" si="126"/>
        <v/>
      </c>
      <c r="O253" s="313" t="str">
        <f t="shared" si="126"/>
        <v/>
      </c>
      <c r="P253" s="313" t="str">
        <f t="shared" si="126"/>
        <v/>
      </c>
      <c r="Q253" s="313" t="str">
        <f t="shared" si="126"/>
        <v/>
      </c>
      <c r="R253" s="313" t="str">
        <f t="shared" si="126"/>
        <v/>
      </c>
      <c r="S253" s="313" t="str">
        <f t="shared" si="126"/>
        <v/>
      </c>
      <c r="T253" s="313" t="str">
        <f t="shared" si="126"/>
        <v/>
      </c>
      <c r="U253" s="313" t="str">
        <f t="shared" si="126"/>
        <v/>
      </c>
      <c r="V253" s="313" t="str">
        <f t="shared" si="126"/>
        <v/>
      </c>
      <c r="W253" s="313" t="str">
        <f t="shared" si="126"/>
        <v/>
      </c>
      <c r="X253" s="313" t="str">
        <f t="shared" si="126"/>
        <v/>
      </c>
      <c r="Y253" s="313" t="str">
        <f t="shared" si="126"/>
        <v/>
      </c>
      <c r="Z253" s="313" t="str">
        <f t="shared" si="126"/>
        <v/>
      </c>
    </row>
    <row r="255" spans="1:26" ht="13.5" thickBot="1">
      <c r="A255" s="37" t="s">
        <v>200</v>
      </c>
    </row>
    <row r="256" spans="1:26">
      <c r="A256" s="323" t="s">
        <v>190</v>
      </c>
      <c r="B256" s="324"/>
      <c r="C256" s="325" t="s">
        <v>201</v>
      </c>
      <c r="D256" s="339" t="str">
        <f>IF(D$45="2PH",SQRT(D210/D219),"")</f>
        <v/>
      </c>
      <c r="E256" s="339" t="str">
        <f t="shared" ref="E256:Z256" si="127">IF(E$45="2PH",SQRT(E210/E219),"")</f>
        <v/>
      </c>
      <c r="F256" s="339" t="str">
        <f t="shared" si="127"/>
        <v/>
      </c>
      <c r="G256" s="339" t="str">
        <f t="shared" si="127"/>
        <v/>
      </c>
      <c r="H256" s="339" t="str">
        <f t="shared" si="127"/>
        <v/>
      </c>
      <c r="I256" s="339" t="str">
        <f t="shared" si="127"/>
        <v/>
      </c>
      <c r="J256" s="339" t="str">
        <f t="shared" si="127"/>
        <v/>
      </c>
      <c r="K256" s="339" t="str">
        <f t="shared" si="127"/>
        <v/>
      </c>
      <c r="L256" s="339" t="str">
        <f t="shared" si="127"/>
        <v/>
      </c>
      <c r="M256" s="339" t="str">
        <f t="shared" si="127"/>
        <v/>
      </c>
      <c r="N256" s="339" t="str">
        <f t="shared" si="127"/>
        <v/>
      </c>
      <c r="O256" s="339" t="str">
        <f t="shared" si="127"/>
        <v/>
      </c>
      <c r="P256" s="339" t="str">
        <f t="shared" si="127"/>
        <v/>
      </c>
      <c r="Q256" s="339" t="str">
        <f t="shared" si="127"/>
        <v/>
      </c>
      <c r="R256" s="339" t="str">
        <f t="shared" si="127"/>
        <v/>
      </c>
      <c r="S256" s="339" t="str">
        <f t="shared" si="127"/>
        <v/>
      </c>
      <c r="T256" s="339" t="str">
        <f t="shared" si="127"/>
        <v/>
      </c>
      <c r="U256" s="339" t="str">
        <f t="shared" si="127"/>
        <v/>
      </c>
      <c r="V256" s="339" t="str">
        <f t="shared" si="127"/>
        <v/>
      </c>
      <c r="W256" s="339" t="str">
        <f t="shared" si="127"/>
        <v/>
      </c>
      <c r="X256" s="339" t="str">
        <f t="shared" si="127"/>
        <v/>
      </c>
      <c r="Y256" s="339" t="str">
        <f t="shared" si="127"/>
        <v/>
      </c>
      <c r="Z256" s="339" t="str">
        <f t="shared" si="127"/>
        <v/>
      </c>
    </row>
    <row r="257" spans="1:27">
      <c r="A257" s="40"/>
      <c r="B257" s="41"/>
      <c r="C257" s="134" t="s">
        <v>202</v>
      </c>
      <c r="D257" s="284" t="str">
        <f>IF(D$45="2PH",D241,"")</f>
        <v/>
      </c>
      <c r="E257" s="284" t="str">
        <f t="shared" ref="E257:Z257" si="128">IF(E$45="2PH",E241,"")</f>
        <v/>
      </c>
      <c r="F257" s="284" t="str">
        <f t="shared" si="128"/>
        <v/>
      </c>
      <c r="G257" s="284" t="str">
        <f t="shared" si="128"/>
        <v/>
      </c>
      <c r="H257" s="284" t="str">
        <f t="shared" si="128"/>
        <v/>
      </c>
      <c r="I257" s="284" t="str">
        <f t="shared" si="128"/>
        <v/>
      </c>
      <c r="J257" s="284" t="str">
        <f t="shared" si="128"/>
        <v/>
      </c>
      <c r="K257" s="284" t="str">
        <f t="shared" si="128"/>
        <v/>
      </c>
      <c r="L257" s="284" t="str">
        <f t="shared" si="128"/>
        <v/>
      </c>
      <c r="M257" s="284" t="str">
        <f t="shared" si="128"/>
        <v/>
      </c>
      <c r="N257" s="284" t="str">
        <f t="shared" si="128"/>
        <v/>
      </c>
      <c r="O257" s="284" t="str">
        <f t="shared" si="128"/>
        <v/>
      </c>
      <c r="P257" s="284" t="str">
        <f t="shared" si="128"/>
        <v/>
      </c>
      <c r="Q257" s="284" t="str">
        <f t="shared" si="128"/>
        <v/>
      </c>
      <c r="R257" s="284" t="str">
        <f t="shared" si="128"/>
        <v/>
      </c>
      <c r="S257" s="284" t="str">
        <f t="shared" si="128"/>
        <v/>
      </c>
      <c r="T257" s="284" t="str">
        <f t="shared" si="128"/>
        <v/>
      </c>
      <c r="U257" s="284" t="str">
        <f t="shared" si="128"/>
        <v/>
      </c>
      <c r="V257" s="284" t="str">
        <f t="shared" si="128"/>
        <v/>
      </c>
      <c r="W257" s="284" t="str">
        <f t="shared" si="128"/>
        <v/>
      </c>
      <c r="X257" s="284" t="str">
        <f t="shared" si="128"/>
        <v/>
      </c>
      <c r="Y257" s="284" t="str">
        <f t="shared" si="128"/>
        <v/>
      </c>
      <c r="Z257" s="284" t="str">
        <f t="shared" si="128"/>
        <v/>
      </c>
    </row>
    <row r="258" spans="1:27">
      <c r="A258" s="40"/>
      <c r="B258" s="41"/>
      <c r="C258" s="134" t="s">
        <v>203</v>
      </c>
      <c r="D258" s="284" t="str">
        <f>IF(D$45="2PH",SQRT(D210*0.9806*100000/9.806/(D52-D214)),"")</f>
        <v/>
      </c>
      <c r="E258" s="284" t="str">
        <f t="shared" ref="E258:Z258" si="129">IF(E$45="2PH",SQRT(E210*0.9806*100000/9.806/(E52-E214)),"")</f>
        <v/>
      </c>
      <c r="F258" s="284" t="str">
        <f t="shared" si="129"/>
        <v/>
      </c>
      <c r="G258" s="284" t="str">
        <f t="shared" si="129"/>
        <v/>
      </c>
      <c r="H258" s="284" t="str">
        <f t="shared" si="129"/>
        <v/>
      </c>
      <c r="I258" s="284" t="str">
        <f t="shared" si="129"/>
        <v/>
      </c>
      <c r="J258" s="284" t="str">
        <f t="shared" si="129"/>
        <v/>
      </c>
      <c r="K258" s="284" t="str">
        <f t="shared" si="129"/>
        <v/>
      </c>
      <c r="L258" s="284" t="str">
        <f t="shared" si="129"/>
        <v/>
      </c>
      <c r="M258" s="284" t="str">
        <f t="shared" si="129"/>
        <v/>
      </c>
      <c r="N258" s="284" t="str">
        <f t="shared" si="129"/>
        <v/>
      </c>
      <c r="O258" s="284" t="str">
        <f t="shared" si="129"/>
        <v/>
      </c>
      <c r="P258" s="284" t="str">
        <f t="shared" si="129"/>
        <v/>
      </c>
      <c r="Q258" s="284" t="str">
        <f t="shared" si="129"/>
        <v/>
      </c>
      <c r="R258" s="284" t="str">
        <f t="shared" si="129"/>
        <v/>
      </c>
      <c r="S258" s="284" t="str">
        <f t="shared" si="129"/>
        <v/>
      </c>
      <c r="T258" s="284" t="str">
        <f t="shared" si="129"/>
        <v/>
      </c>
      <c r="U258" s="284" t="str">
        <f t="shared" si="129"/>
        <v/>
      </c>
      <c r="V258" s="284" t="str">
        <f t="shared" si="129"/>
        <v/>
      </c>
      <c r="W258" s="284" t="str">
        <f t="shared" si="129"/>
        <v/>
      </c>
      <c r="X258" s="284" t="str">
        <f t="shared" si="129"/>
        <v/>
      </c>
      <c r="Y258" s="284" t="str">
        <f t="shared" si="129"/>
        <v/>
      </c>
      <c r="Z258" s="284" t="str">
        <f t="shared" si="129"/>
        <v/>
      </c>
    </row>
    <row r="259" spans="1:27">
      <c r="A259" s="40"/>
      <c r="B259" s="41"/>
      <c r="C259" s="134" t="s">
        <v>204</v>
      </c>
      <c r="D259" s="284" t="str">
        <f>IF(D$45="2PH",D241*SQRT(D208),"")</f>
        <v/>
      </c>
      <c r="E259" s="284" t="str">
        <f t="shared" ref="E259:Z259" si="130">IF(E$45="2PH",E241*SQRT(E208),"")</f>
        <v/>
      </c>
      <c r="F259" s="284" t="str">
        <f t="shared" si="130"/>
        <v/>
      </c>
      <c r="G259" s="284" t="str">
        <f t="shared" si="130"/>
        <v/>
      </c>
      <c r="H259" s="284" t="str">
        <f t="shared" si="130"/>
        <v/>
      </c>
      <c r="I259" s="284" t="str">
        <f t="shared" si="130"/>
        <v/>
      </c>
      <c r="J259" s="284" t="str">
        <f t="shared" si="130"/>
        <v/>
      </c>
      <c r="K259" s="284" t="str">
        <f t="shared" si="130"/>
        <v/>
      </c>
      <c r="L259" s="284" t="str">
        <f t="shared" si="130"/>
        <v/>
      </c>
      <c r="M259" s="284" t="str">
        <f t="shared" si="130"/>
        <v/>
      </c>
      <c r="N259" s="284" t="str">
        <f t="shared" si="130"/>
        <v/>
      </c>
      <c r="O259" s="284" t="str">
        <f t="shared" si="130"/>
        <v/>
      </c>
      <c r="P259" s="284" t="str">
        <f t="shared" si="130"/>
        <v/>
      </c>
      <c r="Q259" s="284" t="str">
        <f t="shared" si="130"/>
        <v/>
      </c>
      <c r="R259" s="284" t="str">
        <f t="shared" si="130"/>
        <v/>
      </c>
      <c r="S259" s="284" t="str">
        <f t="shared" si="130"/>
        <v/>
      </c>
      <c r="T259" s="284" t="str">
        <f t="shared" si="130"/>
        <v/>
      </c>
      <c r="U259" s="284" t="str">
        <f t="shared" si="130"/>
        <v/>
      </c>
      <c r="V259" s="284" t="str">
        <f t="shared" si="130"/>
        <v/>
      </c>
      <c r="W259" s="284" t="str">
        <f t="shared" si="130"/>
        <v/>
      </c>
      <c r="X259" s="284" t="str">
        <f t="shared" si="130"/>
        <v/>
      </c>
      <c r="Y259" s="284" t="str">
        <f t="shared" si="130"/>
        <v/>
      </c>
      <c r="Z259" s="284" t="str">
        <f t="shared" si="130"/>
        <v/>
      </c>
    </row>
    <row r="260" spans="1:27">
      <c r="A260" s="40"/>
      <c r="B260" s="41"/>
      <c r="C260" s="134" t="s">
        <v>188</v>
      </c>
      <c r="D260" s="332" t="str">
        <f>IF(D$45="2PH",DuklerH(D256,D257,D258,D259),"")</f>
        <v/>
      </c>
      <c r="E260" s="332" t="str">
        <f>IF(E$45="2PH",DuklerH(E256,E257,E258,E259),"")</f>
        <v/>
      </c>
      <c r="F260" s="332" t="str">
        <f>IF(F$45="2PH",DuklerH(F256,F257,F258,F259),"")</f>
        <v/>
      </c>
      <c r="G260" s="332" t="str">
        <f>IF(G$45="2PH",DuklerH(G256,G257,G258,G259),"")</f>
        <v/>
      </c>
      <c r="H260" s="332" t="str">
        <f>IF(H$45="2PH",DuklerH(H256,H257,H258,H259),"")</f>
        <v/>
      </c>
      <c r="I260" s="332" t="str">
        <f>IF(I$45="2PH",DuklerH(I256,I257,I258,I259),"")</f>
        <v/>
      </c>
      <c r="J260" s="332" t="str">
        <f>IF(J$45="2PH",DuklerH(J256,J257,J258,J259),"")</f>
        <v/>
      </c>
      <c r="K260" s="332" t="str">
        <f>IF(K$45="2PH",DuklerH(K256,K257,K258,K259),"")</f>
        <v/>
      </c>
      <c r="L260" s="332" t="str">
        <f>IF(L$45="2PH",DuklerH(L256,L257,L258,L259),"")</f>
        <v/>
      </c>
      <c r="M260" s="332" t="str">
        <f>IF(M$45="2PH",DuklerH(M256,M257,M258,M259),"")</f>
        <v/>
      </c>
      <c r="N260" s="332" t="str">
        <f>IF(N$45="2PH",DuklerH(N256,N257,N258,N259),"")</f>
        <v/>
      </c>
      <c r="O260" s="332" t="str">
        <f>IF(O$45="2PH",DuklerH(O256,O257,O258,O259),"")</f>
        <v/>
      </c>
      <c r="P260" s="332" t="str">
        <f>IF(P$45="2PH",DuklerH(P256,P257,P258,P259),"")</f>
        <v/>
      </c>
      <c r="Q260" s="332" t="str">
        <f>IF(Q$45="2PH",DuklerH(Q256,Q257,Q258,Q259),"")</f>
        <v/>
      </c>
      <c r="R260" s="332" t="str">
        <f>IF(R$45="2PH",DuklerH(R256,R257,R258,R259),"")</f>
        <v/>
      </c>
      <c r="S260" s="332" t="str">
        <f>IF(S$45="2PH",DuklerH(S256,S257,S258,S259),"")</f>
        <v/>
      </c>
      <c r="T260" s="332" t="str">
        <f>IF(T$45="2PH",DuklerH(T256,T257,T258,T259),"")</f>
        <v/>
      </c>
      <c r="U260" s="332" t="str">
        <f>IF(U$45="2PH",DuklerH(U256,U257,U258,U259),"")</f>
        <v/>
      </c>
      <c r="V260" s="332" t="str">
        <f>IF(V$45="2PH",DuklerH(V256,V257,V258,V259),"")</f>
        <v/>
      </c>
      <c r="W260" s="332" t="str">
        <f>IF(W$45="2PH",DuklerH(W256,W257,W258,W259),"")</f>
        <v/>
      </c>
      <c r="X260" s="332" t="str">
        <f>IF(X$45="2PH",DuklerH(X256,X257,X258,X259),"")</f>
        <v/>
      </c>
      <c r="Y260" s="332" t="str">
        <f>IF(Y$45="2PH",DuklerH(Y256,Y257,Y258,Y259),"")</f>
        <v/>
      </c>
      <c r="Z260" s="332" t="str">
        <f>IF(Z$45="2PH",DuklerH(Z256,Z257,Z258,Z259),"")</f>
        <v/>
      </c>
    </row>
    <row r="261" spans="1:27">
      <c r="A261" s="340" t="s">
        <v>205</v>
      </c>
      <c r="B261" s="331"/>
      <c r="C261" s="329" t="s">
        <v>192</v>
      </c>
      <c r="D261" s="330" t="str">
        <f>IF(D$45="2PH",2.1*(D52*D207/D214/D216)*SQRT(D214*D52)/D52^(2/3)*((D53*0.001)^(1/3)/(D56*0.001)),"")</f>
        <v/>
      </c>
      <c r="E261" s="330" t="str">
        <f t="shared" ref="E261:Z261" si="131">IF(E$45="2PH",2.1*(E52*E207/E214/E216)*SQRT(E214*E52)/E52^(2/3)*((E53*0.001)^(1/3)/(E56*0.001)),"")</f>
        <v/>
      </c>
      <c r="F261" s="330" t="str">
        <f t="shared" si="131"/>
        <v/>
      </c>
      <c r="G261" s="330" t="str">
        <f t="shared" si="131"/>
        <v/>
      </c>
      <c r="H261" s="330" t="str">
        <f t="shared" si="131"/>
        <v/>
      </c>
      <c r="I261" s="330" t="str">
        <f t="shared" si="131"/>
        <v/>
      </c>
      <c r="J261" s="330" t="str">
        <f t="shared" si="131"/>
        <v/>
      </c>
      <c r="K261" s="330" t="str">
        <f t="shared" si="131"/>
        <v/>
      </c>
      <c r="L261" s="330" t="str">
        <f t="shared" si="131"/>
        <v/>
      </c>
      <c r="M261" s="330" t="str">
        <f t="shared" si="131"/>
        <v/>
      </c>
      <c r="N261" s="330" t="str">
        <f t="shared" si="131"/>
        <v/>
      </c>
      <c r="O261" s="330" t="str">
        <f t="shared" si="131"/>
        <v/>
      </c>
      <c r="P261" s="330" t="str">
        <f t="shared" si="131"/>
        <v/>
      </c>
      <c r="Q261" s="330" t="str">
        <f t="shared" si="131"/>
        <v/>
      </c>
      <c r="R261" s="330" t="str">
        <f t="shared" si="131"/>
        <v/>
      </c>
      <c r="S261" s="330" t="str">
        <f t="shared" si="131"/>
        <v/>
      </c>
      <c r="T261" s="330" t="str">
        <f t="shared" si="131"/>
        <v/>
      </c>
      <c r="U261" s="330" t="str">
        <f t="shared" si="131"/>
        <v/>
      </c>
      <c r="V261" s="330" t="str">
        <f t="shared" si="131"/>
        <v/>
      </c>
      <c r="W261" s="330" t="str">
        <f t="shared" si="131"/>
        <v/>
      </c>
      <c r="X261" s="330" t="str">
        <f t="shared" si="131"/>
        <v/>
      </c>
      <c r="Y261" s="330" t="str">
        <f t="shared" si="131"/>
        <v/>
      </c>
      <c r="Z261" s="330" t="str">
        <f t="shared" si="131"/>
        <v/>
      </c>
    </row>
    <row r="262" spans="1:27">
      <c r="A262" s="40"/>
      <c r="B262" s="41"/>
      <c r="C262" s="134" t="s">
        <v>194</v>
      </c>
      <c r="D262" s="284" t="str">
        <f>IF(D$45="2PH",25500*D214*D216/SQRT(#REF!*D214),"")</f>
        <v/>
      </c>
      <c r="E262" s="284" t="str">
        <f>IF(E$45="2PH",25500*E214*E216/SQRT(#REF!*E214),"")</f>
        <v/>
      </c>
      <c r="F262" s="284" t="str">
        <f>IF(F$45="2PH",25500*F214*F216/SQRT(#REF!*F214),"")</f>
        <v/>
      </c>
      <c r="G262" s="284" t="str">
        <f>IF(G$45="2PH",25500*G214*G216/SQRT(#REF!*G214),"")</f>
        <v/>
      </c>
      <c r="H262" s="284" t="str">
        <f>IF(H$45="2PH",25500*H214*H216/SQRT(#REF!*H214),"")</f>
        <v/>
      </c>
      <c r="I262" s="284" t="str">
        <f>IF(I$45="2PH",25500*I214*I216/SQRT(#REF!*I214),"")</f>
        <v/>
      </c>
      <c r="J262" s="284" t="str">
        <f>IF(J$45="2PH",25500*J214*J216/SQRT(#REF!*J214),"")</f>
        <v/>
      </c>
      <c r="K262" s="284" t="str">
        <f>IF(K$45="2PH",25500*K214*K216/SQRT(#REF!*K214),"")</f>
        <v/>
      </c>
      <c r="L262" s="284" t="str">
        <f>IF(L$45="2PH",25500*L214*L216/SQRT(#REF!*L214),"")</f>
        <v/>
      </c>
      <c r="M262" s="284" t="str">
        <f>IF(M$45="2PH",25500*M214*M216/SQRT(#REF!*M214),"")</f>
        <v/>
      </c>
      <c r="N262" s="284" t="str">
        <f>IF(N$45="2PH",25500*N214*N216/SQRT(#REF!*N214),"")</f>
        <v/>
      </c>
      <c r="O262" s="284" t="str">
        <f>IF(O$45="2PH",25500*O214*O216/SQRT(#REF!*O214),"")</f>
        <v/>
      </c>
      <c r="P262" s="284" t="str">
        <f>IF(P$45="2PH",25500*P214*P216/SQRT(#REF!*P214),"")</f>
        <v/>
      </c>
      <c r="Q262" s="284" t="str">
        <f>IF(Q$45="2PH",25500*Q214*Q216/SQRT(#REF!*Q214),"")</f>
        <v/>
      </c>
      <c r="R262" s="284" t="str">
        <f>IF(R$45="2PH",25500*R214*R216/SQRT(#REF!*R214),"")</f>
        <v/>
      </c>
      <c r="S262" s="284" t="str">
        <f>IF(S$45="2PH",25500*S214*S216/SQRT(#REF!*S214),"")</f>
        <v/>
      </c>
      <c r="T262" s="284" t="str">
        <f>IF(T$45="2PH",25500*T214*T216/SQRT(#REF!*T214),"")</f>
        <v/>
      </c>
      <c r="U262" s="284" t="str">
        <f>IF(U$45="2PH",25500*U214*U216/SQRT(#REF!*U214),"")</f>
        <v/>
      </c>
      <c r="V262" s="284" t="str">
        <f>IF(V$45="2PH",25500*V214*V216/SQRT(#REF!*V214),"")</f>
        <v/>
      </c>
      <c r="W262" s="284" t="str">
        <f>IF(W$45="2PH",25500*W214*W216/SQRT(#REF!*W214),"")</f>
        <v/>
      </c>
      <c r="X262" s="284" t="str">
        <f>IF(X$45="2PH",25500*X214*X216/SQRT(#REF!*X214),"")</f>
        <v/>
      </c>
      <c r="Y262" s="284" t="str">
        <f>IF(Y$45="2PH",25500*Y214*Y216/SQRT(#REF!*Y214),"")</f>
        <v/>
      </c>
      <c r="Z262" s="284" t="str">
        <f>IF(Z$45="2PH",25500*Z214*Z216/SQRT(#REF!*Z214),"")</f>
        <v/>
      </c>
    </row>
    <row r="263" spans="1:27" ht="13.5" thickBot="1">
      <c r="A263" s="321"/>
      <c r="B263" s="117"/>
      <c r="C263" s="312" t="s">
        <v>188</v>
      </c>
      <c r="D263" s="313" t="str">
        <f>IF(D$45="2PH",Baker(D261,D262),"")</f>
        <v/>
      </c>
      <c r="E263" s="313" t="str">
        <f>IF(E$45="2PH",Baker(E261,E262),"")</f>
        <v/>
      </c>
      <c r="F263" s="313" t="str">
        <f>IF(F$45="2PH",Baker(F261,F262),"")</f>
        <v/>
      </c>
      <c r="G263" s="313" t="str">
        <f>IF(G$45="2PH",Baker(G261,G262),"")</f>
        <v/>
      </c>
      <c r="H263" s="313" t="str">
        <f>IF(H$45="2PH",Baker(H261,H262),"")</f>
        <v/>
      </c>
      <c r="I263" s="313" t="str">
        <f>IF(I$45="2PH",Baker(I261,I262),"")</f>
        <v/>
      </c>
      <c r="J263" s="313" t="str">
        <f>IF(J$45="2PH",Baker(J261,J262),"")</f>
        <v/>
      </c>
      <c r="K263" s="313" t="str">
        <f>IF(K$45="2PH",Baker(K261,K262),"")</f>
        <v/>
      </c>
      <c r="L263" s="313" t="str">
        <f>IF(L$45="2PH",Baker(L261,L262),"")</f>
        <v/>
      </c>
      <c r="M263" s="313" t="str">
        <f>IF(M$45="2PH",Baker(M261,M262),"")</f>
        <v/>
      </c>
      <c r="N263" s="313" t="str">
        <f>IF(N$45="2PH",Baker(N261,N262),"")</f>
        <v/>
      </c>
      <c r="O263" s="313" t="str">
        <f>IF(O$45="2PH",Baker(O261,O262),"")</f>
        <v/>
      </c>
      <c r="P263" s="313" t="str">
        <f>IF(P$45="2PH",Baker(P261,P262),"")</f>
        <v/>
      </c>
      <c r="Q263" s="313" t="str">
        <f>IF(Q$45="2PH",Baker(Q261,Q262),"")</f>
        <v/>
      </c>
      <c r="R263" s="313" t="str">
        <f>IF(R$45="2PH",Baker(R261,R262),"")</f>
        <v/>
      </c>
      <c r="S263" s="313" t="str">
        <f>IF(S$45="2PH",Baker(S261,S262),"")</f>
        <v/>
      </c>
      <c r="T263" s="313" t="str">
        <f>IF(T$45="2PH",Baker(T261,T262),"")</f>
        <v/>
      </c>
      <c r="U263" s="313" t="str">
        <f>IF(U$45="2PH",Baker(U261,U262),"")</f>
        <v/>
      </c>
      <c r="V263" s="313" t="str">
        <f>IF(V$45="2PH",Baker(V261,V262),"")</f>
        <v/>
      </c>
      <c r="W263" s="313" t="str">
        <f>IF(W$45="2PH",Baker(W261,W262),"")</f>
        <v/>
      </c>
      <c r="X263" s="313" t="str">
        <f>IF(X$45="2PH",Baker(X261,X262),"")</f>
        <v/>
      </c>
      <c r="Y263" s="313" t="str">
        <f>IF(Y$45="2PH",Baker(Y261,Y262),"")</f>
        <v/>
      </c>
      <c r="Z263" s="313" t="str">
        <f>IF(Z$45="2PH",Baker(Z261,Z262),"")</f>
        <v/>
      </c>
      <c r="AA263" s="41"/>
    </row>
  </sheetData>
  <sheetProtection formatCells="0" formatColumns="0" formatRows="0" insertColumns="0" insertRows="0"/>
  <mergeCells count="10">
    <mergeCell ref="W2:X2"/>
    <mergeCell ref="A42:C43"/>
    <mergeCell ref="A2:H3"/>
    <mergeCell ref="S2:U2"/>
    <mergeCell ref="V3:Z3"/>
    <mergeCell ref="Y4:Z4"/>
    <mergeCell ref="Y5:Z5"/>
    <mergeCell ref="J3:N3"/>
    <mergeCell ref="M2:N2"/>
    <mergeCell ref="J2:K2"/>
  </mergeCells>
  <phoneticPr fontId="4" type="noConversion"/>
  <conditionalFormatting sqref="D78:Z79">
    <cfRule type="cellIs" dxfId="4" priority="9" operator="greaterThan">
      <formula>0</formula>
    </cfRule>
    <cfRule type="containsBlanks" dxfId="3" priority="10">
      <formula>LEN(TRIM(D78))=0</formula>
    </cfRule>
  </conditionalFormatting>
  <conditionalFormatting sqref="D74:Z74">
    <cfRule type="cellIs" dxfId="2" priority="5" operator="equal">
      <formula>"OK"</formula>
    </cfRule>
    <cfRule type="cellIs" dxfId="1" priority="6" operator="equal">
      <formula>"Warning"</formula>
    </cfRule>
  </conditionalFormatting>
  <conditionalFormatting sqref="D46:Z47">
    <cfRule type="cellIs" dxfId="0" priority="1" operator="notEqual">
      <formula>""""""</formula>
    </cfRule>
  </conditionalFormatting>
  <dataValidations disablePrompts="1" count="11">
    <dataValidation type="list" allowBlank="1" showInputMessage="1" showErrorMessage="1" sqref="D66:Z66 WVN983132:WWH983132 D65628:Z65628 JB65628:JV65628 SX65628:TR65628 ACT65628:ADN65628 AMP65628:ANJ65628 AWL65628:AXF65628 BGH65628:BHB65628 BQD65628:BQX65628 BZZ65628:CAT65628 CJV65628:CKP65628 CTR65628:CUL65628 DDN65628:DEH65628 DNJ65628:DOD65628 DXF65628:DXZ65628 EHB65628:EHV65628 EQX65628:ERR65628 FAT65628:FBN65628 FKP65628:FLJ65628 FUL65628:FVF65628 GEH65628:GFB65628 GOD65628:GOX65628 GXZ65628:GYT65628 HHV65628:HIP65628 HRR65628:HSL65628 IBN65628:ICH65628 ILJ65628:IMD65628 IVF65628:IVZ65628 JFB65628:JFV65628 JOX65628:JPR65628 JYT65628:JZN65628 KIP65628:KJJ65628 KSL65628:KTF65628 LCH65628:LDB65628 LMD65628:LMX65628 LVZ65628:LWT65628 MFV65628:MGP65628 MPR65628:MQL65628 MZN65628:NAH65628 NJJ65628:NKD65628 NTF65628:NTZ65628 ODB65628:ODV65628 OMX65628:ONR65628 OWT65628:OXN65628 PGP65628:PHJ65628 PQL65628:PRF65628 QAH65628:QBB65628 QKD65628:QKX65628 QTZ65628:QUT65628 RDV65628:REP65628 RNR65628:ROL65628 RXN65628:RYH65628 SHJ65628:SID65628 SRF65628:SRZ65628 TBB65628:TBV65628 TKX65628:TLR65628 TUT65628:TVN65628 UEP65628:UFJ65628 UOL65628:UPF65628 UYH65628:UZB65628 VID65628:VIX65628 VRZ65628:VST65628 WBV65628:WCP65628 WLR65628:WML65628 WVN65628:WWH65628 D131164:Z131164 JB131164:JV131164 SX131164:TR131164 ACT131164:ADN131164 AMP131164:ANJ131164 AWL131164:AXF131164 BGH131164:BHB131164 BQD131164:BQX131164 BZZ131164:CAT131164 CJV131164:CKP131164 CTR131164:CUL131164 DDN131164:DEH131164 DNJ131164:DOD131164 DXF131164:DXZ131164 EHB131164:EHV131164 EQX131164:ERR131164 FAT131164:FBN131164 FKP131164:FLJ131164 FUL131164:FVF131164 GEH131164:GFB131164 GOD131164:GOX131164 GXZ131164:GYT131164 HHV131164:HIP131164 HRR131164:HSL131164 IBN131164:ICH131164 ILJ131164:IMD131164 IVF131164:IVZ131164 JFB131164:JFV131164 JOX131164:JPR131164 JYT131164:JZN131164 KIP131164:KJJ131164 KSL131164:KTF131164 LCH131164:LDB131164 LMD131164:LMX131164 LVZ131164:LWT131164 MFV131164:MGP131164 MPR131164:MQL131164 MZN131164:NAH131164 NJJ131164:NKD131164 NTF131164:NTZ131164 ODB131164:ODV131164 OMX131164:ONR131164 OWT131164:OXN131164 PGP131164:PHJ131164 PQL131164:PRF131164 QAH131164:QBB131164 QKD131164:QKX131164 QTZ131164:QUT131164 RDV131164:REP131164 RNR131164:ROL131164 RXN131164:RYH131164 SHJ131164:SID131164 SRF131164:SRZ131164 TBB131164:TBV131164 TKX131164:TLR131164 TUT131164:TVN131164 UEP131164:UFJ131164 UOL131164:UPF131164 UYH131164:UZB131164 VID131164:VIX131164 VRZ131164:VST131164 WBV131164:WCP131164 WLR131164:WML131164 WVN131164:WWH131164 D196700:Z196700 JB196700:JV196700 SX196700:TR196700 ACT196700:ADN196700 AMP196700:ANJ196700 AWL196700:AXF196700 BGH196700:BHB196700 BQD196700:BQX196700 BZZ196700:CAT196700 CJV196700:CKP196700 CTR196700:CUL196700 DDN196700:DEH196700 DNJ196700:DOD196700 DXF196700:DXZ196700 EHB196700:EHV196700 EQX196700:ERR196700 FAT196700:FBN196700 FKP196700:FLJ196700 FUL196700:FVF196700 GEH196700:GFB196700 GOD196700:GOX196700 GXZ196700:GYT196700 HHV196700:HIP196700 HRR196700:HSL196700 IBN196700:ICH196700 ILJ196700:IMD196700 IVF196700:IVZ196700 JFB196700:JFV196700 JOX196700:JPR196700 JYT196700:JZN196700 KIP196700:KJJ196700 KSL196700:KTF196700 LCH196700:LDB196700 LMD196700:LMX196700 LVZ196700:LWT196700 MFV196700:MGP196700 MPR196700:MQL196700 MZN196700:NAH196700 NJJ196700:NKD196700 NTF196700:NTZ196700 ODB196700:ODV196700 OMX196700:ONR196700 OWT196700:OXN196700 PGP196700:PHJ196700 PQL196700:PRF196700 QAH196700:QBB196700 QKD196700:QKX196700 QTZ196700:QUT196700 RDV196700:REP196700 RNR196700:ROL196700 RXN196700:RYH196700 SHJ196700:SID196700 SRF196700:SRZ196700 TBB196700:TBV196700 TKX196700:TLR196700 TUT196700:TVN196700 UEP196700:UFJ196700 UOL196700:UPF196700 UYH196700:UZB196700 VID196700:VIX196700 VRZ196700:VST196700 WBV196700:WCP196700 WLR196700:WML196700 WVN196700:WWH196700 D262236:Z262236 JB262236:JV262236 SX262236:TR262236 ACT262236:ADN262236 AMP262236:ANJ262236 AWL262236:AXF262236 BGH262236:BHB262236 BQD262236:BQX262236 BZZ262236:CAT262236 CJV262236:CKP262236 CTR262236:CUL262236 DDN262236:DEH262236 DNJ262236:DOD262236 DXF262236:DXZ262236 EHB262236:EHV262236 EQX262236:ERR262236 FAT262236:FBN262236 FKP262236:FLJ262236 FUL262236:FVF262236 GEH262236:GFB262236 GOD262236:GOX262236 GXZ262236:GYT262236 HHV262236:HIP262236 HRR262236:HSL262236 IBN262236:ICH262236 ILJ262236:IMD262236 IVF262236:IVZ262236 JFB262236:JFV262236 JOX262236:JPR262236 JYT262236:JZN262236 KIP262236:KJJ262236 KSL262236:KTF262236 LCH262236:LDB262236 LMD262236:LMX262236 LVZ262236:LWT262236 MFV262236:MGP262236 MPR262236:MQL262236 MZN262236:NAH262236 NJJ262236:NKD262236 NTF262236:NTZ262236 ODB262236:ODV262236 OMX262236:ONR262236 OWT262236:OXN262236 PGP262236:PHJ262236 PQL262236:PRF262236 QAH262236:QBB262236 QKD262236:QKX262236 QTZ262236:QUT262236 RDV262236:REP262236 RNR262236:ROL262236 RXN262236:RYH262236 SHJ262236:SID262236 SRF262236:SRZ262236 TBB262236:TBV262236 TKX262236:TLR262236 TUT262236:TVN262236 UEP262236:UFJ262236 UOL262236:UPF262236 UYH262236:UZB262236 VID262236:VIX262236 VRZ262236:VST262236 WBV262236:WCP262236 WLR262236:WML262236 WVN262236:WWH262236 D327772:Z327772 JB327772:JV327772 SX327772:TR327772 ACT327772:ADN327772 AMP327772:ANJ327772 AWL327772:AXF327772 BGH327772:BHB327772 BQD327772:BQX327772 BZZ327772:CAT327772 CJV327772:CKP327772 CTR327772:CUL327772 DDN327772:DEH327772 DNJ327772:DOD327772 DXF327772:DXZ327772 EHB327772:EHV327772 EQX327772:ERR327772 FAT327772:FBN327772 FKP327772:FLJ327772 FUL327772:FVF327772 GEH327772:GFB327772 GOD327772:GOX327772 GXZ327772:GYT327772 HHV327772:HIP327772 HRR327772:HSL327772 IBN327772:ICH327772 ILJ327772:IMD327772 IVF327772:IVZ327772 JFB327772:JFV327772 JOX327772:JPR327772 JYT327772:JZN327772 KIP327772:KJJ327772 KSL327772:KTF327772 LCH327772:LDB327772 LMD327772:LMX327772 LVZ327772:LWT327772 MFV327772:MGP327772 MPR327772:MQL327772 MZN327772:NAH327772 NJJ327772:NKD327772 NTF327772:NTZ327772 ODB327772:ODV327772 OMX327772:ONR327772 OWT327772:OXN327772 PGP327772:PHJ327772 PQL327772:PRF327772 QAH327772:QBB327772 QKD327772:QKX327772 QTZ327772:QUT327772 RDV327772:REP327772 RNR327772:ROL327772 RXN327772:RYH327772 SHJ327772:SID327772 SRF327772:SRZ327772 TBB327772:TBV327772 TKX327772:TLR327772 TUT327772:TVN327772 UEP327772:UFJ327772 UOL327772:UPF327772 UYH327772:UZB327772 VID327772:VIX327772 VRZ327772:VST327772 WBV327772:WCP327772 WLR327772:WML327772 WVN327772:WWH327772 D393308:Z393308 JB393308:JV393308 SX393308:TR393308 ACT393308:ADN393308 AMP393308:ANJ393308 AWL393308:AXF393308 BGH393308:BHB393308 BQD393308:BQX393308 BZZ393308:CAT393308 CJV393308:CKP393308 CTR393308:CUL393308 DDN393308:DEH393308 DNJ393308:DOD393308 DXF393308:DXZ393308 EHB393308:EHV393308 EQX393308:ERR393308 FAT393308:FBN393308 FKP393308:FLJ393308 FUL393308:FVF393308 GEH393308:GFB393308 GOD393308:GOX393308 GXZ393308:GYT393308 HHV393308:HIP393308 HRR393308:HSL393308 IBN393308:ICH393308 ILJ393308:IMD393308 IVF393308:IVZ393308 JFB393308:JFV393308 JOX393308:JPR393308 JYT393308:JZN393308 KIP393308:KJJ393308 KSL393308:KTF393308 LCH393308:LDB393308 LMD393308:LMX393308 LVZ393308:LWT393308 MFV393308:MGP393308 MPR393308:MQL393308 MZN393308:NAH393308 NJJ393308:NKD393308 NTF393308:NTZ393308 ODB393308:ODV393308 OMX393308:ONR393308 OWT393308:OXN393308 PGP393308:PHJ393308 PQL393308:PRF393308 QAH393308:QBB393308 QKD393308:QKX393308 QTZ393308:QUT393308 RDV393308:REP393308 RNR393308:ROL393308 RXN393308:RYH393308 SHJ393308:SID393308 SRF393308:SRZ393308 TBB393308:TBV393308 TKX393308:TLR393308 TUT393308:TVN393308 UEP393308:UFJ393308 UOL393308:UPF393308 UYH393308:UZB393308 VID393308:VIX393308 VRZ393308:VST393308 WBV393308:WCP393308 WLR393308:WML393308 WVN393308:WWH393308 D458844:Z458844 JB458844:JV458844 SX458844:TR458844 ACT458844:ADN458844 AMP458844:ANJ458844 AWL458844:AXF458844 BGH458844:BHB458844 BQD458844:BQX458844 BZZ458844:CAT458844 CJV458844:CKP458844 CTR458844:CUL458844 DDN458844:DEH458844 DNJ458844:DOD458844 DXF458844:DXZ458844 EHB458844:EHV458844 EQX458844:ERR458844 FAT458844:FBN458844 FKP458844:FLJ458844 FUL458844:FVF458844 GEH458844:GFB458844 GOD458844:GOX458844 GXZ458844:GYT458844 HHV458844:HIP458844 HRR458844:HSL458844 IBN458844:ICH458844 ILJ458844:IMD458844 IVF458844:IVZ458844 JFB458844:JFV458844 JOX458844:JPR458844 JYT458844:JZN458844 KIP458844:KJJ458844 KSL458844:KTF458844 LCH458844:LDB458844 LMD458844:LMX458844 LVZ458844:LWT458844 MFV458844:MGP458844 MPR458844:MQL458844 MZN458844:NAH458844 NJJ458844:NKD458844 NTF458844:NTZ458844 ODB458844:ODV458844 OMX458844:ONR458844 OWT458844:OXN458844 PGP458844:PHJ458844 PQL458844:PRF458844 QAH458844:QBB458844 QKD458844:QKX458844 QTZ458844:QUT458844 RDV458844:REP458844 RNR458844:ROL458844 RXN458844:RYH458844 SHJ458844:SID458844 SRF458844:SRZ458844 TBB458844:TBV458844 TKX458844:TLR458844 TUT458844:TVN458844 UEP458844:UFJ458844 UOL458844:UPF458844 UYH458844:UZB458844 VID458844:VIX458844 VRZ458844:VST458844 WBV458844:WCP458844 WLR458844:WML458844 WVN458844:WWH458844 D524380:Z524380 JB524380:JV524380 SX524380:TR524380 ACT524380:ADN524380 AMP524380:ANJ524380 AWL524380:AXF524380 BGH524380:BHB524380 BQD524380:BQX524380 BZZ524380:CAT524380 CJV524380:CKP524380 CTR524380:CUL524380 DDN524380:DEH524380 DNJ524380:DOD524380 DXF524380:DXZ524380 EHB524380:EHV524380 EQX524380:ERR524380 FAT524380:FBN524380 FKP524380:FLJ524380 FUL524380:FVF524380 GEH524380:GFB524380 GOD524380:GOX524380 GXZ524380:GYT524380 HHV524380:HIP524380 HRR524380:HSL524380 IBN524380:ICH524380 ILJ524380:IMD524380 IVF524380:IVZ524380 JFB524380:JFV524380 JOX524380:JPR524380 JYT524380:JZN524380 KIP524380:KJJ524380 KSL524380:KTF524380 LCH524380:LDB524380 LMD524380:LMX524380 LVZ524380:LWT524380 MFV524380:MGP524380 MPR524380:MQL524380 MZN524380:NAH524380 NJJ524380:NKD524380 NTF524380:NTZ524380 ODB524380:ODV524380 OMX524380:ONR524380 OWT524380:OXN524380 PGP524380:PHJ524380 PQL524380:PRF524380 QAH524380:QBB524380 QKD524380:QKX524380 QTZ524380:QUT524380 RDV524380:REP524380 RNR524380:ROL524380 RXN524380:RYH524380 SHJ524380:SID524380 SRF524380:SRZ524380 TBB524380:TBV524380 TKX524380:TLR524380 TUT524380:TVN524380 UEP524380:UFJ524380 UOL524380:UPF524380 UYH524380:UZB524380 VID524380:VIX524380 VRZ524380:VST524380 WBV524380:WCP524380 WLR524380:WML524380 WVN524380:WWH524380 D589916:Z589916 JB589916:JV589916 SX589916:TR589916 ACT589916:ADN589916 AMP589916:ANJ589916 AWL589916:AXF589916 BGH589916:BHB589916 BQD589916:BQX589916 BZZ589916:CAT589916 CJV589916:CKP589916 CTR589916:CUL589916 DDN589916:DEH589916 DNJ589916:DOD589916 DXF589916:DXZ589916 EHB589916:EHV589916 EQX589916:ERR589916 FAT589916:FBN589916 FKP589916:FLJ589916 FUL589916:FVF589916 GEH589916:GFB589916 GOD589916:GOX589916 GXZ589916:GYT589916 HHV589916:HIP589916 HRR589916:HSL589916 IBN589916:ICH589916 ILJ589916:IMD589916 IVF589916:IVZ589916 JFB589916:JFV589916 JOX589916:JPR589916 JYT589916:JZN589916 KIP589916:KJJ589916 KSL589916:KTF589916 LCH589916:LDB589916 LMD589916:LMX589916 LVZ589916:LWT589916 MFV589916:MGP589916 MPR589916:MQL589916 MZN589916:NAH589916 NJJ589916:NKD589916 NTF589916:NTZ589916 ODB589916:ODV589916 OMX589916:ONR589916 OWT589916:OXN589916 PGP589916:PHJ589916 PQL589916:PRF589916 QAH589916:QBB589916 QKD589916:QKX589916 QTZ589916:QUT589916 RDV589916:REP589916 RNR589916:ROL589916 RXN589916:RYH589916 SHJ589916:SID589916 SRF589916:SRZ589916 TBB589916:TBV589916 TKX589916:TLR589916 TUT589916:TVN589916 UEP589916:UFJ589916 UOL589916:UPF589916 UYH589916:UZB589916 VID589916:VIX589916 VRZ589916:VST589916 WBV589916:WCP589916 WLR589916:WML589916 WVN589916:WWH589916 D655452:Z655452 JB655452:JV655452 SX655452:TR655452 ACT655452:ADN655452 AMP655452:ANJ655452 AWL655452:AXF655452 BGH655452:BHB655452 BQD655452:BQX655452 BZZ655452:CAT655452 CJV655452:CKP655452 CTR655452:CUL655452 DDN655452:DEH655452 DNJ655452:DOD655452 DXF655452:DXZ655452 EHB655452:EHV655452 EQX655452:ERR655452 FAT655452:FBN655452 FKP655452:FLJ655452 FUL655452:FVF655452 GEH655452:GFB655452 GOD655452:GOX655452 GXZ655452:GYT655452 HHV655452:HIP655452 HRR655452:HSL655452 IBN655452:ICH655452 ILJ655452:IMD655452 IVF655452:IVZ655452 JFB655452:JFV655452 JOX655452:JPR655452 JYT655452:JZN655452 KIP655452:KJJ655452 KSL655452:KTF655452 LCH655452:LDB655452 LMD655452:LMX655452 LVZ655452:LWT655452 MFV655452:MGP655452 MPR655452:MQL655452 MZN655452:NAH655452 NJJ655452:NKD655452 NTF655452:NTZ655452 ODB655452:ODV655452 OMX655452:ONR655452 OWT655452:OXN655452 PGP655452:PHJ655452 PQL655452:PRF655452 QAH655452:QBB655452 QKD655452:QKX655452 QTZ655452:QUT655452 RDV655452:REP655452 RNR655452:ROL655452 RXN655452:RYH655452 SHJ655452:SID655452 SRF655452:SRZ655452 TBB655452:TBV655452 TKX655452:TLR655452 TUT655452:TVN655452 UEP655452:UFJ655452 UOL655452:UPF655452 UYH655452:UZB655452 VID655452:VIX655452 VRZ655452:VST655452 WBV655452:WCP655452 WLR655452:WML655452 WVN655452:WWH655452 D720988:Z720988 JB720988:JV720988 SX720988:TR720988 ACT720988:ADN720988 AMP720988:ANJ720988 AWL720988:AXF720988 BGH720988:BHB720988 BQD720988:BQX720988 BZZ720988:CAT720988 CJV720988:CKP720988 CTR720988:CUL720988 DDN720988:DEH720988 DNJ720988:DOD720988 DXF720988:DXZ720988 EHB720988:EHV720988 EQX720988:ERR720988 FAT720988:FBN720988 FKP720988:FLJ720988 FUL720988:FVF720988 GEH720988:GFB720988 GOD720988:GOX720988 GXZ720988:GYT720988 HHV720988:HIP720988 HRR720988:HSL720988 IBN720988:ICH720988 ILJ720988:IMD720988 IVF720988:IVZ720988 JFB720988:JFV720988 JOX720988:JPR720988 JYT720988:JZN720988 KIP720988:KJJ720988 KSL720988:KTF720988 LCH720988:LDB720988 LMD720988:LMX720988 LVZ720988:LWT720988 MFV720988:MGP720988 MPR720988:MQL720988 MZN720988:NAH720988 NJJ720988:NKD720988 NTF720988:NTZ720988 ODB720988:ODV720988 OMX720988:ONR720988 OWT720988:OXN720988 PGP720988:PHJ720988 PQL720988:PRF720988 QAH720988:QBB720988 QKD720988:QKX720988 QTZ720988:QUT720988 RDV720988:REP720988 RNR720988:ROL720988 RXN720988:RYH720988 SHJ720988:SID720988 SRF720988:SRZ720988 TBB720988:TBV720988 TKX720988:TLR720988 TUT720988:TVN720988 UEP720988:UFJ720988 UOL720988:UPF720988 UYH720988:UZB720988 VID720988:VIX720988 VRZ720988:VST720988 WBV720988:WCP720988 WLR720988:WML720988 WVN720988:WWH720988 D786524:Z786524 JB786524:JV786524 SX786524:TR786524 ACT786524:ADN786524 AMP786524:ANJ786524 AWL786524:AXF786524 BGH786524:BHB786524 BQD786524:BQX786524 BZZ786524:CAT786524 CJV786524:CKP786524 CTR786524:CUL786524 DDN786524:DEH786524 DNJ786524:DOD786524 DXF786524:DXZ786524 EHB786524:EHV786524 EQX786524:ERR786524 FAT786524:FBN786524 FKP786524:FLJ786524 FUL786524:FVF786524 GEH786524:GFB786524 GOD786524:GOX786524 GXZ786524:GYT786524 HHV786524:HIP786524 HRR786524:HSL786524 IBN786524:ICH786524 ILJ786524:IMD786524 IVF786524:IVZ786524 JFB786524:JFV786524 JOX786524:JPR786524 JYT786524:JZN786524 KIP786524:KJJ786524 KSL786524:KTF786524 LCH786524:LDB786524 LMD786524:LMX786524 LVZ786524:LWT786524 MFV786524:MGP786524 MPR786524:MQL786524 MZN786524:NAH786524 NJJ786524:NKD786524 NTF786524:NTZ786524 ODB786524:ODV786524 OMX786524:ONR786524 OWT786524:OXN786524 PGP786524:PHJ786524 PQL786524:PRF786524 QAH786524:QBB786524 QKD786524:QKX786524 QTZ786524:QUT786524 RDV786524:REP786524 RNR786524:ROL786524 RXN786524:RYH786524 SHJ786524:SID786524 SRF786524:SRZ786524 TBB786524:TBV786524 TKX786524:TLR786524 TUT786524:TVN786524 UEP786524:UFJ786524 UOL786524:UPF786524 UYH786524:UZB786524 VID786524:VIX786524 VRZ786524:VST786524 WBV786524:WCP786524 WLR786524:WML786524 WVN786524:WWH786524 D852060:Z852060 JB852060:JV852060 SX852060:TR852060 ACT852060:ADN852060 AMP852060:ANJ852060 AWL852060:AXF852060 BGH852060:BHB852060 BQD852060:BQX852060 BZZ852060:CAT852060 CJV852060:CKP852060 CTR852060:CUL852060 DDN852060:DEH852060 DNJ852060:DOD852060 DXF852060:DXZ852060 EHB852060:EHV852060 EQX852060:ERR852060 FAT852060:FBN852060 FKP852060:FLJ852060 FUL852060:FVF852060 GEH852060:GFB852060 GOD852060:GOX852060 GXZ852060:GYT852060 HHV852060:HIP852060 HRR852060:HSL852060 IBN852060:ICH852060 ILJ852060:IMD852060 IVF852060:IVZ852060 JFB852060:JFV852060 JOX852060:JPR852060 JYT852060:JZN852060 KIP852060:KJJ852060 KSL852060:KTF852060 LCH852060:LDB852060 LMD852060:LMX852060 LVZ852060:LWT852060 MFV852060:MGP852060 MPR852060:MQL852060 MZN852060:NAH852060 NJJ852060:NKD852060 NTF852060:NTZ852060 ODB852060:ODV852060 OMX852060:ONR852060 OWT852060:OXN852060 PGP852060:PHJ852060 PQL852060:PRF852060 QAH852060:QBB852060 QKD852060:QKX852060 QTZ852060:QUT852060 RDV852060:REP852060 RNR852060:ROL852060 RXN852060:RYH852060 SHJ852060:SID852060 SRF852060:SRZ852060 TBB852060:TBV852060 TKX852060:TLR852060 TUT852060:TVN852060 UEP852060:UFJ852060 UOL852060:UPF852060 UYH852060:UZB852060 VID852060:VIX852060 VRZ852060:VST852060 WBV852060:WCP852060 WLR852060:WML852060 WVN852060:WWH852060 D917596:Z917596 JB917596:JV917596 SX917596:TR917596 ACT917596:ADN917596 AMP917596:ANJ917596 AWL917596:AXF917596 BGH917596:BHB917596 BQD917596:BQX917596 BZZ917596:CAT917596 CJV917596:CKP917596 CTR917596:CUL917596 DDN917596:DEH917596 DNJ917596:DOD917596 DXF917596:DXZ917596 EHB917596:EHV917596 EQX917596:ERR917596 FAT917596:FBN917596 FKP917596:FLJ917596 FUL917596:FVF917596 GEH917596:GFB917596 GOD917596:GOX917596 GXZ917596:GYT917596 HHV917596:HIP917596 HRR917596:HSL917596 IBN917596:ICH917596 ILJ917596:IMD917596 IVF917596:IVZ917596 JFB917596:JFV917596 JOX917596:JPR917596 JYT917596:JZN917596 KIP917596:KJJ917596 KSL917596:KTF917596 LCH917596:LDB917596 LMD917596:LMX917596 LVZ917596:LWT917596 MFV917596:MGP917596 MPR917596:MQL917596 MZN917596:NAH917596 NJJ917596:NKD917596 NTF917596:NTZ917596 ODB917596:ODV917596 OMX917596:ONR917596 OWT917596:OXN917596 PGP917596:PHJ917596 PQL917596:PRF917596 QAH917596:QBB917596 QKD917596:QKX917596 QTZ917596:QUT917596 RDV917596:REP917596 RNR917596:ROL917596 RXN917596:RYH917596 SHJ917596:SID917596 SRF917596:SRZ917596 TBB917596:TBV917596 TKX917596:TLR917596 TUT917596:TVN917596 UEP917596:UFJ917596 UOL917596:UPF917596 UYH917596:UZB917596 VID917596:VIX917596 VRZ917596:VST917596 WBV917596:WCP917596 WLR917596:WML917596 WVN917596:WWH917596 D983132:Z983132 JB983132:JV983132 SX983132:TR983132 ACT983132:ADN983132 AMP983132:ANJ983132 AWL983132:AXF983132 BGH983132:BHB983132 BQD983132:BQX983132 BZZ983132:CAT983132 CJV983132:CKP983132 CTR983132:CUL983132 DDN983132:DEH983132 DNJ983132:DOD983132 DXF983132:DXZ983132 EHB983132:EHV983132 EQX983132:ERR983132 FAT983132:FBN983132 FKP983132:FLJ983132 FUL983132:FVF983132 GEH983132:GFB983132 GOD983132:GOX983132 GXZ983132:GYT983132 HHV983132:HIP983132 HRR983132:HSL983132 IBN983132:ICH983132 ILJ983132:IMD983132 IVF983132:IVZ983132 JFB983132:JFV983132 JOX983132:JPR983132 JYT983132:JZN983132 KIP983132:KJJ983132 KSL983132:KTF983132 LCH983132:LDB983132 LMD983132:LMX983132 LVZ983132:LWT983132 MFV983132:MGP983132 MPR983132:MQL983132 MZN983132:NAH983132 NJJ983132:NKD983132 NTF983132:NTZ983132 ODB983132:ODV983132 OMX983132:ONR983132 OWT983132:OXN983132 PGP983132:PHJ983132 PQL983132:PRF983132 QAH983132:QBB983132 QKD983132:QKX983132 QTZ983132:QUT983132 RDV983132:REP983132 RNR983132:ROL983132 RXN983132:RYH983132 SHJ983132:SID983132 SRF983132:SRZ983132 TBB983132:TBV983132 TKX983132:TLR983132 TUT983132:TVN983132 UEP983132:UFJ983132 UOL983132:UPF983132 UYH983132:UZB983132 VID983132:VIX983132 VRZ983132:VST983132 WBV983132:WCP983132 WLR983132:WML983132 JB85:JV85 SX85:TR85 ACT85:ADN85 AMP85:ANJ85 AWL85:AXF85 BGH85:BHB85 BQD85:BQX85 BZZ85:CAT85 CJV85:CKP85 CTR85:CUL85 DDN85:DEH85 DNJ85:DOD85 DXF85:DXZ85 EHB85:EHV85 EQX85:ERR85 FAT85:FBN85 FKP85:FLJ85 FUL85:FVF85 GEH85:GFB85 GOD85:GOX85 GXZ85:GYT85 HHV85:HIP85 HRR85:HSL85 IBN85:ICH85 ILJ85:IMD85 IVF85:IVZ85 JFB85:JFV85 JOX85:JPR85 JYT85:JZN85 KIP85:KJJ85 KSL85:KTF85 LCH85:LDB85 LMD85:LMX85 LVZ85:LWT85 MFV85:MGP85 MPR85:MQL85 MZN85:NAH85 NJJ85:NKD85 NTF85:NTZ85 ODB85:ODV85 OMX85:ONR85 OWT85:OXN85 PGP85:PHJ85 PQL85:PRF85 QAH85:QBB85 QKD85:QKX85 QTZ85:QUT85 RDV85:REP85 RNR85:ROL85 RXN85:RYH85 SHJ85:SID85 SRF85:SRZ85 TBB85:TBV85 TKX85:TLR85 TUT85:TVN85 UEP85:UFJ85 UOL85:UPF85 UYH85:UZB85 VID85:VIX85 VRZ85:VST85 WBV85:WCP85 WLR85:WML85 WVN85:WWH85">
      <formula1>CF</formula1>
    </dataValidation>
    <dataValidation type="list" allowBlank="1" showInputMessage="1" showErrorMessage="1" sqref="D65626:Z65626 D62:Z62 JB65626:JV65626 SX65626:TR65626 ACT65626:ADN65626 AMP65626:ANJ65626 AWL65626:AXF65626 BGH65626:BHB65626 BQD65626:BQX65626 BZZ65626:CAT65626 CJV65626:CKP65626 CTR65626:CUL65626 DDN65626:DEH65626 DNJ65626:DOD65626 DXF65626:DXZ65626 EHB65626:EHV65626 EQX65626:ERR65626 FAT65626:FBN65626 FKP65626:FLJ65626 FUL65626:FVF65626 GEH65626:GFB65626 GOD65626:GOX65626 GXZ65626:GYT65626 HHV65626:HIP65626 HRR65626:HSL65626 IBN65626:ICH65626 ILJ65626:IMD65626 IVF65626:IVZ65626 JFB65626:JFV65626 JOX65626:JPR65626 JYT65626:JZN65626 KIP65626:KJJ65626 KSL65626:KTF65626 LCH65626:LDB65626 LMD65626:LMX65626 LVZ65626:LWT65626 MFV65626:MGP65626 MPR65626:MQL65626 MZN65626:NAH65626 NJJ65626:NKD65626 NTF65626:NTZ65626 ODB65626:ODV65626 OMX65626:ONR65626 OWT65626:OXN65626 PGP65626:PHJ65626 PQL65626:PRF65626 QAH65626:QBB65626 QKD65626:QKX65626 QTZ65626:QUT65626 RDV65626:REP65626 RNR65626:ROL65626 RXN65626:RYH65626 SHJ65626:SID65626 SRF65626:SRZ65626 TBB65626:TBV65626 TKX65626:TLR65626 TUT65626:TVN65626 UEP65626:UFJ65626 UOL65626:UPF65626 UYH65626:UZB65626 VID65626:VIX65626 VRZ65626:VST65626 WBV65626:WCP65626 WLR65626:WML65626 WVN65626:WWH65626 D131162:Z131162 JB131162:JV131162 SX131162:TR131162 ACT131162:ADN131162 AMP131162:ANJ131162 AWL131162:AXF131162 BGH131162:BHB131162 BQD131162:BQX131162 BZZ131162:CAT131162 CJV131162:CKP131162 CTR131162:CUL131162 DDN131162:DEH131162 DNJ131162:DOD131162 DXF131162:DXZ131162 EHB131162:EHV131162 EQX131162:ERR131162 FAT131162:FBN131162 FKP131162:FLJ131162 FUL131162:FVF131162 GEH131162:GFB131162 GOD131162:GOX131162 GXZ131162:GYT131162 HHV131162:HIP131162 HRR131162:HSL131162 IBN131162:ICH131162 ILJ131162:IMD131162 IVF131162:IVZ131162 JFB131162:JFV131162 JOX131162:JPR131162 JYT131162:JZN131162 KIP131162:KJJ131162 KSL131162:KTF131162 LCH131162:LDB131162 LMD131162:LMX131162 LVZ131162:LWT131162 MFV131162:MGP131162 MPR131162:MQL131162 MZN131162:NAH131162 NJJ131162:NKD131162 NTF131162:NTZ131162 ODB131162:ODV131162 OMX131162:ONR131162 OWT131162:OXN131162 PGP131162:PHJ131162 PQL131162:PRF131162 QAH131162:QBB131162 QKD131162:QKX131162 QTZ131162:QUT131162 RDV131162:REP131162 RNR131162:ROL131162 RXN131162:RYH131162 SHJ131162:SID131162 SRF131162:SRZ131162 TBB131162:TBV131162 TKX131162:TLR131162 TUT131162:TVN131162 UEP131162:UFJ131162 UOL131162:UPF131162 UYH131162:UZB131162 VID131162:VIX131162 VRZ131162:VST131162 WBV131162:WCP131162 WLR131162:WML131162 WVN131162:WWH131162 D196698:Z196698 JB196698:JV196698 SX196698:TR196698 ACT196698:ADN196698 AMP196698:ANJ196698 AWL196698:AXF196698 BGH196698:BHB196698 BQD196698:BQX196698 BZZ196698:CAT196698 CJV196698:CKP196698 CTR196698:CUL196698 DDN196698:DEH196698 DNJ196698:DOD196698 DXF196698:DXZ196698 EHB196698:EHV196698 EQX196698:ERR196698 FAT196698:FBN196698 FKP196698:FLJ196698 FUL196698:FVF196698 GEH196698:GFB196698 GOD196698:GOX196698 GXZ196698:GYT196698 HHV196698:HIP196698 HRR196698:HSL196698 IBN196698:ICH196698 ILJ196698:IMD196698 IVF196698:IVZ196698 JFB196698:JFV196698 JOX196698:JPR196698 JYT196698:JZN196698 KIP196698:KJJ196698 KSL196698:KTF196698 LCH196698:LDB196698 LMD196698:LMX196698 LVZ196698:LWT196698 MFV196698:MGP196698 MPR196698:MQL196698 MZN196698:NAH196698 NJJ196698:NKD196698 NTF196698:NTZ196698 ODB196698:ODV196698 OMX196698:ONR196698 OWT196698:OXN196698 PGP196698:PHJ196698 PQL196698:PRF196698 QAH196698:QBB196698 QKD196698:QKX196698 QTZ196698:QUT196698 RDV196698:REP196698 RNR196698:ROL196698 RXN196698:RYH196698 SHJ196698:SID196698 SRF196698:SRZ196698 TBB196698:TBV196698 TKX196698:TLR196698 TUT196698:TVN196698 UEP196698:UFJ196698 UOL196698:UPF196698 UYH196698:UZB196698 VID196698:VIX196698 VRZ196698:VST196698 WBV196698:WCP196698 WLR196698:WML196698 WVN196698:WWH196698 D262234:Z262234 JB262234:JV262234 SX262234:TR262234 ACT262234:ADN262234 AMP262234:ANJ262234 AWL262234:AXF262234 BGH262234:BHB262234 BQD262234:BQX262234 BZZ262234:CAT262234 CJV262234:CKP262234 CTR262234:CUL262234 DDN262234:DEH262234 DNJ262234:DOD262234 DXF262234:DXZ262234 EHB262234:EHV262234 EQX262234:ERR262234 FAT262234:FBN262234 FKP262234:FLJ262234 FUL262234:FVF262234 GEH262234:GFB262234 GOD262234:GOX262234 GXZ262234:GYT262234 HHV262234:HIP262234 HRR262234:HSL262234 IBN262234:ICH262234 ILJ262234:IMD262234 IVF262234:IVZ262234 JFB262234:JFV262234 JOX262234:JPR262234 JYT262234:JZN262234 KIP262234:KJJ262234 KSL262234:KTF262234 LCH262234:LDB262234 LMD262234:LMX262234 LVZ262234:LWT262234 MFV262234:MGP262234 MPR262234:MQL262234 MZN262234:NAH262234 NJJ262234:NKD262234 NTF262234:NTZ262234 ODB262234:ODV262234 OMX262234:ONR262234 OWT262234:OXN262234 PGP262234:PHJ262234 PQL262234:PRF262234 QAH262234:QBB262234 QKD262234:QKX262234 QTZ262234:QUT262234 RDV262234:REP262234 RNR262234:ROL262234 RXN262234:RYH262234 SHJ262234:SID262234 SRF262234:SRZ262234 TBB262234:TBV262234 TKX262234:TLR262234 TUT262234:TVN262234 UEP262234:UFJ262234 UOL262234:UPF262234 UYH262234:UZB262234 VID262234:VIX262234 VRZ262234:VST262234 WBV262234:WCP262234 WLR262234:WML262234 WVN262234:WWH262234 D327770:Z327770 JB327770:JV327770 SX327770:TR327770 ACT327770:ADN327770 AMP327770:ANJ327770 AWL327770:AXF327770 BGH327770:BHB327770 BQD327770:BQX327770 BZZ327770:CAT327770 CJV327770:CKP327770 CTR327770:CUL327770 DDN327770:DEH327770 DNJ327770:DOD327770 DXF327770:DXZ327770 EHB327770:EHV327770 EQX327770:ERR327770 FAT327770:FBN327770 FKP327770:FLJ327770 FUL327770:FVF327770 GEH327770:GFB327770 GOD327770:GOX327770 GXZ327770:GYT327770 HHV327770:HIP327770 HRR327770:HSL327770 IBN327770:ICH327770 ILJ327770:IMD327770 IVF327770:IVZ327770 JFB327770:JFV327770 JOX327770:JPR327770 JYT327770:JZN327770 KIP327770:KJJ327770 KSL327770:KTF327770 LCH327770:LDB327770 LMD327770:LMX327770 LVZ327770:LWT327770 MFV327770:MGP327770 MPR327770:MQL327770 MZN327770:NAH327770 NJJ327770:NKD327770 NTF327770:NTZ327770 ODB327770:ODV327770 OMX327770:ONR327770 OWT327770:OXN327770 PGP327770:PHJ327770 PQL327770:PRF327770 QAH327770:QBB327770 QKD327770:QKX327770 QTZ327770:QUT327770 RDV327770:REP327770 RNR327770:ROL327770 RXN327770:RYH327770 SHJ327770:SID327770 SRF327770:SRZ327770 TBB327770:TBV327770 TKX327770:TLR327770 TUT327770:TVN327770 UEP327770:UFJ327770 UOL327770:UPF327770 UYH327770:UZB327770 VID327770:VIX327770 VRZ327770:VST327770 WBV327770:WCP327770 WLR327770:WML327770 WVN327770:WWH327770 D393306:Z393306 JB393306:JV393306 SX393306:TR393306 ACT393306:ADN393306 AMP393306:ANJ393306 AWL393306:AXF393306 BGH393306:BHB393306 BQD393306:BQX393306 BZZ393306:CAT393306 CJV393306:CKP393306 CTR393306:CUL393306 DDN393306:DEH393306 DNJ393306:DOD393306 DXF393306:DXZ393306 EHB393306:EHV393306 EQX393306:ERR393306 FAT393306:FBN393306 FKP393306:FLJ393306 FUL393306:FVF393306 GEH393306:GFB393306 GOD393306:GOX393306 GXZ393306:GYT393306 HHV393306:HIP393306 HRR393306:HSL393306 IBN393306:ICH393306 ILJ393306:IMD393306 IVF393306:IVZ393306 JFB393306:JFV393306 JOX393306:JPR393306 JYT393306:JZN393306 KIP393306:KJJ393306 KSL393306:KTF393306 LCH393306:LDB393306 LMD393306:LMX393306 LVZ393306:LWT393306 MFV393306:MGP393306 MPR393306:MQL393306 MZN393306:NAH393306 NJJ393306:NKD393306 NTF393306:NTZ393306 ODB393306:ODV393306 OMX393306:ONR393306 OWT393306:OXN393306 PGP393306:PHJ393306 PQL393306:PRF393306 QAH393306:QBB393306 QKD393306:QKX393306 QTZ393306:QUT393306 RDV393306:REP393306 RNR393306:ROL393306 RXN393306:RYH393306 SHJ393306:SID393306 SRF393306:SRZ393306 TBB393306:TBV393306 TKX393306:TLR393306 TUT393306:TVN393306 UEP393306:UFJ393306 UOL393306:UPF393306 UYH393306:UZB393306 VID393306:VIX393306 VRZ393306:VST393306 WBV393306:WCP393306 WLR393306:WML393306 WVN393306:WWH393306 D458842:Z458842 JB458842:JV458842 SX458842:TR458842 ACT458842:ADN458842 AMP458842:ANJ458842 AWL458842:AXF458842 BGH458842:BHB458842 BQD458842:BQX458842 BZZ458842:CAT458842 CJV458842:CKP458842 CTR458842:CUL458842 DDN458842:DEH458842 DNJ458842:DOD458842 DXF458842:DXZ458842 EHB458842:EHV458842 EQX458842:ERR458842 FAT458842:FBN458842 FKP458842:FLJ458842 FUL458842:FVF458842 GEH458842:GFB458842 GOD458842:GOX458842 GXZ458842:GYT458842 HHV458842:HIP458842 HRR458842:HSL458842 IBN458842:ICH458842 ILJ458842:IMD458842 IVF458842:IVZ458842 JFB458842:JFV458842 JOX458842:JPR458842 JYT458842:JZN458842 KIP458842:KJJ458842 KSL458842:KTF458842 LCH458842:LDB458842 LMD458842:LMX458842 LVZ458842:LWT458842 MFV458842:MGP458842 MPR458842:MQL458842 MZN458842:NAH458842 NJJ458842:NKD458842 NTF458842:NTZ458842 ODB458842:ODV458842 OMX458842:ONR458842 OWT458842:OXN458842 PGP458842:PHJ458842 PQL458842:PRF458842 QAH458842:QBB458842 QKD458842:QKX458842 QTZ458842:QUT458842 RDV458842:REP458842 RNR458842:ROL458842 RXN458842:RYH458842 SHJ458842:SID458842 SRF458842:SRZ458842 TBB458842:TBV458842 TKX458842:TLR458842 TUT458842:TVN458842 UEP458842:UFJ458842 UOL458842:UPF458842 UYH458842:UZB458842 VID458842:VIX458842 VRZ458842:VST458842 WBV458842:WCP458842 WLR458842:WML458842 WVN458842:WWH458842 D524378:Z524378 JB524378:JV524378 SX524378:TR524378 ACT524378:ADN524378 AMP524378:ANJ524378 AWL524378:AXF524378 BGH524378:BHB524378 BQD524378:BQX524378 BZZ524378:CAT524378 CJV524378:CKP524378 CTR524378:CUL524378 DDN524378:DEH524378 DNJ524378:DOD524378 DXF524378:DXZ524378 EHB524378:EHV524378 EQX524378:ERR524378 FAT524378:FBN524378 FKP524378:FLJ524378 FUL524378:FVF524378 GEH524378:GFB524378 GOD524378:GOX524378 GXZ524378:GYT524378 HHV524378:HIP524378 HRR524378:HSL524378 IBN524378:ICH524378 ILJ524378:IMD524378 IVF524378:IVZ524378 JFB524378:JFV524378 JOX524378:JPR524378 JYT524378:JZN524378 KIP524378:KJJ524378 KSL524378:KTF524378 LCH524378:LDB524378 LMD524378:LMX524378 LVZ524378:LWT524378 MFV524378:MGP524378 MPR524378:MQL524378 MZN524378:NAH524378 NJJ524378:NKD524378 NTF524378:NTZ524378 ODB524378:ODV524378 OMX524378:ONR524378 OWT524378:OXN524378 PGP524378:PHJ524378 PQL524378:PRF524378 QAH524378:QBB524378 QKD524378:QKX524378 QTZ524378:QUT524378 RDV524378:REP524378 RNR524378:ROL524378 RXN524378:RYH524378 SHJ524378:SID524378 SRF524378:SRZ524378 TBB524378:TBV524378 TKX524378:TLR524378 TUT524378:TVN524378 UEP524378:UFJ524378 UOL524378:UPF524378 UYH524378:UZB524378 VID524378:VIX524378 VRZ524378:VST524378 WBV524378:WCP524378 WLR524378:WML524378 WVN524378:WWH524378 D589914:Z589914 JB589914:JV589914 SX589914:TR589914 ACT589914:ADN589914 AMP589914:ANJ589914 AWL589914:AXF589914 BGH589914:BHB589914 BQD589914:BQX589914 BZZ589914:CAT589914 CJV589914:CKP589914 CTR589914:CUL589914 DDN589914:DEH589914 DNJ589914:DOD589914 DXF589914:DXZ589914 EHB589914:EHV589914 EQX589914:ERR589914 FAT589914:FBN589914 FKP589914:FLJ589914 FUL589914:FVF589914 GEH589914:GFB589914 GOD589914:GOX589914 GXZ589914:GYT589914 HHV589914:HIP589914 HRR589914:HSL589914 IBN589914:ICH589914 ILJ589914:IMD589914 IVF589914:IVZ589914 JFB589914:JFV589914 JOX589914:JPR589914 JYT589914:JZN589914 KIP589914:KJJ589914 KSL589914:KTF589914 LCH589914:LDB589914 LMD589914:LMX589914 LVZ589914:LWT589914 MFV589914:MGP589914 MPR589914:MQL589914 MZN589914:NAH589914 NJJ589914:NKD589914 NTF589914:NTZ589914 ODB589914:ODV589914 OMX589914:ONR589914 OWT589914:OXN589914 PGP589914:PHJ589914 PQL589914:PRF589914 QAH589914:QBB589914 QKD589914:QKX589914 QTZ589914:QUT589914 RDV589914:REP589914 RNR589914:ROL589914 RXN589914:RYH589914 SHJ589914:SID589914 SRF589914:SRZ589914 TBB589914:TBV589914 TKX589914:TLR589914 TUT589914:TVN589914 UEP589914:UFJ589914 UOL589914:UPF589914 UYH589914:UZB589914 VID589914:VIX589914 VRZ589914:VST589914 WBV589914:WCP589914 WLR589914:WML589914 WVN589914:WWH589914 D655450:Z655450 JB655450:JV655450 SX655450:TR655450 ACT655450:ADN655450 AMP655450:ANJ655450 AWL655450:AXF655450 BGH655450:BHB655450 BQD655450:BQX655450 BZZ655450:CAT655450 CJV655450:CKP655450 CTR655450:CUL655450 DDN655450:DEH655450 DNJ655450:DOD655450 DXF655450:DXZ655450 EHB655450:EHV655450 EQX655450:ERR655450 FAT655450:FBN655450 FKP655450:FLJ655450 FUL655450:FVF655450 GEH655450:GFB655450 GOD655450:GOX655450 GXZ655450:GYT655450 HHV655450:HIP655450 HRR655450:HSL655450 IBN655450:ICH655450 ILJ655450:IMD655450 IVF655450:IVZ655450 JFB655450:JFV655450 JOX655450:JPR655450 JYT655450:JZN655450 KIP655450:KJJ655450 KSL655450:KTF655450 LCH655450:LDB655450 LMD655450:LMX655450 LVZ655450:LWT655450 MFV655450:MGP655450 MPR655450:MQL655450 MZN655450:NAH655450 NJJ655450:NKD655450 NTF655450:NTZ655450 ODB655450:ODV655450 OMX655450:ONR655450 OWT655450:OXN655450 PGP655450:PHJ655450 PQL655450:PRF655450 QAH655450:QBB655450 QKD655450:QKX655450 QTZ655450:QUT655450 RDV655450:REP655450 RNR655450:ROL655450 RXN655450:RYH655450 SHJ655450:SID655450 SRF655450:SRZ655450 TBB655450:TBV655450 TKX655450:TLR655450 TUT655450:TVN655450 UEP655450:UFJ655450 UOL655450:UPF655450 UYH655450:UZB655450 VID655450:VIX655450 VRZ655450:VST655450 WBV655450:WCP655450 WLR655450:WML655450 WVN655450:WWH655450 D720986:Z720986 JB720986:JV720986 SX720986:TR720986 ACT720986:ADN720986 AMP720986:ANJ720986 AWL720986:AXF720986 BGH720986:BHB720986 BQD720986:BQX720986 BZZ720986:CAT720986 CJV720986:CKP720986 CTR720986:CUL720986 DDN720986:DEH720986 DNJ720986:DOD720986 DXF720986:DXZ720986 EHB720986:EHV720986 EQX720986:ERR720986 FAT720986:FBN720986 FKP720986:FLJ720986 FUL720986:FVF720986 GEH720986:GFB720986 GOD720986:GOX720986 GXZ720986:GYT720986 HHV720986:HIP720986 HRR720986:HSL720986 IBN720986:ICH720986 ILJ720986:IMD720986 IVF720986:IVZ720986 JFB720986:JFV720986 JOX720986:JPR720986 JYT720986:JZN720986 KIP720986:KJJ720986 KSL720986:KTF720986 LCH720986:LDB720986 LMD720986:LMX720986 LVZ720986:LWT720986 MFV720986:MGP720986 MPR720986:MQL720986 MZN720986:NAH720986 NJJ720986:NKD720986 NTF720986:NTZ720986 ODB720986:ODV720986 OMX720986:ONR720986 OWT720986:OXN720986 PGP720986:PHJ720986 PQL720986:PRF720986 QAH720986:QBB720986 QKD720986:QKX720986 QTZ720986:QUT720986 RDV720986:REP720986 RNR720986:ROL720986 RXN720986:RYH720986 SHJ720986:SID720986 SRF720986:SRZ720986 TBB720986:TBV720986 TKX720986:TLR720986 TUT720986:TVN720986 UEP720986:UFJ720986 UOL720986:UPF720986 UYH720986:UZB720986 VID720986:VIX720986 VRZ720986:VST720986 WBV720986:WCP720986 WLR720986:WML720986 WVN720986:WWH720986 D786522:Z786522 JB786522:JV786522 SX786522:TR786522 ACT786522:ADN786522 AMP786522:ANJ786522 AWL786522:AXF786522 BGH786522:BHB786522 BQD786522:BQX786522 BZZ786522:CAT786522 CJV786522:CKP786522 CTR786522:CUL786522 DDN786522:DEH786522 DNJ786522:DOD786522 DXF786522:DXZ786522 EHB786522:EHV786522 EQX786522:ERR786522 FAT786522:FBN786522 FKP786522:FLJ786522 FUL786522:FVF786522 GEH786522:GFB786522 GOD786522:GOX786522 GXZ786522:GYT786522 HHV786522:HIP786522 HRR786522:HSL786522 IBN786522:ICH786522 ILJ786522:IMD786522 IVF786522:IVZ786522 JFB786522:JFV786522 JOX786522:JPR786522 JYT786522:JZN786522 KIP786522:KJJ786522 KSL786522:KTF786522 LCH786522:LDB786522 LMD786522:LMX786522 LVZ786522:LWT786522 MFV786522:MGP786522 MPR786522:MQL786522 MZN786522:NAH786522 NJJ786522:NKD786522 NTF786522:NTZ786522 ODB786522:ODV786522 OMX786522:ONR786522 OWT786522:OXN786522 PGP786522:PHJ786522 PQL786522:PRF786522 QAH786522:QBB786522 QKD786522:QKX786522 QTZ786522:QUT786522 RDV786522:REP786522 RNR786522:ROL786522 RXN786522:RYH786522 SHJ786522:SID786522 SRF786522:SRZ786522 TBB786522:TBV786522 TKX786522:TLR786522 TUT786522:TVN786522 UEP786522:UFJ786522 UOL786522:UPF786522 UYH786522:UZB786522 VID786522:VIX786522 VRZ786522:VST786522 WBV786522:WCP786522 WLR786522:WML786522 WVN786522:WWH786522 D852058:Z852058 JB852058:JV852058 SX852058:TR852058 ACT852058:ADN852058 AMP852058:ANJ852058 AWL852058:AXF852058 BGH852058:BHB852058 BQD852058:BQX852058 BZZ852058:CAT852058 CJV852058:CKP852058 CTR852058:CUL852058 DDN852058:DEH852058 DNJ852058:DOD852058 DXF852058:DXZ852058 EHB852058:EHV852058 EQX852058:ERR852058 FAT852058:FBN852058 FKP852058:FLJ852058 FUL852058:FVF852058 GEH852058:GFB852058 GOD852058:GOX852058 GXZ852058:GYT852058 HHV852058:HIP852058 HRR852058:HSL852058 IBN852058:ICH852058 ILJ852058:IMD852058 IVF852058:IVZ852058 JFB852058:JFV852058 JOX852058:JPR852058 JYT852058:JZN852058 KIP852058:KJJ852058 KSL852058:KTF852058 LCH852058:LDB852058 LMD852058:LMX852058 LVZ852058:LWT852058 MFV852058:MGP852058 MPR852058:MQL852058 MZN852058:NAH852058 NJJ852058:NKD852058 NTF852058:NTZ852058 ODB852058:ODV852058 OMX852058:ONR852058 OWT852058:OXN852058 PGP852058:PHJ852058 PQL852058:PRF852058 QAH852058:QBB852058 QKD852058:QKX852058 QTZ852058:QUT852058 RDV852058:REP852058 RNR852058:ROL852058 RXN852058:RYH852058 SHJ852058:SID852058 SRF852058:SRZ852058 TBB852058:TBV852058 TKX852058:TLR852058 TUT852058:TVN852058 UEP852058:UFJ852058 UOL852058:UPF852058 UYH852058:UZB852058 VID852058:VIX852058 VRZ852058:VST852058 WBV852058:WCP852058 WLR852058:WML852058 WVN852058:WWH852058 D917594:Z917594 JB917594:JV917594 SX917594:TR917594 ACT917594:ADN917594 AMP917594:ANJ917594 AWL917594:AXF917594 BGH917594:BHB917594 BQD917594:BQX917594 BZZ917594:CAT917594 CJV917594:CKP917594 CTR917594:CUL917594 DDN917594:DEH917594 DNJ917594:DOD917594 DXF917594:DXZ917594 EHB917594:EHV917594 EQX917594:ERR917594 FAT917594:FBN917594 FKP917594:FLJ917594 FUL917594:FVF917594 GEH917594:GFB917594 GOD917594:GOX917594 GXZ917594:GYT917594 HHV917594:HIP917594 HRR917594:HSL917594 IBN917594:ICH917594 ILJ917594:IMD917594 IVF917594:IVZ917594 JFB917594:JFV917594 JOX917594:JPR917594 JYT917594:JZN917594 KIP917594:KJJ917594 KSL917594:KTF917594 LCH917594:LDB917594 LMD917594:LMX917594 LVZ917594:LWT917594 MFV917594:MGP917594 MPR917594:MQL917594 MZN917594:NAH917594 NJJ917594:NKD917594 NTF917594:NTZ917594 ODB917594:ODV917594 OMX917594:ONR917594 OWT917594:OXN917594 PGP917594:PHJ917594 PQL917594:PRF917594 QAH917594:QBB917594 QKD917594:QKX917594 QTZ917594:QUT917594 RDV917594:REP917594 RNR917594:ROL917594 RXN917594:RYH917594 SHJ917594:SID917594 SRF917594:SRZ917594 TBB917594:TBV917594 TKX917594:TLR917594 TUT917594:TVN917594 UEP917594:UFJ917594 UOL917594:UPF917594 UYH917594:UZB917594 VID917594:VIX917594 VRZ917594:VST917594 WBV917594:WCP917594 WLR917594:WML917594 WVN917594:WWH917594 D983130:Z983130 JB983130:JV983130 SX983130:TR983130 ACT983130:ADN983130 AMP983130:ANJ983130 AWL983130:AXF983130 BGH983130:BHB983130 BQD983130:BQX983130 BZZ983130:CAT983130 CJV983130:CKP983130 CTR983130:CUL983130 DDN983130:DEH983130 DNJ983130:DOD983130 DXF983130:DXZ983130 EHB983130:EHV983130 EQX983130:ERR983130 FAT983130:FBN983130 FKP983130:FLJ983130 FUL983130:FVF983130 GEH983130:GFB983130 GOD983130:GOX983130 GXZ983130:GYT983130 HHV983130:HIP983130 HRR983130:HSL983130 IBN983130:ICH983130 ILJ983130:IMD983130 IVF983130:IVZ983130 JFB983130:JFV983130 JOX983130:JPR983130 JYT983130:JZN983130 KIP983130:KJJ983130 KSL983130:KTF983130 LCH983130:LDB983130 LMD983130:LMX983130 LVZ983130:LWT983130 MFV983130:MGP983130 MPR983130:MQL983130 MZN983130:NAH983130 NJJ983130:NKD983130 NTF983130:NTZ983130 ODB983130:ODV983130 OMX983130:ONR983130 OWT983130:OXN983130 PGP983130:PHJ983130 PQL983130:PRF983130 QAH983130:QBB983130 QKD983130:QKX983130 QTZ983130:QUT983130 RDV983130:REP983130 RNR983130:ROL983130 RXN983130:RYH983130 SHJ983130:SID983130 SRF983130:SRZ983130 TBB983130:TBV983130 TKX983130:TLR983130 TUT983130:TVN983130 UEP983130:UFJ983130 UOL983130:UPF983130 UYH983130:UZB983130 VID983130:VIX983130 VRZ983130:VST983130 WBV983130:WCP983130 WLR983130:WML983130 WVN983130:WWH983130 JB83:JV83 SX83:TR83 ACT83:ADN83 AMP83:ANJ83 AWL83:AXF83 BGH83:BHB83 BQD83:BQX83 BZZ83:CAT83 CJV83:CKP83 CTR83:CUL83 DDN83:DEH83 DNJ83:DOD83 DXF83:DXZ83 EHB83:EHV83 EQX83:ERR83 FAT83:FBN83 FKP83:FLJ83 FUL83:FVF83 GEH83:GFB83 GOD83:GOX83 GXZ83:GYT83 HHV83:HIP83 HRR83:HSL83 IBN83:ICH83 ILJ83:IMD83 IVF83:IVZ83 JFB83:JFV83 JOX83:JPR83 JYT83:JZN83 KIP83:KJJ83 KSL83:KTF83 LCH83:LDB83 LMD83:LMX83 LVZ83:LWT83 MFV83:MGP83 MPR83:MQL83 MZN83:NAH83 NJJ83:NKD83 NTF83:NTZ83 ODB83:ODV83 OMX83:ONR83 OWT83:OXN83 PGP83:PHJ83 PQL83:PRF83 QAH83:QBB83 QKD83:QKX83 QTZ83:QUT83 RDV83:REP83 RNR83:ROL83 RXN83:RYH83 SHJ83:SID83 SRF83:SRZ83 TBB83:TBV83 TKX83:TLR83 TUT83:TVN83 UEP83:UFJ83 UOL83:UPF83 UYH83:UZB83 VID83:VIX83 VRZ83:VST83 WBV83:WCP83 WLR83:WML83 WVN83:WWH83">
      <formula1>SCH</formula1>
    </dataValidation>
    <dataValidation type="list" allowBlank="1" showInputMessage="1" showErrorMessage="1" sqref="A42:B42 A65600:B65600 WVK39:WVL42 WLO39:WLP42 WBS39:WBT42 VRW39:VRX42 VIA39:VIB42 UYE39:UYF42 UOI39:UOJ42 UEM39:UEN42 TUQ39:TUR42 TKU39:TKV42 TAY39:TAZ42 SRC39:SRD42 SHG39:SHH42 RXK39:RXL42 RNO39:RNP42 RDS39:RDT42 QTW39:QTX42 QKA39:QKB42 QAE39:QAF42 PQI39:PQJ42 PGM39:PGN42 OWQ39:OWR42 OMU39:OMV42 OCY39:OCZ42 NTC39:NTD42 NJG39:NJH42 MZK39:MZL42 MPO39:MPP42 MFS39:MFT42 LVW39:LVX42 LMA39:LMB42 LCE39:LCF42 KSI39:KSJ42 KIM39:KIN42 JYQ39:JYR42 JOU39:JOV42 JEY39:JEZ42 IVC39:IVD42 ILG39:ILH42 IBK39:IBL42 HRO39:HRP42 HHS39:HHT42 GXW39:GXX42 GOA39:GOB42 GEE39:GEF42 FUI39:FUJ42 FKM39:FKN42 FAQ39:FAR42 EQU39:EQV42 EGY39:EGZ42 DXC39:DXD42 DNG39:DNH42 DDK39:DDL42 CTO39:CTP42 CJS39:CJT42 BZW39:BZX42 BQA39:BQB42 BGE39:BGF42 AWI39:AWJ42 AMM39:AMN42 ACQ39:ACR42 SU39:SV42 IY39:IZ42 IY65600:IZ65600 SU65600:SV65600 ACQ65600:ACR65600 AMM65600:AMN65600 AWI65600:AWJ65600 BGE65600:BGF65600 BQA65600:BQB65600 BZW65600:BZX65600 CJS65600:CJT65600 CTO65600:CTP65600 DDK65600:DDL65600 DNG65600:DNH65600 DXC65600:DXD65600 EGY65600:EGZ65600 EQU65600:EQV65600 FAQ65600:FAR65600 FKM65600:FKN65600 FUI65600:FUJ65600 GEE65600:GEF65600 GOA65600:GOB65600 GXW65600:GXX65600 HHS65600:HHT65600 HRO65600:HRP65600 IBK65600:IBL65600 ILG65600:ILH65600 IVC65600:IVD65600 JEY65600:JEZ65600 JOU65600:JOV65600 JYQ65600:JYR65600 KIM65600:KIN65600 KSI65600:KSJ65600 LCE65600:LCF65600 LMA65600:LMB65600 LVW65600:LVX65600 MFS65600:MFT65600 MPO65600:MPP65600 MZK65600:MZL65600 NJG65600:NJH65600 NTC65600:NTD65600 OCY65600:OCZ65600 OMU65600:OMV65600 OWQ65600:OWR65600 PGM65600:PGN65600 PQI65600:PQJ65600 QAE65600:QAF65600 QKA65600:QKB65600 QTW65600:QTX65600 RDS65600:RDT65600 RNO65600:RNP65600 RXK65600:RXL65600 SHG65600:SHH65600 SRC65600:SRD65600 TAY65600:TAZ65600 TKU65600:TKV65600 TUQ65600:TUR65600 UEM65600:UEN65600 UOI65600:UOJ65600 UYE65600:UYF65600 VIA65600:VIB65600 VRW65600:VRX65600 WBS65600:WBT65600 WLO65600:WLP65600 WVK65600:WVL65600 A131136:B131136 IY131136:IZ131136 SU131136:SV131136 ACQ131136:ACR131136 AMM131136:AMN131136 AWI131136:AWJ131136 BGE131136:BGF131136 BQA131136:BQB131136 BZW131136:BZX131136 CJS131136:CJT131136 CTO131136:CTP131136 DDK131136:DDL131136 DNG131136:DNH131136 DXC131136:DXD131136 EGY131136:EGZ131136 EQU131136:EQV131136 FAQ131136:FAR131136 FKM131136:FKN131136 FUI131136:FUJ131136 GEE131136:GEF131136 GOA131136:GOB131136 GXW131136:GXX131136 HHS131136:HHT131136 HRO131136:HRP131136 IBK131136:IBL131136 ILG131136:ILH131136 IVC131136:IVD131136 JEY131136:JEZ131136 JOU131136:JOV131136 JYQ131136:JYR131136 KIM131136:KIN131136 KSI131136:KSJ131136 LCE131136:LCF131136 LMA131136:LMB131136 LVW131136:LVX131136 MFS131136:MFT131136 MPO131136:MPP131136 MZK131136:MZL131136 NJG131136:NJH131136 NTC131136:NTD131136 OCY131136:OCZ131136 OMU131136:OMV131136 OWQ131136:OWR131136 PGM131136:PGN131136 PQI131136:PQJ131136 QAE131136:QAF131136 QKA131136:QKB131136 QTW131136:QTX131136 RDS131136:RDT131136 RNO131136:RNP131136 RXK131136:RXL131136 SHG131136:SHH131136 SRC131136:SRD131136 TAY131136:TAZ131136 TKU131136:TKV131136 TUQ131136:TUR131136 UEM131136:UEN131136 UOI131136:UOJ131136 UYE131136:UYF131136 VIA131136:VIB131136 VRW131136:VRX131136 WBS131136:WBT131136 WLO131136:WLP131136 WVK131136:WVL131136 A196672:B196672 IY196672:IZ196672 SU196672:SV196672 ACQ196672:ACR196672 AMM196672:AMN196672 AWI196672:AWJ196672 BGE196672:BGF196672 BQA196672:BQB196672 BZW196672:BZX196672 CJS196672:CJT196672 CTO196672:CTP196672 DDK196672:DDL196672 DNG196672:DNH196672 DXC196672:DXD196672 EGY196672:EGZ196672 EQU196672:EQV196672 FAQ196672:FAR196672 FKM196672:FKN196672 FUI196672:FUJ196672 GEE196672:GEF196672 GOA196672:GOB196672 GXW196672:GXX196672 HHS196672:HHT196672 HRO196672:HRP196672 IBK196672:IBL196672 ILG196672:ILH196672 IVC196672:IVD196672 JEY196672:JEZ196672 JOU196672:JOV196672 JYQ196672:JYR196672 KIM196672:KIN196672 KSI196672:KSJ196672 LCE196672:LCF196672 LMA196672:LMB196672 LVW196672:LVX196672 MFS196672:MFT196672 MPO196672:MPP196672 MZK196672:MZL196672 NJG196672:NJH196672 NTC196672:NTD196672 OCY196672:OCZ196672 OMU196672:OMV196672 OWQ196672:OWR196672 PGM196672:PGN196672 PQI196672:PQJ196672 QAE196672:QAF196672 QKA196672:QKB196672 QTW196672:QTX196672 RDS196672:RDT196672 RNO196672:RNP196672 RXK196672:RXL196672 SHG196672:SHH196672 SRC196672:SRD196672 TAY196672:TAZ196672 TKU196672:TKV196672 TUQ196672:TUR196672 UEM196672:UEN196672 UOI196672:UOJ196672 UYE196672:UYF196672 VIA196672:VIB196672 VRW196672:VRX196672 WBS196672:WBT196672 WLO196672:WLP196672 WVK196672:WVL196672 A262208:B262208 IY262208:IZ262208 SU262208:SV262208 ACQ262208:ACR262208 AMM262208:AMN262208 AWI262208:AWJ262208 BGE262208:BGF262208 BQA262208:BQB262208 BZW262208:BZX262208 CJS262208:CJT262208 CTO262208:CTP262208 DDK262208:DDL262208 DNG262208:DNH262208 DXC262208:DXD262208 EGY262208:EGZ262208 EQU262208:EQV262208 FAQ262208:FAR262208 FKM262208:FKN262208 FUI262208:FUJ262208 GEE262208:GEF262208 GOA262208:GOB262208 GXW262208:GXX262208 HHS262208:HHT262208 HRO262208:HRP262208 IBK262208:IBL262208 ILG262208:ILH262208 IVC262208:IVD262208 JEY262208:JEZ262208 JOU262208:JOV262208 JYQ262208:JYR262208 KIM262208:KIN262208 KSI262208:KSJ262208 LCE262208:LCF262208 LMA262208:LMB262208 LVW262208:LVX262208 MFS262208:MFT262208 MPO262208:MPP262208 MZK262208:MZL262208 NJG262208:NJH262208 NTC262208:NTD262208 OCY262208:OCZ262208 OMU262208:OMV262208 OWQ262208:OWR262208 PGM262208:PGN262208 PQI262208:PQJ262208 QAE262208:QAF262208 QKA262208:QKB262208 QTW262208:QTX262208 RDS262208:RDT262208 RNO262208:RNP262208 RXK262208:RXL262208 SHG262208:SHH262208 SRC262208:SRD262208 TAY262208:TAZ262208 TKU262208:TKV262208 TUQ262208:TUR262208 UEM262208:UEN262208 UOI262208:UOJ262208 UYE262208:UYF262208 VIA262208:VIB262208 VRW262208:VRX262208 WBS262208:WBT262208 WLO262208:WLP262208 WVK262208:WVL262208 A327744:B327744 IY327744:IZ327744 SU327744:SV327744 ACQ327744:ACR327744 AMM327744:AMN327744 AWI327744:AWJ327744 BGE327744:BGF327744 BQA327744:BQB327744 BZW327744:BZX327744 CJS327744:CJT327744 CTO327744:CTP327744 DDK327744:DDL327744 DNG327744:DNH327744 DXC327744:DXD327744 EGY327744:EGZ327744 EQU327744:EQV327744 FAQ327744:FAR327744 FKM327744:FKN327744 FUI327744:FUJ327744 GEE327744:GEF327744 GOA327744:GOB327744 GXW327744:GXX327744 HHS327744:HHT327744 HRO327744:HRP327744 IBK327744:IBL327744 ILG327744:ILH327744 IVC327744:IVD327744 JEY327744:JEZ327744 JOU327744:JOV327744 JYQ327744:JYR327744 KIM327744:KIN327744 KSI327744:KSJ327744 LCE327744:LCF327744 LMA327744:LMB327744 LVW327744:LVX327744 MFS327744:MFT327744 MPO327744:MPP327744 MZK327744:MZL327744 NJG327744:NJH327744 NTC327744:NTD327744 OCY327744:OCZ327744 OMU327744:OMV327744 OWQ327744:OWR327744 PGM327744:PGN327744 PQI327744:PQJ327744 QAE327744:QAF327744 QKA327744:QKB327744 QTW327744:QTX327744 RDS327744:RDT327744 RNO327744:RNP327744 RXK327744:RXL327744 SHG327744:SHH327744 SRC327744:SRD327744 TAY327744:TAZ327744 TKU327744:TKV327744 TUQ327744:TUR327744 UEM327744:UEN327744 UOI327744:UOJ327744 UYE327744:UYF327744 VIA327744:VIB327744 VRW327744:VRX327744 WBS327744:WBT327744 WLO327744:WLP327744 WVK327744:WVL327744 A393280:B393280 IY393280:IZ393280 SU393280:SV393280 ACQ393280:ACR393280 AMM393280:AMN393280 AWI393280:AWJ393280 BGE393280:BGF393280 BQA393280:BQB393280 BZW393280:BZX393280 CJS393280:CJT393280 CTO393280:CTP393280 DDK393280:DDL393280 DNG393280:DNH393280 DXC393280:DXD393280 EGY393280:EGZ393280 EQU393280:EQV393280 FAQ393280:FAR393280 FKM393280:FKN393280 FUI393280:FUJ393280 GEE393280:GEF393280 GOA393280:GOB393280 GXW393280:GXX393280 HHS393280:HHT393280 HRO393280:HRP393280 IBK393280:IBL393280 ILG393280:ILH393280 IVC393280:IVD393280 JEY393280:JEZ393280 JOU393280:JOV393280 JYQ393280:JYR393280 KIM393280:KIN393280 KSI393280:KSJ393280 LCE393280:LCF393280 LMA393280:LMB393280 LVW393280:LVX393280 MFS393280:MFT393280 MPO393280:MPP393280 MZK393280:MZL393280 NJG393280:NJH393280 NTC393280:NTD393280 OCY393280:OCZ393280 OMU393280:OMV393280 OWQ393280:OWR393280 PGM393280:PGN393280 PQI393280:PQJ393280 QAE393280:QAF393280 QKA393280:QKB393280 QTW393280:QTX393280 RDS393280:RDT393280 RNO393280:RNP393280 RXK393280:RXL393280 SHG393280:SHH393280 SRC393280:SRD393280 TAY393280:TAZ393280 TKU393280:TKV393280 TUQ393280:TUR393280 UEM393280:UEN393280 UOI393280:UOJ393280 UYE393280:UYF393280 VIA393280:VIB393280 VRW393280:VRX393280 WBS393280:WBT393280 WLO393280:WLP393280 WVK393280:WVL393280 A458816:B458816 IY458816:IZ458816 SU458816:SV458816 ACQ458816:ACR458816 AMM458816:AMN458816 AWI458816:AWJ458816 BGE458816:BGF458816 BQA458816:BQB458816 BZW458816:BZX458816 CJS458816:CJT458816 CTO458816:CTP458816 DDK458816:DDL458816 DNG458816:DNH458816 DXC458816:DXD458816 EGY458816:EGZ458816 EQU458816:EQV458816 FAQ458816:FAR458816 FKM458816:FKN458816 FUI458816:FUJ458816 GEE458816:GEF458816 GOA458816:GOB458816 GXW458816:GXX458816 HHS458816:HHT458816 HRO458816:HRP458816 IBK458816:IBL458816 ILG458816:ILH458816 IVC458816:IVD458816 JEY458816:JEZ458816 JOU458816:JOV458816 JYQ458816:JYR458816 KIM458816:KIN458816 KSI458816:KSJ458816 LCE458816:LCF458816 LMA458816:LMB458816 LVW458816:LVX458816 MFS458816:MFT458816 MPO458816:MPP458816 MZK458816:MZL458816 NJG458816:NJH458816 NTC458816:NTD458816 OCY458816:OCZ458816 OMU458816:OMV458816 OWQ458816:OWR458816 PGM458816:PGN458816 PQI458816:PQJ458816 QAE458816:QAF458816 QKA458816:QKB458816 QTW458816:QTX458816 RDS458816:RDT458816 RNO458816:RNP458816 RXK458816:RXL458816 SHG458816:SHH458816 SRC458816:SRD458816 TAY458816:TAZ458816 TKU458816:TKV458816 TUQ458816:TUR458816 UEM458816:UEN458816 UOI458816:UOJ458816 UYE458816:UYF458816 VIA458816:VIB458816 VRW458816:VRX458816 WBS458816:WBT458816 WLO458816:WLP458816 WVK458816:WVL458816 A524352:B524352 IY524352:IZ524352 SU524352:SV524352 ACQ524352:ACR524352 AMM524352:AMN524352 AWI524352:AWJ524352 BGE524352:BGF524352 BQA524352:BQB524352 BZW524352:BZX524352 CJS524352:CJT524352 CTO524352:CTP524352 DDK524352:DDL524352 DNG524352:DNH524352 DXC524352:DXD524352 EGY524352:EGZ524352 EQU524352:EQV524352 FAQ524352:FAR524352 FKM524352:FKN524352 FUI524352:FUJ524352 GEE524352:GEF524352 GOA524352:GOB524352 GXW524352:GXX524352 HHS524352:HHT524352 HRO524352:HRP524352 IBK524352:IBL524352 ILG524352:ILH524352 IVC524352:IVD524352 JEY524352:JEZ524352 JOU524352:JOV524352 JYQ524352:JYR524352 KIM524352:KIN524352 KSI524352:KSJ524352 LCE524352:LCF524352 LMA524352:LMB524352 LVW524352:LVX524352 MFS524352:MFT524352 MPO524352:MPP524352 MZK524352:MZL524352 NJG524352:NJH524352 NTC524352:NTD524352 OCY524352:OCZ524352 OMU524352:OMV524352 OWQ524352:OWR524352 PGM524352:PGN524352 PQI524352:PQJ524352 QAE524352:QAF524352 QKA524352:QKB524352 QTW524352:QTX524352 RDS524352:RDT524352 RNO524352:RNP524352 RXK524352:RXL524352 SHG524352:SHH524352 SRC524352:SRD524352 TAY524352:TAZ524352 TKU524352:TKV524352 TUQ524352:TUR524352 UEM524352:UEN524352 UOI524352:UOJ524352 UYE524352:UYF524352 VIA524352:VIB524352 VRW524352:VRX524352 WBS524352:WBT524352 WLO524352:WLP524352 WVK524352:WVL524352 A589888:B589888 IY589888:IZ589888 SU589888:SV589888 ACQ589888:ACR589888 AMM589888:AMN589888 AWI589888:AWJ589888 BGE589888:BGF589888 BQA589888:BQB589888 BZW589888:BZX589888 CJS589888:CJT589888 CTO589888:CTP589888 DDK589888:DDL589888 DNG589888:DNH589888 DXC589888:DXD589888 EGY589888:EGZ589888 EQU589888:EQV589888 FAQ589888:FAR589888 FKM589888:FKN589888 FUI589888:FUJ589888 GEE589888:GEF589888 GOA589888:GOB589888 GXW589888:GXX589888 HHS589888:HHT589888 HRO589888:HRP589888 IBK589888:IBL589888 ILG589888:ILH589888 IVC589888:IVD589888 JEY589888:JEZ589888 JOU589888:JOV589888 JYQ589888:JYR589888 KIM589888:KIN589888 KSI589888:KSJ589888 LCE589888:LCF589888 LMA589888:LMB589888 LVW589888:LVX589888 MFS589888:MFT589888 MPO589888:MPP589888 MZK589888:MZL589888 NJG589888:NJH589888 NTC589888:NTD589888 OCY589888:OCZ589888 OMU589888:OMV589888 OWQ589888:OWR589888 PGM589888:PGN589888 PQI589888:PQJ589888 QAE589888:QAF589888 QKA589888:QKB589888 QTW589888:QTX589888 RDS589888:RDT589888 RNO589888:RNP589888 RXK589888:RXL589888 SHG589888:SHH589888 SRC589888:SRD589888 TAY589888:TAZ589888 TKU589888:TKV589888 TUQ589888:TUR589888 UEM589888:UEN589888 UOI589888:UOJ589888 UYE589888:UYF589888 VIA589888:VIB589888 VRW589888:VRX589888 WBS589888:WBT589888 WLO589888:WLP589888 WVK589888:WVL589888 A655424:B655424 IY655424:IZ655424 SU655424:SV655424 ACQ655424:ACR655424 AMM655424:AMN655424 AWI655424:AWJ655424 BGE655424:BGF655424 BQA655424:BQB655424 BZW655424:BZX655424 CJS655424:CJT655424 CTO655424:CTP655424 DDK655424:DDL655424 DNG655424:DNH655424 DXC655424:DXD655424 EGY655424:EGZ655424 EQU655424:EQV655424 FAQ655424:FAR655424 FKM655424:FKN655424 FUI655424:FUJ655424 GEE655424:GEF655424 GOA655424:GOB655424 GXW655424:GXX655424 HHS655424:HHT655424 HRO655424:HRP655424 IBK655424:IBL655424 ILG655424:ILH655424 IVC655424:IVD655424 JEY655424:JEZ655424 JOU655424:JOV655424 JYQ655424:JYR655424 KIM655424:KIN655424 KSI655424:KSJ655424 LCE655424:LCF655424 LMA655424:LMB655424 LVW655424:LVX655424 MFS655424:MFT655424 MPO655424:MPP655424 MZK655424:MZL655424 NJG655424:NJH655424 NTC655424:NTD655424 OCY655424:OCZ655424 OMU655424:OMV655424 OWQ655424:OWR655424 PGM655424:PGN655424 PQI655424:PQJ655424 QAE655424:QAF655424 QKA655424:QKB655424 QTW655424:QTX655424 RDS655424:RDT655424 RNO655424:RNP655424 RXK655424:RXL655424 SHG655424:SHH655424 SRC655424:SRD655424 TAY655424:TAZ655424 TKU655424:TKV655424 TUQ655424:TUR655424 UEM655424:UEN655424 UOI655424:UOJ655424 UYE655424:UYF655424 VIA655424:VIB655424 VRW655424:VRX655424 WBS655424:WBT655424 WLO655424:WLP655424 WVK655424:WVL655424 A720960:B720960 IY720960:IZ720960 SU720960:SV720960 ACQ720960:ACR720960 AMM720960:AMN720960 AWI720960:AWJ720960 BGE720960:BGF720960 BQA720960:BQB720960 BZW720960:BZX720960 CJS720960:CJT720960 CTO720960:CTP720960 DDK720960:DDL720960 DNG720960:DNH720960 DXC720960:DXD720960 EGY720960:EGZ720960 EQU720960:EQV720960 FAQ720960:FAR720960 FKM720960:FKN720960 FUI720960:FUJ720960 GEE720960:GEF720960 GOA720960:GOB720960 GXW720960:GXX720960 HHS720960:HHT720960 HRO720960:HRP720960 IBK720960:IBL720960 ILG720960:ILH720960 IVC720960:IVD720960 JEY720960:JEZ720960 JOU720960:JOV720960 JYQ720960:JYR720960 KIM720960:KIN720960 KSI720960:KSJ720960 LCE720960:LCF720960 LMA720960:LMB720960 LVW720960:LVX720960 MFS720960:MFT720960 MPO720960:MPP720960 MZK720960:MZL720960 NJG720960:NJH720960 NTC720960:NTD720960 OCY720960:OCZ720960 OMU720960:OMV720960 OWQ720960:OWR720960 PGM720960:PGN720960 PQI720960:PQJ720960 QAE720960:QAF720960 QKA720960:QKB720960 QTW720960:QTX720960 RDS720960:RDT720960 RNO720960:RNP720960 RXK720960:RXL720960 SHG720960:SHH720960 SRC720960:SRD720960 TAY720960:TAZ720960 TKU720960:TKV720960 TUQ720960:TUR720960 UEM720960:UEN720960 UOI720960:UOJ720960 UYE720960:UYF720960 VIA720960:VIB720960 VRW720960:VRX720960 WBS720960:WBT720960 WLO720960:WLP720960 WVK720960:WVL720960 A786496:B786496 IY786496:IZ786496 SU786496:SV786496 ACQ786496:ACR786496 AMM786496:AMN786496 AWI786496:AWJ786496 BGE786496:BGF786496 BQA786496:BQB786496 BZW786496:BZX786496 CJS786496:CJT786496 CTO786496:CTP786496 DDK786496:DDL786496 DNG786496:DNH786496 DXC786496:DXD786496 EGY786496:EGZ786496 EQU786496:EQV786496 FAQ786496:FAR786496 FKM786496:FKN786496 FUI786496:FUJ786496 GEE786496:GEF786496 GOA786496:GOB786496 GXW786496:GXX786496 HHS786496:HHT786496 HRO786496:HRP786496 IBK786496:IBL786496 ILG786496:ILH786496 IVC786496:IVD786496 JEY786496:JEZ786496 JOU786496:JOV786496 JYQ786496:JYR786496 KIM786496:KIN786496 KSI786496:KSJ786496 LCE786496:LCF786496 LMA786496:LMB786496 LVW786496:LVX786496 MFS786496:MFT786496 MPO786496:MPP786496 MZK786496:MZL786496 NJG786496:NJH786496 NTC786496:NTD786496 OCY786496:OCZ786496 OMU786496:OMV786496 OWQ786496:OWR786496 PGM786496:PGN786496 PQI786496:PQJ786496 QAE786496:QAF786496 QKA786496:QKB786496 QTW786496:QTX786496 RDS786496:RDT786496 RNO786496:RNP786496 RXK786496:RXL786496 SHG786496:SHH786496 SRC786496:SRD786496 TAY786496:TAZ786496 TKU786496:TKV786496 TUQ786496:TUR786496 UEM786496:UEN786496 UOI786496:UOJ786496 UYE786496:UYF786496 VIA786496:VIB786496 VRW786496:VRX786496 WBS786496:WBT786496 WLO786496:WLP786496 WVK786496:WVL786496 A852032:B852032 IY852032:IZ852032 SU852032:SV852032 ACQ852032:ACR852032 AMM852032:AMN852032 AWI852032:AWJ852032 BGE852032:BGF852032 BQA852032:BQB852032 BZW852032:BZX852032 CJS852032:CJT852032 CTO852032:CTP852032 DDK852032:DDL852032 DNG852032:DNH852032 DXC852032:DXD852032 EGY852032:EGZ852032 EQU852032:EQV852032 FAQ852032:FAR852032 FKM852032:FKN852032 FUI852032:FUJ852032 GEE852032:GEF852032 GOA852032:GOB852032 GXW852032:GXX852032 HHS852032:HHT852032 HRO852032:HRP852032 IBK852032:IBL852032 ILG852032:ILH852032 IVC852032:IVD852032 JEY852032:JEZ852032 JOU852032:JOV852032 JYQ852032:JYR852032 KIM852032:KIN852032 KSI852032:KSJ852032 LCE852032:LCF852032 LMA852032:LMB852032 LVW852032:LVX852032 MFS852032:MFT852032 MPO852032:MPP852032 MZK852032:MZL852032 NJG852032:NJH852032 NTC852032:NTD852032 OCY852032:OCZ852032 OMU852032:OMV852032 OWQ852032:OWR852032 PGM852032:PGN852032 PQI852032:PQJ852032 QAE852032:QAF852032 QKA852032:QKB852032 QTW852032:QTX852032 RDS852032:RDT852032 RNO852032:RNP852032 RXK852032:RXL852032 SHG852032:SHH852032 SRC852032:SRD852032 TAY852032:TAZ852032 TKU852032:TKV852032 TUQ852032:TUR852032 UEM852032:UEN852032 UOI852032:UOJ852032 UYE852032:UYF852032 VIA852032:VIB852032 VRW852032:VRX852032 WBS852032:WBT852032 WLO852032:WLP852032 WVK852032:WVL852032 A917568:B917568 IY917568:IZ917568 SU917568:SV917568 ACQ917568:ACR917568 AMM917568:AMN917568 AWI917568:AWJ917568 BGE917568:BGF917568 BQA917568:BQB917568 BZW917568:BZX917568 CJS917568:CJT917568 CTO917568:CTP917568 DDK917568:DDL917568 DNG917568:DNH917568 DXC917568:DXD917568 EGY917568:EGZ917568 EQU917568:EQV917568 FAQ917568:FAR917568 FKM917568:FKN917568 FUI917568:FUJ917568 GEE917568:GEF917568 GOA917568:GOB917568 GXW917568:GXX917568 HHS917568:HHT917568 HRO917568:HRP917568 IBK917568:IBL917568 ILG917568:ILH917568 IVC917568:IVD917568 JEY917568:JEZ917568 JOU917568:JOV917568 JYQ917568:JYR917568 KIM917568:KIN917568 KSI917568:KSJ917568 LCE917568:LCF917568 LMA917568:LMB917568 LVW917568:LVX917568 MFS917568:MFT917568 MPO917568:MPP917568 MZK917568:MZL917568 NJG917568:NJH917568 NTC917568:NTD917568 OCY917568:OCZ917568 OMU917568:OMV917568 OWQ917568:OWR917568 PGM917568:PGN917568 PQI917568:PQJ917568 QAE917568:QAF917568 QKA917568:QKB917568 QTW917568:QTX917568 RDS917568:RDT917568 RNO917568:RNP917568 RXK917568:RXL917568 SHG917568:SHH917568 SRC917568:SRD917568 TAY917568:TAZ917568 TKU917568:TKV917568 TUQ917568:TUR917568 UEM917568:UEN917568 UOI917568:UOJ917568 UYE917568:UYF917568 VIA917568:VIB917568 VRW917568:VRX917568 WBS917568:WBT917568 WLO917568:WLP917568 WVK917568:WVL917568 A983104:B983104 IY983104:IZ983104 SU983104:SV983104 ACQ983104:ACR983104 AMM983104:AMN983104 AWI983104:AWJ983104 BGE983104:BGF983104 BQA983104:BQB983104 BZW983104:BZX983104 CJS983104:CJT983104 CTO983104:CTP983104 DDK983104:DDL983104 DNG983104:DNH983104 DXC983104:DXD983104 EGY983104:EGZ983104 EQU983104:EQV983104 FAQ983104:FAR983104 FKM983104:FKN983104 FUI983104:FUJ983104 GEE983104:GEF983104 GOA983104:GOB983104 GXW983104:GXX983104 HHS983104:HHT983104 HRO983104:HRP983104 IBK983104:IBL983104 ILG983104:ILH983104 IVC983104:IVD983104 JEY983104:JEZ983104 JOU983104:JOV983104 JYQ983104:JYR983104 KIM983104:KIN983104 KSI983104:KSJ983104 LCE983104:LCF983104 LMA983104:LMB983104 LVW983104:LVX983104 MFS983104:MFT983104 MPO983104:MPP983104 MZK983104:MZL983104 NJG983104:NJH983104 NTC983104:NTD983104 OCY983104:OCZ983104 OMU983104:OMV983104 OWQ983104:OWR983104 PGM983104:PGN983104 PQI983104:PQJ983104 QAE983104:QAF983104 QKA983104:QKB983104 QTW983104:QTX983104 RDS983104:RDT983104 RNO983104:RNP983104 RXK983104:RXL983104 SHG983104:SHH983104 SRC983104:SRD983104 TAY983104:TAZ983104 TKU983104:TKV983104 TUQ983104:TUR983104 UEM983104:UEN983104 UOI983104:UOJ983104 UYE983104:UYF983104 VIA983104:VIB983104 VRW983104:VRX983104 WBS983104:WBT983104 WLO983104:WLP983104 WVK983104:WVL983104">
      <formula1>NT</formula1>
    </dataValidation>
    <dataValidation type="list" allowBlank="1" showInputMessage="1" showErrorMessage="1" sqref="D65608:Z65608 JB65608:JV65608 SX65608:TR65608 ACT65608:ADN65608 AMP65608:ANJ65608 AWL65608:AXF65608 BGH65608:BHB65608 BQD65608:BQX65608 BZZ65608:CAT65608 CJV65608:CKP65608 CTR65608:CUL65608 DDN65608:DEH65608 DNJ65608:DOD65608 DXF65608:DXZ65608 EHB65608:EHV65608 EQX65608:ERR65608 FAT65608:FBN65608 FKP65608:FLJ65608 FUL65608:FVF65608 GEH65608:GFB65608 GOD65608:GOX65608 GXZ65608:GYT65608 HHV65608:HIP65608 HRR65608:HSL65608 IBN65608:ICH65608 ILJ65608:IMD65608 IVF65608:IVZ65608 JFB65608:JFV65608 JOX65608:JPR65608 JYT65608:JZN65608 KIP65608:KJJ65608 KSL65608:KTF65608 LCH65608:LDB65608 LMD65608:LMX65608 LVZ65608:LWT65608 MFV65608:MGP65608 MPR65608:MQL65608 MZN65608:NAH65608 NJJ65608:NKD65608 NTF65608:NTZ65608 ODB65608:ODV65608 OMX65608:ONR65608 OWT65608:OXN65608 PGP65608:PHJ65608 PQL65608:PRF65608 QAH65608:QBB65608 QKD65608:QKX65608 QTZ65608:QUT65608 RDV65608:REP65608 RNR65608:ROL65608 RXN65608:RYH65608 SHJ65608:SID65608 SRF65608:SRZ65608 TBB65608:TBV65608 TKX65608:TLR65608 TUT65608:TVN65608 UEP65608:UFJ65608 UOL65608:UPF65608 UYH65608:UZB65608 VID65608:VIX65608 VRZ65608:VST65608 WBV65608:WCP65608 WLR65608:WML65608 WVN65608:WWH65608 D131144:Z131144 JB131144:JV131144 SX131144:TR131144 ACT131144:ADN131144 AMP131144:ANJ131144 AWL131144:AXF131144 BGH131144:BHB131144 BQD131144:BQX131144 BZZ131144:CAT131144 CJV131144:CKP131144 CTR131144:CUL131144 DDN131144:DEH131144 DNJ131144:DOD131144 DXF131144:DXZ131144 EHB131144:EHV131144 EQX131144:ERR131144 FAT131144:FBN131144 FKP131144:FLJ131144 FUL131144:FVF131144 GEH131144:GFB131144 GOD131144:GOX131144 GXZ131144:GYT131144 HHV131144:HIP131144 HRR131144:HSL131144 IBN131144:ICH131144 ILJ131144:IMD131144 IVF131144:IVZ131144 JFB131144:JFV131144 JOX131144:JPR131144 JYT131144:JZN131144 KIP131144:KJJ131144 KSL131144:KTF131144 LCH131144:LDB131144 LMD131144:LMX131144 LVZ131144:LWT131144 MFV131144:MGP131144 MPR131144:MQL131144 MZN131144:NAH131144 NJJ131144:NKD131144 NTF131144:NTZ131144 ODB131144:ODV131144 OMX131144:ONR131144 OWT131144:OXN131144 PGP131144:PHJ131144 PQL131144:PRF131144 QAH131144:QBB131144 QKD131144:QKX131144 QTZ131144:QUT131144 RDV131144:REP131144 RNR131144:ROL131144 RXN131144:RYH131144 SHJ131144:SID131144 SRF131144:SRZ131144 TBB131144:TBV131144 TKX131144:TLR131144 TUT131144:TVN131144 UEP131144:UFJ131144 UOL131144:UPF131144 UYH131144:UZB131144 VID131144:VIX131144 VRZ131144:VST131144 WBV131144:WCP131144 WLR131144:WML131144 WVN131144:WWH131144 D196680:Z196680 JB196680:JV196680 SX196680:TR196680 ACT196680:ADN196680 AMP196680:ANJ196680 AWL196680:AXF196680 BGH196680:BHB196680 BQD196680:BQX196680 BZZ196680:CAT196680 CJV196680:CKP196680 CTR196680:CUL196680 DDN196680:DEH196680 DNJ196680:DOD196680 DXF196680:DXZ196680 EHB196680:EHV196680 EQX196680:ERR196680 FAT196680:FBN196680 FKP196680:FLJ196680 FUL196680:FVF196680 GEH196680:GFB196680 GOD196680:GOX196680 GXZ196680:GYT196680 HHV196680:HIP196680 HRR196680:HSL196680 IBN196680:ICH196680 ILJ196680:IMD196680 IVF196680:IVZ196680 JFB196680:JFV196680 JOX196680:JPR196680 JYT196680:JZN196680 KIP196680:KJJ196680 KSL196680:KTF196680 LCH196680:LDB196680 LMD196680:LMX196680 LVZ196680:LWT196680 MFV196680:MGP196680 MPR196680:MQL196680 MZN196680:NAH196680 NJJ196680:NKD196680 NTF196680:NTZ196680 ODB196680:ODV196680 OMX196680:ONR196680 OWT196680:OXN196680 PGP196680:PHJ196680 PQL196680:PRF196680 QAH196680:QBB196680 QKD196680:QKX196680 QTZ196680:QUT196680 RDV196680:REP196680 RNR196680:ROL196680 RXN196680:RYH196680 SHJ196680:SID196680 SRF196680:SRZ196680 TBB196680:TBV196680 TKX196680:TLR196680 TUT196680:TVN196680 UEP196680:UFJ196680 UOL196680:UPF196680 UYH196680:UZB196680 VID196680:VIX196680 VRZ196680:VST196680 WBV196680:WCP196680 WLR196680:WML196680 WVN196680:WWH196680 D262216:Z262216 JB262216:JV262216 SX262216:TR262216 ACT262216:ADN262216 AMP262216:ANJ262216 AWL262216:AXF262216 BGH262216:BHB262216 BQD262216:BQX262216 BZZ262216:CAT262216 CJV262216:CKP262216 CTR262216:CUL262216 DDN262216:DEH262216 DNJ262216:DOD262216 DXF262216:DXZ262216 EHB262216:EHV262216 EQX262216:ERR262216 FAT262216:FBN262216 FKP262216:FLJ262216 FUL262216:FVF262216 GEH262216:GFB262216 GOD262216:GOX262216 GXZ262216:GYT262216 HHV262216:HIP262216 HRR262216:HSL262216 IBN262216:ICH262216 ILJ262216:IMD262216 IVF262216:IVZ262216 JFB262216:JFV262216 JOX262216:JPR262216 JYT262216:JZN262216 KIP262216:KJJ262216 KSL262216:KTF262216 LCH262216:LDB262216 LMD262216:LMX262216 LVZ262216:LWT262216 MFV262216:MGP262216 MPR262216:MQL262216 MZN262216:NAH262216 NJJ262216:NKD262216 NTF262216:NTZ262216 ODB262216:ODV262216 OMX262216:ONR262216 OWT262216:OXN262216 PGP262216:PHJ262216 PQL262216:PRF262216 QAH262216:QBB262216 QKD262216:QKX262216 QTZ262216:QUT262216 RDV262216:REP262216 RNR262216:ROL262216 RXN262216:RYH262216 SHJ262216:SID262216 SRF262216:SRZ262216 TBB262216:TBV262216 TKX262216:TLR262216 TUT262216:TVN262216 UEP262216:UFJ262216 UOL262216:UPF262216 UYH262216:UZB262216 VID262216:VIX262216 VRZ262216:VST262216 WBV262216:WCP262216 WLR262216:WML262216 WVN262216:WWH262216 D327752:Z327752 JB327752:JV327752 SX327752:TR327752 ACT327752:ADN327752 AMP327752:ANJ327752 AWL327752:AXF327752 BGH327752:BHB327752 BQD327752:BQX327752 BZZ327752:CAT327752 CJV327752:CKP327752 CTR327752:CUL327752 DDN327752:DEH327752 DNJ327752:DOD327752 DXF327752:DXZ327752 EHB327752:EHV327752 EQX327752:ERR327752 FAT327752:FBN327752 FKP327752:FLJ327752 FUL327752:FVF327752 GEH327752:GFB327752 GOD327752:GOX327752 GXZ327752:GYT327752 HHV327752:HIP327752 HRR327752:HSL327752 IBN327752:ICH327752 ILJ327752:IMD327752 IVF327752:IVZ327752 JFB327752:JFV327752 JOX327752:JPR327752 JYT327752:JZN327752 KIP327752:KJJ327752 KSL327752:KTF327752 LCH327752:LDB327752 LMD327752:LMX327752 LVZ327752:LWT327752 MFV327752:MGP327752 MPR327752:MQL327752 MZN327752:NAH327752 NJJ327752:NKD327752 NTF327752:NTZ327752 ODB327752:ODV327752 OMX327752:ONR327752 OWT327752:OXN327752 PGP327752:PHJ327752 PQL327752:PRF327752 QAH327752:QBB327752 QKD327752:QKX327752 QTZ327752:QUT327752 RDV327752:REP327752 RNR327752:ROL327752 RXN327752:RYH327752 SHJ327752:SID327752 SRF327752:SRZ327752 TBB327752:TBV327752 TKX327752:TLR327752 TUT327752:TVN327752 UEP327752:UFJ327752 UOL327752:UPF327752 UYH327752:UZB327752 VID327752:VIX327752 VRZ327752:VST327752 WBV327752:WCP327752 WLR327752:WML327752 WVN327752:WWH327752 D393288:Z393288 JB393288:JV393288 SX393288:TR393288 ACT393288:ADN393288 AMP393288:ANJ393288 AWL393288:AXF393288 BGH393288:BHB393288 BQD393288:BQX393288 BZZ393288:CAT393288 CJV393288:CKP393288 CTR393288:CUL393288 DDN393288:DEH393288 DNJ393288:DOD393288 DXF393288:DXZ393288 EHB393288:EHV393288 EQX393288:ERR393288 FAT393288:FBN393288 FKP393288:FLJ393288 FUL393288:FVF393288 GEH393288:GFB393288 GOD393288:GOX393288 GXZ393288:GYT393288 HHV393288:HIP393288 HRR393288:HSL393288 IBN393288:ICH393288 ILJ393288:IMD393288 IVF393288:IVZ393288 JFB393288:JFV393288 JOX393288:JPR393288 JYT393288:JZN393288 KIP393288:KJJ393288 KSL393288:KTF393288 LCH393288:LDB393288 LMD393288:LMX393288 LVZ393288:LWT393288 MFV393288:MGP393288 MPR393288:MQL393288 MZN393288:NAH393288 NJJ393288:NKD393288 NTF393288:NTZ393288 ODB393288:ODV393288 OMX393288:ONR393288 OWT393288:OXN393288 PGP393288:PHJ393288 PQL393288:PRF393288 QAH393288:QBB393288 QKD393288:QKX393288 QTZ393288:QUT393288 RDV393288:REP393288 RNR393288:ROL393288 RXN393288:RYH393288 SHJ393288:SID393288 SRF393288:SRZ393288 TBB393288:TBV393288 TKX393288:TLR393288 TUT393288:TVN393288 UEP393288:UFJ393288 UOL393288:UPF393288 UYH393288:UZB393288 VID393288:VIX393288 VRZ393288:VST393288 WBV393288:WCP393288 WLR393288:WML393288 WVN393288:WWH393288 D458824:Z458824 JB458824:JV458824 SX458824:TR458824 ACT458824:ADN458824 AMP458824:ANJ458824 AWL458824:AXF458824 BGH458824:BHB458824 BQD458824:BQX458824 BZZ458824:CAT458824 CJV458824:CKP458824 CTR458824:CUL458824 DDN458824:DEH458824 DNJ458824:DOD458824 DXF458824:DXZ458824 EHB458824:EHV458824 EQX458824:ERR458824 FAT458824:FBN458824 FKP458824:FLJ458824 FUL458824:FVF458824 GEH458824:GFB458824 GOD458824:GOX458824 GXZ458824:GYT458824 HHV458824:HIP458824 HRR458824:HSL458824 IBN458824:ICH458824 ILJ458824:IMD458824 IVF458824:IVZ458824 JFB458824:JFV458824 JOX458824:JPR458824 JYT458824:JZN458824 KIP458824:KJJ458824 KSL458824:KTF458824 LCH458824:LDB458824 LMD458824:LMX458824 LVZ458824:LWT458824 MFV458824:MGP458824 MPR458824:MQL458824 MZN458824:NAH458824 NJJ458824:NKD458824 NTF458824:NTZ458824 ODB458824:ODV458824 OMX458824:ONR458824 OWT458824:OXN458824 PGP458824:PHJ458824 PQL458824:PRF458824 QAH458824:QBB458824 QKD458824:QKX458824 QTZ458824:QUT458824 RDV458824:REP458824 RNR458824:ROL458824 RXN458824:RYH458824 SHJ458824:SID458824 SRF458824:SRZ458824 TBB458824:TBV458824 TKX458824:TLR458824 TUT458824:TVN458824 UEP458824:UFJ458824 UOL458824:UPF458824 UYH458824:UZB458824 VID458824:VIX458824 VRZ458824:VST458824 WBV458824:WCP458824 WLR458824:WML458824 WVN458824:WWH458824 D524360:Z524360 JB524360:JV524360 SX524360:TR524360 ACT524360:ADN524360 AMP524360:ANJ524360 AWL524360:AXF524360 BGH524360:BHB524360 BQD524360:BQX524360 BZZ524360:CAT524360 CJV524360:CKP524360 CTR524360:CUL524360 DDN524360:DEH524360 DNJ524360:DOD524360 DXF524360:DXZ524360 EHB524360:EHV524360 EQX524360:ERR524360 FAT524360:FBN524360 FKP524360:FLJ524360 FUL524360:FVF524360 GEH524360:GFB524360 GOD524360:GOX524360 GXZ524360:GYT524360 HHV524360:HIP524360 HRR524360:HSL524360 IBN524360:ICH524360 ILJ524360:IMD524360 IVF524360:IVZ524360 JFB524360:JFV524360 JOX524360:JPR524360 JYT524360:JZN524360 KIP524360:KJJ524360 KSL524360:KTF524360 LCH524360:LDB524360 LMD524360:LMX524360 LVZ524360:LWT524360 MFV524360:MGP524360 MPR524360:MQL524360 MZN524360:NAH524360 NJJ524360:NKD524360 NTF524360:NTZ524360 ODB524360:ODV524360 OMX524360:ONR524360 OWT524360:OXN524360 PGP524360:PHJ524360 PQL524360:PRF524360 QAH524360:QBB524360 QKD524360:QKX524360 QTZ524360:QUT524360 RDV524360:REP524360 RNR524360:ROL524360 RXN524360:RYH524360 SHJ524360:SID524360 SRF524360:SRZ524360 TBB524360:TBV524360 TKX524360:TLR524360 TUT524360:TVN524360 UEP524360:UFJ524360 UOL524360:UPF524360 UYH524360:UZB524360 VID524360:VIX524360 VRZ524360:VST524360 WBV524360:WCP524360 WLR524360:WML524360 WVN524360:WWH524360 D589896:Z589896 JB589896:JV589896 SX589896:TR589896 ACT589896:ADN589896 AMP589896:ANJ589896 AWL589896:AXF589896 BGH589896:BHB589896 BQD589896:BQX589896 BZZ589896:CAT589896 CJV589896:CKP589896 CTR589896:CUL589896 DDN589896:DEH589896 DNJ589896:DOD589896 DXF589896:DXZ589896 EHB589896:EHV589896 EQX589896:ERR589896 FAT589896:FBN589896 FKP589896:FLJ589896 FUL589896:FVF589896 GEH589896:GFB589896 GOD589896:GOX589896 GXZ589896:GYT589896 HHV589896:HIP589896 HRR589896:HSL589896 IBN589896:ICH589896 ILJ589896:IMD589896 IVF589896:IVZ589896 JFB589896:JFV589896 JOX589896:JPR589896 JYT589896:JZN589896 KIP589896:KJJ589896 KSL589896:KTF589896 LCH589896:LDB589896 LMD589896:LMX589896 LVZ589896:LWT589896 MFV589896:MGP589896 MPR589896:MQL589896 MZN589896:NAH589896 NJJ589896:NKD589896 NTF589896:NTZ589896 ODB589896:ODV589896 OMX589896:ONR589896 OWT589896:OXN589896 PGP589896:PHJ589896 PQL589896:PRF589896 QAH589896:QBB589896 QKD589896:QKX589896 QTZ589896:QUT589896 RDV589896:REP589896 RNR589896:ROL589896 RXN589896:RYH589896 SHJ589896:SID589896 SRF589896:SRZ589896 TBB589896:TBV589896 TKX589896:TLR589896 TUT589896:TVN589896 UEP589896:UFJ589896 UOL589896:UPF589896 UYH589896:UZB589896 VID589896:VIX589896 VRZ589896:VST589896 WBV589896:WCP589896 WLR589896:WML589896 WVN589896:WWH589896 D655432:Z655432 JB655432:JV655432 SX655432:TR655432 ACT655432:ADN655432 AMP655432:ANJ655432 AWL655432:AXF655432 BGH655432:BHB655432 BQD655432:BQX655432 BZZ655432:CAT655432 CJV655432:CKP655432 CTR655432:CUL655432 DDN655432:DEH655432 DNJ655432:DOD655432 DXF655432:DXZ655432 EHB655432:EHV655432 EQX655432:ERR655432 FAT655432:FBN655432 FKP655432:FLJ655432 FUL655432:FVF655432 GEH655432:GFB655432 GOD655432:GOX655432 GXZ655432:GYT655432 HHV655432:HIP655432 HRR655432:HSL655432 IBN655432:ICH655432 ILJ655432:IMD655432 IVF655432:IVZ655432 JFB655432:JFV655432 JOX655432:JPR655432 JYT655432:JZN655432 KIP655432:KJJ655432 KSL655432:KTF655432 LCH655432:LDB655432 LMD655432:LMX655432 LVZ655432:LWT655432 MFV655432:MGP655432 MPR655432:MQL655432 MZN655432:NAH655432 NJJ655432:NKD655432 NTF655432:NTZ655432 ODB655432:ODV655432 OMX655432:ONR655432 OWT655432:OXN655432 PGP655432:PHJ655432 PQL655432:PRF655432 QAH655432:QBB655432 QKD655432:QKX655432 QTZ655432:QUT655432 RDV655432:REP655432 RNR655432:ROL655432 RXN655432:RYH655432 SHJ655432:SID655432 SRF655432:SRZ655432 TBB655432:TBV655432 TKX655432:TLR655432 TUT655432:TVN655432 UEP655432:UFJ655432 UOL655432:UPF655432 UYH655432:UZB655432 VID655432:VIX655432 VRZ655432:VST655432 WBV655432:WCP655432 WLR655432:WML655432 WVN655432:WWH655432 D720968:Z720968 JB720968:JV720968 SX720968:TR720968 ACT720968:ADN720968 AMP720968:ANJ720968 AWL720968:AXF720968 BGH720968:BHB720968 BQD720968:BQX720968 BZZ720968:CAT720968 CJV720968:CKP720968 CTR720968:CUL720968 DDN720968:DEH720968 DNJ720968:DOD720968 DXF720968:DXZ720968 EHB720968:EHV720968 EQX720968:ERR720968 FAT720968:FBN720968 FKP720968:FLJ720968 FUL720968:FVF720968 GEH720968:GFB720968 GOD720968:GOX720968 GXZ720968:GYT720968 HHV720968:HIP720968 HRR720968:HSL720968 IBN720968:ICH720968 ILJ720968:IMD720968 IVF720968:IVZ720968 JFB720968:JFV720968 JOX720968:JPR720968 JYT720968:JZN720968 KIP720968:KJJ720968 KSL720968:KTF720968 LCH720968:LDB720968 LMD720968:LMX720968 LVZ720968:LWT720968 MFV720968:MGP720968 MPR720968:MQL720968 MZN720968:NAH720968 NJJ720968:NKD720968 NTF720968:NTZ720968 ODB720968:ODV720968 OMX720968:ONR720968 OWT720968:OXN720968 PGP720968:PHJ720968 PQL720968:PRF720968 QAH720968:QBB720968 QKD720968:QKX720968 QTZ720968:QUT720968 RDV720968:REP720968 RNR720968:ROL720968 RXN720968:RYH720968 SHJ720968:SID720968 SRF720968:SRZ720968 TBB720968:TBV720968 TKX720968:TLR720968 TUT720968:TVN720968 UEP720968:UFJ720968 UOL720968:UPF720968 UYH720968:UZB720968 VID720968:VIX720968 VRZ720968:VST720968 WBV720968:WCP720968 WLR720968:WML720968 WVN720968:WWH720968 D786504:Z786504 JB786504:JV786504 SX786504:TR786504 ACT786504:ADN786504 AMP786504:ANJ786504 AWL786504:AXF786504 BGH786504:BHB786504 BQD786504:BQX786504 BZZ786504:CAT786504 CJV786504:CKP786504 CTR786504:CUL786504 DDN786504:DEH786504 DNJ786504:DOD786504 DXF786504:DXZ786504 EHB786504:EHV786504 EQX786504:ERR786504 FAT786504:FBN786504 FKP786504:FLJ786504 FUL786504:FVF786504 GEH786504:GFB786504 GOD786504:GOX786504 GXZ786504:GYT786504 HHV786504:HIP786504 HRR786504:HSL786504 IBN786504:ICH786504 ILJ786504:IMD786504 IVF786504:IVZ786504 JFB786504:JFV786504 JOX786504:JPR786504 JYT786504:JZN786504 KIP786504:KJJ786504 KSL786504:KTF786504 LCH786504:LDB786504 LMD786504:LMX786504 LVZ786504:LWT786504 MFV786504:MGP786504 MPR786504:MQL786504 MZN786504:NAH786504 NJJ786504:NKD786504 NTF786504:NTZ786504 ODB786504:ODV786504 OMX786504:ONR786504 OWT786504:OXN786504 PGP786504:PHJ786504 PQL786504:PRF786504 QAH786504:QBB786504 QKD786504:QKX786504 QTZ786504:QUT786504 RDV786504:REP786504 RNR786504:ROL786504 RXN786504:RYH786504 SHJ786504:SID786504 SRF786504:SRZ786504 TBB786504:TBV786504 TKX786504:TLR786504 TUT786504:TVN786504 UEP786504:UFJ786504 UOL786504:UPF786504 UYH786504:UZB786504 VID786504:VIX786504 VRZ786504:VST786504 WBV786504:WCP786504 WLR786504:WML786504 WVN786504:WWH786504 D852040:Z852040 JB852040:JV852040 SX852040:TR852040 ACT852040:ADN852040 AMP852040:ANJ852040 AWL852040:AXF852040 BGH852040:BHB852040 BQD852040:BQX852040 BZZ852040:CAT852040 CJV852040:CKP852040 CTR852040:CUL852040 DDN852040:DEH852040 DNJ852040:DOD852040 DXF852040:DXZ852040 EHB852040:EHV852040 EQX852040:ERR852040 FAT852040:FBN852040 FKP852040:FLJ852040 FUL852040:FVF852040 GEH852040:GFB852040 GOD852040:GOX852040 GXZ852040:GYT852040 HHV852040:HIP852040 HRR852040:HSL852040 IBN852040:ICH852040 ILJ852040:IMD852040 IVF852040:IVZ852040 JFB852040:JFV852040 JOX852040:JPR852040 JYT852040:JZN852040 KIP852040:KJJ852040 KSL852040:KTF852040 LCH852040:LDB852040 LMD852040:LMX852040 LVZ852040:LWT852040 MFV852040:MGP852040 MPR852040:MQL852040 MZN852040:NAH852040 NJJ852040:NKD852040 NTF852040:NTZ852040 ODB852040:ODV852040 OMX852040:ONR852040 OWT852040:OXN852040 PGP852040:PHJ852040 PQL852040:PRF852040 QAH852040:QBB852040 QKD852040:QKX852040 QTZ852040:QUT852040 RDV852040:REP852040 RNR852040:ROL852040 RXN852040:RYH852040 SHJ852040:SID852040 SRF852040:SRZ852040 TBB852040:TBV852040 TKX852040:TLR852040 TUT852040:TVN852040 UEP852040:UFJ852040 UOL852040:UPF852040 UYH852040:UZB852040 VID852040:VIX852040 VRZ852040:VST852040 WBV852040:WCP852040 WLR852040:WML852040 WVN852040:WWH852040 D917576:Z917576 JB917576:JV917576 SX917576:TR917576 ACT917576:ADN917576 AMP917576:ANJ917576 AWL917576:AXF917576 BGH917576:BHB917576 BQD917576:BQX917576 BZZ917576:CAT917576 CJV917576:CKP917576 CTR917576:CUL917576 DDN917576:DEH917576 DNJ917576:DOD917576 DXF917576:DXZ917576 EHB917576:EHV917576 EQX917576:ERR917576 FAT917576:FBN917576 FKP917576:FLJ917576 FUL917576:FVF917576 GEH917576:GFB917576 GOD917576:GOX917576 GXZ917576:GYT917576 HHV917576:HIP917576 HRR917576:HSL917576 IBN917576:ICH917576 ILJ917576:IMD917576 IVF917576:IVZ917576 JFB917576:JFV917576 JOX917576:JPR917576 JYT917576:JZN917576 KIP917576:KJJ917576 KSL917576:KTF917576 LCH917576:LDB917576 LMD917576:LMX917576 LVZ917576:LWT917576 MFV917576:MGP917576 MPR917576:MQL917576 MZN917576:NAH917576 NJJ917576:NKD917576 NTF917576:NTZ917576 ODB917576:ODV917576 OMX917576:ONR917576 OWT917576:OXN917576 PGP917576:PHJ917576 PQL917576:PRF917576 QAH917576:QBB917576 QKD917576:QKX917576 QTZ917576:QUT917576 RDV917576:REP917576 RNR917576:ROL917576 RXN917576:RYH917576 SHJ917576:SID917576 SRF917576:SRZ917576 TBB917576:TBV917576 TKX917576:TLR917576 TUT917576:TVN917576 UEP917576:UFJ917576 UOL917576:UPF917576 UYH917576:UZB917576 VID917576:VIX917576 VRZ917576:VST917576 WBV917576:WCP917576 WLR917576:WML917576 WVN917576:WWH917576 D983112:Z983112 JB983112:JV983112 SX983112:TR983112 ACT983112:ADN983112 AMP983112:ANJ983112 AWL983112:AXF983112 BGH983112:BHB983112 BQD983112:BQX983112 BZZ983112:CAT983112 CJV983112:CKP983112 CTR983112:CUL983112 DDN983112:DEH983112 DNJ983112:DOD983112 DXF983112:DXZ983112 EHB983112:EHV983112 EQX983112:ERR983112 FAT983112:FBN983112 FKP983112:FLJ983112 FUL983112:FVF983112 GEH983112:GFB983112 GOD983112:GOX983112 GXZ983112:GYT983112 HHV983112:HIP983112 HRR983112:HSL983112 IBN983112:ICH983112 ILJ983112:IMD983112 IVF983112:IVZ983112 JFB983112:JFV983112 JOX983112:JPR983112 JYT983112:JZN983112 KIP983112:KJJ983112 KSL983112:KTF983112 LCH983112:LDB983112 LMD983112:LMX983112 LVZ983112:LWT983112 MFV983112:MGP983112 MPR983112:MQL983112 MZN983112:NAH983112 NJJ983112:NKD983112 NTF983112:NTZ983112 ODB983112:ODV983112 OMX983112:ONR983112 OWT983112:OXN983112 PGP983112:PHJ983112 PQL983112:PRF983112 QAH983112:QBB983112 QKD983112:QKX983112 QTZ983112:QUT983112 RDV983112:REP983112 RNR983112:ROL983112 RXN983112:RYH983112 SHJ983112:SID983112 SRF983112:SRZ983112 TBB983112:TBV983112 TKX983112:TLR983112 TUT983112:TVN983112 UEP983112:UFJ983112 UOL983112:UPF983112 UYH983112:UZB983112 VID983112:VIX983112 VRZ983112:VST983112 WBV983112:WCP983112 WLR983112:WML983112 WVN983112:WWH983112 WVN52:WWH67 WLR52:WML67 WBV52:WCP67 VRZ52:VST67 VID52:VIX67 UYH52:UZB67 UOL52:UPF67 UEP52:UFJ67 TUT52:TVN67 TKX52:TLR67 TBB52:TBV67 SRF52:SRZ67 SHJ52:SID67 RXN52:RYH67 RNR52:ROL67 RDV52:REP67 QTZ52:QUT67 QKD52:QKX67 QAH52:QBB67 PQL52:PRF67 PGP52:PHJ67 OWT52:OXN67 OMX52:ONR67 ODB52:ODV67 NTF52:NTZ67 NJJ52:NKD67 MZN52:NAH67 MPR52:MQL67 MFV52:MGP67 LVZ52:LWT67 LMD52:LMX67 LCH52:LDB67 KSL52:KTF67 KIP52:KJJ67 JYT52:JZN67 JOX52:JPR67 JFB52:JFV67 IVF52:IVZ67 ILJ52:IMD67 IBN52:ICH67 HRR52:HSL67 HHV52:HIP67 GXZ52:GYT67 GOD52:GOX67 GEH52:GFB67 FUL52:FVF67 FKP52:FLJ67 FAT52:FBN67 EQX52:ERR67 EHB52:EHV67 DXF52:DXZ67 DNJ52:DOD67 DDN52:DEH67 CTR52:CUL67 CJV52:CKP67 BZZ52:CAT67 BQD52:BQX67 BGH52:BHB67 AWL52:AXF67 AMP52:ANJ67 ACT52:ADN67 SX52:TR67 JB52:JV67 D61:Z61">
      <formula1>PIPE1</formula1>
    </dataValidation>
    <dataValidation type="list" allowBlank="1" showInputMessage="1" showErrorMessage="1" sqref="Y65565:Z65565 WWG4:WWH4 WMK4:WML4 WCO4:WCP4 VSS4:VST4 VIW4:VIX4 UZA4:UZB4 UPE4:UPF4 UFI4:UFJ4 TVM4:TVN4 TLQ4:TLR4 TBU4:TBV4 SRY4:SRZ4 SIC4:SID4 RYG4:RYH4 ROK4:ROL4 REO4:REP4 QUS4:QUT4 QKW4:QKX4 QBA4:QBB4 PRE4:PRF4 PHI4:PHJ4 OXM4:OXN4 ONQ4:ONR4 ODU4:ODV4 NTY4:NTZ4 NKC4:NKD4 NAG4:NAH4 MQK4:MQL4 MGO4:MGP4 LWS4:LWT4 LMW4:LMX4 LDA4:LDB4 KTE4:KTF4 KJI4:KJJ4 JZM4:JZN4 JPQ4:JPR4 JFU4:JFV4 IVY4:IVZ4 IMC4:IMD4 ICG4:ICH4 HSK4:HSL4 HIO4:HIP4 GYS4:GYT4 GOW4:GOX4 GFA4:GFB4 FVE4:FVF4 FLI4:FLJ4 FBM4:FBN4 ERQ4:ERR4 EHU4:EHV4 DXY4:DXZ4 DOC4:DOD4 DEG4:DEH4 CUK4:CUL4 CKO4:CKP4 CAS4:CAT4 BQW4:BQX4 BHA4:BHB4 AXE4:AXF4 ANI4:ANJ4 ADM4:ADN4 TQ4:TR4 JU4:JV4 Y4:Z4 JU65565:JV65565 TQ65565:TR65565 ADM65565:ADN65565 ANI65565:ANJ65565 AXE65565:AXF65565 BHA65565:BHB65565 BQW65565:BQX65565 CAS65565:CAT65565 CKO65565:CKP65565 CUK65565:CUL65565 DEG65565:DEH65565 DOC65565:DOD65565 DXY65565:DXZ65565 EHU65565:EHV65565 ERQ65565:ERR65565 FBM65565:FBN65565 FLI65565:FLJ65565 FVE65565:FVF65565 GFA65565:GFB65565 GOW65565:GOX65565 GYS65565:GYT65565 HIO65565:HIP65565 HSK65565:HSL65565 ICG65565:ICH65565 IMC65565:IMD65565 IVY65565:IVZ65565 JFU65565:JFV65565 JPQ65565:JPR65565 JZM65565:JZN65565 KJI65565:KJJ65565 KTE65565:KTF65565 LDA65565:LDB65565 LMW65565:LMX65565 LWS65565:LWT65565 MGO65565:MGP65565 MQK65565:MQL65565 NAG65565:NAH65565 NKC65565:NKD65565 NTY65565:NTZ65565 ODU65565:ODV65565 ONQ65565:ONR65565 OXM65565:OXN65565 PHI65565:PHJ65565 PRE65565:PRF65565 QBA65565:QBB65565 QKW65565:QKX65565 QUS65565:QUT65565 REO65565:REP65565 ROK65565:ROL65565 RYG65565:RYH65565 SIC65565:SID65565 SRY65565:SRZ65565 TBU65565:TBV65565 TLQ65565:TLR65565 TVM65565:TVN65565 UFI65565:UFJ65565 UPE65565:UPF65565 UZA65565:UZB65565 VIW65565:VIX65565 VSS65565:VST65565 WCO65565:WCP65565 WMK65565:WML65565 WWG65565:WWH65565 Y131101:Z131101 JU131101:JV131101 TQ131101:TR131101 ADM131101:ADN131101 ANI131101:ANJ131101 AXE131101:AXF131101 BHA131101:BHB131101 BQW131101:BQX131101 CAS131101:CAT131101 CKO131101:CKP131101 CUK131101:CUL131101 DEG131101:DEH131101 DOC131101:DOD131101 DXY131101:DXZ131101 EHU131101:EHV131101 ERQ131101:ERR131101 FBM131101:FBN131101 FLI131101:FLJ131101 FVE131101:FVF131101 GFA131101:GFB131101 GOW131101:GOX131101 GYS131101:GYT131101 HIO131101:HIP131101 HSK131101:HSL131101 ICG131101:ICH131101 IMC131101:IMD131101 IVY131101:IVZ131101 JFU131101:JFV131101 JPQ131101:JPR131101 JZM131101:JZN131101 KJI131101:KJJ131101 KTE131101:KTF131101 LDA131101:LDB131101 LMW131101:LMX131101 LWS131101:LWT131101 MGO131101:MGP131101 MQK131101:MQL131101 NAG131101:NAH131101 NKC131101:NKD131101 NTY131101:NTZ131101 ODU131101:ODV131101 ONQ131101:ONR131101 OXM131101:OXN131101 PHI131101:PHJ131101 PRE131101:PRF131101 QBA131101:QBB131101 QKW131101:QKX131101 QUS131101:QUT131101 REO131101:REP131101 ROK131101:ROL131101 RYG131101:RYH131101 SIC131101:SID131101 SRY131101:SRZ131101 TBU131101:TBV131101 TLQ131101:TLR131101 TVM131101:TVN131101 UFI131101:UFJ131101 UPE131101:UPF131101 UZA131101:UZB131101 VIW131101:VIX131101 VSS131101:VST131101 WCO131101:WCP131101 WMK131101:WML131101 WWG131101:WWH131101 Y196637:Z196637 JU196637:JV196637 TQ196637:TR196637 ADM196637:ADN196637 ANI196637:ANJ196637 AXE196637:AXF196637 BHA196637:BHB196637 BQW196637:BQX196637 CAS196637:CAT196637 CKO196637:CKP196637 CUK196637:CUL196637 DEG196637:DEH196637 DOC196637:DOD196637 DXY196637:DXZ196637 EHU196637:EHV196637 ERQ196637:ERR196637 FBM196637:FBN196637 FLI196637:FLJ196637 FVE196637:FVF196637 GFA196637:GFB196637 GOW196637:GOX196637 GYS196637:GYT196637 HIO196637:HIP196637 HSK196637:HSL196637 ICG196637:ICH196637 IMC196637:IMD196637 IVY196637:IVZ196637 JFU196637:JFV196637 JPQ196637:JPR196637 JZM196637:JZN196637 KJI196637:KJJ196637 KTE196637:KTF196637 LDA196637:LDB196637 LMW196637:LMX196637 LWS196637:LWT196637 MGO196637:MGP196637 MQK196637:MQL196637 NAG196637:NAH196637 NKC196637:NKD196637 NTY196637:NTZ196637 ODU196637:ODV196637 ONQ196637:ONR196637 OXM196637:OXN196637 PHI196637:PHJ196637 PRE196637:PRF196637 QBA196637:QBB196637 QKW196637:QKX196637 QUS196637:QUT196637 REO196637:REP196637 ROK196637:ROL196637 RYG196637:RYH196637 SIC196637:SID196637 SRY196637:SRZ196637 TBU196637:TBV196637 TLQ196637:TLR196637 TVM196637:TVN196637 UFI196637:UFJ196637 UPE196637:UPF196637 UZA196637:UZB196637 VIW196637:VIX196637 VSS196637:VST196637 WCO196637:WCP196637 WMK196637:WML196637 WWG196637:WWH196637 Y262173:Z262173 JU262173:JV262173 TQ262173:TR262173 ADM262173:ADN262173 ANI262173:ANJ262173 AXE262173:AXF262173 BHA262173:BHB262173 BQW262173:BQX262173 CAS262173:CAT262173 CKO262173:CKP262173 CUK262173:CUL262173 DEG262173:DEH262173 DOC262173:DOD262173 DXY262173:DXZ262173 EHU262173:EHV262173 ERQ262173:ERR262173 FBM262173:FBN262173 FLI262173:FLJ262173 FVE262173:FVF262173 GFA262173:GFB262173 GOW262173:GOX262173 GYS262173:GYT262173 HIO262173:HIP262173 HSK262173:HSL262173 ICG262173:ICH262173 IMC262173:IMD262173 IVY262173:IVZ262173 JFU262173:JFV262173 JPQ262173:JPR262173 JZM262173:JZN262173 KJI262173:KJJ262173 KTE262173:KTF262173 LDA262173:LDB262173 LMW262173:LMX262173 LWS262173:LWT262173 MGO262173:MGP262173 MQK262173:MQL262173 NAG262173:NAH262173 NKC262173:NKD262173 NTY262173:NTZ262173 ODU262173:ODV262173 ONQ262173:ONR262173 OXM262173:OXN262173 PHI262173:PHJ262173 PRE262173:PRF262173 QBA262173:QBB262173 QKW262173:QKX262173 QUS262173:QUT262173 REO262173:REP262173 ROK262173:ROL262173 RYG262173:RYH262173 SIC262173:SID262173 SRY262173:SRZ262173 TBU262173:TBV262173 TLQ262173:TLR262173 TVM262173:TVN262173 UFI262173:UFJ262173 UPE262173:UPF262173 UZA262173:UZB262173 VIW262173:VIX262173 VSS262173:VST262173 WCO262173:WCP262173 WMK262173:WML262173 WWG262173:WWH262173 Y327709:Z327709 JU327709:JV327709 TQ327709:TR327709 ADM327709:ADN327709 ANI327709:ANJ327709 AXE327709:AXF327709 BHA327709:BHB327709 BQW327709:BQX327709 CAS327709:CAT327709 CKO327709:CKP327709 CUK327709:CUL327709 DEG327709:DEH327709 DOC327709:DOD327709 DXY327709:DXZ327709 EHU327709:EHV327709 ERQ327709:ERR327709 FBM327709:FBN327709 FLI327709:FLJ327709 FVE327709:FVF327709 GFA327709:GFB327709 GOW327709:GOX327709 GYS327709:GYT327709 HIO327709:HIP327709 HSK327709:HSL327709 ICG327709:ICH327709 IMC327709:IMD327709 IVY327709:IVZ327709 JFU327709:JFV327709 JPQ327709:JPR327709 JZM327709:JZN327709 KJI327709:KJJ327709 KTE327709:KTF327709 LDA327709:LDB327709 LMW327709:LMX327709 LWS327709:LWT327709 MGO327709:MGP327709 MQK327709:MQL327709 NAG327709:NAH327709 NKC327709:NKD327709 NTY327709:NTZ327709 ODU327709:ODV327709 ONQ327709:ONR327709 OXM327709:OXN327709 PHI327709:PHJ327709 PRE327709:PRF327709 QBA327709:QBB327709 QKW327709:QKX327709 QUS327709:QUT327709 REO327709:REP327709 ROK327709:ROL327709 RYG327709:RYH327709 SIC327709:SID327709 SRY327709:SRZ327709 TBU327709:TBV327709 TLQ327709:TLR327709 TVM327709:TVN327709 UFI327709:UFJ327709 UPE327709:UPF327709 UZA327709:UZB327709 VIW327709:VIX327709 VSS327709:VST327709 WCO327709:WCP327709 WMK327709:WML327709 WWG327709:WWH327709 Y393245:Z393245 JU393245:JV393245 TQ393245:TR393245 ADM393245:ADN393245 ANI393245:ANJ393245 AXE393245:AXF393245 BHA393245:BHB393245 BQW393245:BQX393245 CAS393245:CAT393245 CKO393245:CKP393245 CUK393245:CUL393245 DEG393245:DEH393245 DOC393245:DOD393245 DXY393245:DXZ393245 EHU393245:EHV393245 ERQ393245:ERR393245 FBM393245:FBN393245 FLI393245:FLJ393245 FVE393245:FVF393245 GFA393245:GFB393245 GOW393245:GOX393245 GYS393245:GYT393245 HIO393245:HIP393245 HSK393245:HSL393245 ICG393245:ICH393245 IMC393245:IMD393245 IVY393245:IVZ393245 JFU393245:JFV393245 JPQ393245:JPR393245 JZM393245:JZN393245 KJI393245:KJJ393245 KTE393245:KTF393245 LDA393245:LDB393245 LMW393245:LMX393245 LWS393245:LWT393245 MGO393245:MGP393245 MQK393245:MQL393245 NAG393245:NAH393245 NKC393245:NKD393245 NTY393245:NTZ393245 ODU393245:ODV393245 ONQ393245:ONR393245 OXM393245:OXN393245 PHI393245:PHJ393245 PRE393245:PRF393245 QBA393245:QBB393245 QKW393245:QKX393245 QUS393245:QUT393245 REO393245:REP393245 ROK393245:ROL393245 RYG393245:RYH393245 SIC393245:SID393245 SRY393245:SRZ393245 TBU393245:TBV393245 TLQ393245:TLR393245 TVM393245:TVN393245 UFI393245:UFJ393245 UPE393245:UPF393245 UZA393245:UZB393245 VIW393245:VIX393245 VSS393245:VST393245 WCO393245:WCP393245 WMK393245:WML393245 WWG393245:WWH393245 Y458781:Z458781 JU458781:JV458781 TQ458781:TR458781 ADM458781:ADN458781 ANI458781:ANJ458781 AXE458781:AXF458781 BHA458781:BHB458781 BQW458781:BQX458781 CAS458781:CAT458781 CKO458781:CKP458781 CUK458781:CUL458781 DEG458781:DEH458781 DOC458781:DOD458781 DXY458781:DXZ458781 EHU458781:EHV458781 ERQ458781:ERR458781 FBM458781:FBN458781 FLI458781:FLJ458781 FVE458781:FVF458781 GFA458781:GFB458781 GOW458781:GOX458781 GYS458781:GYT458781 HIO458781:HIP458781 HSK458781:HSL458781 ICG458781:ICH458781 IMC458781:IMD458781 IVY458781:IVZ458781 JFU458781:JFV458781 JPQ458781:JPR458781 JZM458781:JZN458781 KJI458781:KJJ458781 KTE458781:KTF458781 LDA458781:LDB458781 LMW458781:LMX458781 LWS458781:LWT458781 MGO458781:MGP458781 MQK458781:MQL458781 NAG458781:NAH458781 NKC458781:NKD458781 NTY458781:NTZ458781 ODU458781:ODV458781 ONQ458781:ONR458781 OXM458781:OXN458781 PHI458781:PHJ458781 PRE458781:PRF458781 QBA458781:QBB458781 QKW458781:QKX458781 QUS458781:QUT458781 REO458781:REP458781 ROK458781:ROL458781 RYG458781:RYH458781 SIC458781:SID458781 SRY458781:SRZ458781 TBU458781:TBV458781 TLQ458781:TLR458781 TVM458781:TVN458781 UFI458781:UFJ458781 UPE458781:UPF458781 UZA458781:UZB458781 VIW458781:VIX458781 VSS458781:VST458781 WCO458781:WCP458781 WMK458781:WML458781 WWG458781:WWH458781 Y524317:Z524317 JU524317:JV524317 TQ524317:TR524317 ADM524317:ADN524317 ANI524317:ANJ524317 AXE524317:AXF524317 BHA524317:BHB524317 BQW524317:BQX524317 CAS524317:CAT524317 CKO524317:CKP524317 CUK524317:CUL524317 DEG524317:DEH524317 DOC524317:DOD524317 DXY524317:DXZ524317 EHU524317:EHV524317 ERQ524317:ERR524317 FBM524317:FBN524317 FLI524317:FLJ524317 FVE524317:FVF524317 GFA524317:GFB524317 GOW524317:GOX524317 GYS524317:GYT524317 HIO524317:HIP524317 HSK524317:HSL524317 ICG524317:ICH524317 IMC524317:IMD524317 IVY524317:IVZ524317 JFU524317:JFV524317 JPQ524317:JPR524317 JZM524317:JZN524317 KJI524317:KJJ524317 KTE524317:KTF524317 LDA524317:LDB524317 LMW524317:LMX524317 LWS524317:LWT524317 MGO524317:MGP524317 MQK524317:MQL524317 NAG524317:NAH524317 NKC524317:NKD524317 NTY524317:NTZ524317 ODU524317:ODV524317 ONQ524317:ONR524317 OXM524317:OXN524317 PHI524317:PHJ524317 PRE524317:PRF524317 QBA524317:QBB524317 QKW524317:QKX524317 QUS524317:QUT524317 REO524317:REP524317 ROK524317:ROL524317 RYG524317:RYH524317 SIC524317:SID524317 SRY524317:SRZ524317 TBU524317:TBV524317 TLQ524317:TLR524317 TVM524317:TVN524317 UFI524317:UFJ524317 UPE524317:UPF524317 UZA524317:UZB524317 VIW524317:VIX524317 VSS524317:VST524317 WCO524317:WCP524317 WMK524317:WML524317 WWG524317:WWH524317 Y589853:Z589853 JU589853:JV589853 TQ589853:TR589853 ADM589853:ADN589853 ANI589853:ANJ589853 AXE589853:AXF589853 BHA589853:BHB589853 BQW589853:BQX589853 CAS589853:CAT589853 CKO589853:CKP589853 CUK589853:CUL589853 DEG589853:DEH589853 DOC589853:DOD589853 DXY589853:DXZ589853 EHU589853:EHV589853 ERQ589853:ERR589853 FBM589853:FBN589853 FLI589853:FLJ589853 FVE589853:FVF589853 GFA589853:GFB589853 GOW589853:GOX589853 GYS589853:GYT589853 HIO589853:HIP589853 HSK589853:HSL589853 ICG589853:ICH589853 IMC589853:IMD589853 IVY589853:IVZ589853 JFU589853:JFV589853 JPQ589853:JPR589853 JZM589853:JZN589853 KJI589853:KJJ589853 KTE589853:KTF589853 LDA589853:LDB589853 LMW589853:LMX589853 LWS589853:LWT589853 MGO589853:MGP589853 MQK589853:MQL589853 NAG589853:NAH589853 NKC589853:NKD589853 NTY589853:NTZ589853 ODU589853:ODV589853 ONQ589853:ONR589853 OXM589853:OXN589853 PHI589853:PHJ589853 PRE589853:PRF589853 QBA589853:QBB589853 QKW589853:QKX589853 QUS589853:QUT589853 REO589853:REP589853 ROK589853:ROL589853 RYG589853:RYH589853 SIC589853:SID589853 SRY589853:SRZ589853 TBU589853:TBV589853 TLQ589853:TLR589853 TVM589853:TVN589853 UFI589853:UFJ589853 UPE589853:UPF589853 UZA589853:UZB589853 VIW589853:VIX589853 VSS589853:VST589853 WCO589853:WCP589853 WMK589853:WML589853 WWG589853:WWH589853 Y655389:Z655389 JU655389:JV655389 TQ655389:TR655389 ADM655389:ADN655389 ANI655389:ANJ655389 AXE655389:AXF655389 BHA655389:BHB655389 BQW655389:BQX655389 CAS655389:CAT655389 CKO655389:CKP655389 CUK655389:CUL655389 DEG655389:DEH655389 DOC655389:DOD655389 DXY655389:DXZ655389 EHU655389:EHV655389 ERQ655389:ERR655389 FBM655389:FBN655389 FLI655389:FLJ655389 FVE655389:FVF655389 GFA655389:GFB655389 GOW655389:GOX655389 GYS655389:GYT655389 HIO655389:HIP655389 HSK655389:HSL655389 ICG655389:ICH655389 IMC655389:IMD655389 IVY655389:IVZ655389 JFU655389:JFV655389 JPQ655389:JPR655389 JZM655389:JZN655389 KJI655389:KJJ655389 KTE655389:KTF655389 LDA655389:LDB655389 LMW655389:LMX655389 LWS655389:LWT655389 MGO655389:MGP655389 MQK655389:MQL655389 NAG655389:NAH655389 NKC655389:NKD655389 NTY655389:NTZ655389 ODU655389:ODV655389 ONQ655389:ONR655389 OXM655389:OXN655389 PHI655389:PHJ655389 PRE655389:PRF655389 QBA655389:QBB655389 QKW655389:QKX655389 QUS655389:QUT655389 REO655389:REP655389 ROK655389:ROL655389 RYG655389:RYH655389 SIC655389:SID655389 SRY655389:SRZ655389 TBU655389:TBV655389 TLQ655389:TLR655389 TVM655389:TVN655389 UFI655389:UFJ655389 UPE655389:UPF655389 UZA655389:UZB655389 VIW655389:VIX655389 VSS655389:VST655389 WCO655389:WCP655389 WMK655389:WML655389 WWG655389:WWH655389 Y720925:Z720925 JU720925:JV720925 TQ720925:TR720925 ADM720925:ADN720925 ANI720925:ANJ720925 AXE720925:AXF720925 BHA720925:BHB720925 BQW720925:BQX720925 CAS720925:CAT720925 CKO720925:CKP720925 CUK720925:CUL720925 DEG720925:DEH720925 DOC720925:DOD720925 DXY720925:DXZ720925 EHU720925:EHV720925 ERQ720925:ERR720925 FBM720925:FBN720925 FLI720925:FLJ720925 FVE720925:FVF720925 GFA720925:GFB720925 GOW720925:GOX720925 GYS720925:GYT720925 HIO720925:HIP720925 HSK720925:HSL720925 ICG720925:ICH720925 IMC720925:IMD720925 IVY720925:IVZ720925 JFU720925:JFV720925 JPQ720925:JPR720925 JZM720925:JZN720925 KJI720925:KJJ720925 KTE720925:KTF720925 LDA720925:LDB720925 LMW720925:LMX720925 LWS720925:LWT720925 MGO720925:MGP720925 MQK720925:MQL720925 NAG720925:NAH720925 NKC720925:NKD720925 NTY720925:NTZ720925 ODU720925:ODV720925 ONQ720925:ONR720925 OXM720925:OXN720925 PHI720925:PHJ720925 PRE720925:PRF720925 QBA720925:QBB720925 QKW720925:QKX720925 QUS720925:QUT720925 REO720925:REP720925 ROK720925:ROL720925 RYG720925:RYH720925 SIC720925:SID720925 SRY720925:SRZ720925 TBU720925:TBV720925 TLQ720925:TLR720925 TVM720925:TVN720925 UFI720925:UFJ720925 UPE720925:UPF720925 UZA720925:UZB720925 VIW720925:VIX720925 VSS720925:VST720925 WCO720925:WCP720925 WMK720925:WML720925 WWG720925:WWH720925 Y786461:Z786461 JU786461:JV786461 TQ786461:TR786461 ADM786461:ADN786461 ANI786461:ANJ786461 AXE786461:AXF786461 BHA786461:BHB786461 BQW786461:BQX786461 CAS786461:CAT786461 CKO786461:CKP786461 CUK786461:CUL786461 DEG786461:DEH786461 DOC786461:DOD786461 DXY786461:DXZ786461 EHU786461:EHV786461 ERQ786461:ERR786461 FBM786461:FBN786461 FLI786461:FLJ786461 FVE786461:FVF786461 GFA786461:GFB786461 GOW786461:GOX786461 GYS786461:GYT786461 HIO786461:HIP786461 HSK786461:HSL786461 ICG786461:ICH786461 IMC786461:IMD786461 IVY786461:IVZ786461 JFU786461:JFV786461 JPQ786461:JPR786461 JZM786461:JZN786461 KJI786461:KJJ786461 KTE786461:KTF786461 LDA786461:LDB786461 LMW786461:LMX786461 LWS786461:LWT786461 MGO786461:MGP786461 MQK786461:MQL786461 NAG786461:NAH786461 NKC786461:NKD786461 NTY786461:NTZ786461 ODU786461:ODV786461 ONQ786461:ONR786461 OXM786461:OXN786461 PHI786461:PHJ786461 PRE786461:PRF786461 QBA786461:QBB786461 QKW786461:QKX786461 QUS786461:QUT786461 REO786461:REP786461 ROK786461:ROL786461 RYG786461:RYH786461 SIC786461:SID786461 SRY786461:SRZ786461 TBU786461:TBV786461 TLQ786461:TLR786461 TVM786461:TVN786461 UFI786461:UFJ786461 UPE786461:UPF786461 UZA786461:UZB786461 VIW786461:VIX786461 VSS786461:VST786461 WCO786461:WCP786461 WMK786461:WML786461 WWG786461:WWH786461 Y851997:Z851997 JU851997:JV851997 TQ851997:TR851997 ADM851997:ADN851997 ANI851997:ANJ851997 AXE851997:AXF851997 BHA851997:BHB851997 BQW851997:BQX851997 CAS851997:CAT851997 CKO851997:CKP851997 CUK851997:CUL851997 DEG851997:DEH851997 DOC851997:DOD851997 DXY851997:DXZ851997 EHU851997:EHV851997 ERQ851997:ERR851997 FBM851997:FBN851997 FLI851997:FLJ851997 FVE851997:FVF851997 GFA851997:GFB851997 GOW851997:GOX851997 GYS851997:GYT851997 HIO851997:HIP851997 HSK851997:HSL851997 ICG851997:ICH851997 IMC851997:IMD851997 IVY851997:IVZ851997 JFU851997:JFV851997 JPQ851997:JPR851997 JZM851997:JZN851997 KJI851997:KJJ851997 KTE851997:KTF851997 LDA851997:LDB851997 LMW851997:LMX851997 LWS851997:LWT851997 MGO851997:MGP851997 MQK851997:MQL851997 NAG851997:NAH851997 NKC851997:NKD851997 NTY851997:NTZ851997 ODU851997:ODV851997 ONQ851997:ONR851997 OXM851997:OXN851997 PHI851997:PHJ851997 PRE851997:PRF851997 QBA851997:QBB851997 QKW851997:QKX851997 QUS851997:QUT851997 REO851997:REP851997 ROK851997:ROL851997 RYG851997:RYH851997 SIC851997:SID851997 SRY851997:SRZ851997 TBU851997:TBV851997 TLQ851997:TLR851997 TVM851997:TVN851997 UFI851997:UFJ851997 UPE851997:UPF851997 UZA851997:UZB851997 VIW851997:VIX851997 VSS851997:VST851997 WCO851997:WCP851997 WMK851997:WML851997 WWG851997:WWH851997 Y917533:Z917533 JU917533:JV917533 TQ917533:TR917533 ADM917533:ADN917533 ANI917533:ANJ917533 AXE917533:AXF917533 BHA917533:BHB917533 BQW917533:BQX917533 CAS917533:CAT917533 CKO917533:CKP917533 CUK917533:CUL917533 DEG917533:DEH917533 DOC917533:DOD917533 DXY917533:DXZ917533 EHU917533:EHV917533 ERQ917533:ERR917533 FBM917533:FBN917533 FLI917533:FLJ917533 FVE917533:FVF917533 GFA917533:GFB917533 GOW917533:GOX917533 GYS917533:GYT917533 HIO917533:HIP917533 HSK917533:HSL917533 ICG917533:ICH917533 IMC917533:IMD917533 IVY917533:IVZ917533 JFU917533:JFV917533 JPQ917533:JPR917533 JZM917533:JZN917533 KJI917533:KJJ917533 KTE917533:KTF917533 LDA917533:LDB917533 LMW917533:LMX917533 LWS917533:LWT917533 MGO917533:MGP917533 MQK917533:MQL917533 NAG917533:NAH917533 NKC917533:NKD917533 NTY917533:NTZ917533 ODU917533:ODV917533 ONQ917533:ONR917533 OXM917533:OXN917533 PHI917533:PHJ917533 PRE917533:PRF917533 QBA917533:QBB917533 QKW917533:QKX917533 QUS917533:QUT917533 REO917533:REP917533 ROK917533:ROL917533 RYG917533:RYH917533 SIC917533:SID917533 SRY917533:SRZ917533 TBU917533:TBV917533 TLQ917533:TLR917533 TVM917533:TVN917533 UFI917533:UFJ917533 UPE917533:UPF917533 UZA917533:UZB917533 VIW917533:VIX917533 VSS917533:VST917533 WCO917533:WCP917533 WMK917533:WML917533 WWG917533:WWH917533 Y983069:Z983069 JU983069:JV983069 TQ983069:TR983069 ADM983069:ADN983069 ANI983069:ANJ983069 AXE983069:AXF983069 BHA983069:BHB983069 BQW983069:BQX983069 CAS983069:CAT983069 CKO983069:CKP983069 CUK983069:CUL983069 DEG983069:DEH983069 DOC983069:DOD983069 DXY983069:DXZ983069 EHU983069:EHV983069 ERQ983069:ERR983069 FBM983069:FBN983069 FLI983069:FLJ983069 FVE983069:FVF983069 GFA983069:GFB983069 GOW983069:GOX983069 GYS983069:GYT983069 HIO983069:HIP983069 HSK983069:HSL983069 ICG983069:ICH983069 IMC983069:IMD983069 IVY983069:IVZ983069 JFU983069:JFV983069 JPQ983069:JPR983069 JZM983069:JZN983069 KJI983069:KJJ983069 KTE983069:KTF983069 LDA983069:LDB983069 LMW983069:LMX983069 LWS983069:LWT983069 MGO983069:MGP983069 MQK983069:MQL983069 NAG983069:NAH983069 NKC983069:NKD983069 NTY983069:NTZ983069 ODU983069:ODV983069 ONQ983069:ONR983069 OXM983069:OXN983069 PHI983069:PHJ983069 PRE983069:PRF983069 QBA983069:QBB983069 QKW983069:QKX983069 QUS983069:QUT983069 REO983069:REP983069 ROK983069:ROL983069 RYG983069:RYH983069 SIC983069:SID983069 SRY983069:SRZ983069 TBU983069:TBV983069 TLQ983069:TLR983069 TVM983069:TVN983069 UFI983069:UFJ983069 UPE983069:UPF983069 UZA983069:UZB983069 VIW983069:VIX983069 VSS983069:VST983069 WCO983069:WCP983069 WMK983069:WML983069 WWG983069:WWH983069">
      <formula1>PTYPE</formula1>
    </dataValidation>
    <dataValidation type="list" allowBlank="1" showInputMessage="1" showErrorMessage="1" sqref="AC65595 WWK34 WMO34 WCS34 VSW34 VJA34 UZE34 UPI34 UFM34 TVQ34 TLU34 TBY34 SSC34 SIG34 RYK34 ROO34 RES34 QUW34 QLA34 QBE34 PRI34 PHM34 OXQ34 ONU34 ODY34 NUC34 NKG34 NAK34 MQO34 MGS34 LWW34 LNA34 LDE34 KTI34 KJM34 JZQ34 JPU34 JFY34 IWC34 IMG34 ICK34 HSO34 HIS34 GYW34 GPA34 GFE34 FVI34 FLM34 FBQ34 ERU34 EHY34 DYC34 DOG34 DEK34 CUO34 CKS34 CAW34 BRA34 BHE34 AXI34 ANM34 ADQ34 TU34 JY34 AC34 JY65595 TU65595 ADQ65595 ANM65595 AXI65595 BHE65595 BRA65595 CAW65595 CKS65595 CUO65595 DEK65595 DOG65595 DYC65595 EHY65595 ERU65595 FBQ65595 FLM65595 FVI65595 GFE65595 GPA65595 GYW65595 HIS65595 HSO65595 ICK65595 IMG65595 IWC65595 JFY65595 JPU65595 JZQ65595 KJM65595 KTI65595 LDE65595 LNA65595 LWW65595 MGS65595 MQO65595 NAK65595 NKG65595 NUC65595 ODY65595 ONU65595 OXQ65595 PHM65595 PRI65595 QBE65595 QLA65595 QUW65595 RES65595 ROO65595 RYK65595 SIG65595 SSC65595 TBY65595 TLU65595 TVQ65595 UFM65595 UPI65595 UZE65595 VJA65595 VSW65595 WCS65595 WMO65595 WWK65595 AC131131 JY131131 TU131131 ADQ131131 ANM131131 AXI131131 BHE131131 BRA131131 CAW131131 CKS131131 CUO131131 DEK131131 DOG131131 DYC131131 EHY131131 ERU131131 FBQ131131 FLM131131 FVI131131 GFE131131 GPA131131 GYW131131 HIS131131 HSO131131 ICK131131 IMG131131 IWC131131 JFY131131 JPU131131 JZQ131131 KJM131131 KTI131131 LDE131131 LNA131131 LWW131131 MGS131131 MQO131131 NAK131131 NKG131131 NUC131131 ODY131131 ONU131131 OXQ131131 PHM131131 PRI131131 QBE131131 QLA131131 QUW131131 RES131131 ROO131131 RYK131131 SIG131131 SSC131131 TBY131131 TLU131131 TVQ131131 UFM131131 UPI131131 UZE131131 VJA131131 VSW131131 WCS131131 WMO131131 WWK131131 AC196667 JY196667 TU196667 ADQ196667 ANM196667 AXI196667 BHE196667 BRA196667 CAW196667 CKS196667 CUO196667 DEK196667 DOG196667 DYC196667 EHY196667 ERU196667 FBQ196667 FLM196667 FVI196667 GFE196667 GPA196667 GYW196667 HIS196667 HSO196667 ICK196667 IMG196667 IWC196667 JFY196667 JPU196667 JZQ196667 KJM196667 KTI196667 LDE196667 LNA196667 LWW196667 MGS196667 MQO196667 NAK196667 NKG196667 NUC196667 ODY196667 ONU196667 OXQ196667 PHM196667 PRI196667 QBE196667 QLA196667 QUW196667 RES196667 ROO196667 RYK196667 SIG196667 SSC196667 TBY196667 TLU196667 TVQ196667 UFM196667 UPI196667 UZE196667 VJA196667 VSW196667 WCS196667 WMO196667 WWK196667 AC262203 JY262203 TU262203 ADQ262203 ANM262203 AXI262203 BHE262203 BRA262203 CAW262203 CKS262203 CUO262203 DEK262203 DOG262203 DYC262203 EHY262203 ERU262203 FBQ262203 FLM262203 FVI262203 GFE262203 GPA262203 GYW262203 HIS262203 HSO262203 ICK262203 IMG262203 IWC262203 JFY262203 JPU262203 JZQ262203 KJM262203 KTI262203 LDE262203 LNA262203 LWW262203 MGS262203 MQO262203 NAK262203 NKG262203 NUC262203 ODY262203 ONU262203 OXQ262203 PHM262203 PRI262203 QBE262203 QLA262203 QUW262203 RES262203 ROO262203 RYK262203 SIG262203 SSC262203 TBY262203 TLU262203 TVQ262203 UFM262203 UPI262203 UZE262203 VJA262203 VSW262203 WCS262203 WMO262203 WWK262203 AC327739 JY327739 TU327739 ADQ327739 ANM327739 AXI327739 BHE327739 BRA327739 CAW327739 CKS327739 CUO327739 DEK327739 DOG327739 DYC327739 EHY327739 ERU327739 FBQ327739 FLM327739 FVI327739 GFE327739 GPA327739 GYW327739 HIS327739 HSO327739 ICK327739 IMG327739 IWC327739 JFY327739 JPU327739 JZQ327739 KJM327739 KTI327739 LDE327739 LNA327739 LWW327739 MGS327739 MQO327739 NAK327739 NKG327739 NUC327739 ODY327739 ONU327739 OXQ327739 PHM327739 PRI327739 QBE327739 QLA327739 QUW327739 RES327739 ROO327739 RYK327739 SIG327739 SSC327739 TBY327739 TLU327739 TVQ327739 UFM327739 UPI327739 UZE327739 VJA327739 VSW327739 WCS327739 WMO327739 WWK327739 AC393275 JY393275 TU393275 ADQ393275 ANM393275 AXI393275 BHE393275 BRA393275 CAW393275 CKS393275 CUO393275 DEK393275 DOG393275 DYC393275 EHY393275 ERU393275 FBQ393275 FLM393275 FVI393275 GFE393275 GPA393275 GYW393275 HIS393275 HSO393275 ICK393275 IMG393275 IWC393275 JFY393275 JPU393275 JZQ393275 KJM393275 KTI393275 LDE393275 LNA393275 LWW393275 MGS393275 MQO393275 NAK393275 NKG393275 NUC393275 ODY393275 ONU393275 OXQ393275 PHM393275 PRI393275 QBE393275 QLA393275 QUW393275 RES393275 ROO393275 RYK393275 SIG393275 SSC393275 TBY393275 TLU393275 TVQ393275 UFM393275 UPI393275 UZE393275 VJA393275 VSW393275 WCS393275 WMO393275 WWK393275 AC458811 JY458811 TU458811 ADQ458811 ANM458811 AXI458811 BHE458811 BRA458811 CAW458811 CKS458811 CUO458811 DEK458811 DOG458811 DYC458811 EHY458811 ERU458811 FBQ458811 FLM458811 FVI458811 GFE458811 GPA458811 GYW458811 HIS458811 HSO458811 ICK458811 IMG458811 IWC458811 JFY458811 JPU458811 JZQ458811 KJM458811 KTI458811 LDE458811 LNA458811 LWW458811 MGS458811 MQO458811 NAK458811 NKG458811 NUC458811 ODY458811 ONU458811 OXQ458811 PHM458811 PRI458811 QBE458811 QLA458811 QUW458811 RES458811 ROO458811 RYK458811 SIG458811 SSC458811 TBY458811 TLU458811 TVQ458811 UFM458811 UPI458811 UZE458811 VJA458811 VSW458811 WCS458811 WMO458811 WWK458811 AC524347 JY524347 TU524347 ADQ524347 ANM524347 AXI524347 BHE524347 BRA524347 CAW524347 CKS524347 CUO524347 DEK524347 DOG524347 DYC524347 EHY524347 ERU524347 FBQ524347 FLM524347 FVI524347 GFE524347 GPA524347 GYW524347 HIS524347 HSO524347 ICK524347 IMG524347 IWC524347 JFY524347 JPU524347 JZQ524347 KJM524347 KTI524347 LDE524347 LNA524347 LWW524347 MGS524347 MQO524347 NAK524347 NKG524347 NUC524347 ODY524347 ONU524347 OXQ524347 PHM524347 PRI524347 QBE524347 QLA524347 QUW524347 RES524347 ROO524347 RYK524347 SIG524347 SSC524347 TBY524347 TLU524347 TVQ524347 UFM524347 UPI524347 UZE524347 VJA524347 VSW524347 WCS524347 WMO524347 WWK524347 AC589883 JY589883 TU589883 ADQ589883 ANM589883 AXI589883 BHE589883 BRA589883 CAW589883 CKS589883 CUO589883 DEK589883 DOG589883 DYC589883 EHY589883 ERU589883 FBQ589883 FLM589883 FVI589883 GFE589883 GPA589883 GYW589883 HIS589883 HSO589883 ICK589883 IMG589883 IWC589883 JFY589883 JPU589883 JZQ589883 KJM589883 KTI589883 LDE589883 LNA589883 LWW589883 MGS589883 MQO589883 NAK589883 NKG589883 NUC589883 ODY589883 ONU589883 OXQ589883 PHM589883 PRI589883 QBE589883 QLA589883 QUW589883 RES589883 ROO589883 RYK589883 SIG589883 SSC589883 TBY589883 TLU589883 TVQ589883 UFM589883 UPI589883 UZE589883 VJA589883 VSW589883 WCS589883 WMO589883 WWK589883 AC655419 JY655419 TU655419 ADQ655419 ANM655419 AXI655419 BHE655419 BRA655419 CAW655419 CKS655419 CUO655419 DEK655419 DOG655419 DYC655419 EHY655419 ERU655419 FBQ655419 FLM655419 FVI655419 GFE655419 GPA655419 GYW655419 HIS655419 HSO655419 ICK655419 IMG655419 IWC655419 JFY655419 JPU655419 JZQ655419 KJM655419 KTI655419 LDE655419 LNA655419 LWW655419 MGS655419 MQO655419 NAK655419 NKG655419 NUC655419 ODY655419 ONU655419 OXQ655419 PHM655419 PRI655419 QBE655419 QLA655419 QUW655419 RES655419 ROO655419 RYK655419 SIG655419 SSC655419 TBY655419 TLU655419 TVQ655419 UFM655419 UPI655419 UZE655419 VJA655419 VSW655419 WCS655419 WMO655419 WWK655419 AC720955 JY720955 TU720955 ADQ720955 ANM720955 AXI720955 BHE720955 BRA720955 CAW720955 CKS720955 CUO720955 DEK720955 DOG720955 DYC720955 EHY720955 ERU720955 FBQ720955 FLM720955 FVI720955 GFE720955 GPA720955 GYW720955 HIS720955 HSO720955 ICK720955 IMG720955 IWC720955 JFY720955 JPU720955 JZQ720955 KJM720955 KTI720955 LDE720955 LNA720955 LWW720955 MGS720955 MQO720955 NAK720955 NKG720955 NUC720955 ODY720955 ONU720955 OXQ720955 PHM720955 PRI720955 QBE720955 QLA720955 QUW720955 RES720955 ROO720955 RYK720955 SIG720955 SSC720955 TBY720955 TLU720955 TVQ720955 UFM720955 UPI720955 UZE720955 VJA720955 VSW720955 WCS720955 WMO720955 WWK720955 AC786491 JY786491 TU786491 ADQ786491 ANM786491 AXI786491 BHE786491 BRA786491 CAW786491 CKS786491 CUO786491 DEK786491 DOG786491 DYC786491 EHY786491 ERU786491 FBQ786491 FLM786491 FVI786491 GFE786491 GPA786491 GYW786491 HIS786491 HSO786491 ICK786491 IMG786491 IWC786491 JFY786491 JPU786491 JZQ786491 KJM786491 KTI786491 LDE786491 LNA786491 LWW786491 MGS786491 MQO786491 NAK786491 NKG786491 NUC786491 ODY786491 ONU786491 OXQ786491 PHM786491 PRI786491 QBE786491 QLA786491 QUW786491 RES786491 ROO786491 RYK786491 SIG786491 SSC786491 TBY786491 TLU786491 TVQ786491 UFM786491 UPI786491 UZE786491 VJA786491 VSW786491 WCS786491 WMO786491 WWK786491 AC852027 JY852027 TU852027 ADQ852027 ANM852027 AXI852027 BHE852027 BRA852027 CAW852027 CKS852027 CUO852027 DEK852027 DOG852027 DYC852027 EHY852027 ERU852027 FBQ852027 FLM852027 FVI852027 GFE852027 GPA852027 GYW852027 HIS852027 HSO852027 ICK852027 IMG852027 IWC852027 JFY852027 JPU852027 JZQ852027 KJM852027 KTI852027 LDE852027 LNA852027 LWW852027 MGS852027 MQO852027 NAK852027 NKG852027 NUC852027 ODY852027 ONU852027 OXQ852027 PHM852027 PRI852027 QBE852027 QLA852027 QUW852027 RES852027 ROO852027 RYK852027 SIG852027 SSC852027 TBY852027 TLU852027 TVQ852027 UFM852027 UPI852027 UZE852027 VJA852027 VSW852027 WCS852027 WMO852027 WWK852027 AC917563 JY917563 TU917563 ADQ917563 ANM917563 AXI917563 BHE917563 BRA917563 CAW917563 CKS917563 CUO917563 DEK917563 DOG917563 DYC917563 EHY917563 ERU917563 FBQ917563 FLM917563 FVI917563 GFE917563 GPA917563 GYW917563 HIS917563 HSO917563 ICK917563 IMG917563 IWC917563 JFY917563 JPU917563 JZQ917563 KJM917563 KTI917563 LDE917563 LNA917563 LWW917563 MGS917563 MQO917563 NAK917563 NKG917563 NUC917563 ODY917563 ONU917563 OXQ917563 PHM917563 PRI917563 QBE917563 QLA917563 QUW917563 RES917563 ROO917563 RYK917563 SIG917563 SSC917563 TBY917563 TLU917563 TVQ917563 UFM917563 UPI917563 UZE917563 VJA917563 VSW917563 WCS917563 WMO917563 WWK917563 AC983099 JY983099 TU983099 ADQ983099 ANM983099 AXI983099 BHE983099 BRA983099 CAW983099 CKS983099 CUO983099 DEK983099 DOG983099 DYC983099 EHY983099 ERU983099 FBQ983099 FLM983099 FVI983099 GFE983099 GPA983099 GYW983099 HIS983099 HSO983099 ICK983099 IMG983099 IWC983099 JFY983099 JPU983099 JZQ983099 KJM983099 KTI983099 LDE983099 LNA983099 LWW983099 MGS983099 MQO983099 NAK983099 NKG983099 NUC983099 ODY983099 ONU983099 OXQ983099 PHM983099 PRI983099 QBE983099 QLA983099 QUW983099 RES983099 ROO983099 RYK983099 SIG983099 SSC983099 TBY983099 TLU983099 TVQ983099 UFM983099 UPI983099 UZE983099 VJA983099 VSW983099 WCS983099 WMO983099 WWK983099">
      <formula1>$AE$34:$AE$35</formula1>
    </dataValidation>
    <dataValidation type="list" allowBlank="1" showInputMessage="1" showErrorMessage="1" sqref="Y65566:Z65566 WWG5:WWH5 WMK5:WML5 WCO5:WCP5 VSS5:VST5 VIW5:VIX5 UZA5:UZB5 UPE5:UPF5 UFI5:UFJ5 TVM5:TVN5 TLQ5:TLR5 TBU5:TBV5 SRY5:SRZ5 SIC5:SID5 RYG5:RYH5 ROK5:ROL5 REO5:REP5 QUS5:QUT5 QKW5:QKX5 QBA5:QBB5 PRE5:PRF5 PHI5:PHJ5 OXM5:OXN5 ONQ5:ONR5 ODU5:ODV5 NTY5:NTZ5 NKC5:NKD5 NAG5:NAH5 MQK5:MQL5 MGO5:MGP5 LWS5:LWT5 LMW5:LMX5 LDA5:LDB5 KTE5:KTF5 KJI5:KJJ5 JZM5:JZN5 JPQ5:JPR5 JFU5:JFV5 IVY5:IVZ5 IMC5:IMD5 ICG5:ICH5 HSK5:HSL5 HIO5:HIP5 GYS5:GYT5 GOW5:GOX5 GFA5:GFB5 FVE5:FVF5 FLI5:FLJ5 FBM5:FBN5 ERQ5:ERR5 EHU5:EHV5 DXY5:DXZ5 DOC5:DOD5 DEG5:DEH5 CUK5:CUL5 CKO5:CKP5 CAS5:CAT5 BQW5:BQX5 BHA5:BHB5 AXE5:AXF5 ANI5:ANJ5 ADM5:ADN5 TQ5:TR5 JU5:JV5 Y5:Z5 JU65566:JV65566 TQ65566:TR65566 ADM65566:ADN65566 ANI65566:ANJ65566 AXE65566:AXF65566 BHA65566:BHB65566 BQW65566:BQX65566 CAS65566:CAT65566 CKO65566:CKP65566 CUK65566:CUL65566 DEG65566:DEH65566 DOC65566:DOD65566 DXY65566:DXZ65566 EHU65566:EHV65566 ERQ65566:ERR65566 FBM65566:FBN65566 FLI65566:FLJ65566 FVE65566:FVF65566 GFA65566:GFB65566 GOW65566:GOX65566 GYS65566:GYT65566 HIO65566:HIP65566 HSK65566:HSL65566 ICG65566:ICH65566 IMC65566:IMD65566 IVY65566:IVZ65566 JFU65566:JFV65566 JPQ65566:JPR65566 JZM65566:JZN65566 KJI65566:KJJ65566 KTE65566:KTF65566 LDA65566:LDB65566 LMW65566:LMX65566 LWS65566:LWT65566 MGO65566:MGP65566 MQK65566:MQL65566 NAG65566:NAH65566 NKC65566:NKD65566 NTY65566:NTZ65566 ODU65566:ODV65566 ONQ65566:ONR65566 OXM65566:OXN65566 PHI65566:PHJ65566 PRE65566:PRF65566 QBA65566:QBB65566 QKW65566:QKX65566 QUS65566:QUT65566 REO65566:REP65566 ROK65566:ROL65566 RYG65566:RYH65566 SIC65566:SID65566 SRY65566:SRZ65566 TBU65566:TBV65566 TLQ65566:TLR65566 TVM65566:TVN65566 UFI65566:UFJ65566 UPE65566:UPF65566 UZA65566:UZB65566 VIW65566:VIX65566 VSS65566:VST65566 WCO65566:WCP65566 WMK65566:WML65566 WWG65566:WWH65566 Y131102:Z131102 JU131102:JV131102 TQ131102:TR131102 ADM131102:ADN131102 ANI131102:ANJ131102 AXE131102:AXF131102 BHA131102:BHB131102 BQW131102:BQX131102 CAS131102:CAT131102 CKO131102:CKP131102 CUK131102:CUL131102 DEG131102:DEH131102 DOC131102:DOD131102 DXY131102:DXZ131102 EHU131102:EHV131102 ERQ131102:ERR131102 FBM131102:FBN131102 FLI131102:FLJ131102 FVE131102:FVF131102 GFA131102:GFB131102 GOW131102:GOX131102 GYS131102:GYT131102 HIO131102:HIP131102 HSK131102:HSL131102 ICG131102:ICH131102 IMC131102:IMD131102 IVY131102:IVZ131102 JFU131102:JFV131102 JPQ131102:JPR131102 JZM131102:JZN131102 KJI131102:KJJ131102 KTE131102:KTF131102 LDA131102:LDB131102 LMW131102:LMX131102 LWS131102:LWT131102 MGO131102:MGP131102 MQK131102:MQL131102 NAG131102:NAH131102 NKC131102:NKD131102 NTY131102:NTZ131102 ODU131102:ODV131102 ONQ131102:ONR131102 OXM131102:OXN131102 PHI131102:PHJ131102 PRE131102:PRF131102 QBA131102:QBB131102 QKW131102:QKX131102 QUS131102:QUT131102 REO131102:REP131102 ROK131102:ROL131102 RYG131102:RYH131102 SIC131102:SID131102 SRY131102:SRZ131102 TBU131102:TBV131102 TLQ131102:TLR131102 TVM131102:TVN131102 UFI131102:UFJ131102 UPE131102:UPF131102 UZA131102:UZB131102 VIW131102:VIX131102 VSS131102:VST131102 WCO131102:WCP131102 WMK131102:WML131102 WWG131102:WWH131102 Y196638:Z196638 JU196638:JV196638 TQ196638:TR196638 ADM196638:ADN196638 ANI196638:ANJ196638 AXE196638:AXF196638 BHA196638:BHB196638 BQW196638:BQX196638 CAS196638:CAT196638 CKO196638:CKP196638 CUK196638:CUL196638 DEG196638:DEH196638 DOC196638:DOD196638 DXY196638:DXZ196638 EHU196638:EHV196638 ERQ196638:ERR196638 FBM196638:FBN196638 FLI196638:FLJ196638 FVE196638:FVF196638 GFA196638:GFB196638 GOW196638:GOX196638 GYS196638:GYT196638 HIO196638:HIP196638 HSK196638:HSL196638 ICG196638:ICH196638 IMC196638:IMD196638 IVY196638:IVZ196638 JFU196638:JFV196638 JPQ196638:JPR196638 JZM196638:JZN196638 KJI196638:KJJ196638 KTE196638:KTF196638 LDA196638:LDB196638 LMW196638:LMX196638 LWS196638:LWT196638 MGO196638:MGP196638 MQK196638:MQL196638 NAG196638:NAH196638 NKC196638:NKD196638 NTY196638:NTZ196638 ODU196638:ODV196638 ONQ196638:ONR196638 OXM196638:OXN196638 PHI196638:PHJ196638 PRE196638:PRF196638 QBA196638:QBB196638 QKW196638:QKX196638 QUS196638:QUT196638 REO196638:REP196638 ROK196638:ROL196638 RYG196638:RYH196638 SIC196638:SID196638 SRY196638:SRZ196638 TBU196638:TBV196638 TLQ196638:TLR196638 TVM196638:TVN196638 UFI196638:UFJ196638 UPE196638:UPF196638 UZA196638:UZB196638 VIW196638:VIX196638 VSS196638:VST196638 WCO196638:WCP196638 WMK196638:WML196638 WWG196638:WWH196638 Y262174:Z262174 JU262174:JV262174 TQ262174:TR262174 ADM262174:ADN262174 ANI262174:ANJ262174 AXE262174:AXF262174 BHA262174:BHB262174 BQW262174:BQX262174 CAS262174:CAT262174 CKO262174:CKP262174 CUK262174:CUL262174 DEG262174:DEH262174 DOC262174:DOD262174 DXY262174:DXZ262174 EHU262174:EHV262174 ERQ262174:ERR262174 FBM262174:FBN262174 FLI262174:FLJ262174 FVE262174:FVF262174 GFA262174:GFB262174 GOW262174:GOX262174 GYS262174:GYT262174 HIO262174:HIP262174 HSK262174:HSL262174 ICG262174:ICH262174 IMC262174:IMD262174 IVY262174:IVZ262174 JFU262174:JFV262174 JPQ262174:JPR262174 JZM262174:JZN262174 KJI262174:KJJ262174 KTE262174:KTF262174 LDA262174:LDB262174 LMW262174:LMX262174 LWS262174:LWT262174 MGO262174:MGP262174 MQK262174:MQL262174 NAG262174:NAH262174 NKC262174:NKD262174 NTY262174:NTZ262174 ODU262174:ODV262174 ONQ262174:ONR262174 OXM262174:OXN262174 PHI262174:PHJ262174 PRE262174:PRF262174 QBA262174:QBB262174 QKW262174:QKX262174 QUS262174:QUT262174 REO262174:REP262174 ROK262174:ROL262174 RYG262174:RYH262174 SIC262174:SID262174 SRY262174:SRZ262174 TBU262174:TBV262174 TLQ262174:TLR262174 TVM262174:TVN262174 UFI262174:UFJ262174 UPE262174:UPF262174 UZA262174:UZB262174 VIW262174:VIX262174 VSS262174:VST262174 WCO262174:WCP262174 WMK262174:WML262174 WWG262174:WWH262174 Y327710:Z327710 JU327710:JV327710 TQ327710:TR327710 ADM327710:ADN327710 ANI327710:ANJ327710 AXE327710:AXF327710 BHA327710:BHB327710 BQW327710:BQX327710 CAS327710:CAT327710 CKO327710:CKP327710 CUK327710:CUL327710 DEG327710:DEH327710 DOC327710:DOD327710 DXY327710:DXZ327710 EHU327710:EHV327710 ERQ327710:ERR327710 FBM327710:FBN327710 FLI327710:FLJ327710 FVE327710:FVF327710 GFA327710:GFB327710 GOW327710:GOX327710 GYS327710:GYT327710 HIO327710:HIP327710 HSK327710:HSL327710 ICG327710:ICH327710 IMC327710:IMD327710 IVY327710:IVZ327710 JFU327710:JFV327710 JPQ327710:JPR327710 JZM327710:JZN327710 KJI327710:KJJ327710 KTE327710:KTF327710 LDA327710:LDB327710 LMW327710:LMX327710 LWS327710:LWT327710 MGO327710:MGP327710 MQK327710:MQL327710 NAG327710:NAH327710 NKC327710:NKD327710 NTY327710:NTZ327710 ODU327710:ODV327710 ONQ327710:ONR327710 OXM327710:OXN327710 PHI327710:PHJ327710 PRE327710:PRF327710 QBA327710:QBB327710 QKW327710:QKX327710 QUS327710:QUT327710 REO327710:REP327710 ROK327710:ROL327710 RYG327710:RYH327710 SIC327710:SID327710 SRY327710:SRZ327710 TBU327710:TBV327710 TLQ327710:TLR327710 TVM327710:TVN327710 UFI327710:UFJ327710 UPE327710:UPF327710 UZA327710:UZB327710 VIW327710:VIX327710 VSS327710:VST327710 WCO327710:WCP327710 WMK327710:WML327710 WWG327710:WWH327710 Y393246:Z393246 JU393246:JV393246 TQ393246:TR393246 ADM393246:ADN393246 ANI393246:ANJ393246 AXE393246:AXF393246 BHA393246:BHB393246 BQW393246:BQX393246 CAS393246:CAT393246 CKO393246:CKP393246 CUK393246:CUL393246 DEG393246:DEH393246 DOC393246:DOD393246 DXY393246:DXZ393246 EHU393246:EHV393246 ERQ393246:ERR393246 FBM393246:FBN393246 FLI393246:FLJ393246 FVE393246:FVF393246 GFA393246:GFB393246 GOW393246:GOX393246 GYS393246:GYT393246 HIO393246:HIP393246 HSK393246:HSL393246 ICG393246:ICH393246 IMC393246:IMD393246 IVY393246:IVZ393246 JFU393246:JFV393246 JPQ393246:JPR393246 JZM393246:JZN393246 KJI393246:KJJ393246 KTE393246:KTF393246 LDA393246:LDB393246 LMW393246:LMX393246 LWS393246:LWT393246 MGO393246:MGP393246 MQK393246:MQL393246 NAG393246:NAH393246 NKC393246:NKD393246 NTY393246:NTZ393246 ODU393246:ODV393246 ONQ393246:ONR393246 OXM393246:OXN393246 PHI393246:PHJ393246 PRE393246:PRF393246 QBA393246:QBB393246 QKW393246:QKX393246 QUS393246:QUT393246 REO393246:REP393246 ROK393246:ROL393246 RYG393246:RYH393246 SIC393246:SID393246 SRY393246:SRZ393246 TBU393246:TBV393246 TLQ393246:TLR393246 TVM393246:TVN393246 UFI393246:UFJ393246 UPE393246:UPF393246 UZA393246:UZB393246 VIW393246:VIX393246 VSS393246:VST393246 WCO393246:WCP393246 WMK393246:WML393246 WWG393246:WWH393246 Y458782:Z458782 JU458782:JV458782 TQ458782:TR458782 ADM458782:ADN458782 ANI458782:ANJ458782 AXE458782:AXF458782 BHA458782:BHB458782 BQW458782:BQX458782 CAS458782:CAT458782 CKO458782:CKP458782 CUK458782:CUL458782 DEG458782:DEH458782 DOC458782:DOD458782 DXY458782:DXZ458782 EHU458782:EHV458782 ERQ458782:ERR458782 FBM458782:FBN458782 FLI458782:FLJ458782 FVE458782:FVF458782 GFA458782:GFB458782 GOW458782:GOX458782 GYS458782:GYT458782 HIO458782:HIP458782 HSK458782:HSL458782 ICG458782:ICH458782 IMC458782:IMD458782 IVY458782:IVZ458782 JFU458782:JFV458782 JPQ458782:JPR458782 JZM458782:JZN458782 KJI458782:KJJ458782 KTE458782:KTF458782 LDA458782:LDB458782 LMW458782:LMX458782 LWS458782:LWT458782 MGO458782:MGP458782 MQK458782:MQL458782 NAG458782:NAH458782 NKC458782:NKD458782 NTY458782:NTZ458782 ODU458782:ODV458782 ONQ458782:ONR458782 OXM458782:OXN458782 PHI458782:PHJ458782 PRE458782:PRF458782 QBA458782:QBB458782 QKW458782:QKX458782 QUS458782:QUT458782 REO458782:REP458782 ROK458782:ROL458782 RYG458782:RYH458782 SIC458782:SID458782 SRY458782:SRZ458782 TBU458782:TBV458782 TLQ458782:TLR458782 TVM458782:TVN458782 UFI458782:UFJ458782 UPE458782:UPF458782 UZA458782:UZB458782 VIW458782:VIX458782 VSS458782:VST458782 WCO458782:WCP458782 WMK458782:WML458782 WWG458782:WWH458782 Y524318:Z524318 JU524318:JV524318 TQ524318:TR524318 ADM524318:ADN524318 ANI524318:ANJ524318 AXE524318:AXF524318 BHA524318:BHB524318 BQW524318:BQX524318 CAS524318:CAT524318 CKO524318:CKP524318 CUK524318:CUL524318 DEG524318:DEH524318 DOC524318:DOD524318 DXY524318:DXZ524318 EHU524318:EHV524318 ERQ524318:ERR524318 FBM524318:FBN524318 FLI524318:FLJ524318 FVE524318:FVF524318 GFA524318:GFB524318 GOW524318:GOX524318 GYS524318:GYT524318 HIO524318:HIP524318 HSK524318:HSL524318 ICG524318:ICH524318 IMC524318:IMD524318 IVY524318:IVZ524318 JFU524318:JFV524318 JPQ524318:JPR524318 JZM524318:JZN524318 KJI524318:KJJ524318 KTE524318:KTF524318 LDA524318:LDB524318 LMW524318:LMX524318 LWS524318:LWT524318 MGO524318:MGP524318 MQK524318:MQL524318 NAG524318:NAH524318 NKC524318:NKD524318 NTY524318:NTZ524318 ODU524318:ODV524318 ONQ524318:ONR524318 OXM524318:OXN524318 PHI524318:PHJ524318 PRE524318:PRF524318 QBA524318:QBB524318 QKW524318:QKX524318 QUS524318:QUT524318 REO524318:REP524318 ROK524318:ROL524318 RYG524318:RYH524318 SIC524318:SID524318 SRY524318:SRZ524318 TBU524318:TBV524318 TLQ524318:TLR524318 TVM524318:TVN524318 UFI524318:UFJ524318 UPE524318:UPF524318 UZA524318:UZB524318 VIW524318:VIX524318 VSS524318:VST524318 WCO524318:WCP524318 WMK524318:WML524318 WWG524318:WWH524318 Y589854:Z589854 JU589854:JV589854 TQ589854:TR589854 ADM589854:ADN589854 ANI589854:ANJ589854 AXE589854:AXF589854 BHA589854:BHB589854 BQW589854:BQX589854 CAS589854:CAT589854 CKO589854:CKP589854 CUK589854:CUL589854 DEG589854:DEH589854 DOC589854:DOD589854 DXY589854:DXZ589854 EHU589854:EHV589854 ERQ589854:ERR589854 FBM589854:FBN589854 FLI589854:FLJ589854 FVE589854:FVF589854 GFA589854:GFB589854 GOW589854:GOX589854 GYS589854:GYT589854 HIO589854:HIP589854 HSK589854:HSL589854 ICG589854:ICH589854 IMC589854:IMD589854 IVY589854:IVZ589854 JFU589854:JFV589854 JPQ589854:JPR589854 JZM589854:JZN589854 KJI589854:KJJ589854 KTE589854:KTF589854 LDA589854:LDB589854 LMW589854:LMX589854 LWS589854:LWT589854 MGO589854:MGP589854 MQK589854:MQL589854 NAG589854:NAH589854 NKC589854:NKD589854 NTY589854:NTZ589854 ODU589854:ODV589854 ONQ589854:ONR589854 OXM589854:OXN589854 PHI589854:PHJ589854 PRE589854:PRF589854 QBA589854:QBB589854 QKW589854:QKX589854 QUS589854:QUT589854 REO589854:REP589854 ROK589854:ROL589854 RYG589854:RYH589854 SIC589854:SID589854 SRY589854:SRZ589854 TBU589854:TBV589854 TLQ589854:TLR589854 TVM589854:TVN589854 UFI589854:UFJ589854 UPE589854:UPF589854 UZA589854:UZB589854 VIW589854:VIX589854 VSS589854:VST589854 WCO589854:WCP589854 WMK589854:WML589854 WWG589854:WWH589854 Y655390:Z655390 JU655390:JV655390 TQ655390:TR655390 ADM655390:ADN655390 ANI655390:ANJ655390 AXE655390:AXF655390 BHA655390:BHB655390 BQW655390:BQX655390 CAS655390:CAT655390 CKO655390:CKP655390 CUK655390:CUL655390 DEG655390:DEH655390 DOC655390:DOD655390 DXY655390:DXZ655390 EHU655390:EHV655390 ERQ655390:ERR655390 FBM655390:FBN655390 FLI655390:FLJ655390 FVE655390:FVF655390 GFA655390:GFB655390 GOW655390:GOX655390 GYS655390:GYT655390 HIO655390:HIP655390 HSK655390:HSL655390 ICG655390:ICH655390 IMC655390:IMD655390 IVY655390:IVZ655390 JFU655390:JFV655390 JPQ655390:JPR655390 JZM655390:JZN655390 KJI655390:KJJ655390 KTE655390:KTF655390 LDA655390:LDB655390 LMW655390:LMX655390 LWS655390:LWT655390 MGO655390:MGP655390 MQK655390:MQL655390 NAG655390:NAH655390 NKC655390:NKD655390 NTY655390:NTZ655390 ODU655390:ODV655390 ONQ655390:ONR655390 OXM655390:OXN655390 PHI655390:PHJ655390 PRE655390:PRF655390 QBA655390:QBB655390 QKW655390:QKX655390 QUS655390:QUT655390 REO655390:REP655390 ROK655390:ROL655390 RYG655390:RYH655390 SIC655390:SID655390 SRY655390:SRZ655390 TBU655390:TBV655390 TLQ655390:TLR655390 TVM655390:TVN655390 UFI655390:UFJ655390 UPE655390:UPF655390 UZA655390:UZB655390 VIW655390:VIX655390 VSS655390:VST655390 WCO655390:WCP655390 WMK655390:WML655390 WWG655390:WWH655390 Y720926:Z720926 JU720926:JV720926 TQ720926:TR720926 ADM720926:ADN720926 ANI720926:ANJ720926 AXE720926:AXF720926 BHA720926:BHB720926 BQW720926:BQX720926 CAS720926:CAT720926 CKO720926:CKP720926 CUK720926:CUL720926 DEG720926:DEH720926 DOC720926:DOD720926 DXY720926:DXZ720926 EHU720926:EHV720926 ERQ720926:ERR720926 FBM720926:FBN720926 FLI720926:FLJ720926 FVE720926:FVF720926 GFA720926:GFB720926 GOW720926:GOX720926 GYS720926:GYT720926 HIO720926:HIP720926 HSK720926:HSL720926 ICG720926:ICH720926 IMC720926:IMD720926 IVY720926:IVZ720926 JFU720926:JFV720926 JPQ720926:JPR720926 JZM720926:JZN720926 KJI720926:KJJ720926 KTE720926:KTF720926 LDA720926:LDB720926 LMW720926:LMX720926 LWS720926:LWT720926 MGO720926:MGP720926 MQK720926:MQL720926 NAG720926:NAH720926 NKC720926:NKD720926 NTY720926:NTZ720926 ODU720926:ODV720926 ONQ720926:ONR720926 OXM720926:OXN720926 PHI720926:PHJ720926 PRE720926:PRF720926 QBA720926:QBB720926 QKW720926:QKX720926 QUS720926:QUT720926 REO720926:REP720926 ROK720926:ROL720926 RYG720926:RYH720926 SIC720926:SID720926 SRY720926:SRZ720926 TBU720926:TBV720926 TLQ720926:TLR720926 TVM720926:TVN720926 UFI720926:UFJ720926 UPE720926:UPF720926 UZA720926:UZB720926 VIW720926:VIX720926 VSS720926:VST720926 WCO720926:WCP720926 WMK720926:WML720926 WWG720926:WWH720926 Y786462:Z786462 JU786462:JV786462 TQ786462:TR786462 ADM786462:ADN786462 ANI786462:ANJ786462 AXE786462:AXF786462 BHA786462:BHB786462 BQW786462:BQX786462 CAS786462:CAT786462 CKO786462:CKP786462 CUK786462:CUL786462 DEG786462:DEH786462 DOC786462:DOD786462 DXY786462:DXZ786462 EHU786462:EHV786462 ERQ786462:ERR786462 FBM786462:FBN786462 FLI786462:FLJ786462 FVE786462:FVF786462 GFA786462:GFB786462 GOW786462:GOX786462 GYS786462:GYT786462 HIO786462:HIP786462 HSK786462:HSL786462 ICG786462:ICH786462 IMC786462:IMD786462 IVY786462:IVZ786462 JFU786462:JFV786462 JPQ786462:JPR786462 JZM786462:JZN786462 KJI786462:KJJ786462 KTE786462:KTF786462 LDA786462:LDB786462 LMW786462:LMX786462 LWS786462:LWT786462 MGO786462:MGP786462 MQK786462:MQL786462 NAG786462:NAH786462 NKC786462:NKD786462 NTY786462:NTZ786462 ODU786462:ODV786462 ONQ786462:ONR786462 OXM786462:OXN786462 PHI786462:PHJ786462 PRE786462:PRF786462 QBA786462:QBB786462 QKW786462:QKX786462 QUS786462:QUT786462 REO786462:REP786462 ROK786462:ROL786462 RYG786462:RYH786462 SIC786462:SID786462 SRY786462:SRZ786462 TBU786462:TBV786462 TLQ786462:TLR786462 TVM786462:TVN786462 UFI786462:UFJ786462 UPE786462:UPF786462 UZA786462:UZB786462 VIW786462:VIX786462 VSS786462:VST786462 WCO786462:WCP786462 WMK786462:WML786462 WWG786462:WWH786462 Y851998:Z851998 JU851998:JV851998 TQ851998:TR851998 ADM851998:ADN851998 ANI851998:ANJ851998 AXE851998:AXF851998 BHA851998:BHB851998 BQW851998:BQX851998 CAS851998:CAT851998 CKO851998:CKP851998 CUK851998:CUL851998 DEG851998:DEH851998 DOC851998:DOD851998 DXY851998:DXZ851998 EHU851998:EHV851998 ERQ851998:ERR851998 FBM851998:FBN851998 FLI851998:FLJ851998 FVE851998:FVF851998 GFA851998:GFB851998 GOW851998:GOX851998 GYS851998:GYT851998 HIO851998:HIP851998 HSK851998:HSL851998 ICG851998:ICH851998 IMC851998:IMD851998 IVY851998:IVZ851998 JFU851998:JFV851998 JPQ851998:JPR851998 JZM851998:JZN851998 KJI851998:KJJ851998 KTE851998:KTF851998 LDA851998:LDB851998 LMW851998:LMX851998 LWS851998:LWT851998 MGO851998:MGP851998 MQK851998:MQL851998 NAG851998:NAH851998 NKC851998:NKD851998 NTY851998:NTZ851998 ODU851998:ODV851998 ONQ851998:ONR851998 OXM851998:OXN851998 PHI851998:PHJ851998 PRE851998:PRF851998 QBA851998:QBB851998 QKW851998:QKX851998 QUS851998:QUT851998 REO851998:REP851998 ROK851998:ROL851998 RYG851998:RYH851998 SIC851998:SID851998 SRY851998:SRZ851998 TBU851998:TBV851998 TLQ851998:TLR851998 TVM851998:TVN851998 UFI851998:UFJ851998 UPE851998:UPF851998 UZA851998:UZB851998 VIW851998:VIX851998 VSS851998:VST851998 WCO851998:WCP851998 WMK851998:WML851998 WWG851998:WWH851998 Y917534:Z917534 JU917534:JV917534 TQ917534:TR917534 ADM917534:ADN917534 ANI917534:ANJ917534 AXE917534:AXF917534 BHA917534:BHB917534 BQW917534:BQX917534 CAS917534:CAT917534 CKO917534:CKP917534 CUK917534:CUL917534 DEG917534:DEH917534 DOC917534:DOD917534 DXY917534:DXZ917534 EHU917534:EHV917534 ERQ917534:ERR917534 FBM917534:FBN917534 FLI917534:FLJ917534 FVE917534:FVF917534 GFA917534:GFB917534 GOW917534:GOX917534 GYS917534:GYT917534 HIO917534:HIP917534 HSK917534:HSL917534 ICG917534:ICH917534 IMC917534:IMD917534 IVY917534:IVZ917534 JFU917534:JFV917534 JPQ917534:JPR917534 JZM917534:JZN917534 KJI917534:KJJ917534 KTE917534:KTF917534 LDA917534:LDB917534 LMW917534:LMX917534 LWS917534:LWT917534 MGO917534:MGP917534 MQK917534:MQL917534 NAG917534:NAH917534 NKC917534:NKD917534 NTY917534:NTZ917534 ODU917534:ODV917534 ONQ917534:ONR917534 OXM917534:OXN917534 PHI917534:PHJ917534 PRE917534:PRF917534 QBA917534:QBB917534 QKW917534:QKX917534 QUS917534:QUT917534 REO917534:REP917534 ROK917534:ROL917534 RYG917534:RYH917534 SIC917534:SID917534 SRY917534:SRZ917534 TBU917534:TBV917534 TLQ917534:TLR917534 TVM917534:TVN917534 UFI917534:UFJ917534 UPE917534:UPF917534 UZA917534:UZB917534 VIW917534:VIX917534 VSS917534:VST917534 WCO917534:WCP917534 WMK917534:WML917534 WWG917534:WWH917534 Y983070:Z983070 JU983070:JV983070 TQ983070:TR983070 ADM983070:ADN983070 ANI983070:ANJ983070 AXE983070:AXF983070 BHA983070:BHB983070 BQW983070:BQX983070 CAS983070:CAT983070 CKO983070:CKP983070 CUK983070:CUL983070 DEG983070:DEH983070 DOC983070:DOD983070 DXY983070:DXZ983070 EHU983070:EHV983070 ERQ983070:ERR983070 FBM983070:FBN983070 FLI983070:FLJ983070 FVE983070:FVF983070 GFA983070:GFB983070 GOW983070:GOX983070 GYS983070:GYT983070 HIO983070:HIP983070 HSK983070:HSL983070 ICG983070:ICH983070 IMC983070:IMD983070 IVY983070:IVZ983070 JFU983070:JFV983070 JPQ983070:JPR983070 JZM983070:JZN983070 KJI983070:KJJ983070 KTE983070:KTF983070 LDA983070:LDB983070 LMW983070:LMX983070 LWS983070:LWT983070 MGO983070:MGP983070 MQK983070:MQL983070 NAG983070:NAH983070 NKC983070:NKD983070 NTY983070:NTZ983070 ODU983070:ODV983070 ONQ983070:ONR983070 OXM983070:OXN983070 PHI983070:PHJ983070 PRE983070:PRF983070 QBA983070:QBB983070 QKW983070:QKX983070 QUS983070:QUT983070 REO983070:REP983070 ROK983070:ROL983070 RYG983070:RYH983070 SIC983070:SID983070 SRY983070:SRZ983070 TBU983070:TBV983070 TLQ983070:TLR983070 TVM983070:TVN983070 UFI983070:UFJ983070 UPE983070:UPF983070 UZA983070:UZB983070 VIW983070:VIX983070 VSS983070:VST983070 WCO983070:WCP983070 WMK983070:WML983070 WWG983070:WWH983070">
      <formula1>DRIVER</formula1>
    </dataValidation>
    <dataValidation type="list" allowBlank="1" showInputMessage="1" showErrorMessage="1" sqref="WVN983265 D46:Z46 D65761 JB65761 SX65761 ACT65761 AMP65761 AWL65761 BGH65761 BQD65761 BZZ65761 CJV65761 CTR65761 DDN65761 DNJ65761 DXF65761 EHB65761 EQX65761 FAT65761 FKP65761 FUL65761 GEH65761 GOD65761 GXZ65761 HHV65761 HRR65761 IBN65761 ILJ65761 IVF65761 JFB65761 JOX65761 JYT65761 KIP65761 KSL65761 LCH65761 LMD65761 LVZ65761 MFV65761 MPR65761 MZN65761 NJJ65761 NTF65761 ODB65761 OMX65761 OWT65761 PGP65761 PQL65761 QAH65761 QKD65761 QTZ65761 RDV65761 RNR65761 RXN65761 SHJ65761 SRF65761 TBB65761 TKX65761 TUT65761 UEP65761 UOL65761 UYH65761 VID65761 VRZ65761 WBV65761 WLR65761 WVN65761 D131297 JB131297 SX131297 ACT131297 AMP131297 AWL131297 BGH131297 BQD131297 BZZ131297 CJV131297 CTR131297 DDN131297 DNJ131297 DXF131297 EHB131297 EQX131297 FAT131297 FKP131297 FUL131297 GEH131297 GOD131297 GXZ131297 HHV131297 HRR131297 IBN131297 ILJ131297 IVF131297 JFB131297 JOX131297 JYT131297 KIP131297 KSL131297 LCH131297 LMD131297 LVZ131297 MFV131297 MPR131297 MZN131297 NJJ131297 NTF131297 ODB131297 OMX131297 OWT131297 PGP131297 PQL131297 QAH131297 QKD131297 QTZ131297 RDV131297 RNR131297 RXN131297 SHJ131297 SRF131297 TBB131297 TKX131297 TUT131297 UEP131297 UOL131297 UYH131297 VID131297 VRZ131297 WBV131297 WLR131297 WVN131297 D196833 JB196833 SX196833 ACT196833 AMP196833 AWL196833 BGH196833 BQD196833 BZZ196833 CJV196833 CTR196833 DDN196833 DNJ196833 DXF196833 EHB196833 EQX196833 FAT196833 FKP196833 FUL196833 GEH196833 GOD196833 GXZ196833 HHV196833 HRR196833 IBN196833 ILJ196833 IVF196833 JFB196833 JOX196833 JYT196833 KIP196833 KSL196833 LCH196833 LMD196833 LVZ196833 MFV196833 MPR196833 MZN196833 NJJ196833 NTF196833 ODB196833 OMX196833 OWT196833 PGP196833 PQL196833 QAH196833 QKD196833 QTZ196833 RDV196833 RNR196833 RXN196833 SHJ196833 SRF196833 TBB196833 TKX196833 TUT196833 UEP196833 UOL196833 UYH196833 VID196833 VRZ196833 WBV196833 WLR196833 WVN196833 D262369 JB262369 SX262369 ACT262369 AMP262369 AWL262369 BGH262369 BQD262369 BZZ262369 CJV262369 CTR262369 DDN262369 DNJ262369 DXF262369 EHB262369 EQX262369 FAT262369 FKP262369 FUL262369 GEH262369 GOD262369 GXZ262369 HHV262369 HRR262369 IBN262369 ILJ262369 IVF262369 JFB262369 JOX262369 JYT262369 KIP262369 KSL262369 LCH262369 LMD262369 LVZ262369 MFV262369 MPR262369 MZN262369 NJJ262369 NTF262369 ODB262369 OMX262369 OWT262369 PGP262369 PQL262369 QAH262369 QKD262369 QTZ262369 RDV262369 RNR262369 RXN262369 SHJ262369 SRF262369 TBB262369 TKX262369 TUT262369 UEP262369 UOL262369 UYH262369 VID262369 VRZ262369 WBV262369 WLR262369 WVN262369 D327905 JB327905 SX327905 ACT327905 AMP327905 AWL327905 BGH327905 BQD327905 BZZ327905 CJV327905 CTR327905 DDN327905 DNJ327905 DXF327905 EHB327905 EQX327905 FAT327905 FKP327905 FUL327905 GEH327905 GOD327905 GXZ327905 HHV327905 HRR327905 IBN327905 ILJ327905 IVF327905 JFB327905 JOX327905 JYT327905 KIP327905 KSL327905 LCH327905 LMD327905 LVZ327905 MFV327905 MPR327905 MZN327905 NJJ327905 NTF327905 ODB327905 OMX327905 OWT327905 PGP327905 PQL327905 QAH327905 QKD327905 QTZ327905 RDV327905 RNR327905 RXN327905 SHJ327905 SRF327905 TBB327905 TKX327905 TUT327905 UEP327905 UOL327905 UYH327905 VID327905 VRZ327905 WBV327905 WLR327905 WVN327905 D393441 JB393441 SX393441 ACT393441 AMP393441 AWL393441 BGH393441 BQD393441 BZZ393441 CJV393441 CTR393441 DDN393441 DNJ393441 DXF393441 EHB393441 EQX393441 FAT393441 FKP393441 FUL393441 GEH393441 GOD393441 GXZ393441 HHV393441 HRR393441 IBN393441 ILJ393441 IVF393441 JFB393441 JOX393441 JYT393441 KIP393441 KSL393441 LCH393441 LMD393441 LVZ393441 MFV393441 MPR393441 MZN393441 NJJ393441 NTF393441 ODB393441 OMX393441 OWT393441 PGP393441 PQL393441 QAH393441 QKD393441 QTZ393441 RDV393441 RNR393441 RXN393441 SHJ393441 SRF393441 TBB393441 TKX393441 TUT393441 UEP393441 UOL393441 UYH393441 VID393441 VRZ393441 WBV393441 WLR393441 WVN393441 D458977 JB458977 SX458977 ACT458977 AMP458977 AWL458977 BGH458977 BQD458977 BZZ458977 CJV458977 CTR458977 DDN458977 DNJ458977 DXF458977 EHB458977 EQX458977 FAT458977 FKP458977 FUL458977 GEH458977 GOD458977 GXZ458977 HHV458977 HRR458977 IBN458977 ILJ458977 IVF458977 JFB458977 JOX458977 JYT458977 KIP458977 KSL458977 LCH458977 LMD458977 LVZ458977 MFV458977 MPR458977 MZN458977 NJJ458977 NTF458977 ODB458977 OMX458977 OWT458977 PGP458977 PQL458977 QAH458977 QKD458977 QTZ458977 RDV458977 RNR458977 RXN458977 SHJ458977 SRF458977 TBB458977 TKX458977 TUT458977 UEP458977 UOL458977 UYH458977 VID458977 VRZ458977 WBV458977 WLR458977 WVN458977 D524513 JB524513 SX524513 ACT524513 AMP524513 AWL524513 BGH524513 BQD524513 BZZ524513 CJV524513 CTR524513 DDN524513 DNJ524513 DXF524513 EHB524513 EQX524513 FAT524513 FKP524513 FUL524513 GEH524513 GOD524513 GXZ524513 HHV524513 HRR524513 IBN524513 ILJ524513 IVF524513 JFB524513 JOX524513 JYT524513 KIP524513 KSL524513 LCH524513 LMD524513 LVZ524513 MFV524513 MPR524513 MZN524513 NJJ524513 NTF524513 ODB524513 OMX524513 OWT524513 PGP524513 PQL524513 QAH524513 QKD524513 QTZ524513 RDV524513 RNR524513 RXN524513 SHJ524513 SRF524513 TBB524513 TKX524513 TUT524513 UEP524513 UOL524513 UYH524513 VID524513 VRZ524513 WBV524513 WLR524513 WVN524513 D590049 JB590049 SX590049 ACT590049 AMP590049 AWL590049 BGH590049 BQD590049 BZZ590049 CJV590049 CTR590049 DDN590049 DNJ590049 DXF590049 EHB590049 EQX590049 FAT590049 FKP590049 FUL590049 GEH590049 GOD590049 GXZ590049 HHV590049 HRR590049 IBN590049 ILJ590049 IVF590049 JFB590049 JOX590049 JYT590049 KIP590049 KSL590049 LCH590049 LMD590049 LVZ590049 MFV590049 MPR590049 MZN590049 NJJ590049 NTF590049 ODB590049 OMX590049 OWT590049 PGP590049 PQL590049 QAH590049 QKD590049 QTZ590049 RDV590049 RNR590049 RXN590049 SHJ590049 SRF590049 TBB590049 TKX590049 TUT590049 UEP590049 UOL590049 UYH590049 VID590049 VRZ590049 WBV590049 WLR590049 WVN590049 D655585 JB655585 SX655585 ACT655585 AMP655585 AWL655585 BGH655585 BQD655585 BZZ655585 CJV655585 CTR655585 DDN655585 DNJ655585 DXF655585 EHB655585 EQX655585 FAT655585 FKP655585 FUL655585 GEH655585 GOD655585 GXZ655585 HHV655585 HRR655585 IBN655585 ILJ655585 IVF655585 JFB655585 JOX655585 JYT655585 KIP655585 KSL655585 LCH655585 LMD655585 LVZ655585 MFV655585 MPR655585 MZN655585 NJJ655585 NTF655585 ODB655585 OMX655585 OWT655585 PGP655585 PQL655585 QAH655585 QKD655585 QTZ655585 RDV655585 RNR655585 RXN655585 SHJ655585 SRF655585 TBB655585 TKX655585 TUT655585 UEP655585 UOL655585 UYH655585 VID655585 VRZ655585 WBV655585 WLR655585 WVN655585 D721121 JB721121 SX721121 ACT721121 AMP721121 AWL721121 BGH721121 BQD721121 BZZ721121 CJV721121 CTR721121 DDN721121 DNJ721121 DXF721121 EHB721121 EQX721121 FAT721121 FKP721121 FUL721121 GEH721121 GOD721121 GXZ721121 HHV721121 HRR721121 IBN721121 ILJ721121 IVF721121 JFB721121 JOX721121 JYT721121 KIP721121 KSL721121 LCH721121 LMD721121 LVZ721121 MFV721121 MPR721121 MZN721121 NJJ721121 NTF721121 ODB721121 OMX721121 OWT721121 PGP721121 PQL721121 QAH721121 QKD721121 QTZ721121 RDV721121 RNR721121 RXN721121 SHJ721121 SRF721121 TBB721121 TKX721121 TUT721121 UEP721121 UOL721121 UYH721121 VID721121 VRZ721121 WBV721121 WLR721121 WVN721121 D786657 JB786657 SX786657 ACT786657 AMP786657 AWL786657 BGH786657 BQD786657 BZZ786657 CJV786657 CTR786657 DDN786657 DNJ786657 DXF786657 EHB786657 EQX786657 FAT786657 FKP786657 FUL786657 GEH786657 GOD786657 GXZ786657 HHV786657 HRR786657 IBN786657 ILJ786657 IVF786657 JFB786657 JOX786657 JYT786657 KIP786657 KSL786657 LCH786657 LMD786657 LVZ786657 MFV786657 MPR786657 MZN786657 NJJ786657 NTF786657 ODB786657 OMX786657 OWT786657 PGP786657 PQL786657 QAH786657 QKD786657 QTZ786657 RDV786657 RNR786657 RXN786657 SHJ786657 SRF786657 TBB786657 TKX786657 TUT786657 UEP786657 UOL786657 UYH786657 VID786657 VRZ786657 WBV786657 WLR786657 WVN786657 D852193 JB852193 SX852193 ACT852193 AMP852193 AWL852193 BGH852193 BQD852193 BZZ852193 CJV852193 CTR852193 DDN852193 DNJ852193 DXF852193 EHB852193 EQX852193 FAT852193 FKP852193 FUL852193 GEH852193 GOD852193 GXZ852193 HHV852193 HRR852193 IBN852193 ILJ852193 IVF852193 JFB852193 JOX852193 JYT852193 KIP852193 KSL852193 LCH852193 LMD852193 LVZ852193 MFV852193 MPR852193 MZN852193 NJJ852193 NTF852193 ODB852193 OMX852193 OWT852193 PGP852193 PQL852193 QAH852193 QKD852193 QTZ852193 RDV852193 RNR852193 RXN852193 SHJ852193 SRF852193 TBB852193 TKX852193 TUT852193 UEP852193 UOL852193 UYH852193 VID852193 VRZ852193 WBV852193 WLR852193 WVN852193 D917729 JB917729 SX917729 ACT917729 AMP917729 AWL917729 BGH917729 BQD917729 BZZ917729 CJV917729 CTR917729 DDN917729 DNJ917729 DXF917729 EHB917729 EQX917729 FAT917729 FKP917729 FUL917729 GEH917729 GOD917729 GXZ917729 HHV917729 HRR917729 IBN917729 ILJ917729 IVF917729 JFB917729 JOX917729 JYT917729 KIP917729 KSL917729 LCH917729 LMD917729 LVZ917729 MFV917729 MPR917729 MZN917729 NJJ917729 NTF917729 ODB917729 OMX917729 OWT917729 PGP917729 PQL917729 QAH917729 QKD917729 QTZ917729 RDV917729 RNR917729 RXN917729 SHJ917729 SRF917729 TBB917729 TKX917729 TUT917729 UEP917729 UOL917729 UYH917729 VID917729 VRZ917729 WBV917729 WLR917729 WVN917729 D983265 JB983265 SX983265 ACT983265 AMP983265 AWL983265 BGH983265 BQD983265 BZZ983265 CJV983265 CTR983265 DDN983265 DNJ983265 DXF983265 EHB983265 EQX983265 FAT983265 FKP983265 FUL983265 GEH983265 GOD983265 GXZ983265 HHV983265 HRR983265 IBN983265 ILJ983265 IVF983265 JFB983265 JOX983265 JYT983265 KIP983265 KSL983265 LCH983265 LMD983265 LVZ983265 MFV983265 MPR983265 MZN983265 NJJ983265 NTF983265 ODB983265 OMX983265 OWT983265 PGP983265 PQL983265 QAH983265 QKD983265 QTZ983265 RDV983265 RNR983265 RXN983265 SHJ983265 SRF983265 TBB983265 TKX983265 TUT983265 UEP983265 UOL983265 UYH983265 VID983265 VRZ983265 WBV983265 WLR983265 WVN226 WLR226 WBV226 VRZ226 VID226 UYH226 UOL226 UEP226 TUT226 TKX226 TBB226 SRF226 SHJ226 RXN226 RNR226 RDV226 QTZ226 QKD226 QAH226 PQL226 PGP226 OWT226 OMX226 ODB226 NTF226 NJJ226 MZN226 MPR226 MFV226 LVZ226 LMD226 LCH226 KSL226 KIP226 JYT226 JOX226 JFB226 IVF226 ILJ226 IBN226 HRR226 HHV226 GXZ226 GOD226 GEH226 FUL226 FKP226 FAT226 EQX226 EHB226 DXF226 DNJ226 DDN226 CTR226 CJV226 BZZ226 BQD226 BGH226 AWL226 AMP226 ACT226 SX226 JB226">
      <formula1>TWOPH</formula1>
    </dataValidation>
    <dataValidation type="list" allowBlank="1" showInputMessage="1" showErrorMessage="1" sqref="AL23 AL33 AL30 AL27 AL20 AI9">
      <formula1>"초안,수정"</formula1>
    </dataValidation>
    <dataValidation type="list" allowBlank="1" showInputMessage="1" showErrorMessage="1" sqref="AG23">
      <formula1>"barG,kg/cm2G"</formula1>
    </dataValidation>
    <dataValidation type="list" allowBlank="1" showInputMessage="1" showErrorMessage="1" sqref="C48">
      <formula1>"m3/hr,kg/hr"</formula1>
    </dataValidation>
  </dataValidations>
  <printOptions horizontalCentered="1" verticalCentered="1"/>
  <pageMargins left="0.19685039370078741" right="0.19685039370078741" top="0.39370078740157483" bottom="0.31496062992125984" header="0.19685039370078741" footer="0.19685039370078741"/>
  <pageSetup paperSize="9" scale="53" orientation="landscape" r:id="rId1"/>
  <headerFooter alignWithMargins="0"/>
  <rowBreaks count="3" manualBreakCount="3">
    <brk id="80" max="24" man="1"/>
    <brk id="152" max="24" man="1"/>
    <brk id="203" max="23" man="1"/>
  </rowBreaks>
  <ignoredErrors>
    <ignoredError sqref="E70:F70 Z70 D48:M48 M70 N70:Y70" unlockedFormula="1"/>
    <ignoredError sqref="M73" formula="1"/>
  </ignoredErrors>
  <drawing r:id="rId2"/>
  <legacyDrawing r:id="rId3"/>
</worksheet>
</file>

<file path=xl/worksheets/sheet2.xml><?xml version="1.0" encoding="utf-8"?>
<worksheet xmlns="http://schemas.openxmlformats.org/spreadsheetml/2006/main" xmlns:r="http://schemas.openxmlformats.org/officeDocument/2006/relationships">
  <sheetPr codeName="Sheet4"/>
  <dimension ref="A1:AO153"/>
  <sheetViews>
    <sheetView zoomScale="85" zoomScaleNormal="85" workbookViewId="0">
      <pane xSplit="1" ySplit="4" topLeftCell="B5" activePane="bottomRight" state="frozen"/>
      <selection pane="topRight"/>
      <selection pane="bottomLeft"/>
      <selection pane="bottomRight" activeCell="Y23" sqref="Y23:Y24"/>
    </sheetView>
  </sheetViews>
  <sheetFormatPr defaultColWidth="11" defaultRowHeight="12.75"/>
  <cols>
    <col min="1" max="1" width="6.75" style="2" customWidth="1"/>
    <col min="2" max="5" width="9" style="2" customWidth="1"/>
    <col min="6" max="6" width="10.125" style="2" customWidth="1"/>
    <col min="7" max="7" width="11.25" style="2" customWidth="1"/>
    <col min="8" max="8" width="10.125" style="2" customWidth="1"/>
    <col min="9" max="11" width="9" style="2" customWidth="1"/>
    <col min="12" max="12" width="11.25" style="2" customWidth="1"/>
    <col min="13" max="13" width="9" style="2" customWidth="1"/>
    <col min="14" max="14" width="10.125" style="2" customWidth="1"/>
    <col min="15" max="18" width="9" style="2" customWidth="1"/>
    <col min="19" max="19" width="11.25" style="2" customWidth="1"/>
    <col min="20" max="20" width="10.125" style="2" customWidth="1"/>
    <col min="21" max="21" width="9" style="2" customWidth="1"/>
    <col min="22" max="22" width="7.875" style="2" customWidth="1"/>
    <col min="23" max="256" width="11" style="2"/>
    <col min="257" max="257" width="6.75" style="2" customWidth="1"/>
    <col min="258" max="261" width="9" style="2" customWidth="1"/>
    <col min="262" max="262" width="10.125" style="2" customWidth="1"/>
    <col min="263" max="263" width="11.25" style="2" customWidth="1"/>
    <col min="264" max="264" width="10.125" style="2" customWidth="1"/>
    <col min="265" max="267" width="9" style="2" customWidth="1"/>
    <col min="268" max="268" width="11.25" style="2" customWidth="1"/>
    <col min="269" max="269" width="9" style="2" customWidth="1"/>
    <col min="270" max="270" width="10.125" style="2" customWidth="1"/>
    <col min="271" max="274" width="9" style="2" customWidth="1"/>
    <col min="275" max="275" width="11.25" style="2" customWidth="1"/>
    <col min="276" max="276" width="10.125" style="2" customWidth="1"/>
    <col min="277" max="277" width="9" style="2" customWidth="1"/>
    <col min="278" max="278" width="7.875" style="2" customWidth="1"/>
    <col min="279" max="512" width="11" style="2"/>
    <col min="513" max="513" width="6.75" style="2" customWidth="1"/>
    <col min="514" max="517" width="9" style="2" customWidth="1"/>
    <col min="518" max="518" width="10.125" style="2" customWidth="1"/>
    <col min="519" max="519" width="11.25" style="2" customWidth="1"/>
    <col min="520" max="520" width="10.125" style="2" customWidth="1"/>
    <col min="521" max="523" width="9" style="2" customWidth="1"/>
    <col min="524" max="524" width="11.25" style="2" customWidth="1"/>
    <col min="525" max="525" width="9" style="2" customWidth="1"/>
    <col min="526" max="526" width="10.125" style="2" customWidth="1"/>
    <col min="527" max="530" width="9" style="2" customWidth="1"/>
    <col min="531" max="531" width="11.25" style="2" customWidth="1"/>
    <col min="532" max="532" width="10.125" style="2" customWidth="1"/>
    <col min="533" max="533" width="9" style="2" customWidth="1"/>
    <col min="534" max="534" width="7.875" style="2" customWidth="1"/>
    <col min="535" max="768" width="11" style="2"/>
    <col min="769" max="769" width="6.75" style="2" customWidth="1"/>
    <col min="770" max="773" width="9" style="2" customWidth="1"/>
    <col min="774" max="774" width="10.125" style="2" customWidth="1"/>
    <col min="775" max="775" width="11.25" style="2" customWidth="1"/>
    <col min="776" max="776" width="10.125" style="2" customWidth="1"/>
    <col min="777" max="779" width="9" style="2" customWidth="1"/>
    <col min="780" max="780" width="11.25" style="2" customWidth="1"/>
    <col min="781" max="781" width="9" style="2" customWidth="1"/>
    <col min="782" max="782" width="10.125" style="2" customWidth="1"/>
    <col min="783" max="786" width="9" style="2" customWidth="1"/>
    <col min="787" max="787" width="11.25" style="2" customWidth="1"/>
    <col min="788" max="788" width="10.125" style="2" customWidth="1"/>
    <col min="789" max="789" width="9" style="2" customWidth="1"/>
    <col min="790" max="790" width="7.875" style="2" customWidth="1"/>
    <col min="791" max="1024" width="11" style="2"/>
    <col min="1025" max="1025" width="6.75" style="2" customWidth="1"/>
    <col min="1026" max="1029" width="9" style="2" customWidth="1"/>
    <col min="1030" max="1030" width="10.125" style="2" customWidth="1"/>
    <col min="1031" max="1031" width="11.25" style="2" customWidth="1"/>
    <col min="1032" max="1032" width="10.125" style="2" customWidth="1"/>
    <col min="1033" max="1035" width="9" style="2" customWidth="1"/>
    <col min="1036" max="1036" width="11.25" style="2" customWidth="1"/>
    <col min="1037" max="1037" width="9" style="2" customWidth="1"/>
    <col min="1038" max="1038" width="10.125" style="2" customWidth="1"/>
    <col min="1039" max="1042" width="9" style="2" customWidth="1"/>
    <col min="1043" max="1043" width="11.25" style="2" customWidth="1"/>
    <col min="1044" max="1044" width="10.125" style="2" customWidth="1"/>
    <col min="1045" max="1045" width="9" style="2" customWidth="1"/>
    <col min="1046" max="1046" width="7.875" style="2" customWidth="1"/>
    <col min="1047" max="1280" width="11" style="2"/>
    <col min="1281" max="1281" width="6.75" style="2" customWidth="1"/>
    <col min="1282" max="1285" width="9" style="2" customWidth="1"/>
    <col min="1286" max="1286" width="10.125" style="2" customWidth="1"/>
    <col min="1287" max="1287" width="11.25" style="2" customWidth="1"/>
    <col min="1288" max="1288" width="10.125" style="2" customWidth="1"/>
    <col min="1289" max="1291" width="9" style="2" customWidth="1"/>
    <col min="1292" max="1292" width="11.25" style="2" customWidth="1"/>
    <col min="1293" max="1293" width="9" style="2" customWidth="1"/>
    <col min="1294" max="1294" width="10.125" style="2" customWidth="1"/>
    <col min="1295" max="1298" width="9" style="2" customWidth="1"/>
    <col min="1299" max="1299" width="11.25" style="2" customWidth="1"/>
    <col min="1300" max="1300" width="10.125" style="2" customWidth="1"/>
    <col min="1301" max="1301" width="9" style="2" customWidth="1"/>
    <col min="1302" max="1302" width="7.875" style="2" customWidth="1"/>
    <col min="1303" max="1536" width="11" style="2"/>
    <col min="1537" max="1537" width="6.75" style="2" customWidth="1"/>
    <col min="1538" max="1541" width="9" style="2" customWidth="1"/>
    <col min="1542" max="1542" width="10.125" style="2" customWidth="1"/>
    <col min="1543" max="1543" width="11.25" style="2" customWidth="1"/>
    <col min="1544" max="1544" width="10.125" style="2" customWidth="1"/>
    <col min="1545" max="1547" width="9" style="2" customWidth="1"/>
    <col min="1548" max="1548" width="11.25" style="2" customWidth="1"/>
    <col min="1549" max="1549" width="9" style="2" customWidth="1"/>
    <col min="1550" max="1550" width="10.125" style="2" customWidth="1"/>
    <col min="1551" max="1554" width="9" style="2" customWidth="1"/>
    <col min="1555" max="1555" width="11.25" style="2" customWidth="1"/>
    <col min="1556" max="1556" width="10.125" style="2" customWidth="1"/>
    <col min="1557" max="1557" width="9" style="2" customWidth="1"/>
    <col min="1558" max="1558" width="7.875" style="2" customWidth="1"/>
    <col min="1559" max="1792" width="11" style="2"/>
    <col min="1793" max="1793" width="6.75" style="2" customWidth="1"/>
    <col min="1794" max="1797" width="9" style="2" customWidth="1"/>
    <col min="1798" max="1798" width="10.125" style="2" customWidth="1"/>
    <col min="1799" max="1799" width="11.25" style="2" customWidth="1"/>
    <col min="1800" max="1800" width="10.125" style="2" customWidth="1"/>
    <col min="1801" max="1803" width="9" style="2" customWidth="1"/>
    <col min="1804" max="1804" width="11.25" style="2" customWidth="1"/>
    <col min="1805" max="1805" width="9" style="2" customWidth="1"/>
    <col min="1806" max="1806" width="10.125" style="2" customWidth="1"/>
    <col min="1807" max="1810" width="9" style="2" customWidth="1"/>
    <col min="1811" max="1811" width="11.25" style="2" customWidth="1"/>
    <col min="1812" max="1812" width="10.125" style="2" customWidth="1"/>
    <col min="1813" max="1813" width="9" style="2" customWidth="1"/>
    <col min="1814" max="1814" width="7.875" style="2" customWidth="1"/>
    <col min="1815" max="2048" width="11" style="2"/>
    <col min="2049" max="2049" width="6.75" style="2" customWidth="1"/>
    <col min="2050" max="2053" width="9" style="2" customWidth="1"/>
    <col min="2054" max="2054" width="10.125" style="2" customWidth="1"/>
    <col min="2055" max="2055" width="11.25" style="2" customWidth="1"/>
    <col min="2056" max="2056" width="10.125" style="2" customWidth="1"/>
    <col min="2057" max="2059" width="9" style="2" customWidth="1"/>
    <col min="2060" max="2060" width="11.25" style="2" customWidth="1"/>
    <col min="2061" max="2061" width="9" style="2" customWidth="1"/>
    <col min="2062" max="2062" width="10.125" style="2" customWidth="1"/>
    <col min="2063" max="2066" width="9" style="2" customWidth="1"/>
    <col min="2067" max="2067" width="11.25" style="2" customWidth="1"/>
    <col min="2068" max="2068" width="10.125" style="2" customWidth="1"/>
    <col min="2069" max="2069" width="9" style="2" customWidth="1"/>
    <col min="2070" max="2070" width="7.875" style="2" customWidth="1"/>
    <col min="2071" max="2304" width="11" style="2"/>
    <col min="2305" max="2305" width="6.75" style="2" customWidth="1"/>
    <col min="2306" max="2309" width="9" style="2" customWidth="1"/>
    <col min="2310" max="2310" width="10.125" style="2" customWidth="1"/>
    <col min="2311" max="2311" width="11.25" style="2" customWidth="1"/>
    <col min="2312" max="2312" width="10.125" style="2" customWidth="1"/>
    <col min="2313" max="2315" width="9" style="2" customWidth="1"/>
    <col min="2316" max="2316" width="11.25" style="2" customWidth="1"/>
    <col min="2317" max="2317" width="9" style="2" customWidth="1"/>
    <col min="2318" max="2318" width="10.125" style="2" customWidth="1"/>
    <col min="2319" max="2322" width="9" style="2" customWidth="1"/>
    <col min="2323" max="2323" width="11.25" style="2" customWidth="1"/>
    <col min="2324" max="2324" width="10.125" style="2" customWidth="1"/>
    <col min="2325" max="2325" width="9" style="2" customWidth="1"/>
    <col min="2326" max="2326" width="7.875" style="2" customWidth="1"/>
    <col min="2327" max="2560" width="11" style="2"/>
    <col min="2561" max="2561" width="6.75" style="2" customWidth="1"/>
    <col min="2562" max="2565" width="9" style="2" customWidth="1"/>
    <col min="2566" max="2566" width="10.125" style="2" customWidth="1"/>
    <col min="2567" max="2567" width="11.25" style="2" customWidth="1"/>
    <col min="2568" max="2568" width="10.125" style="2" customWidth="1"/>
    <col min="2569" max="2571" width="9" style="2" customWidth="1"/>
    <col min="2572" max="2572" width="11.25" style="2" customWidth="1"/>
    <col min="2573" max="2573" width="9" style="2" customWidth="1"/>
    <col min="2574" max="2574" width="10.125" style="2" customWidth="1"/>
    <col min="2575" max="2578" width="9" style="2" customWidth="1"/>
    <col min="2579" max="2579" width="11.25" style="2" customWidth="1"/>
    <col min="2580" max="2580" width="10.125" style="2" customWidth="1"/>
    <col min="2581" max="2581" width="9" style="2" customWidth="1"/>
    <col min="2582" max="2582" width="7.875" style="2" customWidth="1"/>
    <col min="2583" max="2816" width="11" style="2"/>
    <col min="2817" max="2817" width="6.75" style="2" customWidth="1"/>
    <col min="2818" max="2821" width="9" style="2" customWidth="1"/>
    <col min="2822" max="2822" width="10.125" style="2" customWidth="1"/>
    <col min="2823" max="2823" width="11.25" style="2" customWidth="1"/>
    <col min="2824" max="2824" width="10.125" style="2" customWidth="1"/>
    <col min="2825" max="2827" width="9" style="2" customWidth="1"/>
    <col min="2828" max="2828" width="11.25" style="2" customWidth="1"/>
    <col min="2829" max="2829" width="9" style="2" customWidth="1"/>
    <col min="2830" max="2830" width="10.125" style="2" customWidth="1"/>
    <col min="2831" max="2834" width="9" style="2" customWidth="1"/>
    <col min="2835" max="2835" width="11.25" style="2" customWidth="1"/>
    <col min="2836" max="2836" width="10.125" style="2" customWidth="1"/>
    <col min="2837" max="2837" width="9" style="2" customWidth="1"/>
    <col min="2838" max="2838" width="7.875" style="2" customWidth="1"/>
    <col min="2839" max="3072" width="11" style="2"/>
    <col min="3073" max="3073" width="6.75" style="2" customWidth="1"/>
    <col min="3074" max="3077" width="9" style="2" customWidth="1"/>
    <col min="3078" max="3078" width="10.125" style="2" customWidth="1"/>
    <col min="3079" max="3079" width="11.25" style="2" customWidth="1"/>
    <col min="3080" max="3080" width="10.125" style="2" customWidth="1"/>
    <col min="3081" max="3083" width="9" style="2" customWidth="1"/>
    <col min="3084" max="3084" width="11.25" style="2" customWidth="1"/>
    <col min="3085" max="3085" width="9" style="2" customWidth="1"/>
    <col min="3086" max="3086" width="10.125" style="2" customWidth="1"/>
    <col min="3087" max="3090" width="9" style="2" customWidth="1"/>
    <col min="3091" max="3091" width="11.25" style="2" customWidth="1"/>
    <col min="3092" max="3092" width="10.125" style="2" customWidth="1"/>
    <col min="3093" max="3093" width="9" style="2" customWidth="1"/>
    <col min="3094" max="3094" width="7.875" style="2" customWidth="1"/>
    <col min="3095" max="3328" width="11" style="2"/>
    <col min="3329" max="3329" width="6.75" style="2" customWidth="1"/>
    <col min="3330" max="3333" width="9" style="2" customWidth="1"/>
    <col min="3334" max="3334" width="10.125" style="2" customWidth="1"/>
    <col min="3335" max="3335" width="11.25" style="2" customWidth="1"/>
    <col min="3336" max="3336" width="10.125" style="2" customWidth="1"/>
    <col min="3337" max="3339" width="9" style="2" customWidth="1"/>
    <col min="3340" max="3340" width="11.25" style="2" customWidth="1"/>
    <col min="3341" max="3341" width="9" style="2" customWidth="1"/>
    <col min="3342" max="3342" width="10.125" style="2" customWidth="1"/>
    <col min="3343" max="3346" width="9" style="2" customWidth="1"/>
    <col min="3347" max="3347" width="11.25" style="2" customWidth="1"/>
    <col min="3348" max="3348" width="10.125" style="2" customWidth="1"/>
    <col min="3349" max="3349" width="9" style="2" customWidth="1"/>
    <col min="3350" max="3350" width="7.875" style="2" customWidth="1"/>
    <col min="3351" max="3584" width="11" style="2"/>
    <col min="3585" max="3585" width="6.75" style="2" customWidth="1"/>
    <col min="3586" max="3589" width="9" style="2" customWidth="1"/>
    <col min="3590" max="3590" width="10.125" style="2" customWidth="1"/>
    <col min="3591" max="3591" width="11.25" style="2" customWidth="1"/>
    <col min="3592" max="3592" width="10.125" style="2" customWidth="1"/>
    <col min="3593" max="3595" width="9" style="2" customWidth="1"/>
    <col min="3596" max="3596" width="11.25" style="2" customWidth="1"/>
    <col min="3597" max="3597" width="9" style="2" customWidth="1"/>
    <col min="3598" max="3598" width="10.125" style="2" customWidth="1"/>
    <col min="3599" max="3602" width="9" style="2" customWidth="1"/>
    <col min="3603" max="3603" width="11.25" style="2" customWidth="1"/>
    <col min="3604" max="3604" width="10.125" style="2" customWidth="1"/>
    <col min="3605" max="3605" width="9" style="2" customWidth="1"/>
    <col min="3606" max="3606" width="7.875" style="2" customWidth="1"/>
    <col min="3607" max="3840" width="11" style="2"/>
    <col min="3841" max="3841" width="6.75" style="2" customWidth="1"/>
    <col min="3842" max="3845" width="9" style="2" customWidth="1"/>
    <col min="3846" max="3846" width="10.125" style="2" customWidth="1"/>
    <col min="3847" max="3847" width="11.25" style="2" customWidth="1"/>
    <col min="3848" max="3848" width="10.125" style="2" customWidth="1"/>
    <col min="3849" max="3851" width="9" style="2" customWidth="1"/>
    <col min="3852" max="3852" width="11.25" style="2" customWidth="1"/>
    <col min="3853" max="3853" width="9" style="2" customWidth="1"/>
    <col min="3854" max="3854" width="10.125" style="2" customWidth="1"/>
    <col min="3855" max="3858" width="9" style="2" customWidth="1"/>
    <col min="3859" max="3859" width="11.25" style="2" customWidth="1"/>
    <col min="3860" max="3860" width="10.125" style="2" customWidth="1"/>
    <col min="3861" max="3861" width="9" style="2" customWidth="1"/>
    <col min="3862" max="3862" width="7.875" style="2" customWidth="1"/>
    <col min="3863" max="4096" width="11" style="2"/>
    <col min="4097" max="4097" width="6.75" style="2" customWidth="1"/>
    <col min="4098" max="4101" width="9" style="2" customWidth="1"/>
    <col min="4102" max="4102" width="10.125" style="2" customWidth="1"/>
    <col min="4103" max="4103" width="11.25" style="2" customWidth="1"/>
    <col min="4104" max="4104" width="10.125" style="2" customWidth="1"/>
    <col min="4105" max="4107" width="9" style="2" customWidth="1"/>
    <col min="4108" max="4108" width="11.25" style="2" customWidth="1"/>
    <col min="4109" max="4109" width="9" style="2" customWidth="1"/>
    <col min="4110" max="4110" width="10.125" style="2" customWidth="1"/>
    <col min="4111" max="4114" width="9" style="2" customWidth="1"/>
    <col min="4115" max="4115" width="11.25" style="2" customWidth="1"/>
    <col min="4116" max="4116" width="10.125" style="2" customWidth="1"/>
    <col min="4117" max="4117" width="9" style="2" customWidth="1"/>
    <col min="4118" max="4118" width="7.875" style="2" customWidth="1"/>
    <col min="4119" max="4352" width="11" style="2"/>
    <col min="4353" max="4353" width="6.75" style="2" customWidth="1"/>
    <col min="4354" max="4357" width="9" style="2" customWidth="1"/>
    <col min="4358" max="4358" width="10.125" style="2" customWidth="1"/>
    <col min="4359" max="4359" width="11.25" style="2" customWidth="1"/>
    <col min="4360" max="4360" width="10.125" style="2" customWidth="1"/>
    <col min="4361" max="4363" width="9" style="2" customWidth="1"/>
    <col min="4364" max="4364" width="11.25" style="2" customWidth="1"/>
    <col min="4365" max="4365" width="9" style="2" customWidth="1"/>
    <col min="4366" max="4366" width="10.125" style="2" customWidth="1"/>
    <col min="4367" max="4370" width="9" style="2" customWidth="1"/>
    <col min="4371" max="4371" width="11.25" style="2" customWidth="1"/>
    <col min="4372" max="4372" width="10.125" style="2" customWidth="1"/>
    <col min="4373" max="4373" width="9" style="2" customWidth="1"/>
    <col min="4374" max="4374" width="7.875" style="2" customWidth="1"/>
    <col min="4375" max="4608" width="11" style="2"/>
    <col min="4609" max="4609" width="6.75" style="2" customWidth="1"/>
    <col min="4610" max="4613" width="9" style="2" customWidth="1"/>
    <col min="4614" max="4614" width="10.125" style="2" customWidth="1"/>
    <col min="4615" max="4615" width="11.25" style="2" customWidth="1"/>
    <col min="4616" max="4616" width="10.125" style="2" customWidth="1"/>
    <col min="4617" max="4619" width="9" style="2" customWidth="1"/>
    <col min="4620" max="4620" width="11.25" style="2" customWidth="1"/>
    <col min="4621" max="4621" width="9" style="2" customWidth="1"/>
    <col min="4622" max="4622" width="10.125" style="2" customWidth="1"/>
    <col min="4623" max="4626" width="9" style="2" customWidth="1"/>
    <col min="4627" max="4627" width="11.25" style="2" customWidth="1"/>
    <col min="4628" max="4628" width="10.125" style="2" customWidth="1"/>
    <col min="4629" max="4629" width="9" style="2" customWidth="1"/>
    <col min="4630" max="4630" width="7.875" style="2" customWidth="1"/>
    <col min="4631" max="4864" width="11" style="2"/>
    <col min="4865" max="4865" width="6.75" style="2" customWidth="1"/>
    <col min="4866" max="4869" width="9" style="2" customWidth="1"/>
    <col min="4870" max="4870" width="10.125" style="2" customWidth="1"/>
    <col min="4871" max="4871" width="11.25" style="2" customWidth="1"/>
    <col min="4872" max="4872" width="10.125" style="2" customWidth="1"/>
    <col min="4873" max="4875" width="9" style="2" customWidth="1"/>
    <col min="4876" max="4876" width="11.25" style="2" customWidth="1"/>
    <col min="4877" max="4877" width="9" style="2" customWidth="1"/>
    <col min="4878" max="4878" width="10.125" style="2" customWidth="1"/>
    <col min="4879" max="4882" width="9" style="2" customWidth="1"/>
    <col min="4883" max="4883" width="11.25" style="2" customWidth="1"/>
    <col min="4884" max="4884" width="10.125" style="2" customWidth="1"/>
    <col min="4885" max="4885" width="9" style="2" customWidth="1"/>
    <col min="4886" max="4886" width="7.875" style="2" customWidth="1"/>
    <col min="4887" max="5120" width="11" style="2"/>
    <col min="5121" max="5121" width="6.75" style="2" customWidth="1"/>
    <col min="5122" max="5125" width="9" style="2" customWidth="1"/>
    <col min="5126" max="5126" width="10.125" style="2" customWidth="1"/>
    <col min="5127" max="5127" width="11.25" style="2" customWidth="1"/>
    <col min="5128" max="5128" width="10.125" style="2" customWidth="1"/>
    <col min="5129" max="5131" width="9" style="2" customWidth="1"/>
    <col min="5132" max="5132" width="11.25" style="2" customWidth="1"/>
    <col min="5133" max="5133" width="9" style="2" customWidth="1"/>
    <col min="5134" max="5134" width="10.125" style="2" customWidth="1"/>
    <col min="5135" max="5138" width="9" style="2" customWidth="1"/>
    <col min="5139" max="5139" width="11.25" style="2" customWidth="1"/>
    <col min="5140" max="5140" width="10.125" style="2" customWidth="1"/>
    <col min="5141" max="5141" width="9" style="2" customWidth="1"/>
    <col min="5142" max="5142" width="7.875" style="2" customWidth="1"/>
    <col min="5143" max="5376" width="11" style="2"/>
    <col min="5377" max="5377" width="6.75" style="2" customWidth="1"/>
    <col min="5378" max="5381" width="9" style="2" customWidth="1"/>
    <col min="5382" max="5382" width="10.125" style="2" customWidth="1"/>
    <col min="5383" max="5383" width="11.25" style="2" customWidth="1"/>
    <col min="5384" max="5384" width="10.125" style="2" customWidth="1"/>
    <col min="5385" max="5387" width="9" style="2" customWidth="1"/>
    <col min="5388" max="5388" width="11.25" style="2" customWidth="1"/>
    <col min="5389" max="5389" width="9" style="2" customWidth="1"/>
    <col min="5390" max="5390" width="10.125" style="2" customWidth="1"/>
    <col min="5391" max="5394" width="9" style="2" customWidth="1"/>
    <col min="5395" max="5395" width="11.25" style="2" customWidth="1"/>
    <col min="5396" max="5396" width="10.125" style="2" customWidth="1"/>
    <col min="5397" max="5397" width="9" style="2" customWidth="1"/>
    <col min="5398" max="5398" width="7.875" style="2" customWidth="1"/>
    <col min="5399" max="5632" width="11" style="2"/>
    <col min="5633" max="5633" width="6.75" style="2" customWidth="1"/>
    <col min="5634" max="5637" width="9" style="2" customWidth="1"/>
    <col min="5638" max="5638" width="10.125" style="2" customWidth="1"/>
    <col min="5639" max="5639" width="11.25" style="2" customWidth="1"/>
    <col min="5640" max="5640" width="10.125" style="2" customWidth="1"/>
    <col min="5641" max="5643" width="9" style="2" customWidth="1"/>
    <col min="5644" max="5644" width="11.25" style="2" customWidth="1"/>
    <col min="5645" max="5645" width="9" style="2" customWidth="1"/>
    <col min="5646" max="5646" width="10.125" style="2" customWidth="1"/>
    <col min="5647" max="5650" width="9" style="2" customWidth="1"/>
    <col min="5651" max="5651" width="11.25" style="2" customWidth="1"/>
    <col min="5652" max="5652" width="10.125" style="2" customWidth="1"/>
    <col min="5653" max="5653" width="9" style="2" customWidth="1"/>
    <col min="5654" max="5654" width="7.875" style="2" customWidth="1"/>
    <col min="5655" max="5888" width="11" style="2"/>
    <col min="5889" max="5889" width="6.75" style="2" customWidth="1"/>
    <col min="5890" max="5893" width="9" style="2" customWidth="1"/>
    <col min="5894" max="5894" width="10.125" style="2" customWidth="1"/>
    <col min="5895" max="5895" width="11.25" style="2" customWidth="1"/>
    <col min="5896" max="5896" width="10.125" style="2" customWidth="1"/>
    <col min="5897" max="5899" width="9" style="2" customWidth="1"/>
    <col min="5900" max="5900" width="11.25" style="2" customWidth="1"/>
    <col min="5901" max="5901" width="9" style="2" customWidth="1"/>
    <col min="5902" max="5902" width="10.125" style="2" customWidth="1"/>
    <col min="5903" max="5906" width="9" style="2" customWidth="1"/>
    <col min="5907" max="5907" width="11.25" style="2" customWidth="1"/>
    <col min="5908" max="5908" width="10.125" style="2" customWidth="1"/>
    <col min="5909" max="5909" width="9" style="2" customWidth="1"/>
    <col min="5910" max="5910" width="7.875" style="2" customWidth="1"/>
    <col min="5911" max="6144" width="11" style="2"/>
    <col min="6145" max="6145" width="6.75" style="2" customWidth="1"/>
    <col min="6146" max="6149" width="9" style="2" customWidth="1"/>
    <col min="6150" max="6150" width="10.125" style="2" customWidth="1"/>
    <col min="6151" max="6151" width="11.25" style="2" customWidth="1"/>
    <col min="6152" max="6152" width="10.125" style="2" customWidth="1"/>
    <col min="6153" max="6155" width="9" style="2" customWidth="1"/>
    <col min="6156" max="6156" width="11.25" style="2" customWidth="1"/>
    <col min="6157" max="6157" width="9" style="2" customWidth="1"/>
    <col min="6158" max="6158" width="10.125" style="2" customWidth="1"/>
    <col min="6159" max="6162" width="9" style="2" customWidth="1"/>
    <col min="6163" max="6163" width="11.25" style="2" customWidth="1"/>
    <col min="6164" max="6164" width="10.125" style="2" customWidth="1"/>
    <col min="6165" max="6165" width="9" style="2" customWidth="1"/>
    <col min="6166" max="6166" width="7.875" style="2" customWidth="1"/>
    <col min="6167" max="6400" width="11" style="2"/>
    <col min="6401" max="6401" width="6.75" style="2" customWidth="1"/>
    <col min="6402" max="6405" width="9" style="2" customWidth="1"/>
    <col min="6406" max="6406" width="10.125" style="2" customWidth="1"/>
    <col min="6407" max="6407" width="11.25" style="2" customWidth="1"/>
    <col min="6408" max="6408" width="10.125" style="2" customWidth="1"/>
    <col min="6409" max="6411" width="9" style="2" customWidth="1"/>
    <col min="6412" max="6412" width="11.25" style="2" customWidth="1"/>
    <col min="6413" max="6413" width="9" style="2" customWidth="1"/>
    <col min="6414" max="6414" width="10.125" style="2" customWidth="1"/>
    <col min="6415" max="6418" width="9" style="2" customWidth="1"/>
    <col min="6419" max="6419" width="11.25" style="2" customWidth="1"/>
    <col min="6420" max="6420" width="10.125" style="2" customWidth="1"/>
    <col min="6421" max="6421" width="9" style="2" customWidth="1"/>
    <col min="6422" max="6422" width="7.875" style="2" customWidth="1"/>
    <col min="6423" max="6656" width="11" style="2"/>
    <col min="6657" max="6657" width="6.75" style="2" customWidth="1"/>
    <col min="6658" max="6661" width="9" style="2" customWidth="1"/>
    <col min="6662" max="6662" width="10.125" style="2" customWidth="1"/>
    <col min="6663" max="6663" width="11.25" style="2" customWidth="1"/>
    <col min="6664" max="6664" width="10.125" style="2" customWidth="1"/>
    <col min="6665" max="6667" width="9" style="2" customWidth="1"/>
    <col min="6668" max="6668" width="11.25" style="2" customWidth="1"/>
    <col min="6669" max="6669" width="9" style="2" customWidth="1"/>
    <col min="6670" max="6670" width="10.125" style="2" customWidth="1"/>
    <col min="6671" max="6674" width="9" style="2" customWidth="1"/>
    <col min="6675" max="6675" width="11.25" style="2" customWidth="1"/>
    <col min="6676" max="6676" width="10.125" style="2" customWidth="1"/>
    <col min="6677" max="6677" width="9" style="2" customWidth="1"/>
    <col min="6678" max="6678" width="7.875" style="2" customWidth="1"/>
    <col min="6679" max="6912" width="11" style="2"/>
    <col min="6913" max="6913" width="6.75" style="2" customWidth="1"/>
    <col min="6914" max="6917" width="9" style="2" customWidth="1"/>
    <col min="6918" max="6918" width="10.125" style="2" customWidth="1"/>
    <col min="6919" max="6919" width="11.25" style="2" customWidth="1"/>
    <col min="6920" max="6920" width="10.125" style="2" customWidth="1"/>
    <col min="6921" max="6923" width="9" style="2" customWidth="1"/>
    <col min="6924" max="6924" width="11.25" style="2" customWidth="1"/>
    <col min="6925" max="6925" width="9" style="2" customWidth="1"/>
    <col min="6926" max="6926" width="10.125" style="2" customWidth="1"/>
    <col min="6927" max="6930" width="9" style="2" customWidth="1"/>
    <col min="6931" max="6931" width="11.25" style="2" customWidth="1"/>
    <col min="6932" max="6932" width="10.125" style="2" customWidth="1"/>
    <col min="6933" max="6933" width="9" style="2" customWidth="1"/>
    <col min="6934" max="6934" width="7.875" style="2" customWidth="1"/>
    <col min="6935" max="7168" width="11" style="2"/>
    <col min="7169" max="7169" width="6.75" style="2" customWidth="1"/>
    <col min="7170" max="7173" width="9" style="2" customWidth="1"/>
    <col min="7174" max="7174" width="10.125" style="2" customWidth="1"/>
    <col min="7175" max="7175" width="11.25" style="2" customWidth="1"/>
    <col min="7176" max="7176" width="10.125" style="2" customWidth="1"/>
    <col min="7177" max="7179" width="9" style="2" customWidth="1"/>
    <col min="7180" max="7180" width="11.25" style="2" customWidth="1"/>
    <col min="7181" max="7181" width="9" style="2" customWidth="1"/>
    <col min="7182" max="7182" width="10.125" style="2" customWidth="1"/>
    <col min="7183" max="7186" width="9" style="2" customWidth="1"/>
    <col min="7187" max="7187" width="11.25" style="2" customWidth="1"/>
    <col min="7188" max="7188" width="10.125" style="2" customWidth="1"/>
    <col min="7189" max="7189" width="9" style="2" customWidth="1"/>
    <col min="7190" max="7190" width="7.875" style="2" customWidth="1"/>
    <col min="7191" max="7424" width="11" style="2"/>
    <col min="7425" max="7425" width="6.75" style="2" customWidth="1"/>
    <col min="7426" max="7429" width="9" style="2" customWidth="1"/>
    <col min="7430" max="7430" width="10.125" style="2" customWidth="1"/>
    <col min="7431" max="7431" width="11.25" style="2" customWidth="1"/>
    <col min="7432" max="7432" width="10.125" style="2" customWidth="1"/>
    <col min="7433" max="7435" width="9" style="2" customWidth="1"/>
    <col min="7436" max="7436" width="11.25" style="2" customWidth="1"/>
    <col min="7437" max="7437" width="9" style="2" customWidth="1"/>
    <col min="7438" max="7438" width="10.125" style="2" customWidth="1"/>
    <col min="7439" max="7442" width="9" style="2" customWidth="1"/>
    <col min="7443" max="7443" width="11.25" style="2" customWidth="1"/>
    <col min="7444" max="7444" width="10.125" style="2" customWidth="1"/>
    <col min="7445" max="7445" width="9" style="2" customWidth="1"/>
    <col min="7446" max="7446" width="7.875" style="2" customWidth="1"/>
    <col min="7447" max="7680" width="11" style="2"/>
    <col min="7681" max="7681" width="6.75" style="2" customWidth="1"/>
    <col min="7682" max="7685" width="9" style="2" customWidth="1"/>
    <col min="7686" max="7686" width="10.125" style="2" customWidth="1"/>
    <col min="7687" max="7687" width="11.25" style="2" customWidth="1"/>
    <col min="7688" max="7688" width="10.125" style="2" customWidth="1"/>
    <col min="7689" max="7691" width="9" style="2" customWidth="1"/>
    <col min="7692" max="7692" width="11.25" style="2" customWidth="1"/>
    <col min="7693" max="7693" width="9" style="2" customWidth="1"/>
    <col min="7694" max="7694" width="10.125" style="2" customWidth="1"/>
    <col min="7695" max="7698" width="9" style="2" customWidth="1"/>
    <col min="7699" max="7699" width="11.25" style="2" customWidth="1"/>
    <col min="7700" max="7700" width="10.125" style="2" customWidth="1"/>
    <col min="7701" max="7701" width="9" style="2" customWidth="1"/>
    <col min="7702" max="7702" width="7.875" style="2" customWidth="1"/>
    <col min="7703" max="7936" width="11" style="2"/>
    <col min="7937" max="7937" width="6.75" style="2" customWidth="1"/>
    <col min="7938" max="7941" width="9" style="2" customWidth="1"/>
    <col min="7942" max="7942" width="10.125" style="2" customWidth="1"/>
    <col min="7943" max="7943" width="11.25" style="2" customWidth="1"/>
    <col min="7944" max="7944" width="10.125" style="2" customWidth="1"/>
    <col min="7945" max="7947" width="9" style="2" customWidth="1"/>
    <col min="7948" max="7948" width="11.25" style="2" customWidth="1"/>
    <col min="7949" max="7949" width="9" style="2" customWidth="1"/>
    <col min="7950" max="7950" width="10.125" style="2" customWidth="1"/>
    <col min="7951" max="7954" width="9" style="2" customWidth="1"/>
    <col min="7955" max="7955" width="11.25" style="2" customWidth="1"/>
    <col min="7956" max="7956" width="10.125" style="2" customWidth="1"/>
    <col min="7957" max="7957" width="9" style="2" customWidth="1"/>
    <col min="7958" max="7958" width="7.875" style="2" customWidth="1"/>
    <col min="7959" max="8192" width="11" style="2"/>
    <col min="8193" max="8193" width="6.75" style="2" customWidth="1"/>
    <col min="8194" max="8197" width="9" style="2" customWidth="1"/>
    <col min="8198" max="8198" width="10.125" style="2" customWidth="1"/>
    <col min="8199" max="8199" width="11.25" style="2" customWidth="1"/>
    <col min="8200" max="8200" width="10.125" style="2" customWidth="1"/>
    <col min="8201" max="8203" width="9" style="2" customWidth="1"/>
    <col min="8204" max="8204" width="11.25" style="2" customWidth="1"/>
    <col min="8205" max="8205" width="9" style="2" customWidth="1"/>
    <col min="8206" max="8206" width="10.125" style="2" customWidth="1"/>
    <col min="8207" max="8210" width="9" style="2" customWidth="1"/>
    <col min="8211" max="8211" width="11.25" style="2" customWidth="1"/>
    <col min="8212" max="8212" width="10.125" style="2" customWidth="1"/>
    <col min="8213" max="8213" width="9" style="2" customWidth="1"/>
    <col min="8214" max="8214" width="7.875" style="2" customWidth="1"/>
    <col min="8215" max="8448" width="11" style="2"/>
    <col min="8449" max="8449" width="6.75" style="2" customWidth="1"/>
    <col min="8450" max="8453" width="9" style="2" customWidth="1"/>
    <col min="8454" max="8454" width="10.125" style="2" customWidth="1"/>
    <col min="8455" max="8455" width="11.25" style="2" customWidth="1"/>
    <col min="8456" max="8456" width="10.125" style="2" customWidth="1"/>
    <col min="8457" max="8459" width="9" style="2" customWidth="1"/>
    <col min="8460" max="8460" width="11.25" style="2" customWidth="1"/>
    <col min="8461" max="8461" width="9" style="2" customWidth="1"/>
    <col min="8462" max="8462" width="10.125" style="2" customWidth="1"/>
    <col min="8463" max="8466" width="9" style="2" customWidth="1"/>
    <col min="8467" max="8467" width="11.25" style="2" customWidth="1"/>
    <col min="8468" max="8468" width="10.125" style="2" customWidth="1"/>
    <col min="8469" max="8469" width="9" style="2" customWidth="1"/>
    <col min="8470" max="8470" width="7.875" style="2" customWidth="1"/>
    <col min="8471" max="8704" width="11" style="2"/>
    <col min="8705" max="8705" width="6.75" style="2" customWidth="1"/>
    <col min="8706" max="8709" width="9" style="2" customWidth="1"/>
    <col min="8710" max="8710" width="10.125" style="2" customWidth="1"/>
    <col min="8711" max="8711" width="11.25" style="2" customWidth="1"/>
    <col min="8712" max="8712" width="10.125" style="2" customWidth="1"/>
    <col min="8713" max="8715" width="9" style="2" customWidth="1"/>
    <col min="8716" max="8716" width="11.25" style="2" customWidth="1"/>
    <col min="8717" max="8717" width="9" style="2" customWidth="1"/>
    <col min="8718" max="8718" width="10.125" style="2" customWidth="1"/>
    <col min="8719" max="8722" width="9" style="2" customWidth="1"/>
    <col min="8723" max="8723" width="11.25" style="2" customWidth="1"/>
    <col min="8724" max="8724" width="10.125" style="2" customWidth="1"/>
    <col min="8725" max="8725" width="9" style="2" customWidth="1"/>
    <col min="8726" max="8726" width="7.875" style="2" customWidth="1"/>
    <col min="8727" max="8960" width="11" style="2"/>
    <col min="8961" max="8961" width="6.75" style="2" customWidth="1"/>
    <col min="8962" max="8965" width="9" style="2" customWidth="1"/>
    <col min="8966" max="8966" width="10.125" style="2" customWidth="1"/>
    <col min="8967" max="8967" width="11.25" style="2" customWidth="1"/>
    <col min="8968" max="8968" width="10.125" style="2" customWidth="1"/>
    <col min="8969" max="8971" width="9" style="2" customWidth="1"/>
    <col min="8972" max="8972" width="11.25" style="2" customWidth="1"/>
    <col min="8973" max="8973" width="9" style="2" customWidth="1"/>
    <col min="8974" max="8974" width="10.125" style="2" customWidth="1"/>
    <col min="8975" max="8978" width="9" style="2" customWidth="1"/>
    <col min="8979" max="8979" width="11.25" style="2" customWidth="1"/>
    <col min="8980" max="8980" width="10.125" style="2" customWidth="1"/>
    <col min="8981" max="8981" width="9" style="2" customWidth="1"/>
    <col min="8982" max="8982" width="7.875" style="2" customWidth="1"/>
    <col min="8983" max="9216" width="11" style="2"/>
    <col min="9217" max="9217" width="6.75" style="2" customWidth="1"/>
    <col min="9218" max="9221" width="9" style="2" customWidth="1"/>
    <col min="9222" max="9222" width="10.125" style="2" customWidth="1"/>
    <col min="9223" max="9223" width="11.25" style="2" customWidth="1"/>
    <col min="9224" max="9224" width="10.125" style="2" customWidth="1"/>
    <col min="9225" max="9227" width="9" style="2" customWidth="1"/>
    <col min="9228" max="9228" width="11.25" style="2" customWidth="1"/>
    <col min="9229" max="9229" width="9" style="2" customWidth="1"/>
    <col min="9230" max="9230" width="10.125" style="2" customWidth="1"/>
    <col min="9231" max="9234" width="9" style="2" customWidth="1"/>
    <col min="9235" max="9235" width="11.25" style="2" customWidth="1"/>
    <col min="9236" max="9236" width="10.125" style="2" customWidth="1"/>
    <col min="9237" max="9237" width="9" style="2" customWidth="1"/>
    <col min="9238" max="9238" width="7.875" style="2" customWidth="1"/>
    <col min="9239" max="9472" width="11" style="2"/>
    <col min="9473" max="9473" width="6.75" style="2" customWidth="1"/>
    <col min="9474" max="9477" width="9" style="2" customWidth="1"/>
    <col min="9478" max="9478" width="10.125" style="2" customWidth="1"/>
    <col min="9479" max="9479" width="11.25" style="2" customWidth="1"/>
    <col min="9480" max="9480" width="10.125" style="2" customWidth="1"/>
    <col min="9481" max="9483" width="9" style="2" customWidth="1"/>
    <col min="9484" max="9484" width="11.25" style="2" customWidth="1"/>
    <col min="9485" max="9485" width="9" style="2" customWidth="1"/>
    <col min="9486" max="9486" width="10.125" style="2" customWidth="1"/>
    <col min="9487" max="9490" width="9" style="2" customWidth="1"/>
    <col min="9491" max="9491" width="11.25" style="2" customWidth="1"/>
    <col min="9492" max="9492" width="10.125" style="2" customWidth="1"/>
    <col min="9493" max="9493" width="9" style="2" customWidth="1"/>
    <col min="9494" max="9494" width="7.875" style="2" customWidth="1"/>
    <col min="9495" max="9728" width="11" style="2"/>
    <col min="9729" max="9729" width="6.75" style="2" customWidth="1"/>
    <col min="9730" max="9733" width="9" style="2" customWidth="1"/>
    <col min="9734" max="9734" width="10.125" style="2" customWidth="1"/>
    <col min="9735" max="9735" width="11.25" style="2" customWidth="1"/>
    <col min="9736" max="9736" width="10.125" style="2" customWidth="1"/>
    <col min="9737" max="9739" width="9" style="2" customWidth="1"/>
    <col min="9740" max="9740" width="11.25" style="2" customWidth="1"/>
    <col min="9741" max="9741" width="9" style="2" customWidth="1"/>
    <col min="9742" max="9742" width="10.125" style="2" customWidth="1"/>
    <col min="9743" max="9746" width="9" style="2" customWidth="1"/>
    <col min="9747" max="9747" width="11.25" style="2" customWidth="1"/>
    <col min="9748" max="9748" width="10.125" style="2" customWidth="1"/>
    <col min="9749" max="9749" width="9" style="2" customWidth="1"/>
    <col min="9750" max="9750" width="7.875" style="2" customWidth="1"/>
    <col min="9751" max="9984" width="11" style="2"/>
    <col min="9985" max="9985" width="6.75" style="2" customWidth="1"/>
    <col min="9986" max="9989" width="9" style="2" customWidth="1"/>
    <col min="9990" max="9990" width="10.125" style="2" customWidth="1"/>
    <col min="9991" max="9991" width="11.25" style="2" customWidth="1"/>
    <col min="9992" max="9992" width="10.125" style="2" customWidth="1"/>
    <col min="9993" max="9995" width="9" style="2" customWidth="1"/>
    <col min="9996" max="9996" width="11.25" style="2" customWidth="1"/>
    <col min="9997" max="9997" width="9" style="2" customWidth="1"/>
    <col min="9998" max="9998" width="10.125" style="2" customWidth="1"/>
    <col min="9999" max="10002" width="9" style="2" customWidth="1"/>
    <col min="10003" max="10003" width="11.25" style="2" customWidth="1"/>
    <col min="10004" max="10004" width="10.125" style="2" customWidth="1"/>
    <col min="10005" max="10005" width="9" style="2" customWidth="1"/>
    <col min="10006" max="10006" width="7.875" style="2" customWidth="1"/>
    <col min="10007" max="10240" width="11" style="2"/>
    <col min="10241" max="10241" width="6.75" style="2" customWidth="1"/>
    <col min="10242" max="10245" width="9" style="2" customWidth="1"/>
    <col min="10246" max="10246" width="10.125" style="2" customWidth="1"/>
    <col min="10247" max="10247" width="11.25" style="2" customWidth="1"/>
    <col min="10248" max="10248" width="10.125" style="2" customWidth="1"/>
    <col min="10249" max="10251" width="9" style="2" customWidth="1"/>
    <col min="10252" max="10252" width="11.25" style="2" customWidth="1"/>
    <col min="10253" max="10253" width="9" style="2" customWidth="1"/>
    <col min="10254" max="10254" width="10.125" style="2" customWidth="1"/>
    <col min="10255" max="10258" width="9" style="2" customWidth="1"/>
    <col min="10259" max="10259" width="11.25" style="2" customWidth="1"/>
    <col min="10260" max="10260" width="10.125" style="2" customWidth="1"/>
    <col min="10261" max="10261" width="9" style="2" customWidth="1"/>
    <col min="10262" max="10262" width="7.875" style="2" customWidth="1"/>
    <col min="10263" max="10496" width="11" style="2"/>
    <col min="10497" max="10497" width="6.75" style="2" customWidth="1"/>
    <col min="10498" max="10501" width="9" style="2" customWidth="1"/>
    <col min="10502" max="10502" width="10.125" style="2" customWidth="1"/>
    <col min="10503" max="10503" width="11.25" style="2" customWidth="1"/>
    <col min="10504" max="10504" width="10.125" style="2" customWidth="1"/>
    <col min="10505" max="10507" width="9" style="2" customWidth="1"/>
    <col min="10508" max="10508" width="11.25" style="2" customWidth="1"/>
    <col min="10509" max="10509" width="9" style="2" customWidth="1"/>
    <col min="10510" max="10510" width="10.125" style="2" customWidth="1"/>
    <col min="10511" max="10514" width="9" style="2" customWidth="1"/>
    <col min="10515" max="10515" width="11.25" style="2" customWidth="1"/>
    <col min="10516" max="10516" width="10.125" style="2" customWidth="1"/>
    <col min="10517" max="10517" width="9" style="2" customWidth="1"/>
    <col min="10518" max="10518" width="7.875" style="2" customWidth="1"/>
    <col min="10519" max="10752" width="11" style="2"/>
    <col min="10753" max="10753" width="6.75" style="2" customWidth="1"/>
    <col min="10754" max="10757" width="9" style="2" customWidth="1"/>
    <col min="10758" max="10758" width="10.125" style="2" customWidth="1"/>
    <col min="10759" max="10759" width="11.25" style="2" customWidth="1"/>
    <col min="10760" max="10760" width="10.125" style="2" customWidth="1"/>
    <col min="10761" max="10763" width="9" style="2" customWidth="1"/>
    <col min="10764" max="10764" width="11.25" style="2" customWidth="1"/>
    <col min="10765" max="10765" width="9" style="2" customWidth="1"/>
    <col min="10766" max="10766" width="10.125" style="2" customWidth="1"/>
    <col min="10767" max="10770" width="9" style="2" customWidth="1"/>
    <col min="10771" max="10771" width="11.25" style="2" customWidth="1"/>
    <col min="10772" max="10772" width="10.125" style="2" customWidth="1"/>
    <col min="10773" max="10773" width="9" style="2" customWidth="1"/>
    <col min="10774" max="10774" width="7.875" style="2" customWidth="1"/>
    <col min="10775" max="11008" width="11" style="2"/>
    <col min="11009" max="11009" width="6.75" style="2" customWidth="1"/>
    <col min="11010" max="11013" width="9" style="2" customWidth="1"/>
    <col min="11014" max="11014" width="10.125" style="2" customWidth="1"/>
    <col min="11015" max="11015" width="11.25" style="2" customWidth="1"/>
    <col min="11016" max="11016" width="10.125" style="2" customWidth="1"/>
    <col min="11017" max="11019" width="9" style="2" customWidth="1"/>
    <col min="11020" max="11020" width="11.25" style="2" customWidth="1"/>
    <col min="11021" max="11021" width="9" style="2" customWidth="1"/>
    <col min="11022" max="11022" width="10.125" style="2" customWidth="1"/>
    <col min="11023" max="11026" width="9" style="2" customWidth="1"/>
    <col min="11027" max="11027" width="11.25" style="2" customWidth="1"/>
    <col min="11028" max="11028" width="10.125" style="2" customWidth="1"/>
    <col min="11029" max="11029" width="9" style="2" customWidth="1"/>
    <col min="11030" max="11030" width="7.875" style="2" customWidth="1"/>
    <col min="11031" max="11264" width="11" style="2"/>
    <col min="11265" max="11265" width="6.75" style="2" customWidth="1"/>
    <col min="11266" max="11269" width="9" style="2" customWidth="1"/>
    <col min="11270" max="11270" width="10.125" style="2" customWidth="1"/>
    <col min="11271" max="11271" width="11.25" style="2" customWidth="1"/>
    <col min="11272" max="11272" width="10.125" style="2" customWidth="1"/>
    <col min="11273" max="11275" width="9" style="2" customWidth="1"/>
    <col min="11276" max="11276" width="11.25" style="2" customWidth="1"/>
    <col min="11277" max="11277" width="9" style="2" customWidth="1"/>
    <col min="11278" max="11278" width="10.125" style="2" customWidth="1"/>
    <col min="11279" max="11282" width="9" style="2" customWidth="1"/>
    <col min="11283" max="11283" width="11.25" style="2" customWidth="1"/>
    <col min="11284" max="11284" width="10.125" style="2" customWidth="1"/>
    <col min="11285" max="11285" width="9" style="2" customWidth="1"/>
    <col min="11286" max="11286" width="7.875" style="2" customWidth="1"/>
    <col min="11287" max="11520" width="11" style="2"/>
    <col min="11521" max="11521" width="6.75" style="2" customWidth="1"/>
    <col min="11522" max="11525" width="9" style="2" customWidth="1"/>
    <col min="11526" max="11526" width="10.125" style="2" customWidth="1"/>
    <col min="11527" max="11527" width="11.25" style="2" customWidth="1"/>
    <col min="11528" max="11528" width="10.125" style="2" customWidth="1"/>
    <col min="11529" max="11531" width="9" style="2" customWidth="1"/>
    <col min="11532" max="11532" width="11.25" style="2" customWidth="1"/>
    <col min="11533" max="11533" width="9" style="2" customWidth="1"/>
    <col min="11534" max="11534" width="10.125" style="2" customWidth="1"/>
    <col min="11535" max="11538" width="9" style="2" customWidth="1"/>
    <col min="11539" max="11539" width="11.25" style="2" customWidth="1"/>
    <col min="11540" max="11540" width="10.125" style="2" customWidth="1"/>
    <col min="11541" max="11541" width="9" style="2" customWidth="1"/>
    <col min="11542" max="11542" width="7.875" style="2" customWidth="1"/>
    <col min="11543" max="11776" width="11" style="2"/>
    <col min="11777" max="11777" width="6.75" style="2" customWidth="1"/>
    <col min="11778" max="11781" width="9" style="2" customWidth="1"/>
    <col min="11782" max="11782" width="10.125" style="2" customWidth="1"/>
    <col min="11783" max="11783" width="11.25" style="2" customWidth="1"/>
    <col min="11784" max="11784" width="10.125" style="2" customWidth="1"/>
    <col min="11785" max="11787" width="9" style="2" customWidth="1"/>
    <col min="11788" max="11788" width="11.25" style="2" customWidth="1"/>
    <col min="11789" max="11789" width="9" style="2" customWidth="1"/>
    <col min="11790" max="11790" width="10.125" style="2" customWidth="1"/>
    <col min="11791" max="11794" width="9" style="2" customWidth="1"/>
    <col min="11795" max="11795" width="11.25" style="2" customWidth="1"/>
    <col min="11796" max="11796" width="10.125" style="2" customWidth="1"/>
    <col min="11797" max="11797" width="9" style="2" customWidth="1"/>
    <col min="11798" max="11798" width="7.875" style="2" customWidth="1"/>
    <col min="11799" max="12032" width="11" style="2"/>
    <col min="12033" max="12033" width="6.75" style="2" customWidth="1"/>
    <col min="12034" max="12037" width="9" style="2" customWidth="1"/>
    <col min="12038" max="12038" width="10.125" style="2" customWidth="1"/>
    <col min="12039" max="12039" width="11.25" style="2" customWidth="1"/>
    <col min="12040" max="12040" width="10.125" style="2" customWidth="1"/>
    <col min="12041" max="12043" width="9" style="2" customWidth="1"/>
    <col min="12044" max="12044" width="11.25" style="2" customWidth="1"/>
    <col min="12045" max="12045" width="9" style="2" customWidth="1"/>
    <col min="12046" max="12046" width="10.125" style="2" customWidth="1"/>
    <col min="12047" max="12050" width="9" style="2" customWidth="1"/>
    <col min="12051" max="12051" width="11.25" style="2" customWidth="1"/>
    <col min="12052" max="12052" width="10.125" style="2" customWidth="1"/>
    <col min="12053" max="12053" width="9" style="2" customWidth="1"/>
    <col min="12054" max="12054" width="7.875" style="2" customWidth="1"/>
    <col min="12055" max="12288" width="11" style="2"/>
    <col min="12289" max="12289" width="6.75" style="2" customWidth="1"/>
    <col min="12290" max="12293" width="9" style="2" customWidth="1"/>
    <col min="12294" max="12294" width="10.125" style="2" customWidth="1"/>
    <col min="12295" max="12295" width="11.25" style="2" customWidth="1"/>
    <col min="12296" max="12296" width="10.125" style="2" customWidth="1"/>
    <col min="12297" max="12299" width="9" style="2" customWidth="1"/>
    <col min="12300" max="12300" width="11.25" style="2" customWidth="1"/>
    <col min="12301" max="12301" width="9" style="2" customWidth="1"/>
    <col min="12302" max="12302" width="10.125" style="2" customWidth="1"/>
    <col min="12303" max="12306" width="9" style="2" customWidth="1"/>
    <col min="12307" max="12307" width="11.25" style="2" customWidth="1"/>
    <col min="12308" max="12308" width="10.125" style="2" customWidth="1"/>
    <col min="12309" max="12309" width="9" style="2" customWidth="1"/>
    <col min="12310" max="12310" width="7.875" style="2" customWidth="1"/>
    <col min="12311" max="12544" width="11" style="2"/>
    <col min="12545" max="12545" width="6.75" style="2" customWidth="1"/>
    <col min="12546" max="12549" width="9" style="2" customWidth="1"/>
    <col min="12550" max="12550" width="10.125" style="2" customWidth="1"/>
    <col min="12551" max="12551" width="11.25" style="2" customWidth="1"/>
    <col min="12552" max="12552" width="10.125" style="2" customWidth="1"/>
    <col min="12553" max="12555" width="9" style="2" customWidth="1"/>
    <col min="12556" max="12556" width="11.25" style="2" customWidth="1"/>
    <col min="12557" max="12557" width="9" style="2" customWidth="1"/>
    <col min="12558" max="12558" width="10.125" style="2" customWidth="1"/>
    <col min="12559" max="12562" width="9" style="2" customWidth="1"/>
    <col min="12563" max="12563" width="11.25" style="2" customWidth="1"/>
    <col min="12564" max="12564" width="10.125" style="2" customWidth="1"/>
    <col min="12565" max="12565" width="9" style="2" customWidth="1"/>
    <col min="12566" max="12566" width="7.875" style="2" customWidth="1"/>
    <col min="12567" max="12800" width="11" style="2"/>
    <col min="12801" max="12801" width="6.75" style="2" customWidth="1"/>
    <col min="12802" max="12805" width="9" style="2" customWidth="1"/>
    <col min="12806" max="12806" width="10.125" style="2" customWidth="1"/>
    <col min="12807" max="12807" width="11.25" style="2" customWidth="1"/>
    <col min="12808" max="12808" width="10.125" style="2" customWidth="1"/>
    <col min="12809" max="12811" width="9" style="2" customWidth="1"/>
    <col min="12812" max="12812" width="11.25" style="2" customWidth="1"/>
    <col min="12813" max="12813" width="9" style="2" customWidth="1"/>
    <col min="12814" max="12814" width="10.125" style="2" customWidth="1"/>
    <col min="12815" max="12818" width="9" style="2" customWidth="1"/>
    <col min="12819" max="12819" width="11.25" style="2" customWidth="1"/>
    <col min="12820" max="12820" width="10.125" style="2" customWidth="1"/>
    <col min="12821" max="12821" width="9" style="2" customWidth="1"/>
    <col min="12822" max="12822" width="7.875" style="2" customWidth="1"/>
    <col min="12823" max="13056" width="11" style="2"/>
    <col min="13057" max="13057" width="6.75" style="2" customWidth="1"/>
    <col min="13058" max="13061" width="9" style="2" customWidth="1"/>
    <col min="13062" max="13062" width="10.125" style="2" customWidth="1"/>
    <col min="13063" max="13063" width="11.25" style="2" customWidth="1"/>
    <col min="13064" max="13064" width="10.125" style="2" customWidth="1"/>
    <col min="13065" max="13067" width="9" style="2" customWidth="1"/>
    <col min="13068" max="13068" width="11.25" style="2" customWidth="1"/>
    <col min="13069" max="13069" width="9" style="2" customWidth="1"/>
    <col min="13070" max="13070" width="10.125" style="2" customWidth="1"/>
    <col min="13071" max="13074" width="9" style="2" customWidth="1"/>
    <col min="13075" max="13075" width="11.25" style="2" customWidth="1"/>
    <col min="13076" max="13076" width="10.125" style="2" customWidth="1"/>
    <col min="13077" max="13077" width="9" style="2" customWidth="1"/>
    <col min="13078" max="13078" width="7.875" style="2" customWidth="1"/>
    <col min="13079" max="13312" width="11" style="2"/>
    <col min="13313" max="13313" width="6.75" style="2" customWidth="1"/>
    <col min="13314" max="13317" width="9" style="2" customWidth="1"/>
    <col min="13318" max="13318" width="10.125" style="2" customWidth="1"/>
    <col min="13319" max="13319" width="11.25" style="2" customWidth="1"/>
    <col min="13320" max="13320" width="10.125" style="2" customWidth="1"/>
    <col min="13321" max="13323" width="9" style="2" customWidth="1"/>
    <col min="13324" max="13324" width="11.25" style="2" customWidth="1"/>
    <col min="13325" max="13325" width="9" style="2" customWidth="1"/>
    <col min="13326" max="13326" width="10.125" style="2" customWidth="1"/>
    <col min="13327" max="13330" width="9" style="2" customWidth="1"/>
    <col min="13331" max="13331" width="11.25" style="2" customWidth="1"/>
    <col min="13332" max="13332" width="10.125" style="2" customWidth="1"/>
    <col min="13333" max="13333" width="9" style="2" customWidth="1"/>
    <col min="13334" max="13334" width="7.875" style="2" customWidth="1"/>
    <col min="13335" max="13568" width="11" style="2"/>
    <col min="13569" max="13569" width="6.75" style="2" customWidth="1"/>
    <col min="13570" max="13573" width="9" style="2" customWidth="1"/>
    <col min="13574" max="13574" width="10.125" style="2" customWidth="1"/>
    <col min="13575" max="13575" width="11.25" style="2" customWidth="1"/>
    <col min="13576" max="13576" width="10.125" style="2" customWidth="1"/>
    <col min="13577" max="13579" width="9" style="2" customWidth="1"/>
    <col min="13580" max="13580" width="11.25" style="2" customWidth="1"/>
    <col min="13581" max="13581" width="9" style="2" customWidth="1"/>
    <col min="13582" max="13582" width="10.125" style="2" customWidth="1"/>
    <col min="13583" max="13586" width="9" style="2" customWidth="1"/>
    <col min="13587" max="13587" width="11.25" style="2" customWidth="1"/>
    <col min="13588" max="13588" width="10.125" style="2" customWidth="1"/>
    <col min="13589" max="13589" width="9" style="2" customWidth="1"/>
    <col min="13590" max="13590" width="7.875" style="2" customWidth="1"/>
    <col min="13591" max="13824" width="11" style="2"/>
    <col min="13825" max="13825" width="6.75" style="2" customWidth="1"/>
    <col min="13826" max="13829" width="9" style="2" customWidth="1"/>
    <col min="13830" max="13830" width="10.125" style="2" customWidth="1"/>
    <col min="13831" max="13831" width="11.25" style="2" customWidth="1"/>
    <col min="13832" max="13832" width="10.125" style="2" customWidth="1"/>
    <col min="13833" max="13835" width="9" style="2" customWidth="1"/>
    <col min="13836" max="13836" width="11.25" style="2" customWidth="1"/>
    <col min="13837" max="13837" width="9" style="2" customWidth="1"/>
    <col min="13838" max="13838" width="10.125" style="2" customWidth="1"/>
    <col min="13839" max="13842" width="9" style="2" customWidth="1"/>
    <col min="13843" max="13843" width="11.25" style="2" customWidth="1"/>
    <col min="13844" max="13844" width="10.125" style="2" customWidth="1"/>
    <col min="13845" max="13845" width="9" style="2" customWidth="1"/>
    <col min="13846" max="13846" width="7.875" style="2" customWidth="1"/>
    <col min="13847" max="14080" width="11" style="2"/>
    <col min="14081" max="14081" width="6.75" style="2" customWidth="1"/>
    <col min="14082" max="14085" width="9" style="2" customWidth="1"/>
    <col min="14086" max="14086" width="10.125" style="2" customWidth="1"/>
    <col min="14087" max="14087" width="11.25" style="2" customWidth="1"/>
    <col min="14088" max="14088" width="10.125" style="2" customWidth="1"/>
    <col min="14089" max="14091" width="9" style="2" customWidth="1"/>
    <col min="14092" max="14092" width="11.25" style="2" customWidth="1"/>
    <col min="14093" max="14093" width="9" style="2" customWidth="1"/>
    <col min="14094" max="14094" width="10.125" style="2" customWidth="1"/>
    <col min="14095" max="14098" width="9" style="2" customWidth="1"/>
    <col min="14099" max="14099" width="11.25" style="2" customWidth="1"/>
    <col min="14100" max="14100" width="10.125" style="2" customWidth="1"/>
    <col min="14101" max="14101" width="9" style="2" customWidth="1"/>
    <col min="14102" max="14102" width="7.875" style="2" customWidth="1"/>
    <col min="14103" max="14336" width="11" style="2"/>
    <col min="14337" max="14337" width="6.75" style="2" customWidth="1"/>
    <col min="14338" max="14341" width="9" style="2" customWidth="1"/>
    <col min="14342" max="14342" width="10.125" style="2" customWidth="1"/>
    <col min="14343" max="14343" width="11.25" style="2" customWidth="1"/>
    <col min="14344" max="14344" width="10.125" style="2" customWidth="1"/>
    <col min="14345" max="14347" width="9" style="2" customWidth="1"/>
    <col min="14348" max="14348" width="11.25" style="2" customWidth="1"/>
    <col min="14349" max="14349" width="9" style="2" customWidth="1"/>
    <col min="14350" max="14350" width="10.125" style="2" customWidth="1"/>
    <col min="14351" max="14354" width="9" style="2" customWidth="1"/>
    <col min="14355" max="14355" width="11.25" style="2" customWidth="1"/>
    <col min="14356" max="14356" width="10.125" style="2" customWidth="1"/>
    <col min="14357" max="14357" width="9" style="2" customWidth="1"/>
    <col min="14358" max="14358" width="7.875" style="2" customWidth="1"/>
    <col min="14359" max="14592" width="11" style="2"/>
    <col min="14593" max="14593" width="6.75" style="2" customWidth="1"/>
    <col min="14594" max="14597" width="9" style="2" customWidth="1"/>
    <col min="14598" max="14598" width="10.125" style="2" customWidth="1"/>
    <col min="14599" max="14599" width="11.25" style="2" customWidth="1"/>
    <col min="14600" max="14600" width="10.125" style="2" customWidth="1"/>
    <col min="14601" max="14603" width="9" style="2" customWidth="1"/>
    <col min="14604" max="14604" width="11.25" style="2" customWidth="1"/>
    <col min="14605" max="14605" width="9" style="2" customWidth="1"/>
    <col min="14606" max="14606" width="10.125" style="2" customWidth="1"/>
    <col min="14607" max="14610" width="9" style="2" customWidth="1"/>
    <col min="14611" max="14611" width="11.25" style="2" customWidth="1"/>
    <col min="14612" max="14612" width="10.125" style="2" customWidth="1"/>
    <col min="14613" max="14613" width="9" style="2" customWidth="1"/>
    <col min="14614" max="14614" width="7.875" style="2" customWidth="1"/>
    <col min="14615" max="14848" width="11" style="2"/>
    <col min="14849" max="14849" width="6.75" style="2" customWidth="1"/>
    <col min="14850" max="14853" width="9" style="2" customWidth="1"/>
    <col min="14854" max="14854" width="10.125" style="2" customWidth="1"/>
    <col min="14855" max="14855" width="11.25" style="2" customWidth="1"/>
    <col min="14856" max="14856" width="10.125" style="2" customWidth="1"/>
    <col min="14857" max="14859" width="9" style="2" customWidth="1"/>
    <col min="14860" max="14860" width="11.25" style="2" customWidth="1"/>
    <col min="14861" max="14861" width="9" style="2" customWidth="1"/>
    <col min="14862" max="14862" width="10.125" style="2" customWidth="1"/>
    <col min="14863" max="14866" width="9" style="2" customWidth="1"/>
    <col min="14867" max="14867" width="11.25" style="2" customWidth="1"/>
    <col min="14868" max="14868" width="10.125" style="2" customWidth="1"/>
    <col min="14869" max="14869" width="9" style="2" customWidth="1"/>
    <col min="14870" max="14870" width="7.875" style="2" customWidth="1"/>
    <col min="14871" max="15104" width="11" style="2"/>
    <col min="15105" max="15105" width="6.75" style="2" customWidth="1"/>
    <col min="15106" max="15109" width="9" style="2" customWidth="1"/>
    <col min="15110" max="15110" width="10.125" style="2" customWidth="1"/>
    <col min="15111" max="15111" width="11.25" style="2" customWidth="1"/>
    <col min="15112" max="15112" width="10.125" style="2" customWidth="1"/>
    <col min="15113" max="15115" width="9" style="2" customWidth="1"/>
    <col min="15116" max="15116" width="11.25" style="2" customWidth="1"/>
    <col min="15117" max="15117" width="9" style="2" customWidth="1"/>
    <col min="15118" max="15118" width="10.125" style="2" customWidth="1"/>
    <col min="15119" max="15122" width="9" style="2" customWidth="1"/>
    <col min="15123" max="15123" width="11.25" style="2" customWidth="1"/>
    <col min="15124" max="15124" width="10.125" style="2" customWidth="1"/>
    <col min="15125" max="15125" width="9" style="2" customWidth="1"/>
    <col min="15126" max="15126" width="7.875" style="2" customWidth="1"/>
    <col min="15127" max="15360" width="11" style="2"/>
    <col min="15361" max="15361" width="6.75" style="2" customWidth="1"/>
    <col min="15362" max="15365" width="9" style="2" customWidth="1"/>
    <col min="15366" max="15366" width="10.125" style="2" customWidth="1"/>
    <col min="15367" max="15367" width="11.25" style="2" customWidth="1"/>
    <col min="15368" max="15368" width="10.125" style="2" customWidth="1"/>
    <col min="15369" max="15371" width="9" style="2" customWidth="1"/>
    <col min="15372" max="15372" width="11.25" style="2" customWidth="1"/>
    <col min="15373" max="15373" width="9" style="2" customWidth="1"/>
    <col min="15374" max="15374" width="10.125" style="2" customWidth="1"/>
    <col min="15375" max="15378" width="9" style="2" customWidth="1"/>
    <col min="15379" max="15379" width="11.25" style="2" customWidth="1"/>
    <col min="15380" max="15380" width="10.125" style="2" customWidth="1"/>
    <col min="15381" max="15381" width="9" style="2" customWidth="1"/>
    <col min="15382" max="15382" width="7.875" style="2" customWidth="1"/>
    <col min="15383" max="15616" width="11" style="2"/>
    <col min="15617" max="15617" width="6.75" style="2" customWidth="1"/>
    <col min="15618" max="15621" width="9" style="2" customWidth="1"/>
    <col min="15622" max="15622" width="10.125" style="2" customWidth="1"/>
    <col min="15623" max="15623" width="11.25" style="2" customWidth="1"/>
    <col min="15624" max="15624" width="10.125" style="2" customWidth="1"/>
    <col min="15625" max="15627" width="9" style="2" customWidth="1"/>
    <col min="15628" max="15628" width="11.25" style="2" customWidth="1"/>
    <col min="15629" max="15629" width="9" style="2" customWidth="1"/>
    <col min="15630" max="15630" width="10.125" style="2" customWidth="1"/>
    <col min="15631" max="15634" width="9" style="2" customWidth="1"/>
    <col min="15635" max="15635" width="11.25" style="2" customWidth="1"/>
    <col min="15636" max="15636" width="10.125" style="2" customWidth="1"/>
    <col min="15637" max="15637" width="9" style="2" customWidth="1"/>
    <col min="15638" max="15638" width="7.875" style="2" customWidth="1"/>
    <col min="15639" max="15872" width="11" style="2"/>
    <col min="15873" max="15873" width="6.75" style="2" customWidth="1"/>
    <col min="15874" max="15877" width="9" style="2" customWidth="1"/>
    <col min="15878" max="15878" width="10.125" style="2" customWidth="1"/>
    <col min="15879" max="15879" width="11.25" style="2" customWidth="1"/>
    <col min="15880" max="15880" width="10.125" style="2" customWidth="1"/>
    <col min="15881" max="15883" width="9" style="2" customWidth="1"/>
    <col min="15884" max="15884" width="11.25" style="2" customWidth="1"/>
    <col min="15885" max="15885" width="9" style="2" customWidth="1"/>
    <col min="15886" max="15886" width="10.125" style="2" customWidth="1"/>
    <col min="15887" max="15890" width="9" style="2" customWidth="1"/>
    <col min="15891" max="15891" width="11.25" style="2" customWidth="1"/>
    <col min="15892" max="15892" width="10.125" style="2" customWidth="1"/>
    <col min="15893" max="15893" width="9" style="2" customWidth="1"/>
    <col min="15894" max="15894" width="7.875" style="2" customWidth="1"/>
    <col min="15895" max="16128" width="11" style="2"/>
    <col min="16129" max="16129" width="6.75" style="2" customWidth="1"/>
    <col min="16130" max="16133" width="9" style="2" customWidth="1"/>
    <col min="16134" max="16134" width="10.125" style="2" customWidth="1"/>
    <col min="16135" max="16135" width="11.25" style="2" customWidth="1"/>
    <col min="16136" max="16136" width="10.125" style="2" customWidth="1"/>
    <col min="16137" max="16139" width="9" style="2" customWidth="1"/>
    <col min="16140" max="16140" width="11.25" style="2" customWidth="1"/>
    <col min="16141" max="16141" width="9" style="2" customWidth="1"/>
    <col min="16142" max="16142" width="10.125" style="2" customWidth="1"/>
    <col min="16143" max="16146" width="9" style="2" customWidth="1"/>
    <col min="16147" max="16147" width="11.25" style="2" customWidth="1"/>
    <col min="16148" max="16148" width="10.125" style="2" customWidth="1"/>
    <col min="16149" max="16149" width="9" style="2" customWidth="1"/>
    <col min="16150" max="16150" width="7.875" style="2" customWidth="1"/>
    <col min="16151" max="16384" width="11" style="2"/>
  </cols>
  <sheetData>
    <row r="1" spans="1:41">
      <c r="A1" s="1"/>
      <c r="B1" s="1"/>
      <c r="C1" s="1"/>
      <c r="D1" s="1"/>
      <c r="E1" s="1"/>
      <c r="F1" s="1"/>
      <c r="G1" s="1"/>
      <c r="H1" s="1"/>
      <c r="I1" s="1"/>
      <c r="J1" s="1"/>
      <c r="K1" s="1"/>
      <c r="L1" s="1"/>
      <c r="M1" s="1"/>
      <c r="N1" s="1"/>
      <c r="O1" s="1"/>
      <c r="P1" s="1"/>
      <c r="Q1" s="1"/>
      <c r="R1" s="1"/>
      <c r="S1" s="1"/>
      <c r="T1" s="1"/>
      <c r="U1" s="1"/>
      <c r="V1" s="1"/>
      <c r="W1" s="1"/>
      <c r="X1" s="1"/>
      <c r="Y1" s="1"/>
      <c r="Z1" s="1"/>
      <c r="AI1" s="1"/>
      <c r="AJ1" s="1"/>
      <c r="AK1" s="1"/>
      <c r="AL1" s="1"/>
      <c r="AM1" s="1"/>
      <c r="AN1" s="1"/>
      <c r="AO1" s="1"/>
    </row>
    <row r="2" spans="1:41" ht="24.75">
      <c r="A2" s="1"/>
      <c r="B2" s="3" t="s">
        <v>0</v>
      </c>
      <c r="C2" s="4"/>
      <c r="D2" s="1"/>
      <c r="E2" s="1"/>
      <c r="F2" s="1"/>
      <c r="G2" s="1"/>
      <c r="H2" s="1"/>
      <c r="I2" s="1"/>
      <c r="J2" s="1"/>
      <c r="K2" s="1"/>
      <c r="L2" s="1"/>
      <c r="M2" s="1"/>
      <c r="N2" s="1"/>
      <c r="O2" s="1"/>
      <c r="P2" s="1"/>
      <c r="Q2" s="1"/>
      <c r="R2" s="1"/>
      <c r="S2" s="1"/>
      <c r="T2" s="1"/>
      <c r="U2" s="1"/>
      <c r="V2" s="1"/>
      <c r="W2" s="1"/>
      <c r="X2" s="1"/>
      <c r="Y2" s="1"/>
      <c r="Z2" s="1"/>
      <c r="AI2" s="1"/>
      <c r="AJ2" s="1"/>
      <c r="AK2" s="1"/>
      <c r="AL2" s="1"/>
      <c r="AM2" s="1"/>
      <c r="AN2" s="1"/>
      <c r="AO2" s="1"/>
    </row>
    <row r="3" spans="1:41" ht="13.5" thickBot="1">
      <c r="A3" s="1"/>
      <c r="B3" s="1"/>
      <c r="C3" s="1"/>
      <c r="D3" s="1"/>
      <c r="E3" s="1"/>
      <c r="F3" s="1"/>
      <c r="G3" s="1"/>
      <c r="H3" s="1"/>
      <c r="I3" s="1"/>
      <c r="J3" s="1"/>
      <c r="K3" s="1"/>
      <c r="L3" s="1"/>
      <c r="M3" s="1"/>
      <c r="N3" s="1"/>
      <c r="O3" s="1"/>
      <c r="P3" s="1"/>
      <c r="Q3" s="1"/>
      <c r="R3" s="1"/>
      <c r="S3" s="1"/>
      <c r="T3" s="1"/>
      <c r="U3" s="1"/>
      <c r="V3" s="1"/>
      <c r="W3" s="1"/>
      <c r="X3" s="1"/>
      <c r="Y3" s="1"/>
      <c r="Z3" s="1"/>
      <c r="AI3" s="1"/>
      <c r="AJ3" s="1"/>
      <c r="AK3" s="1"/>
      <c r="AL3" s="1"/>
      <c r="AM3" s="1"/>
      <c r="AN3" s="1"/>
      <c r="AO3" s="1"/>
    </row>
    <row r="4" spans="1:41" ht="16.5" thickTop="1">
      <c r="A4" s="5"/>
      <c r="B4" s="6">
        <v>150</v>
      </c>
      <c r="C4" s="6">
        <v>300</v>
      </c>
      <c r="D4" s="6">
        <v>600</v>
      </c>
      <c r="E4" s="6" t="s">
        <v>1</v>
      </c>
      <c r="F4" s="6" t="s">
        <v>2</v>
      </c>
      <c r="G4" s="6" t="s">
        <v>3</v>
      </c>
      <c r="H4" s="6" t="s">
        <v>4</v>
      </c>
      <c r="I4" s="6">
        <v>10</v>
      </c>
      <c r="J4" s="6">
        <v>20</v>
      </c>
      <c r="K4" s="6">
        <v>30</v>
      </c>
      <c r="L4" s="6">
        <v>40</v>
      </c>
      <c r="M4" s="6">
        <v>60</v>
      </c>
      <c r="N4" s="6">
        <v>80</v>
      </c>
      <c r="O4" s="6">
        <v>100</v>
      </c>
      <c r="P4" s="6">
        <v>120</v>
      </c>
      <c r="Q4" s="6">
        <v>140</v>
      </c>
      <c r="R4" s="6">
        <v>160</v>
      </c>
      <c r="S4" s="6" t="s">
        <v>5</v>
      </c>
      <c r="T4" s="6" t="s">
        <v>6</v>
      </c>
      <c r="U4" s="6" t="s">
        <v>7</v>
      </c>
      <c r="V4" s="7" t="s">
        <v>8</v>
      </c>
      <c r="W4" s="8"/>
      <c r="X4" s="9"/>
      <c r="Y4" s="9"/>
      <c r="Z4" s="1"/>
      <c r="AA4" s="1"/>
      <c r="AB4" s="1"/>
      <c r="AC4" s="1"/>
      <c r="AD4" s="1"/>
      <c r="AE4" s="1"/>
      <c r="AF4" s="1"/>
      <c r="AG4" s="1"/>
      <c r="AH4" s="1"/>
      <c r="AI4" s="1"/>
      <c r="AJ4" s="1"/>
      <c r="AK4" s="1"/>
      <c r="AL4" s="1"/>
      <c r="AM4" s="1"/>
      <c r="AN4" s="1"/>
      <c r="AO4" s="1"/>
    </row>
    <row r="5" spans="1:41" ht="15.75">
      <c r="A5" s="10">
        <v>0</v>
      </c>
      <c r="B5" s="11"/>
      <c r="C5" s="11"/>
      <c r="D5" s="11"/>
      <c r="E5" s="11"/>
      <c r="F5" s="11"/>
      <c r="G5" s="11"/>
      <c r="H5" s="11"/>
      <c r="I5" s="11"/>
      <c r="J5" s="11"/>
      <c r="K5" s="11"/>
      <c r="L5" s="11"/>
      <c r="M5" s="11"/>
      <c r="N5" s="11"/>
      <c r="O5" s="11"/>
      <c r="P5" s="11"/>
      <c r="Q5" s="11"/>
      <c r="R5" s="11"/>
      <c r="S5" s="11"/>
      <c r="T5" s="11"/>
      <c r="U5" s="11"/>
      <c r="V5" s="12"/>
      <c r="W5" s="13"/>
      <c r="X5" s="14"/>
      <c r="Y5" s="14"/>
      <c r="Z5" s="1"/>
      <c r="AA5" s="1"/>
      <c r="AB5" s="1"/>
      <c r="AC5" s="1"/>
      <c r="AD5" s="1"/>
      <c r="AE5" s="1"/>
      <c r="AF5" s="1"/>
      <c r="AG5" s="1"/>
      <c r="AH5" s="1"/>
      <c r="AI5" s="1"/>
      <c r="AJ5" s="1"/>
      <c r="AK5" s="1"/>
      <c r="AL5" s="1"/>
      <c r="AM5" s="1"/>
      <c r="AN5" s="1"/>
      <c r="AO5" s="1"/>
    </row>
    <row r="6" spans="1:41" ht="15.75">
      <c r="A6" s="10">
        <v>0.125</v>
      </c>
      <c r="B6" s="11" t="s">
        <v>9</v>
      </c>
      <c r="C6" s="11" t="s">
        <v>9</v>
      </c>
      <c r="D6" s="11" t="s">
        <v>9</v>
      </c>
      <c r="E6" s="11" t="s">
        <v>9</v>
      </c>
      <c r="F6" s="11">
        <v>7.7980000000000002E-3</v>
      </c>
      <c r="G6" s="11">
        <v>6.731E-3</v>
      </c>
      <c r="H6" s="11">
        <v>5.4609999999999997E-3</v>
      </c>
      <c r="I6" s="11"/>
      <c r="J6" s="11"/>
      <c r="K6" s="11"/>
      <c r="L6" s="11">
        <v>6.731E-3</v>
      </c>
      <c r="M6" s="11"/>
      <c r="N6" s="11">
        <v>5.4609999999999997E-3</v>
      </c>
      <c r="O6" s="11"/>
      <c r="P6" s="11"/>
      <c r="Q6" s="11"/>
      <c r="R6" s="11"/>
      <c r="S6" s="11">
        <v>6.8326000000000003E-3</v>
      </c>
      <c r="T6" s="11">
        <v>5.4609999999999997E-3</v>
      </c>
      <c r="U6" s="11"/>
      <c r="V6" s="12"/>
      <c r="W6" s="13"/>
      <c r="X6" s="14"/>
      <c r="Y6" s="14"/>
      <c r="Z6" s="1"/>
      <c r="AA6" s="1"/>
      <c r="AB6" s="1"/>
      <c r="AC6" s="1"/>
      <c r="AD6" s="1"/>
      <c r="AE6" s="1"/>
      <c r="AF6" s="1"/>
      <c r="AG6" s="1"/>
      <c r="AH6" s="1"/>
      <c r="AI6" s="1"/>
      <c r="AJ6" s="1"/>
      <c r="AK6" s="1"/>
      <c r="AL6" s="1"/>
      <c r="AM6" s="1"/>
      <c r="AN6" s="1"/>
      <c r="AO6" s="1"/>
    </row>
    <row r="7" spans="1:41" ht="15.75">
      <c r="A7" s="10">
        <v>0.25</v>
      </c>
      <c r="B7" s="11" t="s">
        <v>9</v>
      </c>
      <c r="C7" s="11" t="s">
        <v>9</v>
      </c>
      <c r="D7" s="11" t="s">
        <v>9</v>
      </c>
      <c r="E7" s="11" t="s">
        <v>9</v>
      </c>
      <c r="F7" s="11">
        <v>1.0414E-2</v>
      </c>
      <c r="G7" s="11">
        <v>9.2455999999999997E-3</v>
      </c>
      <c r="H7" s="11">
        <v>7.6709999999999999E-3</v>
      </c>
      <c r="I7" s="11"/>
      <c r="J7" s="11"/>
      <c r="K7" s="11"/>
      <c r="L7" s="11">
        <v>9.2455999999999997E-3</v>
      </c>
      <c r="M7" s="11"/>
      <c r="N7" s="11">
        <v>7.6709999999999999E-3</v>
      </c>
      <c r="O7" s="11"/>
      <c r="P7" s="11"/>
      <c r="Q7" s="11"/>
      <c r="R7" s="11" t="e">
        <f>NA()</f>
        <v>#N/A</v>
      </c>
      <c r="S7" s="11">
        <v>9.2455999999999997E-3</v>
      </c>
      <c r="T7" s="11">
        <v>7.6709999999999999E-3</v>
      </c>
      <c r="U7" s="11" t="e">
        <f>NA()</f>
        <v>#N/A</v>
      </c>
      <c r="V7" s="12" t="e">
        <f>NA()</f>
        <v>#N/A</v>
      </c>
      <c r="W7" s="13"/>
      <c r="X7" s="14"/>
      <c r="Y7" s="14"/>
      <c r="Z7" s="1"/>
      <c r="AA7" s="1"/>
      <c r="AB7" s="1"/>
      <c r="AC7" s="1"/>
      <c r="AD7" s="1"/>
      <c r="AE7" s="1"/>
      <c r="AF7" s="1"/>
      <c r="AG7" s="1"/>
      <c r="AH7" s="1"/>
      <c r="AI7" s="1"/>
      <c r="AJ7" s="1"/>
      <c r="AK7" s="1"/>
      <c r="AL7" s="1"/>
      <c r="AM7" s="1"/>
      <c r="AN7" s="1"/>
      <c r="AO7" s="1"/>
    </row>
    <row r="8" spans="1:41" ht="15.75">
      <c r="A8" s="10">
        <v>0.5</v>
      </c>
      <c r="B8" s="11">
        <v>1.387E-2</v>
      </c>
      <c r="C8" s="11">
        <v>1.387E-2</v>
      </c>
      <c r="D8" s="11">
        <v>1.387E-2</v>
      </c>
      <c r="E8" s="11">
        <v>1.8030000000000001E-2</v>
      </c>
      <c r="F8" s="11">
        <v>1.712E-2</v>
      </c>
      <c r="G8" s="11">
        <v>1.5800000000000002E-2</v>
      </c>
      <c r="H8" s="11">
        <v>1.387E-2</v>
      </c>
      <c r="I8" s="11"/>
      <c r="J8" s="11"/>
      <c r="K8" s="11"/>
      <c r="L8" s="11">
        <v>1.5800000000000002E-2</v>
      </c>
      <c r="M8" s="11"/>
      <c r="N8" s="11">
        <v>1.387E-2</v>
      </c>
      <c r="O8" s="11"/>
      <c r="P8" s="11"/>
      <c r="Q8" s="11"/>
      <c r="R8" s="11">
        <v>1.184E-2</v>
      </c>
      <c r="S8" s="11">
        <v>1.5800000000000002E-2</v>
      </c>
      <c r="T8" s="11">
        <v>1.387E-2</v>
      </c>
      <c r="U8" s="11">
        <v>6.4000000000000003E-3</v>
      </c>
      <c r="V8" s="12">
        <v>1.5800000000000002E-2</v>
      </c>
      <c r="W8" s="8"/>
      <c r="X8" s="9"/>
      <c r="Y8" s="9"/>
      <c r="Z8" s="1"/>
      <c r="AA8" s="1"/>
      <c r="AB8" s="1"/>
      <c r="AC8" s="1"/>
      <c r="AD8" s="1"/>
      <c r="AE8" s="1"/>
      <c r="AF8" s="1"/>
      <c r="AG8" s="1"/>
      <c r="AH8" s="1"/>
      <c r="AI8" s="1"/>
      <c r="AJ8" s="1"/>
      <c r="AK8" s="1"/>
      <c r="AL8" s="1"/>
      <c r="AM8" s="1"/>
      <c r="AN8" s="1"/>
      <c r="AO8" s="1"/>
    </row>
    <row r="9" spans="1:41" ht="15.75">
      <c r="A9" s="10">
        <v>0.75</v>
      </c>
      <c r="B9" s="11">
        <v>1.8850000000000002E-2</v>
      </c>
      <c r="C9" s="11">
        <v>1.8850000000000002E-2</v>
      </c>
      <c r="D9" s="11">
        <v>1.8850000000000002E-2</v>
      </c>
      <c r="E9" s="11">
        <v>2.3369999999999998E-2</v>
      </c>
      <c r="F9" s="11">
        <v>2.2450000000000001E-2</v>
      </c>
      <c r="G9" s="11">
        <v>2.0930000000000001E-2</v>
      </c>
      <c r="H9" s="11">
        <v>1.8850000000000002E-2</v>
      </c>
      <c r="I9" s="11"/>
      <c r="J9" s="11"/>
      <c r="K9" s="11"/>
      <c r="L9" s="11">
        <v>2.0930000000000001E-2</v>
      </c>
      <c r="M9" s="11"/>
      <c r="N9" s="11">
        <v>1.8850000000000002E-2</v>
      </c>
      <c r="O9" s="11"/>
      <c r="P9" s="11"/>
      <c r="Q9" s="11"/>
      <c r="R9" s="11">
        <v>1.5600000000000001E-2</v>
      </c>
      <c r="S9" s="11">
        <v>2.0930000000000001E-2</v>
      </c>
      <c r="T9" s="11">
        <v>1.8850000000000002E-2</v>
      </c>
      <c r="U9" s="11">
        <v>1.102E-2</v>
      </c>
      <c r="V9" s="12">
        <v>2.0900000000000002E-2</v>
      </c>
      <c r="W9" s="8"/>
      <c r="X9" s="9"/>
      <c r="Y9" s="9"/>
      <c r="Z9" s="1"/>
      <c r="AA9" s="1"/>
      <c r="AB9" s="1"/>
      <c r="AC9" s="1"/>
      <c r="AD9" s="1"/>
      <c r="AE9" s="1"/>
      <c r="AF9" s="1"/>
      <c r="AG9" s="1"/>
      <c r="AH9" s="1"/>
      <c r="AI9" s="1"/>
      <c r="AJ9" s="1"/>
      <c r="AK9" s="1"/>
      <c r="AL9" s="1"/>
      <c r="AM9" s="1"/>
      <c r="AN9" s="1"/>
      <c r="AO9" s="1"/>
    </row>
    <row r="10" spans="1:41" ht="15.75">
      <c r="A10" s="10">
        <v>1</v>
      </c>
      <c r="B10" s="11">
        <v>2.4309999999999998E-2</v>
      </c>
      <c r="C10" s="11">
        <v>2.4309999999999998E-2</v>
      </c>
      <c r="D10" s="11">
        <v>2.4309999999999998E-2</v>
      </c>
      <c r="E10" s="11">
        <v>3.0100000000000002E-2</v>
      </c>
      <c r="F10" s="11">
        <v>2.7859999999999999E-2</v>
      </c>
      <c r="G10" s="11">
        <v>2.664E-2</v>
      </c>
      <c r="H10" s="11">
        <v>2.4309999999999998E-2</v>
      </c>
      <c r="I10" s="11"/>
      <c r="J10" s="11"/>
      <c r="K10" s="11"/>
      <c r="L10" s="11">
        <v>2.664E-2</v>
      </c>
      <c r="M10" s="11"/>
      <c r="N10" s="11">
        <v>2.4309999999999998E-2</v>
      </c>
      <c r="O10" s="11"/>
      <c r="P10" s="11"/>
      <c r="Q10" s="11"/>
      <c r="R10" s="11">
        <v>2.07E-2</v>
      </c>
      <c r="S10" s="11">
        <v>2.664E-2</v>
      </c>
      <c r="T10" s="11">
        <v>2.4309999999999998E-2</v>
      </c>
      <c r="U10" s="11">
        <v>1.521E-2</v>
      </c>
      <c r="V10" s="12">
        <v>2.6600000000000002E-2</v>
      </c>
      <c r="W10" s="8"/>
      <c r="X10" s="9"/>
      <c r="Y10" s="9"/>
      <c r="Z10" s="1"/>
      <c r="AA10" s="1"/>
      <c r="AB10" s="1"/>
      <c r="AC10" s="1"/>
      <c r="AD10" s="1"/>
      <c r="AE10" s="1"/>
      <c r="AF10" s="1"/>
      <c r="AG10" s="1"/>
      <c r="AH10" s="1"/>
      <c r="AI10" s="1"/>
      <c r="AJ10" s="1"/>
      <c r="AK10" s="1"/>
      <c r="AL10" s="1"/>
      <c r="AM10" s="1"/>
      <c r="AN10" s="1"/>
      <c r="AO10" s="1"/>
    </row>
    <row r="11" spans="1:41" ht="15.75">
      <c r="A11" s="10">
        <v>1.25</v>
      </c>
      <c r="B11" s="11">
        <v>3.2460000000000003E-2</v>
      </c>
      <c r="C11" s="11">
        <v>3.2460000000000003E-2</v>
      </c>
      <c r="D11" s="11">
        <v>3.2460000000000003E-2</v>
      </c>
      <c r="E11" s="11" t="e">
        <f>NA()</f>
        <v>#N/A</v>
      </c>
      <c r="F11" s="11" t="e">
        <f>NA()</f>
        <v>#N/A</v>
      </c>
      <c r="G11" s="11" t="e">
        <f>NA()</f>
        <v>#N/A</v>
      </c>
      <c r="H11" s="11" t="e">
        <f>NA()</f>
        <v>#N/A</v>
      </c>
      <c r="I11" s="11"/>
      <c r="J11" s="11"/>
      <c r="K11" s="11"/>
      <c r="L11" s="11" t="e">
        <f>NA()</f>
        <v>#N/A</v>
      </c>
      <c r="M11" s="11"/>
      <c r="N11" s="11" t="e">
        <f>NA()</f>
        <v>#N/A</v>
      </c>
      <c r="O11" s="11"/>
      <c r="P11" s="11"/>
      <c r="Q11" s="11"/>
      <c r="R11" s="11" t="e">
        <f>NA()</f>
        <v>#N/A</v>
      </c>
      <c r="S11" s="11" t="e">
        <f>NA()</f>
        <v>#N/A</v>
      </c>
      <c r="T11" s="11" t="e">
        <f>NA()</f>
        <v>#N/A</v>
      </c>
      <c r="U11" s="11" t="e">
        <f>NA()</f>
        <v>#N/A</v>
      </c>
      <c r="V11" s="12">
        <v>3.5099999999999999E-2</v>
      </c>
      <c r="W11" s="8"/>
      <c r="X11" s="9"/>
      <c r="Y11" s="9"/>
      <c r="Z11" s="1"/>
      <c r="AA11" s="1"/>
      <c r="AB11" s="1"/>
      <c r="AC11" s="1"/>
      <c r="AD11" s="1"/>
      <c r="AE11" s="1"/>
      <c r="AF11" s="1"/>
      <c r="AG11" s="1"/>
      <c r="AH11" s="1"/>
      <c r="AI11" s="1"/>
      <c r="AJ11" s="1"/>
      <c r="AK11" s="1"/>
      <c r="AL11" s="1"/>
      <c r="AM11" s="1"/>
      <c r="AN11" s="1"/>
      <c r="AO11" s="1"/>
    </row>
    <row r="12" spans="1:41" ht="15.75">
      <c r="A12" s="10">
        <v>1.5</v>
      </c>
      <c r="B12" s="11">
        <v>3.8100000000000002E-2</v>
      </c>
      <c r="C12" s="11">
        <v>3.8100000000000002E-2</v>
      </c>
      <c r="D12" s="11">
        <v>3.8100000000000002E-2</v>
      </c>
      <c r="E12" s="11">
        <v>4.496E-2</v>
      </c>
      <c r="F12" s="11">
        <v>4.2720000000000001E-2</v>
      </c>
      <c r="G12" s="11">
        <v>4.0890000000000003E-2</v>
      </c>
      <c r="H12" s="11">
        <v>3.8100000000000002E-2</v>
      </c>
      <c r="I12" s="11"/>
      <c r="J12" s="11"/>
      <c r="K12" s="11"/>
      <c r="L12" s="11">
        <v>4.0890000000000003E-2</v>
      </c>
      <c r="M12" s="11"/>
      <c r="N12" s="11">
        <v>3.8100000000000002E-2</v>
      </c>
      <c r="O12" s="11"/>
      <c r="P12" s="11"/>
      <c r="Q12" s="11"/>
      <c r="R12" s="11">
        <v>3.3989999999999999E-2</v>
      </c>
      <c r="S12" s="11">
        <v>4.0890000000000003E-2</v>
      </c>
      <c r="T12" s="11">
        <v>3.8100000000000002E-2</v>
      </c>
      <c r="U12" s="11">
        <v>2.794E-2</v>
      </c>
      <c r="V12" s="12">
        <v>4.0899999999999999E-2</v>
      </c>
      <c r="W12" s="8"/>
      <c r="X12" s="9"/>
      <c r="Y12" s="9"/>
      <c r="Z12" s="1"/>
      <c r="AA12" s="1"/>
      <c r="AB12" s="1"/>
      <c r="AC12" s="1"/>
      <c r="AD12" s="1"/>
      <c r="AE12" s="1"/>
      <c r="AF12" s="1"/>
      <c r="AG12" s="1"/>
      <c r="AH12" s="1"/>
      <c r="AI12" s="1"/>
      <c r="AJ12" s="1"/>
      <c r="AK12" s="1"/>
      <c r="AL12" s="1"/>
      <c r="AM12" s="1"/>
      <c r="AN12" s="1"/>
      <c r="AO12" s="1"/>
    </row>
    <row r="13" spans="1:41" ht="15.75">
      <c r="A13" s="10">
        <v>2</v>
      </c>
      <c r="B13" s="11">
        <v>5.2499999999999998E-2</v>
      </c>
      <c r="C13" s="11">
        <v>5.2499999999999998E-2</v>
      </c>
      <c r="D13" s="11">
        <v>4.9250000000000002E-2</v>
      </c>
      <c r="E13" s="11">
        <v>5.7020000000000001E-2</v>
      </c>
      <c r="F13" s="11">
        <v>5.4789999999999998E-2</v>
      </c>
      <c r="G13" s="11">
        <v>5.2499999999999998E-2</v>
      </c>
      <c r="H13" s="11">
        <v>4.9250000000000002E-2</v>
      </c>
      <c r="I13" s="11"/>
      <c r="J13" s="11"/>
      <c r="K13" s="11"/>
      <c r="L13" s="11">
        <v>5.2499999999999998E-2</v>
      </c>
      <c r="M13" s="11"/>
      <c r="N13" s="11">
        <v>4.9250000000000002E-2</v>
      </c>
      <c r="O13" s="11"/>
      <c r="P13" s="11"/>
      <c r="Q13" s="11"/>
      <c r="R13" s="11">
        <v>4.2900000000000001E-2</v>
      </c>
      <c r="S13" s="11">
        <v>5.2499999999999998E-2</v>
      </c>
      <c r="T13" s="11">
        <v>4.9250000000000002E-2</v>
      </c>
      <c r="U13" s="11">
        <v>3.8179999999999999E-2</v>
      </c>
      <c r="V13" s="12">
        <v>5.2499999999999998E-2</v>
      </c>
      <c r="W13" s="8"/>
      <c r="X13" s="9"/>
      <c r="Y13" s="9"/>
      <c r="Z13" s="1"/>
      <c r="AA13" s="1"/>
      <c r="AB13" s="1"/>
      <c r="AC13" s="1"/>
      <c r="AD13" s="1"/>
      <c r="AE13" s="1"/>
      <c r="AF13" s="1"/>
      <c r="AG13" s="1"/>
      <c r="AH13" s="1"/>
      <c r="AI13" s="1"/>
      <c r="AJ13" s="1"/>
      <c r="AK13" s="1"/>
      <c r="AL13" s="1"/>
      <c r="AM13" s="1"/>
      <c r="AN13" s="1"/>
      <c r="AO13" s="1"/>
    </row>
    <row r="14" spans="1:41" ht="15.75">
      <c r="A14" s="10">
        <v>2.5</v>
      </c>
      <c r="B14" s="11">
        <v>6.2710000000000002E-2</v>
      </c>
      <c r="C14" s="11">
        <v>6.2710000000000002E-2</v>
      </c>
      <c r="D14" s="11">
        <v>5.9000000000000004E-2</v>
      </c>
      <c r="E14" s="11">
        <v>6.8809999999999996E-2</v>
      </c>
      <c r="F14" s="11">
        <v>6.6930000000000003E-2</v>
      </c>
      <c r="G14" s="11">
        <v>6.2710000000000002E-2</v>
      </c>
      <c r="H14" s="11">
        <v>5.9000000000000004E-2</v>
      </c>
      <c r="I14" s="11"/>
      <c r="J14" s="11"/>
      <c r="K14" s="11"/>
      <c r="L14" s="11">
        <v>6.2710000000000002E-2</v>
      </c>
      <c r="M14" s="11"/>
      <c r="N14" s="11">
        <v>5.9000000000000004E-2</v>
      </c>
      <c r="O14" s="11"/>
      <c r="P14" s="11"/>
      <c r="Q14" s="11"/>
      <c r="R14" s="11">
        <v>5.3969999999999997E-2</v>
      </c>
      <c r="S14" s="11">
        <v>6.2710000000000002E-2</v>
      </c>
      <c r="T14" s="11">
        <v>5.9000000000000004E-2</v>
      </c>
      <c r="U14" s="11">
        <v>4.4979999999999999E-2</v>
      </c>
      <c r="V14" s="12">
        <v>6.2700000000000006E-2</v>
      </c>
      <c r="W14" s="8"/>
      <c r="X14" s="9"/>
      <c r="Y14" s="9"/>
      <c r="Z14" s="1"/>
      <c r="AA14" s="1"/>
      <c r="AB14" s="1"/>
      <c r="AC14" s="1"/>
      <c r="AD14" s="1"/>
      <c r="AE14" s="1"/>
      <c r="AF14" s="1"/>
      <c r="AG14" s="1"/>
      <c r="AH14" s="1"/>
      <c r="AI14" s="1"/>
      <c r="AJ14" s="1"/>
      <c r="AK14" s="1"/>
      <c r="AL14" s="1"/>
      <c r="AM14" s="1"/>
      <c r="AN14" s="1"/>
      <c r="AO14" s="1"/>
    </row>
    <row r="15" spans="1:41" ht="15.75">
      <c r="A15" s="10">
        <v>3</v>
      </c>
      <c r="B15" s="11">
        <v>7.7929999999999999E-2</v>
      </c>
      <c r="C15" s="11">
        <v>7.7929999999999999E-2</v>
      </c>
      <c r="D15" s="11">
        <v>7.3660000000000003E-2</v>
      </c>
      <c r="E15" s="11">
        <v>8.4680000000000005E-2</v>
      </c>
      <c r="F15" s="11">
        <v>8.2799999999999999E-2</v>
      </c>
      <c r="G15" s="11">
        <v>7.7929999999999999E-2</v>
      </c>
      <c r="H15" s="11">
        <v>7.3660000000000003E-2</v>
      </c>
      <c r="I15" s="11"/>
      <c r="J15" s="11"/>
      <c r="K15" s="11"/>
      <c r="L15" s="11">
        <v>7.7929999999999999E-2</v>
      </c>
      <c r="M15" s="11"/>
      <c r="N15" s="11">
        <v>7.3660000000000003E-2</v>
      </c>
      <c r="O15" s="11"/>
      <c r="P15" s="11"/>
      <c r="Q15" s="11"/>
      <c r="R15" s="11">
        <v>6.6650000000000001E-2</v>
      </c>
      <c r="S15" s="11">
        <v>7.7929999999999999E-2</v>
      </c>
      <c r="T15" s="11">
        <v>7.3660000000000003E-2</v>
      </c>
      <c r="U15" s="11">
        <v>5.842E-2</v>
      </c>
      <c r="V15" s="12">
        <v>7.7899999999999997E-2</v>
      </c>
      <c r="W15" s="8"/>
      <c r="X15" s="9"/>
      <c r="Y15" s="9"/>
      <c r="Z15" s="1"/>
      <c r="AA15" s="1"/>
      <c r="AB15" s="1"/>
      <c r="AC15" s="1"/>
      <c r="AD15" s="1"/>
      <c r="AE15" s="1"/>
      <c r="AF15" s="1"/>
      <c r="AG15" s="1"/>
      <c r="AH15" s="1"/>
      <c r="AI15" s="1"/>
      <c r="AJ15" s="1"/>
      <c r="AK15" s="1"/>
      <c r="AL15" s="1"/>
      <c r="AM15" s="1"/>
      <c r="AN15" s="1"/>
      <c r="AO15" s="1"/>
    </row>
    <row r="16" spans="1:41" ht="15.75">
      <c r="A16" s="10">
        <v>3.5</v>
      </c>
      <c r="B16" s="11">
        <v>9.0120000000000006E-2</v>
      </c>
      <c r="C16" s="11">
        <v>9.0120000000000006E-2</v>
      </c>
      <c r="D16" s="11">
        <v>8.5449999999999998E-2</v>
      </c>
      <c r="E16" s="11" t="e">
        <f>NA()</f>
        <v>#N/A</v>
      </c>
      <c r="F16" s="11" t="e">
        <f>NA()</f>
        <v>#N/A</v>
      </c>
      <c r="G16" s="11" t="e">
        <f>NA()</f>
        <v>#N/A</v>
      </c>
      <c r="H16" s="11" t="e">
        <f>NA()</f>
        <v>#N/A</v>
      </c>
      <c r="I16" s="11"/>
      <c r="J16" s="11"/>
      <c r="K16" s="11"/>
      <c r="L16" s="11" t="e">
        <f>NA()</f>
        <v>#N/A</v>
      </c>
      <c r="M16" s="11"/>
      <c r="N16" s="11" t="e">
        <f>NA()</f>
        <v>#N/A</v>
      </c>
      <c r="O16" s="11"/>
      <c r="P16" s="11" t="e">
        <f>NA()</f>
        <v>#N/A</v>
      </c>
      <c r="Q16" s="11"/>
      <c r="R16" s="11"/>
      <c r="S16" s="11" t="e">
        <f>NA()</f>
        <v>#N/A</v>
      </c>
      <c r="T16" s="11" t="e">
        <f>NA()</f>
        <v>#N/A</v>
      </c>
      <c r="U16" s="11" t="e">
        <f>NA()</f>
        <v>#N/A</v>
      </c>
      <c r="V16" s="12">
        <v>9.01E-2</v>
      </c>
      <c r="W16" s="8"/>
      <c r="X16" s="9"/>
      <c r="Y16" s="9"/>
      <c r="Z16" s="1"/>
      <c r="AA16" s="1"/>
      <c r="AB16" s="1"/>
      <c r="AC16" s="1"/>
      <c r="AD16" s="1"/>
      <c r="AE16" s="1"/>
      <c r="AF16" s="1"/>
      <c r="AG16" s="1"/>
      <c r="AH16" s="1"/>
      <c r="AI16" s="1"/>
      <c r="AJ16" s="1"/>
      <c r="AK16" s="1"/>
      <c r="AL16" s="1"/>
      <c r="AM16" s="1"/>
      <c r="AN16" s="1"/>
      <c r="AO16" s="1"/>
    </row>
    <row r="17" spans="1:41" ht="15.75">
      <c r="A17" s="10">
        <v>4</v>
      </c>
      <c r="B17" s="11">
        <v>0.10226</v>
      </c>
      <c r="C17" s="11">
        <v>0.10226</v>
      </c>
      <c r="D17" s="11">
        <v>9.7180000000000002E-2</v>
      </c>
      <c r="E17" s="11">
        <v>0.11008</v>
      </c>
      <c r="F17" s="11">
        <v>0.1082</v>
      </c>
      <c r="G17" s="11">
        <v>0.10226</v>
      </c>
      <c r="H17" s="11">
        <v>9.7180000000000002E-2</v>
      </c>
      <c r="I17" s="11"/>
      <c r="J17" s="11"/>
      <c r="K17" s="11"/>
      <c r="L17" s="11">
        <v>0.10226</v>
      </c>
      <c r="M17" s="11"/>
      <c r="N17" s="11">
        <v>9.7180000000000002E-2</v>
      </c>
      <c r="O17" s="11"/>
      <c r="P17" s="11">
        <v>9.2050000000000007E-2</v>
      </c>
      <c r="Q17" s="11"/>
      <c r="R17" s="11">
        <v>8.7330000000000005E-2</v>
      </c>
      <c r="S17" s="11">
        <v>0.10226</v>
      </c>
      <c r="T17" s="11">
        <v>9.7180000000000002E-2</v>
      </c>
      <c r="U17" s="11">
        <v>8.0060000000000006E-2</v>
      </c>
      <c r="V17" s="12">
        <v>0.1023</v>
      </c>
      <c r="W17" s="8"/>
      <c r="X17" s="9"/>
      <c r="Y17" s="9"/>
      <c r="Z17" s="1"/>
      <c r="AA17" s="1"/>
      <c r="AB17" s="1"/>
      <c r="AC17" s="1"/>
      <c r="AD17" s="1"/>
      <c r="AE17" s="1"/>
      <c r="AF17" s="1"/>
      <c r="AG17" s="1"/>
      <c r="AH17" s="1"/>
      <c r="AI17" s="1"/>
      <c r="AJ17" s="1"/>
      <c r="AK17" s="1"/>
      <c r="AL17" s="1"/>
      <c r="AM17" s="1"/>
      <c r="AN17" s="1"/>
      <c r="AO17" s="1"/>
    </row>
    <row r="18" spans="1:41" ht="15.75">
      <c r="A18" s="10">
        <v>5</v>
      </c>
      <c r="B18" s="11">
        <v>0.12819</v>
      </c>
      <c r="C18" s="11">
        <v>0.12819</v>
      </c>
      <c r="D18" s="11">
        <v>0.12225</v>
      </c>
      <c r="E18" s="11">
        <v>0.13575999999999999</v>
      </c>
      <c r="F18" s="11" t="e">
        <f>NA()</f>
        <v>#N/A</v>
      </c>
      <c r="G18" s="11" t="e">
        <f>NA()</f>
        <v>#N/A</v>
      </c>
      <c r="H18" s="11" t="e">
        <f>NA()</f>
        <v>#N/A</v>
      </c>
      <c r="I18" s="11"/>
      <c r="J18" s="11"/>
      <c r="K18" s="11"/>
      <c r="L18" s="11" t="e">
        <f>NA()</f>
        <v>#N/A</v>
      </c>
      <c r="M18" s="11"/>
      <c r="N18" s="11" t="e">
        <f>NA()</f>
        <v>#N/A</v>
      </c>
      <c r="O18" s="11"/>
      <c r="P18" s="11" t="e">
        <f>NA()</f>
        <v>#N/A</v>
      </c>
      <c r="Q18" s="11"/>
      <c r="R18" s="11"/>
      <c r="S18" s="11" t="e">
        <f>NA()</f>
        <v>#N/A</v>
      </c>
      <c r="T18" s="11" t="e">
        <f>NA()</f>
        <v>#N/A</v>
      </c>
      <c r="U18" s="11" t="e">
        <f>NA()</f>
        <v>#N/A</v>
      </c>
      <c r="V18" s="12">
        <v>0.12820000000000001</v>
      </c>
      <c r="W18" s="8"/>
      <c r="X18" s="9"/>
      <c r="Y18" s="9"/>
      <c r="Z18" s="1"/>
      <c r="AA18" s="1"/>
      <c r="AB18" s="1"/>
      <c r="AC18" s="1"/>
      <c r="AD18" s="1"/>
      <c r="AE18" s="1"/>
      <c r="AF18" s="1"/>
      <c r="AG18" s="1"/>
      <c r="AH18" s="1"/>
      <c r="AI18" s="1"/>
      <c r="AJ18" s="1"/>
      <c r="AK18" s="1"/>
      <c r="AL18" s="1"/>
      <c r="AM18" s="1"/>
      <c r="AN18" s="1"/>
      <c r="AO18" s="1"/>
    </row>
    <row r="19" spans="1:41" ht="15.75">
      <c r="A19" s="10">
        <v>6</v>
      </c>
      <c r="B19" s="11">
        <v>0.15404999999999999</v>
      </c>
      <c r="C19" s="11">
        <v>0.15404999999999999</v>
      </c>
      <c r="D19" s="11">
        <v>0.14632999999999999</v>
      </c>
      <c r="E19" s="11">
        <v>0.16274</v>
      </c>
      <c r="F19" s="11">
        <v>0.16147</v>
      </c>
      <c r="G19" s="11">
        <v>0.15404999999999999</v>
      </c>
      <c r="H19" s="11">
        <v>0.14632999999999999</v>
      </c>
      <c r="I19" s="11"/>
      <c r="J19" s="11" t="e">
        <f>NA()</f>
        <v>#N/A</v>
      </c>
      <c r="K19" s="11" t="e">
        <f>NA()</f>
        <v>#N/A</v>
      </c>
      <c r="L19" s="11">
        <v>0.15404999999999999</v>
      </c>
      <c r="M19" s="11" t="e">
        <f>NA()</f>
        <v>#N/A</v>
      </c>
      <c r="N19" s="11">
        <v>0.14632999999999999</v>
      </c>
      <c r="O19" s="11" t="e">
        <f>NA()</f>
        <v>#N/A</v>
      </c>
      <c r="P19" s="11">
        <v>0.13972999999999999</v>
      </c>
      <c r="Q19" s="11"/>
      <c r="R19" s="11">
        <v>0.1318</v>
      </c>
      <c r="S19" s="11">
        <v>0.15404999999999999</v>
      </c>
      <c r="T19" s="11">
        <v>0.14632999999999999</v>
      </c>
      <c r="U19" s="11">
        <v>0.12438</v>
      </c>
      <c r="V19" s="12">
        <v>0.15409999999999999</v>
      </c>
      <c r="W19" s="8"/>
      <c r="X19" s="9"/>
      <c r="Y19" s="9"/>
      <c r="Z19" s="1"/>
      <c r="AA19" s="1"/>
      <c r="AB19" s="1"/>
      <c r="AC19" s="1"/>
      <c r="AD19" s="1"/>
      <c r="AE19" s="1"/>
      <c r="AF19" s="1"/>
      <c r="AG19" s="1"/>
      <c r="AH19" s="1"/>
      <c r="AI19" s="1"/>
      <c r="AJ19" s="1"/>
      <c r="AK19" s="1"/>
      <c r="AL19" s="1"/>
      <c r="AM19" s="1"/>
      <c r="AN19" s="1"/>
      <c r="AO19" s="1"/>
    </row>
    <row r="20" spans="1:41" ht="15.75">
      <c r="A20" s="10">
        <v>8</v>
      </c>
      <c r="B20" s="11">
        <v>0.20499999999999999</v>
      </c>
      <c r="C20" s="11">
        <v>0.20499999999999999</v>
      </c>
      <c r="D20" s="11">
        <v>0.19367999999999999</v>
      </c>
      <c r="E20" s="11">
        <v>0.21354000000000001</v>
      </c>
      <c r="F20" s="11">
        <v>0.21156</v>
      </c>
      <c r="G20" s="11">
        <v>0.20272000000000001</v>
      </c>
      <c r="H20" s="11">
        <v>0.19367000000000001</v>
      </c>
      <c r="I20" s="11"/>
      <c r="J20" s="11">
        <v>0.20637</v>
      </c>
      <c r="K20" s="11">
        <v>0.20499999999999999</v>
      </c>
      <c r="L20" s="11">
        <v>0.20272000000000001</v>
      </c>
      <c r="M20" s="11">
        <v>0.19844999999999999</v>
      </c>
      <c r="N20" s="11">
        <v>0.19367000000000001</v>
      </c>
      <c r="O20" s="11">
        <v>0.18895000000000001</v>
      </c>
      <c r="P20" s="11">
        <v>0.18260000000000001</v>
      </c>
      <c r="Q20" s="11"/>
      <c r="R20" s="11">
        <v>0.17305000000000001</v>
      </c>
      <c r="S20" s="11">
        <v>0.20272000000000001</v>
      </c>
      <c r="T20" s="11">
        <v>0.19367000000000001</v>
      </c>
      <c r="U20" s="11">
        <v>0.17462</v>
      </c>
      <c r="V20" s="12">
        <v>0.20269999999999999</v>
      </c>
      <c r="W20" s="8"/>
      <c r="X20" s="9"/>
      <c r="Y20" s="9"/>
      <c r="Z20" s="1"/>
      <c r="AA20" s="1"/>
      <c r="AB20" s="1"/>
      <c r="AC20" s="1"/>
      <c r="AD20" s="1"/>
      <c r="AE20" s="1"/>
      <c r="AF20" s="1"/>
      <c r="AG20" s="1"/>
      <c r="AH20" s="1"/>
      <c r="AI20" s="1"/>
      <c r="AJ20" s="1"/>
      <c r="AK20" s="1"/>
      <c r="AL20" s="1"/>
      <c r="AM20" s="1"/>
      <c r="AN20" s="1"/>
      <c r="AO20" s="1"/>
    </row>
    <row r="21" spans="1:41" ht="15.75">
      <c r="A21" s="10">
        <v>10</v>
      </c>
      <c r="B21" s="11">
        <v>0.25745000000000001</v>
      </c>
      <c r="C21" s="11">
        <v>0.25745000000000001</v>
      </c>
      <c r="D21" s="11">
        <v>0.24765000000000001</v>
      </c>
      <c r="E21" s="11">
        <v>0.26623999999999998</v>
      </c>
      <c r="F21" s="11">
        <v>0.26467000000000002</v>
      </c>
      <c r="G21" s="11">
        <v>0.25451000000000001</v>
      </c>
      <c r="H21" s="11">
        <v>0.24765000000000001</v>
      </c>
      <c r="I21" s="11"/>
      <c r="J21" s="11">
        <v>0.26035000000000003</v>
      </c>
      <c r="K21" s="11">
        <v>0.25745000000000001</v>
      </c>
      <c r="L21" s="11">
        <v>0.25451000000000001</v>
      </c>
      <c r="M21" s="11" t="e">
        <f>NA()</f>
        <v>#N/A</v>
      </c>
      <c r="N21" s="11">
        <v>0.24765000000000001</v>
      </c>
      <c r="O21" s="11">
        <v>0.23658000000000001</v>
      </c>
      <c r="P21" s="11">
        <v>0.23022999999999999</v>
      </c>
      <c r="Q21" s="11">
        <v>0.22225</v>
      </c>
      <c r="R21" s="11">
        <v>0.21590000000000001</v>
      </c>
      <c r="S21" s="11">
        <v>0.25451000000000001</v>
      </c>
      <c r="T21" s="11">
        <v>0.24765000000000001</v>
      </c>
      <c r="U21" s="11">
        <v>0.22225</v>
      </c>
      <c r="V21" s="12">
        <v>0.2545</v>
      </c>
      <c r="W21" s="8"/>
      <c r="X21" s="9"/>
      <c r="Y21" s="9"/>
      <c r="Z21" s="1"/>
      <c r="AA21" s="1"/>
      <c r="AB21" s="420"/>
      <c r="AC21" s="1"/>
      <c r="AD21" s="1"/>
      <c r="AE21" s="1"/>
      <c r="AF21" s="1"/>
      <c r="AG21" s="1"/>
      <c r="AH21" s="1"/>
      <c r="AI21" s="1"/>
      <c r="AJ21" s="1"/>
      <c r="AK21" s="1"/>
      <c r="AL21" s="1"/>
      <c r="AM21" s="1"/>
      <c r="AN21" s="1"/>
      <c r="AO21" s="1"/>
    </row>
    <row r="22" spans="1:41" ht="15.75">
      <c r="A22" s="10">
        <v>12</v>
      </c>
      <c r="B22" s="11">
        <v>0.30708999999999997</v>
      </c>
      <c r="C22" s="11">
        <v>0.30708999999999997</v>
      </c>
      <c r="D22" s="11">
        <v>0.29844999999999999</v>
      </c>
      <c r="E22" s="11">
        <v>0.31546999999999997</v>
      </c>
      <c r="F22" s="11">
        <v>0.31470999999999999</v>
      </c>
      <c r="G22" s="11">
        <v>0.30480000000000002</v>
      </c>
      <c r="H22" s="11">
        <v>0.29844999999999999</v>
      </c>
      <c r="I22" s="11" t="e">
        <f>NA()</f>
        <v>#N/A</v>
      </c>
      <c r="J22" s="11">
        <v>0.31114999999999998</v>
      </c>
      <c r="K22" s="11">
        <v>0.30708999999999997</v>
      </c>
      <c r="L22" s="11">
        <v>0.30321999999999999</v>
      </c>
      <c r="M22" s="11">
        <v>0.29530000000000001</v>
      </c>
      <c r="N22" s="11">
        <v>0.28894999999999998</v>
      </c>
      <c r="O22" s="11">
        <v>0.28103</v>
      </c>
      <c r="P22" s="11">
        <v>0.27305000000000001</v>
      </c>
      <c r="Q22" s="11">
        <v>0.26669999999999999</v>
      </c>
      <c r="R22" s="11">
        <v>0.25719999999999998</v>
      </c>
      <c r="S22" s="11">
        <v>0.30480000000000002</v>
      </c>
      <c r="T22" s="11">
        <v>0.29844999999999999</v>
      </c>
      <c r="U22" s="11">
        <v>0.27305000000000001</v>
      </c>
      <c r="V22" s="12">
        <v>0.30320000000000003</v>
      </c>
      <c r="W22" s="8"/>
      <c r="X22" s="9"/>
      <c r="Y22" s="9"/>
      <c r="Z22" s="1"/>
      <c r="AA22" s="1"/>
      <c r="AB22" s="1"/>
      <c r="AC22" s="1"/>
      <c r="AD22" s="1"/>
      <c r="AE22" s="1"/>
      <c r="AF22" s="1"/>
      <c r="AG22" s="1"/>
      <c r="AH22" s="1"/>
      <c r="AI22" s="1"/>
      <c r="AJ22" s="1"/>
      <c r="AK22" s="1"/>
      <c r="AL22" s="1"/>
      <c r="AM22" s="1"/>
      <c r="AN22" s="1"/>
      <c r="AO22" s="1"/>
    </row>
    <row r="23" spans="1:41" ht="15.75">
      <c r="A23" s="10">
        <v>14</v>
      </c>
      <c r="B23" s="11">
        <v>0.33655000000000002</v>
      </c>
      <c r="C23" s="11">
        <v>0.33655000000000002</v>
      </c>
      <c r="D23" s="11">
        <v>0.33019999999999999</v>
      </c>
      <c r="E23" s="11">
        <v>0.34767999999999999</v>
      </c>
      <c r="F23" s="11">
        <v>0.34605000000000002</v>
      </c>
      <c r="G23" s="11" t="e">
        <f>NA()</f>
        <v>#N/A</v>
      </c>
      <c r="H23" s="11" t="e">
        <f>NA()</f>
        <v>#N/A</v>
      </c>
      <c r="I23" s="11">
        <v>0.34289999999999998</v>
      </c>
      <c r="J23" s="11">
        <v>0.33975</v>
      </c>
      <c r="K23" s="11">
        <v>0.33655000000000002</v>
      </c>
      <c r="L23" s="11">
        <v>0.33334999999999998</v>
      </c>
      <c r="M23" s="11">
        <v>0.32547999999999999</v>
      </c>
      <c r="N23" s="11">
        <v>0.3175</v>
      </c>
      <c r="O23" s="11">
        <v>0.308</v>
      </c>
      <c r="P23" s="11">
        <v>0.30008000000000001</v>
      </c>
      <c r="Q23" s="11">
        <v>0.29210000000000003</v>
      </c>
      <c r="R23" s="11">
        <v>0.28417999999999999</v>
      </c>
      <c r="S23" s="11">
        <v>0.33655000000000002</v>
      </c>
      <c r="T23" s="11">
        <v>0.33019999999999999</v>
      </c>
      <c r="U23" s="11" t="e">
        <f>NA()</f>
        <v>#N/A</v>
      </c>
      <c r="V23" s="12">
        <v>0.33339999999999997</v>
      </c>
      <c r="W23" s="8"/>
      <c r="X23" s="9"/>
      <c r="Y23" s="9"/>
      <c r="Z23" s="1"/>
      <c r="AA23" s="1"/>
      <c r="AB23" s="1"/>
      <c r="AC23" s="1"/>
      <c r="AD23" s="1"/>
      <c r="AE23" s="1"/>
      <c r="AF23" s="1"/>
      <c r="AG23" s="1"/>
      <c r="AH23" s="1"/>
      <c r="AI23" s="1"/>
      <c r="AJ23" s="1"/>
      <c r="AK23" s="1"/>
      <c r="AL23" s="1"/>
      <c r="AM23" s="1"/>
      <c r="AN23" s="1"/>
      <c r="AO23" s="1"/>
    </row>
    <row r="24" spans="1:41" ht="15.75">
      <c r="A24" s="10">
        <v>16</v>
      </c>
      <c r="B24" s="11">
        <v>0.38735000000000003</v>
      </c>
      <c r="C24" s="11">
        <v>0.38735000000000003</v>
      </c>
      <c r="D24" s="11">
        <v>0.38100000000000001</v>
      </c>
      <c r="E24" s="11">
        <v>0.39801999999999998</v>
      </c>
      <c r="F24" s="11">
        <v>0.39684999999999998</v>
      </c>
      <c r="G24" s="11"/>
      <c r="H24" s="11"/>
      <c r="I24" s="11">
        <v>0.39369999999999999</v>
      </c>
      <c r="J24" s="11">
        <v>0.39055000000000001</v>
      </c>
      <c r="K24" s="11">
        <v>0.38735000000000003</v>
      </c>
      <c r="L24" s="11">
        <v>0.38100000000000001</v>
      </c>
      <c r="M24" s="11">
        <v>0.37307000000000001</v>
      </c>
      <c r="N24" s="11">
        <v>0.36358000000000001</v>
      </c>
      <c r="O24" s="11">
        <v>0.35403000000000001</v>
      </c>
      <c r="P24" s="11">
        <v>0.34453</v>
      </c>
      <c r="Q24" s="11">
        <v>0.33334999999999998</v>
      </c>
      <c r="R24" s="11">
        <v>0.32547999999999999</v>
      </c>
      <c r="S24" s="11">
        <v>0.38735000000000003</v>
      </c>
      <c r="T24" s="11">
        <v>0.38100000000000001</v>
      </c>
      <c r="U24" s="11"/>
      <c r="V24" s="12">
        <v>0.38100000000000001</v>
      </c>
      <c r="W24" s="8"/>
      <c r="X24" s="9"/>
      <c r="Y24" s="9"/>
      <c r="Z24" s="1"/>
      <c r="AA24" s="1"/>
      <c r="AB24" s="1"/>
      <c r="AC24" s="1"/>
      <c r="AD24" s="1"/>
      <c r="AE24" s="1"/>
      <c r="AF24" s="1"/>
      <c r="AG24" s="1"/>
      <c r="AH24" s="1"/>
      <c r="AI24" s="1"/>
      <c r="AJ24" s="1"/>
      <c r="AK24" s="1"/>
      <c r="AL24" s="1"/>
      <c r="AM24" s="1"/>
      <c r="AN24" s="1"/>
      <c r="AO24" s="1"/>
    </row>
    <row r="25" spans="1:41" ht="15.75">
      <c r="A25" s="10">
        <v>18</v>
      </c>
      <c r="B25" s="11">
        <v>0.43814999999999998</v>
      </c>
      <c r="C25" s="11">
        <v>0.43180000000000002</v>
      </c>
      <c r="D25" s="11">
        <v>0.43180000000000002</v>
      </c>
      <c r="E25" s="11">
        <v>0.44882</v>
      </c>
      <c r="F25" s="11">
        <v>0.44764999999999999</v>
      </c>
      <c r="G25" s="11"/>
      <c r="H25" s="11"/>
      <c r="I25" s="11">
        <v>0.44450000000000001</v>
      </c>
      <c r="J25" s="11">
        <v>0.44135000000000002</v>
      </c>
      <c r="K25" s="11">
        <v>0.43495</v>
      </c>
      <c r="L25" s="11">
        <v>0.42864999999999998</v>
      </c>
      <c r="M25" s="11">
        <v>0.41909999999999997</v>
      </c>
      <c r="N25" s="11">
        <v>0.40960000000000002</v>
      </c>
      <c r="O25" s="11">
        <v>0.39846999999999999</v>
      </c>
      <c r="P25" s="11">
        <v>0.38735000000000003</v>
      </c>
      <c r="Q25" s="11">
        <v>0.37785000000000002</v>
      </c>
      <c r="R25" s="11">
        <v>0.36671999999999999</v>
      </c>
      <c r="S25" s="11">
        <v>0.43814999999999998</v>
      </c>
      <c r="T25" s="11">
        <v>0.43180000000000002</v>
      </c>
      <c r="U25" s="11"/>
      <c r="V25" s="12">
        <v>0.42859999999999998</v>
      </c>
      <c r="W25" s="8"/>
      <c r="X25" s="9"/>
      <c r="Y25" s="9"/>
      <c r="Z25" s="1"/>
      <c r="AA25" s="1"/>
      <c r="AB25" s="1"/>
      <c r="AC25" s="1"/>
      <c r="AD25" s="1"/>
      <c r="AE25" s="1"/>
      <c r="AF25" s="1"/>
      <c r="AG25" s="1"/>
      <c r="AH25" s="1"/>
      <c r="AI25" s="1"/>
      <c r="AJ25" s="1"/>
      <c r="AK25" s="1"/>
      <c r="AL25" s="1"/>
      <c r="AM25" s="1"/>
      <c r="AN25" s="1"/>
      <c r="AO25" s="1"/>
    </row>
    <row r="26" spans="1:41" ht="15.75">
      <c r="A26" s="10">
        <v>20</v>
      </c>
      <c r="B26" s="11">
        <v>0.48895</v>
      </c>
      <c r="C26" s="11">
        <v>0.47788000000000003</v>
      </c>
      <c r="D26" s="11">
        <v>0.48259999999999997</v>
      </c>
      <c r="E26" s="11">
        <v>0.49845</v>
      </c>
      <c r="F26" s="11">
        <v>0.49692999999999998</v>
      </c>
      <c r="G26" s="11"/>
      <c r="H26" s="11"/>
      <c r="I26" s="11">
        <v>0.49530000000000002</v>
      </c>
      <c r="J26" s="11">
        <v>0.48895</v>
      </c>
      <c r="K26" s="11">
        <v>0.48259999999999997</v>
      </c>
      <c r="L26" s="11">
        <v>0.47788000000000003</v>
      </c>
      <c r="M26" s="11">
        <v>0.46675</v>
      </c>
      <c r="N26" s="11">
        <v>0.45562999999999998</v>
      </c>
      <c r="O26" s="11">
        <v>0.44291999999999998</v>
      </c>
      <c r="P26" s="11">
        <v>0.43180000000000002</v>
      </c>
      <c r="Q26" s="11">
        <v>0.41909999999999997</v>
      </c>
      <c r="R26" s="11">
        <v>0.40803</v>
      </c>
      <c r="S26" s="11">
        <v>0.48895</v>
      </c>
      <c r="T26" s="11">
        <v>0.48259999999999997</v>
      </c>
      <c r="U26" s="11"/>
      <c r="V26" s="12">
        <v>0.47789999999999999</v>
      </c>
      <c r="W26" s="8"/>
      <c r="X26" s="9"/>
      <c r="Y26" s="9"/>
      <c r="Z26" s="1"/>
      <c r="AA26" s="1"/>
      <c r="AB26" s="1"/>
      <c r="AC26" s="1"/>
      <c r="AD26" s="1"/>
      <c r="AE26" s="1"/>
      <c r="AF26" s="1"/>
      <c r="AG26" s="1"/>
      <c r="AH26" s="1"/>
      <c r="AI26" s="1"/>
      <c r="AJ26" s="1"/>
      <c r="AK26" s="1"/>
      <c r="AL26" s="1"/>
      <c r="AM26" s="1"/>
      <c r="AN26" s="1"/>
      <c r="AO26" s="1"/>
    </row>
    <row r="27" spans="1:41" ht="15.75">
      <c r="A27" s="10">
        <v>22</v>
      </c>
      <c r="B27" s="11">
        <v>0.53969999999999996</v>
      </c>
      <c r="C27" s="11" t="e">
        <f>NA()</f>
        <v>#N/A</v>
      </c>
      <c r="D27" s="11" t="e">
        <f>NA()</f>
        <v>#N/A</v>
      </c>
      <c r="E27" s="11">
        <v>0.54925000000000002</v>
      </c>
      <c r="F27" s="11">
        <v>0.54773000000000005</v>
      </c>
      <c r="G27" s="11" t="s">
        <v>10</v>
      </c>
      <c r="H27" s="11"/>
      <c r="I27" s="11">
        <v>0.54610000000000003</v>
      </c>
      <c r="J27" s="11">
        <v>0.53974999999999995</v>
      </c>
      <c r="K27" s="11">
        <v>0.53339999999999999</v>
      </c>
      <c r="L27" s="11" t="e">
        <f>NA()</f>
        <v>#N/A</v>
      </c>
      <c r="M27" s="11">
        <v>0.51434999999999997</v>
      </c>
      <c r="N27" s="11">
        <v>0.50165000000000004</v>
      </c>
      <c r="O27" s="11">
        <v>0.48895</v>
      </c>
      <c r="P27" s="11">
        <v>0.47625000000000001</v>
      </c>
      <c r="Q27" s="11">
        <v>0.46355000000000002</v>
      </c>
      <c r="R27" s="11">
        <v>0.45084999999999997</v>
      </c>
      <c r="S27" s="11">
        <v>0.53974999999999995</v>
      </c>
      <c r="T27" s="11">
        <v>0.53339999999999999</v>
      </c>
      <c r="U27" s="11"/>
      <c r="V27" s="12">
        <v>0.53969999999999996</v>
      </c>
      <c r="W27" s="8"/>
      <c r="X27" s="9"/>
      <c r="Y27" s="9"/>
      <c r="Z27" s="1"/>
      <c r="AA27" s="1"/>
      <c r="AB27" s="1"/>
      <c r="AC27" s="1"/>
      <c r="AD27" s="1"/>
      <c r="AE27" s="1"/>
      <c r="AF27" s="1"/>
      <c r="AG27" s="1"/>
      <c r="AH27" s="1"/>
      <c r="AI27" s="1"/>
      <c r="AJ27" s="1"/>
      <c r="AK27" s="1"/>
      <c r="AL27" s="1"/>
      <c r="AM27" s="1"/>
      <c r="AN27" s="1"/>
      <c r="AO27" s="1"/>
    </row>
    <row r="28" spans="1:41" ht="15.75">
      <c r="A28" s="10">
        <v>24</v>
      </c>
      <c r="B28" s="11">
        <v>0.59050000000000002</v>
      </c>
      <c r="C28" s="11"/>
      <c r="D28" s="11"/>
      <c r="E28" s="11">
        <v>0.59853000000000001</v>
      </c>
      <c r="F28" s="11">
        <v>0.59689999999999999</v>
      </c>
      <c r="G28" s="11"/>
      <c r="H28" s="11"/>
      <c r="I28" s="11">
        <v>0.59689999999999999</v>
      </c>
      <c r="J28" s="11">
        <v>0.59055000000000002</v>
      </c>
      <c r="K28" s="11">
        <v>0.58104999999999996</v>
      </c>
      <c r="L28" s="11">
        <v>0.57469999999999999</v>
      </c>
      <c r="M28" s="11">
        <v>0.56042999999999998</v>
      </c>
      <c r="N28" s="11">
        <v>0.54773000000000005</v>
      </c>
      <c r="O28" s="11">
        <v>0.53181999999999996</v>
      </c>
      <c r="P28" s="11">
        <v>0.51754999999999995</v>
      </c>
      <c r="Q28" s="11">
        <v>0.50465000000000004</v>
      </c>
      <c r="R28" s="11">
        <v>0.49058000000000002</v>
      </c>
      <c r="S28" s="11">
        <v>0.59055000000000002</v>
      </c>
      <c r="T28" s="11">
        <v>0.58420000000000005</v>
      </c>
      <c r="U28" s="11"/>
      <c r="V28" s="12">
        <v>0.59050000000000002</v>
      </c>
      <c r="W28" s="8"/>
      <c r="X28" s="9"/>
      <c r="Y28" s="9"/>
      <c r="Z28" s="1"/>
      <c r="AA28" s="1"/>
      <c r="AB28" s="1"/>
      <c r="AC28" s="1"/>
      <c r="AD28" s="1"/>
      <c r="AE28" s="1"/>
      <c r="AF28" s="1"/>
      <c r="AG28" s="1"/>
      <c r="AH28" s="1"/>
      <c r="AI28" s="1"/>
      <c r="AJ28" s="1"/>
      <c r="AK28" s="1"/>
      <c r="AL28" s="1"/>
      <c r="AM28" s="1"/>
      <c r="AN28" s="1"/>
      <c r="AO28" s="1"/>
    </row>
    <row r="29" spans="1:41" ht="15.75">
      <c r="A29" s="10">
        <v>26</v>
      </c>
      <c r="B29" s="11">
        <v>0.64129999999999998</v>
      </c>
      <c r="C29" s="11"/>
      <c r="D29" s="11"/>
      <c r="E29" s="11" t="e">
        <f>NA()</f>
        <v>#N/A</v>
      </c>
      <c r="F29" s="11" t="e">
        <f>NA()</f>
        <v>#N/A</v>
      </c>
      <c r="G29" s="11"/>
      <c r="H29" s="11"/>
      <c r="I29" s="11">
        <v>0.64415999999999995</v>
      </c>
      <c r="J29" s="11">
        <v>0.63500000000000001</v>
      </c>
      <c r="K29" s="11" t="e">
        <f>NA()</f>
        <v>#N/A</v>
      </c>
      <c r="L29" s="11" t="e">
        <f>NA()</f>
        <v>#N/A</v>
      </c>
      <c r="M29" s="11" t="e">
        <f>NA()</f>
        <v>#N/A</v>
      </c>
      <c r="N29" s="11" t="e">
        <f>NA()</f>
        <v>#N/A</v>
      </c>
      <c r="O29" s="11" t="e">
        <f>NA()</f>
        <v>#N/A</v>
      </c>
      <c r="P29" s="11" t="e">
        <f>NA()</f>
        <v>#N/A</v>
      </c>
      <c r="Q29" s="11" t="e">
        <f>NA()</f>
        <v>#N/A</v>
      </c>
      <c r="R29" s="11" t="e">
        <f>NA()</f>
        <v>#N/A</v>
      </c>
      <c r="S29" s="11">
        <v>0.64134999999999998</v>
      </c>
      <c r="T29" s="11">
        <v>0.63500000000000001</v>
      </c>
      <c r="U29" s="11"/>
      <c r="V29" s="12">
        <v>0.64129999999999998</v>
      </c>
      <c r="W29" s="13"/>
      <c r="X29" s="14"/>
      <c r="Y29" s="14"/>
      <c r="Z29" s="1"/>
      <c r="AA29" s="1"/>
      <c r="AB29" s="1"/>
      <c r="AC29" s="1"/>
      <c r="AD29" s="1"/>
      <c r="AE29" s="1"/>
      <c r="AF29" s="1"/>
      <c r="AG29" s="1"/>
      <c r="AH29" s="1"/>
      <c r="AI29" s="1"/>
      <c r="AJ29" s="1"/>
      <c r="AK29" s="1"/>
      <c r="AL29" s="1"/>
      <c r="AM29" s="1"/>
      <c r="AN29" s="1"/>
      <c r="AO29" s="1"/>
    </row>
    <row r="30" spans="1:41" ht="15.75">
      <c r="A30" s="10">
        <v>28</v>
      </c>
      <c r="B30" s="11">
        <v>0.69210000000000005</v>
      </c>
      <c r="C30" s="11"/>
      <c r="D30" s="11"/>
      <c r="E30" s="11" t="e">
        <f>NA()</f>
        <v>#N/A</v>
      </c>
      <c r="F30" s="11" t="e">
        <f>NA()</f>
        <v>#N/A</v>
      </c>
      <c r="G30" s="11"/>
      <c r="H30" s="11"/>
      <c r="I30" s="11">
        <v>0.69516</v>
      </c>
      <c r="J30" s="11">
        <v>0.68559999999999999</v>
      </c>
      <c r="K30" s="11">
        <v>0.67923999999999995</v>
      </c>
      <c r="L30" s="11" t="e">
        <f>NA()</f>
        <v>#N/A</v>
      </c>
      <c r="M30" s="11"/>
      <c r="N30" s="11"/>
      <c r="O30" s="11"/>
      <c r="P30" s="11"/>
      <c r="Q30" s="11"/>
      <c r="R30" s="11"/>
      <c r="S30" s="11">
        <v>0.69194</v>
      </c>
      <c r="T30" s="11">
        <v>0.68559999999999999</v>
      </c>
      <c r="U30" s="11"/>
      <c r="V30" s="12">
        <v>0.69210000000000005</v>
      </c>
      <c r="W30" s="13"/>
      <c r="X30" s="14"/>
      <c r="Y30" s="14"/>
      <c r="Z30" s="1"/>
      <c r="AA30" s="1"/>
      <c r="AB30" s="1"/>
      <c r="AC30" s="1"/>
      <c r="AD30" s="1"/>
      <c r="AE30" s="1"/>
      <c r="AF30" s="1"/>
      <c r="AG30" s="1"/>
      <c r="AH30" s="1"/>
      <c r="AI30" s="1"/>
      <c r="AJ30" s="1"/>
      <c r="AK30" s="1"/>
      <c r="AL30" s="1"/>
      <c r="AM30" s="1"/>
      <c r="AN30" s="1"/>
      <c r="AO30" s="1"/>
    </row>
    <row r="31" spans="1:41" ht="15.75">
      <c r="A31" s="10">
        <v>30</v>
      </c>
      <c r="B31" s="11">
        <v>0.7429</v>
      </c>
      <c r="C31" s="11"/>
      <c r="D31" s="11"/>
      <c r="E31" s="11">
        <v>0.74929999999999997</v>
      </c>
      <c r="F31" s="11">
        <v>0.74616000000000005</v>
      </c>
      <c r="G31" s="11"/>
      <c r="H31" s="11"/>
      <c r="I31" s="11">
        <v>0.74616000000000005</v>
      </c>
      <c r="J31" s="11">
        <v>0.73660000000000003</v>
      </c>
      <c r="K31" s="11">
        <v>0.73024</v>
      </c>
      <c r="L31" s="11" t="e">
        <f>NA()</f>
        <v>#N/A</v>
      </c>
      <c r="M31" s="11"/>
      <c r="N31" s="11"/>
      <c r="O31" s="11"/>
      <c r="P31" s="11"/>
      <c r="Q31" s="11"/>
      <c r="R31" s="11"/>
      <c r="S31" s="11">
        <v>0.74294000000000004</v>
      </c>
      <c r="T31" s="11">
        <v>0.73660000000000003</v>
      </c>
      <c r="U31" s="11"/>
      <c r="V31" s="12">
        <v>0.7429</v>
      </c>
      <c r="W31" s="13"/>
      <c r="X31" s="14"/>
      <c r="Y31" s="14"/>
      <c r="Z31" s="1"/>
      <c r="AA31" s="1"/>
      <c r="AB31" s="1"/>
      <c r="AC31" s="1"/>
      <c r="AD31" s="1"/>
      <c r="AE31" s="1"/>
      <c r="AF31" s="1"/>
      <c r="AG31" s="1"/>
      <c r="AH31" s="1"/>
      <c r="AI31" s="1"/>
      <c r="AJ31" s="1"/>
      <c r="AK31" s="1"/>
      <c r="AL31" s="1"/>
      <c r="AM31" s="1"/>
      <c r="AN31" s="1"/>
      <c r="AO31" s="1"/>
    </row>
    <row r="32" spans="1:41" ht="15.75">
      <c r="A32" s="10">
        <v>32</v>
      </c>
      <c r="B32" s="11">
        <v>0.79369999999999996</v>
      </c>
      <c r="C32" s="11"/>
      <c r="D32" s="11"/>
      <c r="E32" s="11" t="e">
        <f>NA()</f>
        <v>#N/A</v>
      </c>
      <c r="F32" s="11" t="e">
        <f>NA()</f>
        <v>#N/A</v>
      </c>
      <c r="G32" s="11"/>
      <c r="H32" s="11"/>
      <c r="I32" s="11">
        <v>0.79715999999999998</v>
      </c>
      <c r="J32" s="11">
        <v>0.78759999999999997</v>
      </c>
      <c r="K32" s="11">
        <v>0.78124000000000005</v>
      </c>
      <c r="L32" s="11">
        <v>0.77803999999999995</v>
      </c>
      <c r="M32" s="11"/>
      <c r="N32" s="11"/>
      <c r="O32" s="11"/>
      <c r="P32" s="11"/>
      <c r="Q32" s="11"/>
      <c r="R32" s="11"/>
      <c r="S32" s="11">
        <v>0.79393999999999998</v>
      </c>
      <c r="T32" s="11">
        <v>0.78759999999999997</v>
      </c>
      <c r="U32" s="11"/>
      <c r="V32" s="12">
        <v>0.79369999999999996</v>
      </c>
      <c r="W32" s="13"/>
      <c r="X32" s="14"/>
      <c r="Y32" s="14"/>
      <c r="Z32" s="1"/>
      <c r="AA32" s="1"/>
      <c r="AB32" s="1"/>
      <c r="AC32" s="1"/>
      <c r="AD32" s="1"/>
      <c r="AE32" s="1"/>
      <c r="AF32" s="1"/>
      <c r="AG32" s="1"/>
      <c r="AH32" s="1"/>
      <c r="AI32" s="1"/>
      <c r="AJ32" s="1"/>
      <c r="AK32" s="1"/>
      <c r="AL32" s="1"/>
      <c r="AM32" s="1"/>
      <c r="AN32" s="1"/>
      <c r="AO32" s="1"/>
    </row>
    <row r="33" spans="1:41" ht="15.75">
      <c r="A33" s="10">
        <v>34</v>
      </c>
      <c r="B33" s="11">
        <v>0.84450000000000003</v>
      </c>
      <c r="C33" s="11"/>
      <c r="D33" s="11"/>
      <c r="E33" s="11"/>
      <c r="F33" s="11"/>
      <c r="G33" s="11"/>
      <c r="H33" s="11"/>
      <c r="I33" s="11">
        <v>0.84816000000000003</v>
      </c>
      <c r="J33" s="11">
        <v>0.83860000000000001</v>
      </c>
      <c r="K33" s="11">
        <v>0.83223999999999998</v>
      </c>
      <c r="L33" s="11">
        <v>0.82904</v>
      </c>
      <c r="M33" s="11"/>
      <c r="N33" s="11"/>
      <c r="O33" s="11"/>
      <c r="P33" s="11"/>
      <c r="Q33" s="11"/>
      <c r="R33" s="11"/>
      <c r="S33" s="11">
        <v>0.84494000000000002</v>
      </c>
      <c r="T33" s="11">
        <v>0.83860000000000001</v>
      </c>
      <c r="U33" s="11"/>
      <c r="V33" s="12">
        <v>0.84450000000000003</v>
      </c>
      <c r="W33" s="13"/>
      <c r="X33" s="14"/>
      <c r="Y33" s="14"/>
      <c r="Z33" s="1"/>
      <c r="AA33" s="1"/>
      <c r="AB33" s="1"/>
      <c r="AC33" s="1"/>
      <c r="AD33" s="1"/>
      <c r="AE33" s="1"/>
      <c r="AF33" s="1"/>
      <c r="AG33" s="1"/>
      <c r="AH33" s="1"/>
      <c r="AI33" s="1"/>
      <c r="AJ33" s="1"/>
      <c r="AK33" s="1"/>
      <c r="AL33" s="1"/>
      <c r="AM33" s="1"/>
      <c r="AN33" s="1"/>
      <c r="AO33" s="1"/>
    </row>
    <row r="34" spans="1:41" ht="15.75">
      <c r="A34" s="10">
        <v>36</v>
      </c>
      <c r="B34" s="11">
        <v>0.89529999999999998</v>
      </c>
      <c r="C34" s="11"/>
      <c r="D34" s="11"/>
      <c r="E34" s="11"/>
      <c r="F34" s="11"/>
      <c r="G34" s="11"/>
      <c r="H34" s="11"/>
      <c r="I34" s="11">
        <v>0.89815999999999996</v>
      </c>
      <c r="J34" s="11">
        <v>0.88859999999999995</v>
      </c>
      <c r="K34" s="11">
        <v>0.88224000000000002</v>
      </c>
      <c r="L34" s="11">
        <v>0.87590000000000001</v>
      </c>
      <c r="M34" s="11"/>
      <c r="N34" s="11"/>
      <c r="O34" s="11"/>
      <c r="P34" s="11"/>
      <c r="Q34" s="11"/>
      <c r="R34" s="11"/>
      <c r="S34" s="11">
        <v>0.89493999999999996</v>
      </c>
      <c r="T34" s="11">
        <v>0.88859999999999995</v>
      </c>
      <c r="U34" s="11"/>
      <c r="V34" s="12">
        <v>0.89529999999999998</v>
      </c>
      <c r="W34" s="13"/>
      <c r="X34" s="14"/>
      <c r="Y34" s="14"/>
      <c r="Z34" s="1"/>
      <c r="AA34" s="1"/>
      <c r="AB34" s="1"/>
      <c r="AC34" s="1"/>
      <c r="AD34" s="1"/>
      <c r="AE34" s="1"/>
      <c r="AF34" s="1"/>
      <c r="AG34" s="1"/>
      <c r="AH34" s="1"/>
      <c r="AI34" s="1"/>
      <c r="AJ34" s="1"/>
      <c r="AK34" s="1"/>
      <c r="AL34" s="1"/>
      <c r="AM34" s="1"/>
      <c r="AN34" s="1"/>
      <c r="AO34" s="1"/>
    </row>
    <row r="35" spans="1:41" ht="15.75">
      <c r="A35" s="10">
        <v>38</v>
      </c>
      <c r="B35" s="11">
        <v>0.94610000000000005</v>
      </c>
      <c r="C35" s="11"/>
      <c r="D35" s="11"/>
      <c r="E35" s="11"/>
      <c r="F35" s="11"/>
      <c r="G35" s="11"/>
      <c r="H35" s="11"/>
      <c r="I35" s="11" t="e">
        <f>NA()</f>
        <v>#N/A</v>
      </c>
      <c r="J35" s="11" t="e">
        <f>NA()</f>
        <v>#N/A</v>
      </c>
      <c r="K35" s="11" t="e">
        <f>NA()</f>
        <v>#N/A</v>
      </c>
      <c r="L35" s="11" t="e">
        <f>NA()</f>
        <v>#N/A</v>
      </c>
      <c r="M35" s="11"/>
      <c r="N35" s="11"/>
      <c r="O35" s="11"/>
      <c r="P35" s="11"/>
      <c r="Q35" s="11"/>
      <c r="R35" s="11"/>
      <c r="S35" s="11">
        <v>0.94594</v>
      </c>
      <c r="T35" s="11">
        <v>0.93959999999999999</v>
      </c>
      <c r="U35" s="11"/>
      <c r="V35" s="12">
        <v>0.94610000000000005</v>
      </c>
      <c r="W35" s="13"/>
      <c r="X35" s="14"/>
      <c r="Y35" s="14"/>
      <c r="Z35" s="1"/>
      <c r="AA35" s="1"/>
      <c r="AB35" s="1"/>
      <c r="AC35" s="1"/>
      <c r="AD35" s="1"/>
      <c r="AE35" s="1"/>
      <c r="AF35" s="1"/>
      <c r="AG35" s="1"/>
      <c r="AH35" s="1"/>
      <c r="AI35" s="1"/>
      <c r="AJ35" s="1"/>
      <c r="AK35" s="1"/>
      <c r="AL35" s="1"/>
      <c r="AM35" s="1"/>
      <c r="AN35" s="1"/>
      <c r="AO35" s="1"/>
    </row>
    <row r="36" spans="1:41" ht="15.75">
      <c r="A36" s="10">
        <v>40</v>
      </c>
      <c r="B36" s="11">
        <v>0.99690000000000001</v>
      </c>
      <c r="C36" s="11"/>
      <c r="D36" s="11"/>
      <c r="E36" s="11"/>
      <c r="F36" s="11"/>
      <c r="G36" s="11"/>
      <c r="H36" s="11"/>
      <c r="I36" s="11"/>
      <c r="J36" s="11"/>
      <c r="K36" s="11"/>
      <c r="L36" s="11"/>
      <c r="M36" s="11"/>
      <c r="N36" s="11"/>
      <c r="O36" s="11"/>
      <c r="P36" s="11"/>
      <c r="Q36" s="11"/>
      <c r="R36" s="11"/>
      <c r="S36" s="11">
        <v>0.99694000000000005</v>
      </c>
      <c r="T36" s="11">
        <v>0.99060000000000004</v>
      </c>
      <c r="U36" s="11"/>
      <c r="V36" s="12">
        <v>0.99690000000000001</v>
      </c>
      <c r="W36" s="13"/>
      <c r="X36" s="14"/>
      <c r="Y36" s="14"/>
      <c r="Z36" s="1"/>
      <c r="AA36" s="1"/>
      <c r="AB36" s="1"/>
      <c r="AC36" s="1"/>
      <c r="AD36" s="1"/>
      <c r="AE36" s="1"/>
      <c r="AF36" s="1"/>
      <c r="AG36" s="1"/>
      <c r="AH36" s="1"/>
      <c r="AI36" s="1"/>
      <c r="AJ36" s="1"/>
      <c r="AK36" s="1"/>
      <c r="AL36" s="1"/>
      <c r="AM36" s="1"/>
      <c r="AN36" s="1"/>
      <c r="AO36" s="1"/>
    </row>
    <row r="37" spans="1:41" ht="15.75">
      <c r="A37" s="10">
        <v>42</v>
      </c>
      <c r="B37" s="11">
        <v>1.0477000000000001</v>
      </c>
      <c r="C37" s="11"/>
      <c r="D37" s="11"/>
      <c r="E37" s="11"/>
      <c r="F37" s="11"/>
      <c r="G37" s="11"/>
      <c r="H37" s="11"/>
      <c r="I37" s="11"/>
      <c r="J37" s="11"/>
      <c r="K37" s="11"/>
      <c r="L37" s="11"/>
      <c r="M37" s="11"/>
      <c r="N37" s="11"/>
      <c r="O37" s="11"/>
      <c r="P37" s="11"/>
      <c r="Q37" s="11"/>
      <c r="R37" s="11"/>
      <c r="S37" s="11">
        <v>1.0479400000000001</v>
      </c>
      <c r="T37" s="11">
        <v>1.0416000000000001</v>
      </c>
      <c r="U37" s="11"/>
      <c r="V37" s="12">
        <v>1.0477000000000001</v>
      </c>
      <c r="W37" s="13"/>
      <c r="X37" s="14"/>
      <c r="Y37" s="14"/>
      <c r="Z37" s="1"/>
      <c r="AA37" s="1"/>
      <c r="AB37" s="1"/>
      <c r="AC37" s="1"/>
      <c r="AD37" s="1"/>
      <c r="AE37" s="1"/>
      <c r="AF37" s="1"/>
      <c r="AG37" s="1"/>
      <c r="AH37" s="1"/>
      <c r="AI37" s="1"/>
      <c r="AJ37" s="1"/>
      <c r="AK37" s="1"/>
      <c r="AL37" s="1"/>
      <c r="AM37" s="1"/>
      <c r="AN37" s="1"/>
      <c r="AO37" s="1"/>
    </row>
    <row r="38" spans="1:41" ht="15.75">
      <c r="A38" s="10">
        <v>44</v>
      </c>
      <c r="B38" s="11">
        <v>1.0985</v>
      </c>
      <c r="C38" s="11"/>
      <c r="D38" s="11"/>
      <c r="E38" s="11"/>
      <c r="F38" s="11"/>
      <c r="G38" s="11"/>
      <c r="H38" s="11"/>
      <c r="I38" s="11"/>
      <c r="J38" s="11"/>
      <c r="K38" s="11"/>
      <c r="L38" s="11"/>
      <c r="M38" s="11"/>
      <c r="N38" s="11"/>
      <c r="O38" s="11"/>
      <c r="P38" s="11"/>
      <c r="Q38" s="11"/>
      <c r="R38" s="11"/>
      <c r="S38" s="11">
        <v>1.09894</v>
      </c>
      <c r="T38" s="11">
        <v>1.0926</v>
      </c>
      <c r="U38" s="11"/>
      <c r="V38" s="12">
        <v>1.0985</v>
      </c>
      <c r="W38" s="13"/>
      <c r="X38" s="14"/>
      <c r="Y38" s="14"/>
      <c r="Z38" s="1"/>
      <c r="AA38" s="1"/>
      <c r="AB38" s="1"/>
      <c r="AC38" s="1"/>
      <c r="AD38" s="1"/>
      <c r="AE38" s="1"/>
      <c r="AF38" s="1"/>
      <c r="AG38" s="1"/>
      <c r="AH38" s="1"/>
      <c r="AI38" s="1"/>
      <c r="AJ38" s="1"/>
      <c r="AK38" s="1"/>
      <c r="AL38" s="1"/>
      <c r="AM38" s="1"/>
      <c r="AN38" s="1"/>
      <c r="AO38" s="1"/>
    </row>
    <row r="39" spans="1:41" ht="15.75">
      <c r="A39" s="10">
        <v>46</v>
      </c>
      <c r="B39" s="11">
        <v>1.1493</v>
      </c>
      <c r="C39" s="11"/>
      <c r="D39" s="11"/>
      <c r="E39" s="11"/>
      <c r="F39" s="11"/>
      <c r="G39" s="11"/>
      <c r="H39" s="11"/>
      <c r="I39" s="11"/>
      <c r="J39" s="11"/>
      <c r="K39" s="11"/>
      <c r="L39" s="11"/>
      <c r="M39" s="11"/>
      <c r="N39" s="11"/>
      <c r="O39" s="11"/>
      <c r="P39" s="11"/>
      <c r="Q39" s="11"/>
      <c r="R39" s="11"/>
      <c r="S39" s="11">
        <v>1.1489400000000001</v>
      </c>
      <c r="T39" s="11">
        <v>1.1426000000000001</v>
      </c>
      <c r="U39" s="11"/>
      <c r="V39" s="12">
        <v>1.1493</v>
      </c>
      <c r="W39" s="13"/>
      <c r="X39" s="14"/>
      <c r="Y39" s="14"/>
      <c r="Z39" s="1"/>
      <c r="AA39" s="1"/>
      <c r="AB39" s="1"/>
      <c r="AC39" s="1"/>
      <c r="AD39" s="1"/>
      <c r="AE39" s="1"/>
      <c r="AF39" s="1"/>
      <c r="AG39" s="1"/>
      <c r="AH39" s="1"/>
      <c r="AI39" s="1"/>
      <c r="AJ39" s="1"/>
      <c r="AK39" s="1"/>
      <c r="AL39" s="1"/>
      <c r="AM39" s="1"/>
      <c r="AN39" s="1"/>
      <c r="AO39" s="1"/>
    </row>
    <row r="40" spans="1:41" ht="15.75">
      <c r="A40" s="10">
        <v>48</v>
      </c>
      <c r="B40" s="11">
        <v>1.2000999999999999</v>
      </c>
      <c r="C40" s="11"/>
      <c r="D40" s="11"/>
      <c r="E40" s="11"/>
      <c r="F40" s="11"/>
      <c r="G40" s="11"/>
      <c r="H40" s="11"/>
      <c r="I40" s="11"/>
      <c r="J40" s="11"/>
      <c r="K40" s="11"/>
      <c r="L40" s="11"/>
      <c r="M40" s="11"/>
      <c r="N40" s="11"/>
      <c r="O40" s="11"/>
      <c r="P40" s="11"/>
      <c r="Q40" s="11"/>
      <c r="R40" s="11"/>
      <c r="S40" s="11">
        <v>1.19994</v>
      </c>
      <c r="T40" s="11">
        <v>1.1936</v>
      </c>
      <c r="U40" s="11"/>
      <c r="V40" s="12">
        <v>1.2000999999999999</v>
      </c>
      <c r="W40" s="13"/>
      <c r="X40" s="14"/>
      <c r="Y40" s="14"/>
      <c r="Z40" s="1"/>
      <c r="AA40" s="1"/>
      <c r="AB40" s="1"/>
      <c r="AC40" s="1"/>
      <c r="AD40" s="1"/>
      <c r="AE40" s="1"/>
      <c r="AF40" s="1"/>
      <c r="AG40" s="1"/>
      <c r="AH40" s="1"/>
      <c r="AI40" s="1"/>
      <c r="AJ40" s="1"/>
      <c r="AK40" s="1"/>
      <c r="AL40" s="1"/>
      <c r="AM40" s="1"/>
      <c r="AN40" s="1"/>
      <c r="AO40" s="1"/>
    </row>
    <row r="41" spans="1:41" ht="15.75">
      <c r="A41" s="10">
        <v>50</v>
      </c>
      <c r="B41" s="11">
        <v>1.2509999999999999</v>
      </c>
      <c r="C41" s="11"/>
      <c r="D41" s="11"/>
      <c r="E41" s="11"/>
      <c r="F41" s="11"/>
      <c r="G41" s="11"/>
      <c r="H41" s="11"/>
      <c r="I41" s="11"/>
      <c r="J41" s="11"/>
      <c r="K41" s="11"/>
      <c r="L41" s="11"/>
      <c r="M41" s="11"/>
      <c r="N41" s="11"/>
      <c r="O41" s="11"/>
      <c r="P41" s="11"/>
      <c r="Q41" s="11"/>
      <c r="R41" s="11"/>
      <c r="S41" s="11" t="e">
        <f>NA()</f>
        <v>#N/A</v>
      </c>
      <c r="T41" s="11" t="e">
        <f>NA()</f>
        <v>#N/A</v>
      </c>
      <c r="U41" s="11"/>
      <c r="V41" s="12">
        <v>1.3017000000000001</v>
      </c>
      <c r="W41" s="13"/>
      <c r="X41" s="14"/>
      <c r="Y41" s="14"/>
      <c r="Z41" s="1"/>
      <c r="AA41" s="1"/>
      <c r="AB41" s="1"/>
      <c r="AC41" s="1"/>
      <c r="AD41" s="1"/>
      <c r="AE41" s="1"/>
      <c r="AF41" s="1"/>
      <c r="AG41" s="1"/>
      <c r="AH41" s="1"/>
      <c r="AI41" s="1"/>
      <c r="AJ41" s="1"/>
      <c r="AK41" s="1"/>
      <c r="AL41" s="1"/>
      <c r="AM41" s="1"/>
      <c r="AN41" s="1"/>
      <c r="AO41" s="1"/>
    </row>
    <row r="42" spans="1:41" ht="15.75">
      <c r="A42" s="10">
        <v>52</v>
      </c>
      <c r="B42" s="11">
        <v>1.3017000000000001</v>
      </c>
      <c r="C42" s="11"/>
      <c r="D42" s="11"/>
      <c r="E42" s="11"/>
      <c r="F42" s="11"/>
      <c r="G42" s="11"/>
      <c r="H42" s="11"/>
      <c r="I42" s="11"/>
      <c r="J42" s="11"/>
      <c r="K42" s="11"/>
      <c r="L42" s="11"/>
      <c r="M42" s="11"/>
      <c r="N42" s="11"/>
      <c r="O42" s="11"/>
      <c r="P42" s="11"/>
      <c r="Q42" s="11"/>
      <c r="R42" s="11"/>
      <c r="S42" s="11"/>
      <c r="T42" s="11"/>
      <c r="U42" s="11"/>
      <c r="V42" s="12">
        <v>1.4033</v>
      </c>
      <c r="W42" s="13"/>
      <c r="X42" s="14"/>
      <c r="Y42" s="14"/>
      <c r="Z42" s="1"/>
      <c r="AA42" s="1"/>
      <c r="AB42" s="1"/>
      <c r="AC42" s="1"/>
      <c r="AD42" s="1"/>
      <c r="AE42" s="1"/>
      <c r="AF42" s="1"/>
      <c r="AG42" s="1"/>
      <c r="AH42" s="1"/>
      <c r="AI42" s="1"/>
      <c r="AJ42" s="1"/>
      <c r="AK42" s="1"/>
      <c r="AL42" s="1"/>
      <c r="AM42" s="1"/>
      <c r="AN42" s="1"/>
      <c r="AO42" s="1"/>
    </row>
    <row r="43" spans="1:41" ht="15.75">
      <c r="A43" s="10">
        <v>54</v>
      </c>
      <c r="B43" s="11">
        <v>1.3526</v>
      </c>
      <c r="C43" s="11"/>
      <c r="D43" s="11"/>
      <c r="E43" s="11"/>
      <c r="F43" s="11"/>
      <c r="G43" s="11"/>
      <c r="H43" s="11"/>
      <c r="I43" s="11"/>
      <c r="J43" s="11"/>
      <c r="K43" s="11"/>
      <c r="L43" s="11"/>
      <c r="M43" s="11"/>
      <c r="N43" s="11"/>
      <c r="O43" s="11"/>
      <c r="P43" s="11"/>
      <c r="Q43" s="11"/>
      <c r="R43" s="11"/>
      <c r="S43" s="11"/>
      <c r="T43" s="11"/>
      <c r="U43" s="11"/>
      <c r="V43" s="12">
        <v>1.5048999999999999</v>
      </c>
      <c r="W43" s="13"/>
      <c r="X43" s="14"/>
      <c r="Y43" s="14"/>
      <c r="Z43" s="1"/>
      <c r="AA43" s="1"/>
      <c r="AB43" s="1"/>
      <c r="AC43" s="1"/>
      <c r="AD43" s="1"/>
      <c r="AE43" s="1"/>
      <c r="AF43" s="1"/>
      <c r="AG43" s="1"/>
      <c r="AH43" s="1"/>
      <c r="AI43" s="1"/>
      <c r="AJ43" s="1"/>
      <c r="AK43" s="1"/>
      <c r="AL43" s="1"/>
      <c r="AM43" s="1"/>
      <c r="AN43" s="1"/>
      <c r="AO43" s="1"/>
    </row>
    <row r="44" spans="1:41" ht="15.75">
      <c r="A44" s="10">
        <v>56</v>
      </c>
      <c r="B44" s="11">
        <v>1.4033</v>
      </c>
      <c r="C44" s="11"/>
      <c r="D44" s="11"/>
      <c r="E44" s="11"/>
      <c r="F44" s="11"/>
      <c r="G44" s="11"/>
      <c r="H44" s="11"/>
      <c r="I44" s="11"/>
      <c r="J44" s="11"/>
      <c r="K44" s="11"/>
      <c r="L44" s="11"/>
      <c r="M44" s="11"/>
      <c r="N44" s="11"/>
      <c r="O44" s="11"/>
      <c r="P44" s="11"/>
      <c r="Q44" s="11"/>
      <c r="R44" s="11"/>
      <c r="S44" s="11"/>
      <c r="T44" s="11"/>
      <c r="U44" s="11"/>
      <c r="V44" s="12" t="e">
        <f>NA()</f>
        <v>#N/A</v>
      </c>
      <c r="W44" s="13"/>
      <c r="X44" s="14"/>
      <c r="Y44" s="14"/>
      <c r="Z44" s="1"/>
      <c r="AA44" s="1"/>
      <c r="AB44" s="1"/>
      <c r="AC44" s="1"/>
      <c r="AD44" s="1"/>
      <c r="AE44" s="1"/>
      <c r="AF44" s="1"/>
      <c r="AG44" s="1"/>
      <c r="AH44" s="1"/>
      <c r="AI44" s="1"/>
      <c r="AJ44" s="1"/>
      <c r="AK44" s="1"/>
      <c r="AL44" s="1"/>
      <c r="AM44" s="1"/>
      <c r="AN44" s="1"/>
      <c r="AO44" s="1"/>
    </row>
    <row r="45" spans="1:41" ht="15.75">
      <c r="A45" s="10">
        <v>58</v>
      </c>
      <c r="B45" s="11" t="e">
        <f>NA()</f>
        <v>#N/A</v>
      </c>
      <c r="C45" s="11"/>
      <c r="D45" s="11"/>
      <c r="E45" s="11"/>
      <c r="F45" s="11"/>
      <c r="G45" s="11"/>
      <c r="H45" s="11"/>
      <c r="I45" s="11"/>
      <c r="J45" s="11"/>
      <c r="K45" s="11"/>
      <c r="L45" s="11"/>
      <c r="M45" s="11"/>
      <c r="N45" s="11"/>
      <c r="O45" s="11"/>
      <c r="P45" s="11"/>
      <c r="Q45" s="11"/>
      <c r="R45" s="11"/>
      <c r="S45" s="11"/>
      <c r="T45" s="11"/>
      <c r="U45" s="11"/>
      <c r="V45" s="12"/>
      <c r="W45" s="13"/>
      <c r="X45" s="14"/>
      <c r="Y45" s="14"/>
      <c r="Z45" s="1"/>
      <c r="AA45" s="1"/>
      <c r="AB45" s="1"/>
      <c r="AC45" s="1"/>
      <c r="AD45" s="1"/>
      <c r="AE45" s="1"/>
      <c r="AF45" s="1"/>
      <c r="AG45" s="1"/>
      <c r="AH45" s="1"/>
      <c r="AI45" s="1"/>
      <c r="AJ45" s="1"/>
      <c r="AK45" s="1"/>
      <c r="AL45" s="1"/>
      <c r="AM45" s="1"/>
      <c r="AN45" s="1"/>
      <c r="AO45" s="1"/>
    </row>
    <row r="46" spans="1:41" ht="15.75">
      <c r="A46" s="10">
        <v>60</v>
      </c>
      <c r="B46" s="11">
        <v>1.5048999999999999</v>
      </c>
      <c r="C46" s="11"/>
      <c r="D46" s="11"/>
      <c r="E46" s="11"/>
      <c r="F46" s="11"/>
      <c r="G46" s="11"/>
      <c r="H46" s="11"/>
      <c r="I46" s="11"/>
      <c r="J46" s="11"/>
      <c r="K46" s="11"/>
      <c r="L46" s="11"/>
      <c r="M46" s="11"/>
      <c r="N46" s="11"/>
      <c r="O46" s="11"/>
      <c r="P46" s="11"/>
      <c r="Q46" s="11"/>
      <c r="R46" s="11"/>
      <c r="S46" s="11"/>
      <c r="T46" s="11"/>
      <c r="U46" s="11"/>
      <c r="V46" s="12"/>
      <c r="W46" s="13"/>
      <c r="X46" s="14"/>
      <c r="Y46" s="14"/>
      <c r="Z46" s="1"/>
      <c r="AA46" s="1"/>
      <c r="AB46" s="1"/>
      <c r="AC46" s="1"/>
      <c r="AD46" s="1"/>
      <c r="AE46" s="1"/>
      <c r="AF46" s="1"/>
      <c r="AG46" s="1"/>
      <c r="AH46" s="1"/>
      <c r="AI46" s="1"/>
      <c r="AJ46" s="1"/>
      <c r="AK46" s="1"/>
      <c r="AL46" s="1"/>
      <c r="AM46" s="1"/>
      <c r="AN46" s="1"/>
      <c r="AO46" s="1"/>
    </row>
    <row r="47" spans="1:41" ht="15.75">
      <c r="A47" s="10">
        <v>66</v>
      </c>
      <c r="B47" s="11">
        <v>1.65734</v>
      </c>
      <c r="C47" s="11"/>
      <c r="D47" s="11"/>
      <c r="E47" s="11"/>
      <c r="F47" s="11"/>
      <c r="G47" s="11"/>
      <c r="H47" s="11"/>
      <c r="I47" s="11"/>
      <c r="J47" s="11"/>
      <c r="K47" s="11"/>
      <c r="L47" s="11"/>
      <c r="M47" s="11"/>
      <c r="N47" s="11"/>
      <c r="O47" s="11"/>
      <c r="P47" s="11"/>
      <c r="Q47" s="11"/>
      <c r="R47" s="11"/>
      <c r="S47" s="11"/>
      <c r="T47" s="11"/>
      <c r="U47" s="11"/>
      <c r="V47" s="12"/>
      <c r="W47" s="13"/>
      <c r="X47" s="14"/>
      <c r="Y47" s="14"/>
      <c r="Z47" s="1"/>
      <c r="AA47" s="1"/>
      <c r="AB47" s="1"/>
      <c r="AC47" s="1"/>
      <c r="AD47" s="1"/>
      <c r="AE47" s="1"/>
      <c r="AF47" s="1"/>
      <c r="AG47" s="1"/>
      <c r="AH47" s="1"/>
      <c r="AI47" s="1"/>
      <c r="AJ47" s="1"/>
      <c r="AK47" s="1"/>
      <c r="AL47" s="1"/>
      <c r="AM47" s="1"/>
      <c r="AN47" s="1"/>
      <c r="AO47" s="1"/>
    </row>
    <row r="48" spans="1:41" ht="16.5" thickBot="1">
      <c r="A48" s="15">
        <v>72</v>
      </c>
      <c r="B48" s="16">
        <v>1.8036000000000001</v>
      </c>
      <c r="C48" s="16"/>
      <c r="D48" s="16"/>
      <c r="E48" s="16"/>
      <c r="F48" s="16"/>
      <c r="G48" s="16"/>
      <c r="H48" s="16"/>
      <c r="I48" s="16"/>
      <c r="J48" s="16"/>
      <c r="K48" s="16"/>
      <c r="L48" s="16"/>
      <c r="M48" s="16"/>
      <c r="N48" s="16"/>
      <c r="O48" s="16"/>
      <c r="P48" s="16"/>
      <c r="Q48" s="16"/>
      <c r="R48" s="16"/>
      <c r="S48" s="16"/>
      <c r="T48" s="16"/>
      <c r="U48" s="16"/>
      <c r="V48" s="17"/>
      <c r="W48" s="13"/>
      <c r="X48" s="14"/>
      <c r="Y48" s="14"/>
      <c r="Z48" s="1"/>
      <c r="AA48" s="1"/>
      <c r="AB48" s="1"/>
      <c r="AC48" s="1"/>
      <c r="AD48" s="1"/>
      <c r="AE48" s="1"/>
      <c r="AF48" s="1"/>
      <c r="AG48" s="1"/>
      <c r="AH48" s="1"/>
      <c r="AI48" s="1"/>
      <c r="AJ48" s="1"/>
      <c r="AK48" s="1"/>
      <c r="AL48" s="1"/>
      <c r="AM48" s="1"/>
      <c r="AN48" s="1"/>
      <c r="AO48" s="1"/>
    </row>
    <row r="49" spans="1:41" ht="13.5" thickTop="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row>
    <row r="50" spans="1:41">
      <c r="A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row>
    <row r="51" spans="1:41" ht="13.5" thickBot="1">
      <c r="A51" s="1"/>
      <c r="D51" s="1"/>
      <c r="E51" s="421"/>
      <c r="F51" s="421"/>
      <c r="G51" s="487"/>
      <c r="H51" s="1"/>
      <c r="I51" s="1" t="s">
        <v>11</v>
      </c>
      <c r="J51" s="1"/>
      <c r="L51" s="1"/>
      <c r="M51" s="1"/>
      <c r="N51" s="110"/>
      <c r="O51" s="110"/>
      <c r="P51" s="421"/>
      <c r="Q51" s="421"/>
      <c r="R51" s="421"/>
      <c r="S51" s="1"/>
      <c r="T51" s="1"/>
      <c r="U51" s="1"/>
      <c r="V51" s="1"/>
      <c r="W51" s="1"/>
      <c r="X51" s="1"/>
      <c r="Y51" s="1"/>
      <c r="Z51" s="1"/>
      <c r="AA51" s="1"/>
      <c r="AB51" s="1"/>
      <c r="AC51" s="1"/>
      <c r="AD51" s="1"/>
      <c r="AE51" s="1"/>
      <c r="AF51" s="1"/>
      <c r="AG51" s="1"/>
      <c r="AH51" s="1"/>
      <c r="AI51" s="1"/>
      <c r="AJ51" s="1"/>
      <c r="AK51" s="1"/>
      <c r="AL51" s="1"/>
      <c r="AM51" s="1"/>
      <c r="AN51" s="1"/>
      <c r="AO51" s="1"/>
    </row>
    <row r="52" spans="1:41" ht="16.5" thickTop="1">
      <c r="A52" s="1"/>
      <c r="B52" s="489"/>
      <c r="C52" s="489"/>
      <c r="D52" s="421"/>
      <c r="E52" s="488"/>
      <c r="F52" s="421"/>
      <c r="G52" s="488"/>
      <c r="H52" s="1"/>
      <c r="I52" s="18" t="s">
        <v>12</v>
      </c>
      <c r="J52" s="1"/>
      <c r="K52" s="19" t="s">
        <v>13</v>
      </c>
      <c r="L52" s="20"/>
      <c r="M52" s="1"/>
      <c r="N52" s="44"/>
      <c r="O52" s="422"/>
      <c r="P52" s="421"/>
      <c r="Q52" s="421"/>
      <c r="R52" s="421"/>
      <c r="S52" s="421"/>
      <c r="T52" s="421"/>
      <c r="U52" s="421"/>
      <c r="V52" s="421"/>
      <c r="W52" s="1"/>
      <c r="X52" s="1"/>
      <c r="Y52" s="1"/>
      <c r="Z52" s="1"/>
      <c r="AA52" s="1"/>
      <c r="AB52" s="1"/>
      <c r="AC52" s="1"/>
      <c r="AD52" s="1"/>
      <c r="AE52" s="1"/>
      <c r="AF52" s="1"/>
      <c r="AG52" s="1"/>
      <c r="AH52" s="1"/>
      <c r="AI52" s="1"/>
      <c r="AJ52" s="1"/>
      <c r="AK52" s="1"/>
      <c r="AL52" s="1"/>
      <c r="AM52" s="1"/>
      <c r="AN52" s="1"/>
      <c r="AO52" s="1"/>
    </row>
    <row r="53" spans="1:41" ht="16.5" thickBot="1">
      <c r="A53" s="1"/>
      <c r="B53" s="489"/>
      <c r="C53" s="489"/>
      <c r="D53" s="421"/>
      <c r="E53" s="488"/>
      <c r="F53" s="421"/>
      <c r="G53" s="488"/>
      <c r="H53" s="1"/>
      <c r="I53" s="21" t="s">
        <v>14</v>
      </c>
      <c r="J53" s="1"/>
      <c r="K53" s="22" t="s">
        <v>15</v>
      </c>
      <c r="L53" s="23"/>
      <c r="M53" s="1"/>
      <c r="N53" s="44"/>
      <c r="O53" s="422"/>
      <c r="P53" s="421"/>
      <c r="Q53" s="421"/>
      <c r="R53" s="421"/>
      <c r="S53" s="421"/>
      <c r="T53" s="110"/>
      <c r="U53" s="110"/>
      <c r="V53" s="421"/>
      <c r="W53" s="1"/>
      <c r="X53" s="1"/>
      <c r="Y53" s="1"/>
      <c r="Z53" s="1"/>
      <c r="AA53" s="1"/>
      <c r="AB53" s="1"/>
      <c r="AC53" s="1"/>
      <c r="AD53" s="1"/>
      <c r="AE53" s="1"/>
      <c r="AF53" s="1"/>
      <c r="AG53" s="1"/>
      <c r="AH53" s="1"/>
      <c r="AI53" s="1"/>
      <c r="AJ53" s="1"/>
      <c r="AK53" s="1"/>
      <c r="AL53" s="1"/>
      <c r="AM53" s="1"/>
      <c r="AN53" s="1"/>
      <c r="AO53" s="1"/>
    </row>
    <row r="54" spans="1:41" ht="16.5" thickTop="1">
      <c r="A54" s="1"/>
      <c r="B54" s="489"/>
      <c r="C54" s="489"/>
      <c r="D54" s="421"/>
      <c r="E54" s="488"/>
      <c r="F54" s="421"/>
      <c r="G54" s="488"/>
      <c r="H54" s="1"/>
      <c r="I54" s="1"/>
      <c r="J54" s="1"/>
      <c r="K54" s="1"/>
      <c r="L54" s="1"/>
      <c r="M54" s="1"/>
      <c r="N54" s="44"/>
      <c r="O54" s="422"/>
      <c r="P54" s="421"/>
      <c r="Q54" s="421"/>
      <c r="R54" s="137"/>
      <c r="S54" s="79"/>
      <c r="T54" s="44"/>
      <c r="U54" s="422"/>
      <c r="V54" s="421"/>
      <c r="W54" s="1"/>
      <c r="X54" s="1"/>
      <c r="Y54" s="1"/>
      <c r="Z54" s="1"/>
      <c r="AA54" s="1"/>
      <c r="AB54" s="1"/>
      <c r="AC54" s="1"/>
      <c r="AD54" s="1"/>
      <c r="AE54" s="1"/>
      <c r="AF54" s="1"/>
      <c r="AG54" s="1"/>
      <c r="AH54" s="1"/>
      <c r="AI54" s="1"/>
      <c r="AJ54" s="1"/>
      <c r="AK54" s="1"/>
      <c r="AL54" s="1"/>
      <c r="AM54" s="1"/>
      <c r="AN54" s="1"/>
      <c r="AO54" s="1"/>
    </row>
    <row r="55" spans="1:41" ht="16.5" thickBot="1">
      <c r="A55" s="1"/>
      <c r="B55" s="489"/>
      <c r="C55" s="489"/>
      <c r="D55" s="421"/>
      <c r="E55" s="488"/>
      <c r="F55" s="421"/>
      <c r="G55" s="488"/>
      <c r="H55" s="1"/>
      <c r="I55" s="1"/>
      <c r="J55" s="1"/>
      <c r="K55" s="1"/>
      <c r="L55" s="1"/>
      <c r="M55" s="1"/>
      <c r="N55" s="44"/>
      <c r="O55" s="422"/>
      <c r="P55" s="421"/>
      <c r="Q55" s="421"/>
      <c r="R55" s="137"/>
      <c r="S55" s="110"/>
      <c r="T55" s="44"/>
      <c r="U55" s="422"/>
      <c r="V55" s="421"/>
      <c r="W55" s="1"/>
      <c r="X55" s="1"/>
      <c r="Y55" s="1"/>
      <c r="Z55" s="1"/>
      <c r="AA55" s="1"/>
      <c r="AB55" s="1"/>
      <c r="AC55" s="1"/>
      <c r="AD55" s="1"/>
      <c r="AE55" s="1"/>
      <c r="AF55" s="1"/>
      <c r="AG55" s="1"/>
      <c r="AH55" s="1"/>
      <c r="AI55" s="1"/>
      <c r="AJ55" s="1"/>
      <c r="AK55" s="1"/>
      <c r="AL55" s="1"/>
      <c r="AM55" s="1"/>
      <c r="AN55" s="1"/>
      <c r="AO55" s="1"/>
    </row>
    <row r="56" spans="1:41" ht="17.25" thickTop="1" thickBot="1">
      <c r="A56" s="1"/>
      <c r="B56" s="489"/>
      <c r="C56" s="489"/>
      <c r="D56" s="421"/>
      <c r="E56" s="488"/>
      <c r="F56" s="421"/>
      <c r="G56" s="488"/>
      <c r="H56" s="1"/>
      <c r="I56" s="1" t="s">
        <v>16</v>
      </c>
      <c r="J56" s="1"/>
      <c r="K56" s="19"/>
      <c r="L56" s="20"/>
      <c r="M56" s="1"/>
      <c r="N56" s="44"/>
      <c r="O56" s="422"/>
      <c r="P56" s="421"/>
      <c r="Q56" s="421"/>
      <c r="R56" s="137"/>
      <c r="S56" s="110"/>
      <c r="T56" s="44"/>
      <c r="U56" s="422"/>
      <c r="V56" s="421"/>
      <c r="W56" s="1"/>
      <c r="X56" s="1"/>
      <c r="Y56" s="1"/>
      <c r="Z56" s="1"/>
      <c r="AA56" s="1"/>
      <c r="AB56" s="1"/>
      <c r="AC56" s="1"/>
      <c r="AD56" s="1"/>
      <c r="AE56" s="1"/>
      <c r="AF56" s="1"/>
      <c r="AG56" s="1"/>
      <c r="AH56" s="1"/>
      <c r="AI56" s="1"/>
      <c r="AJ56" s="1"/>
      <c r="AK56" s="1"/>
      <c r="AL56" s="1"/>
      <c r="AM56" s="1"/>
      <c r="AN56" s="1"/>
      <c r="AO56" s="1"/>
    </row>
    <row r="57" spans="1:41" ht="16.5" thickTop="1">
      <c r="A57" s="1"/>
      <c r="B57" s="489"/>
      <c r="C57" s="489"/>
      <c r="D57" s="421"/>
      <c r="E57" s="488"/>
      <c r="F57" s="421"/>
      <c r="G57" s="488"/>
      <c r="H57" s="1"/>
      <c r="I57" s="24">
        <v>0</v>
      </c>
      <c r="J57" s="1"/>
      <c r="K57" s="28" t="s">
        <v>17</v>
      </c>
      <c r="L57" s="29"/>
      <c r="M57" s="1"/>
      <c r="N57" s="44"/>
      <c r="O57" s="422"/>
      <c r="P57" s="421"/>
      <c r="Q57" s="421"/>
      <c r="R57" s="137"/>
      <c r="S57" s="110"/>
      <c r="T57" s="44"/>
      <c r="U57" s="422"/>
      <c r="V57" s="421"/>
      <c r="W57" s="1"/>
      <c r="X57" s="1"/>
      <c r="Y57" s="1"/>
      <c r="Z57" s="1"/>
      <c r="AA57" s="1"/>
      <c r="AB57" s="1"/>
      <c r="AC57" s="1"/>
      <c r="AD57" s="1"/>
      <c r="AE57" s="1"/>
      <c r="AF57" s="1"/>
      <c r="AG57" s="1"/>
      <c r="AH57" s="1"/>
      <c r="AI57" s="1"/>
      <c r="AJ57" s="1"/>
      <c r="AK57" s="1"/>
      <c r="AL57" s="1"/>
      <c r="AM57" s="1"/>
      <c r="AN57" s="1"/>
      <c r="AO57" s="1"/>
    </row>
    <row r="58" spans="1:41" ht="15.75">
      <c r="A58" s="1"/>
      <c r="B58" s="489"/>
      <c r="C58" s="489"/>
      <c r="D58" s="421"/>
      <c r="E58" s="488"/>
      <c r="F58" s="421"/>
      <c r="G58" s="488"/>
      <c r="H58" s="1"/>
      <c r="I58" s="27">
        <v>0.25</v>
      </c>
      <c r="J58" s="1"/>
      <c r="K58" s="28" t="s">
        <v>271</v>
      </c>
      <c r="L58" s="29"/>
      <c r="M58" s="1"/>
      <c r="N58" s="44"/>
      <c r="O58" s="422"/>
      <c r="P58" s="421"/>
      <c r="Q58" s="421"/>
      <c r="R58" s="137"/>
      <c r="S58" s="79"/>
      <c r="T58" s="44"/>
      <c r="U58" s="422"/>
      <c r="V58" s="421"/>
      <c r="W58" s="1"/>
      <c r="X58" s="1"/>
      <c r="Y58" s="1"/>
      <c r="Z58" s="1"/>
      <c r="AA58" s="1"/>
      <c r="AB58" s="1"/>
      <c r="AC58" s="1"/>
      <c r="AD58" s="1"/>
      <c r="AE58" s="1"/>
      <c r="AF58" s="1"/>
      <c r="AG58" s="1"/>
      <c r="AH58" s="1"/>
      <c r="AI58" s="1"/>
      <c r="AJ58" s="1"/>
      <c r="AK58" s="1"/>
      <c r="AL58" s="1"/>
      <c r="AM58" s="1"/>
      <c r="AN58" s="1"/>
      <c r="AO58" s="1"/>
    </row>
    <row r="59" spans="1:41" ht="15.75">
      <c r="A59" s="1"/>
      <c r="B59" s="489"/>
      <c r="C59" s="489"/>
      <c r="D59" s="421"/>
      <c r="E59" s="488"/>
      <c r="F59" s="421"/>
      <c r="G59" s="488"/>
      <c r="H59" s="1"/>
      <c r="I59" s="27">
        <v>0.5</v>
      </c>
      <c r="J59" s="1"/>
      <c r="K59" s="376" t="s">
        <v>18</v>
      </c>
      <c r="L59" s="377"/>
      <c r="M59" s="1"/>
      <c r="N59" s="44"/>
      <c r="O59" s="422"/>
      <c r="P59" s="421"/>
      <c r="Q59" s="421"/>
      <c r="R59" s="137"/>
      <c r="S59" s="110"/>
      <c r="T59" s="44"/>
      <c r="U59" s="422"/>
      <c r="V59" s="421"/>
      <c r="W59" s="1"/>
      <c r="X59" s="1"/>
      <c r="Y59" s="1"/>
      <c r="Z59" s="1"/>
      <c r="AA59" s="1"/>
      <c r="AB59" s="1"/>
      <c r="AC59" s="1"/>
      <c r="AD59" s="1"/>
      <c r="AE59" s="1"/>
      <c r="AF59" s="1"/>
      <c r="AG59" s="1"/>
      <c r="AH59" s="1"/>
      <c r="AI59" s="1"/>
      <c r="AJ59" s="1"/>
      <c r="AK59" s="1"/>
      <c r="AL59" s="1"/>
      <c r="AM59" s="1"/>
      <c r="AN59" s="1"/>
      <c r="AO59" s="1"/>
    </row>
    <row r="60" spans="1:41" ht="16.5" thickBot="1">
      <c r="A60" s="1"/>
      <c r="B60" s="489"/>
      <c r="C60" s="489"/>
      <c r="D60" s="421"/>
      <c r="E60" s="488"/>
      <c r="F60" s="421"/>
      <c r="G60" s="488"/>
      <c r="H60" s="1"/>
      <c r="I60" s="27">
        <v>1</v>
      </c>
      <c r="J60" s="1"/>
      <c r="K60" s="22"/>
      <c r="L60" s="23"/>
      <c r="M60" s="1"/>
      <c r="N60" s="44"/>
      <c r="O60" s="422"/>
      <c r="P60" s="421"/>
      <c r="Q60" s="421"/>
      <c r="R60" s="137"/>
      <c r="S60" s="110"/>
      <c r="T60" s="44"/>
      <c r="U60" s="422"/>
      <c r="V60" s="421"/>
      <c r="W60" s="1"/>
      <c r="X60" s="1"/>
      <c r="Y60" s="1"/>
      <c r="Z60" s="1"/>
      <c r="AA60" s="1"/>
      <c r="AB60" s="1"/>
      <c r="AC60" s="1"/>
      <c r="AD60" s="1"/>
      <c r="AE60" s="1"/>
      <c r="AF60" s="1"/>
      <c r="AG60" s="1"/>
      <c r="AH60" s="1"/>
      <c r="AI60" s="1"/>
      <c r="AJ60" s="1"/>
      <c r="AK60" s="1"/>
      <c r="AL60" s="1"/>
      <c r="AM60" s="1"/>
      <c r="AN60" s="1"/>
      <c r="AO60" s="1"/>
    </row>
    <row r="61" spans="1:41" ht="17.25" thickTop="1" thickBot="1">
      <c r="A61" s="1"/>
      <c r="B61" s="489"/>
      <c r="C61" s="489"/>
      <c r="D61" s="421"/>
      <c r="E61" s="488"/>
      <c r="F61" s="421"/>
      <c r="G61" s="488"/>
      <c r="H61" s="1"/>
      <c r="I61" s="27">
        <v>1.5</v>
      </c>
      <c r="J61" s="1"/>
      <c r="K61" s="1"/>
      <c r="L61" s="1"/>
      <c r="M61" s="1"/>
      <c r="N61" s="44"/>
      <c r="O61" s="422"/>
      <c r="P61" s="421"/>
      <c r="Q61" s="421"/>
      <c r="R61" s="137"/>
      <c r="S61" s="110"/>
      <c r="T61" s="44"/>
      <c r="U61" s="422"/>
      <c r="V61" s="421"/>
      <c r="W61" s="1"/>
      <c r="X61" s="1"/>
      <c r="Y61" s="1"/>
      <c r="Z61" s="1"/>
      <c r="AA61" s="1"/>
      <c r="AB61" s="1"/>
      <c r="AC61" s="1"/>
      <c r="AD61" s="1"/>
      <c r="AE61" s="1"/>
      <c r="AF61" s="1"/>
      <c r="AG61" s="1"/>
      <c r="AH61" s="1"/>
      <c r="AI61" s="1"/>
      <c r="AJ61" s="1"/>
      <c r="AK61" s="1"/>
      <c r="AL61" s="1"/>
      <c r="AM61" s="1"/>
      <c r="AN61" s="1"/>
      <c r="AO61" s="1"/>
    </row>
    <row r="62" spans="1:41" ht="16.5" thickTop="1">
      <c r="A62" s="1"/>
      <c r="B62" s="489"/>
      <c r="C62" s="489"/>
      <c r="D62" s="421"/>
      <c r="E62" s="488"/>
      <c r="F62" s="421"/>
      <c r="G62" s="488"/>
      <c r="H62" s="1"/>
      <c r="I62" s="27">
        <v>2</v>
      </c>
      <c r="J62" s="1"/>
      <c r="K62" s="25" t="s">
        <v>19</v>
      </c>
      <c r="L62" s="26"/>
      <c r="M62" s="1"/>
      <c r="N62" s="44"/>
      <c r="O62" s="422"/>
      <c r="P62" s="421"/>
      <c r="Q62" s="421"/>
      <c r="R62" s="137"/>
      <c r="S62" s="79"/>
      <c r="T62" s="44"/>
      <c r="U62" s="422"/>
      <c r="V62" s="421"/>
      <c r="W62" s="1"/>
      <c r="X62" s="1"/>
      <c r="Y62" s="1"/>
      <c r="Z62" s="1"/>
      <c r="AA62" s="1"/>
      <c r="AB62" s="1"/>
      <c r="AC62" s="1"/>
      <c r="AD62" s="1"/>
      <c r="AE62" s="1"/>
      <c r="AF62" s="1"/>
      <c r="AG62" s="1"/>
      <c r="AH62" s="1"/>
      <c r="AI62" s="1"/>
      <c r="AJ62" s="1"/>
      <c r="AK62" s="1"/>
      <c r="AL62" s="1"/>
      <c r="AM62" s="1"/>
      <c r="AN62" s="1"/>
      <c r="AO62" s="1"/>
    </row>
    <row r="63" spans="1:41" ht="15.75">
      <c r="A63" s="1"/>
      <c r="B63" s="489"/>
      <c r="C63" s="489"/>
      <c r="D63" s="421"/>
      <c r="E63" s="488"/>
      <c r="F63" s="421"/>
      <c r="G63" s="488"/>
      <c r="H63" s="1"/>
      <c r="I63" s="27">
        <v>4</v>
      </c>
      <c r="J63" s="1"/>
      <c r="K63" s="28" t="s">
        <v>20</v>
      </c>
      <c r="L63" s="29"/>
      <c r="M63" s="1"/>
      <c r="N63" s="44"/>
      <c r="O63" s="422"/>
      <c r="P63" s="421"/>
      <c r="Q63" s="421"/>
      <c r="R63" s="137"/>
      <c r="S63" s="110"/>
      <c r="T63" s="44"/>
      <c r="U63" s="422"/>
      <c r="V63" s="421"/>
      <c r="W63" s="1"/>
      <c r="X63" s="1"/>
      <c r="Y63" s="1"/>
      <c r="Z63" s="1"/>
      <c r="AA63" s="1"/>
      <c r="AB63" s="1"/>
      <c r="AC63" s="1"/>
      <c r="AD63" s="1"/>
      <c r="AE63" s="1"/>
      <c r="AF63" s="1"/>
      <c r="AG63" s="1"/>
      <c r="AH63" s="1"/>
      <c r="AI63" s="1"/>
      <c r="AJ63" s="1"/>
      <c r="AK63" s="1"/>
      <c r="AL63" s="1"/>
      <c r="AM63" s="1"/>
      <c r="AN63" s="1"/>
      <c r="AO63" s="1"/>
    </row>
    <row r="64" spans="1:41" ht="16.5" thickBot="1">
      <c r="A64" s="1"/>
      <c r="B64" s="489"/>
      <c r="C64" s="489"/>
      <c r="D64" s="421"/>
      <c r="E64" s="488"/>
      <c r="F64" s="421"/>
      <c r="G64" s="488"/>
      <c r="H64" s="1"/>
      <c r="I64" s="30" t="s">
        <v>21</v>
      </c>
      <c r="J64" s="1"/>
      <c r="K64" s="22" t="s">
        <v>22</v>
      </c>
      <c r="L64" s="23"/>
      <c r="M64" s="1"/>
      <c r="N64" s="41"/>
      <c r="O64" s="41"/>
      <c r="P64" s="421"/>
      <c r="Q64" s="421"/>
      <c r="R64" s="137"/>
      <c r="S64" s="110"/>
      <c r="T64" s="44"/>
      <c r="U64" s="422"/>
      <c r="V64" s="421"/>
      <c r="W64" s="1"/>
      <c r="X64" s="1"/>
      <c r="Y64" s="1"/>
      <c r="Z64" s="1"/>
      <c r="AA64" s="1"/>
      <c r="AB64" s="1"/>
      <c r="AC64" s="1"/>
      <c r="AD64" s="1"/>
      <c r="AE64" s="1"/>
      <c r="AF64" s="1"/>
      <c r="AG64" s="1"/>
      <c r="AH64" s="1"/>
      <c r="AI64" s="1"/>
      <c r="AJ64" s="1"/>
      <c r="AK64" s="1"/>
      <c r="AL64" s="1"/>
      <c r="AM64" s="1"/>
      <c r="AN64" s="1"/>
      <c r="AO64" s="1"/>
    </row>
    <row r="65" spans="1:41" ht="16.5" thickTop="1">
      <c r="A65" s="1"/>
      <c r="B65" s="490"/>
      <c r="C65" s="489"/>
      <c r="D65" s="421"/>
      <c r="E65" s="488"/>
      <c r="F65" s="421"/>
      <c r="G65" s="488"/>
      <c r="H65" s="1"/>
      <c r="I65" s="1"/>
      <c r="J65" s="1"/>
      <c r="K65" s="1"/>
      <c r="L65" s="1"/>
      <c r="M65" s="1"/>
      <c r="N65" s="41"/>
      <c r="O65" s="41"/>
      <c r="P65" s="421"/>
      <c r="Q65" s="421"/>
      <c r="R65" s="137"/>
      <c r="S65" s="110"/>
      <c r="T65" s="44"/>
      <c r="U65" s="422"/>
      <c r="V65" s="421"/>
      <c r="W65" s="1"/>
      <c r="X65" s="1"/>
      <c r="Y65" s="1"/>
      <c r="Z65" s="1"/>
      <c r="AA65" s="1"/>
      <c r="AB65" s="1"/>
      <c r="AC65" s="1"/>
      <c r="AD65" s="1"/>
      <c r="AE65" s="1"/>
      <c r="AF65" s="1"/>
      <c r="AG65" s="1"/>
      <c r="AH65" s="1"/>
      <c r="AI65" s="1"/>
      <c r="AJ65" s="1"/>
      <c r="AK65" s="1"/>
      <c r="AL65" s="1"/>
      <c r="AM65" s="1"/>
      <c r="AN65" s="1"/>
      <c r="AO65" s="1"/>
    </row>
    <row r="66" spans="1:41" ht="15.75">
      <c r="A66" s="1"/>
      <c r="B66" s="490"/>
      <c r="C66" s="489"/>
      <c r="D66" s="421"/>
      <c r="E66" s="488"/>
      <c r="F66" s="421"/>
      <c r="G66" s="488"/>
      <c r="H66" s="1"/>
      <c r="I66" s="1"/>
      <c r="J66" s="1"/>
      <c r="K66" s="1"/>
      <c r="L66" s="1"/>
      <c r="M66" s="1"/>
      <c r="N66" s="44"/>
      <c r="O66" s="422"/>
      <c r="P66" s="421"/>
      <c r="Q66" s="421"/>
      <c r="R66" s="137"/>
      <c r="S66" s="79"/>
      <c r="T66" s="44"/>
      <c r="U66" s="422"/>
      <c r="V66" s="421"/>
      <c r="W66" s="1"/>
      <c r="X66" s="1"/>
      <c r="Y66" s="1"/>
      <c r="Z66" s="1"/>
      <c r="AA66" s="1"/>
      <c r="AB66" s="1"/>
      <c r="AC66" s="1"/>
      <c r="AD66" s="1"/>
      <c r="AE66" s="1"/>
      <c r="AF66" s="1"/>
      <c r="AG66" s="1"/>
      <c r="AH66" s="1"/>
      <c r="AI66" s="1"/>
      <c r="AJ66" s="1"/>
      <c r="AK66" s="1"/>
      <c r="AL66" s="1"/>
      <c r="AM66" s="1"/>
      <c r="AN66" s="1"/>
      <c r="AO66" s="1"/>
    </row>
    <row r="67" spans="1:41" ht="15.75">
      <c r="A67" s="1"/>
      <c r="B67" s="490"/>
      <c r="C67" s="489"/>
      <c r="D67" s="421"/>
      <c r="E67" s="488"/>
      <c r="F67" s="421"/>
      <c r="G67" s="488"/>
      <c r="H67" s="1"/>
      <c r="I67" s="1"/>
      <c r="J67" s="1"/>
      <c r="K67" s="1"/>
      <c r="L67" s="1"/>
      <c r="M67" s="1"/>
      <c r="N67" s="44"/>
      <c r="O67" s="422"/>
      <c r="P67" s="421"/>
      <c r="Q67" s="421"/>
      <c r="R67" s="137"/>
      <c r="S67" s="110"/>
      <c r="T67" s="44"/>
      <c r="U67" s="422"/>
      <c r="V67" s="421"/>
      <c r="W67" s="1"/>
      <c r="X67" s="1"/>
      <c r="Y67" s="1"/>
      <c r="Z67" s="1"/>
      <c r="AA67" s="1"/>
      <c r="AB67" s="1"/>
      <c r="AC67" s="1"/>
      <c r="AD67" s="1"/>
      <c r="AE67" s="1"/>
      <c r="AF67" s="1"/>
      <c r="AG67" s="1"/>
      <c r="AH67" s="1"/>
      <c r="AI67" s="1"/>
      <c r="AJ67" s="1"/>
      <c r="AK67" s="1"/>
      <c r="AL67" s="1"/>
      <c r="AM67" s="1"/>
      <c r="AN67" s="1"/>
      <c r="AO67" s="1"/>
    </row>
    <row r="68" spans="1:41" ht="15.75">
      <c r="A68" s="1"/>
      <c r="B68" s="490"/>
      <c r="C68" s="489"/>
      <c r="D68" s="421"/>
      <c r="E68" s="488"/>
      <c r="F68" s="421"/>
      <c r="G68" s="488"/>
      <c r="H68" s="1"/>
      <c r="I68" s="1"/>
      <c r="J68" s="1"/>
      <c r="K68" s="1"/>
      <c r="L68" s="1"/>
      <c r="M68" s="1"/>
      <c r="N68" s="44"/>
      <c r="O68" s="422"/>
      <c r="P68" s="421"/>
      <c r="Q68" s="421"/>
      <c r="R68" s="137"/>
      <c r="S68" s="110"/>
      <c r="T68" s="44"/>
      <c r="U68" s="422"/>
      <c r="V68" s="421"/>
      <c r="W68" s="1"/>
      <c r="X68" s="1"/>
      <c r="Y68" s="1"/>
      <c r="Z68" s="1"/>
      <c r="AA68" s="1"/>
      <c r="AB68" s="1"/>
      <c r="AC68" s="1"/>
      <c r="AD68" s="1"/>
      <c r="AE68" s="1"/>
      <c r="AF68" s="1"/>
      <c r="AG68" s="1"/>
      <c r="AH68" s="1"/>
      <c r="AI68" s="1"/>
      <c r="AJ68" s="1"/>
      <c r="AK68" s="1"/>
      <c r="AL68" s="1"/>
      <c r="AM68" s="1"/>
      <c r="AN68" s="1"/>
      <c r="AO68" s="1"/>
    </row>
    <row r="69" spans="1:41" ht="15.75">
      <c r="A69" s="1"/>
      <c r="B69" s="489"/>
      <c r="C69" s="489"/>
      <c r="D69" s="421"/>
      <c r="E69" s="488"/>
      <c r="F69" s="421"/>
      <c r="G69" s="488"/>
      <c r="H69" s="1"/>
      <c r="I69" s="1"/>
      <c r="J69" s="1"/>
      <c r="K69" s="1"/>
      <c r="L69" s="1"/>
      <c r="M69" s="1"/>
      <c r="N69" s="44"/>
      <c r="O69" s="422"/>
      <c r="P69" s="421"/>
      <c r="Q69" s="421"/>
      <c r="R69" s="137"/>
      <c r="S69" s="110"/>
      <c r="T69" s="44"/>
      <c r="U69" s="422"/>
      <c r="V69" s="421"/>
      <c r="W69" s="1"/>
      <c r="X69" s="1"/>
      <c r="Y69" s="1"/>
      <c r="Z69" s="1"/>
      <c r="AA69" s="1"/>
      <c r="AB69" s="1"/>
      <c r="AC69" s="1"/>
      <c r="AD69" s="1"/>
      <c r="AE69" s="1"/>
      <c r="AF69" s="1"/>
      <c r="AG69" s="1"/>
      <c r="AH69" s="1"/>
      <c r="AI69" s="1"/>
      <c r="AJ69" s="1"/>
      <c r="AK69" s="1"/>
      <c r="AL69" s="1"/>
      <c r="AM69" s="1"/>
      <c r="AN69" s="1"/>
      <c r="AO69" s="1"/>
    </row>
    <row r="70" spans="1:41" ht="15.75">
      <c r="A70" s="1"/>
      <c r="B70" s="489"/>
      <c r="C70" s="489"/>
      <c r="D70" s="421"/>
      <c r="E70" s="488"/>
      <c r="F70" s="421"/>
      <c r="G70" s="488"/>
      <c r="H70" s="1"/>
      <c r="I70" s="1"/>
      <c r="J70" s="1"/>
      <c r="K70" s="1"/>
      <c r="L70" s="1"/>
      <c r="M70" s="1"/>
      <c r="N70" s="44"/>
      <c r="O70" s="422"/>
      <c r="P70" s="421"/>
      <c r="Q70" s="421"/>
      <c r="R70" s="137"/>
      <c r="S70" s="110"/>
      <c r="T70" s="44"/>
      <c r="U70" s="422"/>
      <c r="V70" s="421"/>
      <c r="W70" s="1"/>
      <c r="X70" s="1"/>
      <c r="Y70" s="1"/>
      <c r="Z70" s="1"/>
      <c r="AA70" s="1"/>
      <c r="AB70" s="1"/>
      <c r="AC70" s="1"/>
      <c r="AD70" s="1"/>
      <c r="AE70" s="1"/>
      <c r="AF70" s="1"/>
      <c r="AG70" s="1"/>
      <c r="AH70" s="1"/>
      <c r="AI70" s="1"/>
      <c r="AJ70" s="1"/>
      <c r="AK70" s="1"/>
      <c r="AL70" s="1"/>
      <c r="AM70" s="1"/>
      <c r="AN70" s="1"/>
      <c r="AO70" s="1"/>
    </row>
    <row r="71" spans="1:41" ht="15.75">
      <c r="A71" s="1"/>
      <c r="B71" s="489"/>
      <c r="C71" s="489"/>
      <c r="D71" s="421"/>
      <c r="E71" s="488"/>
      <c r="F71" s="421"/>
      <c r="G71" s="488"/>
      <c r="H71" s="1"/>
      <c r="I71" s="1"/>
      <c r="J71" s="1"/>
      <c r="K71" s="1"/>
      <c r="L71" s="1"/>
      <c r="M71" s="1"/>
      <c r="N71" s="44"/>
      <c r="O71" s="44"/>
      <c r="P71" s="421"/>
      <c r="Q71" s="421"/>
      <c r="R71" s="137"/>
      <c r="S71" s="110"/>
      <c r="T71" s="44"/>
      <c r="U71" s="44"/>
      <c r="V71" s="421"/>
      <c r="W71" s="1"/>
      <c r="X71" s="1"/>
      <c r="Y71" s="1"/>
      <c r="Z71" s="1"/>
      <c r="AA71" s="1"/>
      <c r="AB71" s="1"/>
      <c r="AC71" s="1"/>
      <c r="AD71" s="1"/>
      <c r="AE71" s="1"/>
      <c r="AF71" s="1"/>
      <c r="AG71" s="1"/>
      <c r="AH71" s="1"/>
      <c r="AI71" s="1"/>
      <c r="AJ71" s="1"/>
      <c r="AK71" s="1"/>
      <c r="AL71" s="1"/>
      <c r="AM71" s="1"/>
      <c r="AN71" s="1"/>
      <c r="AO71" s="1"/>
    </row>
    <row r="72" spans="1:41" ht="15.75">
      <c r="A72" s="1"/>
      <c r="B72" s="489"/>
      <c r="C72" s="489"/>
      <c r="D72" s="421"/>
      <c r="E72" s="488"/>
      <c r="F72" s="421"/>
      <c r="G72" s="488"/>
      <c r="H72" s="1"/>
      <c r="I72" s="1"/>
      <c r="J72" s="1"/>
      <c r="K72" s="1"/>
      <c r="L72" s="1"/>
      <c r="M72" s="1"/>
      <c r="N72" s="44"/>
      <c r="O72" s="422"/>
      <c r="P72" s="421"/>
      <c r="Q72" s="421"/>
      <c r="R72" s="137"/>
      <c r="S72" s="110"/>
      <c r="T72" s="44"/>
      <c r="U72" s="422"/>
      <c r="V72" s="421"/>
      <c r="W72" s="1"/>
      <c r="X72" s="1"/>
      <c r="Y72" s="1"/>
      <c r="Z72" s="1"/>
      <c r="AA72" s="1"/>
      <c r="AB72" s="1"/>
      <c r="AC72" s="1"/>
      <c r="AD72" s="1"/>
      <c r="AE72" s="1"/>
      <c r="AF72" s="1"/>
      <c r="AG72" s="1"/>
      <c r="AH72" s="1"/>
      <c r="AI72" s="1"/>
      <c r="AJ72" s="1"/>
      <c r="AK72" s="1"/>
      <c r="AL72" s="1"/>
      <c r="AM72" s="1"/>
      <c r="AN72" s="1"/>
      <c r="AO72" s="1"/>
    </row>
    <row r="73" spans="1:41" ht="15.75">
      <c r="A73" s="1"/>
      <c r="B73" s="421"/>
      <c r="C73" s="421"/>
      <c r="D73" s="421"/>
      <c r="E73" s="488"/>
      <c r="F73" s="421"/>
      <c r="G73" s="421"/>
      <c r="H73" s="1"/>
      <c r="I73" s="1"/>
      <c r="J73" s="1"/>
      <c r="K73" s="1"/>
      <c r="L73" s="1"/>
      <c r="M73" s="1"/>
      <c r="N73" s="41"/>
      <c r="O73" s="41"/>
      <c r="P73" s="421"/>
      <c r="Q73" s="421"/>
      <c r="R73" s="137"/>
      <c r="S73" s="79"/>
      <c r="T73" s="44"/>
      <c r="U73" s="422"/>
      <c r="V73" s="421"/>
      <c r="W73" s="1"/>
      <c r="X73" s="1"/>
      <c r="Y73" s="1"/>
      <c r="Z73" s="1"/>
      <c r="AA73" s="1"/>
      <c r="AB73" s="1"/>
      <c r="AC73" s="1"/>
      <c r="AD73" s="1"/>
      <c r="AE73" s="1"/>
      <c r="AF73" s="1"/>
      <c r="AG73" s="1"/>
      <c r="AH73" s="1"/>
      <c r="AI73" s="1"/>
      <c r="AJ73" s="1"/>
      <c r="AK73" s="1"/>
      <c r="AL73" s="1"/>
      <c r="AM73" s="1"/>
      <c r="AN73" s="1"/>
      <c r="AO73" s="1"/>
    </row>
    <row r="74" spans="1:41" ht="15.75">
      <c r="A74" s="1"/>
      <c r="B74" s="421"/>
      <c r="C74" s="421"/>
      <c r="D74" s="421"/>
      <c r="E74" s="488"/>
      <c r="F74" s="421"/>
      <c r="G74" s="421"/>
      <c r="H74" s="1"/>
      <c r="I74" s="1"/>
      <c r="J74" s="1"/>
      <c r="K74" s="1"/>
      <c r="L74" s="1"/>
      <c r="M74" s="1"/>
      <c r="N74" s="41"/>
      <c r="O74" s="41"/>
      <c r="P74" s="421"/>
      <c r="Q74" s="421"/>
      <c r="R74" s="137"/>
      <c r="S74" s="110"/>
      <c r="T74" s="44"/>
      <c r="U74" s="422"/>
      <c r="V74" s="421"/>
      <c r="W74" s="1"/>
      <c r="X74" s="1"/>
      <c r="Y74" s="1"/>
      <c r="Z74" s="1"/>
      <c r="AA74" s="1"/>
      <c r="AB74" s="1"/>
      <c r="AC74" s="1"/>
      <c r="AD74" s="1"/>
      <c r="AE74" s="1"/>
      <c r="AF74" s="1"/>
      <c r="AG74" s="1"/>
      <c r="AH74" s="1"/>
      <c r="AI74" s="1"/>
      <c r="AJ74" s="1"/>
      <c r="AK74" s="1"/>
      <c r="AL74" s="1"/>
      <c r="AM74" s="1"/>
      <c r="AN74" s="1"/>
      <c r="AO74" s="1"/>
    </row>
    <row r="75" spans="1:41" ht="15.75">
      <c r="A75" s="1"/>
      <c r="B75" s="1"/>
      <c r="C75" s="1"/>
      <c r="D75" s="1"/>
      <c r="E75" s="488"/>
      <c r="F75" s="421"/>
      <c r="G75" s="421"/>
      <c r="H75" s="1"/>
      <c r="I75" s="1"/>
      <c r="J75" s="1"/>
      <c r="K75" s="1"/>
      <c r="L75" s="1"/>
      <c r="M75" s="1"/>
      <c r="N75" s="44"/>
      <c r="O75" s="422"/>
      <c r="P75" s="421"/>
      <c r="Q75" s="421"/>
      <c r="R75" s="137"/>
      <c r="S75" s="110"/>
      <c r="T75" s="44"/>
      <c r="U75" s="422"/>
      <c r="V75" s="421"/>
      <c r="W75" s="1"/>
      <c r="X75" s="1"/>
      <c r="Y75" s="1"/>
      <c r="Z75" s="1"/>
      <c r="AA75" s="1"/>
      <c r="AB75" s="1"/>
      <c r="AC75" s="1"/>
      <c r="AD75" s="1"/>
      <c r="AE75" s="1"/>
      <c r="AF75" s="1"/>
      <c r="AG75" s="1"/>
      <c r="AH75" s="1"/>
      <c r="AI75" s="1"/>
      <c r="AJ75" s="1"/>
      <c r="AK75" s="1"/>
      <c r="AL75" s="1"/>
      <c r="AM75" s="1"/>
      <c r="AN75" s="1"/>
      <c r="AO75" s="1"/>
    </row>
    <row r="76" spans="1:41" ht="15.75">
      <c r="A76" s="1"/>
      <c r="B76" s="1"/>
      <c r="C76" s="1"/>
      <c r="D76" s="1"/>
      <c r="E76" s="488"/>
      <c r="F76" s="421"/>
      <c r="G76" s="421"/>
      <c r="H76" s="1"/>
      <c r="I76" s="1"/>
      <c r="J76" s="1"/>
      <c r="K76" s="1"/>
      <c r="L76" s="1"/>
      <c r="M76" s="1"/>
      <c r="N76" s="44"/>
      <c r="O76" s="422"/>
      <c r="P76" s="421"/>
      <c r="Q76" s="421"/>
      <c r="R76" s="137"/>
      <c r="S76" s="110"/>
      <c r="T76" s="44"/>
      <c r="U76" s="422"/>
      <c r="V76" s="421"/>
      <c r="W76" s="1"/>
      <c r="X76" s="1"/>
      <c r="Y76" s="1"/>
      <c r="Z76" s="1"/>
      <c r="AA76" s="1"/>
      <c r="AB76" s="1"/>
      <c r="AC76" s="1"/>
      <c r="AD76" s="1"/>
      <c r="AE76" s="1"/>
      <c r="AF76" s="1"/>
      <c r="AG76" s="1"/>
      <c r="AH76" s="1"/>
      <c r="AI76" s="1"/>
      <c r="AJ76" s="1"/>
      <c r="AK76" s="1"/>
      <c r="AL76" s="1"/>
      <c r="AM76" s="1"/>
      <c r="AN76" s="1"/>
      <c r="AO76" s="1"/>
    </row>
    <row r="77" spans="1:41" ht="15.75">
      <c r="A77" s="1"/>
      <c r="B77" s="1"/>
      <c r="C77" s="1"/>
      <c r="D77" s="1"/>
      <c r="E77" s="488"/>
      <c r="F77" s="421"/>
      <c r="G77" s="421"/>
      <c r="H77" s="1"/>
      <c r="I77" s="1"/>
      <c r="J77" s="1"/>
      <c r="K77" s="1"/>
      <c r="L77" s="1"/>
      <c r="M77" s="1"/>
      <c r="N77" s="44"/>
      <c r="O77" s="422"/>
      <c r="P77" s="421"/>
      <c r="Q77" s="421"/>
      <c r="R77" s="137"/>
      <c r="S77" s="110"/>
      <c r="T77" s="44"/>
      <c r="U77" s="422"/>
      <c r="V77" s="421"/>
      <c r="W77" s="1"/>
      <c r="X77" s="1"/>
      <c r="Y77" s="1"/>
      <c r="Z77" s="1"/>
      <c r="AA77" s="1"/>
      <c r="AB77" s="1"/>
      <c r="AC77" s="1"/>
      <c r="AD77" s="1"/>
      <c r="AE77" s="1"/>
      <c r="AF77" s="1"/>
      <c r="AG77" s="1"/>
      <c r="AH77" s="1"/>
      <c r="AI77" s="1"/>
      <c r="AJ77" s="1"/>
      <c r="AK77" s="1"/>
      <c r="AL77" s="1"/>
      <c r="AM77" s="1"/>
      <c r="AN77" s="1"/>
      <c r="AO77" s="1"/>
    </row>
    <row r="78" spans="1:41" ht="15.75">
      <c r="A78" s="1"/>
      <c r="B78" s="1"/>
      <c r="C78" s="1"/>
      <c r="D78" s="1"/>
      <c r="E78" s="488"/>
      <c r="F78" s="421"/>
      <c r="G78" s="421"/>
      <c r="H78" s="1"/>
      <c r="I78" s="1"/>
      <c r="J78" s="1"/>
      <c r="K78" s="1"/>
      <c r="L78" s="1"/>
      <c r="M78" s="1"/>
      <c r="N78" s="44"/>
      <c r="O78" s="422"/>
      <c r="P78" s="421"/>
      <c r="Q78" s="421"/>
      <c r="R78" s="137"/>
      <c r="S78" s="110"/>
      <c r="T78" s="44"/>
      <c r="U78" s="422"/>
      <c r="V78" s="421"/>
      <c r="W78" s="1"/>
      <c r="X78" s="1"/>
      <c r="Y78" s="1"/>
      <c r="Z78" s="1"/>
      <c r="AA78" s="1"/>
      <c r="AB78" s="1"/>
      <c r="AC78" s="1"/>
      <c r="AD78" s="1"/>
      <c r="AE78" s="1"/>
      <c r="AF78" s="1"/>
      <c r="AG78" s="1"/>
      <c r="AH78" s="1"/>
      <c r="AI78" s="1"/>
      <c r="AJ78" s="1"/>
      <c r="AK78" s="1"/>
      <c r="AL78" s="1"/>
      <c r="AM78" s="1"/>
      <c r="AN78" s="1"/>
      <c r="AO78" s="1"/>
    </row>
    <row r="79" spans="1:41" ht="15.75">
      <c r="A79" s="1"/>
      <c r="B79" s="1"/>
      <c r="C79" s="1"/>
      <c r="D79" s="1"/>
      <c r="E79" s="488"/>
      <c r="F79" s="421"/>
      <c r="G79" s="421"/>
      <c r="H79" s="1"/>
      <c r="I79" s="1"/>
      <c r="J79" s="1"/>
      <c r="K79" s="1"/>
      <c r="L79" s="1"/>
      <c r="M79" s="1"/>
      <c r="N79" s="44"/>
      <c r="O79" s="422"/>
      <c r="P79" s="421"/>
      <c r="Q79" s="421"/>
      <c r="R79" s="137"/>
      <c r="S79" s="110"/>
      <c r="T79" s="44"/>
      <c r="U79" s="422"/>
      <c r="V79" s="421"/>
      <c r="W79" s="1"/>
      <c r="X79" s="1"/>
      <c r="Y79" s="1"/>
      <c r="Z79" s="1"/>
      <c r="AA79" s="1"/>
      <c r="AB79" s="1"/>
      <c r="AC79" s="1"/>
      <c r="AD79" s="1"/>
      <c r="AE79" s="1"/>
      <c r="AF79" s="1"/>
      <c r="AG79" s="1"/>
      <c r="AH79" s="1"/>
      <c r="AI79" s="1"/>
      <c r="AJ79" s="1"/>
      <c r="AK79" s="1"/>
      <c r="AL79" s="1"/>
      <c r="AM79" s="1"/>
      <c r="AN79" s="1"/>
      <c r="AO79" s="1"/>
    </row>
    <row r="80" spans="1:41" ht="15.75">
      <c r="A80" s="1"/>
      <c r="B80" s="1"/>
      <c r="C80" s="1"/>
      <c r="D80" s="1"/>
      <c r="E80" s="488"/>
      <c r="F80" s="421"/>
      <c r="G80" s="421"/>
      <c r="H80" s="1"/>
      <c r="I80" s="1"/>
      <c r="J80" s="1"/>
      <c r="K80" s="1"/>
      <c r="L80" s="1"/>
      <c r="M80" s="1"/>
      <c r="N80" s="44"/>
      <c r="O80" s="422"/>
      <c r="P80" s="421"/>
      <c r="Q80" s="421"/>
      <c r="R80" s="137"/>
      <c r="S80" s="110"/>
      <c r="T80" s="44"/>
      <c r="U80" s="422"/>
      <c r="V80" s="421"/>
      <c r="W80" s="1"/>
      <c r="X80" s="1"/>
      <c r="Y80" s="1"/>
      <c r="Z80" s="1"/>
      <c r="AA80" s="1"/>
      <c r="AB80" s="1"/>
      <c r="AC80" s="1"/>
      <c r="AD80" s="1"/>
      <c r="AE80" s="1"/>
      <c r="AF80" s="1"/>
      <c r="AG80" s="1"/>
      <c r="AH80" s="1"/>
      <c r="AI80" s="1"/>
      <c r="AJ80" s="1"/>
      <c r="AK80" s="1"/>
      <c r="AL80" s="1"/>
      <c r="AM80" s="1"/>
      <c r="AN80" s="1"/>
      <c r="AO80" s="1"/>
    </row>
    <row r="81" spans="1:41" ht="15.75">
      <c r="A81" s="1"/>
      <c r="B81" s="1"/>
      <c r="C81" s="1"/>
      <c r="D81" s="1"/>
      <c r="E81" s="488"/>
      <c r="F81" s="421"/>
      <c r="G81" s="421"/>
      <c r="H81" s="1"/>
      <c r="I81" s="1"/>
      <c r="J81" s="1"/>
      <c r="K81" s="1"/>
      <c r="L81" s="1"/>
      <c r="M81" s="1"/>
      <c r="N81" s="44"/>
      <c r="O81" s="422"/>
      <c r="P81" s="421"/>
      <c r="Q81" s="421"/>
      <c r="R81" s="137"/>
      <c r="S81" s="110"/>
      <c r="T81" s="44"/>
      <c r="U81" s="422"/>
      <c r="V81" s="421"/>
      <c r="W81" s="1"/>
      <c r="X81" s="1"/>
      <c r="Y81" s="1"/>
      <c r="Z81" s="1"/>
      <c r="AA81" s="1"/>
      <c r="AB81" s="1"/>
      <c r="AC81" s="1"/>
      <c r="AD81" s="1"/>
      <c r="AE81" s="1"/>
      <c r="AF81" s="1"/>
      <c r="AG81" s="1"/>
      <c r="AH81" s="1"/>
      <c r="AI81" s="1"/>
      <c r="AJ81" s="1"/>
      <c r="AK81" s="1"/>
      <c r="AL81" s="1"/>
      <c r="AM81" s="1"/>
      <c r="AN81" s="1"/>
      <c r="AO81" s="1"/>
    </row>
    <row r="82" spans="1:41" ht="15.75">
      <c r="A82" s="1"/>
      <c r="B82" s="1"/>
      <c r="C82" s="1"/>
      <c r="D82" s="1"/>
      <c r="E82" s="488"/>
      <c r="F82" s="421"/>
      <c r="G82" s="421"/>
      <c r="H82" s="1"/>
      <c r="I82" s="1"/>
      <c r="J82" s="1"/>
      <c r="K82" s="1"/>
      <c r="L82" s="1"/>
      <c r="M82" s="1"/>
      <c r="N82" s="44"/>
      <c r="O82" s="422"/>
      <c r="P82" s="421"/>
      <c r="Q82" s="421"/>
      <c r="R82" s="137"/>
      <c r="S82" s="110"/>
      <c r="T82" s="44"/>
      <c r="U82" s="422"/>
      <c r="V82" s="421"/>
      <c r="W82" s="1"/>
      <c r="X82" s="1"/>
      <c r="Y82" s="1"/>
      <c r="Z82" s="1"/>
      <c r="AA82" s="1"/>
      <c r="AB82" s="1"/>
      <c r="AC82" s="1"/>
      <c r="AD82" s="1"/>
      <c r="AE82" s="1"/>
      <c r="AF82" s="1"/>
      <c r="AG82" s="1"/>
      <c r="AH82" s="1"/>
      <c r="AI82" s="1"/>
      <c r="AJ82" s="1"/>
      <c r="AK82" s="1"/>
      <c r="AL82" s="1"/>
      <c r="AM82" s="1"/>
      <c r="AN82" s="1"/>
      <c r="AO82" s="1"/>
    </row>
    <row r="83" spans="1:41" ht="15.75">
      <c r="A83" s="1"/>
      <c r="B83" s="1"/>
      <c r="C83" s="1"/>
      <c r="D83" s="1"/>
      <c r="E83" s="488"/>
      <c r="F83" s="421"/>
      <c r="G83" s="421"/>
      <c r="H83" s="1"/>
      <c r="I83" s="1"/>
      <c r="J83" s="1"/>
      <c r="K83" s="1"/>
      <c r="L83" s="1"/>
      <c r="M83" s="1"/>
      <c r="N83" s="44"/>
      <c r="O83" s="422"/>
      <c r="P83" s="421"/>
      <c r="Q83" s="421"/>
      <c r="R83" s="210"/>
      <c r="S83" s="423"/>
      <c r="T83" s="44"/>
      <c r="U83" s="422"/>
      <c r="V83" s="421"/>
      <c r="W83" s="1"/>
      <c r="X83" s="1"/>
      <c r="Y83" s="1"/>
      <c r="Z83" s="1"/>
      <c r="AA83" s="1"/>
      <c r="AB83" s="1"/>
      <c r="AC83" s="1"/>
      <c r="AD83" s="1"/>
      <c r="AE83" s="1"/>
      <c r="AF83" s="1"/>
      <c r="AG83" s="1"/>
      <c r="AH83" s="1"/>
      <c r="AI83" s="1"/>
      <c r="AJ83" s="1"/>
      <c r="AK83" s="1"/>
      <c r="AL83" s="1"/>
      <c r="AM83" s="1"/>
      <c r="AN83" s="1"/>
      <c r="AO83" s="1"/>
    </row>
    <row r="84" spans="1:41" ht="15.75">
      <c r="A84" s="1"/>
      <c r="B84" s="1"/>
      <c r="C84" s="1"/>
      <c r="D84" s="1"/>
      <c r="E84" s="488"/>
      <c r="F84" s="421"/>
      <c r="G84" s="421"/>
      <c r="H84" s="1"/>
      <c r="I84" s="1"/>
      <c r="J84" s="1"/>
      <c r="K84" s="1"/>
      <c r="L84" s="1"/>
      <c r="M84" s="1"/>
      <c r="N84" s="44"/>
      <c r="O84" s="422"/>
      <c r="P84" s="421"/>
      <c r="Q84" s="421"/>
      <c r="R84" s="210"/>
      <c r="S84" s="196"/>
      <c r="T84" s="44"/>
      <c r="U84" s="422"/>
      <c r="V84" s="421"/>
      <c r="W84" s="1"/>
      <c r="X84" s="1"/>
      <c r="Y84" s="1"/>
      <c r="Z84" s="1"/>
      <c r="AA84" s="1"/>
      <c r="AB84" s="1"/>
      <c r="AC84" s="1"/>
      <c r="AD84" s="1"/>
      <c r="AE84" s="1"/>
      <c r="AF84" s="1"/>
      <c r="AG84" s="1"/>
      <c r="AH84" s="1"/>
      <c r="AI84" s="1"/>
      <c r="AJ84" s="1"/>
      <c r="AK84" s="1"/>
      <c r="AL84" s="1"/>
      <c r="AM84" s="1"/>
      <c r="AN84" s="1"/>
      <c r="AO84" s="1"/>
    </row>
    <row r="85" spans="1:41" ht="15.75">
      <c r="A85" s="1"/>
      <c r="B85" s="1"/>
      <c r="C85" s="1"/>
      <c r="D85" s="1"/>
      <c r="E85" s="488"/>
      <c r="F85" s="421"/>
      <c r="G85" s="421"/>
      <c r="H85" s="1"/>
      <c r="I85" s="1"/>
      <c r="J85" s="1"/>
      <c r="K85" s="1"/>
      <c r="L85" s="1"/>
      <c r="M85" s="1"/>
      <c r="N85" s="41"/>
      <c r="O85" s="41"/>
      <c r="P85" s="421"/>
      <c r="Q85" s="421"/>
      <c r="R85" s="210"/>
      <c r="S85" s="196"/>
      <c r="T85" s="44"/>
      <c r="U85" s="422"/>
      <c r="V85" s="421"/>
      <c r="W85" s="1"/>
      <c r="X85" s="1"/>
      <c r="Y85" s="1"/>
      <c r="Z85" s="1"/>
      <c r="AA85" s="1"/>
      <c r="AB85" s="1"/>
      <c r="AC85" s="1"/>
      <c r="AD85" s="1"/>
      <c r="AE85" s="1"/>
      <c r="AF85" s="1"/>
      <c r="AG85" s="1"/>
      <c r="AH85" s="1"/>
      <c r="AI85" s="1"/>
      <c r="AJ85" s="1"/>
      <c r="AK85" s="1"/>
      <c r="AL85" s="1"/>
      <c r="AM85" s="1"/>
      <c r="AN85" s="1"/>
      <c r="AO85" s="1"/>
    </row>
    <row r="86" spans="1:41" ht="15.75">
      <c r="A86" s="1"/>
      <c r="B86" s="1"/>
      <c r="C86" s="1"/>
      <c r="D86" s="1"/>
      <c r="E86" s="488"/>
      <c r="F86" s="421"/>
      <c r="G86" s="421"/>
      <c r="H86" s="1"/>
      <c r="I86" s="1"/>
      <c r="J86" s="1"/>
      <c r="K86" s="1"/>
      <c r="L86" s="1"/>
      <c r="M86" s="1"/>
      <c r="N86" s="41"/>
      <c r="O86" s="41"/>
      <c r="P86" s="421"/>
      <c r="Q86" s="421"/>
      <c r="R86" s="210"/>
      <c r="S86" s="196"/>
      <c r="T86" s="44"/>
      <c r="U86" s="422"/>
      <c r="V86" s="421"/>
      <c r="W86" s="1"/>
      <c r="X86" s="1"/>
      <c r="Y86" s="1"/>
      <c r="Z86" s="1"/>
      <c r="AA86" s="1"/>
      <c r="AB86" s="1"/>
      <c r="AC86" s="1"/>
      <c r="AD86" s="1"/>
      <c r="AE86" s="1"/>
      <c r="AF86" s="1"/>
      <c r="AG86" s="1"/>
      <c r="AH86" s="1"/>
      <c r="AI86" s="1"/>
      <c r="AJ86" s="1"/>
      <c r="AK86" s="1"/>
      <c r="AL86" s="1"/>
      <c r="AM86" s="1"/>
      <c r="AN86" s="1"/>
      <c r="AO86" s="1"/>
    </row>
    <row r="87" spans="1:41" ht="15.75">
      <c r="A87" s="1"/>
      <c r="B87" s="1"/>
      <c r="C87" s="1"/>
      <c r="D87" s="1"/>
      <c r="E87" s="488"/>
      <c r="F87" s="421"/>
      <c r="G87" s="421"/>
      <c r="H87" s="1"/>
      <c r="I87" s="1"/>
      <c r="J87" s="1"/>
      <c r="K87" s="1"/>
      <c r="L87" s="1"/>
      <c r="M87" s="1"/>
      <c r="N87" s="44"/>
      <c r="O87" s="422"/>
      <c r="P87" s="421"/>
      <c r="Q87" s="421"/>
      <c r="R87" s="421"/>
      <c r="S87" s="421"/>
      <c r="T87" s="41"/>
      <c r="U87" s="41"/>
      <c r="V87" s="421"/>
      <c r="W87" s="1"/>
      <c r="X87" s="1"/>
      <c r="Y87" s="1"/>
      <c r="Z87" s="1"/>
      <c r="AA87" s="1"/>
      <c r="AB87" s="1"/>
      <c r="AC87" s="1"/>
      <c r="AD87" s="1"/>
      <c r="AE87" s="1"/>
      <c r="AF87" s="1"/>
      <c r="AG87" s="1"/>
      <c r="AH87" s="1"/>
      <c r="AI87" s="1"/>
      <c r="AJ87" s="1"/>
      <c r="AK87" s="1"/>
      <c r="AL87" s="1"/>
      <c r="AM87" s="1"/>
      <c r="AN87" s="1"/>
      <c r="AO87" s="1"/>
    </row>
    <row r="88" spans="1:41" ht="15.75">
      <c r="A88" s="1"/>
      <c r="B88" s="1"/>
      <c r="C88" s="1"/>
      <c r="D88" s="1"/>
      <c r="E88" s="488"/>
      <c r="F88" s="421"/>
      <c r="G88" s="421"/>
      <c r="H88" s="1"/>
      <c r="I88" s="1"/>
      <c r="J88" s="1"/>
      <c r="K88" s="1"/>
      <c r="L88" s="1"/>
      <c r="M88" s="1"/>
      <c r="N88" s="44"/>
      <c r="O88" s="422"/>
      <c r="P88" s="421"/>
      <c r="Q88" s="421"/>
      <c r="R88" s="421"/>
      <c r="S88" s="421"/>
      <c r="T88" s="41"/>
      <c r="U88" s="41"/>
      <c r="V88" s="421"/>
      <c r="W88" s="1"/>
      <c r="X88" s="1"/>
      <c r="Y88" s="1"/>
      <c r="Z88" s="1"/>
      <c r="AA88" s="1"/>
      <c r="AB88" s="1"/>
      <c r="AC88" s="1"/>
      <c r="AD88" s="1"/>
      <c r="AE88" s="1"/>
      <c r="AF88" s="1"/>
      <c r="AG88" s="1"/>
      <c r="AH88" s="1"/>
      <c r="AI88" s="1"/>
      <c r="AJ88" s="1"/>
      <c r="AK88" s="1"/>
      <c r="AL88" s="1"/>
      <c r="AM88" s="1"/>
      <c r="AN88" s="1"/>
      <c r="AO88" s="1"/>
    </row>
    <row r="89" spans="1:41" ht="15.75">
      <c r="A89" s="1"/>
      <c r="B89" s="1"/>
      <c r="C89" s="1"/>
      <c r="D89" s="1"/>
      <c r="E89" s="488"/>
      <c r="F89" s="421"/>
      <c r="G89" s="421"/>
      <c r="H89" s="1"/>
      <c r="I89" s="1"/>
      <c r="J89" s="1"/>
      <c r="K89" s="1"/>
      <c r="L89" s="1"/>
      <c r="M89" s="1"/>
      <c r="N89" s="44"/>
      <c r="O89" s="422"/>
      <c r="P89" s="421"/>
      <c r="Q89" s="421"/>
      <c r="R89" s="421"/>
      <c r="S89" s="421"/>
      <c r="T89" s="41"/>
      <c r="U89" s="41"/>
      <c r="V89" s="421"/>
      <c r="W89" s="1"/>
      <c r="X89" s="1"/>
      <c r="Y89" s="1"/>
      <c r="Z89" s="1"/>
      <c r="AA89" s="1"/>
      <c r="AB89" s="1"/>
      <c r="AC89" s="1"/>
      <c r="AD89" s="1"/>
      <c r="AE89" s="1"/>
      <c r="AF89" s="1"/>
      <c r="AG89" s="1"/>
      <c r="AH89" s="1"/>
      <c r="AI89" s="1"/>
      <c r="AJ89" s="1"/>
      <c r="AK89" s="1"/>
      <c r="AL89" s="1"/>
      <c r="AM89" s="1"/>
      <c r="AN89" s="1"/>
      <c r="AO89" s="1"/>
    </row>
    <row r="90" spans="1:41" ht="15.75">
      <c r="A90" s="1"/>
      <c r="B90" s="1"/>
      <c r="C90" s="1"/>
      <c r="D90" s="1"/>
      <c r="E90" s="488"/>
      <c r="F90" s="421"/>
      <c r="G90" s="421"/>
      <c r="H90" s="1"/>
      <c r="I90" s="1"/>
      <c r="J90" s="1"/>
      <c r="K90" s="1"/>
      <c r="L90" s="1"/>
      <c r="M90" s="1"/>
      <c r="N90" s="44"/>
      <c r="O90" s="422"/>
      <c r="P90" s="421"/>
      <c r="Q90" s="421"/>
      <c r="R90" s="421"/>
      <c r="S90" s="1"/>
      <c r="V90" s="1"/>
      <c r="W90" s="1"/>
      <c r="X90" s="1"/>
      <c r="Y90" s="1"/>
      <c r="Z90" s="1"/>
      <c r="AA90" s="1"/>
      <c r="AB90" s="1"/>
      <c r="AC90" s="1"/>
      <c r="AD90" s="1"/>
      <c r="AE90" s="1"/>
      <c r="AF90" s="1"/>
      <c r="AG90" s="1"/>
      <c r="AH90" s="1"/>
      <c r="AI90" s="1"/>
      <c r="AJ90" s="1"/>
      <c r="AK90" s="1"/>
      <c r="AL90" s="1"/>
      <c r="AM90" s="1"/>
      <c r="AN90" s="1"/>
      <c r="AO90" s="1"/>
    </row>
    <row r="91" spans="1:41" ht="15.75">
      <c r="A91" s="1"/>
      <c r="B91" s="1"/>
      <c r="C91" s="1"/>
      <c r="D91" s="1"/>
      <c r="E91" s="488"/>
      <c r="F91" s="421"/>
      <c r="G91" s="421"/>
      <c r="H91" s="1"/>
      <c r="I91" s="1"/>
      <c r="J91" s="1"/>
      <c r="K91" s="1"/>
      <c r="L91" s="1"/>
      <c r="M91" s="1"/>
      <c r="N91" s="421"/>
      <c r="O91" s="421"/>
      <c r="P91" s="421"/>
      <c r="Q91" s="421"/>
      <c r="R91" s="421"/>
      <c r="S91" s="1"/>
      <c r="V91" s="1"/>
      <c r="W91" s="1"/>
      <c r="X91" s="1"/>
      <c r="Y91" s="1"/>
      <c r="Z91" s="1"/>
      <c r="AA91" s="1"/>
      <c r="AB91" s="1"/>
      <c r="AC91" s="1"/>
      <c r="AD91" s="1"/>
      <c r="AE91" s="1"/>
      <c r="AF91" s="1"/>
      <c r="AG91" s="1"/>
      <c r="AH91" s="1"/>
      <c r="AI91" s="1"/>
      <c r="AJ91" s="1"/>
      <c r="AK91" s="1"/>
      <c r="AL91" s="1"/>
      <c r="AM91" s="1"/>
      <c r="AN91" s="1"/>
      <c r="AO91" s="1"/>
    </row>
    <row r="92" spans="1:41" ht="15.75">
      <c r="A92" s="1"/>
      <c r="B92" s="1"/>
      <c r="C92" s="1"/>
      <c r="D92" s="1"/>
      <c r="E92" s="488"/>
      <c r="F92" s="421"/>
      <c r="G92" s="421"/>
      <c r="H92" s="1"/>
      <c r="I92" s="1"/>
      <c r="J92" s="1"/>
      <c r="K92" s="1"/>
      <c r="L92" s="1"/>
      <c r="M92" s="1"/>
      <c r="N92" s="421"/>
      <c r="O92" s="421"/>
      <c r="P92" s="421"/>
      <c r="Q92" s="421"/>
      <c r="R92" s="421"/>
      <c r="S92" s="1"/>
      <c r="V92" s="1"/>
      <c r="W92" s="1"/>
      <c r="X92" s="1"/>
      <c r="Y92" s="1"/>
      <c r="Z92" s="1"/>
      <c r="AA92" s="1"/>
      <c r="AB92" s="1"/>
      <c r="AC92" s="1"/>
      <c r="AD92" s="1"/>
      <c r="AE92" s="1"/>
      <c r="AF92" s="1"/>
      <c r="AG92" s="1"/>
      <c r="AH92" s="1"/>
      <c r="AI92" s="1"/>
      <c r="AJ92" s="1"/>
      <c r="AK92" s="1"/>
      <c r="AL92" s="1"/>
      <c r="AM92" s="1"/>
      <c r="AN92" s="1"/>
      <c r="AO92" s="1"/>
    </row>
    <row r="93" spans="1:41" ht="15.75">
      <c r="A93" s="1"/>
      <c r="B93" s="1"/>
      <c r="C93" s="1"/>
      <c r="D93" s="1"/>
      <c r="E93" s="488"/>
      <c r="F93" s="421"/>
      <c r="G93" s="421"/>
      <c r="H93" s="1"/>
      <c r="I93" s="1"/>
      <c r="J93" s="1"/>
      <c r="K93" s="1"/>
      <c r="L93" s="1"/>
      <c r="M93" s="1"/>
      <c r="N93" s="421"/>
      <c r="O93" s="421"/>
      <c r="P93" s="421"/>
      <c r="Q93" s="421"/>
      <c r="R93" s="421"/>
      <c r="S93" s="1"/>
      <c r="T93" s="1"/>
      <c r="U93" s="1"/>
      <c r="V93" s="1"/>
      <c r="W93" s="1"/>
      <c r="X93" s="1"/>
      <c r="Y93" s="1"/>
      <c r="Z93" s="1"/>
      <c r="AA93" s="1"/>
      <c r="AB93" s="1"/>
      <c r="AC93" s="1"/>
      <c r="AD93" s="1"/>
      <c r="AE93" s="1"/>
      <c r="AF93" s="1"/>
      <c r="AG93" s="1"/>
      <c r="AH93" s="1"/>
      <c r="AI93" s="1"/>
      <c r="AJ93" s="1"/>
      <c r="AK93" s="1"/>
      <c r="AL93" s="1"/>
      <c r="AM93" s="1"/>
      <c r="AN93" s="1"/>
      <c r="AO93" s="1"/>
    </row>
    <row r="94" spans="1:41" ht="15.75">
      <c r="A94" s="1"/>
      <c r="B94" s="1"/>
      <c r="C94" s="1"/>
      <c r="D94" s="1"/>
      <c r="E94" s="488"/>
      <c r="F94" s="421"/>
      <c r="G94" s="421"/>
      <c r="H94" s="1"/>
      <c r="I94" s="1"/>
      <c r="J94" s="1"/>
      <c r="K94" s="1"/>
      <c r="L94" s="1"/>
      <c r="M94" s="1"/>
      <c r="N94" s="421"/>
      <c r="O94" s="421"/>
      <c r="P94" s="421"/>
      <c r="Q94" s="421"/>
      <c r="R94" s="421"/>
      <c r="S94" s="1"/>
      <c r="T94" s="1"/>
      <c r="U94" s="1"/>
      <c r="V94" s="1"/>
      <c r="W94" s="1"/>
      <c r="X94" s="1"/>
      <c r="Y94" s="1"/>
      <c r="Z94" s="1"/>
      <c r="AA94" s="1"/>
      <c r="AB94" s="1"/>
      <c r="AC94" s="1"/>
      <c r="AD94" s="1"/>
      <c r="AE94" s="1"/>
      <c r="AF94" s="1"/>
      <c r="AG94" s="1"/>
      <c r="AH94" s="1"/>
      <c r="AI94" s="1"/>
      <c r="AJ94" s="1"/>
      <c r="AK94" s="1"/>
      <c r="AL94" s="1"/>
      <c r="AM94" s="1"/>
      <c r="AN94" s="1"/>
      <c r="AO94" s="1"/>
    </row>
    <row r="95" spans="1:41" ht="15.75">
      <c r="A95" s="1"/>
      <c r="B95" s="1"/>
      <c r="C95" s="1"/>
      <c r="D95" s="1"/>
      <c r="E95" s="488"/>
      <c r="F95" s="421"/>
      <c r="G95" s="421"/>
      <c r="H95" s="1"/>
      <c r="I95" s="1"/>
      <c r="J95" s="1"/>
      <c r="K95" s="1"/>
      <c r="L95" s="1"/>
      <c r="M95" s="1"/>
      <c r="N95" s="421"/>
      <c r="O95" s="421"/>
      <c r="P95" s="421"/>
      <c r="Q95" s="421"/>
      <c r="R95" s="421"/>
      <c r="S95" s="1"/>
      <c r="T95" s="1"/>
      <c r="U95" s="1"/>
      <c r="V95" s="1"/>
      <c r="W95" s="1"/>
      <c r="X95" s="1"/>
      <c r="Y95" s="1"/>
      <c r="Z95" s="1"/>
      <c r="AA95" s="1"/>
      <c r="AB95" s="1"/>
      <c r="AC95" s="1"/>
      <c r="AD95" s="1"/>
      <c r="AE95" s="1"/>
      <c r="AF95" s="1"/>
      <c r="AG95" s="1"/>
      <c r="AH95" s="1"/>
      <c r="AI95" s="1"/>
      <c r="AJ95" s="1"/>
      <c r="AK95" s="1"/>
      <c r="AL95" s="1"/>
      <c r="AM95" s="1"/>
      <c r="AN95" s="1"/>
      <c r="AO95" s="1"/>
    </row>
    <row r="96" spans="1:41">
      <c r="A96" s="1"/>
      <c r="B96" s="1"/>
      <c r="C96" s="1"/>
      <c r="D96" s="1"/>
      <c r="E96" s="421"/>
      <c r="F96" s="421"/>
      <c r="G96" s="421"/>
      <c r="H96" s="1"/>
      <c r="I96" s="1"/>
      <c r="J96" s="1"/>
      <c r="K96" s="1"/>
      <c r="L96" s="1"/>
      <c r="M96" s="1"/>
      <c r="N96" s="421"/>
      <c r="O96" s="421"/>
      <c r="P96" s="421"/>
      <c r="Q96" s="421"/>
      <c r="R96" s="421"/>
      <c r="S96" s="1"/>
      <c r="T96" s="1"/>
      <c r="U96" s="1"/>
      <c r="V96" s="1"/>
      <c r="W96" s="1"/>
      <c r="X96" s="1"/>
      <c r="Y96" s="1"/>
      <c r="Z96" s="1"/>
      <c r="AA96" s="1"/>
      <c r="AB96" s="1"/>
      <c r="AC96" s="1"/>
      <c r="AD96" s="1"/>
      <c r="AE96" s="1"/>
      <c r="AF96" s="1"/>
      <c r="AG96" s="1"/>
      <c r="AH96" s="1"/>
      <c r="AI96" s="1"/>
      <c r="AJ96" s="1"/>
      <c r="AK96" s="1"/>
      <c r="AL96" s="1"/>
      <c r="AM96" s="1"/>
      <c r="AN96" s="1"/>
      <c r="AO96" s="1"/>
    </row>
    <row r="97" spans="1:41">
      <c r="A97" s="1"/>
      <c r="B97" s="1"/>
      <c r="C97" s="1"/>
      <c r="D97" s="1"/>
      <c r="E97" s="1"/>
      <c r="F97" s="1"/>
      <c r="G97" s="1"/>
      <c r="H97" s="1"/>
      <c r="I97" s="1"/>
      <c r="J97" s="1"/>
      <c r="K97" s="1"/>
      <c r="L97" s="1"/>
      <c r="M97" s="1"/>
      <c r="N97" s="421"/>
      <c r="O97" s="421"/>
      <c r="P97" s="421"/>
      <c r="Q97" s="421"/>
      <c r="R97" s="421"/>
      <c r="S97" s="1"/>
      <c r="T97" s="1"/>
      <c r="U97" s="1"/>
      <c r="V97" s="1"/>
      <c r="W97" s="1"/>
      <c r="X97" s="1"/>
      <c r="Y97" s="1"/>
      <c r="Z97" s="1"/>
      <c r="AA97" s="1"/>
      <c r="AB97" s="1"/>
      <c r="AC97" s="1"/>
      <c r="AD97" s="1"/>
      <c r="AE97" s="1"/>
      <c r="AF97" s="1"/>
      <c r="AG97" s="1"/>
      <c r="AH97" s="1"/>
      <c r="AI97" s="1"/>
      <c r="AJ97" s="1"/>
      <c r="AK97" s="1"/>
      <c r="AL97" s="1"/>
      <c r="AM97" s="1"/>
      <c r="AN97" s="1"/>
      <c r="AO97" s="1"/>
    </row>
    <row r="98" spans="1:41">
      <c r="A98" s="1"/>
      <c r="B98" s="1"/>
      <c r="C98" s="1"/>
      <c r="D98" s="1"/>
      <c r="E98" s="1"/>
      <c r="F98" s="1"/>
      <c r="G98" s="1"/>
      <c r="H98" s="1"/>
      <c r="I98" s="1"/>
      <c r="J98" s="1"/>
      <c r="K98" s="1"/>
      <c r="L98" s="1"/>
      <c r="M98" s="1"/>
      <c r="N98" s="421"/>
      <c r="O98" s="421"/>
      <c r="P98" s="421"/>
      <c r="Q98" s="421"/>
      <c r="R98" s="421"/>
      <c r="S98" s="1"/>
      <c r="T98" s="1"/>
      <c r="U98" s="1"/>
      <c r="V98" s="1"/>
      <c r="W98" s="1"/>
      <c r="X98" s="1"/>
      <c r="Y98" s="1"/>
      <c r="Z98" s="1"/>
      <c r="AA98" s="1"/>
      <c r="AB98" s="1"/>
      <c r="AC98" s="1"/>
      <c r="AD98" s="1"/>
      <c r="AE98" s="1"/>
      <c r="AF98" s="1"/>
      <c r="AG98" s="1"/>
      <c r="AH98" s="1"/>
      <c r="AI98" s="1"/>
      <c r="AJ98" s="1"/>
      <c r="AK98" s="1"/>
      <c r="AL98" s="1"/>
      <c r="AM98" s="1"/>
      <c r="AN98" s="1"/>
      <c r="AO98" s="1"/>
    </row>
    <row r="99" spans="1:41">
      <c r="A99" s="1"/>
      <c r="B99" s="1"/>
      <c r="C99" s="1"/>
      <c r="D99" s="1"/>
      <c r="E99" s="1"/>
      <c r="F99" s="1"/>
      <c r="G99" s="1"/>
      <c r="H99" s="1"/>
      <c r="I99" s="1"/>
      <c r="J99" s="1"/>
      <c r="K99" s="1"/>
      <c r="L99" s="1"/>
      <c r="M99" s="1"/>
      <c r="N99" s="421"/>
      <c r="O99" s="421"/>
      <c r="P99" s="421"/>
      <c r="Q99" s="421"/>
      <c r="R99" s="421"/>
      <c r="S99" s="1"/>
      <c r="T99" s="1"/>
      <c r="U99" s="1"/>
      <c r="V99" s="1"/>
      <c r="W99" s="1"/>
      <c r="X99" s="1"/>
      <c r="Y99" s="1"/>
      <c r="Z99" s="1"/>
      <c r="AA99" s="1"/>
      <c r="AB99" s="1"/>
      <c r="AC99" s="1"/>
      <c r="AD99" s="1"/>
      <c r="AE99" s="1"/>
      <c r="AF99" s="1"/>
      <c r="AG99" s="1"/>
      <c r="AH99" s="1"/>
      <c r="AI99" s="1"/>
      <c r="AJ99" s="1"/>
      <c r="AK99" s="1"/>
      <c r="AL99" s="1"/>
      <c r="AM99" s="1"/>
      <c r="AN99" s="1"/>
      <c r="AO99" s="1"/>
    </row>
    <row r="100" spans="1:41">
      <c r="A100" s="1"/>
      <c r="B100" s="1"/>
      <c r="C100" s="1"/>
      <c r="D100" s="1"/>
      <c r="E100" s="1"/>
      <c r="F100" s="1"/>
      <c r="G100" s="1"/>
      <c r="H100" s="1"/>
      <c r="I100" s="1"/>
      <c r="J100" s="1"/>
      <c r="K100" s="1"/>
      <c r="L100" s="1"/>
      <c r="M100" s="1"/>
      <c r="N100" s="421"/>
      <c r="O100" s="421"/>
      <c r="P100" s="421"/>
      <c r="Q100" s="421"/>
      <c r="R100" s="421"/>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c r="A101" s="1"/>
      <c r="B101" s="1"/>
      <c r="C101" s="1"/>
      <c r="D101" s="1"/>
      <c r="E101" s="1"/>
      <c r="F101" s="1"/>
      <c r="G101" s="1"/>
      <c r="H101" s="1"/>
      <c r="I101" s="1"/>
      <c r="J101" s="1"/>
      <c r="K101" s="1"/>
      <c r="L101" s="1"/>
      <c r="M101" s="1"/>
      <c r="N101" s="421"/>
      <c r="O101" s="421"/>
      <c r="P101" s="421"/>
      <c r="Q101" s="421"/>
      <c r="R101" s="421"/>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c r="A102" s="1"/>
      <c r="B102" s="1"/>
      <c r="C102" s="1"/>
      <c r="D102" s="1"/>
      <c r="E102" s="1"/>
      <c r="F102" s="1"/>
      <c r="G102" s="1"/>
      <c r="H102" s="1"/>
      <c r="I102" s="1"/>
      <c r="J102" s="1"/>
      <c r="K102" s="1"/>
      <c r="L102" s="1"/>
      <c r="M102" s="1"/>
      <c r="N102" s="421"/>
      <c r="O102" s="421"/>
      <c r="P102" s="421"/>
      <c r="Q102" s="421"/>
      <c r="R102" s="421"/>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c r="A103" s="1"/>
      <c r="B103" s="1"/>
      <c r="C103" s="1"/>
      <c r="D103" s="1"/>
      <c r="E103" s="1"/>
      <c r="F103" s="1"/>
      <c r="G103" s="1"/>
      <c r="H103" s="1"/>
      <c r="I103" s="1"/>
      <c r="J103" s="1"/>
      <c r="K103" s="1"/>
      <c r="L103" s="1"/>
      <c r="M103" s="1"/>
      <c r="N103" s="421"/>
      <c r="O103" s="421"/>
      <c r="P103" s="421"/>
      <c r="Q103" s="421"/>
      <c r="R103" s="421"/>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c r="A104" s="1"/>
      <c r="B104" s="1"/>
      <c r="C104" s="1"/>
      <c r="D104" s="1"/>
      <c r="E104" s="1"/>
      <c r="F104" s="1"/>
      <c r="G104" s="1"/>
      <c r="H104" s="1"/>
      <c r="I104" s="1"/>
      <c r="J104" s="1"/>
      <c r="K104" s="1"/>
      <c r="L104" s="1"/>
      <c r="M104" s="1"/>
      <c r="N104" s="421"/>
      <c r="O104" s="421"/>
      <c r="P104" s="421"/>
      <c r="Q104" s="421"/>
      <c r="R104" s="421"/>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c r="A105" s="1"/>
      <c r="B105" s="1"/>
      <c r="C105" s="1"/>
      <c r="D105" s="1"/>
      <c r="E105" s="1"/>
      <c r="F105" s="1"/>
      <c r="G105" s="1"/>
      <c r="H105" s="1"/>
      <c r="I105" s="1"/>
      <c r="J105" s="1"/>
      <c r="K105" s="1"/>
      <c r="L105" s="1"/>
      <c r="M105" s="1"/>
      <c r="N105" s="421"/>
      <c r="O105" s="421"/>
      <c r="P105" s="421"/>
      <c r="Q105" s="421"/>
      <c r="R105" s="421"/>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c r="A106" s="1"/>
      <c r="B106" s="1"/>
      <c r="C106" s="1"/>
      <c r="D106" s="1"/>
      <c r="E106" s="1"/>
      <c r="F106" s="1"/>
      <c r="G106" s="1"/>
      <c r="H106" s="1"/>
      <c r="I106" s="1"/>
      <c r="J106" s="1"/>
      <c r="K106" s="1"/>
      <c r="L106" s="1"/>
      <c r="M106" s="1"/>
      <c r="N106" s="421"/>
      <c r="O106" s="421"/>
      <c r="P106" s="421"/>
      <c r="Q106" s="421"/>
      <c r="R106" s="421"/>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c r="A107" s="1"/>
      <c r="B107" s="1"/>
      <c r="C107" s="1"/>
      <c r="D107" s="1"/>
      <c r="E107" s="1"/>
      <c r="F107" s="1"/>
      <c r="G107" s="1"/>
      <c r="H107" s="1"/>
      <c r="I107" s="1"/>
      <c r="J107" s="1"/>
      <c r="K107" s="1"/>
      <c r="L107" s="1"/>
      <c r="M107" s="1"/>
      <c r="N107" s="421"/>
      <c r="O107" s="421"/>
      <c r="P107" s="421"/>
      <c r="Q107" s="421"/>
      <c r="R107" s="421"/>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c r="A108" s="1"/>
      <c r="B108" s="1"/>
      <c r="C108" s="1"/>
      <c r="D108" s="1"/>
      <c r="E108" s="1"/>
      <c r="F108" s="1"/>
      <c r="G108" s="1"/>
      <c r="H108" s="1"/>
      <c r="I108" s="1"/>
      <c r="J108" s="1"/>
      <c r="K108" s="1"/>
      <c r="L108" s="1"/>
      <c r="M108" s="1"/>
      <c r="N108" s="421"/>
      <c r="O108" s="421"/>
      <c r="P108" s="421"/>
      <c r="Q108" s="421"/>
      <c r="R108" s="421"/>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c r="A109" s="1"/>
      <c r="B109" s="1"/>
      <c r="C109" s="1"/>
      <c r="D109" s="1"/>
      <c r="E109" s="1"/>
      <c r="F109" s="1"/>
      <c r="G109" s="1"/>
      <c r="H109" s="1"/>
      <c r="I109" s="1"/>
      <c r="J109" s="1"/>
      <c r="K109" s="1"/>
      <c r="L109" s="1"/>
      <c r="M109" s="1"/>
      <c r="N109" s="421"/>
      <c r="O109" s="421"/>
      <c r="P109" s="421"/>
      <c r="Q109" s="421"/>
      <c r="R109" s="421"/>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c r="A110" s="1"/>
      <c r="B110" s="1"/>
      <c r="C110" s="1"/>
      <c r="D110" s="1"/>
      <c r="E110" s="1"/>
      <c r="F110" s="1"/>
      <c r="G110" s="1"/>
      <c r="H110" s="1"/>
      <c r="I110" s="1"/>
      <c r="J110" s="1"/>
      <c r="K110" s="1"/>
      <c r="L110" s="1"/>
      <c r="M110" s="1"/>
      <c r="N110" s="421"/>
      <c r="O110" s="421"/>
      <c r="P110" s="421"/>
      <c r="Q110" s="421"/>
      <c r="R110" s="421"/>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c r="A111" s="1"/>
      <c r="B111" s="1"/>
      <c r="C111" s="1"/>
      <c r="D111" s="1"/>
      <c r="E111" s="1"/>
      <c r="F111" s="1"/>
      <c r="G111" s="1"/>
      <c r="H111" s="1"/>
      <c r="I111" s="1"/>
      <c r="J111" s="1"/>
      <c r="K111" s="1"/>
      <c r="L111" s="1"/>
      <c r="M111" s="1"/>
      <c r="N111" s="421"/>
      <c r="O111" s="421"/>
      <c r="P111" s="421"/>
      <c r="Q111" s="421"/>
      <c r="R111" s="421"/>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c r="A112" s="1"/>
      <c r="B112" s="1"/>
      <c r="C112" s="1"/>
      <c r="D112" s="1"/>
      <c r="E112" s="1"/>
      <c r="F112" s="1"/>
      <c r="G112" s="1"/>
      <c r="H112" s="1"/>
      <c r="I112" s="1"/>
      <c r="J112" s="1"/>
      <c r="K112" s="1"/>
      <c r="L112" s="1"/>
      <c r="M112" s="1"/>
      <c r="N112" s="421"/>
      <c r="O112" s="421"/>
      <c r="P112" s="421"/>
      <c r="Q112" s="421"/>
      <c r="R112" s="421"/>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c r="A113" s="1"/>
      <c r="B113" s="1"/>
      <c r="C113" s="1"/>
      <c r="D113" s="1"/>
      <c r="E113" s="1"/>
      <c r="F113" s="1"/>
      <c r="G113" s="1"/>
      <c r="H113" s="1"/>
      <c r="I113" s="1"/>
      <c r="J113" s="1"/>
      <c r="K113" s="1"/>
      <c r="L113" s="1"/>
      <c r="M113" s="1"/>
      <c r="N113" s="421"/>
      <c r="O113" s="421"/>
      <c r="P113" s="421"/>
      <c r="Q113" s="421"/>
      <c r="R113" s="421"/>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c r="A114" s="1"/>
      <c r="B114" s="1"/>
      <c r="C114" s="1"/>
      <c r="D114" s="1"/>
      <c r="E114" s="1"/>
      <c r="F114" s="1"/>
      <c r="G114" s="1"/>
      <c r="H114" s="1"/>
      <c r="I114" s="1"/>
      <c r="J114" s="1"/>
      <c r="K114" s="1"/>
      <c r="L114" s="1"/>
      <c r="M114" s="1"/>
      <c r="N114" s="421"/>
      <c r="O114" s="421"/>
      <c r="P114" s="421"/>
      <c r="Q114" s="421"/>
      <c r="R114" s="421"/>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c r="A115" s="1"/>
      <c r="B115" s="1"/>
      <c r="C115" s="1"/>
      <c r="D115" s="1"/>
      <c r="E115" s="1"/>
      <c r="F115" s="1"/>
      <c r="G115" s="1"/>
      <c r="H115" s="1"/>
      <c r="I115" s="1"/>
      <c r="J115" s="1"/>
      <c r="K115" s="1"/>
      <c r="L115" s="1"/>
      <c r="M115" s="1"/>
      <c r="N115" s="421"/>
      <c r="O115" s="421"/>
      <c r="P115" s="421"/>
      <c r="Q115" s="421"/>
      <c r="R115" s="421"/>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c r="A116" s="1"/>
      <c r="B116" s="1"/>
      <c r="C116" s="1"/>
      <c r="D116" s="1"/>
      <c r="E116" s="1"/>
      <c r="F116" s="1"/>
      <c r="G116" s="1"/>
      <c r="H116" s="1"/>
      <c r="I116" s="1"/>
      <c r="J116" s="1"/>
      <c r="K116" s="1"/>
      <c r="L116" s="1"/>
      <c r="M116" s="1"/>
      <c r="N116" s="421"/>
      <c r="O116" s="421"/>
      <c r="P116" s="421"/>
      <c r="Q116" s="421"/>
      <c r="R116" s="421"/>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c r="A117" s="1"/>
      <c r="B117" s="1"/>
      <c r="C117" s="1"/>
      <c r="D117" s="1"/>
      <c r="E117" s="1"/>
      <c r="F117" s="1"/>
      <c r="G117" s="1"/>
      <c r="H117" s="1"/>
      <c r="I117" s="1"/>
      <c r="J117" s="1"/>
      <c r="K117" s="1"/>
      <c r="L117" s="1"/>
      <c r="M117" s="1"/>
      <c r="N117" s="421"/>
      <c r="O117" s="421"/>
      <c r="P117" s="421"/>
      <c r="Q117" s="421"/>
      <c r="R117" s="421"/>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c r="A118" s="1"/>
      <c r="B118" s="1"/>
      <c r="C118" s="1"/>
      <c r="D118" s="1"/>
      <c r="E118" s="1"/>
      <c r="F118" s="1"/>
      <c r="G118" s="1"/>
      <c r="H118" s="1"/>
      <c r="I118" s="1"/>
      <c r="J118" s="1"/>
      <c r="K118" s="1"/>
      <c r="L118" s="1"/>
      <c r="M118" s="1"/>
      <c r="N118" s="421"/>
      <c r="O118" s="421"/>
      <c r="P118" s="421"/>
      <c r="Q118" s="421"/>
      <c r="R118" s="421"/>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c r="A119" s="1"/>
      <c r="B119" s="1"/>
      <c r="C119" s="1"/>
      <c r="D119" s="1"/>
      <c r="E119" s="1"/>
      <c r="F119" s="1"/>
      <c r="G119" s="1"/>
      <c r="H119" s="1"/>
      <c r="I119" s="1"/>
      <c r="J119" s="1"/>
      <c r="K119" s="1"/>
      <c r="L119" s="1"/>
      <c r="M119" s="1"/>
      <c r="N119" s="421"/>
      <c r="O119" s="421"/>
      <c r="P119" s="421"/>
      <c r="Q119" s="421"/>
      <c r="R119" s="421"/>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c r="A120" s="1"/>
      <c r="B120" s="1"/>
      <c r="C120" s="1"/>
      <c r="D120" s="1"/>
      <c r="E120" s="1"/>
      <c r="F120" s="1"/>
      <c r="G120" s="1"/>
      <c r="H120" s="1"/>
      <c r="I120" s="1"/>
      <c r="J120" s="1"/>
      <c r="K120" s="1"/>
      <c r="L120" s="1"/>
      <c r="M120" s="1"/>
      <c r="N120" s="421"/>
      <c r="O120" s="421"/>
      <c r="P120" s="421"/>
      <c r="Q120" s="421"/>
      <c r="R120" s="421"/>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c r="A121" s="1"/>
      <c r="B121" s="1"/>
      <c r="C121" s="1"/>
      <c r="D121" s="1"/>
      <c r="E121" s="1"/>
      <c r="F121" s="1"/>
      <c r="G121" s="1"/>
      <c r="H121" s="1"/>
      <c r="I121" s="1"/>
      <c r="J121" s="1"/>
      <c r="K121" s="1"/>
      <c r="L121" s="1"/>
      <c r="M121" s="1"/>
      <c r="N121" s="421"/>
      <c r="O121" s="421"/>
      <c r="P121" s="421"/>
      <c r="Q121" s="421"/>
      <c r="R121" s="421"/>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c r="A122" s="1"/>
      <c r="B122" s="1"/>
      <c r="C122" s="1"/>
      <c r="D122" s="1"/>
      <c r="E122" s="1"/>
      <c r="F122" s="1"/>
      <c r="G122" s="1"/>
      <c r="H122" s="1"/>
      <c r="I122" s="1"/>
      <c r="J122" s="1"/>
      <c r="K122" s="1"/>
      <c r="L122" s="1"/>
      <c r="M122" s="1"/>
      <c r="N122" s="421"/>
      <c r="O122" s="421"/>
      <c r="P122" s="421"/>
      <c r="Q122" s="421"/>
      <c r="R122" s="421"/>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c r="A123" s="1"/>
      <c r="B123" s="1"/>
      <c r="C123" s="1"/>
      <c r="D123" s="1"/>
      <c r="E123" s="1"/>
      <c r="F123" s="1"/>
      <c r="G123" s="1"/>
      <c r="H123" s="1"/>
      <c r="I123" s="1"/>
      <c r="J123" s="1"/>
      <c r="K123" s="1"/>
      <c r="L123" s="1"/>
      <c r="M123" s="1"/>
      <c r="N123" s="421"/>
      <c r="O123" s="421"/>
      <c r="P123" s="421"/>
      <c r="Q123" s="421"/>
      <c r="R123" s="421"/>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c r="A124" s="1"/>
      <c r="B124" s="1"/>
      <c r="C124" s="1"/>
      <c r="D124" s="1"/>
      <c r="E124" s="1"/>
      <c r="F124" s="1"/>
      <c r="G124" s="1"/>
      <c r="H124" s="1"/>
      <c r="I124" s="1"/>
      <c r="J124" s="1"/>
      <c r="K124" s="1"/>
      <c r="L124" s="1"/>
      <c r="M124" s="1"/>
      <c r="N124" s="421"/>
      <c r="O124" s="421"/>
      <c r="P124" s="421"/>
      <c r="Q124" s="421"/>
      <c r="R124" s="421"/>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c r="A125" s="1"/>
      <c r="B125" s="1"/>
      <c r="C125" s="1"/>
      <c r="D125" s="1"/>
      <c r="E125" s="1"/>
      <c r="F125" s="1"/>
      <c r="G125" s="1"/>
      <c r="H125" s="1"/>
      <c r="I125" s="1"/>
      <c r="J125" s="1"/>
      <c r="K125" s="1"/>
      <c r="L125" s="1"/>
      <c r="M125" s="1"/>
      <c r="N125" s="421"/>
      <c r="O125" s="421"/>
      <c r="P125" s="421"/>
      <c r="Q125" s="421"/>
      <c r="R125" s="421"/>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c r="A126" s="1"/>
      <c r="B126" s="1"/>
      <c r="C126" s="1"/>
      <c r="D126" s="1"/>
      <c r="E126" s="1"/>
      <c r="F126" s="1"/>
      <c r="G126" s="1"/>
      <c r="H126" s="1"/>
      <c r="I126" s="1"/>
      <c r="J126" s="1"/>
      <c r="K126" s="1"/>
      <c r="L126" s="1"/>
      <c r="M126" s="1"/>
      <c r="N126" s="421"/>
      <c r="O126" s="421"/>
      <c r="P126" s="421"/>
      <c r="Q126" s="421"/>
      <c r="R126" s="421"/>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c r="A127" s="1"/>
      <c r="B127" s="1"/>
      <c r="C127" s="1"/>
      <c r="D127" s="1"/>
      <c r="E127" s="1"/>
      <c r="F127" s="1"/>
      <c r="G127" s="1"/>
      <c r="H127" s="1"/>
      <c r="I127" s="1"/>
      <c r="J127" s="1"/>
      <c r="K127" s="1"/>
      <c r="L127" s="1"/>
      <c r="M127" s="1"/>
      <c r="N127" s="421"/>
      <c r="O127" s="421"/>
      <c r="P127" s="421"/>
      <c r="Q127" s="421"/>
      <c r="R127" s="421"/>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c r="A128" s="1"/>
      <c r="B128" s="1"/>
      <c r="C128" s="1"/>
      <c r="D128" s="1"/>
      <c r="E128" s="1"/>
      <c r="F128" s="1"/>
      <c r="G128" s="1"/>
      <c r="H128" s="1"/>
      <c r="I128" s="1"/>
      <c r="J128" s="1"/>
      <c r="K128" s="1"/>
      <c r="L128" s="1"/>
      <c r="M128" s="1"/>
      <c r="N128" s="421"/>
      <c r="O128" s="421"/>
      <c r="P128" s="421"/>
      <c r="Q128" s="421"/>
      <c r="R128" s="421"/>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c r="A129" s="1"/>
      <c r="B129" s="1"/>
      <c r="C129" s="1"/>
      <c r="D129" s="1"/>
      <c r="E129" s="1"/>
      <c r="F129" s="1"/>
      <c r="G129" s="1"/>
      <c r="H129" s="1"/>
      <c r="I129" s="1"/>
      <c r="J129" s="1"/>
      <c r="K129" s="1"/>
      <c r="L129" s="1"/>
      <c r="M129" s="1"/>
      <c r="N129" s="421"/>
      <c r="O129" s="421"/>
      <c r="P129" s="421"/>
      <c r="Q129" s="421"/>
      <c r="R129" s="421"/>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row>
  </sheetData>
  <phoneticPr fontId="4" type="noConversion"/>
  <printOptions gridLines="1" gridLinesSet="0"/>
  <pageMargins left="0.55118110236220474" right="0.55118110236220474" top="0.61" bottom="0.7" header="0.31496062992125984" footer="0.51181102362204722"/>
  <pageSetup paperSize="9" scale="65" orientation="landscape"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vt:i4>
      </vt:variant>
      <vt:variant>
        <vt:lpstr>이름이 지정된 범위</vt:lpstr>
      </vt:variant>
      <vt:variant>
        <vt:i4>9</vt:i4>
      </vt:variant>
    </vt:vector>
  </HeadingPairs>
  <TitlesOfParts>
    <vt:vector size="11" baseType="lpstr">
      <vt:lpstr>Sketch_Rated</vt:lpstr>
      <vt:lpstr>piping</vt:lpstr>
      <vt:lpstr>Sketch_Rated!CF</vt:lpstr>
      <vt:lpstr>DRIVER</vt:lpstr>
      <vt:lpstr>NT</vt:lpstr>
      <vt:lpstr>PIPE</vt:lpstr>
      <vt:lpstr>PIPE1</vt:lpstr>
      <vt:lpstr>Sketch_Rated!Print_Area</vt:lpstr>
      <vt:lpstr>PTYPE</vt:lpstr>
      <vt:lpstr>SCH</vt:lpstr>
      <vt:lpstr>TWOPH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2006-09-13T11:19:49Z</dcterms:created>
  <dcterms:modified xsi:type="dcterms:W3CDTF">2019-02-12T01:31:11Z</dcterms:modified>
</cp:coreProperties>
</file>